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rub\Desktop\Ruben\UMA\Optativas\Modelado y Simulación de Sistemas\Modelado mio\Arena\Pruebas\museo\MUSEO2-AHORAESPERSONAL\"/>
    </mc:Choice>
  </mc:AlternateContent>
  <xr:revisionPtr revIDLastSave="0" documentId="13_ncr:1_{BADC5CE3-6347-4D79-B512-D74E86315DF4}" xr6:coauthVersionLast="47" xr6:coauthVersionMax="47" xr10:uidLastSave="{00000000-0000-0000-0000-000000000000}"/>
  <bookViews>
    <workbookView xWindow="-108" yWindow="-108" windowWidth="23256" windowHeight="1257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ContinuousTimeStatsByRep!$A$1:$L$1171</definedName>
    <definedName name="ExternalData_1" localSheetId="4" hidden="1">CounterStatsByRep!$A$1:$G$2</definedName>
    <definedName name="ExternalData_1" localSheetId="2" hidden="1">DiscreteTimeStatsByRep!$A$1:$K$511</definedName>
    <definedName name="ExternalData_1" localSheetId="6" hidden="1">FrequencyStatsByRep!$A$1:$J$2</definedName>
    <definedName name="ExternalData_1" localSheetId="5" hidden="1">OutputStatsByRep!$A$1:$H$691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K18" i="20" s="1" a="1"/>
  <c r="K18" i="20" s="1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J2" i="20" a="1"/>
  <c r="J2" i="20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/>
  <c r="J319" i="20" a="1"/>
  <c r="J319" i="20" s="1"/>
  <c r="J320" i="20" a="1"/>
  <c r="J320" i="20"/>
  <c r="J321" i="20" a="1"/>
  <c r="J321" i="20" s="1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/>
  <c r="J333" i="20" a="1"/>
  <c r="J333" i="20" s="1"/>
  <c r="J334" i="20" a="1"/>
  <c r="J334" i="20" s="1"/>
  <c r="J335" i="20" a="1"/>
  <c r="J335" i="20"/>
  <c r="J336" i="20" a="1"/>
  <c r="J336" i="20" s="1"/>
  <c r="J337" i="20" a="1"/>
  <c r="J337" i="20"/>
  <c r="J338" i="20" a="1"/>
  <c r="J338" i="20"/>
  <c r="J339" i="20" a="1"/>
  <c r="J339" i="20" s="1"/>
  <c r="J340" i="20" a="1"/>
  <c r="J340" i="20" s="1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 s="1"/>
  <c r="J347" i="20" a="1"/>
  <c r="J347" i="20"/>
  <c r="J348" i="20" a="1"/>
  <c r="J348" i="20" s="1"/>
  <c r="J349" i="20" a="1"/>
  <c r="J349" i="20"/>
  <c r="J350" i="20" a="1"/>
  <c r="J350" i="20" s="1"/>
  <c r="J351" i="20" a="1"/>
  <c r="J351" i="20" s="1"/>
  <c r="J352" i="20" a="1"/>
  <c r="J352" i="20" s="1"/>
  <c r="J353" i="20" a="1"/>
  <c r="J353" i="20" s="1"/>
  <c r="J354" i="20" a="1"/>
  <c r="J354" i="20"/>
  <c r="J355" i="20" a="1"/>
  <c r="J355" i="20" s="1"/>
  <c r="J356" i="20" a="1"/>
  <c r="J356" i="20" s="1"/>
  <c r="J357" i="20" a="1"/>
  <c r="J357" i="20" s="1"/>
  <c r="J358" i="20" a="1"/>
  <c r="J358" i="20" s="1"/>
  <c r="J359" i="20" a="1"/>
  <c r="J359" i="20" s="1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 s="1"/>
  <c r="J365" i="20" a="1"/>
  <c r="J365" i="20" s="1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 s="1"/>
  <c r="J372" i="20" a="1"/>
  <c r="J372" i="20" s="1"/>
  <c r="J373" i="20" a="1"/>
  <c r="J373" i="20" s="1"/>
  <c r="J374" i="20" a="1"/>
  <c r="J374" i="20" s="1"/>
  <c r="J375" i="20" a="1"/>
  <c r="J375" i="20" s="1"/>
  <c r="J376" i="20" a="1"/>
  <c r="J376" i="20" s="1"/>
  <c r="J377" i="20" a="1"/>
  <c r="J377" i="20" s="1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 s="1"/>
  <c r="J388" i="20" a="1"/>
  <c r="J388" i="20" s="1"/>
  <c r="J389" i="20" a="1"/>
  <c r="J389" i="20"/>
  <c r="J390" i="20" a="1"/>
  <c r="J390" i="20" s="1"/>
  <c r="J391" i="20" a="1"/>
  <c r="J391" i="20" s="1"/>
  <c r="J392" i="20" a="1"/>
  <c r="J392" i="20" s="1"/>
  <c r="J393" i="20" a="1"/>
  <c r="J393" i="20" s="1"/>
  <c r="J394" i="20" a="1"/>
  <c r="J394" i="20" s="1"/>
  <c r="J395" i="20" a="1"/>
  <c r="J395" i="20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/>
  <c r="J404" i="20" a="1"/>
  <c r="J404" i="20" s="1"/>
  <c r="J405" i="20" a="1"/>
  <c r="J405" i="20" s="1"/>
  <c r="J406" i="20" a="1"/>
  <c r="J406" i="20" s="1"/>
  <c r="J407" i="20" a="1"/>
  <c r="J407" i="20"/>
  <c r="J408" i="20" a="1"/>
  <c r="J408" i="20" s="1"/>
  <c r="J409" i="20" a="1"/>
  <c r="J409" i="20"/>
  <c r="J410" i="20" a="1"/>
  <c r="J410" i="20" s="1"/>
  <c r="J411" i="20" a="1"/>
  <c r="J411" i="20" s="1"/>
  <c r="J412" i="20" a="1"/>
  <c r="J412" i="20" s="1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 s="1"/>
  <c r="J418" i="20" a="1"/>
  <c r="J418" i="20" s="1"/>
  <c r="J419" i="20" a="1"/>
  <c r="J419" i="20" s="1"/>
  <c r="J420" i="20" a="1"/>
  <c r="J420" i="20" s="1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 s="1"/>
  <c r="J426" i="20" a="1"/>
  <c r="J426" i="20"/>
  <c r="J427" i="20" a="1"/>
  <c r="J427" i="20" s="1"/>
  <c r="J428" i="20" a="1"/>
  <c r="J428" i="20" s="1"/>
  <c r="J429" i="20" a="1"/>
  <c r="J429" i="20" s="1"/>
  <c r="J430" i="20" a="1"/>
  <c r="J430" i="20" s="1"/>
  <c r="J431" i="20" a="1"/>
  <c r="J431" i="20" s="1"/>
  <c r="J432" i="20" a="1"/>
  <c r="J432" i="20" s="1"/>
  <c r="J433" i="20" a="1"/>
  <c r="J433" i="20" s="1"/>
  <c r="J434" i="20" a="1"/>
  <c r="J434" i="20" s="1"/>
  <c r="J435" i="20" a="1"/>
  <c r="J435" i="20" s="1"/>
  <c r="J436" i="20" a="1"/>
  <c r="J436" i="20" s="1"/>
  <c r="J437" i="20" a="1"/>
  <c r="J437" i="20" s="1"/>
  <c r="J438" i="20" a="1"/>
  <c r="J438" i="20" s="1"/>
  <c r="J439" i="20" a="1"/>
  <c r="J439" i="20" s="1"/>
  <c r="J440" i="20" a="1"/>
  <c r="J440" i="20" s="1"/>
  <c r="J441" i="20" a="1"/>
  <c r="J441" i="20" s="1"/>
  <c r="J442" i="20" a="1"/>
  <c r="J442" i="20" s="1"/>
  <c r="J443" i="20" a="1"/>
  <c r="J443" i="20" s="1"/>
  <c r="J444" i="20" a="1"/>
  <c r="J444" i="20" s="1"/>
  <c r="J445" i="20" a="1"/>
  <c r="J445" i="20"/>
  <c r="J446" i="20" a="1"/>
  <c r="J446" i="20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 s="1"/>
  <c r="J452" i="20" a="1"/>
  <c r="J452" i="20" s="1"/>
  <c r="J453" i="20" a="1"/>
  <c r="J453" i="20" s="1"/>
  <c r="J454" i="20" a="1"/>
  <c r="J454" i="20" s="1"/>
  <c r="J455" i="20" a="1"/>
  <c r="J455" i="20"/>
  <c r="J456" i="20" a="1"/>
  <c r="J456" i="20" s="1"/>
  <c r="J457" i="20" a="1"/>
  <c r="J457" i="20" s="1"/>
  <c r="J458" i="20" a="1"/>
  <c r="J458" i="20" s="1"/>
  <c r="J459" i="20" a="1"/>
  <c r="J459" i="20" s="1"/>
  <c r="J460" i="20" a="1"/>
  <c r="J460" i="20" s="1"/>
  <c r="J461" i="20" a="1"/>
  <c r="J461" i="20" s="1"/>
  <c r="J462" i="20" a="1"/>
  <c r="J462" i="20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 s="1"/>
  <c r="J470" i="20" a="1"/>
  <c r="J470" i="20" s="1"/>
  <c r="J471" i="20" a="1"/>
  <c r="J471" i="20" s="1"/>
  <c r="J472" i="20" a="1"/>
  <c r="J472" i="20" s="1"/>
  <c r="J473" i="20" a="1"/>
  <c r="J473" i="20" s="1"/>
  <c r="J474" i="20" a="1"/>
  <c r="J474" i="20" s="1"/>
  <c r="J475" i="20" a="1"/>
  <c r="J475" i="20" s="1"/>
  <c r="J476" i="20" a="1"/>
  <c r="J476" i="20" s="1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/>
  <c r="J482" i="20" a="1"/>
  <c r="J482" i="20"/>
  <c r="J483" i="20" a="1"/>
  <c r="J483" i="20" s="1"/>
  <c r="J484" i="20" a="1"/>
  <c r="J484" i="20" s="1"/>
  <c r="J485" i="20" a="1"/>
  <c r="J485" i="20" s="1"/>
  <c r="J486" i="20" a="1"/>
  <c r="J486" i="20"/>
  <c r="J487" i="20" a="1"/>
  <c r="J487" i="20" s="1"/>
  <c r="J488" i="20" a="1"/>
  <c r="J488" i="20"/>
  <c r="J489" i="20" a="1"/>
  <c r="J489" i="20" s="1"/>
  <c r="J490" i="20" a="1"/>
  <c r="J490" i="20" s="1"/>
  <c r="J491" i="20" a="1"/>
  <c r="J491" i="20"/>
  <c r="J492" i="20" a="1"/>
  <c r="J492" i="20" s="1"/>
  <c r="J493" i="20" a="1"/>
  <c r="J493" i="20" s="1"/>
  <c r="J494" i="20" a="1"/>
  <c r="J494" i="20" s="1"/>
  <c r="J495" i="20" a="1"/>
  <c r="J495" i="20" s="1"/>
  <c r="J496" i="20" a="1"/>
  <c r="J496" i="20" s="1"/>
  <c r="J497" i="20" a="1"/>
  <c r="J497" i="20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 s="1"/>
  <c r="J516" i="20" a="1"/>
  <c r="J516" i="20" s="1"/>
  <c r="J517" i="20" a="1"/>
  <c r="J517" i="20" s="1"/>
  <c r="J518" i="20" a="1"/>
  <c r="J518" i="20" s="1"/>
  <c r="J519" i="20" a="1"/>
  <c r="J519" i="20" s="1"/>
  <c r="J520" i="20" a="1"/>
  <c r="J520" i="20"/>
  <c r="J521" i="20" a="1"/>
  <c r="J521" i="20" s="1"/>
  <c r="J522" i="20" a="1"/>
  <c r="J522" i="20" s="1"/>
  <c r="J523" i="20" a="1"/>
  <c r="J523" i="20" s="1"/>
  <c r="J524" i="20" a="1"/>
  <c r="J524" i="20" s="1"/>
  <c r="J525" i="20" a="1"/>
  <c r="J525" i="20" s="1"/>
  <c r="J526" i="20" a="1"/>
  <c r="J526" i="20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 s="1"/>
  <c r="J537" i="20" a="1"/>
  <c r="J537" i="20" s="1"/>
  <c r="J538" i="20" a="1"/>
  <c r="J538" i="20" s="1"/>
  <c r="J539" i="20" a="1"/>
  <c r="J539" i="20" s="1"/>
  <c r="J540" i="20" a="1"/>
  <c r="J540" i="20" s="1"/>
  <c r="J541" i="20" a="1"/>
  <c r="J541" i="20" s="1"/>
  <c r="J542" i="20" a="1"/>
  <c r="J542" i="20" s="1"/>
  <c r="J543" i="20" a="1"/>
  <c r="J543" i="20" s="1"/>
  <c r="J544" i="20" a="1"/>
  <c r="J544" i="20"/>
  <c r="J545" i="20" a="1"/>
  <c r="J545" i="20" s="1"/>
  <c r="J546" i="20" a="1"/>
  <c r="J546" i="20" s="1"/>
  <c r="J547" i="20" a="1"/>
  <c r="J547" i="20" s="1"/>
  <c r="J548" i="20" a="1"/>
  <c r="J548" i="20" s="1"/>
  <c r="J549" i="20" a="1"/>
  <c r="J549" i="20" s="1"/>
  <c r="J550" i="20" a="1"/>
  <c r="J550" i="20"/>
  <c r="J551" i="20" a="1"/>
  <c r="J551" i="20" s="1"/>
  <c r="J552" i="20" a="1"/>
  <c r="J552" i="20" s="1"/>
  <c r="J553" i="20" a="1"/>
  <c r="J553" i="20" s="1"/>
  <c r="J554" i="20" a="1"/>
  <c r="J554" i="20" s="1"/>
  <c r="J555" i="20" a="1"/>
  <c r="J555" i="20" s="1"/>
  <c r="J556" i="20" a="1"/>
  <c r="J556" i="20" s="1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 s="1"/>
  <c r="J562" i="20" a="1"/>
  <c r="J562" i="20"/>
  <c r="J563" i="20" a="1"/>
  <c r="J563" i="20" s="1"/>
  <c r="J564" i="20" a="1"/>
  <c r="J564" i="20" s="1"/>
  <c r="J565" i="20" a="1"/>
  <c r="J565" i="20" s="1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 s="1"/>
  <c r="J578" i="20" a="1"/>
  <c r="J578" i="20" s="1"/>
  <c r="J579" i="20" a="1"/>
  <c r="J579" i="20" s="1"/>
  <c r="J580" i="20" a="1"/>
  <c r="J580" i="20" s="1"/>
  <c r="J581" i="20" a="1"/>
  <c r="J581" i="20" s="1"/>
  <c r="J582" i="20" a="1"/>
  <c r="J582" i="20" s="1"/>
  <c r="J583" i="20" a="1"/>
  <c r="J583" i="20" s="1"/>
  <c r="J584" i="20" a="1"/>
  <c r="J584" i="20" s="1"/>
  <c r="J585" i="20" a="1"/>
  <c r="J585" i="20" s="1"/>
  <c r="J586" i="20" a="1"/>
  <c r="J586" i="20"/>
  <c r="J587" i="20" a="1"/>
  <c r="J587" i="20" s="1"/>
  <c r="J588" i="20" a="1"/>
  <c r="J588" i="20" s="1"/>
  <c r="J589" i="20" a="1"/>
  <c r="J589" i="20" s="1"/>
  <c r="J590" i="20" a="1"/>
  <c r="J590" i="20" s="1"/>
  <c r="J591" i="20" a="1"/>
  <c r="J591" i="20" s="1"/>
  <c r="J592" i="20" a="1"/>
  <c r="J592" i="20"/>
  <c r="J593" i="20" a="1"/>
  <c r="J593" i="20" s="1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 s="1"/>
  <c r="J599" i="20" a="1"/>
  <c r="J599" i="20" s="1"/>
  <c r="J600" i="20" a="1"/>
  <c r="J600" i="20" s="1"/>
  <c r="J601" i="20" a="1"/>
  <c r="J601" i="20" s="1"/>
  <c r="J602" i="20" a="1"/>
  <c r="J602" i="20" s="1"/>
  <c r="J603" i="20" a="1"/>
  <c r="J603" i="20" s="1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 s="1"/>
  <c r="J610" i="20" a="1"/>
  <c r="J610" i="20"/>
  <c r="J611" i="20" a="1"/>
  <c r="J611" i="20" s="1"/>
  <c r="J612" i="20" a="1"/>
  <c r="J612" i="20" s="1"/>
  <c r="J613" i="20" a="1"/>
  <c r="J613" i="20" s="1"/>
  <c r="J614" i="20" a="1"/>
  <c r="J614" i="20" s="1"/>
  <c r="J615" i="20" a="1"/>
  <c r="J615" i="20" s="1"/>
  <c r="J616" i="20" a="1"/>
  <c r="J616" i="20" s="1"/>
  <c r="J617" i="20" a="1"/>
  <c r="J617" i="20" s="1"/>
  <c r="J618" i="20" a="1"/>
  <c r="J618" i="20" s="1"/>
  <c r="J619" i="20" a="1"/>
  <c r="J619" i="20" s="1"/>
  <c r="J620" i="20" a="1"/>
  <c r="J620" i="20" s="1"/>
  <c r="J621" i="20" a="1"/>
  <c r="J621" i="20" s="1"/>
  <c r="J622" i="20" a="1"/>
  <c r="J622" i="20" s="1"/>
  <c r="J623" i="20" a="1"/>
  <c r="J623" i="20" s="1"/>
  <c r="J624" i="20" a="1"/>
  <c r="J624" i="20" s="1"/>
  <c r="J625" i="20" a="1"/>
  <c r="J625" i="20" s="1"/>
  <c r="J626" i="20" a="1"/>
  <c r="J626" i="20" s="1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 s="1"/>
  <c r="J632" i="20" a="1"/>
  <c r="J632" i="20" s="1"/>
  <c r="J633" i="20" a="1"/>
  <c r="J633" i="20" s="1"/>
  <c r="J634" i="20" a="1"/>
  <c r="J634" i="20" s="1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 s="1"/>
  <c r="J644" i="20" a="1"/>
  <c r="J644" i="20" s="1"/>
  <c r="J645" i="20" a="1"/>
  <c r="J645" i="20" s="1"/>
  <c r="J646" i="20" a="1"/>
  <c r="J646" i="20"/>
  <c r="J647" i="20" a="1"/>
  <c r="J647" i="20" s="1"/>
  <c r="J648" i="20" a="1"/>
  <c r="J648" i="20" s="1"/>
  <c r="J649" i="20" a="1"/>
  <c r="J649" i="20" s="1"/>
  <c r="J650" i="20" a="1"/>
  <c r="J650" i="20" s="1"/>
  <c r="J651" i="20" a="1"/>
  <c r="J651" i="20" s="1"/>
  <c r="J652" i="20" a="1"/>
  <c r="J652" i="20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 s="1"/>
  <c r="J658" i="20" a="1"/>
  <c r="J658" i="20"/>
  <c r="J659" i="20" a="1"/>
  <c r="J659" i="20" s="1"/>
  <c r="J660" i="20" a="1"/>
  <c r="J660" i="20" s="1"/>
  <c r="J661" i="20" a="1"/>
  <c r="J661" i="20" s="1"/>
  <c r="J662" i="20" a="1"/>
  <c r="J662" i="20" s="1"/>
  <c r="J663" i="20" a="1"/>
  <c r="J663" i="20" s="1"/>
  <c r="J664" i="20" a="1"/>
  <c r="J664" i="20"/>
  <c r="J665" i="20" a="1"/>
  <c r="J665" i="20" s="1"/>
  <c r="J666" i="20" a="1"/>
  <c r="J666" i="20" s="1"/>
  <c r="J667" i="20" a="1"/>
  <c r="J667" i="20" s="1"/>
  <c r="J668" i="20" a="1"/>
  <c r="J668" i="20" s="1"/>
  <c r="J669" i="20" a="1"/>
  <c r="J669" i="20" s="1"/>
  <c r="J670" i="20" a="1"/>
  <c r="J670" i="20" s="1"/>
  <c r="J671" i="20" a="1"/>
  <c r="J671" i="20"/>
  <c r="J672" i="20" a="1"/>
  <c r="J672" i="20" s="1"/>
  <c r="J673" i="20" a="1"/>
  <c r="J673" i="20" s="1"/>
  <c r="J674" i="20" a="1"/>
  <c r="J674" i="20"/>
  <c r="J675" i="20" a="1"/>
  <c r="J675" i="20" s="1"/>
  <c r="J676" i="20" a="1"/>
  <c r="J676" i="20" s="1"/>
  <c r="J677" i="20" a="1"/>
  <c r="J677" i="20" s="1"/>
  <c r="J678" i="20" a="1"/>
  <c r="J678" i="20" s="1"/>
  <c r="J679" i="20" a="1"/>
  <c r="J679" i="20" s="1"/>
  <c r="J680" i="20" a="1"/>
  <c r="J680" i="20" s="1"/>
  <c r="J681" i="20" a="1"/>
  <c r="J681" i="20" s="1"/>
  <c r="J682" i="20" a="1"/>
  <c r="J682" i="20"/>
  <c r="J683" i="20" a="1"/>
  <c r="J683" i="20" s="1"/>
  <c r="J684" i="20" a="1"/>
  <c r="J684" i="20" s="1"/>
  <c r="J685" i="20" a="1"/>
  <c r="J685" i="20" s="1"/>
  <c r="J686" i="20" a="1"/>
  <c r="J686" i="20" s="1"/>
  <c r="J687" i="20" a="1"/>
  <c r="J687" i="20"/>
  <c r="J688" i="20" a="1"/>
  <c r="J688" i="20"/>
  <c r="J689" i="20" a="1"/>
  <c r="J689" i="20" s="1"/>
  <c r="J690" i="20" a="1"/>
  <c r="J690" i="20" s="1"/>
  <c r="J691" i="20" a="1"/>
  <c r="J691" i="20" s="1"/>
  <c r="K9" i="20" a="1"/>
  <c r="K9" i="20" s="1"/>
  <c r="K11" i="20" a="1"/>
  <c r="K11" i="20" s="1"/>
  <c r="K13" i="20" a="1"/>
  <c r="K13" i="20" s="1"/>
  <c r="K14" i="20" a="1"/>
  <c r="K14" i="20" s="1"/>
  <c r="K16" i="20" a="1"/>
  <c r="K16" i="20" s="1"/>
  <c r="K17" i="20" a="1"/>
  <c r="K17" i="20" s="1"/>
  <c r="K19" i="20" a="1"/>
  <c r="K19" i="20" s="1"/>
  <c r="K20" i="20" a="1"/>
  <c r="K20" i="20" s="1"/>
  <c r="K21" i="20" a="1"/>
  <c r="K21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/>
  <c r="K33" i="20" a="1"/>
  <c r="K33" i="20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/>
  <c r="K270" i="20" a="1"/>
  <c r="K270" i="20" s="1"/>
  <c r="K271" i="20" a="1"/>
  <c r="K271" i="20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 s="1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/>
  <c r="K320" i="20" a="1"/>
  <c r="K320" i="20" s="1"/>
  <c r="K321" i="20" a="1"/>
  <c r="K321" i="20" s="1"/>
  <c r="K322" i="20" a="1"/>
  <c r="K322" i="20" s="1"/>
  <c r="K323" i="20" a="1"/>
  <c r="K323" i="20" s="1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/>
  <c r="K333" i="20" a="1"/>
  <c r="K333" i="20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 s="1"/>
  <c r="K340" i="20" a="1"/>
  <c r="K340" i="20" s="1"/>
  <c r="K341" i="20" a="1"/>
  <c r="K341" i="20" s="1"/>
  <c r="K342" i="20" a="1"/>
  <c r="K342" i="20" s="1"/>
  <c r="K343" i="20" a="1"/>
  <c r="K343" i="20"/>
  <c r="K344" i="20" a="1"/>
  <c r="K344" i="20" s="1"/>
  <c r="K345" i="20" a="1"/>
  <c r="K345" i="20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 s="1"/>
  <c r="K364" i="20" a="1"/>
  <c r="K364" i="20" s="1"/>
  <c r="K365" i="20" a="1"/>
  <c r="K365" i="20"/>
  <c r="K366" i="20" a="1"/>
  <c r="K366" i="20"/>
  <c r="K367" i="20" a="1"/>
  <c r="K367" i="20" s="1"/>
  <c r="K368" i="20" a="1"/>
  <c r="K368" i="20" s="1"/>
  <c r="K369" i="20" a="1"/>
  <c r="K369" i="20"/>
  <c r="K370" i="20" a="1"/>
  <c r="K370" i="20" s="1"/>
  <c r="K371" i="20" a="1"/>
  <c r="K371" i="20" s="1"/>
  <c r="K372" i="20" a="1"/>
  <c r="K372" i="20" s="1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 s="1"/>
  <c r="K378" i="20" a="1"/>
  <c r="K378" i="20"/>
  <c r="K379" i="20" a="1"/>
  <c r="K379" i="20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 s="1"/>
  <c r="K386" i="20" a="1"/>
  <c r="K386" i="20" s="1"/>
  <c r="K387" i="20" a="1"/>
  <c r="K387" i="20" s="1"/>
  <c r="K388" i="20" a="1"/>
  <c r="K388" i="20" s="1"/>
  <c r="K389" i="20" a="1"/>
  <c r="K389" i="20"/>
  <c r="K390" i="20" a="1"/>
  <c r="K390" i="20" s="1"/>
  <c r="K391" i="20" a="1"/>
  <c r="K391" i="20"/>
  <c r="K392" i="20" a="1"/>
  <c r="K392" i="20"/>
  <c r="K393" i="20" a="1"/>
  <c r="K393" i="20"/>
  <c r="K394" i="20" a="1"/>
  <c r="K394" i="20" s="1"/>
  <c r="K395" i="20" a="1"/>
  <c r="K395" i="20" s="1"/>
  <c r="K396" i="20" a="1"/>
  <c r="K396" i="20" s="1"/>
  <c r="K397" i="20" a="1"/>
  <c r="K397" i="20" s="1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 s="1"/>
  <c r="K403" i="20" a="1"/>
  <c r="K403" i="20" s="1"/>
  <c r="K404" i="20" a="1"/>
  <c r="K404" i="20" s="1"/>
  <c r="K405" i="20" a="1"/>
  <c r="K405" i="20"/>
  <c r="K406" i="20" a="1"/>
  <c r="K406" i="20" s="1"/>
  <c r="K407" i="20" a="1"/>
  <c r="K407" i="20" s="1"/>
  <c r="K408" i="20" a="1"/>
  <c r="K408" i="20" s="1"/>
  <c r="K409" i="20" a="1"/>
  <c r="K409" i="20" s="1"/>
  <c r="K410" i="20" a="1"/>
  <c r="K410" i="20" s="1"/>
  <c r="K411" i="20" a="1"/>
  <c r="K411" i="20" s="1"/>
  <c r="K412" i="20" a="1"/>
  <c r="K412" i="20" s="1"/>
  <c r="K413" i="20" a="1"/>
  <c r="K413" i="20" s="1"/>
  <c r="K414" i="20" a="1"/>
  <c r="K414" i="20" s="1"/>
  <c r="K415" i="20" a="1"/>
  <c r="K415" i="20"/>
  <c r="K416" i="20" a="1"/>
  <c r="K416" i="20" s="1"/>
  <c r="K417" i="20" a="1"/>
  <c r="K417" i="20"/>
  <c r="K418" i="20" a="1"/>
  <c r="K418" i="20" s="1"/>
  <c r="K419" i="20" a="1"/>
  <c r="K419" i="20" s="1"/>
  <c r="K420" i="20" a="1"/>
  <c r="K420" i="20" s="1"/>
  <c r="K421" i="20" a="1"/>
  <c r="K421" i="20" s="1"/>
  <c r="K422" i="20" a="1"/>
  <c r="K422" i="20" s="1"/>
  <c r="K423" i="20" a="1"/>
  <c r="K423" i="20" s="1"/>
  <c r="K424" i="20" a="1"/>
  <c r="K424" i="20" s="1"/>
  <c r="K425" i="20" a="1"/>
  <c r="K425" i="20"/>
  <c r="K426" i="20" a="1"/>
  <c r="K426" i="20"/>
  <c r="K427" i="20" a="1"/>
  <c r="K427" i="20" s="1"/>
  <c r="K428" i="20" a="1"/>
  <c r="K428" i="20"/>
  <c r="K429" i="20" a="1"/>
  <c r="K429" i="20" s="1"/>
  <c r="K430" i="20" a="1"/>
  <c r="K430" i="20" s="1"/>
  <c r="K431" i="20" a="1"/>
  <c r="K431" i="20" s="1"/>
  <c r="K432" i="20" a="1"/>
  <c r="K432" i="20" s="1"/>
  <c r="K433" i="20" a="1"/>
  <c r="K433" i="20" s="1"/>
  <c r="K434" i="20" a="1"/>
  <c r="K434" i="20" s="1"/>
  <c r="K435" i="20" a="1"/>
  <c r="K435" i="20" s="1"/>
  <c r="K436" i="20" a="1"/>
  <c r="K436" i="20" s="1"/>
  <c r="K437" i="20" a="1"/>
  <c r="K437" i="20"/>
  <c r="K438" i="20" a="1"/>
  <c r="K438" i="20" s="1"/>
  <c r="K439" i="20" a="1"/>
  <c r="K439" i="20" s="1"/>
  <c r="K440" i="20" a="1"/>
  <c r="K440" i="20" s="1"/>
  <c r="K441" i="20" a="1"/>
  <c r="K441" i="20" s="1"/>
  <c r="K442" i="20" a="1"/>
  <c r="K442" i="20" s="1"/>
  <c r="K443" i="20" a="1"/>
  <c r="K443" i="20" s="1"/>
  <c r="K444" i="20" a="1"/>
  <c r="K444" i="20" s="1"/>
  <c r="K445" i="20" a="1"/>
  <c r="K445" i="20" s="1"/>
  <c r="K446" i="20" a="1"/>
  <c r="K446" i="20" s="1"/>
  <c r="K447" i="20" a="1"/>
  <c r="K447" i="20" s="1"/>
  <c r="K448" i="20" a="1"/>
  <c r="K448" i="20" s="1"/>
  <c r="K449" i="20" a="1"/>
  <c r="K449" i="20" s="1"/>
  <c r="K450" i="20" a="1"/>
  <c r="K450" i="20"/>
  <c r="K451" i="20" a="1"/>
  <c r="K451" i="20" s="1"/>
  <c r="K452" i="20" a="1"/>
  <c r="K452" i="20" s="1"/>
  <c r="K453" i="20" a="1"/>
  <c r="K453" i="20" s="1"/>
  <c r="K454" i="20" a="1"/>
  <c r="K454" i="20" s="1"/>
  <c r="K455" i="20" a="1"/>
  <c r="K455" i="20" s="1"/>
  <c r="K456" i="20" a="1"/>
  <c r="K456" i="20" s="1"/>
  <c r="K457" i="20" a="1"/>
  <c r="K457" i="20" s="1"/>
  <c r="K458" i="20" a="1"/>
  <c r="K458" i="20" s="1"/>
  <c r="K459" i="20" a="1"/>
  <c r="K459" i="20" s="1"/>
  <c r="K460" i="20" a="1"/>
  <c r="K460" i="20" s="1"/>
  <c r="K461" i="20" a="1"/>
  <c r="K461" i="20" s="1"/>
  <c r="K462" i="20" a="1"/>
  <c r="K462" i="20" s="1"/>
  <c r="K463" i="20" a="1"/>
  <c r="K463" i="20" s="1"/>
  <c r="K464" i="20" a="1"/>
  <c r="K464" i="20" s="1"/>
  <c r="K465" i="20" a="1"/>
  <c r="K465" i="20" s="1"/>
  <c r="K466" i="20" a="1"/>
  <c r="K466" i="20" s="1"/>
  <c r="K467" i="20" a="1"/>
  <c r="K467" i="20"/>
  <c r="K468" i="20" a="1"/>
  <c r="K468" i="20" s="1"/>
  <c r="K469" i="20" a="1"/>
  <c r="K469" i="20" s="1"/>
  <c r="K470" i="20" a="1"/>
  <c r="K470" i="20" s="1"/>
  <c r="K471" i="20" a="1"/>
  <c r="K471" i="20" s="1"/>
  <c r="K472" i="20" a="1"/>
  <c r="K472" i="20" s="1"/>
  <c r="K473" i="20" a="1"/>
  <c r="K473" i="20" s="1"/>
  <c r="K474" i="20" a="1"/>
  <c r="K474" i="20" s="1"/>
  <c r="K475" i="20" a="1"/>
  <c r="K475" i="20" s="1"/>
  <c r="K476" i="20" a="1"/>
  <c r="K476" i="20" s="1"/>
  <c r="K477" i="20" a="1"/>
  <c r="K477" i="20" s="1"/>
  <c r="K478" i="20" a="1"/>
  <c r="K478" i="20" s="1"/>
  <c r="K479" i="20" a="1"/>
  <c r="K479" i="20" s="1"/>
  <c r="K480" i="20" a="1"/>
  <c r="K480" i="20" s="1"/>
  <c r="K481" i="20" a="1"/>
  <c r="K481" i="20" s="1"/>
  <c r="K482" i="20" a="1"/>
  <c r="K482" i="20" s="1"/>
  <c r="K483" i="20" a="1"/>
  <c r="K483" i="20" s="1"/>
  <c r="K484" i="20" a="1"/>
  <c r="K484" i="20" s="1"/>
  <c r="K485" i="20" a="1"/>
  <c r="K485" i="20" s="1"/>
  <c r="K486" i="20" a="1"/>
  <c r="K486" i="20" s="1"/>
  <c r="K487" i="20" a="1"/>
  <c r="K487" i="20" s="1"/>
  <c r="K488" i="20" a="1"/>
  <c r="K488" i="20" s="1"/>
  <c r="K489" i="20" a="1"/>
  <c r="K489" i="20" s="1"/>
  <c r="K490" i="20" a="1"/>
  <c r="K490" i="20" s="1"/>
  <c r="K491" i="20" a="1"/>
  <c r="K491" i="20" s="1"/>
  <c r="K492" i="20" a="1"/>
  <c r="K492" i="20" s="1"/>
  <c r="K493" i="20" a="1"/>
  <c r="K493" i="20" s="1"/>
  <c r="K494" i="20" a="1"/>
  <c r="K494" i="20" s="1"/>
  <c r="K495" i="20" a="1"/>
  <c r="K495" i="20" s="1"/>
  <c r="K496" i="20" a="1"/>
  <c r="K496" i="20"/>
  <c r="K497" i="20" a="1"/>
  <c r="K497" i="20" s="1"/>
  <c r="K498" i="20" a="1"/>
  <c r="K498" i="20" s="1"/>
  <c r="K499" i="20" a="1"/>
  <c r="K499" i="20" s="1"/>
  <c r="K500" i="20" a="1"/>
  <c r="K500" i="20" s="1"/>
  <c r="K501" i="20" a="1"/>
  <c r="K501" i="20"/>
  <c r="K502" i="20" a="1"/>
  <c r="K502" i="20" s="1"/>
  <c r="K503" i="20" a="1"/>
  <c r="K503" i="20" s="1"/>
  <c r="K504" i="20" a="1"/>
  <c r="K504" i="20" s="1"/>
  <c r="K505" i="20" a="1"/>
  <c r="K505" i="20" s="1"/>
  <c r="K506" i="20" a="1"/>
  <c r="K506" i="20" s="1"/>
  <c r="K507" i="20" a="1"/>
  <c r="K507" i="20" s="1"/>
  <c r="K508" i="20" a="1"/>
  <c r="K508" i="20" s="1"/>
  <c r="K509" i="20" a="1"/>
  <c r="K509" i="20" s="1"/>
  <c r="K510" i="20" a="1"/>
  <c r="K510" i="20" s="1"/>
  <c r="K511" i="20" a="1"/>
  <c r="K511" i="20" s="1"/>
  <c r="K512" i="20" a="1"/>
  <c r="K512" i="20" s="1"/>
  <c r="K513" i="20" a="1"/>
  <c r="K513" i="20"/>
  <c r="K514" i="20" a="1"/>
  <c r="K514" i="20"/>
  <c r="K515" i="20" a="1"/>
  <c r="K515" i="20" s="1"/>
  <c r="K516" i="20" a="1"/>
  <c r="K516" i="20" s="1"/>
  <c r="K517" i="20" a="1"/>
  <c r="K517" i="20" s="1"/>
  <c r="K518" i="20" a="1"/>
  <c r="K518" i="20" s="1"/>
  <c r="K519" i="20" a="1"/>
  <c r="K519" i="20" s="1"/>
  <c r="K520" i="20" a="1"/>
  <c r="K520" i="20" s="1"/>
  <c r="K521" i="20" a="1"/>
  <c r="K521" i="20" s="1"/>
  <c r="K522" i="20" a="1"/>
  <c r="K522" i="20" s="1"/>
  <c r="K523" i="20" a="1"/>
  <c r="K523" i="20" s="1"/>
  <c r="K524" i="20" a="1"/>
  <c r="K524" i="20" s="1"/>
  <c r="K525" i="20" a="1"/>
  <c r="K525" i="20" s="1"/>
  <c r="K526" i="20" a="1"/>
  <c r="K526" i="20" s="1"/>
  <c r="K527" i="20" a="1"/>
  <c r="K527" i="20"/>
  <c r="K528" i="20" a="1"/>
  <c r="K528" i="20" s="1"/>
  <c r="K529" i="20" a="1"/>
  <c r="K529" i="20" s="1"/>
  <c r="K530" i="20" a="1"/>
  <c r="K530" i="20" s="1"/>
  <c r="K531" i="20" a="1"/>
  <c r="K531" i="20" s="1"/>
  <c r="K532" i="20" a="1"/>
  <c r="K532" i="20" s="1"/>
  <c r="K533" i="20" a="1"/>
  <c r="K533" i="20" s="1"/>
  <c r="K534" i="20" a="1"/>
  <c r="K534" i="20" s="1"/>
  <c r="K535" i="20" a="1"/>
  <c r="K535" i="20" s="1"/>
  <c r="K536" i="20" a="1"/>
  <c r="K536" i="20" s="1"/>
  <c r="K537" i="20" a="1"/>
  <c r="K537" i="20" s="1"/>
  <c r="K538" i="20" a="1"/>
  <c r="K538" i="20" s="1"/>
  <c r="K539" i="20" a="1"/>
  <c r="K539" i="20" s="1"/>
  <c r="K540" i="20" a="1"/>
  <c r="K540" i="20" s="1"/>
  <c r="K541" i="20" a="1"/>
  <c r="K541" i="20" s="1"/>
  <c r="K542" i="20" a="1"/>
  <c r="K542" i="20"/>
  <c r="K543" i="20" a="1"/>
  <c r="K543" i="20" s="1"/>
  <c r="K544" i="20" a="1"/>
  <c r="K544" i="20" s="1"/>
  <c r="K545" i="20" a="1"/>
  <c r="K545" i="20" s="1"/>
  <c r="K546" i="20" a="1"/>
  <c r="K546" i="20" s="1"/>
  <c r="K547" i="20" a="1"/>
  <c r="K547" i="20" s="1"/>
  <c r="K548" i="20" a="1"/>
  <c r="K548" i="20" s="1"/>
  <c r="K549" i="20" a="1"/>
  <c r="K549" i="20" s="1"/>
  <c r="K550" i="20" a="1"/>
  <c r="K550" i="20" s="1"/>
  <c r="K551" i="20" a="1"/>
  <c r="K551" i="20" s="1"/>
  <c r="K552" i="20" a="1"/>
  <c r="K552" i="20" s="1"/>
  <c r="K553" i="20" a="1"/>
  <c r="K553" i="20" s="1"/>
  <c r="K554" i="20" a="1"/>
  <c r="K554" i="20" s="1"/>
  <c r="K555" i="20" a="1"/>
  <c r="K555" i="20" s="1"/>
  <c r="K556" i="20" a="1"/>
  <c r="K556" i="20" s="1"/>
  <c r="K557" i="20" a="1"/>
  <c r="K557" i="20" s="1"/>
  <c r="K558" i="20" a="1"/>
  <c r="K558" i="20" s="1"/>
  <c r="K559" i="20" a="1"/>
  <c r="K559" i="20" s="1"/>
  <c r="K560" i="20" a="1"/>
  <c r="K560" i="20" s="1"/>
  <c r="K561" i="20" a="1"/>
  <c r="K561" i="20" s="1"/>
  <c r="K562" i="20" a="1"/>
  <c r="K562" i="20" s="1"/>
  <c r="K563" i="20" a="1"/>
  <c r="K563" i="20" s="1"/>
  <c r="K564" i="20" a="1"/>
  <c r="K564" i="20" s="1"/>
  <c r="K565" i="20" a="1"/>
  <c r="K565" i="20" s="1"/>
  <c r="K566" i="20" a="1"/>
  <c r="K566" i="20" s="1"/>
  <c r="K567" i="20" a="1"/>
  <c r="K567" i="20" s="1"/>
  <c r="K568" i="20" a="1"/>
  <c r="K568" i="20"/>
  <c r="K569" i="20" a="1"/>
  <c r="K569" i="20" s="1"/>
  <c r="K570" i="20" a="1"/>
  <c r="K570" i="20" s="1"/>
  <c r="K571" i="20" a="1"/>
  <c r="K571" i="20" s="1"/>
  <c r="K572" i="20" a="1"/>
  <c r="K572" i="20" s="1"/>
  <c r="K573" i="20" a="1"/>
  <c r="K573" i="20"/>
  <c r="K574" i="20" a="1"/>
  <c r="K574" i="20" s="1"/>
  <c r="K575" i="20" a="1"/>
  <c r="K575" i="20" s="1"/>
  <c r="K576" i="20" a="1"/>
  <c r="K576" i="20" s="1"/>
  <c r="K577" i="20" a="1"/>
  <c r="K577" i="20" s="1"/>
  <c r="K578" i="20" a="1"/>
  <c r="K578" i="20" s="1"/>
  <c r="K579" i="20" a="1"/>
  <c r="K579" i="20" s="1"/>
  <c r="K580" i="20" a="1"/>
  <c r="K580" i="20" s="1"/>
  <c r="K581" i="20" a="1"/>
  <c r="K581" i="20" s="1"/>
  <c r="K582" i="20" a="1"/>
  <c r="K582" i="20" s="1"/>
  <c r="K583" i="20" a="1"/>
  <c r="K583" i="20" s="1"/>
  <c r="K584" i="20" a="1"/>
  <c r="K584" i="20" s="1"/>
  <c r="K585" i="20" a="1"/>
  <c r="K585" i="20" s="1"/>
  <c r="K586" i="20" a="1"/>
  <c r="K586" i="20" s="1"/>
  <c r="K587" i="20" a="1"/>
  <c r="K587" i="20" s="1"/>
  <c r="K588" i="20" a="1"/>
  <c r="K588" i="20" s="1"/>
  <c r="K589" i="20" a="1"/>
  <c r="K589" i="20" s="1"/>
  <c r="K590" i="20" a="1"/>
  <c r="K590" i="20" s="1"/>
  <c r="K591" i="20" a="1"/>
  <c r="K591" i="20" s="1"/>
  <c r="K592" i="20" a="1"/>
  <c r="K592" i="20" s="1"/>
  <c r="K593" i="20" a="1"/>
  <c r="K593" i="20" s="1"/>
  <c r="K594" i="20" a="1"/>
  <c r="K594" i="20"/>
  <c r="K595" i="20" a="1"/>
  <c r="K595" i="20" s="1"/>
  <c r="K596" i="20" a="1"/>
  <c r="K596" i="20" s="1"/>
  <c r="K597" i="20" a="1"/>
  <c r="K597" i="20" s="1"/>
  <c r="K598" i="20" a="1"/>
  <c r="K598" i="20" s="1"/>
  <c r="K599" i="20" a="1"/>
  <c r="K599" i="20"/>
  <c r="K600" i="20" a="1"/>
  <c r="K600" i="20" s="1"/>
  <c r="K601" i="20" a="1"/>
  <c r="K601" i="20" s="1"/>
  <c r="K602" i="20" a="1"/>
  <c r="K602" i="20" s="1"/>
  <c r="K603" i="20" a="1"/>
  <c r="K603" i="20" s="1"/>
  <c r="K604" i="20" a="1"/>
  <c r="K604" i="20" s="1"/>
  <c r="K605" i="20" a="1"/>
  <c r="K605" i="20" s="1"/>
  <c r="K606" i="20" a="1"/>
  <c r="K606" i="20" s="1"/>
  <c r="K607" i="20" a="1"/>
  <c r="K607" i="20" s="1"/>
  <c r="K608" i="20" a="1"/>
  <c r="K608" i="20" s="1"/>
  <c r="K609" i="20" a="1"/>
  <c r="K609" i="20" s="1"/>
  <c r="K610" i="20" a="1"/>
  <c r="K610" i="20" s="1"/>
  <c r="K611" i="20" a="1"/>
  <c r="K611" i="20" s="1"/>
  <c r="K612" i="20" a="1"/>
  <c r="K612" i="20" s="1"/>
  <c r="K613" i="20" a="1"/>
  <c r="K613" i="20" s="1"/>
  <c r="K614" i="20" a="1"/>
  <c r="K614" i="20" s="1"/>
  <c r="K615" i="20" a="1"/>
  <c r="K615" i="20" s="1"/>
  <c r="K616" i="20" a="1"/>
  <c r="K616" i="20" s="1"/>
  <c r="K617" i="20" a="1"/>
  <c r="K617" i="20" s="1"/>
  <c r="K618" i="20" a="1"/>
  <c r="K618" i="20" s="1"/>
  <c r="K619" i="20" a="1"/>
  <c r="K619" i="20" s="1"/>
  <c r="K620" i="20" a="1"/>
  <c r="K620" i="20" s="1"/>
  <c r="K621" i="20" a="1"/>
  <c r="K621" i="20" s="1"/>
  <c r="K622" i="20" a="1"/>
  <c r="K622" i="20" s="1"/>
  <c r="K623" i="20" a="1"/>
  <c r="K623" i="20" s="1"/>
  <c r="K624" i="20" a="1"/>
  <c r="K624" i="20" s="1"/>
  <c r="K625" i="20" a="1"/>
  <c r="K625" i="20" s="1"/>
  <c r="K626" i="20" a="1"/>
  <c r="K626" i="20" s="1"/>
  <c r="K627" i="20" a="1"/>
  <c r="K627" i="20"/>
  <c r="K628" i="20" a="1"/>
  <c r="K628" i="20" s="1"/>
  <c r="K629" i="20" a="1"/>
  <c r="K629" i="20" s="1"/>
  <c r="K630" i="20" a="1"/>
  <c r="K630" i="20" s="1"/>
  <c r="K631" i="20" a="1"/>
  <c r="K631" i="20" s="1"/>
  <c r="K632" i="20" a="1"/>
  <c r="K632" i="20" s="1"/>
  <c r="K633" i="20" a="1"/>
  <c r="K633" i="20" s="1"/>
  <c r="K634" i="20" a="1"/>
  <c r="K634" i="20" s="1"/>
  <c r="K635" i="20" a="1"/>
  <c r="K635" i="20" s="1"/>
  <c r="K636" i="20" a="1"/>
  <c r="K636" i="20" s="1"/>
  <c r="K637" i="20" a="1"/>
  <c r="K637" i="20" s="1"/>
  <c r="K638" i="20" a="1"/>
  <c r="K638" i="20" s="1"/>
  <c r="K639" i="20" a="1"/>
  <c r="K639" i="20" s="1"/>
  <c r="K640" i="20" a="1"/>
  <c r="K640" i="20" s="1"/>
  <c r="K641" i="20" a="1"/>
  <c r="K641" i="20" s="1"/>
  <c r="K642" i="20" a="1"/>
  <c r="K642" i="20" s="1"/>
  <c r="K643" i="20" a="1"/>
  <c r="K643" i="20" s="1"/>
  <c r="K644" i="20" a="1"/>
  <c r="K644" i="20" s="1"/>
  <c r="K645" i="20" a="1"/>
  <c r="K645" i="20" s="1"/>
  <c r="K646" i="20" a="1"/>
  <c r="K646" i="20" s="1"/>
  <c r="K647" i="20" a="1"/>
  <c r="K647" i="20" s="1"/>
  <c r="K648" i="20" a="1"/>
  <c r="K648" i="20" s="1"/>
  <c r="K649" i="20" a="1"/>
  <c r="K649" i="20" s="1"/>
  <c r="K650" i="20" a="1"/>
  <c r="K650" i="20" s="1"/>
  <c r="K651" i="20" a="1"/>
  <c r="K651" i="20" s="1"/>
  <c r="K652" i="20" a="1"/>
  <c r="K652" i="20" s="1"/>
  <c r="K653" i="20" a="1"/>
  <c r="K653" i="20" s="1"/>
  <c r="K654" i="20" a="1"/>
  <c r="K654" i="20" s="1"/>
  <c r="K655" i="20" a="1"/>
  <c r="K655" i="20" s="1"/>
  <c r="K656" i="20" a="1"/>
  <c r="K656" i="20"/>
  <c r="K657" i="20" a="1"/>
  <c r="K657" i="20" s="1"/>
  <c r="K658" i="20" a="1"/>
  <c r="K658" i="20" s="1"/>
  <c r="K659" i="20" a="1"/>
  <c r="K659" i="20" s="1"/>
  <c r="K660" i="20" a="1"/>
  <c r="K660" i="20" s="1"/>
  <c r="K661" i="20" a="1"/>
  <c r="K661" i="20" s="1"/>
  <c r="K662" i="20" a="1"/>
  <c r="K662" i="20" s="1"/>
  <c r="K663" i="20" a="1"/>
  <c r="K663" i="20" s="1"/>
  <c r="K664" i="20" a="1"/>
  <c r="K664" i="20" s="1"/>
  <c r="K665" i="20" a="1"/>
  <c r="K665" i="20" s="1"/>
  <c r="K666" i="20" a="1"/>
  <c r="K666" i="20"/>
  <c r="K667" i="20" a="1"/>
  <c r="K667" i="20" s="1"/>
  <c r="K668" i="20" a="1"/>
  <c r="K668" i="20" s="1"/>
  <c r="K669" i="20" a="1"/>
  <c r="K669" i="20"/>
  <c r="K670" i="20" a="1"/>
  <c r="K670" i="20" s="1"/>
  <c r="K671" i="20" a="1"/>
  <c r="K671" i="20" s="1"/>
  <c r="K672" i="20" a="1"/>
  <c r="K672" i="20" s="1"/>
  <c r="K673" i="20" a="1"/>
  <c r="K673" i="20" s="1"/>
  <c r="K674" i="20" a="1"/>
  <c r="K674" i="20" s="1"/>
  <c r="K675" i="20" a="1"/>
  <c r="K675" i="20" s="1"/>
  <c r="K676" i="20" a="1"/>
  <c r="K676" i="20" s="1"/>
  <c r="K677" i="20" a="1"/>
  <c r="K677" i="20" s="1"/>
  <c r="K678" i="20" a="1"/>
  <c r="K678" i="20" s="1"/>
  <c r="K679" i="20" a="1"/>
  <c r="K679" i="20" s="1"/>
  <c r="K680" i="20" a="1"/>
  <c r="K680" i="20" s="1"/>
  <c r="K681" i="20" a="1"/>
  <c r="K681" i="20" s="1"/>
  <c r="K682" i="20" a="1"/>
  <c r="K682" i="20" s="1"/>
  <c r="K683" i="20" a="1"/>
  <c r="K683" i="20" s="1"/>
  <c r="K684" i="20" a="1"/>
  <c r="K684" i="20" s="1"/>
  <c r="K685" i="20" a="1"/>
  <c r="K685" i="20" s="1"/>
  <c r="K686" i="20" a="1"/>
  <c r="K686" i="20"/>
  <c r="K687" i="20" a="1"/>
  <c r="K687" i="20" s="1"/>
  <c r="K688" i="20" a="1"/>
  <c r="K688" i="20" s="1"/>
  <c r="K689" i="20" a="1"/>
  <c r="K689" i="20" s="1"/>
  <c r="K690" i="20" a="1"/>
  <c r="K690" i="20" s="1"/>
  <c r="K691" i="20" a="1"/>
  <c r="K691" i="20" s="1"/>
  <c r="L2" i="20" a="1"/>
  <c r="L2" i="20" s="1"/>
  <c r="L3" i="20" a="1"/>
  <c r="L3" i="20" s="1"/>
  <c r="L4" i="20" a="1"/>
  <c r="L4" i="20" s="1"/>
  <c r="L5" i="20" a="1"/>
  <c r="L5" i="20"/>
  <c r="L6" i="20" a="1"/>
  <c r="L6" i="20" s="1"/>
  <c r="L7" i="20" a="1"/>
  <c r="L7" i="20" s="1"/>
  <c r="L8" i="20" a="1"/>
  <c r="L8" i="20" s="1"/>
  <c r="L9" i="20" a="1"/>
  <c r="L9" i="20"/>
  <c r="L10" i="20" a="1"/>
  <c r="L10" i="20" s="1"/>
  <c r="L11" i="20" a="1"/>
  <c r="L11" i="20" s="1"/>
  <c r="L12" i="20" a="1"/>
  <c r="L12" i="20" s="1"/>
  <c r="L13" i="20" a="1"/>
  <c r="L13" i="20" s="1"/>
  <c r="L14" i="20" a="1"/>
  <c r="L14" i="20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/>
  <c r="L39" i="20" a="1"/>
  <c r="L39" i="20" s="1"/>
  <c r="L40" i="20" a="1"/>
  <c r="L40" i="20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/>
  <c r="L91" i="20" a="1"/>
  <c r="L91" i="20" s="1"/>
  <c r="L92" i="20" a="1"/>
  <c r="L92" i="20" s="1"/>
  <c r="L93" i="20" a="1"/>
  <c r="L93" i="20" s="1"/>
  <c r="L94" i="20" a="1"/>
  <c r="L94" i="20"/>
  <c r="L95" i="20" a="1"/>
  <c r="L95" i="20" s="1"/>
  <c r="L96" i="20" a="1"/>
  <c r="L96" i="20" s="1"/>
  <c r="L97" i="20" a="1"/>
  <c r="L97" i="20" s="1"/>
  <c r="L98" i="20" a="1"/>
  <c r="L98" i="20" s="1"/>
  <c r="L99" i="20" a="1"/>
  <c r="L99" i="20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/>
  <c r="L112" i="20" a="1"/>
  <c r="L112" i="20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/>
  <c r="L138" i="20" a="1"/>
  <c r="L138" i="20" s="1"/>
  <c r="L139" i="20" a="1"/>
  <c r="L139" i="20" s="1"/>
  <c r="L140" i="20" a="1"/>
  <c r="L140" i="20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/>
  <c r="L150" i="20" a="1"/>
  <c r="L150" i="20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/>
  <c r="L159" i="20" a="1"/>
  <c r="L159" i="20" s="1"/>
  <c r="L160" i="20" a="1"/>
  <c r="L160" i="20" s="1"/>
  <c r="L161" i="20" a="1"/>
  <c r="L161" i="20" s="1"/>
  <c r="L162" i="20" a="1"/>
  <c r="L162" i="20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/>
  <c r="L180" i="20" a="1"/>
  <c r="L180" i="20" s="1"/>
  <c r="L181" i="20" a="1"/>
  <c r="L181" i="20" s="1"/>
  <c r="L182" i="20" a="1"/>
  <c r="L182" i="20"/>
  <c r="L183" i="20" a="1"/>
  <c r="L183" i="20"/>
  <c r="L184" i="20" a="1"/>
  <c r="L184" i="20" s="1"/>
  <c r="L185" i="20" a="1"/>
  <c r="L185" i="20" s="1"/>
  <c r="L186" i="20" a="1"/>
  <c r="L186" i="20" s="1"/>
  <c r="L187" i="20" a="1"/>
  <c r="L187" i="20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/>
  <c r="L224" i="20" a="1"/>
  <c r="L224" i="20"/>
  <c r="L225" i="20" a="1"/>
  <c r="L225" i="20"/>
  <c r="L226" i="20" a="1"/>
  <c r="L226" i="20" s="1"/>
  <c r="L227" i="20" a="1"/>
  <c r="L227" i="20" s="1"/>
  <c r="L228" i="20" a="1"/>
  <c r="L228" i="20" s="1"/>
  <c r="L229" i="20" a="1"/>
  <c r="L229" i="20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/>
  <c r="L239" i="20" a="1"/>
  <c r="L239" i="20" s="1"/>
  <c r="L240" i="20" a="1"/>
  <c r="L240" i="20" s="1"/>
  <c r="L241" i="20" a="1"/>
  <c r="L241" i="20" s="1"/>
  <c r="L242" i="20" a="1"/>
  <c r="L242" i="20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 s="1"/>
  <c r="L261" i="20" a="1"/>
  <c r="L261" i="20" s="1"/>
  <c r="L262" i="20" a="1"/>
  <c r="L262" i="20"/>
  <c r="L263" i="20" a="1"/>
  <c r="L263" i="20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/>
  <c r="L272" i="20" a="1"/>
  <c r="L272" i="20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 s="1"/>
  <c r="L283" i="20" a="1"/>
  <c r="L283" i="20"/>
  <c r="L284" i="20" a="1"/>
  <c r="L284" i="20" s="1"/>
  <c r="L285" i="20" a="1"/>
  <c r="L285" i="20" s="1"/>
  <c r="L286" i="20" a="1"/>
  <c r="L286" i="20" s="1"/>
  <c r="L287" i="20" a="1"/>
  <c r="L287" i="20" s="1"/>
  <c r="L288" i="20" a="1"/>
  <c r="L288" i="20" s="1"/>
  <c r="L289" i="20" a="1"/>
  <c r="L289" i="20" s="1"/>
  <c r="L290" i="20" a="1"/>
  <c r="L290" i="20" s="1"/>
  <c r="L291" i="20" a="1"/>
  <c r="L291" i="20" s="1"/>
  <c r="L292" i="20" a="1"/>
  <c r="L292" i="20" s="1"/>
  <c r="L293" i="20" a="1"/>
  <c r="L293" i="20" s="1"/>
  <c r="L294" i="20" a="1"/>
  <c r="L294" i="20" s="1"/>
  <c r="L295" i="20" a="1"/>
  <c r="L295" i="20" s="1"/>
  <c r="L296" i="20" a="1"/>
  <c r="L296" i="20"/>
  <c r="L297" i="20" a="1"/>
  <c r="L297" i="20" s="1"/>
  <c r="L298" i="20" a="1"/>
  <c r="L298" i="20" s="1"/>
  <c r="L299" i="20" a="1"/>
  <c r="L299" i="20" s="1"/>
  <c r="L300" i="20" a="1"/>
  <c r="L300" i="20" s="1"/>
  <c r="L301" i="20" a="1"/>
  <c r="L301" i="20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 s="1"/>
  <c r="L307" i="20" a="1"/>
  <c r="L307" i="20" s="1"/>
  <c r="L308" i="20" a="1"/>
  <c r="L308" i="20"/>
  <c r="L309" i="20" a="1"/>
  <c r="L309" i="20"/>
  <c r="L310" i="20" a="1"/>
  <c r="L310" i="20"/>
  <c r="L311" i="20" a="1"/>
  <c r="L311" i="20" s="1"/>
  <c r="L312" i="20" a="1"/>
  <c r="L312" i="20" s="1"/>
  <c r="L313" i="20" a="1"/>
  <c r="L313" i="20" s="1"/>
  <c r="L314" i="20" a="1"/>
  <c r="L314" i="20" s="1"/>
  <c r="L315" i="20" a="1"/>
  <c r="L315" i="20" s="1"/>
  <c r="L316" i="20" a="1"/>
  <c r="L316" i="20" s="1"/>
  <c r="L317" i="20" a="1"/>
  <c r="L317" i="20" s="1"/>
  <c r="L318" i="20" a="1"/>
  <c r="L318" i="20" s="1"/>
  <c r="L319" i="20" a="1"/>
  <c r="L319" i="20" s="1"/>
  <c r="L320" i="20" a="1"/>
  <c r="L320" i="20" s="1"/>
  <c r="L321" i="20" a="1"/>
  <c r="L321" i="20" s="1"/>
  <c r="L322" i="20" a="1"/>
  <c r="L322" i="20" s="1"/>
  <c r="L323" i="20" a="1"/>
  <c r="L323" i="20" s="1"/>
  <c r="L324" i="20" a="1"/>
  <c r="L324" i="20" s="1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 s="1"/>
  <c r="L334" i="20" a="1"/>
  <c r="L334" i="20" s="1"/>
  <c r="L335" i="20" a="1"/>
  <c r="L335" i="20" s="1"/>
  <c r="L336" i="20" a="1"/>
  <c r="L336" i="20" s="1"/>
  <c r="L337" i="20" a="1"/>
  <c r="L337" i="20" s="1"/>
  <c r="L338" i="20" a="1"/>
  <c r="L338" i="20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/>
  <c r="L348" i="20" a="1"/>
  <c r="L348" i="20" s="1"/>
  <c r="L349" i="20" a="1"/>
  <c r="L349" i="20" s="1"/>
  <c r="L350" i="20" a="1"/>
  <c r="L350" i="20" s="1"/>
  <c r="L351" i="20" a="1"/>
  <c r="L351" i="20"/>
  <c r="L352" i="20" a="1"/>
  <c r="L352" i="20" s="1"/>
  <c r="L353" i="20" a="1"/>
  <c r="L353" i="20" s="1"/>
  <c r="L354" i="20" a="1"/>
  <c r="L354" i="20" s="1"/>
  <c r="L355" i="20" a="1"/>
  <c r="L355" i="20"/>
  <c r="L356" i="20" a="1"/>
  <c r="L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 s="1"/>
  <c r="L365" i="20" a="1"/>
  <c r="L365" i="20"/>
  <c r="L366" i="20" a="1"/>
  <c r="L366" i="20" s="1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 s="1"/>
  <c r="L372" i="20" a="1"/>
  <c r="L372" i="20" s="1"/>
  <c r="L373" i="20" a="1"/>
  <c r="L373" i="20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 s="1"/>
  <c r="L379" i="20" a="1"/>
  <c r="L379" i="20" s="1"/>
  <c r="L380" i="20" a="1"/>
  <c r="L380" i="20" s="1"/>
  <c r="L381" i="20" a="1"/>
  <c r="L381" i="20" s="1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 s="1"/>
  <c r="L387" i="20" a="1"/>
  <c r="L387" i="20" s="1"/>
  <c r="L388" i="20" a="1"/>
  <c r="L388" i="20" s="1"/>
  <c r="L389" i="20" a="1"/>
  <c r="L389" i="20" s="1"/>
  <c r="L390" i="20" a="1"/>
  <c r="L390" i="20" s="1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 s="1"/>
  <c r="L396" i="20" a="1"/>
  <c r="L396" i="20" s="1"/>
  <c r="L397" i="20" a="1"/>
  <c r="L397" i="20" s="1"/>
  <c r="L398" i="20" a="1"/>
  <c r="L398" i="20" s="1"/>
  <c r="L399" i="20" a="1"/>
  <c r="L399" i="20"/>
  <c r="L400" i="20" a="1"/>
  <c r="L400" i="20" s="1"/>
  <c r="L401" i="20" a="1"/>
  <c r="L401" i="20" s="1"/>
  <c r="L402" i="20" a="1"/>
  <c r="L402" i="20" s="1"/>
  <c r="L403" i="20" a="1"/>
  <c r="L403" i="20" s="1"/>
  <c r="L404" i="20" a="1"/>
  <c r="L404" i="20" s="1"/>
  <c r="L405" i="20" a="1"/>
  <c r="L405" i="20" s="1"/>
  <c r="L406" i="20" a="1"/>
  <c r="L406" i="20" s="1"/>
  <c r="L407" i="20" a="1"/>
  <c r="L407" i="20" s="1"/>
  <c r="L408" i="20" a="1"/>
  <c r="L408" i="20" s="1"/>
  <c r="L409" i="20" a="1"/>
  <c r="L409" i="20" s="1"/>
  <c r="L410" i="20" a="1"/>
  <c r="L410" i="20" s="1"/>
  <c r="L411" i="20" a="1"/>
  <c r="L411" i="20" s="1"/>
  <c r="L412" i="20" a="1"/>
  <c r="L412" i="20" s="1"/>
  <c r="L413" i="20" a="1"/>
  <c r="L413" i="20" s="1"/>
  <c r="L414" i="20" a="1"/>
  <c r="L414" i="20" s="1"/>
  <c r="L415" i="20" a="1"/>
  <c r="L415" i="20" s="1"/>
  <c r="L416" i="20" a="1"/>
  <c r="L416" i="20"/>
  <c r="L417" i="20" a="1"/>
  <c r="L417" i="20" s="1"/>
  <c r="L418" i="20" a="1"/>
  <c r="L418" i="20" s="1"/>
  <c r="L419" i="20" a="1"/>
  <c r="L419" i="20"/>
  <c r="L420" i="20" a="1"/>
  <c r="L420" i="20" s="1"/>
  <c r="L421" i="20" a="1"/>
  <c r="L421" i="20" s="1"/>
  <c r="L422" i="20" a="1"/>
  <c r="L422" i="20" s="1"/>
  <c r="L423" i="20" a="1"/>
  <c r="L423" i="20" s="1"/>
  <c r="L424" i="20" a="1"/>
  <c r="L424" i="20" s="1"/>
  <c r="L425" i="20" a="1"/>
  <c r="L425" i="20" s="1"/>
  <c r="L426" i="20" a="1"/>
  <c r="L426" i="20" s="1"/>
  <c r="L427" i="20" a="1"/>
  <c r="L427" i="20"/>
  <c r="L428" i="20" a="1"/>
  <c r="L428" i="20" s="1"/>
  <c r="L429" i="20" a="1"/>
  <c r="L429" i="20"/>
  <c r="L430" i="20" a="1"/>
  <c r="L430" i="20" s="1"/>
  <c r="L431" i="20" a="1"/>
  <c r="L431" i="20" s="1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 s="1"/>
  <c r="L437" i="20" a="1"/>
  <c r="L437" i="20" s="1"/>
  <c r="L438" i="20" a="1"/>
  <c r="L438" i="20" s="1"/>
  <c r="L439" i="20" a="1"/>
  <c r="L439" i="20"/>
  <c r="L440" i="20" a="1"/>
  <c r="L440" i="20" s="1"/>
  <c r="L441" i="20" a="1"/>
  <c r="L441" i="20" s="1"/>
  <c r="L442" i="20" a="1"/>
  <c r="L442" i="20"/>
  <c r="L443" i="20" a="1"/>
  <c r="L443" i="20" s="1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 s="1"/>
  <c r="L449" i="20" a="1"/>
  <c r="L449" i="20" s="1"/>
  <c r="L450" i="20" a="1"/>
  <c r="L450" i="20" s="1"/>
  <c r="L451" i="20" a="1"/>
  <c r="L451" i="20" s="1"/>
  <c r="L452" i="20" a="1"/>
  <c r="L452" i="20" s="1"/>
  <c r="L453" i="20" a="1"/>
  <c r="L453" i="20" s="1"/>
  <c r="L454" i="20" a="1"/>
  <c r="L454" i="20" s="1"/>
  <c r="L455" i="20" a="1"/>
  <c r="L455" i="20" s="1"/>
  <c r="L456" i="20" a="1"/>
  <c r="L456" i="20" s="1"/>
  <c r="L457" i="20" a="1"/>
  <c r="L457" i="20" s="1"/>
  <c r="L458" i="20" a="1"/>
  <c r="L458" i="20" s="1"/>
  <c r="L459" i="20" a="1"/>
  <c r="L459" i="20" s="1"/>
  <c r="L460" i="20" a="1"/>
  <c r="L460" i="20" s="1"/>
  <c r="L461" i="20" a="1"/>
  <c r="L461" i="20" s="1"/>
  <c r="L462" i="20" a="1"/>
  <c r="L462" i="20" s="1"/>
  <c r="L463" i="20" a="1"/>
  <c r="L463" i="20" s="1"/>
  <c r="L464" i="20" a="1"/>
  <c r="L464" i="20" s="1"/>
  <c r="L465" i="20" a="1"/>
  <c r="L465" i="20"/>
  <c r="L466" i="20" a="1"/>
  <c r="L466" i="20"/>
  <c r="L467" i="20" a="1"/>
  <c r="L467" i="20" s="1"/>
  <c r="L468" i="20" a="1"/>
  <c r="L468" i="20" s="1"/>
  <c r="L469" i="20" a="1"/>
  <c r="L469" i="20" s="1"/>
  <c r="L470" i="20" a="1"/>
  <c r="L470" i="20" s="1"/>
  <c r="L471" i="20" a="1"/>
  <c r="L471" i="20" s="1"/>
  <c r="L472" i="20" a="1"/>
  <c r="L472" i="20" s="1"/>
  <c r="L473" i="20" a="1"/>
  <c r="L473" i="20" s="1"/>
  <c r="L474" i="20" a="1"/>
  <c r="L474" i="20" s="1"/>
  <c r="L475" i="20" a="1"/>
  <c r="L475" i="20"/>
  <c r="L476" i="20" a="1"/>
  <c r="L476" i="20" s="1"/>
  <c r="L477" i="20" a="1"/>
  <c r="L477" i="20" s="1"/>
  <c r="L478" i="20" a="1"/>
  <c r="L478" i="20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 s="1"/>
  <c r="L484" i="20" a="1"/>
  <c r="L484" i="20" s="1"/>
  <c r="L485" i="20" a="1"/>
  <c r="L485" i="20" s="1"/>
  <c r="L486" i="20" a="1"/>
  <c r="L486" i="20" s="1"/>
  <c r="L487" i="20" a="1"/>
  <c r="L487" i="20" s="1"/>
  <c r="L488" i="20" a="1"/>
  <c r="L488" i="20"/>
  <c r="L489" i="20" a="1"/>
  <c r="L489" i="20" s="1"/>
  <c r="L490" i="20" a="1"/>
  <c r="L490" i="20" s="1"/>
  <c r="L491" i="20" a="1"/>
  <c r="L491" i="20" s="1"/>
  <c r="L492" i="20" a="1"/>
  <c r="L492" i="20" s="1"/>
  <c r="L493" i="20" a="1"/>
  <c r="L493" i="20" s="1"/>
  <c r="L494" i="20" a="1"/>
  <c r="L494" i="20" s="1"/>
  <c r="L495" i="20" a="1"/>
  <c r="L495" i="20" s="1"/>
  <c r="L496" i="20" a="1"/>
  <c r="L496" i="20" s="1"/>
  <c r="L497" i="20" a="1"/>
  <c r="L497" i="20" s="1"/>
  <c r="L498" i="20" a="1"/>
  <c r="L498" i="20" s="1"/>
  <c r="L499" i="20" a="1"/>
  <c r="L499" i="20"/>
  <c r="L500" i="20" a="1"/>
  <c r="L500" i="20" s="1"/>
  <c r="L501" i="20" a="1"/>
  <c r="L501" i="20"/>
  <c r="L502" i="20" a="1"/>
  <c r="L502" i="20" s="1"/>
  <c r="L503" i="20" a="1"/>
  <c r="L503" i="20" s="1"/>
  <c r="L504" i="20" a="1"/>
  <c r="L504" i="20" s="1"/>
  <c r="L505" i="20" a="1"/>
  <c r="L505" i="20" s="1"/>
  <c r="L506" i="20" a="1"/>
  <c r="L506" i="20" s="1"/>
  <c r="L507" i="20" a="1"/>
  <c r="L507" i="20" s="1"/>
  <c r="L508" i="20" a="1"/>
  <c r="L508" i="20"/>
  <c r="L509" i="20" a="1"/>
  <c r="L509" i="20" s="1"/>
  <c r="L510" i="20" a="1"/>
  <c r="L510" i="20" s="1"/>
  <c r="L511" i="20" a="1"/>
  <c r="L511" i="20" s="1"/>
  <c r="L512" i="20" a="1"/>
  <c r="L512" i="20" s="1"/>
  <c r="L513" i="20" a="1"/>
  <c r="L513" i="20" s="1"/>
  <c r="L514" i="20" a="1"/>
  <c r="L514" i="20"/>
  <c r="L515" i="20" a="1"/>
  <c r="L515" i="20" s="1"/>
  <c r="L516" i="20" a="1"/>
  <c r="L516" i="20" s="1"/>
  <c r="L517" i="20" a="1"/>
  <c r="L517" i="20" s="1"/>
  <c r="L518" i="20" a="1"/>
  <c r="L518" i="20" s="1"/>
  <c r="L519" i="20" a="1"/>
  <c r="L519" i="20"/>
  <c r="L520" i="20" a="1"/>
  <c r="L520" i="20" s="1"/>
  <c r="L521" i="20" a="1"/>
  <c r="L521" i="20" s="1"/>
  <c r="L522" i="20" a="1"/>
  <c r="L522" i="20" s="1"/>
  <c r="L523" i="20" a="1"/>
  <c r="L523" i="20"/>
  <c r="L524" i="20" a="1"/>
  <c r="L524" i="20"/>
  <c r="L525" i="20" a="1"/>
  <c r="L525" i="20" s="1"/>
  <c r="L526" i="20" a="1"/>
  <c r="L526" i="20" s="1"/>
  <c r="L527" i="20" a="1"/>
  <c r="L527" i="20" s="1"/>
  <c r="L528" i="20" a="1"/>
  <c r="L528" i="20"/>
  <c r="L529" i="20" a="1"/>
  <c r="L529" i="20" s="1"/>
  <c r="L530" i="20" a="1"/>
  <c r="L530" i="20" s="1"/>
  <c r="L531" i="20" a="1"/>
  <c r="L531" i="20" s="1"/>
  <c r="L532" i="20" a="1"/>
  <c r="L532" i="20" s="1"/>
  <c r="L533" i="20" a="1"/>
  <c r="L533" i="20" s="1"/>
  <c r="L534" i="20" a="1"/>
  <c r="L534" i="20" s="1"/>
  <c r="L535" i="20" a="1"/>
  <c r="L535" i="20" s="1"/>
  <c r="L536" i="20" a="1"/>
  <c r="L536" i="20" s="1"/>
  <c r="L537" i="20" a="1"/>
  <c r="L537" i="20" s="1"/>
  <c r="L538" i="20" a="1"/>
  <c r="L538" i="20" s="1"/>
  <c r="L539" i="20" a="1"/>
  <c r="L539" i="20"/>
  <c r="L540" i="20" a="1"/>
  <c r="L540" i="20" s="1"/>
  <c r="L541" i="20" a="1"/>
  <c r="L541" i="20"/>
  <c r="L542" i="20" a="1"/>
  <c r="L542" i="20" s="1"/>
  <c r="L543" i="20" a="1"/>
  <c r="L543" i="20" s="1"/>
  <c r="L544" i="20" a="1"/>
  <c r="L544" i="20" s="1"/>
  <c r="L545" i="20" a="1"/>
  <c r="L545" i="20" s="1"/>
  <c r="L546" i="20" a="1"/>
  <c r="L546" i="20" s="1"/>
  <c r="L547" i="20" a="1"/>
  <c r="L547" i="20" s="1"/>
  <c r="L548" i="20" a="1"/>
  <c r="L548" i="20" s="1"/>
  <c r="L549" i="20" a="1"/>
  <c r="L549" i="20" s="1"/>
  <c r="L550" i="20" a="1"/>
  <c r="L550" i="20" s="1"/>
  <c r="L551" i="20" a="1"/>
  <c r="L551" i="20"/>
  <c r="L552" i="20" a="1"/>
  <c r="L552" i="20" s="1"/>
  <c r="L553" i="20" a="1"/>
  <c r="L553" i="20"/>
  <c r="L554" i="20" a="1"/>
  <c r="L554" i="20" s="1"/>
  <c r="L555" i="20" a="1"/>
  <c r="L555" i="20" s="1"/>
  <c r="L556" i="20" a="1"/>
  <c r="L556" i="20" s="1"/>
  <c r="L557" i="20" a="1"/>
  <c r="L557" i="20" s="1"/>
  <c r="L558" i="20" a="1"/>
  <c r="L558" i="20" s="1"/>
  <c r="L559" i="20" a="1"/>
  <c r="L559" i="20" s="1"/>
  <c r="L560" i="20" a="1"/>
  <c r="L560" i="20" s="1"/>
  <c r="L561" i="20" a="1"/>
  <c r="L561" i="20" s="1"/>
  <c r="L562" i="20" a="1"/>
  <c r="L562" i="20" s="1"/>
  <c r="L563" i="20" a="1"/>
  <c r="L563" i="20" s="1"/>
  <c r="L564" i="20" a="1"/>
  <c r="L564" i="20" s="1"/>
  <c r="L565" i="20" a="1"/>
  <c r="L565" i="20" s="1"/>
  <c r="L566" i="20" a="1"/>
  <c r="L566" i="20" s="1"/>
  <c r="L567" i="20" a="1"/>
  <c r="L567" i="20"/>
  <c r="L568" i="20" a="1"/>
  <c r="L568" i="20" s="1"/>
  <c r="L569" i="20" a="1"/>
  <c r="L569" i="20" s="1"/>
  <c r="L570" i="20" a="1"/>
  <c r="L570" i="20" s="1"/>
  <c r="L571" i="20" a="1"/>
  <c r="L571" i="20" s="1"/>
  <c r="L572" i="20" a="1"/>
  <c r="L572" i="20" s="1"/>
  <c r="L573" i="20" a="1"/>
  <c r="L573" i="20" s="1"/>
  <c r="L574" i="20" a="1"/>
  <c r="L574" i="20" s="1"/>
  <c r="L575" i="20" a="1"/>
  <c r="L575" i="20" s="1"/>
  <c r="L576" i="20" a="1"/>
  <c r="L576" i="20" s="1"/>
  <c r="L577" i="20" a="1"/>
  <c r="L577" i="20"/>
  <c r="L578" i="20" a="1"/>
  <c r="L578" i="20" s="1"/>
  <c r="L579" i="20" a="1"/>
  <c r="L579" i="20"/>
  <c r="L580" i="20" a="1"/>
  <c r="L580" i="20" s="1"/>
  <c r="L581" i="20" a="1"/>
  <c r="L581" i="20" s="1"/>
  <c r="L582" i="20" a="1"/>
  <c r="L582" i="20" s="1"/>
  <c r="L583" i="20" a="1"/>
  <c r="L583" i="20" s="1"/>
  <c r="L584" i="20" a="1"/>
  <c r="L584" i="20" s="1"/>
  <c r="L585" i="20" a="1"/>
  <c r="L585" i="20" s="1"/>
  <c r="L586" i="20" a="1"/>
  <c r="L586" i="20" s="1"/>
  <c r="L587" i="20" a="1"/>
  <c r="L587" i="20" s="1"/>
  <c r="L588" i="20" a="1"/>
  <c r="L588" i="20"/>
  <c r="L589" i="20" a="1"/>
  <c r="L589" i="20" s="1"/>
  <c r="L590" i="20" a="1"/>
  <c r="L590" i="20"/>
  <c r="L591" i="20" a="1"/>
  <c r="L591" i="20" s="1"/>
  <c r="L592" i="20" a="1"/>
  <c r="L592" i="20" s="1"/>
  <c r="L593" i="20" a="1"/>
  <c r="L593" i="20" s="1"/>
  <c r="L594" i="20" a="1"/>
  <c r="L594" i="20" s="1"/>
  <c r="L595" i="20" a="1"/>
  <c r="L595" i="20" s="1"/>
  <c r="L596" i="20" a="1"/>
  <c r="L596" i="20" s="1"/>
  <c r="L597" i="20" a="1"/>
  <c r="L597" i="20" s="1"/>
  <c r="L598" i="20" a="1"/>
  <c r="L598" i="20" s="1"/>
  <c r="L599" i="20" a="1"/>
  <c r="L599" i="20"/>
  <c r="L600" i="20" a="1"/>
  <c r="L600" i="20" s="1"/>
  <c r="L601" i="20" a="1"/>
  <c r="L601" i="20"/>
  <c r="L602" i="20" a="1"/>
  <c r="L602" i="20" s="1"/>
  <c r="L603" i="20" a="1"/>
  <c r="L603" i="20" s="1"/>
  <c r="L604" i="20" a="1"/>
  <c r="L604" i="20" s="1"/>
  <c r="L605" i="20" a="1"/>
  <c r="L605" i="20" s="1"/>
  <c r="L606" i="20" a="1"/>
  <c r="L606" i="20" s="1"/>
  <c r="L607" i="20" a="1"/>
  <c r="L607" i="20" s="1"/>
  <c r="L608" i="20" a="1"/>
  <c r="L608" i="20" s="1"/>
  <c r="L609" i="20" a="1"/>
  <c r="L609" i="20" s="1"/>
  <c r="L610" i="20" a="1"/>
  <c r="L610" i="20" s="1"/>
  <c r="L611" i="20" a="1"/>
  <c r="L611" i="20"/>
  <c r="L612" i="20" a="1"/>
  <c r="L612" i="20" s="1"/>
  <c r="L613" i="20" a="1"/>
  <c r="L613" i="20"/>
  <c r="L614" i="20" a="1"/>
  <c r="L614" i="20"/>
  <c r="L615" i="20" a="1"/>
  <c r="L615" i="20" s="1"/>
  <c r="L616" i="20" a="1"/>
  <c r="L616" i="20" s="1"/>
  <c r="L617" i="20" a="1"/>
  <c r="L617" i="20" s="1"/>
  <c r="L618" i="20" a="1"/>
  <c r="L618" i="20" s="1"/>
  <c r="L619" i="20" a="1"/>
  <c r="L619" i="20" s="1"/>
  <c r="L620" i="20" a="1"/>
  <c r="L620" i="20" s="1"/>
  <c r="L621" i="20" a="1"/>
  <c r="L621" i="20" s="1"/>
  <c r="L622" i="20" a="1"/>
  <c r="L622" i="20" s="1"/>
  <c r="L623" i="20" a="1"/>
  <c r="L623" i="20"/>
  <c r="L624" i="20" a="1"/>
  <c r="L624" i="20"/>
  <c r="L625" i="20" a="1"/>
  <c r="L625" i="20"/>
  <c r="L626" i="20" a="1"/>
  <c r="L626" i="20" s="1"/>
  <c r="L627" i="20" a="1"/>
  <c r="L627" i="20" s="1"/>
  <c r="L628" i="20" a="1"/>
  <c r="L628" i="20" s="1"/>
  <c r="L629" i="20" a="1"/>
  <c r="L629" i="20" s="1"/>
  <c r="L630" i="20" a="1"/>
  <c r="L630" i="20" s="1"/>
  <c r="L631" i="20" a="1"/>
  <c r="L631" i="20" s="1"/>
  <c r="L632" i="20" a="1"/>
  <c r="L632" i="20" s="1"/>
  <c r="L633" i="20" a="1"/>
  <c r="L633" i="20" s="1"/>
  <c r="L634" i="20" a="1"/>
  <c r="L634" i="20" s="1"/>
  <c r="L635" i="20" a="1"/>
  <c r="L635" i="20" s="1"/>
  <c r="L636" i="20" a="1"/>
  <c r="L636" i="20" s="1"/>
  <c r="L637" i="20" a="1"/>
  <c r="L637" i="20" s="1"/>
  <c r="L638" i="20" a="1"/>
  <c r="L638" i="20" s="1"/>
  <c r="L639" i="20" a="1"/>
  <c r="L639" i="20"/>
  <c r="L640" i="20" a="1"/>
  <c r="L640" i="20" s="1"/>
  <c r="L641" i="20" a="1"/>
  <c r="L641" i="20" s="1"/>
  <c r="L642" i="20" a="1"/>
  <c r="L642" i="20" s="1"/>
  <c r="L643" i="20" a="1"/>
  <c r="L643" i="20" s="1"/>
  <c r="L644" i="20" a="1"/>
  <c r="L644" i="20" s="1"/>
  <c r="L645" i="20" a="1"/>
  <c r="L645" i="20" s="1"/>
  <c r="L646" i="20" a="1"/>
  <c r="L646" i="20" s="1"/>
  <c r="L647" i="20" a="1"/>
  <c r="L647" i="20"/>
  <c r="L648" i="20" a="1"/>
  <c r="L648" i="20" s="1"/>
  <c r="L649" i="20" a="1"/>
  <c r="L649" i="20"/>
  <c r="L650" i="20" a="1"/>
  <c r="L650" i="20" s="1"/>
  <c r="L651" i="20" a="1"/>
  <c r="L651" i="20" s="1"/>
  <c r="L652" i="20" a="1"/>
  <c r="L652" i="20" s="1"/>
  <c r="L653" i="20" a="1"/>
  <c r="L653" i="20" s="1"/>
  <c r="L654" i="20" a="1"/>
  <c r="L654" i="20" s="1"/>
  <c r="L655" i="20" a="1"/>
  <c r="L655" i="20" s="1"/>
  <c r="L656" i="20" a="1"/>
  <c r="L656" i="20" s="1"/>
  <c r="L657" i="20" a="1"/>
  <c r="L657" i="20" s="1"/>
  <c r="L658" i="20" a="1"/>
  <c r="L658" i="20" s="1"/>
  <c r="L659" i="20" a="1"/>
  <c r="L659" i="20"/>
  <c r="L660" i="20" a="1"/>
  <c r="L660" i="20" s="1"/>
  <c r="L661" i="20" a="1"/>
  <c r="L661" i="20" s="1"/>
  <c r="L662" i="20" a="1"/>
  <c r="L662" i="20" s="1"/>
  <c r="N662" i="20" s="1"/>
  <c r="L663" i="20" a="1"/>
  <c r="L663" i="20" s="1"/>
  <c r="N663" i="20" s="1"/>
  <c r="L664" i="20" a="1"/>
  <c r="L664" i="20" s="1"/>
  <c r="L665" i="20" a="1"/>
  <c r="L665" i="20" s="1"/>
  <c r="L666" i="20" a="1"/>
  <c r="L666" i="20" s="1"/>
  <c r="L667" i="20" a="1"/>
  <c r="L667" i="20"/>
  <c r="L668" i="20" a="1"/>
  <c r="L668" i="20" s="1"/>
  <c r="L669" i="20" a="1"/>
  <c r="L669" i="20" s="1"/>
  <c r="L670" i="20" a="1"/>
  <c r="L670" i="20" s="1"/>
  <c r="L671" i="20" a="1"/>
  <c r="L671" i="20" s="1"/>
  <c r="L672" i="20" a="1"/>
  <c r="L672" i="20" s="1"/>
  <c r="L673" i="20" a="1"/>
  <c r="L673" i="20" s="1"/>
  <c r="N673" i="20" s="1"/>
  <c r="L674" i="20" a="1"/>
  <c r="L674" i="20" s="1"/>
  <c r="L675" i="20" a="1"/>
  <c r="L675" i="20"/>
  <c r="L676" i="20" a="1"/>
  <c r="L676" i="20" s="1"/>
  <c r="L677" i="20" a="1"/>
  <c r="L677" i="20" s="1"/>
  <c r="L678" i="20" a="1"/>
  <c r="L678" i="20" s="1"/>
  <c r="L679" i="20" a="1"/>
  <c r="L679" i="20" s="1"/>
  <c r="L680" i="20" a="1"/>
  <c r="L680" i="20" s="1"/>
  <c r="L681" i="20" a="1"/>
  <c r="L681" i="20" s="1"/>
  <c r="L682" i="20" a="1"/>
  <c r="L682" i="20" s="1"/>
  <c r="L683" i="20" a="1"/>
  <c r="L683" i="20" s="1"/>
  <c r="L684" i="20" a="1"/>
  <c r="L684" i="20" s="1"/>
  <c r="L685" i="20" a="1"/>
  <c r="L685" i="20"/>
  <c r="L686" i="20" a="1"/>
  <c r="L686" i="20"/>
  <c r="L687" i="20" a="1"/>
  <c r="L687" i="20" s="1"/>
  <c r="L688" i="20" a="1"/>
  <c r="L688" i="20" s="1"/>
  <c r="L689" i="20" a="1"/>
  <c r="L689" i="20" s="1"/>
  <c r="L690" i="20" a="1"/>
  <c r="L690" i="20" s="1"/>
  <c r="L691" i="20" a="1"/>
  <c r="L691" i="20" s="1"/>
  <c r="N691" i="20" s="1"/>
  <c r="M2" i="20" a="1"/>
  <c r="M2" i="20" s="1"/>
  <c r="M3" i="20" a="1"/>
  <c r="M3" i="20" s="1"/>
  <c r="N3" i="20" s="1"/>
  <c r="M4" i="20" a="1"/>
  <c r="M4" i="20" s="1"/>
  <c r="N4" i="20" s="1"/>
  <c r="M5" i="20" a="1"/>
  <c r="M5" i="20" s="1"/>
  <c r="M6" i="20" a="1"/>
  <c r="M6" i="20"/>
  <c r="M7" i="20" a="1"/>
  <c r="M7" i="20" s="1"/>
  <c r="N7" i="20" s="1"/>
  <c r="M8" i="20" a="1"/>
  <c r="M8" i="20" s="1"/>
  <c r="M9" i="20" a="1"/>
  <c r="M9" i="20"/>
  <c r="N9" i="20" s="1"/>
  <c r="M10" i="20" a="1"/>
  <c r="M10" i="20" s="1"/>
  <c r="N10" i="20" s="1"/>
  <c r="M11" i="20" a="1"/>
  <c r="M11" i="20" s="1"/>
  <c r="N11" i="20" s="1"/>
  <c r="M12" i="20" a="1"/>
  <c r="M12" i="20" s="1"/>
  <c r="M13" i="20" a="1"/>
  <c r="M13" i="20" s="1"/>
  <c r="M14" i="20" a="1"/>
  <c r="M14" i="20" s="1"/>
  <c r="N14" i="20" s="1"/>
  <c r="M15" i="20" a="1"/>
  <c r="M15" i="20" s="1"/>
  <c r="M16" i="20" a="1"/>
  <c r="M16" i="20" s="1"/>
  <c r="M17" i="20" a="1"/>
  <c r="M17" i="20" s="1"/>
  <c r="N17" i="20" s="1"/>
  <c r="M18" i="20" a="1"/>
  <c r="M18" i="20" s="1"/>
  <c r="M19" i="20" a="1"/>
  <c r="M19" i="20" s="1"/>
  <c r="N19" i="20" s="1"/>
  <c r="M20" i="20" a="1"/>
  <c r="M20" i="20"/>
  <c r="N20" i="20" s="1"/>
  <c r="M21" i="20" a="1"/>
  <c r="M21" i="20" s="1"/>
  <c r="N21" i="20" s="1"/>
  <c r="M22" i="20" a="1"/>
  <c r="M22" i="20" s="1"/>
  <c r="N22" i="20" s="1"/>
  <c r="M23" i="20" a="1"/>
  <c r="M23" i="20" s="1"/>
  <c r="N23" i="20" s="1"/>
  <c r="M24" i="20" a="1"/>
  <c r="M24" i="20" s="1"/>
  <c r="N24" i="20" s="1"/>
  <c r="M25" i="20" a="1"/>
  <c r="M25" i="20" s="1"/>
  <c r="N25" i="20" s="1"/>
  <c r="M26" i="20" a="1"/>
  <c r="M26" i="20"/>
  <c r="N26" i="20" s="1"/>
  <c r="M27" i="20" a="1"/>
  <c r="M27" i="20" s="1"/>
  <c r="M28" i="20" a="1"/>
  <c r="M28" i="20" s="1"/>
  <c r="N28" i="20" s="1"/>
  <c r="M29" i="20" a="1"/>
  <c r="M29" i="20" s="1"/>
  <c r="N29" i="20" s="1"/>
  <c r="M30" i="20" a="1"/>
  <c r="M30" i="20" s="1"/>
  <c r="N30" i="20" s="1"/>
  <c r="M31" i="20" a="1"/>
  <c r="M31" i="20" s="1"/>
  <c r="N31" i="20" s="1"/>
  <c r="M32" i="20" a="1"/>
  <c r="M32" i="20" s="1"/>
  <c r="M33" i="20" a="1"/>
  <c r="M33" i="20" s="1"/>
  <c r="M34" i="20" a="1"/>
  <c r="M34" i="20" s="1"/>
  <c r="M35" i="20" a="1"/>
  <c r="M35" i="20" s="1"/>
  <c r="N35" i="20" s="1"/>
  <c r="M36" i="20" a="1"/>
  <c r="M36" i="20" s="1"/>
  <c r="N36" i="20" s="1"/>
  <c r="M37" i="20" a="1"/>
  <c r="M37" i="20" s="1"/>
  <c r="N37" i="20" s="1"/>
  <c r="M38" i="20" a="1"/>
  <c r="M38" i="20"/>
  <c r="N38" i="20" s="1"/>
  <c r="M39" i="20" a="1"/>
  <c r="M39" i="20" s="1"/>
  <c r="N39" i="20" s="1"/>
  <c r="M40" i="20" a="1"/>
  <c r="M40" i="20" s="1"/>
  <c r="N40" i="20" s="1"/>
  <c r="M41" i="20" a="1"/>
  <c r="M41" i="20"/>
  <c r="N41" i="20" s="1"/>
  <c r="M42" i="20" a="1"/>
  <c r="M42" i="20"/>
  <c r="N42" i="20" s="1"/>
  <c r="M43" i="20" a="1"/>
  <c r="M43" i="20" s="1"/>
  <c r="N43" i="20" s="1"/>
  <c r="M44" i="20" a="1"/>
  <c r="M44" i="20" s="1"/>
  <c r="N44" i="20" s="1"/>
  <c r="M45" i="20" a="1"/>
  <c r="M45" i="20" s="1"/>
  <c r="M46" i="20" a="1"/>
  <c r="M46" i="20" s="1"/>
  <c r="N46" i="20" s="1"/>
  <c r="M47" i="20" a="1"/>
  <c r="M47" i="20" s="1"/>
  <c r="N47" i="20" s="1"/>
  <c r="M48" i="20" a="1"/>
  <c r="M48" i="20" s="1"/>
  <c r="M49" i="20" a="1"/>
  <c r="M49" i="20" s="1"/>
  <c r="N49" i="20" s="1"/>
  <c r="M50" i="20" a="1"/>
  <c r="M50" i="20" s="1"/>
  <c r="M51" i="20" a="1"/>
  <c r="M51" i="20" s="1"/>
  <c r="M52" i="20" a="1"/>
  <c r="M52" i="20" s="1"/>
  <c r="N52" i="20" s="1"/>
  <c r="M53" i="20" a="1"/>
  <c r="M53" i="20" s="1"/>
  <c r="N53" i="20" s="1"/>
  <c r="M54" i="20" a="1"/>
  <c r="M54" i="20" s="1"/>
  <c r="N54" i="20" s="1"/>
  <c r="M55" i="20" a="1"/>
  <c r="M55" i="20" s="1"/>
  <c r="N55" i="20" s="1"/>
  <c r="M56" i="20" a="1"/>
  <c r="M56" i="20"/>
  <c r="N56" i="20" s="1"/>
  <c r="M57" i="20" a="1"/>
  <c r="M57" i="20" s="1"/>
  <c r="N57" i="20" s="1"/>
  <c r="M58" i="20" a="1"/>
  <c r="M58" i="20" s="1"/>
  <c r="M59" i="20" a="1"/>
  <c r="M59" i="20"/>
  <c r="N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N64" i="20" s="1"/>
  <c r="M65" i="20" a="1"/>
  <c r="M65" i="20" s="1"/>
  <c r="N65" i="20" s="1"/>
  <c r="M66" i="20" a="1"/>
  <c r="M66" i="20" s="1"/>
  <c r="N66" i="20" s="1"/>
  <c r="M67" i="20" a="1"/>
  <c r="M67" i="20" s="1"/>
  <c r="M68" i="20" a="1"/>
  <c r="M68" i="20"/>
  <c r="N68" i="20" s="1"/>
  <c r="M69" i="20" a="1"/>
  <c r="M69" i="20"/>
  <c r="M70" i="20" a="1"/>
  <c r="M70" i="20" s="1"/>
  <c r="N70" i="20" s="1"/>
  <c r="M71" i="20" a="1"/>
  <c r="M71" i="20" s="1"/>
  <c r="N71" i="20" s="1"/>
  <c r="M72" i="20" a="1"/>
  <c r="M72" i="20" s="1"/>
  <c r="N72" i="20" s="1"/>
  <c r="M73" i="20" a="1"/>
  <c r="M73" i="20" s="1"/>
  <c r="M74" i="20" a="1"/>
  <c r="M74" i="20" s="1"/>
  <c r="M75" i="20" a="1"/>
  <c r="M75" i="20" s="1"/>
  <c r="N75" i="20" s="1"/>
  <c r="M76" i="20" a="1"/>
  <c r="M76" i="20" s="1"/>
  <c r="M77" i="20" a="1"/>
  <c r="M77" i="20"/>
  <c r="N77" i="20" s="1"/>
  <c r="M78" i="20" a="1"/>
  <c r="M78" i="20" s="1"/>
  <c r="N78" i="20" s="1"/>
  <c r="M79" i="20" a="1"/>
  <c r="M79" i="20" s="1"/>
  <c r="N79" i="20" s="1"/>
  <c r="M80" i="20" a="1"/>
  <c r="M80" i="20" s="1"/>
  <c r="M81" i="20" a="1"/>
  <c r="M81" i="20" s="1"/>
  <c r="N81" i="20" s="1"/>
  <c r="M82" i="20" a="1"/>
  <c r="M82" i="20" s="1"/>
  <c r="M83" i="20" a="1"/>
  <c r="M83" i="20" s="1"/>
  <c r="N83" i="20" s="1"/>
  <c r="M84" i="20" a="1"/>
  <c r="M84" i="20"/>
  <c r="M85" i="20" a="1"/>
  <c r="M85" i="20" s="1"/>
  <c r="N85" i="20" s="1"/>
  <c r="M86" i="20" a="1"/>
  <c r="M86" i="20" s="1"/>
  <c r="N86" i="20" s="1"/>
  <c r="M87" i="20" a="1"/>
  <c r="M87" i="20" s="1"/>
  <c r="N87" i="20" s="1"/>
  <c r="M88" i="20" a="1"/>
  <c r="M88" i="20" s="1"/>
  <c r="N88" i="20" s="1"/>
  <c r="M89" i="20" a="1"/>
  <c r="M89" i="20" s="1"/>
  <c r="M90" i="20" a="1"/>
  <c r="M90" i="20" s="1"/>
  <c r="N90" i="20" s="1"/>
  <c r="M91" i="20" a="1"/>
  <c r="M91" i="20" s="1"/>
  <c r="N91" i="20" s="1"/>
  <c r="M92" i="20" a="1"/>
  <c r="M92" i="20" s="1"/>
  <c r="M93" i="20" a="1"/>
  <c r="M93" i="20"/>
  <c r="M94" i="20" a="1"/>
  <c r="M94" i="20" s="1"/>
  <c r="N94" i="20" s="1"/>
  <c r="M95" i="20" a="1"/>
  <c r="M95" i="20" s="1"/>
  <c r="N95" i="20" s="1"/>
  <c r="M96" i="20" a="1"/>
  <c r="M96" i="20" s="1"/>
  <c r="N96" i="20" s="1"/>
  <c r="M97" i="20" a="1"/>
  <c r="M97" i="20" s="1"/>
  <c r="M98" i="20" a="1"/>
  <c r="M98" i="20" s="1"/>
  <c r="N98" i="20" s="1"/>
  <c r="M99" i="20" a="1"/>
  <c r="M99" i="20" s="1"/>
  <c r="M100" i="20" a="1"/>
  <c r="M100" i="20" s="1"/>
  <c r="M101" i="20" a="1"/>
  <c r="M101" i="20" s="1"/>
  <c r="N101" i="20" s="1"/>
  <c r="M102" i="20" a="1"/>
  <c r="M102" i="20" s="1"/>
  <c r="N102" i="20" s="1"/>
  <c r="M103" i="20" a="1"/>
  <c r="M103" i="20" s="1"/>
  <c r="N103" i="20" s="1"/>
  <c r="M104" i="20" a="1"/>
  <c r="M104" i="20" s="1"/>
  <c r="N104" i="20" s="1"/>
  <c r="M105" i="20" a="1"/>
  <c r="M105" i="20" s="1"/>
  <c r="N105" i="20" s="1"/>
  <c r="M106" i="20" a="1"/>
  <c r="M106" i="20" s="1"/>
  <c r="N106" i="20" s="1"/>
  <c r="M107" i="20" a="1"/>
  <c r="M107" i="20"/>
  <c r="N107" i="20" s="1"/>
  <c r="M108" i="20" a="1"/>
  <c r="M108" i="20" s="1"/>
  <c r="N108" i="20" s="1"/>
  <c r="M109" i="20" a="1"/>
  <c r="M109" i="20" s="1"/>
  <c r="M110" i="20" a="1"/>
  <c r="M110" i="20" s="1"/>
  <c r="N110" i="20" s="1"/>
  <c r="M111" i="20" a="1"/>
  <c r="M111" i="20"/>
  <c r="M112" i="20" a="1"/>
  <c r="M112" i="20" s="1"/>
  <c r="N112" i="20" s="1"/>
  <c r="M113" i="20" a="1"/>
  <c r="M113" i="20"/>
  <c r="M114" i="20" a="1"/>
  <c r="M114" i="20" s="1"/>
  <c r="N114" i="20" s="1"/>
  <c r="M115" i="20" a="1"/>
  <c r="M115" i="20" s="1"/>
  <c r="N115" i="20" s="1"/>
  <c r="M116" i="20" a="1"/>
  <c r="M116" i="20" s="1"/>
  <c r="N116" i="20" s="1"/>
  <c r="M117" i="20" a="1"/>
  <c r="M117" i="20" s="1"/>
  <c r="N117" i="20" s="1"/>
  <c r="M118" i="20" a="1"/>
  <c r="M118" i="20" s="1"/>
  <c r="M119" i="20" a="1"/>
  <c r="M119" i="20" s="1"/>
  <c r="N119" i="20" s="1"/>
  <c r="M120" i="20" a="1"/>
  <c r="M120" i="20" s="1"/>
  <c r="M121" i="20" a="1"/>
  <c r="M121" i="20" s="1"/>
  <c r="N121" i="20" s="1"/>
  <c r="M122" i="20" a="1"/>
  <c r="M122" i="20"/>
  <c r="N122" i="20" s="1"/>
  <c r="M123" i="20" a="1"/>
  <c r="M123" i="20" s="1"/>
  <c r="N123" i="20" s="1"/>
  <c r="M124" i="20" a="1"/>
  <c r="M124" i="20" s="1"/>
  <c r="M125" i="20" a="1"/>
  <c r="M125" i="20"/>
  <c r="M126" i="20" a="1"/>
  <c r="M126" i="20" s="1"/>
  <c r="N126" i="20" s="1"/>
  <c r="M127" i="20" a="1"/>
  <c r="M127" i="20" s="1"/>
  <c r="N127" i="20" s="1"/>
  <c r="M128" i="20" a="1"/>
  <c r="M128" i="20" s="1"/>
  <c r="N128" i="20" s="1"/>
  <c r="M129" i="20" a="1"/>
  <c r="M129" i="20" s="1"/>
  <c r="N129" i="20" s="1"/>
  <c r="M130" i="20" a="1"/>
  <c r="M130" i="20" s="1"/>
  <c r="N130" i="20" s="1"/>
  <c r="M131" i="20" a="1"/>
  <c r="M131" i="20" s="1"/>
  <c r="N131" i="20" s="1"/>
  <c r="M132" i="20" a="1"/>
  <c r="M132" i="20" s="1"/>
  <c r="N132" i="20" s="1"/>
  <c r="M133" i="20" a="1"/>
  <c r="M133" i="20"/>
  <c r="N133" i="20" s="1"/>
  <c r="M134" i="20" a="1"/>
  <c r="M134" i="20" s="1"/>
  <c r="N134" i="20" s="1"/>
  <c r="M135" i="20" a="1"/>
  <c r="M135" i="20" s="1"/>
  <c r="N135" i="20" s="1"/>
  <c r="M136" i="20" a="1"/>
  <c r="M136" i="20" s="1"/>
  <c r="M137" i="20" a="1"/>
  <c r="M137" i="20" s="1"/>
  <c r="N137" i="20" s="1"/>
  <c r="M138" i="20" a="1"/>
  <c r="M138" i="20" s="1"/>
  <c r="N138" i="20" s="1"/>
  <c r="M139" i="20" a="1"/>
  <c r="M139" i="20"/>
  <c r="M140" i="20" a="1"/>
  <c r="M140" i="20"/>
  <c r="N140" i="20" s="1"/>
  <c r="M141" i="20" a="1"/>
  <c r="M141" i="20" s="1"/>
  <c r="N141" i="20" s="1"/>
  <c r="M142" i="20" a="1"/>
  <c r="M142" i="20" s="1"/>
  <c r="N142" i="20" s="1"/>
  <c r="M143" i="20" a="1"/>
  <c r="M143" i="20" s="1"/>
  <c r="N143" i="20" s="1"/>
  <c r="M144" i="20" a="1"/>
  <c r="M144" i="20" s="1"/>
  <c r="N144" i="20" s="1"/>
  <c r="M145" i="20" a="1"/>
  <c r="M145" i="20" s="1"/>
  <c r="M146" i="20" a="1"/>
  <c r="M146" i="20" s="1"/>
  <c r="M147" i="20" a="1"/>
  <c r="M147" i="20" s="1"/>
  <c r="N147" i="20" s="1"/>
  <c r="M148" i="20" a="1"/>
  <c r="M148" i="20" s="1"/>
  <c r="M149" i="20" a="1"/>
  <c r="M149" i="20" s="1"/>
  <c r="N149" i="20" s="1"/>
  <c r="M150" i="20" a="1"/>
  <c r="M150" i="20" s="1"/>
  <c r="N150" i="20" s="1"/>
  <c r="M151" i="20" a="1"/>
  <c r="M151" i="20" s="1"/>
  <c r="M152" i="20" a="1"/>
  <c r="M152" i="20" s="1"/>
  <c r="N152" i="20" s="1"/>
  <c r="M153" i="20" a="1"/>
  <c r="M153" i="20" s="1"/>
  <c r="N153" i="20" s="1"/>
  <c r="M154" i="20" a="1"/>
  <c r="M154" i="20" s="1"/>
  <c r="M155" i="20" a="1"/>
  <c r="M155" i="20"/>
  <c r="N155" i="20" s="1"/>
  <c r="M156" i="20" a="1"/>
  <c r="M156" i="20" s="1"/>
  <c r="N156" i="20" s="1"/>
  <c r="M157" i="20" a="1"/>
  <c r="M157" i="20" s="1"/>
  <c r="N157" i="20" s="1"/>
  <c r="M158" i="20" a="1"/>
  <c r="M158" i="20" s="1"/>
  <c r="M159" i="20" a="1"/>
  <c r="M159" i="20"/>
  <c r="N159" i="20" s="1"/>
  <c r="M160" i="20" a="1"/>
  <c r="M160" i="20" s="1"/>
  <c r="N160" i="20" s="1"/>
  <c r="M161" i="20" a="1"/>
  <c r="M161" i="20" s="1"/>
  <c r="N161" i="20" s="1"/>
  <c r="M162" i="20" a="1"/>
  <c r="M162" i="20" s="1"/>
  <c r="N162" i="20" s="1"/>
  <c r="M163" i="20" a="1"/>
  <c r="M163" i="20" s="1"/>
  <c r="N163" i="20" s="1"/>
  <c r="M164" i="20" a="1"/>
  <c r="M164" i="20" s="1"/>
  <c r="N164" i="20" s="1"/>
  <c r="M165" i="20" a="1"/>
  <c r="M165" i="20"/>
  <c r="M166" i="20" a="1"/>
  <c r="M166" i="20" s="1"/>
  <c r="N166" i="20" s="1"/>
  <c r="M167" i="20" a="1"/>
  <c r="M167" i="20" s="1"/>
  <c r="N167" i="20" s="1"/>
  <c r="M168" i="20" a="1"/>
  <c r="M168" i="20" s="1"/>
  <c r="N168" i="20" s="1"/>
  <c r="M169" i="20" a="1"/>
  <c r="M169" i="20" s="1"/>
  <c r="N169" i="20" s="1"/>
  <c r="M170" i="20" a="1"/>
  <c r="M170" i="20" s="1"/>
  <c r="N170" i="20" s="1"/>
  <c r="M171" i="20" a="1"/>
  <c r="M171" i="20" s="1"/>
  <c r="N171" i="20" s="1"/>
  <c r="M172" i="20" a="1"/>
  <c r="M172" i="20" s="1"/>
  <c r="M173" i="20" a="1"/>
  <c r="M173" i="20"/>
  <c r="N173" i="20" s="1"/>
  <c r="M174" i="20" a="1"/>
  <c r="M174" i="20" s="1"/>
  <c r="M175" i="20" a="1"/>
  <c r="M175" i="20" s="1"/>
  <c r="N175" i="20" s="1"/>
  <c r="M176" i="20" a="1"/>
  <c r="M176" i="20" s="1"/>
  <c r="M177" i="20" a="1"/>
  <c r="M177" i="20" s="1"/>
  <c r="N177" i="20" s="1"/>
  <c r="M178" i="20" a="1"/>
  <c r="M178" i="20" s="1"/>
  <c r="M179" i="20" a="1"/>
  <c r="M179" i="20" s="1"/>
  <c r="N179" i="20" s="1"/>
  <c r="M180" i="20" a="1"/>
  <c r="M180" i="20" s="1"/>
  <c r="N180" i="20" s="1"/>
  <c r="M181" i="20" a="1"/>
  <c r="M181" i="20" s="1"/>
  <c r="N181" i="20" s="1"/>
  <c r="M182" i="20" a="1"/>
  <c r="M182" i="20" s="1"/>
  <c r="N182" i="20" s="1"/>
  <c r="M183" i="20" a="1"/>
  <c r="M183" i="20" s="1"/>
  <c r="N183" i="20" s="1"/>
  <c r="M184" i="20" a="1"/>
  <c r="M184" i="20" s="1"/>
  <c r="N184" i="20" s="1"/>
  <c r="M185" i="20" a="1"/>
  <c r="M185" i="20"/>
  <c r="N185" i="20" s="1"/>
  <c r="M186" i="20" a="1"/>
  <c r="M186" i="20"/>
  <c r="N186" i="20" s="1"/>
  <c r="M187" i="20" a="1"/>
  <c r="M187" i="20" s="1"/>
  <c r="N187" i="20" s="1"/>
  <c r="M188" i="20" a="1"/>
  <c r="M188" i="20" s="1"/>
  <c r="N188" i="20" s="1"/>
  <c r="M189" i="20" a="1"/>
  <c r="M189" i="20"/>
  <c r="N189" i="20" s="1"/>
  <c r="M190" i="20" a="1"/>
  <c r="M190" i="20" s="1"/>
  <c r="N190" i="20" s="1"/>
  <c r="M191" i="20" a="1"/>
  <c r="M191" i="20" s="1"/>
  <c r="N191" i="20" s="1"/>
  <c r="M192" i="20" a="1"/>
  <c r="M192" i="20" s="1"/>
  <c r="M193" i="20" a="1"/>
  <c r="M193" i="20"/>
  <c r="N193" i="20" s="1"/>
  <c r="M194" i="20" a="1"/>
  <c r="M194" i="20" s="1"/>
  <c r="N194" i="20" s="1"/>
  <c r="M195" i="20" a="1"/>
  <c r="M195" i="20" s="1"/>
  <c r="N195" i="20" s="1"/>
  <c r="M196" i="20" a="1"/>
  <c r="M196" i="20" s="1"/>
  <c r="N196" i="20" s="1"/>
  <c r="M197" i="20" a="1"/>
  <c r="M197" i="20" s="1"/>
  <c r="M198" i="20" a="1"/>
  <c r="M198" i="20"/>
  <c r="M199" i="20" a="1"/>
  <c r="M199" i="20" s="1"/>
  <c r="M200" i="20" a="1"/>
  <c r="M200" i="20" s="1"/>
  <c r="M201" i="20" a="1"/>
  <c r="M201" i="20" s="1"/>
  <c r="N201" i="20" s="1"/>
  <c r="M202" i="20" a="1"/>
  <c r="M202" i="20" s="1"/>
  <c r="N202" i="20" s="1"/>
  <c r="M203" i="20" a="1"/>
  <c r="M203" i="20"/>
  <c r="N203" i="20" s="1"/>
  <c r="M204" i="20" a="1"/>
  <c r="M204" i="20" s="1"/>
  <c r="N204" i="20" s="1"/>
  <c r="M205" i="20" a="1"/>
  <c r="M205" i="20" s="1"/>
  <c r="M206" i="20" a="1"/>
  <c r="M206" i="20" s="1"/>
  <c r="M207" i="20" a="1"/>
  <c r="M207" i="20" s="1"/>
  <c r="M208" i="20" a="1"/>
  <c r="M208" i="20" s="1"/>
  <c r="N208" i="20" s="1"/>
  <c r="M209" i="20" a="1"/>
  <c r="M209" i="20" s="1"/>
  <c r="N209" i="20" s="1"/>
  <c r="M210" i="20" a="1"/>
  <c r="M210" i="20" s="1"/>
  <c r="N210" i="20" s="1"/>
  <c r="M211" i="20" a="1"/>
  <c r="M211" i="20"/>
  <c r="N211" i="20" s="1"/>
  <c r="M212" i="20" a="1"/>
  <c r="M212" i="20" s="1"/>
  <c r="N212" i="20" s="1"/>
  <c r="M213" i="20" a="1"/>
  <c r="M213" i="20"/>
  <c r="N213" i="20" s="1"/>
  <c r="M214" i="20" a="1"/>
  <c r="M214" i="20" s="1"/>
  <c r="M215" i="20" a="1"/>
  <c r="M215" i="20" s="1"/>
  <c r="N215" i="20" s="1"/>
  <c r="M216" i="20" a="1"/>
  <c r="M216" i="20" s="1"/>
  <c r="N216" i="20" s="1"/>
  <c r="M217" i="20" a="1"/>
  <c r="M217" i="20" s="1"/>
  <c r="N217" i="20" s="1"/>
  <c r="M218" i="20" a="1"/>
  <c r="M218" i="20"/>
  <c r="M219" i="20" a="1"/>
  <c r="M219" i="20" s="1"/>
  <c r="M220" i="20" a="1"/>
  <c r="M220" i="20" s="1"/>
  <c r="M221" i="20" a="1"/>
  <c r="M221" i="20" s="1"/>
  <c r="N221" i="20" s="1"/>
  <c r="M222" i="20" a="1"/>
  <c r="M222" i="20" s="1"/>
  <c r="N222" i="20" s="1"/>
  <c r="M223" i="20" a="1"/>
  <c r="M223" i="20"/>
  <c r="N223" i="20" s="1"/>
  <c r="M224" i="20" a="1"/>
  <c r="M224" i="20" s="1"/>
  <c r="M225" i="20" a="1"/>
  <c r="M225" i="20" s="1"/>
  <c r="N225" i="20" s="1"/>
  <c r="M226" i="20" a="1"/>
  <c r="M226" i="20" s="1"/>
  <c r="N226" i="20" s="1"/>
  <c r="M227" i="20" a="1"/>
  <c r="M227" i="20" s="1"/>
  <c r="N227" i="20" s="1"/>
  <c r="M228" i="20" a="1"/>
  <c r="M228" i="20"/>
  <c r="N228" i="20" s="1"/>
  <c r="M229" i="20" a="1"/>
  <c r="M229" i="20" s="1"/>
  <c r="N229" i="20" s="1"/>
  <c r="M230" i="20" a="1"/>
  <c r="M230" i="20" s="1"/>
  <c r="N230" i="20" s="1"/>
  <c r="M231" i="20" a="1"/>
  <c r="M231" i="20" s="1"/>
  <c r="N231" i="20" s="1"/>
  <c r="M232" i="20" a="1"/>
  <c r="M232" i="20" s="1"/>
  <c r="N232" i="20" s="1"/>
  <c r="M233" i="20" a="1"/>
  <c r="M233" i="20" s="1"/>
  <c r="M234" i="20" a="1"/>
  <c r="M234" i="20" s="1"/>
  <c r="N234" i="20" s="1"/>
  <c r="M235" i="20" a="1"/>
  <c r="M235" i="20" s="1"/>
  <c r="N235" i="20" s="1"/>
  <c r="M236" i="20" a="1"/>
  <c r="M236" i="20" s="1"/>
  <c r="N236" i="20" s="1"/>
  <c r="M237" i="20" a="1"/>
  <c r="M237" i="20"/>
  <c r="N237" i="20" s="1"/>
  <c r="M238" i="20" a="1"/>
  <c r="M238" i="20" s="1"/>
  <c r="N238" i="20" s="1"/>
  <c r="M239" i="20" a="1"/>
  <c r="M239" i="20" s="1"/>
  <c r="N239" i="20" s="1"/>
  <c r="M240" i="20" a="1"/>
  <c r="M240" i="20" s="1"/>
  <c r="N240" i="20" s="1"/>
  <c r="M241" i="20" a="1"/>
  <c r="M241" i="20"/>
  <c r="N241" i="20" s="1"/>
  <c r="M242" i="20" a="1"/>
  <c r="M242" i="20" s="1"/>
  <c r="N242" i="20" s="1"/>
  <c r="M243" i="20" a="1"/>
  <c r="M243" i="20" s="1"/>
  <c r="M244" i="20" a="1"/>
  <c r="M244" i="20" s="1"/>
  <c r="M245" i="20" a="1"/>
  <c r="M245" i="20"/>
  <c r="N245" i="20" s="1"/>
  <c r="M246" i="20" a="1"/>
  <c r="M246" i="20"/>
  <c r="N246" i="20" s="1"/>
  <c r="M247" i="20" a="1"/>
  <c r="M247" i="20" s="1"/>
  <c r="N247" i="20" s="1"/>
  <c r="M248" i="20" a="1"/>
  <c r="M248" i="20" s="1"/>
  <c r="N248" i="20" s="1"/>
  <c r="M249" i="20" a="1"/>
  <c r="M249" i="20" s="1"/>
  <c r="N249" i="20" s="1"/>
  <c r="M250" i="20" a="1"/>
  <c r="M250" i="20" s="1"/>
  <c r="M251" i="20" a="1"/>
  <c r="M251" i="20" s="1"/>
  <c r="N251" i="20" s="1"/>
  <c r="M252" i="20" a="1"/>
  <c r="M252" i="20"/>
  <c r="N252" i="20" s="1"/>
  <c r="M253" i="20" a="1"/>
  <c r="M253" i="20" s="1"/>
  <c r="N253" i="20" s="1"/>
  <c r="M254" i="20" a="1"/>
  <c r="M254" i="20"/>
  <c r="M255" i="20" a="1"/>
  <c r="M255" i="20" s="1"/>
  <c r="N255" i="20" s="1"/>
  <c r="M256" i="20" a="1"/>
  <c r="M256" i="20" s="1"/>
  <c r="M257" i="20" a="1"/>
  <c r="M257" i="20" s="1"/>
  <c r="N257" i="20" s="1"/>
  <c r="M258" i="20" a="1"/>
  <c r="M258" i="20" s="1"/>
  <c r="N258" i="20" s="1"/>
  <c r="M259" i="20" a="1"/>
  <c r="M259" i="20"/>
  <c r="N259" i="20" s="1"/>
  <c r="M260" i="20" a="1"/>
  <c r="M260" i="20" s="1"/>
  <c r="N260" i="20" s="1"/>
  <c r="M261" i="20" a="1"/>
  <c r="M261" i="20" s="1"/>
  <c r="N261" i="20" s="1"/>
  <c r="M262" i="20" a="1"/>
  <c r="M262" i="20" s="1"/>
  <c r="N262" i="20" s="1"/>
  <c r="M263" i="20" a="1"/>
  <c r="M263" i="20" s="1"/>
  <c r="N263" i="20" s="1"/>
  <c r="M264" i="20" a="1"/>
  <c r="M264" i="20" s="1"/>
  <c r="N264" i="20" s="1"/>
  <c r="M265" i="20" a="1"/>
  <c r="M265" i="20"/>
  <c r="N265" i="20" s="1"/>
  <c r="M266" i="20" a="1"/>
  <c r="M266" i="20" s="1"/>
  <c r="N266" i="20" s="1"/>
  <c r="M267" i="20" a="1"/>
  <c r="M267" i="20" s="1"/>
  <c r="N267" i="20" s="1"/>
  <c r="M268" i="20" a="1"/>
  <c r="M268" i="20" s="1"/>
  <c r="M269" i="20" a="1"/>
  <c r="M269" i="20" s="1"/>
  <c r="N269" i="20" s="1"/>
  <c r="M270" i="20" a="1"/>
  <c r="M270" i="20"/>
  <c r="N270" i="20" s="1"/>
  <c r="M271" i="20" a="1"/>
  <c r="M271" i="20" s="1"/>
  <c r="N271" i="20" s="1"/>
  <c r="M272" i="20" a="1"/>
  <c r="M272" i="20"/>
  <c r="N272" i="20" s="1"/>
  <c r="M273" i="20" a="1"/>
  <c r="M273" i="20" s="1"/>
  <c r="N273" i="20" s="1"/>
  <c r="M274" i="20" a="1"/>
  <c r="M274" i="20" s="1"/>
  <c r="M275" i="20" a="1"/>
  <c r="M275" i="20" s="1"/>
  <c r="N275" i="20" s="1"/>
  <c r="M276" i="20" a="1"/>
  <c r="M276" i="20" s="1"/>
  <c r="N276" i="20" s="1"/>
  <c r="M277" i="20" a="1"/>
  <c r="M277" i="20" s="1"/>
  <c r="N277" i="20" s="1"/>
  <c r="M278" i="20" a="1"/>
  <c r="M278" i="20"/>
  <c r="M279" i="20" a="1"/>
  <c r="M279" i="20" s="1"/>
  <c r="N279" i="20" s="1"/>
  <c r="M280" i="20" a="1"/>
  <c r="M280" i="20" s="1"/>
  <c r="N280" i="20" s="1"/>
  <c r="M281" i="20" a="1"/>
  <c r="M281" i="20" s="1"/>
  <c r="M282" i="20" a="1"/>
  <c r="M282" i="20"/>
  <c r="M283" i="20" a="1"/>
  <c r="M283" i="20"/>
  <c r="N283" i="20" s="1"/>
  <c r="M284" i="20" a="1"/>
  <c r="M284" i="20" s="1"/>
  <c r="N284" i="20" s="1"/>
  <c r="M285" i="20" a="1"/>
  <c r="M285" i="20"/>
  <c r="M286" i="20" a="1"/>
  <c r="M286" i="20" s="1"/>
  <c r="N286" i="20" s="1"/>
  <c r="M287" i="20" a="1"/>
  <c r="M287" i="20" s="1"/>
  <c r="N287" i="20" s="1"/>
  <c r="M288" i="20" a="1"/>
  <c r="M288" i="20" s="1"/>
  <c r="N288" i="20" s="1"/>
  <c r="M289" i="20" a="1"/>
  <c r="M289" i="20" s="1"/>
  <c r="M290" i="20" a="1"/>
  <c r="M290" i="20" s="1"/>
  <c r="N290" i="20" s="1"/>
  <c r="M291" i="20" a="1"/>
  <c r="M291" i="20" s="1"/>
  <c r="N291" i="20" s="1"/>
  <c r="M292" i="20" a="1"/>
  <c r="M292" i="20" s="1"/>
  <c r="N292" i="20" s="1"/>
  <c r="M293" i="20" a="1"/>
  <c r="M293" i="20" s="1"/>
  <c r="N293" i="20" s="1"/>
  <c r="M294" i="20" a="1"/>
  <c r="M294" i="20" s="1"/>
  <c r="M295" i="20" a="1"/>
  <c r="M295" i="20" s="1"/>
  <c r="N295" i="20" s="1"/>
  <c r="M296" i="20" a="1"/>
  <c r="M296" i="20" s="1"/>
  <c r="N296" i="20" s="1"/>
  <c r="M297" i="20" a="1"/>
  <c r="M297" i="20" s="1"/>
  <c r="M298" i="20" a="1"/>
  <c r="M298" i="20" s="1"/>
  <c r="N298" i="20" s="1"/>
  <c r="M299" i="20" a="1"/>
  <c r="M299" i="20"/>
  <c r="N299" i="20" s="1"/>
  <c r="M300" i="20" a="1"/>
  <c r="M300" i="20"/>
  <c r="N300" i="20" s="1"/>
  <c r="M301" i="20" a="1"/>
  <c r="M301" i="20" s="1"/>
  <c r="N301" i="20" s="1"/>
  <c r="M302" i="20" a="1"/>
  <c r="M302" i="20" s="1"/>
  <c r="M303" i="20" a="1"/>
  <c r="M303" i="20" s="1"/>
  <c r="N303" i="20" s="1"/>
  <c r="M304" i="20" a="1"/>
  <c r="M304" i="20" s="1"/>
  <c r="N304" i="20" s="1"/>
  <c r="M305" i="20" a="1"/>
  <c r="M305" i="20" s="1"/>
  <c r="N305" i="20" s="1"/>
  <c r="M306" i="20" a="1"/>
  <c r="M306" i="20" s="1"/>
  <c r="N306" i="20" s="1"/>
  <c r="M307" i="20" a="1"/>
  <c r="M307" i="20" s="1"/>
  <c r="N307" i="20" s="1"/>
  <c r="M308" i="20" a="1"/>
  <c r="M308" i="20" s="1"/>
  <c r="M309" i="20" a="1"/>
  <c r="M309" i="20"/>
  <c r="M310" i="20" a="1"/>
  <c r="M310" i="20" s="1"/>
  <c r="M311" i="20" a="1"/>
  <c r="M311" i="20" s="1"/>
  <c r="N311" i="20" s="1"/>
  <c r="M312" i="20" a="1"/>
  <c r="M312" i="20" s="1"/>
  <c r="N312" i="20" s="1"/>
  <c r="M313" i="20" a="1"/>
  <c r="M313" i="20" s="1"/>
  <c r="N313" i="20" s="1"/>
  <c r="M314" i="20" a="1"/>
  <c r="M314" i="20" s="1"/>
  <c r="M315" i="20" a="1"/>
  <c r="M315" i="20" s="1"/>
  <c r="N315" i="20" s="1"/>
  <c r="M316" i="20" a="1"/>
  <c r="M316" i="20" s="1"/>
  <c r="M317" i="20" a="1"/>
  <c r="M317" i="20" s="1"/>
  <c r="N317" i="20" s="1"/>
  <c r="M318" i="20" a="1"/>
  <c r="M318" i="20" s="1"/>
  <c r="N318" i="20" s="1"/>
  <c r="M319" i="20" a="1"/>
  <c r="M319" i="20"/>
  <c r="N319" i="20" s="1"/>
  <c r="M320" i="20" a="1"/>
  <c r="M320" i="20"/>
  <c r="N320" i="20" s="1"/>
  <c r="M321" i="20" a="1"/>
  <c r="M321" i="20" s="1"/>
  <c r="N321" i="20" s="1"/>
  <c r="M322" i="20" a="1"/>
  <c r="M322" i="20" s="1"/>
  <c r="M323" i="20" a="1"/>
  <c r="M323" i="20" s="1"/>
  <c r="N323" i="20" s="1"/>
  <c r="M324" i="20" a="1"/>
  <c r="M324" i="20" s="1"/>
  <c r="N324" i="20" s="1"/>
  <c r="M325" i="20" a="1"/>
  <c r="M325" i="20" s="1"/>
  <c r="N325" i="20" s="1"/>
  <c r="M326" i="20" a="1"/>
  <c r="M326" i="20"/>
  <c r="N326" i="20" s="1"/>
  <c r="M327" i="20" a="1"/>
  <c r="M327" i="20"/>
  <c r="N327" i="20" s="1"/>
  <c r="M328" i="20" a="1"/>
  <c r="M328" i="20" s="1"/>
  <c r="M329" i="20" a="1"/>
  <c r="M329" i="20" s="1"/>
  <c r="N329" i="20" s="1"/>
  <c r="M330" i="20" a="1"/>
  <c r="M330" i="20"/>
  <c r="N330" i="20" s="1"/>
  <c r="M331" i="20" a="1"/>
  <c r="M331" i="20"/>
  <c r="M332" i="20" a="1"/>
  <c r="M332" i="20" s="1"/>
  <c r="M333" i="20" a="1"/>
  <c r="M333" i="20" s="1"/>
  <c r="N333" i="20" s="1"/>
  <c r="M334" i="20" a="1"/>
  <c r="M334" i="20" s="1"/>
  <c r="N334" i="20" s="1"/>
  <c r="M335" i="20" a="1"/>
  <c r="M335" i="20" s="1"/>
  <c r="M336" i="20" a="1"/>
  <c r="M336" i="20"/>
  <c r="N336" i="20" s="1"/>
  <c r="M337" i="20" a="1"/>
  <c r="M337" i="20" s="1"/>
  <c r="N337" i="20" s="1"/>
  <c r="M338" i="20" a="1"/>
  <c r="M338" i="20" s="1"/>
  <c r="N338" i="20" s="1"/>
  <c r="M339" i="20" a="1"/>
  <c r="M339" i="20" s="1"/>
  <c r="N339" i="20" s="1"/>
  <c r="M340" i="20" a="1"/>
  <c r="M340" i="20" s="1"/>
  <c r="M341" i="20" a="1"/>
  <c r="M341" i="20"/>
  <c r="N341" i="20" s="1"/>
  <c r="M342" i="20" a="1"/>
  <c r="M342" i="20" s="1"/>
  <c r="N342" i="20" s="1"/>
  <c r="M343" i="20" a="1"/>
  <c r="M343" i="20"/>
  <c r="N343" i="20" s="1"/>
  <c r="M344" i="20" a="1"/>
  <c r="M344" i="20" s="1"/>
  <c r="M345" i="20" a="1"/>
  <c r="M345" i="20" s="1"/>
  <c r="N345" i="20" s="1"/>
  <c r="M346" i="20" a="1"/>
  <c r="M346" i="20" s="1"/>
  <c r="M347" i="20" a="1"/>
  <c r="M347" i="20" s="1"/>
  <c r="N347" i="20" s="1"/>
  <c r="M348" i="20" a="1"/>
  <c r="M348" i="20" s="1"/>
  <c r="N348" i="20" s="1"/>
  <c r="M349" i="20" a="1"/>
  <c r="M349" i="20" s="1"/>
  <c r="N349" i="20" s="1"/>
  <c r="M350" i="20" a="1"/>
  <c r="M350" i="20" s="1"/>
  <c r="N350" i="20" s="1"/>
  <c r="M351" i="20" a="1"/>
  <c r="M351" i="20" s="1"/>
  <c r="N351" i="20" s="1"/>
  <c r="M352" i="20" a="1"/>
  <c r="M352" i="20" s="1"/>
  <c r="M353" i="20" a="1"/>
  <c r="M353" i="20" s="1"/>
  <c r="N353" i="20" s="1"/>
  <c r="M354" i="20" a="1"/>
  <c r="M354" i="20" s="1"/>
  <c r="M355" i="20" a="1"/>
  <c r="M355" i="20" s="1"/>
  <c r="N355" i="20" s="1"/>
  <c r="M356" i="20" a="1"/>
  <c r="M356" i="20"/>
  <c r="M357" i="20" a="1"/>
  <c r="M357" i="20"/>
  <c r="N357" i="20" s="1"/>
  <c r="M358" i="20" a="1"/>
  <c r="M358" i="20" s="1"/>
  <c r="M359" i="20" a="1"/>
  <c r="M359" i="20" s="1"/>
  <c r="N359" i="20" s="1"/>
  <c r="M360" i="20" a="1"/>
  <c r="M360" i="20"/>
  <c r="N360" i="20" s="1"/>
  <c r="M361" i="20" a="1"/>
  <c r="M361" i="20" s="1"/>
  <c r="M362" i="20" a="1"/>
  <c r="M362" i="20" s="1"/>
  <c r="N362" i="20" s="1"/>
  <c r="M363" i="20" a="1"/>
  <c r="M363" i="20" s="1"/>
  <c r="N363" i="20" s="1"/>
  <c r="M364" i="20" a="1"/>
  <c r="M364" i="20" s="1"/>
  <c r="N364" i="20" s="1"/>
  <c r="M365" i="20" a="1"/>
  <c r="M365" i="20"/>
  <c r="N365" i="20" s="1"/>
  <c r="M366" i="20" a="1"/>
  <c r="M366" i="20" s="1"/>
  <c r="M367" i="20" a="1"/>
  <c r="M367" i="20" s="1"/>
  <c r="M368" i="20" a="1"/>
  <c r="M368" i="20" s="1"/>
  <c r="N368" i="20" s="1"/>
  <c r="M369" i="20" a="1"/>
  <c r="M369" i="20" s="1"/>
  <c r="M370" i="20" a="1"/>
  <c r="M370" i="20" s="1"/>
  <c r="M371" i="20" a="1"/>
  <c r="M371" i="20" s="1"/>
  <c r="N371" i="20" s="1"/>
  <c r="M372" i="20" a="1"/>
  <c r="M372" i="20"/>
  <c r="N372" i="20" s="1"/>
  <c r="M373" i="20" a="1"/>
  <c r="M373" i="20" s="1"/>
  <c r="M374" i="20" a="1"/>
  <c r="M374" i="20" s="1"/>
  <c r="M375" i="20" a="1"/>
  <c r="M375" i="20"/>
  <c r="N375" i="20" s="1"/>
  <c r="M376" i="20" a="1"/>
  <c r="M376" i="20" s="1"/>
  <c r="M377" i="20" a="1"/>
  <c r="M377" i="20"/>
  <c r="N377" i="20" s="1"/>
  <c r="M378" i="20" a="1"/>
  <c r="M378" i="20"/>
  <c r="N378" i="20" s="1"/>
  <c r="M379" i="20" a="1"/>
  <c r="M379" i="20" s="1"/>
  <c r="N379" i="20" s="1"/>
  <c r="M380" i="20" a="1"/>
  <c r="M380" i="20" s="1"/>
  <c r="N380" i="20" s="1"/>
  <c r="M381" i="20" a="1"/>
  <c r="M381" i="20"/>
  <c r="N381" i="20" s="1"/>
  <c r="M382" i="20" a="1"/>
  <c r="M382" i="20" s="1"/>
  <c r="M383" i="20" a="1"/>
  <c r="M383" i="20" s="1"/>
  <c r="N383" i="20" s="1"/>
  <c r="M384" i="20" a="1"/>
  <c r="M384" i="20" s="1"/>
  <c r="N384" i="20" s="1"/>
  <c r="M385" i="20" a="1"/>
  <c r="M385" i="20" s="1"/>
  <c r="N385" i="20" s="1"/>
  <c r="M386" i="20" a="1"/>
  <c r="M386" i="20"/>
  <c r="N386" i="20" s="1"/>
  <c r="M387" i="20" a="1"/>
  <c r="M387" i="20" s="1"/>
  <c r="N387" i="20" s="1"/>
  <c r="M388" i="20" a="1"/>
  <c r="M388" i="20" s="1"/>
  <c r="N388" i="20" s="1"/>
  <c r="M389" i="20" a="1"/>
  <c r="M389" i="20" s="1"/>
  <c r="N389" i="20" s="1"/>
  <c r="M390" i="20" a="1"/>
  <c r="M390" i="20" s="1"/>
  <c r="M391" i="20" a="1"/>
  <c r="M391" i="20" s="1"/>
  <c r="N391" i="20" s="1"/>
  <c r="M392" i="20" a="1"/>
  <c r="M392" i="20" s="1"/>
  <c r="N392" i="20" s="1"/>
  <c r="M393" i="20" a="1"/>
  <c r="M393" i="20" s="1"/>
  <c r="M394" i="20" a="1"/>
  <c r="M394" i="20" s="1"/>
  <c r="M395" i="20" a="1"/>
  <c r="M395" i="20" s="1"/>
  <c r="M396" i="20" a="1"/>
  <c r="M396" i="20" s="1"/>
  <c r="N396" i="20" s="1"/>
  <c r="M397" i="20" a="1"/>
  <c r="M397" i="20"/>
  <c r="N397" i="20" s="1"/>
  <c r="M398" i="20" a="1"/>
  <c r="M398" i="20" s="1"/>
  <c r="N398" i="20" s="1"/>
  <c r="M399" i="20" a="1"/>
  <c r="M399" i="20" s="1"/>
  <c r="N399" i="20" s="1"/>
  <c r="M400" i="20" a="1"/>
  <c r="M400" i="20" s="1"/>
  <c r="M401" i="20" a="1"/>
  <c r="M401" i="20"/>
  <c r="N401" i="20" s="1"/>
  <c r="M402" i="20" a="1"/>
  <c r="M402" i="20" s="1"/>
  <c r="M403" i="20" a="1"/>
  <c r="M403" i="20" s="1"/>
  <c r="N403" i="20" s="1"/>
  <c r="M404" i="20" a="1"/>
  <c r="M404" i="20" s="1"/>
  <c r="N404" i="20" s="1"/>
  <c r="M405" i="20" a="1"/>
  <c r="M405" i="20" s="1"/>
  <c r="N405" i="20" s="1"/>
  <c r="M406" i="20" a="1"/>
  <c r="M406" i="20" s="1"/>
  <c r="N406" i="20" s="1"/>
  <c r="M407" i="20" a="1"/>
  <c r="M407" i="20" s="1"/>
  <c r="N407" i="20" s="1"/>
  <c r="M408" i="20" a="1"/>
  <c r="M408" i="20" s="1"/>
  <c r="N408" i="20" s="1"/>
  <c r="M409" i="20" a="1"/>
  <c r="M409" i="20" s="1"/>
  <c r="N409" i="20" s="1"/>
  <c r="M410" i="20" a="1"/>
  <c r="M410" i="20" s="1"/>
  <c r="N410" i="20" s="1"/>
  <c r="M411" i="20" a="1"/>
  <c r="M411" i="20" s="1"/>
  <c r="N411" i="20" s="1"/>
  <c r="M412" i="20" a="1"/>
  <c r="M412" i="20" s="1"/>
  <c r="M413" i="20" a="1"/>
  <c r="M413" i="20" s="1"/>
  <c r="N413" i="20" s="1"/>
  <c r="M414" i="20" a="1"/>
  <c r="M414" i="20" s="1"/>
  <c r="N414" i="20" s="1"/>
  <c r="M415" i="20" a="1"/>
  <c r="M415" i="20" s="1"/>
  <c r="M416" i="20" a="1"/>
  <c r="M416" i="20" s="1"/>
  <c r="M417" i="20" a="1"/>
  <c r="M417" i="20"/>
  <c r="N417" i="20" s="1"/>
  <c r="M418" i="20" a="1"/>
  <c r="M418" i="20" s="1"/>
  <c r="M419" i="20" a="1"/>
  <c r="M419" i="20"/>
  <c r="N419" i="20" s="1"/>
  <c r="M420" i="20" a="1"/>
  <c r="M420" i="20" s="1"/>
  <c r="N420" i="20" s="1"/>
  <c r="M421" i="20" a="1"/>
  <c r="M421" i="20" s="1"/>
  <c r="N421" i="20" s="1"/>
  <c r="M422" i="20" a="1"/>
  <c r="M422" i="20" s="1"/>
  <c r="N422" i="20" s="1"/>
  <c r="M423" i="20" a="1"/>
  <c r="M423" i="20" s="1"/>
  <c r="M424" i="20" a="1"/>
  <c r="M424" i="20" s="1"/>
  <c r="N424" i="20" s="1"/>
  <c r="M425" i="20" a="1"/>
  <c r="M425" i="20" s="1"/>
  <c r="N425" i="20" s="1"/>
  <c r="M426" i="20" a="1"/>
  <c r="M426" i="20" s="1"/>
  <c r="N426" i="20" s="1"/>
  <c r="M427" i="20" a="1"/>
  <c r="M427" i="20" s="1"/>
  <c r="N427" i="20" s="1"/>
  <c r="M428" i="20" a="1"/>
  <c r="M428" i="20"/>
  <c r="N428" i="20" s="1"/>
  <c r="M429" i="20" a="1"/>
  <c r="M429" i="20"/>
  <c r="N429" i="20" s="1"/>
  <c r="M430" i="20" a="1"/>
  <c r="M430" i="20" s="1"/>
  <c r="M431" i="20" a="1"/>
  <c r="M431" i="20" s="1"/>
  <c r="M432" i="20" a="1"/>
  <c r="M432" i="20" s="1"/>
  <c r="N432" i="20" s="1"/>
  <c r="M433" i="20" a="1"/>
  <c r="M433" i="20" s="1"/>
  <c r="N433" i="20" s="1"/>
  <c r="M434" i="20" a="1"/>
  <c r="M434" i="20" s="1"/>
  <c r="M435" i="20" a="1"/>
  <c r="M435" i="20" s="1"/>
  <c r="N435" i="20" s="1"/>
  <c r="M436" i="20" a="1"/>
  <c r="M436" i="20" s="1"/>
  <c r="M437" i="20" a="1"/>
  <c r="M437" i="20" s="1"/>
  <c r="N437" i="20" s="1"/>
  <c r="M438" i="20" a="1"/>
  <c r="M438" i="20"/>
  <c r="M439" i="20" a="1"/>
  <c r="M439" i="20" s="1"/>
  <c r="M440" i="20" a="1"/>
  <c r="M440" i="20" s="1"/>
  <c r="N440" i="20" s="1"/>
  <c r="M441" i="20" a="1"/>
  <c r="M441" i="20"/>
  <c r="N441" i="20" s="1"/>
  <c r="M442" i="20" a="1"/>
  <c r="M442" i="20" s="1"/>
  <c r="M443" i="20" a="1"/>
  <c r="M443" i="20" s="1"/>
  <c r="N443" i="20" s="1"/>
  <c r="M444" i="20" a="1"/>
  <c r="M444" i="20" s="1"/>
  <c r="N444" i="20" s="1"/>
  <c r="M445" i="20" a="1"/>
  <c r="M445" i="20"/>
  <c r="N445" i="20" s="1"/>
  <c r="M446" i="20" a="1"/>
  <c r="M446" i="20" s="1"/>
  <c r="N446" i="20" s="1"/>
  <c r="M447" i="20" a="1"/>
  <c r="M447" i="20" s="1"/>
  <c r="N447" i="20" s="1"/>
  <c r="M448" i="20" a="1"/>
  <c r="M448" i="20" s="1"/>
  <c r="M449" i="20" a="1"/>
  <c r="M449" i="20" s="1"/>
  <c r="N449" i="20" s="1"/>
  <c r="M450" i="20" a="1"/>
  <c r="M450" i="20" s="1"/>
  <c r="N450" i="20" s="1"/>
  <c r="M451" i="20" a="1"/>
  <c r="M451" i="20" s="1"/>
  <c r="N451" i="20" s="1"/>
  <c r="M452" i="20" a="1"/>
  <c r="M452" i="20" s="1"/>
  <c r="M453" i="20" a="1"/>
  <c r="M453" i="20" s="1"/>
  <c r="N453" i="20" s="1"/>
  <c r="M454" i="20" a="1"/>
  <c r="M454" i="20" s="1"/>
  <c r="M455" i="20" a="1"/>
  <c r="M455" i="20" s="1"/>
  <c r="N455" i="20" s="1"/>
  <c r="M456" i="20" a="1"/>
  <c r="M456" i="20"/>
  <c r="N456" i="20" s="1"/>
  <c r="M457" i="20" a="1"/>
  <c r="M457" i="20" s="1"/>
  <c r="N457" i="20" s="1"/>
  <c r="M458" i="20" a="1"/>
  <c r="M458" i="20" s="1"/>
  <c r="N458" i="20" s="1"/>
  <c r="M459" i="20" a="1"/>
  <c r="M459" i="20" s="1"/>
  <c r="M460" i="20" a="1"/>
  <c r="M460" i="20" s="1"/>
  <c r="M461" i="20" a="1"/>
  <c r="M461" i="20"/>
  <c r="N461" i="20" s="1"/>
  <c r="M462" i="20" a="1"/>
  <c r="M462" i="20" s="1"/>
  <c r="N462" i="20" s="1"/>
  <c r="M463" i="20" a="1"/>
  <c r="M463" i="20" s="1"/>
  <c r="N463" i="20" s="1"/>
  <c r="M464" i="20" a="1"/>
  <c r="M464" i="20" s="1"/>
  <c r="N464" i="20" s="1"/>
  <c r="M465" i="20" a="1"/>
  <c r="M465" i="20" s="1"/>
  <c r="N465" i="20" s="1"/>
  <c r="M466" i="20" a="1"/>
  <c r="M466" i="20" s="1"/>
  <c r="M467" i="20" a="1"/>
  <c r="M467" i="20" s="1"/>
  <c r="M468" i="20" a="1"/>
  <c r="M468" i="20"/>
  <c r="N468" i="20" s="1"/>
  <c r="M469" i="20" a="1"/>
  <c r="M469" i="20"/>
  <c r="N469" i="20" s="1"/>
  <c r="M470" i="20" a="1"/>
  <c r="M470" i="20" s="1"/>
  <c r="N470" i="20" s="1"/>
  <c r="M471" i="20" a="1"/>
  <c r="M471" i="20" s="1"/>
  <c r="N471" i="20" s="1"/>
  <c r="M472" i="20" a="1"/>
  <c r="M472" i="20" s="1"/>
  <c r="M473" i="20" a="1"/>
  <c r="M473" i="20" s="1"/>
  <c r="N473" i="20" s="1"/>
  <c r="M474" i="20" a="1"/>
  <c r="M474" i="20" s="1"/>
  <c r="M475" i="20" a="1"/>
  <c r="M475" i="20"/>
  <c r="M476" i="20" a="1"/>
  <c r="M476" i="20" s="1"/>
  <c r="N476" i="20" s="1"/>
  <c r="M477" i="20" a="1"/>
  <c r="M477" i="20" s="1"/>
  <c r="N477" i="20" s="1"/>
  <c r="M478" i="20" a="1"/>
  <c r="M478" i="20" s="1"/>
  <c r="M479" i="20" a="1"/>
  <c r="M479" i="20" s="1"/>
  <c r="N479" i="20" s="1"/>
  <c r="M480" i="20" a="1"/>
  <c r="M480" i="20"/>
  <c r="N480" i="20" s="1"/>
  <c r="M481" i="20" a="1"/>
  <c r="M481" i="20" s="1"/>
  <c r="N481" i="20" s="1"/>
  <c r="M482" i="20" a="1"/>
  <c r="M482" i="20" s="1"/>
  <c r="M483" i="20" a="1"/>
  <c r="M483" i="20" s="1"/>
  <c r="N483" i="20" s="1"/>
  <c r="M484" i="20" a="1"/>
  <c r="M484" i="20" s="1"/>
  <c r="M485" i="20" a="1"/>
  <c r="M485" i="20" s="1"/>
  <c r="N485" i="20" s="1"/>
  <c r="M486" i="20" a="1"/>
  <c r="M486" i="20"/>
  <c r="N486" i="20" s="1"/>
  <c r="M487" i="20" a="1"/>
  <c r="M487" i="20" s="1"/>
  <c r="M488" i="20" a="1"/>
  <c r="M488" i="20"/>
  <c r="N488" i="20" s="1"/>
  <c r="M489" i="20" a="1"/>
  <c r="M489" i="20"/>
  <c r="M490" i="20" a="1"/>
  <c r="M490" i="20" s="1"/>
  <c r="M491" i="20" a="1"/>
  <c r="M491" i="20" s="1"/>
  <c r="N491" i="20" s="1"/>
  <c r="M492" i="20" a="1"/>
  <c r="M492" i="20" s="1"/>
  <c r="M493" i="20" a="1"/>
  <c r="M493" i="20"/>
  <c r="N493" i="20" s="1"/>
  <c r="M494" i="20" a="1"/>
  <c r="M494" i="20" s="1"/>
  <c r="M495" i="20" a="1"/>
  <c r="M495" i="20" s="1"/>
  <c r="N495" i="20" s="1"/>
  <c r="M496" i="20" a="1"/>
  <c r="M496" i="20" s="1"/>
  <c r="M497" i="20" a="1"/>
  <c r="M497" i="20"/>
  <c r="N497" i="20" s="1"/>
  <c r="M498" i="20" a="1"/>
  <c r="M498" i="20" s="1"/>
  <c r="M499" i="20" a="1"/>
  <c r="M499" i="20" s="1"/>
  <c r="N499" i="20" s="1"/>
  <c r="M500" i="20" a="1"/>
  <c r="M500" i="20"/>
  <c r="N500" i="20" s="1"/>
  <c r="M501" i="20" a="1"/>
  <c r="M501" i="20" s="1"/>
  <c r="M502" i="20" a="1"/>
  <c r="M502" i="20" s="1"/>
  <c r="M503" i="20" a="1"/>
  <c r="M503" i="20" s="1"/>
  <c r="N503" i="20" s="1"/>
  <c r="M504" i="20" a="1"/>
  <c r="M504" i="20"/>
  <c r="N504" i="20" s="1"/>
  <c r="M505" i="20" a="1"/>
  <c r="M505" i="20" s="1"/>
  <c r="M506" i="20" a="1"/>
  <c r="M506" i="20" s="1"/>
  <c r="N506" i="20" s="1"/>
  <c r="M507" i="20" a="1"/>
  <c r="M507" i="20"/>
  <c r="M508" i="20" a="1"/>
  <c r="M508" i="20" s="1"/>
  <c r="N508" i="20" s="1"/>
  <c r="M509" i="20" a="1"/>
  <c r="M509" i="20" s="1"/>
  <c r="N509" i="20" s="1"/>
  <c r="M510" i="20" a="1"/>
  <c r="M510" i="20" s="1"/>
  <c r="N510" i="20" s="1"/>
  <c r="M511" i="20" a="1"/>
  <c r="M511" i="20"/>
  <c r="N511" i="20" s="1"/>
  <c r="M512" i="20" a="1"/>
  <c r="M512" i="20"/>
  <c r="N512" i="20" s="1"/>
  <c r="M513" i="20" a="1"/>
  <c r="M513" i="20" s="1"/>
  <c r="N513" i="20" s="1"/>
  <c r="M514" i="20" a="1"/>
  <c r="M514" i="20" s="1"/>
  <c r="M515" i="20" a="1"/>
  <c r="M515" i="20" s="1"/>
  <c r="M516" i="20" a="1"/>
  <c r="M516" i="20" s="1"/>
  <c r="M517" i="20" a="1"/>
  <c r="M517" i="20" s="1"/>
  <c r="N517" i="20" s="1"/>
  <c r="M518" i="20" a="1"/>
  <c r="M518" i="20" s="1"/>
  <c r="N518" i="20" s="1"/>
  <c r="M519" i="20" a="1"/>
  <c r="M519" i="20" s="1"/>
  <c r="M520" i="20" a="1"/>
  <c r="M520" i="20" s="1"/>
  <c r="M521" i="20" a="1"/>
  <c r="M521" i="20" s="1"/>
  <c r="M522" i="20" a="1"/>
  <c r="M522" i="20" s="1"/>
  <c r="N522" i="20" s="1"/>
  <c r="M523" i="20" a="1"/>
  <c r="M523" i="20" s="1"/>
  <c r="N523" i="20" s="1"/>
  <c r="M524" i="20" a="1"/>
  <c r="M524" i="20"/>
  <c r="M525" i="20" a="1"/>
  <c r="M525" i="20" s="1"/>
  <c r="N525" i="20" s="1"/>
  <c r="M526" i="20" a="1"/>
  <c r="M526" i="20" s="1"/>
  <c r="M527" i="20" a="1"/>
  <c r="M527" i="20" s="1"/>
  <c r="N527" i="20" s="1"/>
  <c r="M528" i="20" a="1"/>
  <c r="M528" i="20"/>
  <c r="N528" i="20" s="1"/>
  <c r="M529" i="20" a="1"/>
  <c r="M529" i="20" s="1"/>
  <c r="N529" i="20" s="1"/>
  <c r="M530" i="20" a="1"/>
  <c r="M530" i="20" s="1"/>
  <c r="N530" i="20" s="1"/>
  <c r="M531" i="20" a="1"/>
  <c r="M531" i="20" s="1"/>
  <c r="N531" i="20" s="1"/>
  <c r="M532" i="20" a="1"/>
  <c r="M532" i="20" s="1"/>
  <c r="M533" i="20" a="1"/>
  <c r="M533" i="20" s="1"/>
  <c r="N533" i="20" s="1"/>
  <c r="M534" i="20" a="1"/>
  <c r="M534" i="20" s="1"/>
  <c r="M535" i="20" a="1"/>
  <c r="M535" i="20" s="1"/>
  <c r="M536" i="20" a="1"/>
  <c r="M536" i="20"/>
  <c r="N536" i="20" s="1"/>
  <c r="M537" i="20" a="1"/>
  <c r="M537" i="20" s="1"/>
  <c r="M538" i="20" a="1"/>
  <c r="M538" i="20" s="1"/>
  <c r="N538" i="20" s="1"/>
  <c r="M539" i="20" a="1"/>
  <c r="M539" i="20" s="1"/>
  <c r="M540" i="20" a="1"/>
  <c r="M540" i="20"/>
  <c r="N540" i="20" s="1"/>
  <c r="M541" i="20" a="1"/>
  <c r="M541" i="20" s="1"/>
  <c r="N541" i="20" s="1"/>
  <c r="M542" i="20" a="1"/>
  <c r="M542" i="20" s="1"/>
  <c r="M543" i="20" a="1"/>
  <c r="M543" i="20"/>
  <c r="N543" i="20" s="1"/>
  <c r="M544" i="20" a="1"/>
  <c r="M544" i="20" s="1"/>
  <c r="M545" i="20" a="1"/>
  <c r="M545" i="20"/>
  <c r="N545" i="20" s="1"/>
  <c r="M546" i="20" a="1"/>
  <c r="M546" i="20" s="1"/>
  <c r="M547" i="20" a="1"/>
  <c r="M547" i="20" s="1"/>
  <c r="N547" i="20" s="1"/>
  <c r="M548" i="20" a="1"/>
  <c r="M548" i="20" s="1"/>
  <c r="M549" i="20" a="1"/>
  <c r="M549" i="20" s="1"/>
  <c r="N549" i="20" s="1"/>
  <c r="M550" i="20" a="1"/>
  <c r="M550" i="20" s="1"/>
  <c r="M551" i="20" a="1"/>
  <c r="M551" i="20" s="1"/>
  <c r="M552" i="20" a="1"/>
  <c r="M552" i="20"/>
  <c r="M553" i="20" a="1"/>
  <c r="M553" i="20" s="1"/>
  <c r="N553" i="20" s="1"/>
  <c r="M554" i="20" a="1"/>
  <c r="M554" i="20" s="1"/>
  <c r="M555" i="20" a="1"/>
  <c r="M555" i="20" s="1"/>
  <c r="M556" i="20" a="1"/>
  <c r="M556" i="20" s="1"/>
  <c r="N556" i="20" s="1"/>
  <c r="M557" i="20" a="1"/>
  <c r="M557" i="20" s="1"/>
  <c r="N557" i="20" s="1"/>
  <c r="M558" i="20" a="1"/>
  <c r="M558" i="20" s="1"/>
  <c r="N558" i="20" s="1"/>
  <c r="M559" i="20" a="1"/>
  <c r="M559" i="20" s="1"/>
  <c r="M560" i="20" a="1"/>
  <c r="M560" i="20"/>
  <c r="N560" i="20" s="1"/>
  <c r="M561" i="20" a="1"/>
  <c r="M561" i="20" s="1"/>
  <c r="M562" i="20" a="1"/>
  <c r="M562" i="20" s="1"/>
  <c r="N562" i="20" s="1"/>
  <c r="M563" i="20" a="1"/>
  <c r="M563" i="20" s="1"/>
  <c r="N563" i="20" s="1"/>
  <c r="M564" i="20" a="1"/>
  <c r="M564" i="20" s="1"/>
  <c r="M565" i="20" a="1"/>
  <c r="M565" i="20"/>
  <c r="N565" i="20" s="1"/>
  <c r="M566" i="20" a="1"/>
  <c r="M566" i="20" s="1"/>
  <c r="N566" i="20" s="1"/>
  <c r="M567" i="20" a="1"/>
  <c r="M567" i="20" s="1"/>
  <c r="N567" i="20" s="1"/>
  <c r="M568" i="20" a="1"/>
  <c r="M568" i="20" s="1"/>
  <c r="M569" i="20" a="1"/>
  <c r="M569" i="20" s="1"/>
  <c r="M570" i="20" a="1"/>
  <c r="M570" i="20" s="1"/>
  <c r="N570" i="20" s="1"/>
  <c r="M571" i="20" a="1"/>
  <c r="M571" i="20" s="1"/>
  <c r="N571" i="20" s="1"/>
  <c r="M572" i="20" a="1"/>
  <c r="M572" i="20" s="1"/>
  <c r="M573" i="20" a="1"/>
  <c r="M573" i="20" s="1"/>
  <c r="N573" i="20" s="1"/>
  <c r="M574" i="20" a="1"/>
  <c r="M574" i="20" s="1"/>
  <c r="N574" i="20" s="1"/>
  <c r="M575" i="20" a="1"/>
  <c r="M575" i="20" s="1"/>
  <c r="N575" i="20" s="1"/>
  <c r="M576" i="20" a="1"/>
  <c r="M576" i="20" s="1"/>
  <c r="N576" i="20" s="1"/>
  <c r="M577" i="20" a="1"/>
  <c r="M577" i="20" s="1"/>
  <c r="N577" i="20" s="1"/>
  <c r="M578" i="20" a="1"/>
  <c r="M578" i="20" s="1"/>
  <c r="N578" i="20" s="1"/>
  <c r="M579" i="20" a="1"/>
  <c r="M579" i="20" s="1"/>
  <c r="M580" i="20" a="1"/>
  <c r="M580" i="20" s="1"/>
  <c r="M581" i="20" a="1"/>
  <c r="M581" i="20"/>
  <c r="M582" i="20" a="1"/>
  <c r="M582" i="20" s="1"/>
  <c r="M583" i="20" a="1"/>
  <c r="M583" i="20" s="1"/>
  <c r="N583" i="20" s="1"/>
  <c r="M584" i="20" a="1"/>
  <c r="M584" i="20" s="1"/>
  <c r="N584" i="20" s="1"/>
  <c r="M585" i="20" a="1"/>
  <c r="M585" i="20" s="1"/>
  <c r="N585" i="20" s="1"/>
  <c r="M586" i="20" a="1"/>
  <c r="M586" i="20" s="1"/>
  <c r="M587" i="20" a="1"/>
  <c r="M587" i="20" s="1"/>
  <c r="N587" i="20" s="1"/>
  <c r="M588" i="20" a="1"/>
  <c r="M588" i="20" s="1"/>
  <c r="N588" i="20" s="1"/>
  <c r="M589" i="20" a="1"/>
  <c r="M589" i="20" s="1"/>
  <c r="N589" i="20" s="1"/>
  <c r="M590" i="20" a="1"/>
  <c r="M590" i="20" s="1"/>
  <c r="M591" i="20" a="1"/>
  <c r="M591" i="20" s="1"/>
  <c r="N591" i="20" s="1"/>
  <c r="M592" i="20" a="1"/>
  <c r="M592" i="20" s="1"/>
  <c r="M593" i="20" a="1"/>
  <c r="M593" i="20" s="1"/>
  <c r="N593" i="20" s="1"/>
  <c r="M594" i="20" a="1"/>
  <c r="M594" i="20" s="1"/>
  <c r="N594" i="20" s="1"/>
  <c r="M595" i="20" a="1"/>
  <c r="M595" i="20" s="1"/>
  <c r="M596" i="20" a="1"/>
  <c r="M596" i="20"/>
  <c r="N596" i="20" s="1"/>
  <c r="M597" i="20" a="1"/>
  <c r="M597" i="20"/>
  <c r="M598" i="20" a="1"/>
  <c r="M598" i="20" s="1"/>
  <c r="M599" i="20" a="1"/>
  <c r="M599" i="20" s="1"/>
  <c r="N599" i="20" s="1"/>
  <c r="M600" i="20" a="1"/>
  <c r="M600" i="20" s="1"/>
  <c r="M601" i="20" a="1"/>
  <c r="M601" i="20" s="1"/>
  <c r="N601" i="20" s="1"/>
  <c r="M602" i="20" a="1"/>
  <c r="M602" i="20" s="1"/>
  <c r="N602" i="20" s="1"/>
  <c r="M603" i="20" a="1"/>
  <c r="M603" i="20" s="1"/>
  <c r="N603" i="20" s="1"/>
  <c r="M604" i="20" a="1"/>
  <c r="M604" i="20" s="1"/>
  <c r="M605" i="20" a="1"/>
  <c r="M605" i="20" s="1"/>
  <c r="N605" i="20" s="1"/>
  <c r="M606" i="20" a="1"/>
  <c r="M606" i="20" s="1"/>
  <c r="N606" i="20" s="1"/>
  <c r="M607" i="20" a="1"/>
  <c r="M607" i="20" s="1"/>
  <c r="M608" i="20" a="1"/>
  <c r="M608" i="20" s="1"/>
  <c r="N608" i="20" s="1"/>
  <c r="M609" i="20" a="1"/>
  <c r="M609" i="20" s="1"/>
  <c r="N609" i="20" s="1"/>
  <c r="M610" i="20" a="1"/>
  <c r="M610" i="20" s="1"/>
  <c r="M611" i="20" a="1"/>
  <c r="M611" i="20" s="1"/>
  <c r="N611" i="20" s="1"/>
  <c r="M612" i="20" a="1"/>
  <c r="M612" i="20" s="1"/>
  <c r="N612" i="20" s="1"/>
  <c r="M613" i="20" a="1"/>
  <c r="M613" i="20" s="1"/>
  <c r="N613" i="20" s="1"/>
  <c r="M614" i="20" a="1"/>
  <c r="M614" i="20" s="1"/>
  <c r="M615" i="20" a="1"/>
  <c r="M615" i="20" s="1"/>
  <c r="N615" i="20" s="1"/>
  <c r="M616" i="20" a="1"/>
  <c r="M616" i="20" s="1"/>
  <c r="N616" i="20" s="1"/>
  <c r="M617" i="20" a="1"/>
  <c r="M617" i="20" s="1"/>
  <c r="N617" i="20" s="1"/>
  <c r="M618" i="20" a="1"/>
  <c r="M618" i="20" s="1"/>
  <c r="N618" i="20" s="1"/>
  <c r="M619" i="20" a="1"/>
  <c r="M619" i="20"/>
  <c r="N619" i="20" s="1"/>
  <c r="M620" i="20" a="1"/>
  <c r="M620" i="20" s="1"/>
  <c r="M621" i="20" a="1"/>
  <c r="M621" i="20" s="1"/>
  <c r="N621" i="20" s="1"/>
  <c r="M622" i="20" a="1"/>
  <c r="M622" i="20" s="1"/>
  <c r="M623" i="20" a="1"/>
  <c r="M623" i="20" s="1"/>
  <c r="M624" i="20" a="1"/>
  <c r="M624" i="20"/>
  <c r="M625" i="20" a="1"/>
  <c r="M625" i="20" s="1"/>
  <c r="M626" i="20" a="1"/>
  <c r="M626" i="20" s="1"/>
  <c r="N626" i="20" s="1"/>
  <c r="M627" i="20" a="1"/>
  <c r="M627" i="20" s="1"/>
  <c r="N627" i="20" s="1"/>
  <c r="M628" i="20" a="1"/>
  <c r="M628" i="20" s="1"/>
  <c r="M629" i="20" a="1"/>
  <c r="M629" i="20" s="1"/>
  <c r="N629" i="20" s="1"/>
  <c r="M630" i="20" a="1"/>
  <c r="M630" i="20" s="1"/>
  <c r="N630" i="20" s="1"/>
  <c r="M631" i="20" a="1"/>
  <c r="M631" i="20" s="1"/>
  <c r="N631" i="20" s="1"/>
  <c r="M632" i="20" a="1"/>
  <c r="M632" i="20" s="1"/>
  <c r="M633" i="20" a="1"/>
  <c r="M633" i="20" s="1"/>
  <c r="N633" i="20" s="1"/>
  <c r="M634" i="20" a="1"/>
  <c r="M634" i="20" s="1"/>
  <c r="M635" i="20" a="1"/>
  <c r="M635" i="20" s="1"/>
  <c r="N635" i="20" s="1"/>
  <c r="M636" i="20" a="1"/>
  <c r="M636" i="20" s="1"/>
  <c r="M637" i="20" a="1"/>
  <c r="M637" i="20" s="1"/>
  <c r="N637" i="20" s="1"/>
  <c r="M638" i="20" a="1"/>
  <c r="M638" i="20" s="1"/>
  <c r="N638" i="20" s="1"/>
  <c r="M639" i="20" a="1"/>
  <c r="M639" i="20" s="1"/>
  <c r="M640" i="20" a="1"/>
  <c r="M640" i="20" s="1"/>
  <c r="N640" i="20" s="1"/>
  <c r="M641" i="20" a="1"/>
  <c r="M641" i="20" s="1"/>
  <c r="M642" i="20" a="1"/>
  <c r="M642" i="20" s="1"/>
  <c r="N642" i="20" s="1"/>
  <c r="M643" i="20" a="1"/>
  <c r="M643" i="20"/>
  <c r="N643" i="20" s="1"/>
  <c r="M644" i="20" a="1"/>
  <c r="M644" i="20" s="1"/>
  <c r="N644" i="20" s="1"/>
  <c r="M645" i="20" a="1"/>
  <c r="M645" i="20" s="1"/>
  <c r="N645" i="20" s="1"/>
  <c r="M646" i="20" a="1"/>
  <c r="M646" i="20" s="1"/>
  <c r="M647" i="20" a="1"/>
  <c r="M647" i="20"/>
  <c r="M648" i="20" a="1"/>
  <c r="M648" i="20" s="1"/>
  <c r="M649" i="20" a="1"/>
  <c r="M649" i="20" s="1"/>
  <c r="M650" i="20" a="1"/>
  <c r="M650" i="20"/>
  <c r="N650" i="20" s="1"/>
  <c r="M651" i="20" a="1"/>
  <c r="M651" i="20" s="1"/>
  <c r="N651" i="20" s="1"/>
  <c r="M652" i="20" a="1"/>
  <c r="M652" i="20" s="1"/>
  <c r="N652" i="20" s="1"/>
  <c r="M653" i="20" a="1"/>
  <c r="M653" i="20"/>
  <c r="N653" i="20" s="1"/>
  <c r="M654" i="20" a="1"/>
  <c r="M654" i="20" s="1"/>
  <c r="N654" i="20" s="1"/>
  <c r="M655" i="20" a="1"/>
  <c r="M655" i="20" s="1"/>
  <c r="N655" i="20" s="1"/>
  <c r="M656" i="20" a="1"/>
  <c r="M656" i="20"/>
  <c r="M657" i="20" a="1"/>
  <c r="M657" i="20" s="1"/>
  <c r="N657" i="20" s="1"/>
  <c r="M658" i="20" a="1"/>
  <c r="M658" i="20" s="1"/>
  <c r="M659" i="20" a="1"/>
  <c r="M659" i="20"/>
  <c r="M660" i="20" a="1"/>
  <c r="M660" i="20" s="1"/>
  <c r="N660" i="20" s="1"/>
  <c r="M661" i="20" a="1"/>
  <c r="M661" i="20" s="1"/>
  <c r="M662" i="20" a="1"/>
  <c r="M662" i="20" s="1"/>
  <c r="M663" i="20" a="1"/>
  <c r="M663" i="20" s="1"/>
  <c r="M664" i="20" a="1"/>
  <c r="M664" i="20" s="1"/>
  <c r="M665" i="20" a="1"/>
  <c r="M665" i="20" s="1"/>
  <c r="N665" i="20" s="1"/>
  <c r="M666" i="20" a="1"/>
  <c r="M666" i="20" s="1"/>
  <c r="M667" i="20" a="1"/>
  <c r="M667" i="20" s="1"/>
  <c r="M668" i="20" a="1"/>
  <c r="M668" i="20" s="1"/>
  <c r="M669" i="20" a="1"/>
  <c r="M669" i="20" s="1"/>
  <c r="N669" i="20" s="1"/>
  <c r="M670" i="20" a="1"/>
  <c r="M670" i="20" s="1"/>
  <c r="M671" i="20" a="1"/>
  <c r="M671" i="20" s="1"/>
  <c r="N671" i="20" s="1"/>
  <c r="M672" i="20" a="1"/>
  <c r="M672" i="20" s="1"/>
  <c r="N672" i="20" s="1"/>
  <c r="M673" i="20" a="1"/>
  <c r="M673" i="20" s="1"/>
  <c r="M674" i="20" a="1"/>
  <c r="M674" i="20" s="1"/>
  <c r="M675" i="20" a="1"/>
  <c r="M675" i="20" s="1"/>
  <c r="M676" i="20" a="1"/>
  <c r="M676" i="20" s="1"/>
  <c r="M677" i="20" a="1"/>
  <c r="M677" i="20"/>
  <c r="N677" i="20" s="1"/>
  <c r="M678" i="20" a="1"/>
  <c r="M678" i="20" s="1"/>
  <c r="N678" i="20" s="1"/>
  <c r="M679" i="20" a="1"/>
  <c r="M679" i="20" s="1"/>
  <c r="N679" i="20" s="1"/>
  <c r="M680" i="20" a="1"/>
  <c r="M680" i="20" s="1"/>
  <c r="M681" i="20" a="1"/>
  <c r="M681" i="20" s="1"/>
  <c r="M682" i="20" a="1"/>
  <c r="M682" i="20" s="1"/>
  <c r="M683" i="20" a="1"/>
  <c r="M683" i="20" s="1"/>
  <c r="N683" i="20" s="1"/>
  <c r="M684" i="20" a="1"/>
  <c r="M684" i="20" s="1"/>
  <c r="M685" i="20" a="1"/>
  <c r="M685" i="20" s="1"/>
  <c r="N685" i="20" s="1"/>
  <c r="M686" i="20" a="1"/>
  <c r="M686" i="20" s="1"/>
  <c r="N686" i="20" s="1"/>
  <c r="M687" i="20" a="1"/>
  <c r="M687" i="20"/>
  <c r="N687" i="20" s="1"/>
  <c r="M688" i="20" a="1"/>
  <c r="M688" i="20" s="1"/>
  <c r="M689" i="20" a="1"/>
  <c r="M689" i="20" s="1"/>
  <c r="N689" i="20" s="1"/>
  <c r="M690" i="20" a="1"/>
  <c r="M690" i="20" s="1"/>
  <c r="N690" i="20" s="1"/>
  <c r="M691" i="20" a="1"/>
  <c r="M691" i="20" s="1"/>
  <c r="N2" i="20"/>
  <c r="N5" i="20"/>
  <c r="N6" i="20"/>
  <c r="N8" i="20"/>
  <c r="N12" i="20"/>
  <c r="N13" i="20"/>
  <c r="N15" i="20"/>
  <c r="N16" i="20"/>
  <c r="N27" i="20"/>
  <c r="N32" i="20"/>
  <c r="N33" i="20"/>
  <c r="N34" i="20"/>
  <c r="N45" i="20"/>
  <c r="N48" i="20"/>
  <c r="N50" i="20"/>
  <c r="N58" i="20"/>
  <c r="N60" i="20"/>
  <c r="N61" i="20"/>
  <c r="N62" i="20"/>
  <c r="N63" i="20"/>
  <c r="N67" i="20"/>
  <c r="N69" i="20"/>
  <c r="N73" i="20"/>
  <c r="N74" i="20"/>
  <c r="N76" i="20"/>
  <c r="N80" i="20"/>
  <c r="N82" i="20"/>
  <c r="N84" i="20"/>
  <c r="N89" i="20"/>
  <c r="N92" i="20"/>
  <c r="N93" i="20"/>
  <c r="N97" i="20"/>
  <c r="N99" i="20"/>
  <c r="N100" i="20"/>
  <c r="N109" i="20"/>
  <c r="N111" i="20"/>
  <c r="N113" i="20"/>
  <c r="N118" i="20"/>
  <c r="N124" i="20"/>
  <c r="N125" i="20"/>
  <c r="N136" i="20"/>
  <c r="N139" i="20"/>
  <c r="N145" i="20"/>
  <c r="N146" i="20"/>
  <c r="N148" i="20"/>
  <c r="N151" i="20"/>
  <c r="N154" i="20"/>
  <c r="N158" i="20"/>
  <c r="N165" i="20"/>
  <c r="N172" i="20"/>
  <c r="N174" i="20"/>
  <c r="N176" i="20"/>
  <c r="N178" i="20"/>
  <c r="N192" i="20"/>
  <c r="N197" i="20"/>
  <c r="N198" i="20"/>
  <c r="N199" i="20"/>
  <c r="N200" i="20"/>
  <c r="N205" i="20"/>
  <c r="N206" i="20"/>
  <c r="N207" i="20"/>
  <c r="N214" i="20"/>
  <c r="N218" i="20"/>
  <c r="N219" i="20"/>
  <c r="N220" i="20"/>
  <c r="N224" i="20"/>
  <c r="N233" i="20"/>
  <c r="N243" i="20"/>
  <c r="N244" i="20"/>
  <c r="N250" i="20"/>
  <c r="N254" i="20"/>
  <c r="N256" i="20"/>
  <c r="N268" i="20"/>
  <c r="N274" i="20"/>
  <c r="N278" i="20"/>
  <c r="N281" i="20"/>
  <c r="N282" i="20"/>
  <c r="N285" i="20"/>
  <c r="N289" i="20"/>
  <c r="N294" i="20"/>
  <c r="N297" i="20"/>
  <c r="N302" i="20"/>
  <c r="N308" i="20"/>
  <c r="N309" i="20"/>
  <c r="N310" i="20"/>
  <c r="N314" i="20"/>
  <c r="N316" i="20"/>
  <c r="N322" i="20"/>
  <c r="N328" i="20"/>
  <c r="N331" i="20"/>
  <c r="N332" i="20"/>
  <c r="N335" i="20"/>
  <c r="N340" i="20"/>
  <c r="N344" i="20"/>
  <c r="N346" i="20"/>
  <c r="N352" i="20"/>
  <c r="N354" i="20"/>
  <c r="N356" i="20"/>
  <c r="N358" i="20"/>
  <c r="N366" i="20"/>
  <c r="N367" i="20"/>
  <c r="N369" i="20"/>
  <c r="N370" i="20"/>
  <c r="N374" i="20"/>
  <c r="N376" i="20"/>
  <c r="N382" i="20"/>
  <c r="N390" i="20"/>
  <c r="N393" i="20"/>
  <c r="N394" i="20"/>
  <c r="N395" i="20"/>
  <c r="N400" i="20"/>
  <c r="N402" i="20"/>
  <c r="N412" i="20"/>
  <c r="N415" i="20"/>
  <c r="N416" i="20"/>
  <c r="N418" i="20"/>
  <c r="N423" i="20"/>
  <c r="N430" i="20"/>
  <c r="N431" i="20"/>
  <c r="N434" i="20"/>
  <c r="N436" i="20"/>
  <c r="N438" i="20"/>
  <c r="N439" i="20"/>
  <c r="N442" i="20"/>
  <c r="N448" i="20"/>
  <c r="N452" i="20"/>
  <c r="N454" i="20"/>
  <c r="N459" i="20"/>
  <c r="N460" i="20"/>
  <c r="N466" i="20"/>
  <c r="N467" i="20"/>
  <c r="N472" i="20"/>
  <c r="N474" i="20"/>
  <c r="N475" i="20"/>
  <c r="N478" i="20"/>
  <c r="N482" i="20"/>
  <c r="N484" i="20"/>
  <c r="N487" i="20"/>
  <c r="N489" i="20"/>
  <c r="N490" i="20"/>
  <c r="N492" i="20"/>
  <c r="N494" i="20"/>
  <c r="N496" i="20"/>
  <c r="N498" i="20"/>
  <c r="N501" i="20"/>
  <c r="N502" i="20"/>
  <c r="N505" i="20"/>
  <c r="N507" i="20"/>
  <c r="N514" i="20"/>
  <c r="N515" i="20"/>
  <c r="N516" i="20"/>
  <c r="N519" i="20"/>
  <c r="N520" i="20"/>
  <c r="N521" i="20"/>
  <c r="N524" i="20"/>
  <c r="N526" i="20"/>
  <c r="N532" i="20"/>
  <c r="N534" i="20"/>
  <c r="N535" i="20"/>
  <c r="N537" i="20"/>
  <c r="N539" i="20"/>
  <c r="N542" i="20"/>
  <c r="N544" i="20"/>
  <c r="N546" i="20"/>
  <c r="N548" i="20"/>
  <c r="N550" i="20"/>
  <c r="N551" i="20"/>
  <c r="N552" i="20"/>
  <c r="N554" i="20"/>
  <c r="N555" i="20"/>
  <c r="N559" i="20"/>
  <c r="N561" i="20"/>
  <c r="N564" i="20"/>
  <c r="N568" i="20"/>
  <c r="N569" i="20"/>
  <c r="N572" i="20"/>
  <c r="N579" i="20"/>
  <c r="N580" i="20"/>
  <c r="N581" i="20"/>
  <c r="N582" i="20"/>
  <c r="N586" i="20"/>
  <c r="N590" i="20"/>
  <c r="N592" i="20"/>
  <c r="N595" i="20"/>
  <c r="N597" i="20"/>
  <c r="N598" i="20"/>
  <c r="N600" i="20"/>
  <c r="N604" i="20"/>
  <c r="N607" i="20"/>
  <c r="N610" i="20"/>
  <c r="N614" i="20"/>
  <c r="N620" i="20"/>
  <c r="N622" i="20"/>
  <c r="N623" i="20"/>
  <c r="N624" i="20"/>
  <c r="N625" i="20"/>
  <c r="N628" i="20"/>
  <c r="N632" i="20"/>
  <c r="N634" i="20"/>
  <c r="N636" i="20"/>
  <c r="N639" i="20"/>
  <c r="N641" i="20"/>
  <c r="N646" i="20"/>
  <c r="N647" i="20"/>
  <c r="N648" i="20"/>
  <c r="N649" i="20"/>
  <c r="N656" i="20"/>
  <c r="N658" i="20"/>
  <c r="N659" i="20"/>
  <c r="N661" i="20"/>
  <c r="N664" i="20"/>
  <c r="N666" i="20"/>
  <c r="N667" i="20"/>
  <c r="N668" i="20"/>
  <c r="N670" i="20"/>
  <c r="N674" i="20"/>
  <c r="N675" i="20"/>
  <c r="N676" i="20"/>
  <c r="N680" i="20"/>
  <c r="N682" i="20"/>
  <c r="N684" i="20"/>
  <c r="N688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/>
  <c r="O177" i="20" a="1"/>
  <c r="O177" i="20"/>
  <c r="O178" i="20" a="1"/>
  <c r="O178" i="20"/>
  <c r="O179" i="20" a="1"/>
  <c r="O179" i="20" s="1"/>
  <c r="O180" i="20" a="1"/>
  <c r="O180" i="20" s="1"/>
  <c r="O181" i="20" a="1"/>
  <c r="O181" i="20" s="1"/>
  <c r="O182" i="20" a="1"/>
  <c r="O182" i="20"/>
  <c r="O183" i="20" a="1"/>
  <c r="O183" i="20" s="1"/>
  <c r="O184" i="20" a="1"/>
  <c r="O184" i="20" s="1"/>
  <c r="O185" i="20" a="1"/>
  <c r="O185" i="20" s="1"/>
  <c r="O186" i="20" a="1"/>
  <c r="O186" i="20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/>
  <c r="O255" i="20" a="1"/>
  <c r="O255" i="20" s="1"/>
  <c r="O256" i="20" a="1"/>
  <c r="O256" i="20" s="1"/>
  <c r="O257" i="20" a="1"/>
  <c r="O257" i="20" s="1"/>
  <c r="O258" i="20" a="1"/>
  <c r="O258" i="20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/>
  <c r="O294" i="20" a="1"/>
  <c r="O294" i="20" s="1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/>
  <c r="O305" i="20" a="1"/>
  <c r="O305" i="20" s="1"/>
  <c r="O306" i="20" a="1"/>
  <c r="O306" i="20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/>
  <c r="O315" i="20" a="1"/>
  <c r="O315" i="20"/>
  <c r="O316" i="20" a="1"/>
  <c r="O316" i="20" s="1"/>
  <c r="O317" i="20" a="1"/>
  <c r="O317" i="20"/>
  <c r="O318" i="20" a="1"/>
  <c r="O318" i="20" s="1"/>
  <c r="O319" i="20" a="1"/>
  <c r="O319" i="20" s="1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/>
  <c r="O327" i="20" a="1"/>
  <c r="O327" i="20"/>
  <c r="O328" i="20" a="1"/>
  <c r="O328" i="20"/>
  <c r="O329" i="20" a="1"/>
  <c r="O329" i="20" s="1"/>
  <c r="O330" i="20" a="1"/>
  <c r="O330" i="20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/>
  <c r="O341" i="20" a="1"/>
  <c r="O341" i="20"/>
  <c r="O342" i="20" a="1"/>
  <c r="O342" i="20" s="1"/>
  <c r="O343" i="20" a="1"/>
  <c r="O343" i="20" s="1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/>
  <c r="O351" i="20" a="1"/>
  <c r="O351" i="20" s="1"/>
  <c r="O352" i="20" a="1"/>
  <c r="O352" i="20" s="1"/>
  <c r="O353" i="20" a="1"/>
  <c r="O353" i="20"/>
  <c r="O354" i="20" a="1"/>
  <c r="O354" i="20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 s="1"/>
  <c r="O360" i="20" a="1"/>
  <c r="O360" i="20" s="1"/>
  <c r="O361" i="20" a="1"/>
  <c r="O361" i="20" s="1"/>
  <c r="O362" i="20" a="1"/>
  <c r="O362" i="20" s="1"/>
  <c r="O363" i="20" a="1"/>
  <c r="O363" i="20"/>
  <c r="O364" i="20" a="1"/>
  <c r="O364" i="20" s="1"/>
  <c r="O365" i="20" a="1"/>
  <c r="O365" i="20" s="1"/>
  <c r="O366" i="20" a="1"/>
  <c r="O366" i="20" s="1"/>
  <c r="O367" i="20" a="1"/>
  <c r="O367" i="20" s="1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/>
  <c r="O375" i="20" a="1"/>
  <c r="O375" i="20" s="1"/>
  <c r="O376" i="20" a="1"/>
  <c r="O376" i="20" s="1"/>
  <c r="O377" i="20" a="1"/>
  <c r="O377" i="20" s="1"/>
  <c r="O378" i="20" a="1"/>
  <c r="O378" i="20" s="1"/>
  <c r="O379" i="20" a="1"/>
  <c r="O379" i="20" s="1"/>
  <c r="O380" i="20" a="1"/>
  <c r="O380" i="20" s="1"/>
  <c r="O381" i="20" a="1"/>
  <c r="O381" i="20"/>
  <c r="O382" i="20" a="1"/>
  <c r="O382" i="20" s="1"/>
  <c r="O383" i="20" a="1"/>
  <c r="O383" i="20" s="1"/>
  <c r="O384" i="20" a="1"/>
  <c r="O384" i="20" s="1"/>
  <c r="O385" i="20" a="1"/>
  <c r="O385" i="20" s="1"/>
  <c r="O386" i="20" a="1"/>
  <c r="O386" i="20" s="1"/>
  <c r="O387" i="20" a="1"/>
  <c r="O387" i="20"/>
  <c r="O388" i="20" a="1"/>
  <c r="O388" i="20" s="1"/>
  <c r="O389" i="20" a="1"/>
  <c r="O389" i="20" s="1"/>
  <c r="O390" i="20" a="1"/>
  <c r="O390" i="20" s="1"/>
  <c r="O391" i="20" a="1"/>
  <c r="O391" i="20" s="1"/>
  <c r="O392" i="20" a="1"/>
  <c r="O392" i="20" s="1"/>
  <c r="O393" i="20" a="1"/>
  <c r="O393" i="20" s="1"/>
  <c r="O394" i="20" a="1"/>
  <c r="O394" i="20"/>
  <c r="O395" i="20" a="1"/>
  <c r="O395" i="20" s="1"/>
  <c r="O396" i="20" a="1"/>
  <c r="O396" i="20" s="1"/>
  <c r="O397" i="20" a="1"/>
  <c r="O397" i="20" s="1"/>
  <c r="O398" i="20" a="1"/>
  <c r="O398" i="20"/>
  <c r="O399" i="20" a="1"/>
  <c r="O399" i="20" s="1"/>
  <c r="O400" i="20" a="1"/>
  <c r="O400" i="20"/>
  <c r="O401" i="20" a="1"/>
  <c r="O401" i="20" s="1"/>
  <c r="O402" i="20" a="1"/>
  <c r="O402" i="20" s="1"/>
  <c r="O403" i="20" a="1"/>
  <c r="O403" i="20" s="1"/>
  <c r="O404" i="20" a="1"/>
  <c r="O404" i="20" s="1"/>
  <c r="O405" i="20" a="1"/>
  <c r="O405" i="20" s="1"/>
  <c r="O406" i="20" a="1"/>
  <c r="O406" i="20" s="1"/>
  <c r="O407" i="20" a="1"/>
  <c r="O407" i="20"/>
  <c r="O408" i="20" a="1"/>
  <c r="O408" i="20" s="1"/>
  <c r="O409" i="20" a="1"/>
  <c r="O409" i="20" s="1"/>
  <c r="O410" i="20" a="1"/>
  <c r="O410" i="20" s="1"/>
  <c r="O411" i="20" a="1"/>
  <c r="O411" i="20"/>
  <c r="O412" i="20" a="1"/>
  <c r="O412" i="20" s="1"/>
  <c r="O413" i="20" a="1"/>
  <c r="O413" i="20" s="1"/>
  <c r="O414" i="20" a="1"/>
  <c r="O414" i="20" s="1"/>
  <c r="O415" i="20" a="1"/>
  <c r="O415" i="20" s="1"/>
  <c r="O416" i="20" a="1"/>
  <c r="O416" i="20" s="1"/>
  <c r="O417" i="20" a="1"/>
  <c r="O417" i="20" s="1"/>
  <c r="O418" i="20" a="1"/>
  <c r="O418" i="20" s="1"/>
  <c r="O419" i="20" a="1"/>
  <c r="O419" i="20"/>
  <c r="O420" i="20" a="1"/>
  <c r="O420" i="20"/>
  <c r="O421" i="20" a="1"/>
  <c r="O421" i="20" s="1"/>
  <c r="O422" i="20" a="1"/>
  <c r="O422" i="20" s="1"/>
  <c r="O423" i="20" a="1"/>
  <c r="O423" i="20" s="1"/>
  <c r="O424" i="20" a="1"/>
  <c r="O424" i="20" s="1"/>
  <c r="O425" i="20" a="1"/>
  <c r="O425" i="20" s="1"/>
  <c r="O426" i="20" a="1"/>
  <c r="O426" i="20"/>
  <c r="O427" i="20" a="1"/>
  <c r="O427" i="20" s="1"/>
  <c r="O428" i="20" a="1"/>
  <c r="O428" i="20" s="1"/>
  <c r="O429" i="20" a="1"/>
  <c r="O429" i="20" s="1"/>
  <c r="O430" i="20" a="1"/>
  <c r="O430" i="20" s="1"/>
  <c r="O431" i="20" a="1"/>
  <c r="O431" i="20" s="1"/>
  <c r="O432" i="20" a="1"/>
  <c r="O432" i="20"/>
  <c r="O433" i="20" a="1"/>
  <c r="O433" i="20" s="1"/>
  <c r="O434" i="20" a="1"/>
  <c r="O434" i="20" s="1"/>
  <c r="O435" i="20" a="1"/>
  <c r="O435" i="20" s="1"/>
  <c r="O436" i="20" a="1"/>
  <c r="O436" i="20" s="1"/>
  <c r="O437" i="20" a="1"/>
  <c r="O437" i="20" s="1"/>
  <c r="O438" i="20" a="1"/>
  <c r="O438" i="20" s="1"/>
  <c r="O439" i="20" a="1"/>
  <c r="O439" i="20" s="1"/>
  <c r="O440" i="20" a="1"/>
  <c r="O440" i="20" s="1"/>
  <c r="O441" i="20" a="1"/>
  <c r="O441" i="20" s="1"/>
  <c r="O442" i="20" a="1"/>
  <c r="O442" i="20" s="1"/>
  <c r="O443" i="20" a="1"/>
  <c r="O443" i="20" s="1"/>
  <c r="O444" i="20" a="1"/>
  <c r="O444" i="20" s="1"/>
  <c r="O445" i="20" a="1"/>
  <c r="O445" i="20" s="1"/>
  <c r="O446" i="20" a="1"/>
  <c r="O446" i="20"/>
  <c r="O447" i="20" a="1"/>
  <c r="O447" i="20" s="1"/>
  <c r="O448" i="20" a="1"/>
  <c r="O448" i="20" s="1"/>
  <c r="O449" i="20" a="1"/>
  <c r="O449" i="20" s="1"/>
  <c r="O450" i="20" a="1"/>
  <c r="O450" i="20"/>
  <c r="O451" i="20" a="1"/>
  <c r="O451" i="20" s="1"/>
  <c r="O452" i="20" a="1"/>
  <c r="O452" i="20"/>
  <c r="O453" i="20" a="1"/>
  <c r="O453" i="20"/>
  <c r="O454" i="20" a="1"/>
  <c r="O454" i="20" s="1"/>
  <c r="O455" i="20" a="1"/>
  <c r="O455" i="20" s="1"/>
  <c r="O456" i="20" a="1"/>
  <c r="O456" i="20" s="1"/>
  <c r="O457" i="20" a="1"/>
  <c r="O457" i="20" s="1"/>
  <c r="O458" i="20" a="1"/>
  <c r="O458" i="20" s="1"/>
  <c r="O459" i="20" a="1"/>
  <c r="O459" i="20"/>
  <c r="O460" i="20" a="1"/>
  <c r="O460" i="20" s="1"/>
  <c r="O461" i="20" a="1"/>
  <c r="O461" i="20" s="1"/>
  <c r="O462" i="20" a="1"/>
  <c r="O462" i="20" s="1"/>
  <c r="O463" i="20" a="1"/>
  <c r="O463" i="20" s="1"/>
  <c r="O464" i="20" a="1"/>
  <c r="O464" i="20" s="1"/>
  <c r="O465" i="20" a="1"/>
  <c r="O465" i="20"/>
  <c r="O466" i="20" a="1"/>
  <c r="O466" i="20"/>
  <c r="O467" i="20" a="1"/>
  <c r="O467" i="20" s="1"/>
  <c r="O468" i="20" a="1"/>
  <c r="O468" i="20" s="1"/>
  <c r="O469" i="20" a="1"/>
  <c r="O469" i="20" s="1"/>
  <c r="O470" i="20" a="1"/>
  <c r="O470" i="20" s="1"/>
  <c r="O471" i="20" a="1"/>
  <c r="O471" i="20" s="1"/>
  <c r="O472" i="20" a="1"/>
  <c r="O472" i="20"/>
  <c r="O473" i="20" a="1"/>
  <c r="O473" i="20" s="1"/>
  <c r="O474" i="20" a="1"/>
  <c r="O474" i="20" s="1"/>
  <c r="O475" i="20" a="1"/>
  <c r="O475" i="20" s="1"/>
  <c r="O476" i="20" a="1"/>
  <c r="O476" i="20" s="1"/>
  <c r="O477" i="20" a="1"/>
  <c r="O477" i="20" s="1"/>
  <c r="O478" i="20" a="1"/>
  <c r="O478" i="20" s="1"/>
  <c r="O479" i="20" a="1"/>
  <c r="O479" i="20" s="1"/>
  <c r="O480" i="20" a="1"/>
  <c r="O480" i="20" s="1"/>
  <c r="O481" i="20" a="1"/>
  <c r="O481" i="20" s="1"/>
  <c r="O482" i="20" a="1"/>
  <c r="O482" i="20" s="1"/>
  <c r="O483" i="20" a="1"/>
  <c r="O483" i="20" s="1"/>
  <c r="O484" i="20" a="1"/>
  <c r="O484" i="20" s="1"/>
  <c r="O485" i="20" a="1"/>
  <c r="O485" i="20" s="1"/>
  <c r="O486" i="20" a="1"/>
  <c r="O486" i="20" s="1"/>
  <c r="O487" i="20" a="1"/>
  <c r="O487" i="20" s="1"/>
  <c r="O488" i="20" a="1"/>
  <c r="O488" i="20" s="1"/>
  <c r="O489" i="20" a="1"/>
  <c r="O489" i="20" s="1"/>
  <c r="O490" i="20" a="1"/>
  <c r="O490" i="20" s="1"/>
  <c r="O491" i="20" a="1"/>
  <c r="O491" i="20" s="1"/>
  <c r="O492" i="20" a="1"/>
  <c r="O492" i="20"/>
  <c r="O493" i="20" a="1"/>
  <c r="O493" i="20" s="1"/>
  <c r="O494" i="20" a="1"/>
  <c r="O494" i="20" s="1"/>
  <c r="O495" i="20" a="1"/>
  <c r="O495" i="20" s="1"/>
  <c r="O496" i="20" a="1"/>
  <c r="O496" i="20" s="1"/>
  <c r="O497" i="20" a="1"/>
  <c r="O497" i="20" s="1"/>
  <c r="O498" i="20" a="1"/>
  <c r="O498" i="20"/>
  <c r="O499" i="20" a="1"/>
  <c r="O499" i="20" s="1"/>
  <c r="O500" i="20" a="1"/>
  <c r="O500" i="20" s="1"/>
  <c r="O501" i="20" a="1"/>
  <c r="O501" i="20" s="1"/>
  <c r="O502" i="20" a="1"/>
  <c r="O502" i="20" s="1"/>
  <c r="O503" i="20" a="1"/>
  <c r="O503" i="20" s="1"/>
  <c r="O504" i="20" a="1"/>
  <c r="O504" i="20" s="1"/>
  <c r="O505" i="20" a="1"/>
  <c r="O505" i="20" s="1"/>
  <c r="O506" i="20" a="1"/>
  <c r="O506" i="20" s="1"/>
  <c r="O507" i="20" a="1"/>
  <c r="O507" i="20" s="1"/>
  <c r="O508" i="20" a="1"/>
  <c r="O508" i="20" s="1"/>
  <c r="O509" i="20" a="1"/>
  <c r="O509" i="20"/>
  <c r="O510" i="20" a="1"/>
  <c r="O510" i="20" s="1"/>
  <c r="O511" i="20" a="1"/>
  <c r="O511" i="20" s="1"/>
  <c r="O512" i="20" a="1"/>
  <c r="O512" i="20"/>
  <c r="O513" i="20" a="1"/>
  <c r="O513" i="20" s="1"/>
  <c r="O514" i="20" a="1"/>
  <c r="O514" i="20" s="1"/>
  <c r="O515" i="20" a="1"/>
  <c r="O515" i="20" s="1"/>
  <c r="O516" i="20" a="1"/>
  <c r="O516" i="20" s="1"/>
  <c r="O517" i="20" a="1"/>
  <c r="O517" i="20" s="1"/>
  <c r="O518" i="20" a="1"/>
  <c r="O518" i="20"/>
  <c r="O519" i="20" a="1"/>
  <c r="O519" i="20" s="1"/>
  <c r="O520" i="20" a="1"/>
  <c r="O520" i="20"/>
  <c r="O521" i="20" a="1"/>
  <c r="O521" i="20" s="1"/>
  <c r="O522" i="20" a="1"/>
  <c r="O522" i="20" s="1"/>
  <c r="O523" i="20" a="1"/>
  <c r="O523" i="20" s="1"/>
  <c r="O524" i="20" a="1"/>
  <c r="O524" i="20" s="1"/>
  <c r="O525" i="20" a="1"/>
  <c r="O525" i="20" s="1"/>
  <c r="O526" i="20" a="1"/>
  <c r="O526" i="20" s="1"/>
  <c r="O527" i="20" a="1"/>
  <c r="O527" i="20" s="1"/>
  <c r="O528" i="20" a="1"/>
  <c r="O528" i="20" s="1"/>
  <c r="O529" i="20" a="1"/>
  <c r="O529" i="20" s="1"/>
  <c r="O530" i="20" a="1"/>
  <c r="O530" i="20" s="1"/>
  <c r="O531" i="20" a="1"/>
  <c r="O531" i="20"/>
  <c r="O532" i="20" a="1"/>
  <c r="O532" i="20" s="1"/>
  <c r="O533" i="20" a="1"/>
  <c r="O533" i="20"/>
  <c r="O534" i="20" a="1"/>
  <c r="O534" i="20" s="1"/>
  <c r="O535" i="20" a="1"/>
  <c r="O535" i="20" s="1"/>
  <c r="O536" i="20" a="1"/>
  <c r="O536" i="20" s="1"/>
  <c r="O537" i="20" a="1"/>
  <c r="O537" i="20" s="1"/>
  <c r="O538" i="20" a="1"/>
  <c r="O538" i="20" s="1"/>
  <c r="O539" i="20" a="1"/>
  <c r="O539" i="20" s="1"/>
  <c r="O540" i="20" a="1"/>
  <c r="O540" i="20" s="1"/>
  <c r="O541" i="20" a="1"/>
  <c r="O541" i="20" s="1"/>
  <c r="O542" i="20" a="1"/>
  <c r="O542" i="20"/>
  <c r="O543" i="20" a="1"/>
  <c r="O543" i="20" s="1"/>
  <c r="O544" i="20" a="1"/>
  <c r="O544" i="20" s="1"/>
  <c r="O545" i="20" a="1"/>
  <c r="O545" i="20" s="1"/>
  <c r="O546" i="20" a="1"/>
  <c r="O546" i="20"/>
  <c r="O547" i="20" a="1"/>
  <c r="O547" i="20" s="1"/>
  <c r="O548" i="20" a="1"/>
  <c r="O548" i="20" s="1"/>
  <c r="O549" i="20" a="1"/>
  <c r="O549" i="20" s="1"/>
  <c r="O550" i="20" a="1"/>
  <c r="O550" i="20" s="1"/>
  <c r="O551" i="20" a="1"/>
  <c r="O551" i="20" s="1"/>
  <c r="O552" i="20" a="1"/>
  <c r="O552" i="20" s="1"/>
  <c r="O553" i="20" a="1"/>
  <c r="O553" i="20" s="1"/>
  <c r="O554" i="20" a="1"/>
  <c r="O554" i="20" s="1"/>
  <c r="O555" i="20" a="1"/>
  <c r="O555" i="20" s="1"/>
  <c r="O556" i="20" a="1"/>
  <c r="O556" i="20" s="1"/>
  <c r="O557" i="20" a="1"/>
  <c r="O557" i="20"/>
  <c r="O558" i="20" a="1"/>
  <c r="O558" i="20" s="1"/>
  <c r="O559" i="20" a="1"/>
  <c r="O559" i="20" s="1"/>
  <c r="O560" i="20" a="1"/>
  <c r="O560" i="20" s="1"/>
  <c r="O561" i="20" a="1"/>
  <c r="O561" i="20" s="1"/>
  <c r="O562" i="20" a="1"/>
  <c r="O562" i="20" s="1"/>
  <c r="O563" i="20" a="1"/>
  <c r="O563" i="20" s="1"/>
  <c r="O564" i="20" a="1"/>
  <c r="O564" i="20" s="1"/>
  <c r="O565" i="20" a="1"/>
  <c r="O565" i="20" s="1"/>
  <c r="O566" i="20" a="1"/>
  <c r="O566" i="20" s="1"/>
  <c r="O567" i="20" a="1"/>
  <c r="O567" i="20" s="1"/>
  <c r="O568" i="20" a="1"/>
  <c r="O568" i="20"/>
  <c r="O569" i="20" a="1"/>
  <c r="O569" i="20" s="1"/>
  <c r="O570" i="20" a="1"/>
  <c r="O570" i="20"/>
  <c r="O571" i="20" a="1"/>
  <c r="O571" i="20" s="1"/>
  <c r="O572" i="20" a="1"/>
  <c r="O572" i="20" s="1"/>
  <c r="O573" i="20" a="1"/>
  <c r="O573" i="20" s="1"/>
  <c r="O574" i="20" a="1"/>
  <c r="O574" i="20" s="1"/>
  <c r="O575" i="20" a="1"/>
  <c r="O575" i="20" s="1"/>
  <c r="O576" i="20" a="1"/>
  <c r="O576" i="20"/>
  <c r="O577" i="20" a="1"/>
  <c r="O577" i="20" s="1"/>
  <c r="O578" i="20" a="1"/>
  <c r="O578" i="20" s="1"/>
  <c r="O579" i="20" a="1"/>
  <c r="O579" i="20" s="1"/>
  <c r="O580" i="20" a="1"/>
  <c r="O580" i="20" s="1"/>
  <c r="O581" i="20" a="1"/>
  <c r="O581" i="20" s="1"/>
  <c r="O582" i="20" a="1"/>
  <c r="O582" i="20" s="1"/>
  <c r="O583" i="20" a="1"/>
  <c r="O583" i="20" s="1"/>
  <c r="O584" i="20" a="1"/>
  <c r="O584" i="20" s="1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 s="1"/>
  <c r="O590" i="20" a="1"/>
  <c r="O590" i="20" s="1"/>
  <c r="O591" i="20" a="1"/>
  <c r="O591" i="20" s="1"/>
  <c r="O592" i="20" a="1"/>
  <c r="O592" i="20" s="1"/>
  <c r="O593" i="20" a="1"/>
  <c r="O593" i="20" s="1"/>
  <c r="O594" i="20" a="1"/>
  <c r="O594" i="20" s="1"/>
  <c r="O595" i="20" a="1"/>
  <c r="O595" i="20" s="1"/>
  <c r="O596" i="20" a="1"/>
  <c r="O596" i="20" s="1"/>
  <c r="O597" i="20" a="1"/>
  <c r="O597" i="20" s="1"/>
  <c r="O598" i="20" a="1"/>
  <c r="O598" i="20" s="1"/>
  <c r="O599" i="20" a="1"/>
  <c r="O599" i="20" s="1"/>
  <c r="O600" i="20" a="1"/>
  <c r="O600" i="20" s="1"/>
  <c r="O601" i="20" a="1"/>
  <c r="O601" i="20" s="1"/>
  <c r="O602" i="20" a="1"/>
  <c r="O602" i="20" s="1"/>
  <c r="O603" i="20" a="1"/>
  <c r="O603" i="20" s="1"/>
  <c r="O604" i="20" a="1"/>
  <c r="O604" i="20" s="1"/>
  <c r="O605" i="20" a="1"/>
  <c r="O605" i="20" s="1"/>
  <c r="O606" i="20" a="1"/>
  <c r="O606" i="20" s="1"/>
  <c r="O607" i="20" a="1"/>
  <c r="O607" i="20" s="1"/>
  <c r="O608" i="20" a="1"/>
  <c r="O608" i="20" s="1"/>
  <c r="O609" i="20" a="1"/>
  <c r="O609" i="20" s="1"/>
  <c r="O610" i="20" a="1"/>
  <c r="O610" i="20" s="1"/>
  <c r="O611" i="20" a="1"/>
  <c r="O611" i="20" s="1"/>
  <c r="O612" i="20" a="1"/>
  <c r="O612" i="20" s="1"/>
  <c r="O613" i="20" a="1"/>
  <c r="O613" i="20" s="1"/>
  <c r="O614" i="20" a="1"/>
  <c r="O614" i="20" s="1"/>
  <c r="O615" i="20" a="1"/>
  <c r="O615" i="20" s="1"/>
  <c r="O616" i="20" a="1"/>
  <c r="O616" i="20" s="1"/>
  <c r="O617" i="20" a="1"/>
  <c r="O617" i="20" s="1"/>
  <c r="O618" i="20" a="1"/>
  <c r="O618" i="20" s="1"/>
  <c r="O619" i="20" a="1"/>
  <c r="O619" i="20" s="1"/>
  <c r="O620" i="20" a="1"/>
  <c r="O620" i="20" s="1"/>
  <c r="O621" i="20" a="1"/>
  <c r="O621" i="20" s="1"/>
  <c r="O622" i="20" a="1"/>
  <c r="O622" i="20" s="1"/>
  <c r="O623" i="20" a="1"/>
  <c r="O623" i="20" s="1"/>
  <c r="O624" i="20" a="1"/>
  <c r="O624" i="20" s="1"/>
  <c r="O625" i="20" a="1"/>
  <c r="O625" i="20" s="1"/>
  <c r="O626" i="20" a="1"/>
  <c r="O626" i="20" s="1"/>
  <c r="O627" i="20" a="1"/>
  <c r="O627" i="20" s="1"/>
  <c r="O628" i="20" a="1"/>
  <c r="O628" i="20" s="1"/>
  <c r="O629" i="20" a="1"/>
  <c r="O629" i="20" s="1"/>
  <c r="O630" i="20" a="1"/>
  <c r="O630" i="20" s="1"/>
  <c r="O631" i="20" a="1"/>
  <c r="O631" i="20" s="1"/>
  <c r="O632" i="20" a="1"/>
  <c r="O632" i="20" s="1"/>
  <c r="O633" i="20" a="1"/>
  <c r="O633" i="20" s="1"/>
  <c r="O634" i="20" a="1"/>
  <c r="O634" i="20" s="1"/>
  <c r="O635" i="20" a="1"/>
  <c r="O635" i="20" s="1"/>
  <c r="O636" i="20" a="1"/>
  <c r="O636" i="20" s="1"/>
  <c r="O637" i="20" a="1"/>
  <c r="O637" i="20" s="1"/>
  <c r="O638" i="20" a="1"/>
  <c r="O638" i="20" s="1"/>
  <c r="O639" i="20" a="1"/>
  <c r="O639" i="20" s="1"/>
  <c r="O640" i="20" a="1"/>
  <c r="O640" i="20" s="1"/>
  <c r="O641" i="20" a="1"/>
  <c r="O641" i="20" s="1"/>
  <c r="O642" i="20" a="1"/>
  <c r="O642" i="20" s="1"/>
  <c r="O643" i="20" a="1"/>
  <c r="O643" i="20" s="1"/>
  <c r="O644" i="20" a="1"/>
  <c r="O644" i="20" s="1"/>
  <c r="O645" i="20" a="1"/>
  <c r="O645" i="20" s="1"/>
  <c r="O646" i="20" a="1"/>
  <c r="O646" i="20" s="1"/>
  <c r="O647" i="20" a="1"/>
  <c r="O647" i="20" s="1"/>
  <c r="O648" i="20" a="1"/>
  <c r="O648" i="20" s="1"/>
  <c r="O649" i="20" a="1"/>
  <c r="O649" i="20" s="1"/>
  <c r="O650" i="20" a="1"/>
  <c r="O650" i="20" s="1"/>
  <c r="O651" i="20" a="1"/>
  <c r="O651" i="20" s="1"/>
  <c r="O652" i="20" a="1"/>
  <c r="O652" i="20" s="1"/>
  <c r="O653" i="20" a="1"/>
  <c r="O653" i="20" s="1"/>
  <c r="O654" i="20" a="1"/>
  <c r="O654" i="20" s="1"/>
  <c r="O655" i="20" a="1"/>
  <c r="O655" i="20" s="1"/>
  <c r="O656" i="20" a="1"/>
  <c r="O656" i="20" s="1"/>
  <c r="O657" i="20" a="1"/>
  <c r="O657" i="20" s="1"/>
  <c r="O658" i="20" a="1"/>
  <c r="O658" i="20" s="1"/>
  <c r="O659" i="20" a="1"/>
  <c r="O659" i="20" s="1"/>
  <c r="O660" i="20" a="1"/>
  <c r="O660" i="20" s="1"/>
  <c r="O661" i="20" a="1"/>
  <c r="O661" i="20" s="1"/>
  <c r="O662" i="20" a="1"/>
  <c r="O662" i="20" s="1"/>
  <c r="O663" i="20" a="1"/>
  <c r="O663" i="20" s="1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 s="1"/>
  <c r="O671" i="20" a="1"/>
  <c r="O671" i="20" s="1"/>
  <c r="O672" i="20" a="1"/>
  <c r="O672" i="20" s="1"/>
  <c r="O673" i="20" a="1"/>
  <c r="O673" i="20" s="1"/>
  <c r="O674" i="20" a="1"/>
  <c r="O674" i="20" s="1"/>
  <c r="O675" i="20" a="1"/>
  <c r="O675" i="20" s="1"/>
  <c r="O676" i="20" a="1"/>
  <c r="O676" i="20" s="1"/>
  <c r="O677" i="20" a="1"/>
  <c r="O677" i="20" s="1"/>
  <c r="O678" i="20" a="1"/>
  <c r="O678" i="20" s="1"/>
  <c r="O679" i="20" a="1"/>
  <c r="O679" i="20" s="1"/>
  <c r="O680" i="20" a="1"/>
  <c r="O680" i="20" s="1"/>
  <c r="O681" i="20" a="1"/>
  <c r="O681" i="20" s="1"/>
  <c r="O682" i="20" a="1"/>
  <c r="O682" i="20" s="1"/>
  <c r="O683" i="20" a="1"/>
  <c r="O683" i="20" s="1"/>
  <c r="O684" i="20" a="1"/>
  <c r="O684" i="20" s="1"/>
  <c r="O685" i="20" a="1"/>
  <c r="O685" i="20" s="1"/>
  <c r="O686" i="20" a="1"/>
  <c r="O686" i="20" s="1"/>
  <c r="O687" i="20" a="1"/>
  <c r="O687" i="20" s="1"/>
  <c r="O688" i="20" a="1"/>
  <c r="O688" i="20" s="1"/>
  <c r="O689" i="20" a="1"/>
  <c r="O689" i="20" s="1"/>
  <c r="O690" i="20" a="1"/>
  <c r="O690" i="20" s="1"/>
  <c r="O691" i="20" a="1"/>
  <c r="O69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/>
  <c r="P282" i="20" a="1"/>
  <c r="P282" i="20"/>
  <c r="P283" i="20" a="1"/>
  <c r="P283" i="20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/>
  <c r="P295" i="20" a="1"/>
  <c r="P295" i="20" s="1"/>
  <c r="P296" i="20" a="1"/>
  <c r="P296" i="20" s="1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 s="1"/>
  <c r="P314" i="20" a="1"/>
  <c r="P314" i="20" s="1"/>
  <c r="P315" i="20" a="1"/>
  <c r="P315" i="20" s="1"/>
  <c r="P316" i="20" a="1"/>
  <c r="P316" i="20" s="1"/>
  <c r="P317" i="20" a="1"/>
  <c r="P317" i="20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/>
  <c r="P330" i="20" a="1"/>
  <c r="P330" i="20"/>
  <c r="P331" i="20" a="1"/>
  <c r="P331" i="20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/>
  <c r="P343" i="20" a="1"/>
  <c r="P343" i="20" s="1"/>
  <c r="P344" i="20" a="1"/>
  <c r="P344" i="20" s="1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 s="1"/>
  <c r="P355" i="20" a="1"/>
  <c r="P355" i="20"/>
  <c r="P356" i="20" a="1"/>
  <c r="P356" i="20" s="1"/>
  <c r="P357" i="20" a="1"/>
  <c r="P357" i="20" s="1"/>
  <c r="P358" i="20" a="1"/>
  <c r="P358" i="20" s="1"/>
  <c r="P359" i="20" a="1"/>
  <c r="P359" i="20" s="1"/>
  <c r="P360" i="20" a="1"/>
  <c r="P360" i="20" s="1"/>
  <c r="P361" i="20" a="1"/>
  <c r="P361" i="20" s="1"/>
  <c r="P362" i="20" a="1"/>
  <c r="P362" i="20" s="1"/>
  <c r="P363" i="20" a="1"/>
  <c r="P363" i="20" s="1"/>
  <c r="P364" i="20" a="1"/>
  <c r="P364" i="20" s="1"/>
  <c r="P365" i="20" a="1"/>
  <c r="P365" i="20"/>
  <c r="P366" i="20" a="1"/>
  <c r="P366" i="20" s="1"/>
  <c r="P367" i="20" a="1"/>
  <c r="P367" i="20" s="1"/>
  <c r="P368" i="20" a="1"/>
  <c r="P368" i="20" s="1"/>
  <c r="P369" i="20" a="1"/>
  <c r="P369" i="20" s="1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 s="1"/>
  <c r="P377" i="20" a="1"/>
  <c r="P377" i="20"/>
  <c r="P378" i="20" a="1"/>
  <c r="P378" i="20"/>
  <c r="P379" i="20" a="1"/>
  <c r="P379" i="20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/>
  <c r="P391" i="20" a="1"/>
  <c r="P391" i="20" s="1"/>
  <c r="P392" i="20" a="1"/>
  <c r="P392" i="20" s="1"/>
  <c r="P393" i="20" a="1"/>
  <c r="P393" i="20" s="1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 s="1"/>
  <c r="P403" i="20" a="1"/>
  <c r="P403" i="20"/>
  <c r="P404" i="20" a="1"/>
  <c r="P404" i="20" s="1"/>
  <c r="P405" i="20" a="1"/>
  <c r="P405" i="20" s="1"/>
  <c r="P406" i="20" a="1"/>
  <c r="P406" i="20" s="1"/>
  <c r="P407" i="20" a="1"/>
  <c r="P407" i="20" s="1"/>
  <c r="P408" i="20" a="1"/>
  <c r="P408" i="20" s="1"/>
  <c r="P409" i="20" a="1"/>
  <c r="P409" i="20" s="1"/>
  <c r="P410" i="20" a="1"/>
  <c r="P410" i="20" s="1"/>
  <c r="P411" i="20" a="1"/>
  <c r="P411" i="20" s="1"/>
  <c r="P412" i="20" a="1"/>
  <c r="P412" i="20" s="1"/>
  <c r="P413" i="20" a="1"/>
  <c r="P413" i="20"/>
  <c r="P414" i="20" a="1"/>
  <c r="P414" i="20" s="1"/>
  <c r="P415" i="20" a="1"/>
  <c r="P415" i="20" s="1"/>
  <c r="P416" i="20" a="1"/>
  <c r="P416" i="20" s="1"/>
  <c r="P417" i="20" a="1"/>
  <c r="P417" i="20" s="1"/>
  <c r="P418" i="20" a="1"/>
  <c r="P418" i="20" s="1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 s="1"/>
  <c r="P424" i="20" a="1"/>
  <c r="P424" i="20" s="1"/>
  <c r="P425" i="20" a="1"/>
  <c r="P425" i="20"/>
  <c r="P426" i="20" a="1"/>
  <c r="P426" i="20"/>
  <c r="P427" i="20" a="1"/>
  <c r="P427" i="20" s="1"/>
  <c r="P428" i="20" a="1"/>
  <c r="P428" i="20" s="1"/>
  <c r="P429" i="20" a="1"/>
  <c r="P429" i="20" s="1"/>
  <c r="P430" i="20" a="1"/>
  <c r="P430" i="20" s="1"/>
  <c r="P431" i="20" a="1"/>
  <c r="P431" i="20" s="1"/>
  <c r="P432" i="20" a="1"/>
  <c r="P432" i="20" s="1"/>
  <c r="P433" i="20" a="1"/>
  <c r="P433" i="20" s="1"/>
  <c r="P434" i="20" a="1"/>
  <c r="P434" i="20" s="1"/>
  <c r="P435" i="20" a="1"/>
  <c r="P435" i="20" s="1"/>
  <c r="P436" i="20" a="1"/>
  <c r="P436" i="20" s="1"/>
  <c r="P437" i="20" a="1"/>
  <c r="P437" i="20" s="1"/>
  <c r="P438" i="20" a="1"/>
  <c r="P438" i="20"/>
  <c r="P439" i="20" a="1"/>
  <c r="P439" i="20" s="1"/>
  <c r="P440" i="20" a="1"/>
  <c r="P440" i="20" s="1"/>
  <c r="P441" i="20" a="1"/>
  <c r="P441" i="20" s="1"/>
  <c r="P442" i="20" a="1"/>
  <c r="P442" i="20" s="1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 s="1"/>
  <c r="P449" i="20" a="1"/>
  <c r="P449" i="20" s="1"/>
  <c r="P450" i="20" a="1"/>
  <c r="P450" i="20" s="1"/>
  <c r="P451" i="20" a="1"/>
  <c r="P451" i="20"/>
  <c r="P452" i="20" a="1"/>
  <c r="P452" i="20" s="1"/>
  <c r="P453" i="20" a="1"/>
  <c r="P453" i="20" s="1"/>
  <c r="P454" i="20" a="1"/>
  <c r="P454" i="20" s="1"/>
  <c r="P455" i="20" a="1"/>
  <c r="P455" i="20" s="1"/>
  <c r="P456" i="20" a="1"/>
  <c r="P456" i="20" s="1"/>
  <c r="P457" i="20" a="1"/>
  <c r="P457" i="20" s="1"/>
  <c r="P458" i="20" a="1"/>
  <c r="P458" i="20" s="1"/>
  <c r="P459" i="20" a="1"/>
  <c r="P459" i="20" s="1"/>
  <c r="P460" i="20" a="1"/>
  <c r="P460" i="20" s="1"/>
  <c r="P461" i="20" a="1"/>
  <c r="P461" i="20"/>
  <c r="P462" i="20" a="1"/>
  <c r="P462" i="20" s="1"/>
  <c r="P463" i="20" a="1"/>
  <c r="P463" i="20" s="1"/>
  <c r="P464" i="20" a="1"/>
  <c r="P464" i="20" s="1"/>
  <c r="P465" i="20" a="1"/>
  <c r="P465" i="20" s="1"/>
  <c r="P466" i="20" a="1"/>
  <c r="P466" i="20" s="1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 s="1"/>
  <c r="P473" i="20" a="1"/>
  <c r="P473" i="20"/>
  <c r="P474" i="20" a="1"/>
  <c r="P474" i="20"/>
  <c r="P475" i="20" a="1"/>
  <c r="P475" i="20" s="1"/>
  <c r="P476" i="20" a="1"/>
  <c r="P476" i="20" s="1"/>
  <c r="P477" i="20" a="1"/>
  <c r="P477" i="20" s="1"/>
  <c r="P478" i="20" a="1"/>
  <c r="P478" i="20" s="1"/>
  <c r="P479" i="20" a="1"/>
  <c r="P479" i="20" s="1"/>
  <c r="P480" i="20" a="1"/>
  <c r="P480" i="20" s="1"/>
  <c r="P481" i="20" a="1"/>
  <c r="P481" i="20" s="1"/>
  <c r="P482" i="20" a="1"/>
  <c r="P482" i="20" s="1"/>
  <c r="P483" i="20" a="1"/>
  <c r="P483" i="20" s="1"/>
  <c r="P484" i="20" a="1"/>
  <c r="P484" i="20" s="1"/>
  <c r="P485" i="20" a="1"/>
  <c r="P485" i="20" s="1"/>
  <c r="P486" i="20" a="1"/>
  <c r="P486" i="20"/>
  <c r="P487" i="20" a="1"/>
  <c r="P487" i="20" s="1"/>
  <c r="P488" i="20" a="1"/>
  <c r="P488" i="20" s="1"/>
  <c r="P489" i="20" a="1"/>
  <c r="P489" i="20" s="1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 s="1"/>
  <c r="P496" i="20" a="1"/>
  <c r="P496" i="20" s="1"/>
  <c r="P497" i="20" a="1"/>
  <c r="P497" i="20" s="1"/>
  <c r="P498" i="20" a="1"/>
  <c r="P498" i="20" s="1"/>
  <c r="P499" i="20" a="1"/>
  <c r="P499" i="20"/>
  <c r="P500" i="20" a="1"/>
  <c r="P500" i="20" s="1"/>
  <c r="P501" i="20" a="1"/>
  <c r="P501" i="20" s="1"/>
  <c r="P502" i="20" a="1"/>
  <c r="P502" i="20" s="1"/>
  <c r="P503" i="20" a="1"/>
  <c r="P503" i="20" s="1"/>
  <c r="P504" i="20" a="1"/>
  <c r="P504" i="20" s="1"/>
  <c r="P505" i="20" a="1"/>
  <c r="P505" i="20" s="1"/>
  <c r="P506" i="20" a="1"/>
  <c r="P506" i="20" s="1"/>
  <c r="P507" i="20" a="1"/>
  <c r="P507" i="20" s="1"/>
  <c r="P508" i="20" a="1"/>
  <c r="P508" i="20" s="1"/>
  <c r="P509" i="20" a="1"/>
  <c r="P509" i="20"/>
  <c r="P510" i="20" a="1"/>
  <c r="P510" i="20" s="1"/>
  <c r="P511" i="20" a="1"/>
  <c r="P511" i="20" s="1"/>
  <c r="P512" i="20" a="1"/>
  <c r="P512" i="20" s="1"/>
  <c r="P513" i="20" a="1"/>
  <c r="P513" i="20" s="1"/>
  <c r="P514" i="20" a="1"/>
  <c r="P514" i="20" s="1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 s="1"/>
  <c r="P520" i="20" a="1"/>
  <c r="P520" i="20" s="1"/>
  <c r="P521" i="20" a="1"/>
  <c r="P521" i="20"/>
  <c r="P522" i="20" a="1"/>
  <c r="P522" i="20"/>
  <c r="P523" i="20" a="1"/>
  <c r="P523" i="20" s="1"/>
  <c r="P524" i="20" a="1"/>
  <c r="P524" i="20" s="1"/>
  <c r="P525" i="20" a="1"/>
  <c r="P525" i="20" s="1"/>
  <c r="P526" i="20" a="1"/>
  <c r="P526" i="20" s="1"/>
  <c r="P527" i="20" a="1"/>
  <c r="P527" i="20" s="1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/>
  <c r="P535" i="20" a="1"/>
  <c r="P535" i="20" s="1"/>
  <c r="P536" i="20" a="1"/>
  <c r="P536" i="20" s="1"/>
  <c r="P537" i="20" a="1"/>
  <c r="P537" i="20" s="1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 s="1"/>
  <c r="P544" i="20" a="1"/>
  <c r="P544" i="20" s="1"/>
  <c r="P545" i="20" a="1"/>
  <c r="P545" i="20" s="1"/>
  <c r="P546" i="20" a="1"/>
  <c r="P546" i="20" s="1"/>
  <c r="P547" i="20" a="1"/>
  <c r="P547" i="20"/>
  <c r="P548" i="20" a="1"/>
  <c r="P548" i="20" s="1"/>
  <c r="P549" i="20" a="1"/>
  <c r="P549" i="20" s="1"/>
  <c r="P550" i="20" a="1"/>
  <c r="P550" i="20" s="1"/>
  <c r="P551" i="20" a="1"/>
  <c r="P551" i="20" s="1"/>
  <c r="P552" i="20" a="1"/>
  <c r="P552" i="20" s="1"/>
  <c r="P553" i="20" a="1"/>
  <c r="P553" i="20" s="1"/>
  <c r="P554" i="20" a="1"/>
  <c r="P554" i="20" s="1"/>
  <c r="P555" i="20" a="1"/>
  <c r="P555" i="20" s="1"/>
  <c r="P556" i="20" a="1"/>
  <c r="P556" i="20" s="1"/>
  <c r="P557" i="20" a="1"/>
  <c r="P557" i="20"/>
  <c r="P558" i="20" a="1"/>
  <c r="P558" i="20" s="1"/>
  <c r="P559" i="20" a="1"/>
  <c r="P559" i="20" s="1"/>
  <c r="P560" i="20" a="1"/>
  <c r="P560" i="20" s="1"/>
  <c r="P561" i="20" a="1"/>
  <c r="P561" i="20" s="1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 s="1"/>
  <c r="P567" i="20" a="1"/>
  <c r="P567" i="20" s="1"/>
  <c r="P568" i="20" a="1"/>
  <c r="P568" i="20" s="1"/>
  <c r="P569" i="20" a="1"/>
  <c r="P569" i="20"/>
  <c r="P570" i="20" a="1"/>
  <c r="P570" i="20"/>
  <c r="P571" i="20" a="1"/>
  <c r="P571" i="20" s="1"/>
  <c r="P572" i="20" a="1"/>
  <c r="P572" i="20" s="1"/>
  <c r="P573" i="20" a="1"/>
  <c r="P573" i="20" s="1"/>
  <c r="P574" i="20" a="1"/>
  <c r="P574" i="20" s="1"/>
  <c r="P575" i="20" a="1"/>
  <c r="P575" i="20" s="1"/>
  <c r="P576" i="20" a="1"/>
  <c r="P576" i="20" s="1"/>
  <c r="P577" i="20" a="1"/>
  <c r="P577" i="20" s="1"/>
  <c r="P578" i="20" a="1"/>
  <c r="P578" i="20" s="1"/>
  <c r="P579" i="20" a="1"/>
  <c r="P579" i="20" s="1"/>
  <c r="P580" i="20" a="1"/>
  <c r="P580" i="20" s="1"/>
  <c r="P581" i="20" a="1"/>
  <c r="P581" i="20" s="1"/>
  <c r="P582" i="20" a="1"/>
  <c r="P582" i="20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 s="1"/>
  <c r="P589" i="20" a="1"/>
  <c r="P589" i="20" s="1"/>
  <c r="P590" i="20" a="1"/>
  <c r="P590" i="20" s="1"/>
  <c r="P591" i="20" a="1"/>
  <c r="P591" i="20" s="1"/>
  <c r="P592" i="20" a="1"/>
  <c r="P592" i="20" s="1"/>
  <c r="P593" i="20" a="1"/>
  <c r="P593" i="20" s="1"/>
  <c r="P594" i="20" a="1"/>
  <c r="P594" i="20" s="1"/>
  <c r="P595" i="20" a="1"/>
  <c r="P595" i="20"/>
  <c r="P596" i="20" a="1"/>
  <c r="P596" i="20" s="1"/>
  <c r="P597" i="20" a="1"/>
  <c r="P597" i="20" s="1"/>
  <c r="P598" i="20" a="1"/>
  <c r="P598" i="20" s="1"/>
  <c r="P599" i="20" a="1"/>
  <c r="P599" i="20" s="1"/>
  <c r="P600" i="20" a="1"/>
  <c r="P600" i="20" s="1"/>
  <c r="P601" i="20" a="1"/>
  <c r="P601" i="20" s="1"/>
  <c r="P602" i="20" a="1"/>
  <c r="P602" i="20" s="1"/>
  <c r="P603" i="20" a="1"/>
  <c r="P603" i="20" s="1"/>
  <c r="P604" i="20" a="1"/>
  <c r="P604" i="20" s="1"/>
  <c r="P605" i="20" a="1"/>
  <c r="P605" i="20"/>
  <c r="P606" i="20" a="1"/>
  <c r="P606" i="20" s="1"/>
  <c r="P607" i="20" a="1"/>
  <c r="P607" i="20" s="1"/>
  <c r="P608" i="20" a="1"/>
  <c r="P608" i="20" s="1"/>
  <c r="P609" i="20" a="1"/>
  <c r="P609" i="20" s="1"/>
  <c r="P610" i="20" a="1"/>
  <c r="P610" i="20" s="1"/>
  <c r="P611" i="20" a="1"/>
  <c r="P611" i="20" s="1"/>
  <c r="P612" i="20" a="1"/>
  <c r="P612" i="20" s="1"/>
  <c r="P613" i="20" a="1"/>
  <c r="P613" i="20" s="1"/>
  <c r="P614" i="20" a="1"/>
  <c r="P614" i="20" s="1"/>
  <c r="P615" i="20" a="1"/>
  <c r="P615" i="20" s="1"/>
  <c r="P616" i="20" a="1"/>
  <c r="P616" i="20" s="1"/>
  <c r="P617" i="20" a="1"/>
  <c r="P617" i="20"/>
  <c r="P618" i="20" a="1"/>
  <c r="P618" i="20"/>
  <c r="P619" i="20" a="1"/>
  <c r="P619" i="20" s="1"/>
  <c r="P620" i="20" a="1"/>
  <c r="P620" i="20" s="1"/>
  <c r="P621" i="20" a="1"/>
  <c r="P621" i="20" s="1"/>
  <c r="P622" i="20" a="1"/>
  <c r="P622" i="20" s="1"/>
  <c r="P623" i="20" a="1"/>
  <c r="P623" i="20" s="1"/>
  <c r="P624" i="20" a="1"/>
  <c r="P624" i="20" s="1"/>
  <c r="P625" i="20" a="1"/>
  <c r="P625" i="20" s="1"/>
  <c r="P626" i="20" a="1"/>
  <c r="P626" i="20" s="1"/>
  <c r="P627" i="20" a="1"/>
  <c r="P627" i="20" s="1"/>
  <c r="P628" i="20" a="1"/>
  <c r="P628" i="20" s="1"/>
  <c r="P629" i="20" a="1"/>
  <c r="P629" i="20" s="1"/>
  <c r="P630" i="20" a="1"/>
  <c r="P630" i="20"/>
  <c r="P631" i="20" a="1"/>
  <c r="P631" i="20" s="1"/>
  <c r="P632" i="20" a="1"/>
  <c r="P632" i="20" s="1"/>
  <c r="P633" i="20" a="1"/>
  <c r="P633" i="20" s="1"/>
  <c r="P634" i="20" a="1"/>
  <c r="P634" i="20" s="1"/>
  <c r="P635" i="20" a="1"/>
  <c r="P635" i="20" s="1"/>
  <c r="P636" i="20" a="1"/>
  <c r="P636" i="20" s="1"/>
  <c r="P637" i="20" a="1"/>
  <c r="P637" i="20" s="1"/>
  <c r="P638" i="20" a="1"/>
  <c r="P638" i="20" s="1"/>
  <c r="P639" i="20" a="1"/>
  <c r="P639" i="20" s="1"/>
  <c r="P640" i="20" a="1"/>
  <c r="P640" i="20" s="1"/>
  <c r="P641" i="20" a="1"/>
  <c r="P641" i="20" s="1"/>
  <c r="P642" i="20" a="1"/>
  <c r="P642" i="20" s="1"/>
  <c r="P643" i="20" a="1"/>
  <c r="P643" i="20"/>
  <c r="P644" i="20" a="1"/>
  <c r="P644" i="20" s="1"/>
  <c r="P645" i="20" a="1"/>
  <c r="P645" i="20" s="1"/>
  <c r="P646" i="20" a="1"/>
  <c r="P646" i="20" s="1"/>
  <c r="P647" i="20" a="1"/>
  <c r="P647" i="20" s="1"/>
  <c r="P648" i="20" a="1"/>
  <c r="P648" i="20" s="1"/>
  <c r="P649" i="20" a="1"/>
  <c r="P649" i="20" s="1"/>
  <c r="P650" i="20" a="1"/>
  <c r="P650" i="20" s="1"/>
  <c r="P651" i="20" a="1"/>
  <c r="P651" i="20" s="1"/>
  <c r="P652" i="20" a="1"/>
  <c r="P652" i="20" s="1"/>
  <c r="P653" i="20" a="1"/>
  <c r="P653" i="20"/>
  <c r="P654" i="20" a="1"/>
  <c r="P654" i="20" s="1"/>
  <c r="P655" i="20" a="1"/>
  <c r="P655" i="20" s="1"/>
  <c r="P656" i="20" a="1"/>
  <c r="P656" i="20" s="1"/>
  <c r="P657" i="20" a="1"/>
  <c r="P657" i="20" s="1"/>
  <c r="P658" i="20" a="1"/>
  <c r="P658" i="20" s="1"/>
  <c r="P659" i="20" a="1"/>
  <c r="P659" i="20" s="1"/>
  <c r="P660" i="20" a="1"/>
  <c r="P660" i="20" s="1"/>
  <c r="P661" i="20" a="1"/>
  <c r="P661" i="20" s="1"/>
  <c r="P662" i="20" a="1"/>
  <c r="P662" i="20" s="1"/>
  <c r="P663" i="20" a="1"/>
  <c r="P663" i="20" s="1"/>
  <c r="P664" i="20" a="1"/>
  <c r="P664" i="20" s="1"/>
  <c r="P665" i="20" a="1"/>
  <c r="P665" i="20"/>
  <c r="P666" i="20" a="1"/>
  <c r="P666" i="20"/>
  <c r="P667" i="20" a="1"/>
  <c r="P667" i="20" s="1"/>
  <c r="P668" i="20" a="1"/>
  <c r="P668" i="20" s="1"/>
  <c r="P669" i="20" a="1"/>
  <c r="P669" i="20" s="1"/>
  <c r="P670" i="20" a="1"/>
  <c r="P670" i="20" s="1"/>
  <c r="P671" i="20" a="1"/>
  <c r="P671" i="20" s="1"/>
  <c r="P672" i="20" a="1"/>
  <c r="P672" i="20" s="1"/>
  <c r="P673" i="20" a="1"/>
  <c r="P673" i="20" s="1"/>
  <c r="P674" i="20" a="1"/>
  <c r="P674" i="20" s="1"/>
  <c r="P675" i="20" a="1"/>
  <c r="P675" i="20" s="1"/>
  <c r="P676" i="20" a="1"/>
  <c r="P676" i="20" s="1"/>
  <c r="P677" i="20" a="1"/>
  <c r="P677" i="20" s="1"/>
  <c r="P678" i="20" a="1"/>
  <c r="P678" i="20" s="1"/>
  <c r="P679" i="20" a="1"/>
  <c r="P679" i="20" s="1"/>
  <c r="P680" i="20" a="1"/>
  <c r="P680" i="20" s="1"/>
  <c r="P681" i="20" a="1"/>
  <c r="P681" i="20" s="1"/>
  <c r="P682" i="20" a="1"/>
  <c r="P682" i="20" s="1"/>
  <c r="P683" i="20" a="1"/>
  <c r="P683" i="20" s="1"/>
  <c r="P684" i="20" a="1"/>
  <c r="P684" i="20" s="1"/>
  <c r="P685" i="20" a="1"/>
  <c r="P685" i="20" s="1"/>
  <c r="P686" i="20" a="1"/>
  <c r="P686" i="20" s="1"/>
  <c r="P687" i="20" a="1"/>
  <c r="P687" i="20" s="1"/>
  <c r="P688" i="20" a="1"/>
  <c r="P688" i="20" s="1"/>
  <c r="P689" i="20" a="1"/>
  <c r="P689" i="20" s="1"/>
  <c r="P690" i="20" a="1"/>
  <c r="P690" i="20"/>
  <c r="P691" i="20" a="1"/>
  <c r="P69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M652" i="18"/>
  <c r="M653" i="18"/>
  <c r="M654" i="18"/>
  <c r="M655" i="18"/>
  <c r="M656" i="18"/>
  <c r="M657" i="18"/>
  <c r="M658" i="18"/>
  <c r="M659" i="18"/>
  <c r="M660" i="18"/>
  <c r="M661" i="18"/>
  <c r="M662" i="18"/>
  <c r="M663" i="18"/>
  <c r="M664" i="18"/>
  <c r="M665" i="18"/>
  <c r="M666" i="18"/>
  <c r="M667" i="18"/>
  <c r="M668" i="18"/>
  <c r="M669" i="18"/>
  <c r="M670" i="18"/>
  <c r="M671" i="18"/>
  <c r="M672" i="18"/>
  <c r="M673" i="18"/>
  <c r="M674" i="18"/>
  <c r="M675" i="18"/>
  <c r="M676" i="18"/>
  <c r="M677" i="18"/>
  <c r="M678" i="18"/>
  <c r="M679" i="18"/>
  <c r="M680" i="18"/>
  <c r="M681" i="18"/>
  <c r="M682" i="18"/>
  <c r="M683" i="18"/>
  <c r="M684" i="18"/>
  <c r="M685" i="18"/>
  <c r="M686" i="18"/>
  <c r="M687" i="18"/>
  <c r="M688" i="18"/>
  <c r="M689" i="18"/>
  <c r="M690" i="18"/>
  <c r="M691" i="18"/>
  <c r="M692" i="18"/>
  <c r="M693" i="18"/>
  <c r="M694" i="18"/>
  <c r="M695" i="18"/>
  <c r="M696" i="18"/>
  <c r="M697" i="18"/>
  <c r="M698" i="18"/>
  <c r="M699" i="18"/>
  <c r="M700" i="18"/>
  <c r="M701" i="18"/>
  <c r="M702" i="18"/>
  <c r="M703" i="18"/>
  <c r="M704" i="18"/>
  <c r="M705" i="18"/>
  <c r="M706" i="18"/>
  <c r="M707" i="18"/>
  <c r="M708" i="18"/>
  <c r="M709" i="18"/>
  <c r="M710" i="18"/>
  <c r="M711" i="18"/>
  <c r="M712" i="18"/>
  <c r="M713" i="18"/>
  <c r="M714" i="18"/>
  <c r="M715" i="18"/>
  <c r="M716" i="18"/>
  <c r="M717" i="18"/>
  <c r="M718" i="18"/>
  <c r="M719" i="18"/>
  <c r="M720" i="18"/>
  <c r="M721" i="18"/>
  <c r="M722" i="18"/>
  <c r="M723" i="18"/>
  <c r="M724" i="18"/>
  <c r="M725" i="18"/>
  <c r="M726" i="18"/>
  <c r="M727" i="18"/>
  <c r="M728" i="18"/>
  <c r="M729" i="18"/>
  <c r="M730" i="18"/>
  <c r="M731" i="18"/>
  <c r="M732" i="18"/>
  <c r="M733" i="18"/>
  <c r="M734" i="18"/>
  <c r="M735" i="18"/>
  <c r="M736" i="18"/>
  <c r="M737" i="18"/>
  <c r="M738" i="18"/>
  <c r="M739" i="18"/>
  <c r="M740" i="18"/>
  <c r="M741" i="18"/>
  <c r="M742" i="18"/>
  <c r="M743" i="18"/>
  <c r="M744" i="18"/>
  <c r="M745" i="18"/>
  <c r="M746" i="18"/>
  <c r="M747" i="18"/>
  <c r="M748" i="18"/>
  <c r="M749" i="18"/>
  <c r="M750" i="18"/>
  <c r="M751" i="18"/>
  <c r="M752" i="18"/>
  <c r="M753" i="18"/>
  <c r="M754" i="18"/>
  <c r="M755" i="18"/>
  <c r="M756" i="18"/>
  <c r="M757" i="18"/>
  <c r="M758" i="18"/>
  <c r="M759" i="18"/>
  <c r="M760" i="18"/>
  <c r="M761" i="18"/>
  <c r="M762" i="18"/>
  <c r="M763" i="18"/>
  <c r="M764" i="18"/>
  <c r="M765" i="18"/>
  <c r="M766" i="18"/>
  <c r="M767" i="18"/>
  <c r="M768" i="18"/>
  <c r="M769" i="18"/>
  <c r="M770" i="18"/>
  <c r="M771" i="18"/>
  <c r="M772" i="18"/>
  <c r="M773" i="18"/>
  <c r="M774" i="18"/>
  <c r="M775" i="18"/>
  <c r="M776" i="18"/>
  <c r="M777" i="18"/>
  <c r="M778" i="18"/>
  <c r="M779" i="18"/>
  <c r="M780" i="18"/>
  <c r="M781" i="18"/>
  <c r="M782" i="18"/>
  <c r="M783" i="18"/>
  <c r="M784" i="18"/>
  <c r="M785" i="18"/>
  <c r="M786" i="18"/>
  <c r="M787" i="18"/>
  <c r="M788" i="18"/>
  <c r="M789" i="18"/>
  <c r="M790" i="18"/>
  <c r="M791" i="18"/>
  <c r="M792" i="18"/>
  <c r="M793" i="18"/>
  <c r="M794" i="18"/>
  <c r="M795" i="18"/>
  <c r="M796" i="18"/>
  <c r="M797" i="18"/>
  <c r="M798" i="18"/>
  <c r="M799" i="18"/>
  <c r="M800" i="18"/>
  <c r="M801" i="18"/>
  <c r="M802" i="18"/>
  <c r="M803" i="18"/>
  <c r="M804" i="18"/>
  <c r="M805" i="18"/>
  <c r="M806" i="18"/>
  <c r="M807" i="18"/>
  <c r="M808" i="18"/>
  <c r="M809" i="18"/>
  <c r="M810" i="18"/>
  <c r="M811" i="18"/>
  <c r="M812" i="18"/>
  <c r="M813" i="18"/>
  <c r="M814" i="18"/>
  <c r="M815" i="18"/>
  <c r="M816" i="18"/>
  <c r="M817" i="18"/>
  <c r="M818" i="18"/>
  <c r="M819" i="18"/>
  <c r="M820" i="18"/>
  <c r="M821" i="18"/>
  <c r="M822" i="18"/>
  <c r="M823" i="18"/>
  <c r="M824" i="18"/>
  <c r="M825" i="18"/>
  <c r="M826" i="18"/>
  <c r="M827" i="18"/>
  <c r="M828" i="18"/>
  <c r="M829" i="18"/>
  <c r="M830" i="18"/>
  <c r="M831" i="18"/>
  <c r="M832" i="18"/>
  <c r="M833" i="18"/>
  <c r="M834" i="18"/>
  <c r="M835" i="18"/>
  <c r="M836" i="18"/>
  <c r="M837" i="18"/>
  <c r="M838" i="18"/>
  <c r="M839" i="18"/>
  <c r="M840" i="18"/>
  <c r="M841" i="18"/>
  <c r="M842" i="18"/>
  <c r="M843" i="18"/>
  <c r="M844" i="18"/>
  <c r="M845" i="18"/>
  <c r="M846" i="18"/>
  <c r="M847" i="18"/>
  <c r="M848" i="18"/>
  <c r="M849" i="18"/>
  <c r="M850" i="18"/>
  <c r="M851" i="18"/>
  <c r="M852" i="18"/>
  <c r="M853" i="18"/>
  <c r="M854" i="18"/>
  <c r="M855" i="18"/>
  <c r="M856" i="18"/>
  <c r="M857" i="18"/>
  <c r="M858" i="18"/>
  <c r="M859" i="18"/>
  <c r="M860" i="18"/>
  <c r="M861" i="18"/>
  <c r="M862" i="18"/>
  <c r="M863" i="18"/>
  <c r="M864" i="18"/>
  <c r="M865" i="18"/>
  <c r="M866" i="18"/>
  <c r="M867" i="18"/>
  <c r="M868" i="18"/>
  <c r="M869" i="18"/>
  <c r="M870" i="18"/>
  <c r="M871" i="18"/>
  <c r="M872" i="18"/>
  <c r="M873" i="18"/>
  <c r="M874" i="18"/>
  <c r="M875" i="18"/>
  <c r="M876" i="18"/>
  <c r="M877" i="18"/>
  <c r="M878" i="18"/>
  <c r="M879" i="18"/>
  <c r="M880" i="18"/>
  <c r="M881" i="18"/>
  <c r="M882" i="18"/>
  <c r="M883" i="18"/>
  <c r="M884" i="18"/>
  <c r="M885" i="18"/>
  <c r="M886" i="18"/>
  <c r="M887" i="18"/>
  <c r="M888" i="18"/>
  <c r="M889" i="18"/>
  <c r="M890" i="18"/>
  <c r="M891" i="18"/>
  <c r="M892" i="18"/>
  <c r="M893" i="18"/>
  <c r="M894" i="18"/>
  <c r="M895" i="18"/>
  <c r="M896" i="18"/>
  <c r="M897" i="18"/>
  <c r="M898" i="18"/>
  <c r="M899" i="18"/>
  <c r="M900" i="18"/>
  <c r="M901" i="18"/>
  <c r="M902" i="18"/>
  <c r="M903" i="18"/>
  <c r="M904" i="18"/>
  <c r="M905" i="18"/>
  <c r="M906" i="18"/>
  <c r="M907" i="18"/>
  <c r="M908" i="18"/>
  <c r="M909" i="18"/>
  <c r="M910" i="18"/>
  <c r="M911" i="18"/>
  <c r="M912" i="18"/>
  <c r="M913" i="18"/>
  <c r="M914" i="18"/>
  <c r="M915" i="18"/>
  <c r="M916" i="18"/>
  <c r="M917" i="18"/>
  <c r="M918" i="18"/>
  <c r="M919" i="18"/>
  <c r="M920" i="18"/>
  <c r="M921" i="18"/>
  <c r="M922" i="18"/>
  <c r="M923" i="18"/>
  <c r="M924" i="18"/>
  <c r="M925" i="18"/>
  <c r="M926" i="18"/>
  <c r="M927" i="18"/>
  <c r="M928" i="18"/>
  <c r="M929" i="18"/>
  <c r="M930" i="18"/>
  <c r="M931" i="18"/>
  <c r="M932" i="18"/>
  <c r="M933" i="18"/>
  <c r="M934" i="18"/>
  <c r="M935" i="18"/>
  <c r="M936" i="18"/>
  <c r="M937" i="18"/>
  <c r="M938" i="18"/>
  <c r="M939" i="18"/>
  <c r="M940" i="18"/>
  <c r="M941" i="18"/>
  <c r="M942" i="18"/>
  <c r="M943" i="18"/>
  <c r="M944" i="18"/>
  <c r="M945" i="18"/>
  <c r="M946" i="18"/>
  <c r="M947" i="18"/>
  <c r="M948" i="18"/>
  <c r="M949" i="18"/>
  <c r="M950" i="18"/>
  <c r="M951" i="18"/>
  <c r="M952" i="18"/>
  <c r="M953" i="18"/>
  <c r="M954" i="18"/>
  <c r="M955" i="18"/>
  <c r="M956" i="18"/>
  <c r="M957" i="18"/>
  <c r="M958" i="18"/>
  <c r="M959" i="18"/>
  <c r="M960" i="18"/>
  <c r="M961" i="18"/>
  <c r="M962" i="18"/>
  <c r="M963" i="18"/>
  <c r="M964" i="18"/>
  <c r="M965" i="18"/>
  <c r="M966" i="18"/>
  <c r="M967" i="18"/>
  <c r="M968" i="18"/>
  <c r="M969" i="18"/>
  <c r="M970" i="18"/>
  <c r="M971" i="18"/>
  <c r="M972" i="18"/>
  <c r="M973" i="18"/>
  <c r="M974" i="18"/>
  <c r="M975" i="18"/>
  <c r="M976" i="18"/>
  <c r="M977" i="18"/>
  <c r="M978" i="18"/>
  <c r="M979" i="18"/>
  <c r="M980" i="18"/>
  <c r="M981" i="18"/>
  <c r="M982" i="18"/>
  <c r="M983" i="18"/>
  <c r="M984" i="18"/>
  <c r="M985" i="18"/>
  <c r="M986" i="18"/>
  <c r="M987" i="18"/>
  <c r="M988" i="18"/>
  <c r="M989" i="18"/>
  <c r="M990" i="18"/>
  <c r="M991" i="18"/>
  <c r="M992" i="18"/>
  <c r="M993" i="18"/>
  <c r="M994" i="18"/>
  <c r="M995" i="18"/>
  <c r="M996" i="18"/>
  <c r="M997" i="18"/>
  <c r="M998" i="18"/>
  <c r="M999" i="18"/>
  <c r="M1000" i="18"/>
  <c r="M1001" i="18"/>
  <c r="M1002" i="18"/>
  <c r="M1003" i="18"/>
  <c r="M1004" i="18"/>
  <c r="M1005" i="18"/>
  <c r="M1006" i="18"/>
  <c r="M1007" i="18"/>
  <c r="M1008" i="18"/>
  <c r="M1009" i="18"/>
  <c r="M1010" i="18"/>
  <c r="M1011" i="18"/>
  <c r="M1012" i="18"/>
  <c r="M1013" i="18"/>
  <c r="M1014" i="18"/>
  <c r="M1015" i="18"/>
  <c r="M1016" i="18"/>
  <c r="M1017" i="18"/>
  <c r="M1018" i="18"/>
  <c r="M1019" i="18"/>
  <c r="M1020" i="18"/>
  <c r="M1021" i="18"/>
  <c r="M1022" i="18"/>
  <c r="M1023" i="18"/>
  <c r="M1024" i="18"/>
  <c r="M1025" i="18"/>
  <c r="M1026" i="18"/>
  <c r="M1027" i="18"/>
  <c r="M1028" i="18"/>
  <c r="M1029" i="18"/>
  <c r="M1030" i="18"/>
  <c r="M1031" i="18"/>
  <c r="M1032" i="18"/>
  <c r="M1033" i="18"/>
  <c r="M1034" i="18"/>
  <c r="M1035" i="18"/>
  <c r="M1036" i="18"/>
  <c r="M1037" i="18"/>
  <c r="M1038" i="18"/>
  <c r="M1039" i="18"/>
  <c r="M1040" i="18"/>
  <c r="M1041" i="18"/>
  <c r="M1042" i="18"/>
  <c r="M1043" i="18"/>
  <c r="M1044" i="18"/>
  <c r="M1045" i="18"/>
  <c r="M1046" i="18"/>
  <c r="M1047" i="18"/>
  <c r="M1048" i="18"/>
  <c r="M1049" i="18"/>
  <c r="M1050" i="18"/>
  <c r="M1051" i="18"/>
  <c r="M1052" i="18"/>
  <c r="M1053" i="18"/>
  <c r="M1054" i="18"/>
  <c r="M1055" i="18"/>
  <c r="M1056" i="18"/>
  <c r="M1057" i="18"/>
  <c r="M1058" i="18"/>
  <c r="M1059" i="18"/>
  <c r="M1060" i="18"/>
  <c r="M1061" i="18"/>
  <c r="M1062" i="18"/>
  <c r="M1063" i="18"/>
  <c r="M1064" i="18"/>
  <c r="M1065" i="18"/>
  <c r="M1066" i="18"/>
  <c r="M1067" i="18"/>
  <c r="M1068" i="18"/>
  <c r="M1069" i="18"/>
  <c r="M1070" i="18"/>
  <c r="M1071" i="18"/>
  <c r="M1072" i="18"/>
  <c r="M1073" i="18"/>
  <c r="M1074" i="18"/>
  <c r="M1075" i="18"/>
  <c r="M1076" i="18"/>
  <c r="M1077" i="18"/>
  <c r="M1078" i="18"/>
  <c r="M1079" i="18"/>
  <c r="M1080" i="18"/>
  <c r="M1081" i="18"/>
  <c r="M1082" i="18"/>
  <c r="M1083" i="18"/>
  <c r="M1084" i="18"/>
  <c r="M1085" i="18"/>
  <c r="M1086" i="18"/>
  <c r="M1087" i="18"/>
  <c r="M1088" i="18"/>
  <c r="M1089" i="18"/>
  <c r="M1090" i="18"/>
  <c r="M1091" i="18"/>
  <c r="M1092" i="18"/>
  <c r="M1093" i="18"/>
  <c r="M1094" i="18"/>
  <c r="M1095" i="18"/>
  <c r="M1096" i="18"/>
  <c r="M1097" i="18"/>
  <c r="M1098" i="18"/>
  <c r="M1099" i="18"/>
  <c r="M1100" i="18"/>
  <c r="M1101" i="18"/>
  <c r="M1102" i="18"/>
  <c r="M1103" i="18"/>
  <c r="M1104" i="18"/>
  <c r="M1105" i="18"/>
  <c r="M1106" i="18"/>
  <c r="M1107" i="18"/>
  <c r="M1108" i="18"/>
  <c r="M1109" i="18"/>
  <c r="M1110" i="18"/>
  <c r="M1111" i="18"/>
  <c r="M1112" i="18"/>
  <c r="M1113" i="18"/>
  <c r="M1114" i="18"/>
  <c r="M1115" i="18"/>
  <c r="M1116" i="18"/>
  <c r="M1117" i="18"/>
  <c r="M1118" i="18"/>
  <c r="M1119" i="18"/>
  <c r="M1120" i="18"/>
  <c r="M1121" i="18"/>
  <c r="M1122" i="18"/>
  <c r="M1123" i="18"/>
  <c r="M1124" i="18"/>
  <c r="M1125" i="18"/>
  <c r="M1126" i="18"/>
  <c r="M1127" i="18"/>
  <c r="M1128" i="18"/>
  <c r="M1129" i="18"/>
  <c r="M1130" i="18"/>
  <c r="M1131" i="18"/>
  <c r="M1132" i="18"/>
  <c r="M1133" i="18"/>
  <c r="M1134" i="18"/>
  <c r="M1135" i="18"/>
  <c r="M1136" i="18"/>
  <c r="M1137" i="18"/>
  <c r="M1138" i="18"/>
  <c r="M1139" i="18"/>
  <c r="M1140" i="18"/>
  <c r="M1141" i="18"/>
  <c r="M1142" i="18"/>
  <c r="M1143" i="18"/>
  <c r="M1144" i="18"/>
  <c r="M1145" i="18"/>
  <c r="M1146" i="18"/>
  <c r="M1147" i="18"/>
  <c r="M1148" i="18"/>
  <c r="M1149" i="18"/>
  <c r="M1150" i="18"/>
  <c r="M1151" i="18"/>
  <c r="M1152" i="18"/>
  <c r="M1153" i="18"/>
  <c r="M1154" i="18"/>
  <c r="M1155" i="18"/>
  <c r="M1156" i="18"/>
  <c r="M1157" i="18"/>
  <c r="M1158" i="18"/>
  <c r="M1159" i="18"/>
  <c r="M1160" i="18"/>
  <c r="M1161" i="18"/>
  <c r="M1162" i="18"/>
  <c r="M1163" i="18"/>
  <c r="M1164" i="18"/>
  <c r="M1165" i="18"/>
  <c r="M1166" i="18"/>
  <c r="M1167" i="18"/>
  <c r="M1168" i="18"/>
  <c r="M1169" i="18"/>
  <c r="M1170" i="18"/>
  <c r="M1171" i="18"/>
  <c r="N2" i="18" a="1"/>
  <c r="N2" i="18" s="1"/>
  <c r="N3" i="18" a="1"/>
  <c r="N3" i="18" s="1"/>
  <c r="N4" i="18" a="1"/>
  <c r="N4" i="18" s="1"/>
  <c r="N5" i="18" a="1"/>
  <c r="N5" i="18"/>
  <c r="N6" i="18" a="1"/>
  <c r="N6" i="18" s="1"/>
  <c r="N7" i="18" a="1"/>
  <c r="N7" i="18"/>
  <c r="N8" i="18" a="1"/>
  <c r="N8" i="18" s="1"/>
  <c r="N9" i="18" a="1"/>
  <c r="N9" i="18"/>
  <c r="N10" i="18" a="1"/>
  <c r="N10" i="18" s="1"/>
  <c r="N11" i="18" a="1"/>
  <c r="N11" i="18" s="1"/>
  <c r="N12" i="18" a="1"/>
  <c r="N12" i="18" s="1"/>
  <c r="N13" i="18" a="1"/>
  <c r="N13" i="18" s="1"/>
  <c r="N14" i="18" a="1"/>
  <c r="N14" i="18"/>
  <c r="N15" i="18" a="1"/>
  <c r="N15" i="18"/>
  <c r="N16" i="18" a="1"/>
  <c r="N16" i="18" s="1"/>
  <c r="N17" i="18" a="1"/>
  <c r="N17" i="18" s="1"/>
  <c r="N18" i="18" a="1"/>
  <c r="N18" i="18"/>
  <c r="N19" i="18" a="1"/>
  <c r="N19" i="18" s="1"/>
  <c r="N20" i="18" a="1"/>
  <c r="N20" i="18" s="1"/>
  <c r="N21" i="18" a="1"/>
  <c r="N21" i="18" s="1"/>
  <c r="N22" i="18" a="1"/>
  <c r="N22" i="18" s="1"/>
  <c r="N23" i="18" a="1"/>
  <c r="N23" i="18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/>
  <c r="N32" i="18" a="1"/>
  <c r="N32" i="18" s="1"/>
  <c r="N33" i="18" a="1"/>
  <c r="N33" i="18"/>
  <c r="N34" i="18" a="1"/>
  <c r="N34" i="18" s="1"/>
  <c r="N35" i="18" a="1"/>
  <c r="N35" i="18" s="1"/>
  <c r="N36" i="18" a="1"/>
  <c r="N36" i="18"/>
  <c r="N37" i="18" a="1"/>
  <c r="N37" i="18" s="1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/>
  <c r="N45" i="18" a="1"/>
  <c r="N45" i="18" s="1"/>
  <c r="N46" i="18" a="1"/>
  <c r="N46" i="18" s="1"/>
  <c r="N47" i="18" a="1"/>
  <c r="N47" i="18"/>
  <c r="N48" i="18" a="1"/>
  <c r="N48" i="18" s="1"/>
  <c r="N49" i="18" a="1"/>
  <c r="N49" i="18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/>
  <c r="N56" i="18" a="1"/>
  <c r="N56" i="18" s="1"/>
  <c r="N57" i="18" a="1"/>
  <c r="N57" i="18" s="1"/>
  <c r="N58" i="18" a="1"/>
  <c r="N58" i="18" s="1"/>
  <c r="N59" i="18" a="1"/>
  <c r="N59" i="18" s="1"/>
  <c r="N60" i="18" a="1"/>
  <c r="N60" i="18"/>
  <c r="N61" i="18" a="1"/>
  <c r="N61" i="18"/>
  <c r="N62" i="18" a="1"/>
  <c r="N62" i="18" s="1"/>
  <c r="N63" i="18" a="1"/>
  <c r="N63" i="18" s="1"/>
  <c r="N64" i="18" a="1"/>
  <c r="N64" i="18" s="1"/>
  <c r="N65" i="18" a="1"/>
  <c r="N65" i="18" s="1"/>
  <c r="N66" i="18" a="1"/>
  <c r="N66" i="18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/>
  <c r="N74" i="18" a="1"/>
  <c r="N74" i="18"/>
  <c r="N75" i="18" a="1"/>
  <c r="N75" i="18"/>
  <c r="N76" i="18" a="1"/>
  <c r="N76" i="18" s="1"/>
  <c r="N77" i="18" a="1"/>
  <c r="N77" i="18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/>
  <c r="N87" i="18" a="1"/>
  <c r="N87" i="18" s="1"/>
  <c r="N88" i="18" a="1"/>
  <c r="N88" i="18" s="1"/>
  <c r="N89" i="18" a="1"/>
  <c r="N89" i="18" s="1"/>
  <c r="N90" i="18" a="1"/>
  <c r="N90" i="18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/>
  <c r="N98" i="18" a="1"/>
  <c r="N98" i="18" s="1"/>
  <c r="N99" i="18" a="1"/>
  <c r="N99" i="18" s="1"/>
  <c r="N100" i="18" a="1"/>
  <c r="N100" i="18" s="1"/>
  <c r="N101" i="18" a="1"/>
  <c r="N101" i="18"/>
  <c r="N102" i="18" a="1"/>
  <c r="N102" i="18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/>
  <c r="N108" i="18" a="1"/>
  <c r="N108" i="18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/>
  <c r="N121" i="18" a="1"/>
  <c r="N121" i="18" s="1"/>
  <c r="N122" i="18" a="1"/>
  <c r="N122" i="18" s="1"/>
  <c r="N123" i="18" a="1"/>
  <c r="N123" i="18"/>
  <c r="N124" i="18" a="1"/>
  <c r="N124" i="18" s="1"/>
  <c r="N125" i="18" a="1"/>
  <c r="N125" i="18"/>
  <c r="N126" i="18" a="1"/>
  <c r="N126" i="18" s="1"/>
  <c r="N127" i="18" a="1"/>
  <c r="N127" i="18" s="1"/>
  <c r="N128" i="18" a="1"/>
  <c r="N128" i="18"/>
  <c r="N129" i="18" a="1"/>
  <c r="N129" i="18"/>
  <c r="N130" i="18" a="1"/>
  <c r="N130" i="18" s="1"/>
  <c r="N131" i="18" a="1"/>
  <c r="N131" i="18" s="1"/>
  <c r="N132" i="18" a="1"/>
  <c r="N132" i="18"/>
  <c r="N133" i="18" a="1"/>
  <c r="N133" i="18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/>
  <c r="N141" i="18" a="1"/>
  <c r="N141" i="18"/>
  <c r="N142" i="18" a="1"/>
  <c r="N142" i="18" s="1"/>
  <c r="N143" i="18" a="1"/>
  <c r="N143" i="18"/>
  <c r="N144" i="18" a="1"/>
  <c r="N144" i="18" s="1"/>
  <c r="N145" i="18" a="1"/>
  <c r="N145" i="18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/>
  <c r="N163" i="18" a="1"/>
  <c r="N163" i="18" s="1"/>
  <c r="N164" i="18" a="1"/>
  <c r="N164" i="18"/>
  <c r="N165" i="18" a="1"/>
  <c r="N165" i="18" s="1"/>
  <c r="N166" i="18" a="1"/>
  <c r="N166" i="18" s="1"/>
  <c r="N167" i="18" a="1"/>
  <c r="N167" i="18"/>
  <c r="N168" i="18" a="1"/>
  <c r="N168" i="18" s="1"/>
  <c r="N169" i="18" a="1"/>
  <c r="N169" i="18" s="1"/>
  <c r="N170" i="18" a="1"/>
  <c r="N170" i="18" s="1"/>
  <c r="N171" i="18" a="1"/>
  <c r="N171" i="18"/>
  <c r="N172" i="18" a="1"/>
  <c r="N172" i="18" s="1"/>
  <c r="N173" i="18" a="1"/>
  <c r="N173" i="18"/>
  <c r="N174" i="18" a="1"/>
  <c r="N174" i="18" s="1"/>
  <c r="N175" i="18" a="1"/>
  <c r="N175" i="18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/>
  <c r="N189" i="18" a="1"/>
  <c r="N189" i="18" s="1"/>
  <c r="N190" i="18" a="1"/>
  <c r="N190" i="18" s="1"/>
  <c r="N191" i="18" a="1"/>
  <c r="N191" i="18"/>
  <c r="N192" i="18" a="1"/>
  <c r="N192" i="18"/>
  <c r="N193" i="18" a="1"/>
  <c r="N193" i="18" s="1"/>
  <c r="N194" i="18" a="1"/>
  <c r="N194" i="18" s="1"/>
  <c r="N195" i="18" a="1"/>
  <c r="N195" i="18"/>
  <c r="N196" i="18" a="1"/>
  <c r="N196" i="18" s="1"/>
  <c r="N197" i="18" a="1"/>
  <c r="N197" i="18" s="1"/>
  <c r="N198" i="18" a="1"/>
  <c r="N198" i="18" s="1"/>
  <c r="N199" i="18" a="1"/>
  <c r="N199" i="18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/>
  <c r="N205" i="18" a="1"/>
  <c r="N205" i="18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/>
  <c r="N240" i="18" a="1"/>
  <c r="N240" i="18" s="1"/>
  <c r="N241" i="18" a="1"/>
  <c r="N241" i="18" s="1"/>
  <c r="N242" i="18" a="1"/>
  <c r="N242" i="18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/>
  <c r="N256" i="18" a="1"/>
  <c r="N256" i="18" s="1"/>
  <c r="N257" i="18" a="1"/>
  <c r="N257" i="18" s="1"/>
  <c r="N258" i="18" a="1"/>
  <c r="N258" i="18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/>
  <c r="N264" i="18" a="1"/>
  <c r="N264" i="18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/>
  <c r="N273" i="18" a="1"/>
  <c r="N273" i="18"/>
  <c r="N274" i="18" a="1"/>
  <c r="N274" i="18" s="1"/>
  <c r="N275" i="18" a="1"/>
  <c r="N275" i="18"/>
  <c r="N276" i="18" a="1"/>
  <c r="N276" i="18" s="1"/>
  <c r="N277" i="18" a="1"/>
  <c r="N277" i="18"/>
  <c r="N278" i="18" a="1"/>
  <c r="N278" i="18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/>
  <c r="N289" i="18" a="1"/>
  <c r="N289" i="18"/>
  <c r="N290" i="18" a="1"/>
  <c r="N290" i="18" s="1"/>
  <c r="N291" i="18" a="1"/>
  <c r="N291" i="18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/>
  <c r="N315" i="18" a="1"/>
  <c r="N315" i="18"/>
  <c r="N316" i="18" a="1"/>
  <c r="N316" i="18" s="1"/>
  <c r="N317" i="18" a="1"/>
  <c r="N317" i="18"/>
  <c r="N318" i="18" a="1"/>
  <c r="N318" i="18" s="1"/>
  <c r="N319" i="18" a="1"/>
  <c r="N319" i="18"/>
  <c r="N320" i="18" a="1"/>
  <c r="N320" i="18" s="1"/>
  <c r="N321" i="18" a="1"/>
  <c r="N321" i="18" s="1"/>
  <c r="N322" i="18" a="1"/>
  <c r="N322" i="18" s="1"/>
  <c r="N323" i="18" a="1"/>
  <c r="N323" i="18"/>
  <c r="N324" i="18" a="1"/>
  <c r="N324" i="18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/>
  <c r="N331" i="18" a="1"/>
  <c r="N331" i="18"/>
  <c r="N332" i="18" a="1"/>
  <c r="N332" i="18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/>
  <c r="N345" i="18" a="1"/>
  <c r="N345" i="18"/>
  <c r="N346" i="18" a="1"/>
  <c r="N346" i="18" s="1"/>
  <c r="N347" i="18" a="1"/>
  <c r="N347" i="18"/>
  <c r="N348" i="18" a="1"/>
  <c r="N348" i="18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/>
  <c r="N358" i="18" a="1"/>
  <c r="N358" i="18" s="1"/>
  <c r="N359" i="18" a="1"/>
  <c r="N359" i="18" s="1"/>
  <c r="N360" i="18" a="1"/>
  <c r="N360" i="18"/>
  <c r="N361" i="18" a="1"/>
  <c r="N361" i="18"/>
  <c r="N362" i="18" a="1"/>
  <c r="N362" i="18" s="1"/>
  <c r="N363" i="18" a="1"/>
  <c r="N363" i="18"/>
  <c r="N364" i="18" a="1"/>
  <c r="N364" i="18" s="1"/>
  <c r="N365" i="18" a="1"/>
  <c r="N365" i="18"/>
  <c r="N366" i="18" a="1"/>
  <c r="N366" i="18" s="1"/>
  <c r="N367" i="18" a="1"/>
  <c r="N367" i="18" s="1"/>
  <c r="N368" i="18" a="1"/>
  <c r="N368" i="18"/>
  <c r="N369" i="18" a="1"/>
  <c r="N369" i="18"/>
  <c r="N370" i="18" a="1"/>
  <c r="N370" i="18" s="1"/>
  <c r="N371" i="18" a="1"/>
  <c r="N371" i="18" s="1"/>
  <c r="N372" i="18" a="1"/>
  <c r="N372" i="18" s="1"/>
  <c r="N373" i="18" a="1"/>
  <c r="N373" i="18"/>
  <c r="N374" i="18" a="1"/>
  <c r="N374" i="18" s="1"/>
  <c r="N375" i="18" a="1"/>
  <c r="N375" i="18" s="1"/>
  <c r="N376" i="18" a="1"/>
  <c r="N376" i="18" s="1"/>
  <c r="N377" i="18" a="1"/>
  <c r="N377" i="18"/>
  <c r="N378" i="18" a="1"/>
  <c r="N378" i="18"/>
  <c r="N379" i="18" a="1"/>
  <c r="N379" i="18" s="1"/>
  <c r="N380" i="18" a="1"/>
  <c r="N380" i="18" s="1"/>
  <c r="N381" i="18" a="1"/>
  <c r="N381" i="18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/>
  <c r="N387" i="18" a="1"/>
  <c r="N387" i="18"/>
  <c r="N388" i="18" a="1"/>
  <c r="N388" i="18" s="1"/>
  <c r="N389" i="18" a="1"/>
  <c r="N389" i="18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/>
  <c r="N400" i="18" a="1"/>
  <c r="N400" i="18" s="1"/>
  <c r="N401" i="18" a="1"/>
  <c r="N401" i="18"/>
  <c r="N402" i="18" a="1"/>
  <c r="N402" i="18" s="1"/>
  <c r="N403" i="18" a="1"/>
  <c r="N403" i="18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/>
  <c r="N421" i="18" a="1"/>
  <c r="N421" i="18" s="1"/>
  <c r="N422" i="18" a="1"/>
  <c r="N422" i="18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/>
  <c r="N429" i="18" a="1"/>
  <c r="N429" i="18"/>
  <c r="N430" i="18" a="1"/>
  <c r="N430" i="18" s="1"/>
  <c r="N431" i="18" a="1"/>
  <c r="N431" i="18" s="1"/>
  <c r="N432" i="18" a="1"/>
  <c r="N432" i="18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/>
  <c r="N438" i="18" a="1"/>
  <c r="N438" i="18" s="1"/>
  <c r="N439" i="18" a="1"/>
  <c r="N439" i="18" s="1"/>
  <c r="N440" i="18" a="1"/>
  <c r="N440" i="18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 s="1"/>
  <c r="N455" i="18" a="1"/>
  <c r="N455" i="18"/>
  <c r="N456" i="18" a="1"/>
  <c r="N456" i="18" s="1"/>
  <c r="N457" i="18" a="1"/>
  <c r="N457" i="18" s="1"/>
  <c r="N458" i="18" a="1"/>
  <c r="N458" i="18"/>
  <c r="N459" i="18" a="1"/>
  <c r="N459" i="18" s="1"/>
  <c r="N460" i="18" a="1"/>
  <c r="N460" i="18" s="1"/>
  <c r="N461" i="18" a="1"/>
  <c r="N461" i="18" s="1"/>
  <c r="N462" i="18" a="1"/>
  <c r="N462" i="18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 s="1"/>
  <c r="N469" i="18" a="1"/>
  <c r="N469" i="18" s="1"/>
  <c r="N470" i="18" a="1"/>
  <c r="N470" i="18" s="1"/>
  <c r="N471" i="18" a="1"/>
  <c r="N471" i="18"/>
  <c r="N472" i="18" a="1"/>
  <c r="N472" i="18" s="1"/>
  <c r="N473" i="18" a="1"/>
  <c r="N473" i="18" s="1"/>
  <c r="N474" i="18" a="1"/>
  <c r="N474" i="18" s="1"/>
  <c r="N475" i="18" a="1"/>
  <c r="N475" i="18" s="1"/>
  <c r="N476" i="18" a="1"/>
  <c r="N476" i="18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 s="1"/>
  <c r="N485" i="18" a="1"/>
  <c r="N485" i="18" s="1"/>
  <c r="N486" i="18" a="1"/>
  <c r="N486" i="18"/>
  <c r="N487" i="18" a="1"/>
  <c r="N487" i="18" s="1"/>
  <c r="N488" i="18" a="1"/>
  <c r="N488" i="18" s="1"/>
  <c r="N489" i="18" a="1"/>
  <c r="N489" i="18" s="1"/>
  <c r="N490" i="18" a="1"/>
  <c r="N490" i="18" s="1"/>
  <c r="N491" i="18" a="1"/>
  <c r="N491" i="18" s="1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 s="1"/>
  <c r="N500" i="18" a="1"/>
  <c r="N500" i="18"/>
  <c r="N501" i="18" a="1"/>
  <c r="N501" i="18"/>
  <c r="N502" i="18" a="1"/>
  <c r="N502" i="18" s="1"/>
  <c r="N503" i="18" a="1"/>
  <c r="N503" i="18"/>
  <c r="N504" i="18" a="1"/>
  <c r="N504" i="18" s="1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/>
  <c r="N513" i="18" a="1"/>
  <c r="N513" i="18" s="1"/>
  <c r="N514" i="18" a="1"/>
  <c r="N514" i="18" s="1"/>
  <c r="N515" i="18" a="1"/>
  <c r="N515" i="18" s="1"/>
  <c r="N516" i="18" a="1"/>
  <c r="N516" i="18" s="1"/>
  <c r="N517" i="18" a="1"/>
  <c r="N517" i="18" s="1"/>
  <c r="N518" i="18" a="1"/>
  <c r="N518" i="18"/>
  <c r="N519" i="18" a="1"/>
  <c r="N519" i="18" s="1"/>
  <c r="N520" i="18" a="1"/>
  <c r="N520" i="18" s="1"/>
  <c r="N521" i="18" a="1"/>
  <c r="N521" i="18"/>
  <c r="N522" i="18" a="1"/>
  <c r="N522" i="18" s="1"/>
  <c r="N523" i="18" a="1"/>
  <c r="N523" i="18" s="1"/>
  <c r="N524" i="18" a="1"/>
  <c r="N524" i="18" s="1"/>
  <c r="N525" i="18" a="1"/>
  <c r="N525" i="18" s="1"/>
  <c r="N526" i="18" a="1"/>
  <c r="N526" i="18" s="1"/>
  <c r="N527" i="18" a="1"/>
  <c r="N527" i="18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 s="1"/>
  <c r="N533" i="18" a="1"/>
  <c r="N533" i="18"/>
  <c r="N534" i="18" a="1"/>
  <c r="N534" i="18" s="1"/>
  <c r="N535" i="18" a="1"/>
  <c r="N535" i="18" s="1"/>
  <c r="N536" i="18" a="1"/>
  <c r="N536" i="18" s="1"/>
  <c r="N537" i="18" a="1"/>
  <c r="N537" i="18"/>
  <c r="N538" i="18" a="1"/>
  <c r="N538" i="18" s="1"/>
  <c r="N539" i="18" a="1"/>
  <c r="N539" i="18"/>
  <c r="N540" i="18" a="1"/>
  <c r="N540" i="18" s="1"/>
  <c r="N541" i="18" a="1"/>
  <c r="N541" i="18" s="1"/>
  <c r="N542" i="18" a="1"/>
  <c r="N542" i="18" s="1"/>
  <c r="N543" i="18" a="1"/>
  <c r="N543" i="18"/>
  <c r="N544" i="18" a="1"/>
  <c r="N544" i="18" s="1"/>
  <c r="N545" i="18" a="1"/>
  <c r="N545" i="18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 s="1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 s="1"/>
  <c r="N561" i="18" a="1"/>
  <c r="N561" i="18" s="1"/>
  <c r="N562" i="18" a="1"/>
  <c r="N562" i="18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/>
  <c r="N568" i="18" a="1"/>
  <c r="N568" i="18"/>
  <c r="N569" i="18" a="1"/>
  <c r="N569" i="18" s="1"/>
  <c r="N570" i="18" a="1"/>
  <c r="N570" i="18" s="1"/>
  <c r="N571" i="18" a="1"/>
  <c r="N571" i="18" s="1"/>
  <c r="N572" i="18" a="1"/>
  <c r="N572" i="18" s="1"/>
  <c r="N573" i="18" a="1"/>
  <c r="N573" i="18"/>
  <c r="N574" i="18" a="1"/>
  <c r="N574" i="18" s="1"/>
  <c r="N575" i="18" a="1"/>
  <c r="N575" i="18" s="1"/>
  <c r="N576" i="18" a="1"/>
  <c r="N576" i="18" s="1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/>
  <c r="N582" i="18" a="1"/>
  <c r="N582" i="18" s="1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/>
  <c r="N593" i="18" a="1"/>
  <c r="N593" i="18"/>
  <c r="N594" i="18" a="1"/>
  <c r="N594" i="18" s="1"/>
  <c r="N595" i="18" a="1"/>
  <c r="N595" i="18" s="1"/>
  <c r="N596" i="18" a="1"/>
  <c r="N596" i="18" s="1"/>
  <c r="N597" i="18" a="1"/>
  <c r="N597" i="18" s="1"/>
  <c r="N598" i="18" a="1"/>
  <c r="N598" i="18"/>
  <c r="N599" i="18" a="1"/>
  <c r="N599" i="18" s="1"/>
  <c r="N600" i="18" a="1"/>
  <c r="N600" i="18" s="1"/>
  <c r="N601" i="18" a="1"/>
  <c r="N601" i="18" s="1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 s="1"/>
  <c r="N615" i="18" a="1"/>
  <c r="N615" i="18"/>
  <c r="N616" i="18" a="1"/>
  <c r="N616" i="18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/>
  <c r="N622" i="18" a="1"/>
  <c r="N622" i="18" s="1"/>
  <c r="N623" i="18" a="1"/>
  <c r="N623" i="18" s="1"/>
  <c r="N624" i="18" a="1"/>
  <c r="N624" i="18" s="1"/>
  <c r="N625" i="18" a="1"/>
  <c r="N625" i="18" s="1"/>
  <c r="N626" i="18" a="1"/>
  <c r="N626" i="18" s="1"/>
  <c r="N627" i="18" a="1"/>
  <c r="N627" i="18" s="1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 s="1"/>
  <c r="N634" i="18" a="1"/>
  <c r="N634" i="18"/>
  <c r="N635" i="18" a="1"/>
  <c r="N635" i="18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 s="1"/>
  <c r="N641" i="18" a="1"/>
  <c r="N641" i="18" s="1"/>
  <c r="N642" i="18" a="1"/>
  <c r="N642" i="18" s="1"/>
  <c r="N643" i="18" a="1"/>
  <c r="N643" i="18" s="1"/>
  <c r="N644" i="18" a="1"/>
  <c r="N644" i="18" s="1"/>
  <c r="N645" i="18" a="1"/>
  <c r="N645" i="18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N652" i="18" a="1"/>
  <c r="N652" i="18" s="1"/>
  <c r="N653" i="18" a="1"/>
  <c r="N653" i="18" s="1"/>
  <c r="N654" i="18" a="1"/>
  <c r="N654" i="18" s="1"/>
  <c r="N655" i="18" a="1"/>
  <c r="N655" i="18" s="1"/>
  <c r="N656" i="18" a="1"/>
  <c r="N656" i="18" s="1"/>
  <c r="N657" i="18" a="1"/>
  <c r="N657" i="18" s="1"/>
  <c r="N658" i="18" a="1"/>
  <c r="N658" i="18"/>
  <c r="N659" i="18" a="1"/>
  <c r="N659" i="18"/>
  <c r="N660" i="18" a="1"/>
  <c r="N660" i="18" s="1"/>
  <c r="N661" i="18" a="1"/>
  <c r="N661" i="18" s="1"/>
  <c r="N662" i="18" a="1"/>
  <c r="N662" i="18" s="1"/>
  <c r="N663" i="18" a="1"/>
  <c r="N663" i="18" s="1"/>
  <c r="N664" i="18" a="1"/>
  <c r="N664" i="18"/>
  <c r="N665" i="18" a="1"/>
  <c r="N665" i="18" s="1"/>
  <c r="N666" i="18" a="1"/>
  <c r="N666" i="18" s="1"/>
  <c r="N667" i="18" a="1"/>
  <c r="N667" i="18" s="1"/>
  <c r="N668" i="18" a="1"/>
  <c r="N668" i="18" s="1"/>
  <c r="N669" i="18" a="1"/>
  <c r="N669" i="18" s="1"/>
  <c r="N670" i="18" a="1"/>
  <c r="N670" i="18"/>
  <c r="N671" i="18" a="1"/>
  <c r="N671" i="18" s="1"/>
  <c r="N672" i="18" a="1"/>
  <c r="N672" i="18" s="1"/>
  <c r="N673" i="18" a="1"/>
  <c r="N673" i="18" s="1"/>
  <c r="N674" i="18" a="1"/>
  <c r="N674" i="18" s="1"/>
  <c r="N675" i="18" a="1"/>
  <c r="N675" i="18"/>
  <c r="N676" i="18" a="1"/>
  <c r="N676" i="18"/>
  <c r="N677" i="18" a="1"/>
  <c r="N677" i="18" s="1"/>
  <c r="N678" i="18" a="1"/>
  <c r="N678" i="18" s="1"/>
  <c r="N679" i="18" a="1"/>
  <c r="N679" i="18" s="1"/>
  <c r="N680" i="18" a="1"/>
  <c r="N680" i="18" s="1"/>
  <c r="N681" i="18" a="1"/>
  <c r="N681" i="18" s="1"/>
  <c r="N682" i="18" a="1"/>
  <c r="N682" i="18" s="1"/>
  <c r="N683" i="18" a="1"/>
  <c r="N683" i="18"/>
  <c r="N684" i="18" a="1"/>
  <c r="N684" i="18" s="1"/>
  <c r="N685" i="18" a="1"/>
  <c r="N685" i="18" s="1"/>
  <c r="N686" i="18" a="1"/>
  <c r="N686" i="18" s="1"/>
  <c r="N687" i="18" a="1"/>
  <c r="N687" i="18"/>
  <c r="N688" i="18" a="1"/>
  <c r="N688" i="18" s="1"/>
  <c r="N689" i="18" a="1"/>
  <c r="N689" i="18"/>
  <c r="N690" i="18" a="1"/>
  <c r="N690" i="18" s="1"/>
  <c r="N691" i="18" a="1"/>
  <c r="N691" i="18" s="1"/>
  <c r="N692" i="18" a="1"/>
  <c r="N692" i="18" s="1"/>
  <c r="N693" i="18" a="1"/>
  <c r="N693" i="18" s="1"/>
  <c r="N694" i="18" a="1"/>
  <c r="N694" i="18" s="1"/>
  <c r="N695" i="18" a="1"/>
  <c r="N695" i="18" s="1"/>
  <c r="N696" i="18" a="1"/>
  <c r="N696" i="18" s="1"/>
  <c r="N697" i="18" a="1"/>
  <c r="N697" i="18" s="1"/>
  <c r="N698" i="18" a="1"/>
  <c r="N698" i="18" s="1"/>
  <c r="N699" i="18" a="1"/>
  <c r="N699" i="18" s="1"/>
  <c r="N700" i="18" a="1"/>
  <c r="N700" i="18" s="1"/>
  <c r="N701" i="18" a="1"/>
  <c r="N701" i="18" s="1"/>
  <c r="N702" i="18" a="1"/>
  <c r="N702" i="18" s="1"/>
  <c r="N703" i="18" a="1"/>
  <c r="N703" i="18" s="1"/>
  <c r="N704" i="18" a="1"/>
  <c r="N704" i="18"/>
  <c r="N705" i="18" a="1"/>
  <c r="N705" i="18" s="1"/>
  <c r="N706" i="18" a="1"/>
  <c r="N706" i="18" s="1"/>
  <c r="N707" i="18" a="1"/>
  <c r="N707" i="18" s="1"/>
  <c r="N708" i="18" a="1"/>
  <c r="N708" i="18" s="1"/>
  <c r="N709" i="18" a="1"/>
  <c r="N709" i="18" s="1"/>
  <c r="N710" i="18" a="1"/>
  <c r="N710" i="18" s="1"/>
  <c r="N711" i="18" a="1"/>
  <c r="N711" i="18" s="1"/>
  <c r="N712" i="18" a="1"/>
  <c r="N712" i="18" s="1"/>
  <c r="N713" i="18" a="1"/>
  <c r="N713" i="18" s="1"/>
  <c r="N714" i="18" a="1"/>
  <c r="N714" i="18" s="1"/>
  <c r="N715" i="18" a="1"/>
  <c r="N715" i="18" s="1"/>
  <c r="N716" i="18" a="1"/>
  <c r="N716" i="18"/>
  <c r="N717" i="18" a="1"/>
  <c r="N717" i="18" s="1"/>
  <c r="N718" i="18" a="1"/>
  <c r="N718" i="18" s="1"/>
  <c r="N719" i="18" a="1"/>
  <c r="N719" i="18" s="1"/>
  <c r="N720" i="18" a="1"/>
  <c r="N720" i="18" s="1"/>
  <c r="N721" i="18" a="1"/>
  <c r="N721" i="18" s="1"/>
  <c r="N722" i="18" a="1"/>
  <c r="N722" i="18" s="1"/>
  <c r="N723" i="18" a="1"/>
  <c r="N723" i="18" s="1"/>
  <c r="N724" i="18" a="1"/>
  <c r="N724" i="18" s="1"/>
  <c r="N725" i="18" a="1"/>
  <c r="N725" i="18" s="1"/>
  <c r="N726" i="18" a="1"/>
  <c r="N726" i="18" s="1"/>
  <c r="N727" i="18" a="1"/>
  <c r="N727" i="18" s="1"/>
  <c r="N728" i="18" a="1"/>
  <c r="N728" i="18" s="1"/>
  <c r="N729" i="18" a="1"/>
  <c r="N729" i="18" s="1"/>
  <c r="N730" i="18" a="1"/>
  <c r="N730" i="18" s="1"/>
  <c r="N731" i="18" a="1"/>
  <c r="N731" i="18" s="1"/>
  <c r="N732" i="18" a="1"/>
  <c r="N732" i="18" s="1"/>
  <c r="N733" i="18" a="1"/>
  <c r="N733" i="18" s="1"/>
  <c r="N734" i="18" a="1"/>
  <c r="N734" i="18" s="1"/>
  <c r="N735" i="18" a="1"/>
  <c r="N735" i="18" s="1"/>
  <c r="N736" i="18" a="1"/>
  <c r="N736" i="18" s="1"/>
  <c r="N737" i="18" a="1"/>
  <c r="N737" i="18"/>
  <c r="N738" i="18" a="1"/>
  <c r="N738" i="18" s="1"/>
  <c r="N739" i="18" a="1"/>
  <c r="N739" i="18" s="1"/>
  <c r="N740" i="18" a="1"/>
  <c r="N740" i="18" s="1"/>
  <c r="N741" i="18" a="1"/>
  <c r="N741" i="18" s="1"/>
  <c r="N742" i="18" a="1"/>
  <c r="N742" i="18" s="1"/>
  <c r="N743" i="18" a="1"/>
  <c r="N743" i="18" s="1"/>
  <c r="N744" i="18" a="1"/>
  <c r="N744" i="18" s="1"/>
  <c r="N745" i="18" a="1"/>
  <c r="N745" i="18" s="1"/>
  <c r="N746" i="18" a="1"/>
  <c r="N746" i="18" s="1"/>
  <c r="N747" i="18" a="1"/>
  <c r="N747" i="18" s="1"/>
  <c r="N748" i="18" a="1"/>
  <c r="N748" i="18" s="1"/>
  <c r="N749" i="18" a="1"/>
  <c r="N749" i="18" s="1"/>
  <c r="N750" i="18" a="1"/>
  <c r="N750" i="18" s="1"/>
  <c r="N751" i="18" a="1"/>
  <c r="N751" i="18" s="1"/>
  <c r="N752" i="18" a="1"/>
  <c r="N752" i="18" s="1"/>
  <c r="N753" i="18" a="1"/>
  <c r="N753" i="18" s="1"/>
  <c r="N754" i="18" a="1"/>
  <c r="N754" i="18" s="1"/>
  <c r="N755" i="18" a="1"/>
  <c r="N755" i="18" s="1"/>
  <c r="N756" i="18" a="1"/>
  <c r="N756" i="18" s="1"/>
  <c r="N757" i="18" a="1"/>
  <c r="N757" i="18" s="1"/>
  <c r="N758" i="18" a="1"/>
  <c r="N758" i="18" s="1"/>
  <c r="N759" i="18" a="1"/>
  <c r="N759" i="18" s="1"/>
  <c r="N760" i="18" a="1"/>
  <c r="N760" i="18" s="1"/>
  <c r="N761" i="18" a="1"/>
  <c r="N761" i="18" s="1"/>
  <c r="N762" i="18" a="1"/>
  <c r="N762" i="18" s="1"/>
  <c r="N763" i="18" a="1"/>
  <c r="N763" i="18" s="1"/>
  <c r="N764" i="18" a="1"/>
  <c r="N764" i="18" s="1"/>
  <c r="N765" i="18" a="1"/>
  <c r="N765" i="18" s="1"/>
  <c r="N766" i="18" a="1"/>
  <c r="N766" i="18"/>
  <c r="N767" i="18" a="1"/>
  <c r="N767" i="18" s="1"/>
  <c r="N768" i="18" a="1"/>
  <c r="N768" i="18" s="1"/>
  <c r="N769" i="18" a="1"/>
  <c r="N769" i="18" s="1"/>
  <c r="N770" i="18" a="1"/>
  <c r="N770" i="18" s="1"/>
  <c r="N771" i="18" a="1"/>
  <c r="N771" i="18" s="1"/>
  <c r="N772" i="18" a="1"/>
  <c r="N772" i="18" s="1"/>
  <c r="N773" i="18" a="1"/>
  <c r="N773" i="18" s="1"/>
  <c r="N774" i="18" a="1"/>
  <c r="N774" i="18" s="1"/>
  <c r="N775" i="18" a="1"/>
  <c r="N775" i="18" s="1"/>
  <c r="N776" i="18" a="1"/>
  <c r="N776" i="18" s="1"/>
  <c r="N777" i="18" a="1"/>
  <c r="N777" i="18" s="1"/>
  <c r="N778" i="18" a="1"/>
  <c r="N778" i="18" s="1"/>
  <c r="N779" i="18" a="1"/>
  <c r="N779" i="18" s="1"/>
  <c r="N780" i="18" a="1"/>
  <c r="N780" i="18" s="1"/>
  <c r="N781" i="18" a="1"/>
  <c r="N781" i="18" s="1"/>
  <c r="N782" i="18" a="1"/>
  <c r="N782" i="18" s="1"/>
  <c r="N783" i="18" a="1"/>
  <c r="N783" i="18" s="1"/>
  <c r="N784" i="18" a="1"/>
  <c r="N784" i="18" s="1"/>
  <c r="N785" i="18" a="1"/>
  <c r="N785" i="18" s="1"/>
  <c r="N786" i="18" a="1"/>
  <c r="N786" i="18" s="1"/>
  <c r="N787" i="18" a="1"/>
  <c r="N787" i="18" s="1"/>
  <c r="N788" i="18" a="1"/>
  <c r="N788" i="18" s="1"/>
  <c r="N789" i="18" a="1"/>
  <c r="N789" i="18" s="1"/>
  <c r="N790" i="18" a="1"/>
  <c r="N790" i="18" s="1"/>
  <c r="N791" i="18" a="1"/>
  <c r="N791" i="18" s="1"/>
  <c r="N792" i="18" a="1"/>
  <c r="N792" i="18" s="1"/>
  <c r="N793" i="18" a="1"/>
  <c r="N793" i="18" s="1"/>
  <c r="N794" i="18" a="1"/>
  <c r="N794" i="18" s="1"/>
  <c r="N795" i="18" a="1"/>
  <c r="N795" i="18" s="1"/>
  <c r="N796" i="18" a="1"/>
  <c r="N796" i="18" s="1"/>
  <c r="N797" i="18" a="1"/>
  <c r="N797" i="18" s="1"/>
  <c r="N798" i="18" a="1"/>
  <c r="N798" i="18" s="1"/>
  <c r="N799" i="18" a="1"/>
  <c r="N799" i="18" s="1"/>
  <c r="N800" i="18" a="1"/>
  <c r="N800" i="18" s="1"/>
  <c r="N801" i="18" a="1"/>
  <c r="N801" i="18" s="1"/>
  <c r="N802" i="18" a="1"/>
  <c r="N802" i="18" s="1"/>
  <c r="N803" i="18" a="1"/>
  <c r="N803" i="18" s="1"/>
  <c r="N804" i="18" a="1"/>
  <c r="N804" i="18" s="1"/>
  <c r="N805" i="18" a="1"/>
  <c r="N805" i="18" s="1"/>
  <c r="N806" i="18" a="1"/>
  <c r="N806" i="18" s="1"/>
  <c r="N807" i="18" a="1"/>
  <c r="N807" i="18" s="1"/>
  <c r="N808" i="18" a="1"/>
  <c r="N808" i="18" s="1"/>
  <c r="N809" i="18" a="1"/>
  <c r="N809" i="18" s="1"/>
  <c r="N810" i="18" a="1"/>
  <c r="N810" i="18" s="1"/>
  <c r="N811" i="18" a="1"/>
  <c r="N811" i="18" s="1"/>
  <c r="N812" i="18" a="1"/>
  <c r="N812" i="18" s="1"/>
  <c r="N813" i="18" a="1"/>
  <c r="N813" i="18" s="1"/>
  <c r="N814" i="18" a="1"/>
  <c r="N814" i="18" s="1"/>
  <c r="N815" i="18" a="1"/>
  <c r="N815" i="18" s="1"/>
  <c r="N816" i="18" a="1"/>
  <c r="N816" i="18" s="1"/>
  <c r="N817" i="18" a="1"/>
  <c r="N817" i="18" s="1"/>
  <c r="N818" i="18" a="1"/>
  <c r="N818" i="18" s="1"/>
  <c r="N819" i="18" a="1"/>
  <c r="N819" i="18"/>
  <c r="N820" i="18" a="1"/>
  <c r="N820" i="18" s="1"/>
  <c r="N821" i="18" a="1"/>
  <c r="N821" i="18"/>
  <c r="N822" i="18" a="1"/>
  <c r="N822" i="18" s="1"/>
  <c r="N823" i="18" a="1"/>
  <c r="N823" i="18" s="1"/>
  <c r="N824" i="18" a="1"/>
  <c r="N824" i="18"/>
  <c r="N825" i="18" a="1"/>
  <c r="N825" i="18" s="1"/>
  <c r="N826" i="18" a="1"/>
  <c r="N826" i="18"/>
  <c r="N827" i="18" a="1"/>
  <c r="N827" i="18"/>
  <c r="N828" i="18" a="1"/>
  <c r="N828" i="18" s="1"/>
  <c r="N829" i="18" a="1"/>
  <c r="N829" i="18" s="1"/>
  <c r="N830" i="18" a="1"/>
  <c r="N830" i="18" s="1"/>
  <c r="N831" i="18" a="1"/>
  <c r="N831" i="18" s="1"/>
  <c r="N832" i="18" a="1"/>
  <c r="N832" i="18"/>
  <c r="N833" i="18" a="1"/>
  <c r="N833" i="18" s="1"/>
  <c r="N834" i="18" a="1"/>
  <c r="N834" i="18"/>
  <c r="N835" i="18" a="1"/>
  <c r="N835" i="18" s="1"/>
  <c r="N836" i="18" a="1"/>
  <c r="N836" i="18"/>
  <c r="N837" i="18" a="1"/>
  <c r="N837" i="18"/>
  <c r="N838" i="18" a="1"/>
  <c r="N838" i="18" s="1"/>
  <c r="N839" i="18" a="1"/>
  <c r="N839" i="18"/>
  <c r="N840" i="18" a="1"/>
  <c r="N840" i="18" s="1"/>
  <c r="N841" i="18" a="1"/>
  <c r="N841" i="18" s="1"/>
  <c r="N842" i="18" a="1"/>
  <c r="N842" i="18" s="1"/>
  <c r="N843" i="18" a="1"/>
  <c r="N843" i="18" s="1"/>
  <c r="N844" i="18" a="1"/>
  <c r="N844" i="18" s="1"/>
  <c r="N845" i="18" a="1"/>
  <c r="N845" i="18" s="1"/>
  <c r="N846" i="18" a="1"/>
  <c r="N846" i="18" s="1"/>
  <c r="N847" i="18" a="1"/>
  <c r="N847" i="18" s="1"/>
  <c r="N848" i="18" a="1"/>
  <c r="N848" i="18"/>
  <c r="N849" i="18" a="1"/>
  <c r="N849" i="18" s="1"/>
  <c r="N850" i="18" a="1"/>
  <c r="N850" i="18" s="1"/>
  <c r="N851" i="18" a="1"/>
  <c r="N851" i="18" s="1"/>
  <c r="N852" i="18" a="1"/>
  <c r="N852" i="18" s="1"/>
  <c r="N853" i="18" a="1"/>
  <c r="N853" i="18"/>
  <c r="N854" i="18" a="1"/>
  <c r="N854" i="18"/>
  <c r="N855" i="18" a="1"/>
  <c r="N855" i="18" s="1"/>
  <c r="N856" i="18" a="1"/>
  <c r="N856" i="18" s="1"/>
  <c r="N857" i="18" a="1"/>
  <c r="N857" i="18" s="1"/>
  <c r="N858" i="18" a="1"/>
  <c r="N858" i="18" s="1"/>
  <c r="N859" i="18" a="1"/>
  <c r="N859" i="18" s="1"/>
  <c r="N860" i="18" a="1"/>
  <c r="N860" i="18" s="1"/>
  <c r="N861" i="18" a="1"/>
  <c r="N861" i="18"/>
  <c r="N862" i="18" a="1"/>
  <c r="N862" i="18" s="1"/>
  <c r="N863" i="18" a="1"/>
  <c r="N863" i="18" s="1"/>
  <c r="N864" i="18" a="1"/>
  <c r="N864" i="18" s="1"/>
  <c r="N865" i="18" a="1"/>
  <c r="N865" i="18" s="1"/>
  <c r="N866" i="18" a="1"/>
  <c r="N866" i="18"/>
  <c r="N867" i="18" a="1"/>
  <c r="N867" i="18"/>
  <c r="N868" i="18" a="1"/>
  <c r="N868" i="18" s="1"/>
  <c r="N869" i="18" a="1"/>
  <c r="N869" i="18" s="1"/>
  <c r="N870" i="18" a="1"/>
  <c r="N870" i="18" s="1"/>
  <c r="N871" i="18" a="1"/>
  <c r="N871" i="18" s="1"/>
  <c r="N872" i="18" a="1"/>
  <c r="N872" i="18" s="1"/>
  <c r="N873" i="18" a="1"/>
  <c r="N873" i="18"/>
  <c r="N874" i="18" a="1"/>
  <c r="N874" i="18" s="1"/>
  <c r="N875" i="18" a="1"/>
  <c r="N875" i="18"/>
  <c r="N876" i="18" a="1"/>
  <c r="N876" i="18" s="1"/>
  <c r="N877" i="18" a="1"/>
  <c r="N877" i="18" s="1"/>
  <c r="N878" i="18" a="1"/>
  <c r="N878" i="18" s="1"/>
  <c r="N879" i="18" a="1"/>
  <c r="N879" i="18" s="1"/>
  <c r="N880" i="18" a="1"/>
  <c r="N880" i="18" s="1"/>
  <c r="N881" i="18" a="1"/>
  <c r="N881" i="18" s="1"/>
  <c r="N882" i="18" a="1"/>
  <c r="N882" i="18"/>
  <c r="N883" i="18" a="1"/>
  <c r="N883" i="18" s="1"/>
  <c r="N884" i="18" a="1"/>
  <c r="N884" i="18" s="1"/>
  <c r="N885" i="18" a="1"/>
  <c r="N885" i="18" s="1"/>
  <c r="N886" i="18" a="1"/>
  <c r="N886" i="18" s="1"/>
  <c r="N887" i="18" a="1"/>
  <c r="N887" i="18" s="1"/>
  <c r="N888" i="18" a="1"/>
  <c r="N888" i="18"/>
  <c r="N889" i="18" a="1"/>
  <c r="N889" i="18"/>
  <c r="N890" i="18" a="1"/>
  <c r="N890" i="18" s="1"/>
  <c r="N891" i="18" a="1"/>
  <c r="N891" i="18" s="1"/>
  <c r="N892" i="18" a="1"/>
  <c r="N892" i="18" s="1"/>
  <c r="N893" i="18" a="1"/>
  <c r="N893" i="18"/>
  <c r="N894" i="18" a="1"/>
  <c r="N894" i="18" s="1"/>
  <c r="N895" i="18" a="1"/>
  <c r="N895" i="18" s="1"/>
  <c r="N896" i="18" a="1"/>
  <c r="N896" i="18" s="1"/>
  <c r="N897" i="18" a="1"/>
  <c r="N897" i="18"/>
  <c r="N898" i="18" a="1"/>
  <c r="N898" i="18" s="1"/>
  <c r="N899" i="18" a="1"/>
  <c r="N899" i="18" s="1"/>
  <c r="N900" i="18" a="1"/>
  <c r="N900" i="18" s="1"/>
  <c r="N901" i="18" a="1"/>
  <c r="N901" i="18"/>
  <c r="N902" i="18" a="1"/>
  <c r="N902" i="18" s="1"/>
  <c r="N903" i="18" a="1"/>
  <c r="N903" i="18"/>
  <c r="N904" i="18" a="1"/>
  <c r="N904" i="18" s="1"/>
  <c r="N905" i="18" a="1"/>
  <c r="N905" i="18"/>
  <c r="N906" i="18" a="1"/>
  <c r="N906" i="18" s="1"/>
  <c r="N907" i="18" a="1"/>
  <c r="N907" i="18"/>
  <c r="N908" i="18" a="1"/>
  <c r="N908" i="18"/>
  <c r="N909" i="18" a="1"/>
  <c r="N909" i="18" s="1"/>
  <c r="N910" i="18" a="1"/>
  <c r="N910" i="18" s="1"/>
  <c r="N911" i="18" a="1"/>
  <c r="N911" i="18" s="1"/>
  <c r="N912" i="18" a="1"/>
  <c r="N912" i="18"/>
  <c r="N913" i="18" a="1"/>
  <c r="N913" i="18"/>
  <c r="N914" i="18" a="1"/>
  <c r="N914" i="18"/>
  <c r="N915" i="18" a="1"/>
  <c r="N915" i="18" s="1"/>
  <c r="N916" i="18" a="1"/>
  <c r="N916" i="18" s="1"/>
  <c r="N917" i="18" a="1"/>
  <c r="N917" i="18" s="1"/>
  <c r="N918" i="18" a="1"/>
  <c r="N918" i="18" s="1"/>
  <c r="N919" i="18" a="1"/>
  <c r="N919" i="18" s="1"/>
  <c r="N920" i="18" a="1"/>
  <c r="N920" i="18"/>
  <c r="N921" i="18" a="1"/>
  <c r="N921" i="18" s="1"/>
  <c r="N922" i="18" a="1"/>
  <c r="N922" i="18" s="1"/>
  <c r="N923" i="18" a="1"/>
  <c r="N923" i="18"/>
  <c r="N924" i="18" a="1"/>
  <c r="N924" i="18" s="1"/>
  <c r="N925" i="18" a="1"/>
  <c r="N925" i="18"/>
  <c r="N926" i="18" a="1"/>
  <c r="N926" i="18"/>
  <c r="N927" i="18" a="1"/>
  <c r="N927" i="18"/>
  <c r="N928" i="18" a="1"/>
  <c r="N928" i="18" s="1"/>
  <c r="N929" i="18" a="1"/>
  <c r="N929" i="18"/>
  <c r="N930" i="18" a="1"/>
  <c r="N930" i="18" s="1"/>
  <c r="N931" i="18" a="1"/>
  <c r="N931" i="18" s="1"/>
  <c r="N932" i="18" a="1"/>
  <c r="N932" i="18" s="1"/>
  <c r="N933" i="18" a="1"/>
  <c r="N933" i="18" s="1"/>
  <c r="N934" i="18" a="1"/>
  <c r="N934" i="18" s="1"/>
  <c r="N935" i="18" a="1"/>
  <c r="N935" i="18"/>
  <c r="N936" i="18" a="1"/>
  <c r="N936" i="18" s="1"/>
  <c r="N937" i="18" a="1"/>
  <c r="N937" i="18" s="1"/>
  <c r="N938" i="18" a="1"/>
  <c r="N938" i="18"/>
  <c r="N939" i="18" a="1"/>
  <c r="N939" i="18"/>
  <c r="N940" i="18" a="1"/>
  <c r="N940" i="18" s="1"/>
  <c r="N941" i="18" a="1"/>
  <c r="N941" i="18"/>
  <c r="N942" i="18" a="1"/>
  <c r="N942" i="18" s="1"/>
  <c r="N943" i="18" a="1"/>
  <c r="N943" i="18" s="1"/>
  <c r="N944" i="18" a="1"/>
  <c r="N944" i="18" s="1"/>
  <c r="N945" i="18" a="1"/>
  <c r="N945" i="18" s="1"/>
  <c r="N946" i="18" a="1"/>
  <c r="N946" i="18" s="1"/>
  <c r="N947" i="18" a="1"/>
  <c r="N947" i="18"/>
  <c r="N948" i="18" a="1"/>
  <c r="N948" i="18" s="1"/>
  <c r="N949" i="18" a="1"/>
  <c r="N949" i="18"/>
  <c r="N950" i="18" a="1"/>
  <c r="N950" i="18" s="1"/>
  <c r="N951" i="18" a="1"/>
  <c r="N951" i="18" s="1"/>
  <c r="N952" i="18" a="1"/>
  <c r="N952" i="18" s="1"/>
  <c r="N953" i="18" a="1"/>
  <c r="N953" i="18" s="1"/>
  <c r="N954" i="18" a="1"/>
  <c r="N954" i="18" s="1"/>
  <c r="N955" i="18" a="1"/>
  <c r="N955" i="18" s="1"/>
  <c r="N956" i="18" a="1"/>
  <c r="N956" i="18" s="1"/>
  <c r="N957" i="18" a="1"/>
  <c r="N957" i="18"/>
  <c r="N958" i="18" a="1"/>
  <c r="N958" i="18" s="1"/>
  <c r="N959" i="18" a="1"/>
  <c r="N959" i="18"/>
  <c r="N960" i="18" a="1"/>
  <c r="N960" i="18" s="1"/>
  <c r="N961" i="18" a="1"/>
  <c r="N961" i="18" s="1"/>
  <c r="N962" i="18" a="1"/>
  <c r="N962" i="18"/>
  <c r="N963" i="18" a="1"/>
  <c r="N963" i="18" s="1"/>
  <c r="N964" i="18" a="1"/>
  <c r="N964" i="18" s="1"/>
  <c r="N965" i="18" a="1"/>
  <c r="N965" i="18" s="1"/>
  <c r="N966" i="18" a="1"/>
  <c r="N966" i="18"/>
  <c r="N967" i="18" a="1"/>
  <c r="N967" i="18" s="1"/>
  <c r="N968" i="18" a="1"/>
  <c r="N968" i="18" s="1"/>
  <c r="N969" i="18" a="1"/>
  <c r="N969" i="18"/>
  <c r="N970" i="18" a="1"/>
  <c r="N970" i="18" s="1"/>
  <c r="N971" i="18" a="1"/>
  <c r="N971" i="18"/>
  <c r="N972" i="18" a="1"/>
  <c r="N972" i="18"/>
  <c r="N973" i="18" a="1"/>
  <c r="N973" i="18"/>
  <c r="N974" i="18" a="1"/>
  <c r="N974" i="18" s="1"/>
  <c r="N975" i="18" a="1"/>
  <c r="N975" i="18"/>
  <c r="N976" i="18" a="1"/>
  <c r="N976" i="18" s="1"/>
  <c r="N977" i="18" a="1"/>
  <c r="N977" i="18" s="1"/>
  <c r="N978" i="18" a="1"/>
  <c r="N978" i="18" s="1"/>
  <c r="N979" i="18" a="1"/>
  <c r="N979" i="18" s="1"/>
  <c r="N980" i="18" a="1"/>
  <c r="N980" i="18"/>
  <c r="N981" i="18" a="1"/>
  <c r="N981" i="18" s="1"/>
  <c r="N982" i="18" a="1"/>
  <c r="N982" i="18" s="1"/>
  <c r="N983" i="18" a="1"/>
  <c r="N983" i="18" s="1"/>
  <c r="N984" i="18" a="1"/>
  <c r="N984" i="18" s="1"/>
  <c r="N985" i="18" a="1"/>
  <c r="N985" i="18" s="1"/>
  <c r="N986" i="18" a="1"/>
  <c r="N986" i="18"/>
  <c r="N987" i="18" a="1"/>
  <c r="N987" i="18" s="1"/>
  <c r="N988" i="18" a="1"/>
  <c r="N988" i="18" s="1"/>
  <c r="N989" i="18" a="1"/>
  <c r="N989" i="18"/>
  <c r="N990" i="18" a="1"/>
  <c r="N990" i="18" s="1"/>
  <c r="N991" i="18" a="1"/>
  <c r="N991" i="18" s="1"/>
  <c r="N992" i="18" a="1"/>
  <c r="N992" i="18"/>
  <c r="N993" i="18" a="1"/>
  <c r="N993" i="18"/>
  <c r="N994" i="18" a="1"/>
  <c r="N994" i="18" s="1"/>
  <c r="N995" i="18" a="1"/>
  <c r="N995" i="18"/>
  <c r="N996" i="18" a="1"/>
  <c r="N996" i="18" s="1"/>
  <c r="N997" i="18" a="1"/>
  <c r="N997" i="18" s="1"/>
  <c r="N998" i="18" a="1"/>
  <c r="N998" i="18"/>
  <c r="N999" i="18" a="1"/>
  <c r="N999" i="18"/>
  <c r="N1000" i="18" a="1"/>
  <c r="N1000" i="18" s="1"/>
  <c r="N1001" i="18" a="1"/>
  <c r="N1001" i="18" s="1"/>
  <c r="N1002" i="18" a="1"/>
  <c r="N1002" i="18" s="1"/>
  <c r="N1003" i="18" a="1"/>
  <c r="N1003" i="18"/>
  <c r="N1004" i="18" a="1"/>
  <c r="N1004" i="18" s="1"/>
  <c r="N1005" i="18" a="1"/>
  <c r="N1005" i="18" s="1"/>
  <c r="N1006" i="18" a="1"/>
  <c r="N1006" i="18" s="1"/>
  <c r="N1007" i="18" a="1"/>
  <c r="N1007" i="18" s="1"/>
  <c r="N1008" i="18" a="1"/>
  <c r="N1008" i="18" s="1"/>
  <c r="N1009" i="18" a="1"/>
  <c r="N1009" i="18" s="1"/>
  <c r="N1010" i="18" a="1"/>
  <c r="N1010" i="18" s="1"/>
  <c r="N1011" i="18" a="1"/>
  <c r="N1011" i="18"/>
  <c r="N1012" i="18" a="1"/>
  <c r="N1012" i="18" s="1"/>
  <c r="N1013" i="18" a="1"/>
  <c r="N1013" i="18" s="1"/>
  <c r="N1014" i="18" a="1"/>
  <c r="N1014" i="18" s="1"/>
  <c r="N1015" i="18" a="1"/>
  <c r="N1015" i="18"/>
  <c r="N1016" i="18" a="1"/>
  <c r="N1016" i="18"/>
  <c r="N1017" i="18" a="1"/>
  <c r="N1017" i="18" s="1"/>
  <c r="N1018" i="18" a="1"/>
  <c r="N1018" i="18" s="1"/>
  <c r="N1019" i="18" a="1"/>
  <c r="N1019" i="18" s="1"/>
  <c r="N1020" i="18" a="1"/>
  <c r="N1020" i="18" s="1"/>
  <c r="N1021" i="18" a="1"/>
  <c r="N1021" i="18" s="1"/>
  <c r="N1022" i="18" a="1"/>
  <c r="N1022" i="18" s="1"/>
  <c r="N1023" i="18" a="1"/>
  <c r="N1023" i="18"/>
  <c r="N1024" i="18" a="1"/>
  <c r="N1024" i="18" s="1"/>
  <c r="N1025" i="18" a="1"/>
  <c r="N1025" i="18"/>
  <c r="N1026" i="18" a="1"/>
  <c r="N1026" i="18"/>
  <c r="N1027" i="18" a="1"/>
  <c r="N1027" i="18" s="1"/>
  <c r="N1028" i="18" a="1"/>
  <c r="N1028" i="18" s="1"/>
  <c r="N1029" i="18" a="1"/>
  <c r="N1029" i="18"/>
  <c r="N1030" i="18" a="1"/>
  <c r="N1030" i="18" s="1"/>
  <c r="N1031" i="18" a="1"/>
  <c r="N1031" i="18" s="1"/>
  <c r="N1032" i="18" a="1"/>
  <c r="N1032" i="18"/>
  <c r="N1033" i="18" a="1"/>
  <c r="N1033" i="18" s="1"/>
  <c r="N1034" i="18" a="1"/>
  <c r="N1034" i="18" s="1"/>
  <c r="N1035" i="18" a="1"/>
  <c r="N1035" i="18" s="1"/>
  <c r="N1036" i="18" a="1"/>
  <c r="N1036" i="18" s="1"/>
  <c r="N1037" i="18" a="1"/>
  <c r="N1037" i="18" s="1"/>
  <c r="N1038" i="18" a="1"/>
  <c r="N1038" i="18" s="1"/>
  <c r="N1039" i="18" a="1"/>
  <c r="N1039" i="18" s="1"/>
  <c r="N1040" i="18" a="1"/>
  <c r="N1040" i="18" s="1"/>
  <c r="N1041" i="18" a="1"/>
  <c r="N1041" i="18" s="1"/>
  <c r="N1042" i="18" a="1"/>
  <c r="N1042" i="18" s="1"/>
  <c r="N1043" i="18" a="1"/>
  <c r="N1043" i="18"/>
  <c r="N1044" i="18" a="1"/>
  <c r="N1044" i="18" s="1"/>
  <c r="N1045" i="18" a="1"/>
  <c r="N1045" i="18" s="1"/>
  <c r="N1046" i="18" a="1"/>
  <c r="N1046" i="18" s="1"/>
  <c r="N1047" i="18" a="1"/>
  <c r="N1047" i="18"/>
  <c r="N1048" i="18" a="1"/>
  <c r="N1048" i="18" s="1"/>
  <c r="N1049" i="18" a="1"/>
  <c r="N1049" i="18"/>
  <c r="N1050" i="18" a="1"/>
  <c r="N1050" i="18" s="1"/>
  <c r="N1051" i="18" a="1"/>
  <c r="N1051" i="18" s="1"/>
  <c r="N1052" i="18" a="1"/>
  <c r="N1052" i="18"/>
  <c r="N1053" i="18" a="1"/>
  <c r="N1053" i="18" s="1"/>
  <c r="N1054" i="18" a="1"/>
  <c r="N1054" i="18" s="1"/>
  <c r="N1055" i="18" a="1"/>
  <c r="N1055" i="18" s="1"/>
  <c r="N1056" i="18" a="1"/>
  <c r="N1056" i="18"/>
  <c r="N1057" i="18" a="1"/>
  <c r="N1057" i="18"/>
  <c r="N1058" i="18" a="1"/>
  <c r="N1058" i="18"/>
  <c r="N1059" i="18" a="1"/>
  <c r="N1059" i="18" s="1"/>
  <c r="N1060" i="18" a="1"/>
  <c r="N1060" i="18" s="1"/>
  <c r="N1061" i="18" a="1"/>
  <c r="N1061" i="18" s="1"/>
  <c r="N1062" i="18" a="1"/>
  <c r="N1062" i="18" s="1"/>
  <c r="N1063" i="18" a="1"/>
  <c r="N1063" i="18" s="1"/>
  <c r="N1064" i="18" a="1"/>
  <c r="N1064" i="18" s="1"/>
  <c r="N1065" i="18" a="1"/>
  <c r="N1065" i="18"/>
  <c r="N1066" i="18" a="1"/>
  <c r="N1066" i="18" s="1"/>
  <c r="N1067" i="18" a="1"/>
  <c r="N1067" i="18" s="1"/>
  <c r="N1068" i="18" a="1"/>
  <c r="N1068" i="18" s="1"/>
  <c r="N1069" i="18" a="1"/>
  <c r="N1069" i="18"/>
  <c r="N1070" i="18" a="1"/>
  <c r="N1070" i="18"/>
  <c r="N1071" i="18" a="1"/>
  <c r="N1071" i="18" s="1"/>
  <c r="N1072" i="18" a="1"/>
  <c r="N1072" i="18" s="1"/>
  <c r="N1073" i="18" a="1"/>
  <c r="N1073" i="18" s="1"/>
  <c r="N1074" i="18" a="1"/>
  <c r="N1074" i="18" s="1"/>
  <c r="N1075" i="18" a="1"/>
  <c r="N1075" i="18"/>
  <c r="N1076" i="18" a="1"/>
  <c r="N1076" i="18" s="1"/>
  <c r="N1077" i="18" a="1"/>
  <c r="N1077" i="18" s="1"/>
  <c r="N1078" i="18" a="1"/>
  <c r="N1078" i="18" s="1"/>
  <c r="N1079" i="18" a="1"/>
  <c r="N1079" i="18" s="1"/>
  <c r="N1080" i="18" a="1"/>
  <c r="N1080" i="18"/>
  <c r="N1081" i="18" a="1"/>
  <c r="N1081" i="18" s="1"/>
  <c r="N1082" i="18" a="1"/>
  <c r="N1082" i="18" s="1"/>
  <c r="N1083" i="18" a="1"/>
  <c r="N1083" i="18"/>
  <c r="N1084" i="18" a="1"/>
  <c r="N1084" i="18" s="1"/>
  <c r="N1085" i="18" a="1"/>
  <c r="N1085" i="18" s="1"/>
  <c r="N1086" i="18" a="1"/>
  <c r="N1086" i="18" s="1"/>
  <c r="N1087" i="18" a="1"/>
  <c r="N1087" i="18" s="1"/>
  <c r="N1088" i="18" a="1"/>
  <c r="N1088" i="18"/>
  <c r="N1089" i="18" a="1"/>
  <c r="N1089" i="18" s="1"/>
  <c r="N1090" i="18" a="1"/>
  <c r="N1090" i="18" s="1"/>
  <c r="N1091" i="18" a="1"/>
  <c r="N1091" i="18"/>
  <c r="N1092" i="18" a="1"/>
  <c r="N1092" i="18" s="1"/>
  <c r="N1093" i="18" a="1"/>
  <c r="N1093" i="18" s="1"/>
  <c r="N1094" i="18" a="1"/>
  <c r="N1094" i="18" s="1"/>
  <c r="N1095" i="18" a="1"/>
  <c r="N1095" i="18" s="1"/>
  <c r="N1096" i="18" a="1"/>
  <c r="N1096" i="18" s="1"/>
  <c r="N1097" i="18" a="1"/>
  <c r="N1097" i="18"/>
  <c r="N1098" i="18" a="1"/>
  <c r="N1098" i="18" s="1"/>
  <c r="N1099" i="18" a="1"/>
  <c r="N1099" i="18" s="1"/>
  <c r="N1100" i="18" a="1"/>
  <c r="N1100" i="18"/>
  <c r="N1101" i="18" a="1"/>
  <c r="N1101" i="18"/>
  <c r="N1102" i="18" a="1"/>
  <c r="N1102" i="18" s="1"/>
  <c r="N1103" i="18" a="1"/>
  <c r="N1103" i="18"/>
  <c r="N1104" i="18" a="1"/>
  <c r="N1104" i="18"/>
  <c r="N1105" i="18" a="1"/>
  <c r="N1105" i="18" s="1"/>
  <c r="N1106" i="18" a="1"/>
  <c r="N1106" i="18"/>
  <c r="N1107" i="18" a="1"/>
  <c r="N1107" i="18" s="1"/>
  <c r="N1108" i="18" a="1"/>
  <c r="N1108" i="18" s="1"/>
  <c r="N1109" i="18" a="1"/>
  <c r="N1109" i="18" s="1"/>
  <c r="N1110" i="18" a="1"/>
  <c r="N1110" i="18"/>
  <c r="N1111" i="18" a="1"/>
  <c r="N1111" i="18"/>
  <c r="N1112" i="18" a="1"/>
  <c r="N1112" i="18" s="1"/>
  <c r="N1113" i="18" a="1"/>
  <c r="N1113" i="18" s="1"/>
  <c r="N1114" i="18" a="1"/>
  <c r="N1114" i="18" s="1"/>
  <c r="N1115" i="18" a="1"/>
  <c r="N1115" i="18"/>
  <c r="N1116" i="18" a="1"/>
  <c r="N1116" i="18" s="1"/>
  <c r="N1117" i="18" a="1"/>
  <c r="N1117" i="18"/>
  <c r="N1118" i="18" a="1"/>
  <c r="N1118" i="18" s="1"/>
  <c r="N1119" i="18" a="1"/>
  <c r="N1119" i="18"/>
  <c r="N1120" i="18" a="1"/>
  <c r="N1120" i="18" s="1"/>
  <c r="N1121" i="18" a="1"/>
  <c r="N1121" i="18" s="1"/>
  <c r="N1122" i="18" a="1"/>
  <c r="N1122" i="18" s="1"/>
  <c r="N1123" i="18" a="1"/>
  <c r="N1123" i="18"/>
  <c r="N1124" i="18" a="1"/>
  <c r="N1124" i="18"/>
  <c r="N1125" i="18" a="1"/>
  <c r="N1125" i="18" s="1"/>
  <c r="N1126" i="18" a="1"/>
  <c r="N1126" i="18" s="1"/>
  <c r="N1127" i="18" a="1"/>
  <c r="N1127" i="18" s="1"/>
  <c r="N1128" i="18" a="1"/>
  <c r="N1128" i="18"/>
  <c r="N1129" i="18" a="1"/>
  <c r="N1129" i="18" s="1"/>
  <c r="N1130" i="18" a="1"/>
  <c r="N1130" i="18" s="1"/>
  <c r="N1131" i="18" a="1"/>
  <c r="N1131" i="18" s="1"/>
  <c r="N1132" i="18" a="1"/>
  <c r="N1132" i="18" s="1"/>
  <c r="N1133" i="18" a="1"/>
  <c r="N1133" i="18"/>
  <c r="N1134" i="18" a="1"/>
  <c r="N1134" i="18"/>
  <c r="N1135" i="18" a="1"/>
  <c r="N1135" i="18" s="1"/>
  <c r="N1136" i="18" a="1"/>
  <c r="N1136" i="18" s="1"/>
  <c r="N1137" i="18" a="1"/>
  <c r="N1137" i="18"/>
  <c r="N1138" i="18" a="1"/>
  <c r="N1138" i="18" s="1"/>
  <c r="N1139" i="18" a="1"/>
  <c r="N1139" i="18" s="1"/>
  <c r="N1140" i="18" a="1"/>
  <c r="N1140" i="18" s="1"/>
  <c r="N1141" i="18" a="1"/>
  <c r="N1141" i="18" s="1"/>
  <c r="N1142" i="18" a="1"/>
  <c r="N1142" i="18"/>
  <c r="N1143" i="18" a="1"/>
  <c r="N1143" i="18" s="1"/>
  <c r="N1144" i="18" a="1"/>
  <c r="N1144" i="18" s="1"/>
  <c r="N1145" i="18" a="1"/>
  <c r="N1145" i="18" s="1"/>
  <c r="N1146" i="18" a="1"/>
  <c r="N1146" i="18"/>
  <c r="N1147" i="18" a="1"/>
  <c r="N1147" i="18"/>
  <c r="N1148" i="18" a="1"/>
  <c r="N1148" i="18" s="1"/>
  <c r="N1149" i="18" a="1"/>
  <c r="N1149" i="18"/>
  <c r="N1150" i="18" a="1"/>
  <c r="N1150" i="18" s="1"/>
  <c r="N1151" i="18" a="1"/>
  <c r="N1151" i="18" s="1"/>
  <c r="N1152" i="18" a="1"/>
  <c r="N1152" i="18" s="1"/>
  <c r="N1153" i="18" a="1"/>
  <c r="N1153" i="18" s="1"/>
  <c r="N1154" i="18" a="1"/>
  <c r="N1154" i="18" s="1"/>
  <c r="N1155" i="18" a="1"/>
  <c r="N1155" i="18"/>
  <c r="N1156" i="18" a="1"/>
  <c r="N1156" i="18" s="1"/>
  <c r="N1157" i="18" a="1"/>
  <c r="N1157" i="18" s="1"/>
  <c r="N1158" i="18" a="1"/>
  <c r="N1158" i="18" s="1"/>
  <c r="N1159" i="18" a="1"/>
  <c r="N1159" i="18" s="1"/>
  <c r="N1160" i="18" a="1"/>
  <c r="N1160" i="18"/>
  <c r="N1161" i="18" a="1"/>
  <c r="N1161" i="18" s="1"/>
  <c r="N1162" i="18" a="1"/>
  <c r="N1162" i="18" s="1"/>
  <c r="N1163" i="18" a="1"/>
  <c r="N1163" i="18"/>
  <c r="N1164" i="18" a="1"/>
  <c r="N1164" i="18" s="1"/>
  <c r="N1165" i="18" a="1"/>
  <c r="N1165" i="18" s="1"/>
  <c r="N1166" i="18" a="1"/>
  <c r="N1166" i="18" s="1"/>
  <c r="N1167" i="18" a="1"/>
  <c r="N1167" i="18" s="1"/>
  <c r="N1168" i="18" a="1"/>
  <c r="N1168" i="18" s="1"/>
  <c r="N1169" i="18" a="1"/>
  <c r="N1169" i="18"/>
  <c r="N1170" i="18" a="1"/>
  <c r="N1170" i="18" s="1"/>
  <c r="N1171" i="18" a="1"/>
  <c r="N117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/>
  <c r="O120" i="18" a="1"/>
  <c r="O120" i="18" s="1"/>
  <c r="O121" i="18" a="1"/>
  <c r="O121" i="18" s="1"/>
  <c r="O122" i="18" a="1"/>
  <c r="O122" i="18" s="1"/>
  <c r="O123" i="18" a="1"/>
  <c r="O123" i="18"/>
  <c r="O124" i="18" a="1"/>
  <c r="O124" i="18" s="1"/>
  <c r="O125" i="18" a="1"/>
  <c r="O125" i="18" s="1"/>
  <c r="O126" i="18" a="1"/>
  <c r="O126" i="18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/>
  <c r="O150" i="18" a="1"/>
  <c r="O150" i="18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/>
  <c r="O196" i="18" a="1"/>
  <c r="O196" i="18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/>
  <c r="O235" i="18" a="1"/>
  <c r="O235" i="18" s="1"/>
  <c r="O236" i="18" a="1"/>
  <c r="O236" i="18" s="1"/>
  <c r="O237" i="18" a="1"/>
  <c r="O237" i="18" s="1"/>
  <c r="O238" i="18" a="1"/>
  <c r="O238" i="18"/>
  <c r="O239" i="18" a="1"/>
  <c r="O239" i="18" s="1"/>
  <c r="O240" i="18" a="1"/>
  <c r="O240" i="18" s="1"/>
  <c r="O241" i="18" a="1"/>
  <c r="O241" i="18" s="1"/>
  <c r="O242" i="18" a="1"/>
  <c r="O242" i="18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/>
  <c r="O265" i="18" a="1"/>
  <c r="O265" i="18" s="1"/>
  <c r="O266" i="18" a="1"/>
  <c r="O266" i="18" s="1"/>
  <c r="O267" i="18" a="1"/>
  <c r="O267" i="18" s="1"/>
  <c r="O268" i="18" a="1"/>
  <c r="O268" i="18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/>
  <c r="O281" i="18" a="1"/>
  <c r="O281" i="18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/>
  <c r="O325" i="18" a="1"/>
  <c r="O325" i="18" s="1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/>
  <c r="O353" i="18" a="1"/>
  <c r="O353" i="18"/>
  <c r="O354" i="18" a="1"/>
  <c r="O354" i="18" s="1"/>
  <c r="O355" i="18" a="1"/>
  <c r="O355" i="18" s="1"/>
  <c r="O356" i="18" a="1"/>
  <c r="O356" i="18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/>
  <c r="O397" i="18" a="1"/>
  <c r="O397" i="18" s="1"/>
  <c r="O398" i="18" a="1"/>
  <c r="O398" i="18"/>
  <c r="O399" i="18" a="1"/>
  <c r="O399" i="18"/>
  <c r="O400" i="18" a="1"/>
  <c r="O400" i="18" s="1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/>
  <c r="O409" i="18" a="1"/>
  <c r="O409" i="18" s="1"/>
  <c r="O410" i="18" a="1"/>
  <c r="O410" i="18" s="1"/>
  <c r="O411" i="18" a="1"/>
  <c r="O411" i="18"/>
  <c r="O412" i="18" a="1"/>
  <c r="O412" i="18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/>
  <c r="O429" i="18" a="1"/>
  <c r="O429" i="18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 s="1"/>
  <c r="O448" i="18" a="1"/>
  <c r="O448" i="18" s="1"/>
  <c r="O449" i="18" a="1"/>
  <c r="O449" i="18" s="1"/>
  <c r="O450" i="18" a="1"/>
  <c r="O450" i="18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 s="1"/>
  <c r="O457" i="18" a="1"/>
  <c r="O457" i="18" s="1"/>
  <c r="O458" i="18" a="1"/>
  <c r="O458" i="18" s="1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 s="1"/>
  <c r="O464" i="18" a="1"/>
  <c r="O464" i="18" s="1"/>
  <c r="O465" i="18" a="1"/>
  <c r="O465" i="18" s="1"/>
  <c r="O466" i="18" a="1"/>
  <c r="O466" i="18"/>
  <c r="O467" i="18" a="1"/>
  <c r="O467" i="18"/>
  <c r="O468" i="18" a="1"/>
  <c r="O468" i="18"/>
  <c r="O469" i="18" a="1"/>
  <c r="O469" i="18" s="1"/>
  <c r="O470" i="18" a="1"/>
  <c r="O470" i="18"/>
  <c r="O471" i="18" a="1"/>
  <c r="O471" i="18" s="1"/>
  <c r="O472" i="18" a="1"/>
  <c r="O472" i="18" s="1"/>
  <c r="O473" i="18" a="1"/>
  <c r="O473" i="18"/>
  <c r="O474" i="18" a="1"/>
  <c r="O474" i="18" s="1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/>
  <c r="O485" i="18" a="1"/>
  <c r="O485" i="18" s="1"/>
  <c r="O486" i="18" a="1"/>
  <c r="O486" i="18" s="1"/>
  <c r="O487" i="18" a="1"/>
  <c r="O487" i="18" s="1"/>
  <c r="O488" i="18" a="1"/>
  <c r="O488" i="18" s="1"/>
  <c r="O489" i="18" a="1"/>
  <c r="O489" i="18" s="1"/>
  <c r="O490" i="18" a="1"/>
  <c r="O490" i="18" s="1"/>
  <c r="O491" i="18" a="1"/>
  <c r="O491" i="18" s="1"/>
  <c r="O492" i="18" a="1"/>
  <c r="O492" i="18"/>
  <c r="O493" i="18" a="1"/>
  <c r="O493" i="18" s="1"/>
  <c r="O494" i="18" a="1"/>
  <c r="O494" i="18" s="1"/>
  <c r="O495" i="18" a="1"/>
  <c r="O495" i="18" s="1"/>
  <c r="O496" i="18" a="1"/>
  <c r="O496" i="18"/>
  <c r="O497" i="18" a="1"/>
  <c r="O497" i="18" s="1"/>
  <c r="O498" i="18" a="1"/>
  <c r="O498" i="18" s="1"/>
  <c r="O499" i="18" a="1"/>
  <c r="O499" i="18" s="1"/>
  <c r="O500" i="18" a="1"/>
  <c r="O500" i="18" s="1"/>
  <c r="O501" i="18" a="1"/>
  <c r="O501" i="18"/>
  <c r="O502" i="18" a="1"/>
  <c r="O502" i="18" s="1"/>
  <c r="O503" i="18" a="1"/>
  <c r="O503" i="18" s="1"/>
  <c r="O504" i="18" a="1"/>
  <c r="O504" i="18" s="1"/>
  <c r="O505" i="18" a="1"/>
  <c r="O505" i="18" s="1"/>
  <c r="O506" i="18" a="1"/>
  <c r="O506" i="18" s="1"/>
  <c r="O507" i="18" a="1"/>
  <c r="O507" i="18" s="1"/>
  <c r="O508" i="18" a="1"/>
  <c r="O508" i="18" s="1"/>
  <c r="O509" i="18" a="1"/>
  <c r="O509" i="18"/>
  <c r="O510" i="18" a="1"/>
  <c r="O510" i="18" s="1"/>
  <c r="O511" i="18" a="1"/>
  <c r="O511" i="18" s="1"/>
  <c r="O512" i="18" a="1"/>
  <c r="O512" i="18"/>
  <c r="O513" i="18" a="1"/>
  <c r="O513" i="18" s="1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 s="1"/>
  <c r="O519" i="18" a="1"/>
  <c r="O519" i="18" s="1"/>
  <c r="O520" i="18" a="1"/>
  <c r="O520" i="18" s="1"/>
  <c r="O521" i="18" a="1"/>
  <c r="O521" i="18" s="1"/>
  <c r="O522" i="18" a="1"/>
  <c r="O522" i="18" s="1"/>
  <c r="O523" i="18" a="1"/>
  <c r="O523" i="18" s="1"/>
  <c r="O524" i="18" a="1"/>
  <c r="O524" i="18" s="1"/>
  <c r="O525" i="18" a="1"/>
  <c r="O525" i="18" s="1"/>
  <c r="O526" i="18" a="1"/>
  <c r="O526" i="18"/>
  <c r="O527" i="18" a="1"/>
  <c r="O527" i="18" s="1"/>
  <c r="O528" i="18" a="1"/>
  <c r="O528" i="18" s="1"/>
  <c r="O529" i="18" a="1"/>
  <c r="O529" i="18" s="1"/>
  <c r="O530" i="18" a="1"/>
  <c r="O530" i="18"/>
  <c r="O531" i="18" a="1"/>
  <c r="O531" i="18" s="1"/>
  <c r="O532" i="18" a="1"/>
  <c r="O532" i="18" s="1"/>
  <c r="O533" i="18" a="1"/>
  <c r="O533" i="18" s="1"/>
  <c r="O534" i="18" a="1"/>
  <c r="O534" i="18" s="1"/>
  <c r="O535" i="18" a="1"/>
  <c r="O535" i="18" s="1"/>
  <c r="O536" i="18" a="1"/>
  <c r="O536" i="18" s="1"/>
  <c r="O537" i="18" a="1"/>
  <c r="O537" i="18" s="1"/>
  <c r="O538" i="18" a="1"/>
  <c r="O538" i="18" s="1"/>
  <c r="O539" i="18" a="1"/>
  <c r="O539" i="18"/>
  <c r="O540" i="18" a="1"/>
  <c r="O540" i="18" s="1"/>
  <c r="O541" i="18" a="1"/>
  <c r="O541" i="18" s="1"/>
  <c r="O542" i="18" a="1"/>
  <c r="O542" i="18"/>
  <c r="O543" i="18" a="1"/>
  <c r="O543" i="18"/>
  <c r="O544" i="18" a="1"/>
  <c r="O544" i="18" s="1"/>
  <c r="O545" i="18" a="1"/>
  <c r="O545" i="18" s="1"/>
  <c r="O546" i="18" a="1"/>
  <c r="O546" i="18" s="1"/>
  <c r="O547" i="18" a="1"/>
  <c r="O547" i="18" s="1"/>
  <c r="O548" i="18" a="1"/>
  <c r="O548" i="18" s="1"/>
  <c r="O549" i="18" a="1"/>
  <c r="O549" i="18" s="1"/>
  <c r="O550" i="18" a="1"/>
  <c r="O550" i="18" s="1"/>
  <c r="O551" i="18" a="1"/>
  <c r="O551" i="18" s="1"/>
  <c r="O552" i="18" a="1"/>
  <c r="O552" i="18" s="1"/>
  <c r="O553" i="18" a="1"/>
  <c r="O553" i="18" s="1"/>
  <c r="O554" i="18" a="1"/>
  <c r="O554" i="18" s="1"/>
  <c r="O555" i="18" a="1"/>
  <c r="O555" i="18" s="1"/>
  <c r="O556" i="18" a="1"/>
  <c r="O556" i="18"/>
  <c r="O557" i="18" a="1"/>
  <c r="O557" i="18" s="1"/>
  <c r="O558" i="18" a="1"/>
  <c r="O558" i="18"/>
  <c r="O559" i="18" a="1"/>
  <c r="O559" i="18" s="1"/>
  <c r="O560" i="18" a="1"/>
  <c r="O560" i="18" s="1"/>
  <c r="O561" i="18" a="1"/>
  <c r="O561" i="18" s="1"/>
  <c r="O562" i="18" a="1"/>
  <c r="O562" i="18" s="1"/>
  <c r="O563" i="18" a="1"/>
  <c r="O563" i="18" s="1"/>
  <c r="O564" i="18" a="1"/>
  <c r="O564" i="18" s="1"/>
  <c r="O565" i="18" a="1"/>
  <c r="O565" i="18" s="1"/>
  <c r="O566" i="18" a="1"/>
  <c r="O566" i="18" s="1"/>
  <c r="O567" i="18" a="1"/>
  <c r="O567" i="18" s="1"/>
  <c r="O568" i="18" a="1"/>
  <c r="O568" i="18"/>
  <c r="O569" i="18" a="1"/>
  <c r="O569" i="18" s="1"/>
  <c r="O570" i="18" a="1"/>
  <c r="O570" i="18" s="1"/>
  <c r="O571" i="18" a="1"/>
  <c r="O571" i="18" s="1"/>
  <c r="O572" i="18" a="1"/>
  <c r="O572" i="18" s="1"/>
  <c r="O573" i="18" a="1"/>
  <c r="O573" i="18" s="1"/>
  <c r="O574" i="18" a="1"/>
  <c r="O574" i="18" s="1"/>
  <c r="O575" i="18" a="1"/>
  <c r="O575" i="18" s="1"/>
  <c r="O576" i="18" a="1"/>
  <c r="O576" i="18" s="1"/>
  <c r="O577" i="18" a="1"/>
  <c r="O577" i="18" s="1"/>
  <c r="O578" i="18" a="1"/>
  <c r="O578" i="18" s="1"/>
  <c r="O579" i="18" a="1"/>
  <c r="O579" i="18" s="1"/>
  <c r="O580" i="18" a="1"/>
  <c r="O580" i="18" s="1"/>
  <c r="O581" i="18" a="1"/>
  <c r="O581" i="18" s="1"/>
  <c r="O582" i="18" a="1"/>
  <c r="O582" i="18" s="1"/>
  <c r="O583" i="18" a="1"/>
  <c r="O583" i="18" s="1"/>
  <c r="O584" i="18" a="1"/>
  <c r="O584" i="18" s="1"/>
  <c r="O585" i="18" a="1"/>
  <c r="O585" i="18"/>
  <c r="O586" i="18" a="1"/>
  <c r="O586" i="18" s="1"/>
  <c r="O587" i="18" a="1"/>
  <c r="O587" i="18"/>
  <c r="O588" i="18" a="1"/>
  <c r="O588" i="18" s="1"/>
  <c r="O589" i="18" a="1"/>
  <c r="O589" i="18" s="1"/>
  <c r="O590" i="18" a="1"/>
  <c r="O590" i="18" s="1"/>
  <c r="O591" i="18" a="1"/>
  <c r="O591" i="18" s="1"/>
  <c r="O592" i="18" a="1"/>
  <c r="O592" i="18" s="1"/>
  <c r="O593" i="18" a="1"/>
  <c r="O593" i="18" s="1"/>
  <c r="O594" i="18" a="1"/>
  <c r="O594" i="18" s="1"/>
  <c r="O595" i="18" a="1"/>
  <c r="O595" i="18" s="1"/>
  <c r="O596" i="18" a="1"/>
  <c r="O596" i="18" s="1"/>
  <c r="O597" i="18" a="1"/>
  <c r="O597" i="18" s="1"/>
  <c r="O598" i="18" a="1"/>
  <c r="O598" i="18" s="1"/>
  <c r="O599" i="18" a="1"/>
  <c r="O599" i="18" s="1"/>
  <c r="O600" i="18" a="1"/>
  <c r="O600" i="18" s="1"/>
  <c r="O601" i="18" a="1"/>
  <c r="O601" i="18" s="1"/>
  <c r="O602" i="18" a="1"/>
  <c r="O602" i="18"/>
  <c r="O603" i="18" a="1"/>
  <c r="O603" i="18" s="1"/>
  <c r="O604" i="18" a="1"/>
  <c r="O604" i="18" s="1"/>
  <c r="O605" i="18" a="1"/>
  <c r="O605" i="18" s="1"/>
  <c r="O606" i="18" a="1"/>
  <c r="O606" i="18" s="1"/>
  <c r="O607" i="18" a="1"/>
  <c r="O607" i="18" s="1"/>
  <c r="O608" i="18" a="1"/>
  <c r="O608" i="18" s="1"/>
  <c r="O609" i="18" a="1"/>
  <c r="O609" i="18" s="1"/>
  <c r="O610" i="18" a="1"/>
  <c r="O610" i="18" s="1"/>
  <c r="O611" i="18" a="1"/>
  <c r="O611" i="18" s="1"/>
  <c r="O612" i="18" a="1"/>
  <c r="O612" i="18" s="1"/>
  <c r="O613" i="18" a="1"/>
  <c r="O613" i="18" s="1"/>
  <c r="O614" i="18" a="1"/>
  <c r="O614" i="18"/>
  <c r="O615" i="18" a="1"/>
  <c r="O615" i="18" s="1"/>
  <c r="O616" i="18" a="1"/>
  <c r="O616" i="18" s="1"/>
  <c r="O617" i="18" a="1"/>
  <c r="O617" i="18" s="1"/>
  <c r="O618" i="18" a="1"/>
  <c r="O618" i="18" s="1"/>
  <c r="O619" i="18" a="1"/>
  <c r="O619" i="18" s="1"/>
  <c r="O620" i="18" a="1"/>
  <c r="O620" i="18" s="1"/>
  <c r="O621" i="18" a="1"/>
  <c r="O621" i="18" s="1"/>
  <c r="O622" i="18" a="1"/>
  <c r="O622" i="18" s="1"/>
  <c r="O623" i="18" a="1"/>
  <c r="O623" i="18" s="1"/>
  <c r="O624" i="18" a="1"/>
  <c r="O624" i="18"/>
  <c r="O625" i="18" a="1"/>
  <c r="O625" i="18" s="1"/>
  <c r="O626" i="18" a="1"/>
  <c r="O626" i="18" s="1"/>
  <c r="O627" i="18" a="1"/>
  <c r="O627" i="18"/>
  <c r="O628" i="18" a="1"/>
  <c r="O628" i="18" s="1"/>
  <c r="O629" i="18" a="1"/>
  <c r="O629" i="18" s="1"/>
  <c r="O630" i="18" a="1"/>
  <c r="O630" i="18" s="1"/>
  <c r="O631" i="18" a="1"/>
  <c r="O631" i="18" s="1"/>
  <c r="O632" i="18" a="1"/>
  <c r="O632" i="18"/>
  <c r="O633" i="18" a="1"/>
  <c r="O633" i="18" s="1"/>
  <c r="O634" i="18" a="1"/>
  <c r="O634" i="18" s="1"/>
  <c r="O635" i="18" a="1"/>
  <c r="O635" i="18" s="1"/>
  <c r="O636" i="18" a="1"/>
  <c r="O636" i="18" s="1"/>
  <c r="O637" i="18" a="1"/>
  <c r="O637" i="18" s="1"/>
  <c r="O638" i="18" a="1"/>
  <c r="O638" i="18" s="1"/>
  <c r="O639" i="18" a="1"/>
  <c r="O639" i="18" s="1"/>
  <c r="O640" i="18" a="1"/>
  <c r="O640" i="18" s="1"/>
  <c r="O641" i="18" a="1"/>
  <c r="O641" i="18"/>
  <c r="O642" i="18" a="1"/>
  <c r="O642" i="18" s="1"/>
  <c r="O643" i="18" a="1"/>
  <c r="O643" i="18" s="1"/>
  <c r="O644" i="18" a="1"/>
  <c r="O644" i="18"/>
  <c r="O645" i="18" a="1"/>
  <c r="O645" i="18" s="1"/>
  <c r="O646" i="18" a="1"/>
  <c r="O646" i="18" s="1"/>
  <c r="O647" i="18" a="1"/>
  <c r="O647" i="18" s="1"/>
  <c r="O648" i="18" a="1"/>
  <c r="O648" i="18" s="1"/>
  <c r="O649" i="18" a="1"/>
  <c r="O649" i="18" s="1"/>
  <c r="O650" i="18" a="1"/>
  <c r="O650" i="18" s="1"/>
  <c r="O651" i="18" a="1"/>
  <c r="O651" i="18" s="1"/>
  <c r="O652" i="18" a="1"/>
  <c r="O652" i="18" s="1"/>
  <c r="O653" i="18" a="1"/>
  <c r="O653" i="18" s="1"/>
  <c r="O654" i="18" a="1"/>
  <c r="O654" i="18"/>
  <c r="O655" i="18" a="1"/>
  <c r="O655" i="18" s="1"/>
  <c r="O656" i="18" a="1"/>
  <c r="O656" i="18" s="1"/>
  <c r="O657" i="18" a="1"/>
  <c r="O657" i="18" s="1"/>
  <c r="O658" i="18" a="1"/>
  <c r="O658" i="18"/>
  <c r="O659" i="18" a="1"/>
  <c r="O659" i="18" s="1"/>
  <c r="O660" i="18" a="1"/>
  <c r="O660" i="18" s="1"/>
  <c r="O661" i="18" a="1"/>
  <c r="O661" i="18" s="1"/>
  <c r="O662" i="18" a="1"/>
  <c r="O662" i="18"/>
  <c r="O663" i="18" a="1"/>
  <c r="O663" i="18" s="1"/>
  <c r="O664" i="18" a="1"/>
  <c r="O664" i="18" s="1"/>
  <c r="O665" i="18" a="1"/>
  <c r="O665" i="18" s="1"/>
  <c r="O666" i="18" a="1"/>
  <c r="O666" i="18" s="1"/>
  <c r="O667" i="18" a="1"/>
  <c r="O667" i="18" s="1"/>
  <c r="O668" i="18" a="1"/>
  <c r="O668" i="18" s="1"/>
  <c r="O669" i="18" a="1"/>
  <c r="O669" i="18" s="1"/>
  <c r="O670" i="18" a="1"/>
  <c r="O670" i="18"/>
  <c r="O671" i="18" a="1"/>
  <c r="O671" i="18"/>
  <c r="O672" i="18" a="1"/>
  <c r="O672" i="18" s="1"/>
  <c r="O673" i="18" a="1"/>
  <c r="O673" i="18" s="1"/>
  <c r="O674" i="18" a="1"/>
  <c r="O674" i="18" s="1"/>
  <c r="O675" i="18" a="1"/>
  <c r="O675" i="18"/>
  <c r="O676" i="18" a="1"/>
  <c r="O676" i="18" s="1"/>
  <c r="O677" i="18" a="1"/>
  <c r="O677" i="18" s="1"/>
  <c r="O678" i="18" a="1"/>
  <c r="O678" i="18" s="1"/>
  <c r="O679" i="18" a="1"/>
  <c r="O679" i="18" s="1"/>
  <c r="O680" i="18" a="1"/>
  <c r="O680" i="18" s="1"/>
  <c r="O681" i="18" a="1"/>
  <c r="O681" i="18" s="1"/>
  <c r="O682" i="18" a="1"/>
  <c r="O682" i="18" s="1"/>
  <c r="O683" i="18" a="1"/>
  <c r="O683" i="18"/>
  <c r="O684" i="18" a="1"/>
  <c r="O684" i="18" s="1"/>
  <c r="O685" i="18" a="1"/>
  <c r="O685" i="18" s="1"/>
  <c r="O686" i="18" a="1"/>
  <c r="O686" i="18"/>
  <c r="O687" i="18" a="1"/>
  <c r="O687" i="18" s="1"/>
  <c r="O688" i="18" a="1"/>
  <c r="O688" i="18"/>
  <c r="O689" i="18" a="1"/>
  <c r="O689" i="18" s="1"/>
  <c r="O690" i="18" a="1"/>
  <c r="O690" i="18" s="1"/>
  <c r="O691" i="18" a="1"/>
  <c r="O691" i="18" s="1"/>
  <c r="O692" i="18" a="1"/>
  <c r="O692" i="18" s="1"/>
  <c r="O693" i="18" a="1"/>
  <c r="O693" i="18" s="1"/>
  <c r="O694" i="18" a="1"/>
  <c r="O694" i="18" s="1"/>
  <c r="O695" i="18" a="1"/>
  <c r="O695" i="18" s="1"/>
  <c r="O696" i="18" a="1"/>
  <c r="O696" i="18" s="1"/>
  <c r="O697" i="18" a="1"/>
  <c r="O697" i="18" s="1"/>
  <c r="O698" i="18" a="1"/>
  <c r="O698" i="18" s="1"/>
  <c r="O699" i="18" a="1"/>
  <c r="O699" i="18"/>
  <c r="O700" i="18" a="1"/>
  <c r="O700" i="18"/>
  <c r="O701" i="18" a="1"/>
  <c r="O701" i="18" s="1"/>
  <c r="O702" i="18" a="1"/>
  <c r="O702" i="18" s="1"/>
  <c r="O703" i="18" a="1"/>
  <c r="O703" i="18" s="1"/>
  <c r="O704" i="18" a="1"/>
  <c r="O704" i="18" s="1"/>
  <c r="O705" i="18" a="1"/>
  <c r="O705" i="18" s="1"/>
  <c r="O706" i="18" a="1"/>
  <c r="O706" i="18" s="1"/>
  <c r="O707" i="18" a="1"/>
  <c r="O707" i="18" s="1"/>
  <c r="O708" i="18" a="1"/>
  <c r="O708" i="18" s="1"/>
  <c r="O709" i="18" a="1"/>
  <c r="O709" i="18" s="1"/>
  <c r="O710" i="18" a="1"/>
  <c r="O710" i="18" s="1"/>
  <c r="O711" i="18" a="1"/>
  <c r="O711" i="18" s="1"/>
  <c r="O712" i="18" a="1"/>
  <c r="O712" i="18"/>
  <c r="O713" i="18" a="1"/>
  <c r="O713" i="18"/>
  <c r="O714" i="18" a="1"/>
  <c r="O714" i="18"/>
  <c r="O715" i="18" a="1"/>
  <c r="O715" i="18" s="1"/>
  <c r="O716" i="18" a="1"/>
  <c r="O716" i="18"/>
  <c r="O717" i="18" a="1"/>
  <c r="O717" i="18"/>
  <c r="O718" i="18" a="1"/>
  <c r="O718" i="18" s="1"/>
  <c r="O719" i="18" a="1"/>
  <c r="O719" i="18" s="1"/>
  <c r="O720" i="18" a="1"/>
  <c r="O720" i="18" s="1"/>
  <c r="O721" i="18" a="1"/>
  <c r="O721" i="18" s="1"/>
  <c r="O722" i="18" a="1"/>
  <c r="O722" i="18" s="1"/>
  <c r="O723" i="18" a="1"/>
  <c r="O723" i="18" s="1"/>
  <c r="O724" i="18" a="1"/>
  <c r="O724" i="18" s="1"/>
  <c r="O725" i="18" a="1"/>
  <c r="O725" i="18"/>
  <c r="O726" i="18" a="1"/>
  <c r="O726" i="18" s="1"/>
  <c r="O727" i="18" a="1"/>
  <c r="O727" i="18" s="1"/>
  <c r="O728" i="18" a="1"/>
  <c r="O728" i="18" s="1"/>
  <c r="O729" i="18" a="1"/>
  <c r="O729" i="18"/>
  <c r="O730" i="18" a="1"/>
  <c r="O730" i="18"/>
  <c r="O731" i="18" a="1"/>
  <c r="O731" i="18" s="1"/>
  <c r="O732" i="18" a="1"/>
  <c r="O732" i="18" s="1"/>
  <c r="O733" i="18" a="1"/>
  <c r="O733" i="18" s="1"/>
  <c r="O734" i="18" a="1"/>
  <c r="O734" i="18"/>
  <c r="O735" i="18" a="1"/>
  <c r="O735" i="18" s="1"/>
  <c r="O736" i="18" a="1"/>
  <c r="O736" i="18" s="1"/>
  <c r="O737" i="18" a="1"/>
  <c r="O737" i="18" s="1"/>
  <c r="O738" i="18" a="1"/>
  <c r="O738" i="18"/>
  <c r="O739" i="18" a="1"/>
  <c r="O739" i="18" s="1"/>
  <c r="O740" i="18" a="1"/>
  <c r="O740" i="18" s="1"/>
  <c r="O741" i="18" a="1"/>
  <c r="O741" i="18" s="1"/>
  <c r="O742" i="18" a="1"/>
  <c r="O742" i="18" s="1"/>
  <c r="O743" i="18" a="1"/>
  <c r="O743" i="18"/>
  <c r="O744" i="18" a="1"/>
  <c r="O744" i="18" s="1"/>
  <c r="O745" i="18" a="1"/>
  <c r="O745" i="18" s="1"/>
  <c r="O746" i="18" a="1"/>
  <c r="O746" i="18" s="1"/>
  <c r="O747" i="18" a="1"/>
  <c r="O747" i="18"/>
  <c r="O748" i="18" a="1"/>
  <c r="O748" i="18" s="1"/>
  <c r="O749" i="18" a="1"/>
  <c r="O749" i="18" s="1"/>
  <c r="O750" i="18" a="1"/>
  <c r="O750" i="18" s="1"/>
  <c r="O751" i="18" a="1"/>
  <c r="O751" i="18" s="1"/>
  <c r="O752" i="18" a="1"/>
  <c r="O752" i="18" s="1"/>
  <c r="O753" i="18" a="1"/>
  <c r="O753" i="18" s="1"/>
  <c r="O754" i="18" a="1"/>
  <c r="O754" i="18" s="1"/>
  <c r="O755" i="18" a="1"/>
  <c r="O755" i="18" s="1"/>
  <c r="O756" i="18" a="1"/>
  <c r="O756" i="18"/>
  <c r="O757" i="18" a="1"/>
  <c r="O757" i="18" s="1"/>
  <c r="O758" i="18" a="1"/>
  <c r="O758" i="18" s="1"/>
  <c r="O759" i="18" a="1"/>
  <c r="O759" i="18" s="1"/>
  <c r="O760" i="18" a="1"/>
  <c r="O760" i="18"/>
  <c r="O761" i="18" a="1"/>
  <c r="O761" i="18" s="1"/>
  <c r="O762" i="18" a="1"/>
  <c r="O762" i="18" s="1"/>
  <c r="O763" i="18" a="1"/>
  <c r="O763" i="18" s="1"/>
  <c r="O764" i="18" a="1"/>
  <c r="O764" i="18" s="1"/>
  <c r="O765" i="18" a="1"/>
  <c r="O765" i="18" s="1"/>
  <c r="O766" i="18" a="1"/>
  <c r="O766" i="18" s="1"/>
  <c r="O767" i="18" a="1"/>
  <c r="O767" i="18" s="1"/>
  <c r="O768" i="18" a="1"/>
  <c r="O768" i="18"/>
  <c r="O769" i="18" a="1"/>
  <c r="O769" i="18" s="1"/>
  <c r="O770" i="18" a="1"/>
  <c r="O770" i="18" s="1"/>
  <c r="O771" i="18" a="1"/>
  <c r="O771" i="18" s="1"/>
  <c r="O772" i="18" a="1"/>
  <c r="O772" i="18" s="1"/>
  <c r="O773" i="18" a="1"/>
  <c r="O773" i="18"/>
  <c r="O774" i="18" a="1"/>
  <c r="O774" i="18" s="1"/>
  <c r="O775" i="18" a="1"/>
  <c r="O775" i="18" s="1"/>
  <c r="O776" i="18" a="1"/>
  <c r="O776" i="18" s="1"/>
  <c r="O777" i="18" a="1"/>
  <c r="O777" i="18" s="1"/>
  <c r="O778" i="18" a="1"/>
  <c r="O778" i="18" s="1"/>
  <c r="O779" i="18" a="1"/>
  <c r="O779" i="18" s="1"/>
  <c r="O780" i="18" a="1"/>
  <c r="O780" i="18" s="1"/>
  <c r="O781" i="18" a="1"/>
  <c r="O781" i="18" s="1"/>
  <c r="O782" i="18" a="1"/>
  <c r="O782" i="18" s="1"/>
  <c r="O783" i="18" a="1"/>
  <c r="O783" i="18" s="1"/>
  <c r="O784" i="18" a="1"/>
  <c r="O784" i="18"/>
  <c r="O785" i="18" a="1"/>
  <c r="O785" i="18" s="1"/>
  <c r="O786" i="18" a="1"/>
  <c r="O786" i="18" s="1"/>
  <c r="O787" i="18" a="1"/>
  <c r="O787" i="18" s="1"/>
  <c r="O788" i="18" a="1"/>
  <c r="O788" i="18" s="1"/>
  <c r="O789" i="18" a="1"/>
  <c r="O789" i="18" s="1"/>
  <c r="O790" i="18" a="1"/>
  <c r="O790" i="18" s="1"/>
  <c r="O791" i="18" a="1"/>
  <c r="O791" i="18" s="1"/>
  <c r="O792" i="18" a="1"/>
  <c r="O792" i="18" s="1"/>
  <c r="O793" i="18" a="1"/>
  <c r="O793" i="18" s="1"/>
  <c r="O794" i="18" a="1"/>
  <c r="O794" i="18" s="1"/>
  <c r="O795" i="18" a="1"/>
  <c r="O795" i="18" s="1"/>
  <c r="O796" i="18" a="1"/>
  <c r="O796" i="18" s="1"/>
  <c r="O797" i="18" a="1"/>
  <c r="O797" i="18"/>
  <c r="O798" i="18" a="1"/>
  <c r="O798" i="18"/>
  <c r="O799" i="18" a="1"/>
  <c r="O799" i="18" s="1"/>
  <c r="O800" i="18" a="1"/>
  <c r="O800" i="18" s="1"/>
  <c r="O801" i="18" a="1"/>
  <c r="O801" i="18"/>
  <c r="O802" i="18" a="1"/>
  <c r="O802" i="18" s="1"/>
  <c r="O803" i="18" a="1"/>
  <c r="O803" i="18" s="1"/>
  <c r="O804" i="18" a="1"/>
  <c r="O804" i="18" s="1"/>
  <c r="O805" i="18" a="1"/>
  <c r="O805" i="18" s="1"/>
  <c r="O806" i="18" a="1"/>
  <c r="O806" i="18" s="1"/>
  <c r="O807" i="18" a="1"/>
  <c r="O807" i="18" s="1"/>
  <c r="O808" i="18" a="1"/>
  <c r="O808" i="18" s="1"/>
  <c r="O809" i="18" a="1"/>
  <c r="O809" i="18" s="1"/>
  <c r="O810" i="18" a="1"/>
  <c r="O810" i="18"/>
  <c r="O811" i="18" a="1"/>
  <c r="O811" i="18" s="1"/>
  <c r="O812" i="18" a="1"/>
  <c r="O812" i="18" s="1"/>
  <c r="O813" i="18" a="1"/>
  <c r="O813" i="18" s="1"/>
  <c r="O814" i="18" a="1"/>
  <c r="O814" i="18"/>
  <c r="O815" i="18" a="1"/>
  <c r="O815" i="18" s="1"/>
  <c r="O816" i="18" a="1"/>
  <c r="O816" i="18" s="1"/>
  <c r="O817" i="18" a="1"/>
  <c r="O817" i="18" s="1"/>
  <c r="O818" i="18" a="1"/>
  <c r="O818" i="18"/>
  <c r="O819" i="18" a="1"/>
  <c r="O819" i="18"/>
  <c r="O820" i="18" a="1"/>
  <c r="O820" i="18" s="1"/>
  <c r="O821" i="18" a="1"/>
  <c r="O821" i="18" s="1"/>
  <c r="O822" i="18" a="1"/>
  <c r="O822" i="18" s="1"/>
  <c r="O823" i="18" a="1"/>
  <c r="O823" i="18" s="1"/>
  <c r="O824" i="18" a="1"/>
  <c r="O824" i="18" s="1"/>
  <c r="O825" i="18" a="1"/>
  <c r="O825" i="18" s="1"/>
  <c r="O826" i="18" a="1"/>
  <c r="O826" i="18" s="1"/>
  <c r="O827" i="18" a="1"/>
  <c r="O827" i="18" s="1"/>
  <c r="O828" i="18" a="1"/>
  <c r="O828" i="18"/>
  <c r="O829" i="18" a="1"/>
  <c r="O829" i="18" s="1"/>
  <c r="O830" i="18" a="1"/>
  <c r="O830" i="18"/>
  <c r="O831" i="18" a="1"/>
  <c r="O831" i="18"/>
  <c r="O832" i="18" a="1"/>
  <c r="O832" i="18" s="1"/>
  <c r="O833" i="18" a="1"/>
  <c r="O833" i="18" s="1"/>
  <c r="O834" i="18" a="1"/>
  <c r="O834" i="18" s="1"/>
  <c r="O835" i="18" a="1"/>
  <c r="O835" i="18" s="1"/>
  <c r="O836" i="18" a="1"/>
  <c r="O836" i="18" s="1"/>
  <c r="O837" i="18" a="1"/>
  <c r="O837" i="18" s="1"/>
  <c r="O838" i="18" a="1"/>
  <c r="O838" i="18" s="1"/>
  <c r="O839" i="18" a="1"/>
  <c r="O839" i="18" s="1"/>
  <c r="O840" i="18" a="1"/>
  <c r="O840" i="18" s="1"/>
  <c r="O841" i="18" a="1"/>
  <c r="O841" i="18" s="1"/>
  <c r="O842" i="18" a="1"/>
  <c r="O842" i="18" s="1"/>
  <c r="O843" i="18" a="1"/>
  <c r="O843" i="18"/>
  <c r="O844" i="18" a="1"/>
  <c r="O844" i="18" s="1"/>
  <c r="O845" i="18" a="1"/>
  <c r="O845" i="18"/>
  <c r="O846" i="18" a="1"/>
  <c r="O846" i="18" s="1"/>
  <c r="O847" i="18" a="1"/>
  <c r="O847" i="18" s="1"/>
  <c r="O848" i="18" a="1"/>
  <c r="O848" i="18" s="1"/>
  <c r="O849" i="18" a="1"/>
  <c r="O849" i="18" s="1"/>
  <c r="O850" i="18" a="1"/>
  <c r="O850" i="18" s="1"/>
  <c r="O851" i="18" a="1"/>
  <c r="O851" i="18" s="1"/>
  <c r="O852" i="18" a="1"/>
  <c r="O852" i="18" s="1"/>
  <c r="O853" i="18" a="1"/>
  <c r="O853" i="18" s="1"/>
  <c r="O854" i="18" a="1"/>
  <c r="O854" i="18" s="1"/>
  <c r="O855" i="18" a="1"/>
  <c r="O855" i="18" s="1"/>
  <c r="O856" i="18" a="1"/>
  <c r="O856" i="18"/>
  <c r="O857" i="18" a="1"/>
  <c r="O857" i="18" s="1"/>
  <c r="O858" i="18" a="1"/>
  <c r="O858" i="18"/>
  <c r="O859" i="18" a="1"/>
  <c r="O859" i="18" s="1"/>
  <c r="O860" i="18" a="1"/>
  <c r="O860" i="18"/>
  <c r="O861" i="18" a="1"/>
  <c r="O861" i="18" s="1"/>
  <c r="O862" i="18" a="1"/>
  <c r="O862" i="18" s="1"/>
  <c r="O863" i="18" a="1"/>
  <c r="O863" i="18" s="1"/>
  <c r="O864" i="18" a="1"/>
  <c r="O864" i="18" s="1"/>
  <c r="O865" i="18" a="1"/>
  <c r="O865" i="18" s="1"/>
  <c r="O866" i="18" a="1"/>
  <c r="O866" i="18" s="1"/>
  <c r="O867" i="18" a="1"/>
  <c r="O867" i="18" s="1"/>
  <c r="O868" i="18" a="1"/>
  <c r="O868" i="18" s="1"/>
  <c r="O869" i="18" a="1"/>
  <c r="O869" i="18" s="1"/>
  <c r="O870" i="18" a="1"/>
  <c r="O870" i="18" s="1"/>
  <c r="O871" i="18" a="1"/>
  <c r="O871" i="18" s="1"/>
  <c r="O872" i="18" a="1"/>
  <c r="O872" i="18" s="1"/>
  <c r="O873" i="18" a="1"/>
  <c r="O873" i="18"/>
  <c r="O874" i="18" a="1"/>
  <c r="O874" i="18" s="1"/>
  <c r="O875" i="18" a="1"/>
  <c r="O875" i="18" s="1"/>
  <c r="O876" i="18" a="1"/>
  <c r="O876" i="18" s="1"/>
  <c r="O877" i="18" a="1"/>
  <c r="O877" i="18" s="1"/>
  <c r="O878" i="18" a="1"/>
  <c r="O878" i="18"/>
  <c r="O879" i="18" a="1"/>
  <c r="O879" i="18" s="1"/>
  <c r="O880" i="18" a="1"/>
  <c r="O880" i="18" s="1"/>
  <c r="O881" i="18" a="1"/>
  <c r="O881" i="18" s="1"/>
  <c r="O882" i="18" a="1"/>
  <c r="O882" i="18"/>
  <c r="O883" i="18" a="1"/>
  <c r="O883" i="18" s="1"/>
  <c r="O884" i="18" a="1"/>
  <c r="O884" i="18" s="1"/>
  <c r="O885" i="18" a="1"/>
  <c r="O885" i="18" s="1"/>
  <c r="O886" i="18" a="1"/>
  <c r="O886" i="18"/>
  <c r="O887" i="18" a="1"/>
  <c r="O887" i="18"/>
  <c r="O888" i="18" a="1"/>
  <c r="O888" i="18" s="1"/>
  <c r="O889" i="18" a="1"/>
  <c r="O889" i="18" s="1"/>
  <c r="O890" i="18" a="1"/>
  <c r="O890" i="18"/>
  <c r="O891" i="18" a="1"/>
  <c r="O891" i="18" s="1"/>
  <c r="O892" i="18" a="1"/>
  <c r="O892" i="18" s="1"/>
  <c r="O893" i="18" a="1"/>
  <c r="O893" i="18" s="1"/>
  <c r="O894" i="18" a="1"/>
  <c r="O894" i="18" s="1"/>
  <c r="O895" i="18" a="1"/>
  <c r="O895" i="18" s="1"/>
  <c r="O896" i="18" a="1"/>
  <c r="O896" i="18" s="1"/>
  <c r="O897" i="18" a="1"/>
  <c r="O897" i="18" s="1"/>
  <c r="O898" i="18" a="1"/>
  <c r="O898" i="18" s="1"/>
  <c r="O899" i="18" a="1"/>
  <c r="O899" i="18"/>
  <c r="O900" i="18" a="1"/>
  <c r="O900" i="18"/>
  <c r="O901" i="18" a="1"/>
  <c r="O901" i="18" s="1"/>
  <c r="O902" i="18" a="1"/>
  <c r="O902" i="18" s="1"/>
  <c r="O903" i="18" a="1"/>
  <c r="O903" i="18"/>
  <c r="O904" i="18" a="1"/>
  <c r="O904" i="18"/>
  <c r="O905" i="18" a="1"/>
  <c r="O905" i="18" s="1"/>
  <c r="O906" i="18" a="1"/>
  <c r="O906" i="18" s="1"/>
  <c r="O907" i="18" a="1"/>
  <c r="O907" i="18" s="1"/>
  <c r="O908" i="18" a="1"/>
  <c r="O908" i="18" s="1"/>
  <c r="O909" i="18" a="1"/>
  <c r="O909" i="18" s="1"/>
  <c r="O910" i="18" a="1"/>
  <c r="O910" i="18" s="1"/>
  <c r="O911" i="18" a="1"/>
  <c r="O911" i="18" s="1"/>
  <c r="O912" i="18" a="1"/>
  <c r="O912" i="18"/>
  <c r="O913" i="18" a="1"/>
  <c r="O913" i="18" s="1"/>
  <c r="O914" i="18" a="1"/>
  <c r="O914" i="18" s="1"/>
  <c r="O915" i="18" a="1"/>
  <c r="O915" i="18" s="1"/>
  <c r="O916" i="18" a="1"/>
  <c r="O916" i="18"/>
  <c r="O917" i="18" a="1"/>
  <c r="O917" i="18"/>
  <c r="O918" i="18" a="1"/>
  <c r="O918" i="18" s="1"/>
  <c r="O919" i="18" a="1"/>
  <c r="O919" i="18" s="1"/>
  <c r="O920" i="18" a="1"/>
  <c r="O920" i="18"/>
  <c r="O921" i="18" a="1"/>
  <c r="O921" i="18" s="1"/>
  <c r="O922" i="18" a="1"/>
  <c r="O922" i="18" s="1"/>
  <c r="O923" i="18" a="1"/>
  <c r="O923" i="18" s="1"/>
  <c r="O924" i="18" a="1"/>
  <c r="O924" i="18" s="1"/>
  <c r="O925" i="18" a="1"/>
  <c r="O925" i="18" s="1"/>
  <c r="O926" i="18" a="1"/>
  <c r="O926" i="18" s="1"/>
  <c r="O927" i="18" a="1"/>
  <c r="O927" i="18" s="1"/>
  <c r="O928" i="18" a="1"/>
  <c r="O928" i="18" s="1"/>
  <c r="O929" i="18" a="1"/>
  <c r="O929" i="18" s="1"/>
  <c r="O930" i="18" a="1"/>
  <c r="O930" i="18"/>
  <c r="O931" i="18" a="1"/>
  <c r="O931" i="18" s="1"/>
  <c r="O932" i="18" a="1"/>
  <c r="O932" i="18" s="1"/>
  <c r="O933" i="18" a="1"/>
  <c r="O933" i="18"/>
  <c r="O934" i="18" a="1"/>
  <c r="O934" i="18" s="1"/>
  <c r="O935" i="18" a="1"/>
  <c r="O935" i="18" s="1"/>
  <c r="O936" i="18" a="1"/>
  <c r="O936" i="18" s="1"/>
  <c r="O937" i="18" a="1"/>
  <c r="O937" i="18" s="1"/>
  <c r="O938" i="18" a="1"/>
  <c r="O938" i="18" s="1"/>
  <c r="O939" i="18" a="1"/>
  <c r="O939" i="18" s="1"/>
  <c r="O940" i="18" a="1"/>
  <c r="O940" i="18" s="1"/>
  <c r="O941" i="18" a="1"/>
  <c r="O941" i="18"/>
  <c r="O942" i="18" a="1"/>
  <c r="O942" i="18" s="1"/>
  <c r="O943" i="18" a="1"/>
  <c r="O943" i="18" s="1"/>
  <c r="O944" i="18" a="1"/>
  <c r="O944" i="18" s="1"/>
  <c r="O945" i="18" a="1"/>
  <c r="O945" i="18" s="1"/>
  <c r="O946" i="18" a="1"/>
  <c r="O946" i="18" s="1"/>
  <c r="O947" i="18" a="1"/>
  <c r="O947" i="18" s="1"/>
  <c r="O948" i="18" a="1"/>
  <c r="O948" i="18" s="1"/>
  <c r="O949" i="18" a="1"/>
  <c r="O949" i="18" s="1"/>
  <c r="O950" i="18" a="1"/>
  <c r="O950" i="18" s="1"/>
  <c r="O951" i="18" a="1"/>
  <c r="O951" i="18" s="1"/>
  <c r="O952" i="18" a="1"/>
  <c r="O952" i="18" s="1"/>
  <c r="O953" i="18" a="1"/>
  <c r="O953" i="18" s="1"/>
  <c r="O954" i="18" a="1"/>
  <c r="O954" i="18" s="1"/>
  <c r="O955" i="18" a="1"/>
  <c r="O955" i="18" s="1"/>
  <c r="O956" i="18" a="1"/>
  <c r="O956" i="18" s="1"/>
  <c r="O957" i="18" a="1"/>
  <c r="O957" i="18" s="1"/>
  <c r="O958" i="18" a="1"/>
  <c r="O958" i="18" s="1"/>
  <c r="O959" i="18" a="1"/>
  <c r="O959" i="18" s="1"/>
  <c r="O960" i="18" a="1"/>
  <c r="O960" i="18" s="1"/>
  <c r="O961" i="18" a="1"/>
  <c r="O961" i="18" s="1"/>
  <c r="O962" i="18" a="1"/>
  <c r="O962" i="18"/>
  <c r="O963" i="18" a="1"/>
  <c r="O963" i="18"/>
  <c r="O964" i="18" a="1"/>
  <c r="O964" i="18" s="1"/>
  <c r="O965" i="18" a="1"/>
  <c r="O965" i="18" s="1"/>
  <c r="O966" i="18" a="1"/>
  <c r="O966" i="18" s="1"/>
  <c r="O967" i="18" a="1"/>
  <c r="O967" i="18" s="1"/>
  <c r="O968" i="18" a="1"/>
  <c r="O968" i="18" s="1"/>
  <c r="O969" i="18" a="1"/>
  <c r="O969" i="18" s="1"/>
  <c r="O970" i="18" a="1"/>
  <c r="O970" i="18" s="1"/>
  <c r="O971" i="18" a="1"/>
  <c r="O971" i="18"/>
  <c r="O972" i="18" a="1"/>
  <c r="O972" i="18" s="1"/>
  <c r="O973" i="18" a="1"/>
  <c r="O973" i="18" s="1"/>
  <c r="O974" i="18" a="1"/>
  <c r="O974" i="18"/>
  <c r="O975" i="18" a="1"/>
  <c r="O975" i="18" s="1"/>
  <c r="O976" i="18" a="1"/>
  <c r="O976" i="18" s="1"/>
  <c r="O977" i="18" a="1"/>
  <c r="O977" i="18" s="1"/>
  <c r="O978" i="18" a="1"/>
  <c r="O978" i="18" s="1"/>
  <c r="O979" i="18" a="1"/>
  <c r="O979" i="18" s="1"/>
  <c r="O980" i="18" a="1"/>
  <c r="O980" i="18" s="1"/>
  <c r="O981" i="18" a="1"/>
  <c r="O981" i="18" s="1"/>
  <c r="O982" i="18" a="1"/>
  <c r="O982" i="18" s="1"/>
  <c r="O983" i="18" a="1"/>
  <c r="O983" i="18" s="1"/>
  <c r="O984" i="18" a="1"/>
  <c r="O984" i="18"/>
  <c r="O985" i="18" a="1"/>
  <c r="O985" i="18" s="1"/>
  <c r="O986" i="18" a="1"/>
  <c r="O986" i="18" s="1"/>
  <c r="O987" i="18" a="1"/>
  <c r="O987" i="18" s="1"/>
  <c r="O988" i="18" a="1"/>
  <c r="O988" i="18"/>
  <c r="O989" i="18" a="1"/>
  <c r="O989" i="18" s="1"/>
  <c r="O990" i="18" a="1"/>
  <c r="O990" i="18" s="1"/>
  <c r="O991" i="18" a="1"/>
  <c r="O991" i="18" s="1"/>
  <c r="O992" i="18" a="1"/>
  <c r="O992" i="18"/>
  <c r="O993" i="18" a="1"/>
  <c r="O993" i="18" s="1"/>
  <c r="O994" i="18" a="1"/>
  <c r="O994" i="18" s="1"/>
  <c r="O995" i="18" a="1"/>
  <c r="O995" i="18" s="1"/>
  <c r="O996" i="18" a="1"/>
  <c r="O996" i="18" s="1"/>
  <c r="O997" i="18" a="1"/>
  <c r="O997" i="18" s="1"/>
  <c r="O998" i="18" a="1"/>
  <c r="O998" i="18" s="1"/>
  <c r="O999" i="18" a="1"/>
  <c r="O999" i="18" s="1"/>
  <c r="O1000" i="18" a="1"/>
  <c r="O1000" i="18"/>
  <c r="O1001" i="18" a="1"/>
  <c r="O1001" i="18"/>
  <c r="O1002" i="18" a="1"/>
  <c r="O1002" i="18" s="1"/>
  <c r="O1003" i="18" a="1"/>
  <c r="O1003" i="18" s="1"/>
  <c r="O1004" i="18" a="1"/>
  <c r="O1004" i="18" s="1"/>
  <c r="O1005" i="18" a="1"/>
  <c r="O1005" i="18"/>
  <c r="O1006" i="18" a="1"/>
  <c r="O1006" i="18" s="1"/>
  <c r="O1007" i="18" a="1"/>
  <c r="O1007" i="18" s="1"/>
  <c r="O1008" i="18" a="1"/>
  <c r="O1008" i="18" s="1"/>
  <c r="O1009" i="18" a="1"/>
  <c r="O1009" i="18" s="1"/>
  <c r="O1010" i="18" a="1"/>
  <c r="O1010" i="18" s="1"/>
  <c r="O1011" i="18" a="1"/>
  <c r="O1011" i="18" s="1"/>
  <c r="O1012" i="18" a="1"/>
  <c r="O1012" i="18" s="1"/>
  <c r="O1013" i="18" a="1"/>
  <c r="O1013" i="18" s="1"/>
  <c r="O1014" i="18" a="1"/>
  <c r="O1014" i="18"/>
  <c r="O1015" i="18" a="1"/>
  <c r="O1015" i="18" s="1"/>
  <c r="O1016" i="18" a="1"/>
  <c r="O1016" i="18" s="1"/>
  <c r="O1017" i="18" a="1"/>
  <c r="O1017" i="18"/>
  <c r="O1018" i="18" a="1"/>
  <c r="O1018" i="18"/>
  <c r="O1019" i="18" a="1"/>
  <c r="O1019" i="18" s="1"/>
  <c r="O1020" i="18" a="1"/>
  <c r="O1020" i="18" s="1"/>
  <c r="O1021" i="18" a="1"/>
  <c r="O1021" i="18" s="1"/>
  <c r="O1022" i="18" a="1"/>
  <c r="O1022" i="18" s="1"/>
  <c r="O1023" i="18" a="1"/>
  <c r="O1023" i="18" s="1"/>
  <c r="O1024" i="18" a="1"/>
  <c r="O1024" i="18" s="1"/>
  <c r="O1025" i="18" a="1"/>
  <c r="O1025" i="18" s="1"/>
  <c r="O1026" i="18" a="1"/>
  <c r="O1026" i="18"/>
  <c r="O1027" i="18" a="1"/>
  <c r="O1027" i="18" s="1"/>
  <c r="O1028" i="18" a="1"/>
  <c r="O1028" i="18" s="1"/>
  <c r="O1029" i="18" a="1"/>
  <c r="O1029" i="18" s="1"/>
  <c r="O1030" i="18" a="1"/>
  <c r="O1030" i="18"/>
  <c r="O1031" i="18" a="1"/>
  <c r="O1031" i="18" s="1"/>
  <c r="O1032" i="18" a="1"/>
  <c r="O1032" i="18" s="1"/>
  <c r="O1033" i="18" a="1"/>
  <c r="O1033" i="18" s="1"/>
  <c r="O1034" i="18" a="1"/>
  <c r="O1034" i="18" s="1"/>
  <c r="O1035" i="18" a="1"/>
  <c r="O1035" i="18" s="1"/>
  <c r="O1036" i="18" a="1"/>
  <c r="O1036" i="18" s="1"/>
  <c r="O1037" i="18" a="1"/>
  <c r="O1037" i="18" s="1"/>
  <c r="O1038" i="18" a="1"/>
  <c r="O1038" i="18" s="1"/>
  <c r="O1039" i="18" a="1"/>
  <c r="O1039" i="18" s="1"/>
  <c r="O1040" i="18" a="1"/>
  <c r="O1040" i="18" s="1"/>
  <c r="O1041" i="18" a="1"/>
  <c r="O1041" i="18" s="1"/>
  <c r="O1042" i="18" a="1"/>
  <c r="O1042" i="18" s="1"/>
  <c r="O1043" i="18" a="1"/>
  <c r="O1043" i="18"/>
  <c r="O1044" i="18" a="1"/>
  <c r="O1044" i="18"/>
  <c r="O1045" i="18" a="1"/>
  <c r="O1045" i="18" s="1"/>
  <c r="O1046" i="18" a="1"/>
  <c r="O1046" i="18"/>
  <c r="O1047" i="18" a="1"/>
  <c r="O1047" i="18"/>
  <c r="O1048" i="18" a="1"/>
  <c r="O1048" i="18" s="1"/>
  <c r="O1049" i="18" a="1"/>
  <c r="O1049" i="18" s="1"/>
  <c r="O1050" i="18" a="1"/>
  <c r="O1050" i="18" s="1"/>
  <c r="O1051" i="18" a="1"/>
  <c r="O1051" i="18" s="1"/>
  <c r="O1052" i="18" a="1"/>
  <c r="O1052" i="18" s="1"/>
  <c r="O1053" i="18" a="1"/>
  <c r="O1053" i="18" s="1"/>
  <c r="O1054" i="18" a="1"/>
  <c r="O1054" i="18" s="1"/>
  <c r="O1055" i="18" a="1"/>
  <c r="O1055" i="18" s="1"/>
  <c r="O1056" i="18" a="1"/>
  <c r="O1056" i="18" s="1"/>
  <c r="O1057" i="18" a="1"/>
  <c r="O1057" i="18" s="1"/>
  <c r="O1058" i="18" a="1"/>
  <c r="O1058" i="18" s="1"/>
  <c r="O1059" i="18" a="1"/>
  <c r="O1059" i="18"/>
  <c r="O1060" i="18" a="1"/>
  <c r="O1060" i="18"/>
  <c r="O1061" i="18" a="1"/>
  <c r="O1061" i="18" s="1"/>
  <c r="O1062" i="18" a="1"/>
  <c r="O1062" i="18" s="1"/>
  <c r="O1063" i="18" a="1"/>
  <c r="O1063" i="18" s="1"/>
  <c r="O1064" i="18" a="1"/>
  <c r="O1064" i="18" s="1"/>
  <c r="O1065" i="18" a="1"/>
  <c r="O1065" i="18" s="1"/>
  <c r="O1066" i="18" a="1"/>
  <c r="O1066" i="18" s="1"/>
  <c r="O1067" i="18" a="1"/>
  <c r="O1067" i="18" s="1"/>
  <c r="O1068" i="18" a="1"/>
  <c r="O1068" i="18" s="1"/>
  <c r="O1069" i="18" a="1"/>
  <c r="O1069" i="18" s="1"/>
  <c r="O1070" i="18" a="1"/>
  <c r="O1070" i="18" s="1"/>
  <c r="O1071" i="18" a="1"/>
  <c r="O1071" i="18" s="1"/>
  <c r="O1072" i="18" a="1"/>
  <c r="O1072" i="18" s="1"/>
  <c r="O1073" i="18" a="1"/>
  <c r="O1073" i="18"/>
  <c r="O1074" i="18" a="1"/>
  <c r="O1074" i="18"/>
  <c r="O1075" i="18" a="1"/>
  <c r="O1075" i="18" s="1"/>
  <c r="O1076" i="18" a="1"/>
  <c r="O1076" i="18"/>
  <c r="O1077" i="18" a="1"/>
  <c r="O1077" i="18"/>
  <c r="O1078" i="18" a="1"/>
  <c r="O1078" i="18" s="1"/>
  <c r="O1079" i="18" a="1"/>
  <c r="O1079" i="18" s="1"/>
  <c r="O1080" i="18" a="1"/>
  <c r="O1080" i="18" s="1"/>
  <c r="O1081" i="18" a="1"/>
  <c r="O1081" i="18" s="1"/>
  <c r="O1082" i="18" a="1"/>
  <c r="O1082" i="18" s="1"/>
  <c r="O1083" i="18" a="1"/>
  <c r="O1083" i="18" s="1"/>
  <c r="O1084" i="18" a="1"/>
  <c r="O1084" i="18" s="1"/>
  <c r="O1085" i="18" a="1"/>
  <c r="O1085" i="18" s="1"/>
  <c r="O1086" i="18" a="1"/>
  <c r="O1086" i="18"/>
  <c r="O1087" i="18" a="1"/>
  <c r="O1087" i="18" s="1"/>
  <c r="O1088" i="18" a="1"/>
  <c r="O1088" i="18" s="1"/>
  <c r="O1089" i="18" a="1"/>
  <c r="O1089" i="18" s="1"/>
  <c r="O1090" i="18" a="1"/>
  <c r="O1090" i="18"/>
  <c r="O1091" i="18" a="1"/>
  <c r="O1091" i="18" s="1"/>
  <c r="O1092" i="18" a="1"/>
  <c r="O1092" i="18" s="1"/>
  <c r="O1093" i="18" a="1"/>
  <c r="O1093" i="18" s="1"/>
  <c r="O1094" i="18" a="1"/>
  <c r="O1094" i="18"/>
  <c r="O1095" i="18" a="1"/>
  <c r="O1095" i="18" s="1"/>
  <c r="O1096" i="18" a="1"/>
  <c r="O1096" i="18" s="1"/>
  <c r="O1097" i="18" a="1"/>
  <c r="O1097" i="18" s="1"/>
  <c r="O1098" i="18" a="1"/>
  <c r="O1098" i="18" s="1"/>
  <c r="O1099" i="18" a="1"/>
  <c r="O1099" i="18" s="1"/>
  <c r="O1100" i="18" a="1"/>
  <c r="O1100" i="18" s="1"/>
  <c r="O1101" i="18" a="1"/>
  <c r="O1101" i="18" s="1"/>
  <c r="O1102" i="18" a="1"/>
  <c r="O1102" i="18" s="1"/>
  <c r="O1103" i="18" a="1"/>
  <c r="O1103" i="18"/>
  <c r="O1104" i="18" a="1"/>
  <c r="O1104" i="18" s="1"/>
  <c r="O1105" i="18" a="1"/>
  <c r="O1105" i="18" s="1"/>
  <c r="O1106" i="18" a="1"/>
  <c r="O1106" i="18" s="1"/>
  <c r="O1107" i="18" a="1"/>
  <c r="O1107" i="18"/>
  <c r="O1108" i="18" a="1"/>
  <c r="O1108" i="18" s="1"/>
  <c r="O1109" i="18" a="1"/>
  <c r="O1109" i="18" s="1"/>
  <c r="O1110" i="18" a="1"/>
  <c r="O1110" i="18" s="1"/>
  <c r="O1111" i="18" a="1"/>
  <c r="O1111" i="18" s="1"/>
  <c r="O1112" i="18" a="1"/>
  <c r="O1112" i="18" s="1"/>
  <c r="O1113" i="18" a="1"/>
  <c r="O1113" i="18" s="1"/>
  <c r="O1114" i="18" a="1"/>
  <c r="O1114" i="18" s="1"/>
  <c r="O1115" i="18" a="1"/>
  <c r="O1115" i="18" s="1"/>
  <c r="O1116" i="18" a="1"/>
  <c r="O1116" i="18" s="1"/>
  <c r="O1117" i="18" a="1"/>
  <c r="O1117" i="18" s="1"/>
  <c r="O1118" i="18" a="1"/>
  <c r="O1118" i="18" s="1"/>
  <c r="O1119" i="18" a="1"/>
  <c r="O1119" i="18" s="1"/>
  <c r="O1120" i="18" a="1"/>
  <c r="O1120" i="18"/>
  <c r="O1121" i="18" a="1"/>
  <c r="O1121" i="18" s="1"/>
  <c r="O1122" i="18" a="1"/>
  <c r="O1122" i="18" s="1"/>
  <c r="O1123" i="18" a="1"/>
  <c r="O1123" i="18" s="1"/>
  <c r="O1124" i="18" a="1"/>
  <c r="O1124" i="18" s="1"/>
  <c r="O1125" i="18" a="1"/>
  <c r="O1125" i="18" s="1"/>
  <c r="O1126" i="18" a="1"/>
  <c r="O1126" i="18" s="1"/>
  <c r="O1127" i="18" a="1"/>
  <c r="O1127" i="18" s="1"/>
  <c r="O1128" i="18" a="1"/>
  <c r="O1128" i="18"/>
  <c r="O1129" i="18" a="1"/>
  <c r="O1129" i="18" s="1"/>
  <c r="O1130" i="18" a="1"/>
  <c r="O1130" i="18" s="1"/>
  <c r="O1131" i="18" a="1"/>
  <c r="O1131" i="18"/>
  <c r="O1132" i="18" a="1"/>
  <c r="O1132" i="18" s="1"/>
  <c r="O1133" i="18" a="1"/>
  <c r="O1133" i="18" s="1"/>
  <c r="O1134" i="18" a="1"/>
  <c r="O1134" i="18" s="1"/>
  <c r="O1135" i="18" a="1"/>
  <c r="O1135" i="18" s="1"/>
  <c r="O1136" i="18" a="1"/>
  <c r="O1136" i="18"/>
  <c r="O1137" i="18" a="1"/>
  <c r="O1137" i="18" s="1"/>
  <c r="O1138" i="18" a="1"/>
  <c r="O1138" i="18" s="1"/>
  <c r="O1139" i="18" a="1"/>
  <c r="O1139" i="18" s="1"/>
  <c r="O1140" i="18" a="1"/>
  <c r="O1140" i="18" s="1"/>
  <c r="O1141" i="18" a="1"/>
  <c r="O1141" i="18" s="1"/>
  <c r="O1142" i="18" a="1"/>
  <c r="O1142" i="18" s="1"/>
  <c r="O1143" i="18" a="1"/>
  <c r="O1143" i="18" s="1"/>
  <c r="O1144" i="18" a="1"/>
  <c r="O1144" i="18"/>
  <c r="O1145" i="18" a="1"/>
  <c r="O1145" i="18" s="1"/>
  <c r="O1146" i="18" a="1"/>
  <c r="O1146" i="18" s="1"/>
  <c r="O1147" i="18" a="1"/>
  <c r="O1147" i="18" s="1"/>
  <c r="O1148" i="18" a="1"/>
  <c r="O1148" i="18"/>
  <c r="O1149" i="18" a="1"/>
  <c r="O1149" i="18" s="1"/>
  <c r="O1150" i="18" a="1"/>
  <c r="O1150" i="18" s="1"/>
  <c r="O1151" i="18" a="1"/>
  <c r="O1151" i="18" s="1"/>
  <c r="O1152" i="18" a="1"/>
  <c r="O1152" i="18" s="1"/>
  <c r="O1153" i="18" a="1"/>
  <c r="O1153" i="18" s="1"/>
  <c r="O1154" i="18" a="1"/>
  <c r="O1154" i="18" s="1"/>
  <c r="O1155" i="18" a="1"/>
  <c r="O1155" i="18" s="1"/>
  <c r="O1156" i="18" a="1"/>
  <c r="O1156" i="18" s="1"/>
  <c r="O1157" i="18" a="1"/>
  <c r="O1157" i="18"/>
  <c r="O1158" i="18" a="1"/>
  <c r="O1158" i="18"/>
  <c r="O1159" i="18" a="1"/>
  <c r="O1159" i="18" s="1"/>
  <c r="O1160" i="18" a="1"/>
  <c r="O1160" i="18" s="1"/>
  <c r="O1161" i="18" a="1"/>
  <c r="O1161" i="18"/>
  <c r="O1162" i="18" a="1"/>
  <c r="O1162" i="18" s="1"/>
  <c r="O1163" i="18" a="1"/>
  <c r="O1163" i="18" s="1"/>
  <c r="O1164" i="18" a="1"/>
  <c r="O1164" i="18" s="1"/>
  <c r="O1165" i="18" a="1"/>
  <c r="O1165" i="18" s="1"/>
  <c r="O1166" i="18" a="1"/>
  <c r="O1166" i="18"/>
  <c r="O1167" i="18" a="1"/>
  <c r="O1167" i="18" s="1"/>
  <c r="O1168" i="18" a="1"/>
  <c r="O1168" i="18" s="1"/>
  <c r="O1169" i="18" a="1"/>
  <c r="O1169" i="18" s="1"/>
  <c r="O1170" i="18" a="1"/>
  <c r="O1170" i="18"/>
  <c r="O1171" i="18" a="1"/>
  <c r="O1171" i="18" s="1"/>
  <c r="P2" i="18" a="1"/>
  <c r="P2" i="18" s="1"/>
  <c r="P3" i="18" a="1"/>
  <c r="P3" i="18" s="1"/>
  <c r="P4" i="18" a="1"/>
  <c r="P4" i="18" s="1"/>
  <c r="P5" i="18" a="1"/>
  <c r="P5" i="18"/>
  <c r="P6" i="18" a="1"/>
  <c r="P6" i="18" s="1"/>
  <c r="P7" i="18" a="1"/>
  <c r="P7" i="18" s="1"/>
  <c r="P8" i="18" a="1"/>
  <c r="P8" i="18" s="1"/>
  <c r="P9" i="18" a="1"/>
  <c r="P9" i="18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/>
  <c r="P18" i="18" a="1"/>
  <c r="P18" i="18"/>
  <c r="P19" i="18" a="1"/>
  <c r="P19" i="18" s="1"/>
  <c r="P20" i="18" a="1"/>
  <c r="P20" i="18"/>
  <c r="P21" i="18" a="1"/>
  <c r="P21" i="18" s="1"/>
  <c r="P22" i="18" a="1"/>
  <c r="P22" i="18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/>
  <c r="P34" i="18" a="1"/>
  <c r="P34" i="18"/>
  <c r="P35" i="18" a="1"/>
  <c r="P35" i="18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/>
  <c r="P47" i="18" a="1"/>
  <c r="P47" i="18"/>
  <c r="P48" i="18" a="1"/>
  <c r="P48" i="18" s="1"/>
  <c r="P49" i="18" a="1"/>
  <c r="P49" i="18" s="1"/>
  <c r="P50" i="18" a="1"/>
  <c r="P50" i="18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/>
  <c r="P60" i="18" a="1"/>
  <c r="P60" i="18" s="1"/>
  <c r="P61" i="18" a="1"/>
  <c r="P61" i="18" s="1"/>
  <c r="P62" i="18" a="1"/>
  <c r="P62" i="18" s="1"/>
  <c r="P63" i="18" a="1"/>
  <c r="P63" i="18"/>
  <c r="P64" i="18" a="1"/>
  <c r="P64" i="18"/>
  <c r="P65" i="18" a="1"/>
  <c r="P65" i="18" s="1"/>
  <c r="P66" i="18" a="1"/>
  <c r="P66" i="18" s="1"/>
  <c r="P67" i="18" a="1"/>
  <c r="P67" i="18" s="1"/>
  <c r="P68" i="18" a="1"/>
  <c r="P68" i="18"/>
  <c r="P69" i="18" a="1"/>
  <c r="P69" i="18" s="1"/>
  <c r="P70" i="18" a="1"/>
  <c r="P70" i="18" s="1"/>
  <c r="P71" i="18" a="1"/>
  <c r="P71" i="18" s="1"/>
  <c r="P72" i="18" a="1"/>
  <c r="P72" i="18"/>
  <c r="P73" i="18" a="1"/>
  <c r="P73" i="18" s="1"/>
  <c r="P74" i="18" a="1"/>
  <c r="P74" i="18" s="1"/>
  <c r="P75" i="18" a="1"/>
  <c r="P75" i="18" s="1"/>
  <c r="P76" i="18" a="1"/>
  <c r="P76" i="18" s="1"/>
  <c r="P77" i="18" a="1"/>
  <c r="P77" i="18"/>
  <c r="P78" i="18" a="1"/>
  <c r="P78" i="18" s="1"/>
  <c r="P79" i="18" a="1"/>
  <c r="P79" i="18" s="1"/>
  <c r="P80" i="18" a="1"/>
  <c r="P80" i="18" s="1"/>
  <c r="P81" i="18" a="1"/>
  <c r="P81" i="18"/>
  <c r="P82" i="18" a="1"/>
  <c r="P82" i="18" s="1"/>
  <c r="P83" i="18" a="1"/>
  <c r="P83" i="18" s="1"/>
  <c r="P84" i="18" a="1"/>
  <c r="P84" i="18" s="1"/>
  <c r="P85" i="18" a="1"/>
  <c r="P85" i="18" s="1"/>
  <c r="P86" i="18" a="1"/>
  <c r="P86" i="18"/>
  <c r="P87" i="18" a="1"/>
  <c r="P87" i="18" s="1"/>
  <c r="P88" i="18" a="1"/>
  <c r="P88" i="18" s="1"/>
  <c r="P89" i="18" a="1"/>
  <c r="P89" i="18" s="1"/>
  <c r="P90" i="18" a="1"/>
  <c r="P90" i="18"/>
  <c r="P91" i="18" a="1"/>
  <c r="P91" i="18" s="1"/>
  <c r="P92" i="18" a="1"/>
  <c r="P92" i="18" s="1"/>
  <c r="P93" i="18" a="1"/>
  <c r="P93" i="18" s="1"/>
  <c r="P94" i="18" a="1"/>
  <c r="P94" i="18"/>
  <c r="P95" i="18" a="1"/>
  <c r="P95" i="18" s="1"/>
  <c r="P96" i="18" a="1"/>
  <c r="P96" i="18" s="1"/>
  <c r="P97" i="18" a="1"/>
  <c r="P97" i="18" s="1"/>
  <c r="P98" i="18" a="1"/>
  <c r="P98" i="18" s="1"/>
  <c r="P99" i="18" a="1"/>
  <c r="P99" i="18"/>
  <c r="P100" i="18" a="1"/>
  <c r="P100" i="18" s="1"/>
  <c r="P101" i="18" a="1"/>
  <c r="P101" i="18" s="1"/>
  <c r="P102" i="18" a="1"/>
  <c r="P102" i="18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/>
  <c r="P121" i="18" a="1"/>
  <c r="P121" i="18" s="1"/>
  <c r="P122" i="18" a="1"/>
  <c r="P122" i="18"/>
  <c r="P123" i="18" a="1"/>
  <c r="P123" i="18" s="1"/>
  <c r="P124" i="18" a="1"/>
  <c r="P124" i="18" s="1"/>
  <c r="P125" i="18" a="1"/>
  <c r="P125" i="18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/>
  <c r="P137" i="18" a="1"/>
  <c r="P137" i="18" s="1"/>
  <c r="P138" i="18" a="1"/>
  <c r="P138" i="18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/>
  <c r="P172" i="18" a="1"/>
  <c r="P172" i="18" s="1"/>
  <c r="P173" i="18" a="1"/>
  <c r="P173" i="18" s="1"/>
  <c r="P174" i="18" a="1"/>
  <c r="P174" i="18"/>
  <c r="P175" i="18" a="1"/>
  <c r="P175" i="18" s="1"/>
  <c r="P176" i="18" a="1"/>
  <c r="P176" i="18"/>
  <c r="P177" i="18" a="1"/>
  <c r="P177" i="18"/>
  <c r="P178" i="18" a="1"/>
  <c r="P178" i="18" s="1"/>
  <c r="P179" i="18" a="1"/>
  <c r="P179" i="18"/>
  <c r="P180" i="18" a="1"/>
  <c r="P180" i="18" s="1"/>
  <c r="P181" i="18" a="1"/>
  <c r="P181" i="18" s="1"/>
  <c r="P182" i="18" a="1"/>
  <c r="P182" i="18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/>
  <c r="P190" i="18" a="1"/>
  <c r="P190" i="18" s="1"/>
  <c r="P191" i="18" a="1"/>
  <c r="P191" i="18" s="1"/>
  <c r="P192" i="18" a="1"/>
  <c r="P192" i="18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/>
  <c r="P221" i="18" a="1"/>
  <c r="P221" i="18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/>
  <c r="P244" i="18" a="1"/>
  <c r="P244" i="18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/>
  <c r="P254" i="18" a="1"/>
  <c r="P254" i="18" s="1"/>
  <c r="P255" i="18" a="1"/>
  <c r="P255" i="18" s="1"/>
  <c r="P256" i="18" a="1"/>
  <c r="P256" i="18"/>
  <c r="P257" i="18" a="1"/>
  <c r="P257" i="18"/>
  <c r="P258" i="18" a="1"/>
  <c r="P258" i="18" s="1"/>
  <c r="P259" i="18" a="1"/>
  <c r="P259" i="18" s="1"/>
  <c r="P260" i="18" a="1"/>
  <c r="P260" i="18" s="1"/>
  <c r="P261" i="18" a="1"/>
  <c r="P261" i="18"/>
  <c r="P262" i="18" a="1"/>
  <c r="P262" i="18" s="1"/>
  <c r="P263" i="18" a="1"/>
  <c r="P263" i="18" s="1"/>
  <c r="P264" i="18" a="1"/>
  <c r="P264" i="18" s="1"/>
  <c r="P265" i="18" a="1"/>
  <c r="P265" i="18"/>
  <c r="P266" i="18" a="1"/>
  <c r="P266" i="18" s="1"/>
  <c r="P267" i="18" a="1"/>
  <c r="P267" i="18"/>
  <c r="P268" i="18" a="1"/>
  <c r="P268" i="18" s="1"/>
  <c r="P269" i="18" a="1"/>
  <c r="P269" i="18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/>
  <c r="P278" i="18" a="1"/>
  <c r="P278" i="18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/>
  <c r="P288" i="18" a="1"/>
  <c r="P288" i="18" s="1"/>
  <c r="P289" i="18" a="1"/>
  <c r="P289" i="18"/>
  <c r="P290" i="18" a="1"/>
  <c r="P290" i="18"/>
  <c r="P291" i="18" a="1"/>
  <c r="P291" i="18" s="1"/>
  <c r="P292" i="18" a="1"/>
  <c r="P292" i="18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/>
  <c r="P303" i="18" a="1"/>
  <c r="P303" i="18" s="1"/>
  <c r="P304" i="18" a="1"/>
  <c r="P304" i="18"/>
  <c r="P305" i="18" a="1"/>
  <c r="P305" i="18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/>
  <c r="P318" i="18" a="1"/>
  <c r="P318" i="18" s="1"/>
  <c r="P319" i="18" a="1"/>
  <c r="P319" i="18" s="1"/>
  <c r="P320" i="18" a="1"/>
  <c r="P320" i="18"/>
  <c r="P321" i="18" a="1"/>
  <c r="P321" i="18" s="1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 s="1"/>
  <c r="P346" i="18" a="1"/>
  <c r="P346" i="18"/>
  <c r="P347" i="18" a="1"/>
  <c r="P347" i="18" s="1"/>
  <c r="P348" i="18" a="1"/>
  <c r="P348" i="18" s="1"/>
  <c r="P349" i="18" a="1"/>
  <c r="P349" i="18" s="1"/>
  <c r="P350" i="18" a="1"/>
  <c r="P350" i="18"/>
  <c r="P351" i="18" a="1"/>
  <c r="P351" i="18"/>
  <c r="P352" i="18" a="1"/>
  <c r="P352" i="18" s="1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/>
  <c r="P360" i="18" a="1"/>
  <c r="P360" i="18" s="1"/>
  <c r="P361" i="18" a="1"/>
  <c r="P361" i="18" s="1"/>
  <c r="P362" i="18" a="1"/>
  <c r="P362" i="18" s="1"/>
  <c r="P363" i="18" a="1"/>
  <c r="P363" i="18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/>
  <c r="P376" i="18" a="1"/>
  <c r="P376" i="18"/>
  <c r="P377" i="18" a="1"/>
  <c r="P377" i="18"/>
  <c r="P378" i="18" a="1"/>
  <c r="P378" i="18" s="1"/>
  <c r="P379" i="18" a="1"/>
  <c r="P379" i="18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/>
  <c r="P401" i="18" a="1"/>
  <c r="P401" i="18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 s="1"/>
  <c r="P411" i="18" a="1"/>
  <c r="P411" i="18"/>
  <c r="P412" i="18" a="1"/>
  <c r="P412" i="18"/>
  <c r="P413" i="18" a="1"/>
  <c r="P413" i="18"/>
  <c r="P414" i="18" a="1"/>
  <c r="P414" i="18"/>
  <c r="P415" i="18" a="1"/>
  <c r="P415" i="18" s="1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/>
  <c r="P426" i="18" a="1"/>
  <c r="P426" i="18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/>
  <c r="P435" i="18" a="1"/>
  <c r="P435" i="18" s="1"/>
  <c r="P436" i="18" a="1"/>
  <c r="P436" i="18"/>
  <c r="P437" i="18" a="1"/>
  <c r="P437" i="18"/>
  <c r="P438" i="18" a="1"/>
  <c r="P438" i="18" s="1"/>
  <c r="P439" i="18" a="1"/>
  <c r="P439" i="18" s="1"/>
  <c r="P440" i="18" a="1"/>
  <c r="P440" i="18" s="1"/>
  <c r="P441" i="18" a="1"/>
  <c r="P441" i="18" s="1"/>
  <c r="P442" i="18" a="1"/>
  <c r="P442" i="18" s="1"/>
  <c r="P443" i="18" a="1"/>
  <c r="P443" i="18" s="1"/>
  <c r="P444" i="18" a="1"/>
  <c r="P444" i="18" s="1"/>
  <c r="P445" i="18" a="1"/>
  <c r="P445" i="18" s="1"/>
  <c r="P446" i="18" a="1"/>
  <c r="P446" i="18" s="1"/>
  <c r="P447" i="18" a="1"/>
  <c r="P447" i="18" s="1"/>
  <c r="P448" i="18" a="1"/>
  <c r="P448" i="18" s="1"/>
  <c r="P449" i="18" a="1"/>
  <c r="P449" i="18" s="1"/>
  <c r="P450" i="18" a="1"/>
  <c r="P450" i="18"/>
  <c r="P451" i="18" a="1"/>
  <c r="P451" i="18" s="1"/>
  <c r="P452" i="18" a="1"/>
  <c r="P452" i="18" s="1"/>
  <c r="P453" i="18" a="1"/>
  <c r="P453" i="18" s="1"/>
  <c r="P454" i="18" a="1"/>
  <c r="P454" i="18" s="1"/>
  <c r="P455" i="18" a="1"/>
  <c r="P455" i="18" s="1"/>
  <c r="P456" i="18" a="1"/>
  <c r="P456" i="18" s="1"/>
  <c r="P457" i="18" a="1"/>
  <c r="P457" i="18" s="1"/>
  <c r="P458" i="18" a="1"/>
  <c r="P458" i="18" s="1"/>
  <c r="P459" i="18" a="1"/>
  <c r="P459" i="18"/>
  <c r="P460" i="18" a="1"/>
  <c r="P460" i="18"/>
  <c r="P461" i="18" a="1"/>
  <c r="P461" i="18" s="1"/>
  <c r="P462" i="18" a="1"/>
  <c r="P462" i="18" s="1"/>
  <c r="P463" i="18" a="1"/>
  <c r="P463" i="18" s="1"/>
  <c r="P464" i="18" a="1"/>
  <c r="P464" i="18" s="1"/>
  <c r="P465" i="18" a="1"/>
  <c r="P465" i="18" s="1"/>
  <c r="P466" i="18" a="1"/>
  <c r="P466" i="18" s="1"/>
  <c r="P467" i="18" a="1"/>
  <c r="P467" i="18" s="1"/>
  <c r="P468" i="18" a="1"/>
  <c r="P468" i="18" s="1"/>
  <c r="P469" i="18" a="1"/>
  <c r="P469" i="18" s="1"/>
  <c r="P470" i="18" a="1"/>
  <c r="P470" i="18"/>
  <c r="P471" i="18" a="1"/>
  <c r="P471" i="18" s="1"/>
  <c r="P472" i="18" a="1"/>
  <c r="P472" i="18"/>
  <c r="P473" i="18" a="1"/>
  <c r="P473" i="18"/>
  <c r="P474" i="18" a="1"/>
  <c r="P474" i="18" s="1"/>
  <c r="P475" i="18" a="1"/>
  <c r="P475" i="18" s="1"/>
  <c r="P476" i="18" a="1"/>
  <c r="P476" i="18"/>
  <c r="P477" i="18" a="1"/>
  <c r="P477" i="18" s="1"/>
  <c r="P478" i="18" a="1"/>
  <c r="P478" i="18" s="1"/>
  <c r="P479" i="18" a="1"/>
  <c r="P479" i="18" s="1"/>
  <c r="P480" i="18" a="1"/>
  <c r="P480" i="18" s="1"/>
  <c r="P481" i="18" a="1"/>
  <c r="P481" i="18" s="1"/>
  <c r="P482" i="18" a="1"/>
  <c r="P482" i="18" s="1"/>
  <c r="P483" i="18" a="1"/>
  <c r="P483" i="18"/>
  <c r="P484" i="18" a="1"/>
  <c r="P484" i="18" s="1"/>
  <c r="P485" i="18" a="1"/>
  <c r="P485" i="18"/>
  <c r="P486" i="18" a="1"/>
  <c r="P486" i="18"/>
  <c r="P487" i="18" a="1"/>
  <c r="P487" i="18" s="1"/>
  <c r="P488" i="18" a="1"/>
  <c r="P488" i="18" s="1"/>
  <c r="P489" i="18" a="1"/>
  <c r="P489" i="18" s="1"/>
  <c r="P490" i="18" a="1"/>
  <c r="P490" i="18" s="1"/>
  <c r="P491" i="18" a="1"/>
  <c r="P491" i="18" s="1"/>
  <c r="P492" i="18" a="1"/>
  <c r="P492" i="18" s="1"/>
  <c r="P493" i="18" a="1"/>
  <c r="P493" i="18" s="1"/>
  <c r="P494" i="18" a="1"/>
  <c r="P494" i="18" s="1"/>
  <c r="P495" i="18" a="1"/>
  <c r="P495" i="18"/>
  <c r="P496" i="18" a="1"/>
  <c r="P496" i="18" s="1"/>
  <c r="P497" i="18" a="1"/>
  <c r="P497" i="18"/>
  <c r="P498" i="18" a="1"/>
  <c r="P498" i="18"/>
  <c r="P499" i="18" a="1"/>
  <c r="P499" i="18" s="1"/>
  <c r="P500" i="18" a="1"/>
  <c r="P500" i="18" s="1"/>
  <c r="P501" i="18" a="1"/>
  <c r="P501" i="18" s="1"/>
  <c r="P502" i="18" a="1"/>
  <c r="P502" i="18"/>
  <c r="P503" i="18" a="1"/>
  <c r="P503" i="18" s="1"/>
  <c r="P504" i="18" a="1"/>
  <c r="P504" i="18" s="1"/>
  <c r="P505" i="18" a="1"/>
  <c r="P505" i="18" s="1"/>
  <c r="P506" i="18" a="1"/>
  <c r="P506" i="18" s="1"/>
  <c r="P507" i="18" a="1"/>
  <c r="P507" i="18" s="1"/>
  <c r="P508" i="18" a="1"/>
  <c r="P508" i="18"/>
  <c r="P509" i="18" a="1"/>
  <c r="P509" i="18" s="1"/>
  <c r="P510" i="18" a="1"/>
  <c r="P510" i="18" s="1"/>
  <c r="P511" i="18" a="1"/>
  <c r="P511" i="18" s="1"/>
  <c r="P512" i="18" a="1"/>
  <c r="P512" i="18" s="1"/>
  <c r="P513" i="18" a="1"/>
  <c r="P513" i="18" s="1"/>
  <c r="P514" i="18" a="1"/>
  <c r="P514" i="18" s="1"/>
  <c r="P515" i="18" a="1"/>
  <c r="P515" i="18" s="1"/>
  <c r="P516" i="18" a="1"/>
  <c r="P516" i="18" s="1"/>
  <c r="P517" i="18" a="1"/>
  <c r="P517" i="18" s="1"/>
  <c r="P518" i="18" a="1"/>
  <c r="P518" i="18" s="1"/>
  <c r="P519" i="18" a="1"/>
  <c r="P519" i="18"/>
  <c r="P520" i="18" a="1"/>
  <c r="P520" i="18" s="1"/>
  <c r="P521" i="18" a="1"/>
  <c r="P521" i="18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 s="1"/>
  <c r="P527" i="18" a="1"/>
  <c r="P527" i="18" s="1"/>
  <c r="P528" i="18" a="1"/>
  <c r="P528" i="18"/>
  <c r="P529" i="18" a="1"/>
  <c r="P529" i="18" s="1"/>
  <c r="P530" i="18" a="1"/>
  <c r="P530" i="18" s="1"/>
  <c r="P531" i="18" a="1"/>
  <c r="P531" i="18" s="1"/>
  <c r="P532" i="18" a="1"/>
  <c r="P532" i="18" s="1"/>
  <c r="P533" i="18" a="1"/>
  <c r="P533" i="18" s="1"/>
  <c r="P534" i="18" a="1"/>
  <c r="P534" i="18"/>
  <c r="P535" i="18" a="1"/>
  <c r="P535" i="18" s="1"/>
  <c r="P536" i="18" a="1"/>
  <c r="P536" i="18" s="1"/>
  <c r="P537" i="18" a="1"/>
  <c r="P537" i="18" s="1"/>
  <c r="P538" i="18" a="1"/>
  <c r="P538" i="18" s="1"/>
  <c r="P539" i="18" a="1"/>
  <c r="P539" i="18" s="1"/>
  <c r="P540" i="18" a="1"/>
  <c r="P540" i="18" s="1"/>
  <c r="P541" i="18" a="1"/>
  <c r="P541" i="18" s="1"/>
  <c r="P542" i="18" a="1"/>
  <c r="P542" i="18" s="1"/>
  <c r="P543" i="18" a="1"/>
  <c r="P543" i="18" s="1"/>
  <c r="P544" i="18" a="1"/>
  <c r="P544" i="18"/>
  <c r="P545" i="18" a="1"/>
  <c r="P545" i="18" s="1"/>
  <c r="P546" i="18" a="1"/>
  <c r="P546" i="18" s="1"/>
  <c r="P547" i="18" a="1"/>
  <c r="P547" i="18" s="1"/>
  <c r="P548" i="18" a="1"/>
  <c r="P548" i="18"/>
  <c r="P549" i="18" a="1"/>
  <c r="P549" i="18" s="1"/>
  <c r="P550" i="18" a="1"/>
  <c r="P550" i="18" s="1"/>
  <c r="P551" i="18" a="1"/>
  <c r="P551" i="18" s="1"/>
  <c r="P552" i="18" a="1"/>
  <c r="P552" i="18" s="1"/>
  <c r="P553" i="18" a="1"/>
  <c r="P553" i="18" s="1"/>
  <c r="P554" i="18" a="1"/>
  <c r="P554" i="18" s="1"/>
  <c r="P555" i="18" a="1"/>
  <c r="P555" i="18"/>
  <c r="P556" i="18" a="1"/>
  <c r="P556" i="18" s="1"/>
  <c r="P557" i="18" a="1"/>
  <c r="P557" i="18"/>
  <c r="P558" i="18" a="1"/>
  <c r="P558" i="18" s="1"/>
  <c r="P559" i="18" a="1"/>
  <c r="P559" i="18" s="1"/>
  <c r="P560" i="18" a="1"/>
  <c r="P560" i="18" s="1"/>
  <c r="P561" i="18" a="1"/>
  <c r="P561" i="18" s="1"/>
  <c r="P562" i="18" a="1"/>
  <c r="P562" i="18" s="1"/>
  <c r="P563" i="18" a="1"/>
  <c r="P563" i="18" s="1"/>
  <c r="P564" i="18" a="1"/>
  <c r="P564" i="18" s="1"/>
  <c r="P565" i="18" a="1"/>
  <c r="P565" i="18" s="1"/>
  <c r="P566" i="18" a="1"/>
  <c r="P566" i="18" s="1"/>
  <c r="P567" i="18" a="1"/>
  <c r="P567" i="18" s="1"/>
  <c r="P568" i="18" a="1"/>
  <c r="P568" i="18" s="1"/>
  <c r="P569" i="18" a="1"/>
  <c r="P569" i="18" s="1"/>
  <c r="P570" i="18" a="1"/>
  <c r="P570" i="18" s="1"/>
  <c r="P571" i="18" a="1"/>
  <c r="P571" i="18" s="1"/>
  <c r="P572" i="18" a="1"/>
  <c r="P572" i="18" s="1"/>
  <c r="P573" i="18" a="1"/>
  <c r="P573" i="18" s="1"/>
  <c r="P574" i="18" a="1"/>
  <c r="P574" i="18"/>
  <c r="P575" i="18" a="1"/>
  <c r="P575" i="18" s="1"/>
  <c r="P576" i="18" a="1"/>
  <c r="P576" i="18" s="1"/>
  <c r="P577" i="18" a="1"/>
  <c r="P577" i="18" s="1"/>
  <c r="P578" i="18" a="1"/>
  <c r="P578" i="18"/>
  <c r="P579" i="18" a="1"/>
  <c r="P579" i="18" s="1"/>
  <c r="P580" i="18" a="1"/>
  <c r="P580" i="18"/>
  <c r="P581" i="18" a="1"/>
  <c r="P581" i="18" s="1"/>
  <c r="P582" i="18" a="1"/>
  <c r="P582" i="18" s="1"/>
  <c r="P583" i="18" a="1"/>
  <c r="P583" i="18" s="1"/>
  <c r="P584" i="18" a="1"/>
  <c r="P584" i="18" s="1"/>
  <c r="P585" i="18" a="1"/>
  <c r="P585" i="18" s="1"/>
  <c r="P586" i="18" a="1"/>
  <c r="P586" i="18" s="1"/>
  <c r="P587" i="18" a="1"/>
  <c r="P587" i="18" s="1"/>
  <c r="P588" i="18" a="1"/>
  <c r="P588" i="18" s="1"/>
  <c r="P589" i="18" a="1"/>
  <c r="P589" i="18" s="1"/>
  <c r="P590" i="18" a="1"/>
  <c r="P590" i="18" s="1"/>
  <c r="P591" i="18" a="1"/>
  <c r="P591" i="18"/>
  <c r="P592" i="18" a="1"/>
  <c r="P592" i="18" s="1"/>
  <c r="P593" i="18" a="1"/>
  <c r="P593" i="18" s="1"/>
  <c r="P594" i="18" a="1"/>
  <c r="P594" i="18" s="1"/>
  <c r="P595" i="18" a="1"/>
  <c r="P595" i="18" s="1"/>
  <c r="P596" i="18" a="1"/>
  <c r="P596" i="18" s="1"/>
  <c r="P597" i="18" a="1"/>
  <c r="P597" i="18" s="1"/>
  <c r="P598" i="18" a="1"/>
  <c r="P598" i="18" s="1"/>
  <c r="P599" i="18" a="1"/>
  <c r="P599" i="18" s="1"/>
  <c r="P600" i="18" a="1"/>
  <c r="P600" i="18"/>
  <c r="P601" i="18" a="1"/>
  <c r="P601" i="18" s="1"/>
  <c r="P602" i="18" a="1"/>
  <c r="P602" i="18" s="1"/>
  <c r="P603" i="18" a="1"/>
  <c r="P603" i="18"/>
  <c r="P604" i="18" a="1"/>
  <c r="P604" i="18" s="1"/>
  <c r="P605" i="18" a="1"/>
  <c r="P605" i="18" s="1"/>
  <c r="P606" i="18" a="1"/>
  <c r="P606" i="18" s="1"/>
  <c r="P607" i="18" a="1"/>
  <c r="P607" i="18" s="1"/>
  <c r="P608" i="18" a="1"/>
  <c r="P608" i="18" s="1"/>
  <c r="P609" i="18" a="1"/>
  <c r="P609" i="18" s="1"/>
  <c r="P610" i="18" a="1"/>
  <c r="P610" i="18" s="1"/>
  <c r="P611" i="18" a="1"/>
  <c r="P611" i="18" s="1"/>
  <c r="P612" i="18" a="1"/>
  <c r="P612" i="18" s="1"/>
  <c r="P613" i="18" a="1"/>
  <c r="P613" i="18" s="1"/>
  <c r="P614" i="18" a="1"/>
  <c r="P614" i="18" s="1"/>
  <c r="P615" i="18" a="1"/>
  <c r="P615" i="18" s="1"/>
  <c r="P616" i="18" a="1"/>
  <c r="P616" i="18" s="1"/>
  <c r="P617" i="18" a="1"/>
  <c r="P617" i="18"/>
  <c r="P618" i="18" a="1"/>
  <c r="P618" i="18" s="1"/>
  <c r="P619" i="18" a="1"/>
  <c r="P619" i="18" s="1"/>
  <c r="P620" i="18" a="1"/>
  <c r="P620" i="18" s="1"/>
  <c r="P621" i="18" a="1"/>
  <c r="P621" i="18" s="1"/>
  <c r="P622" i="18" a="1"/>
  <c r="P622" i="18" s="1"/>
  <c r="P623" i="18" a="1"/>
  <c r="P623" i="18" s="1"/>
  <c r="P624" i="18" a="1"/>
  <c r="P624" i="18" s="1"/>
  <c r="P625" i="18" a="1"/>
  <c r="P625" i="18" s="1"/>
  <c r="P626" i="18" a="1"/>
  <c r="P626" i="18" s="1"/>
  <c r="P627" i="18" a="1"/>
  <c r="P627" i="18"/>
  <c r="P628" i="18" a="1"/>
  <c r="P628" i="18" s="1"/>
  <c r="P629" i="18" a="1"/>
  <c r="P629" i="18" s="1"/>
  <c r="P630" i="18" a="1"/>
  <c r="P630" i="18" s="1"/>
  <c r="P631" i="18" a="1"/>
  <c r="P631" i="18" s="1"/>
  <c r="P632" i="18" a="1"/>
  <c r="P632" i="18" s="1"/>
  <c r="P633" i="18" a="1"/>
  <c r="P633" i="18" s="1"/>
  <c r="P634" i="18" a="1"/>
  <c r="P634" i="18" s="1"/>
  <c r="P635" i="18" a="1"/>
  <c r="P635" i="18" s="1"/>
  <c r="P636" i="18" a="1"/>
  <c r="P636" i="18" s="1"/>
  <c r="P637" i="18" a="1"/>
  <c r="P637" i="18" s="1"/>
  <c r="P638" i="18" a="1"/>
  <c r="P638" i="18" s="1"/>
  <c r="P639" i="18" a="1"/>
  <c r="P639" i="18"/>
  <c r="P640" i="18" a="1"/>
  <c r="P640" i="18" s="1"/>
  <c r="P641" i="18" a="1"/>
  <c r="P641" i="18" s="1"/>
  <c r="P642" i="18" a="1"/>
  <c r="P642" i="18" s="1"/>
  <c r="P643" i="18" a="1"/>
  <c r="P643" i="18" s="1"/>
  <c r="P644" i="18" a="1"/>
  <c r="P644" i="18" s="1"/>
  <c r="P645" i="18" a="1"/>
  <c r="P645" i="18" s="1"/>
  <c r="P646" i="18" a="1"/>
  <c r="P646" i="18"/>
  <c r="P647" i="18" a="1"/>
  <c r="P647" i="18" s="1"/>
  <c r="P648" i="18" a="1"/>
  <c r="P648" i="18" s="1"/>
  <c r="P649" i="18" a="1"/>
  <c r="P649" i="18" s="1"/>
  <c r="P650" i="18" a="1"/>
  <c r="P650" i="18"/>
  <c r="P651" i="18" a="1"/>
  <c r="P651" i="18" s="1"/>
  <c r="P652" i="18" a="1"/>
  <c r="P652" i="18" s="1"/>
  <c r="P653" i="18" a="1"/>
  <c r="P653" i="18"/>
  <c r="P654" i="18" a="1"/>
  <c r="P654" i="18" s="1"/>
  <c r="P655" i="18" a="1"/>
  <c r="P655" i="18" s="1"/>
  <c r="P656" i="18" a="1"/>
  <c r="P656" i="18" s="1"/>
  <c r="P657" i="18" a="1"/>
  <c r="P657" i="18" s="1"/>
  <c r="P658" i="18" a="1"/>
  <c r="P658" i="18" s="1"/>
  <c r="P659" i="18" a="1"/>
  <c r="P659" i="18"/>
  <c r="P660" i="18" a="1"/>
  <c r="P660" i="18" s="1"/>
  <c r="P661" i="18" a="1"/>
  <c r="P661" i="18" s="1"/>
  <c r="P662" i="18" a="1"/>
  <c r="P662" i="18"/>
  <c r="P663" i="18" a="1"/>
  <c r="P663" i="18"/>
  <c r="P664" i="18" a="1"/>
  <c r="P664" i="18" s="1"/>
  <c r="P665" i="18" a="1"/>
  <c r="P665" i="18"/>
  <c r="P666" i="18" a="1"/>
  <c r="P666" i="18" s="1"/>
  <c r="P667" i="18" a="1"/>
  <c r="P667" i="18" s="1"/>
  <c r="P668" i="18" a="1"/>
  <c r="P668" i="18" s="1"/>
  <c r="P669" i="18" a="1"/>
  <c r="P669" i="18" s="1"/>
  <c r="P670" i="18" a="1"/>
  <c r="P670" i="18" s="1"/>
  <c r="P671" i="18" a="1"/>
  <c r="P671" i="18" s="1"/>
  <c r="P672" i="18" a="1"/>
  <c r="P672" i="18"/>
  <c r="P673" i="18" a="1"/>
  <c r="P673" i="18" s="1"/>
  <c r="P674" i="18" a="1"/>
  <c r="P674" i="18" s="1"/>
  <c r="P675" i="18" a="1"/>
  <c r="P675" i="18" s="1"/>
  <c r="P676" i="18" a="1"/>
  <c r="P676" i="18"/>
  <c r="P677" i="18" a="1"/>
  <c r="P677" i="18" s="1"/>
  <c r="P678" i="18" a="1"/>
  <c r="P678" i="18" s="1"/>
  <c r="P679" i="18" a="1"/>
  <c r="P679" i="18" s="1"/>
  <c r="P680" i="18" a="1"/>
  <c r="P680" i="18" s="1"/>
  <c r="P681" i="18" a="1"/>
  <c r="P681" i="18" s="1"/>
  <c r="P682" i="18" a="1"/>
  <c r="P682" i="18" s="1"/>
  <c r="P683" i="18" a="1"/>
  <c r="P683" i="18" s="1"/>
  <c r="P684" i="18" a="1"/>
  <c r="P684" i="18" s="1"/>
  <c r="P685" i="18" a="1"/>
  <c r="P685" i="18" s="1"/>
  <c r="P686" i="18" a="1"/>
  <c r="P686" i="18"/>
  <c r="P687" i="18" a="1"/>
  <c r="P687" i="18" s="1"/>
  <c r="P688" i="18" a="1"/>
  <c r="P688" i="18" s="1"/>
  <c r="P689" i="18" a="1"/>
  <c r="P689" i="18"/>
  <c r="P690" i="18" a="1"/>
  <c r="P690" i="18" s="1"/>
  <c r="P691" i="18" a="1"/>
  <c r="P691" i="18" s="1"/>
  <c r="P692" i="18" a="1"/>
  <c r="P692" i="18" s="1"/>
  <c r="P693" i="18" a="1"/>
  <c r="P693" i="18" s="1"/>
  <c r="P694" i="18" a="1"/>
  <c r="P694" i="18" s="1"/>
  <c r="P695" i="18" a="1"/>
  <c r="P695" i="18" s="1"/>
  <c r="P696" i="18" a="1"/>
  <c r="P696" i="18" s="1"/>
  <c r="P697" i="18" a="1"/>
  <c r="P697" i="18" s="1"/>
  <c r="P698" i="18" a="1"/>
  <c r="P698" i="18"/>
  <c r="P699" i="18" a="1"/>
  <c r="P699" i="18" s="1"/>
  <c r="P700" i="18" a="1"/>
  <c r="P700" i="18" s="1"/>
  <c r="P701" i="18" a="1"/>
  <c r="P701" i="18" s="1"/>
  <c r="P702" i="18" a="1"/>
  <c r="P702" i="18" s="1"/>
  <c r="P703" i="18" a="1"/>
  <c r="P703" i="18" s="1"/>
  <c r="P704" i="18" a="1"/>
  <c r="P704" i="18" s="1"/>
  <c r="P705" i="18" a="1"/>
  <c r="P705" i="18" s="1"/>
  <c r="P706" i="18" a="1"/>
  <c r="P706" i="18" s="1"/>
  <c r="P707" i="18" a="1"/>
  <c r="P707" i="18" s="1"/>
  <c r="P708" i="18" a="1"/>
  <c r="P708" i="18" s="1"/>
  <c r="P709" i="18" a="1"/>
  <c r="P709" i="18" s="1"/>
  <c r="P710" i="18" a="1"/>
  <c r="P710" i="18" s="1"/>
  <c r="P711" i="18" a="1"/>
  <c r="P711" i="18" s="1"/>
  <c r="P712" i="18" a="1"/>
  <c r="P712" i="18" s="1"/>
  <c r="P713" i="18" a="1"/>
  <c r="P713" i="18" s="1"/>
  <c r="P714" i="18" a="1"/>
  <c r="P714" i="18" s="1"/>
  <c r="P715" i="18" a="1"/>
  <c r="P715" i="18" s="1"/>
  <c r="P716" i="18" a="1"/>
  <c r="P716" i="18" s="1"/>
  <c r="P717" i="18" a="1"/>
  <c r="P717" i="18" s="1"/>
  <c r="P718" i="18" a="1"/>
  <c r="P718" i="18"/>
  <c r="P719" i="18" a="1"/>
  <c r="P719" i="18" s="1"/>
  <c r="P720" i="18" a="1"/>
  <c r="P720" i="18" s="1"/>
  <c r="P721" i="18" a="1"/>
  <c r="P721" i="18" s="1"/>
  <c r="P722" i="18" a="1"/>
  <c r="P722" i="18"/>
  <c r="P723" i="18" a="1"/>
  <c r="P723" i="18" s="1"/>
  <c r="P724" i="18" a="1"/>
  <c r="P724" i="18"/>
  <c r="P725" i="18" a="1"/>
  <c r="P725" i="18" s="1"/>
  <c r="P726" i="18" a="1"/>
  <c r="P726" i="18" s="1"/>
  <c r="P727" i="18" a="1"/>
  <c r="P727" i="18" s="1"/>
  <c r="P728" i="18" a="1"/>
  <c r="P728" i="18" s="1"/>
  <c r="P729" i="18" a="1"/>
  <c r="P729" i="18" s="1"/>
  <c r="P730" i="18" a="1"/>
  <c r="P730" i="18" s="1"/>
  <c r="P731" i="18" a="1"/>
  <c r="P731" i="18"/>
  <c r="P732" i="18" a="1"/>
  <c r="P732" i="18" s="1"/>
  <c r="P733" i="18" a="1"/>
  <c r="P733" i="18" s="1"/>
  <c r="P734" i="18" a="1"/>
  <c r="P734" i="18"/>
  <c r="P735" i="18" a="1"/>
  <c r="P735" i="18"/>
  <c r="P736" i="18" a="1"/>
  <c r="P736" i="18" s="1"/>
  <c r="P737" i="18" a="1"/>
  <c r="P737" i="18" s="1"/>
  <c r="P738" i="18" a="1"/>
  <c r="P738" i="18" s="1"/>
  <c r="P739" i="18" a="1"/>
  <c r="P739" i="18" s="1"/>
  <c r="P740" i="18" a="1"/>
  <c r="P740" i="18" s="1"/>
  <c r="P741" i="18" a="1"/>
  <c r="P741" i="18" s="1"/>
  <c r="P742" i="18" a="1"/>
  <c r="P742" i="18" s="1"/>
  <c r="P743" i="18" a="1"/>
  <c r="P743" i="18" s="1"/>
  <c r="P744" i="18" a="1"/>
  <c r="P744" i="18"/>
  <c r="P745" i="18" a="1"/>
  <c r="P745" i="18" s="1"/>
  <c r="P746" i="18" a="1"/>
  <c r="P746" i="18" s="1"/>
  <c r="P747" i="18" a="1"/>
  <c r="P747" i="18" s="1"/>
  <c r="P748" i="18" a="1"/>
  <c r="P748" i="18"/>
  <c r="P749" i="18" a="1"/>
  <c r="P749" i="18" s="1"/>
  <c r="P750" i="18" a="1"/>
  <c r="P750" i="18" s="1"/>
  <c r="P751" i="18" a="1"/>
  <c r="P751" i="18" s="1"/>
  <c r="P752" i="18" a="1"/>
  <c r="P752" i="18" s="1"/>
  <c r="P753" i="18" a="1"/>
  <c r="P753" i="18" s="1"/>
  <c r="P754" i="18" a="1"/>
  <c r="P754" i="18" s="1"/>
  <c r="P755" i="18" a="1"/>
  <c r="P755" i="18" s="1"/>
  <c r="P756" i="18" a="1"/>
  <c r="P756" i="18" s="1"/>
  <c r="P757" i="18" a="1"/>
  <c r="P757" i="18" s="1"/>
  <c r="P758" i="18" a="1"/>
  <c r="P758" i="18" s="1"/>
  <c r="P759" i="18" a="1"/>
  <c r="P759" i="18" s="1"/>
  <c r="P760" i="18" a="1"/>
  <c r="P760" i="18" s="1"/>
  <c r="P761" i="18" a="1"/>
  <c r="P761" i="18"/>
  <c r="P762" i="18" a="1"/>
  <c r="P762" i="18" s="1"/>
  <c r="P763" i="18" a="1"/>
  <c r="P763" i="18" s="1"/>
  <c r="P764" i="18" a="1"/>
  <c r="P764" i="18" s="1"/>
  <c r="P765" i="18" a="1"/>
  <c r="P765" i="18" s="1"/>
  <c r="P766" i="18" a="1"/>
  <c r="P766" i="18" s="1"/>
  <c r="P767" i="18" a="1"/>
  <c r="P767" i="18" s="1"/>
  <c r="P768" i="18" a="1"/>
  <c r="P768" i="18" s="1"/>
  <c r="P769" i="18" a="1"/>
  <c r="P769" i="18" s="1"/>
  <c r="P770" i="18" a="1"/>
  <c r="P770" i="18"/>
  <c r="P771" i="18" a="1"/>
  <c r="P771" i="18" s="1"/>
  <c r="P772" i="18" a="1"/>
  <c r="P772" i="18" s="1"/>
  <c r="P773" i="18" a="1"/>
  <c r="P773" i="18" s="1"/>
  <c r="P774" i="18" a="1"/>
  <c r="P774" i="18" s="1"/>
  <c r="P775" i="18" a="1"/>
  <c r="P775" i="18" s="1"/>
  <c r="P776" i="18" a="1"/>
  <c r="P776" i="18" s="1"/>
  <c r="P777" i="18" a="1"/>
  <c r="P777" i="18" s="1"/>
  <c r="P778" i="18" a="1"/>
  <c r="P778" i="18" s="1"/>
  <c r="P779" i="18" a="1"/>
  <c r="P779" i="18" s="1"/>
  <c r="P780" i="18" a="1"/>
  <c r="P780" i="18" s="1"/>
  <c r="P781" i="18" a="1"/>
  <c r="P781" i="18" s="1"/>
  <c r="P782" i="18" a="1"/>
  <c r="P782" i="18" s="1"/>
  <c r="P783" i="18" a="1"/>
  <c r="P783" i="18" s="1"/>
  <c r="P784" i="18" a="1"/>
  <c r="P784" i="18" s="1"/>
  <c r="P785" i="18" a="1"/>
  <c r="P785" i="18" s="1"/>
  <c r="P786" i="18" a="1"/>
  <c r="P786" i="18" s="1"/>
  <c r="P787" i="18" a="1"/>
  <c r="P787" i="18" s="1"/>
  <c r="P788" i="18" a="1"/>
  <c r="P788" i="18" s="1"/>
  <c r="P789" i="18" a="1"/>
  <c r="P789" i="18" s="1"/>
  <c r="P790" i="18" a="1"/>
  <c r="P790" i="18"/>
  <c r="P791" i="18" a="1"/>
  <c r="P791" i="18" s="1"/>
  <c r="P792" i="18" a="1"/>
  <c r="P792" i="18" s="1"/>
  <c r="P793" i="18" a="1"/>
  <c r="P793" i="18" s="1"/>
  <c r="P794" i="18" a="1"/>
  <c r="P794" i="18"/>
  <c r="P795" i="18" a="1"/>
  <c r="P795" i="18" s="1"/>
  <c r="P796" i="18" a="1"/>
  <c r="P796" i="18"/>
  <c r="P797" i="18" a="1"/>
  <c r="P797" i="18"/>
  <c r="P798" i="18" a="1"/>
  <c r="P798" i="18" s="1"/>
  <c r="P799" i="18" a="1"/>
  <c r="P799" i="18" s="1"/>
  <c r="P800" i="18" a="1"/>
  <c r="P800" i="18" s="1"/>
  <c r="P801" i="18" a="1"/>
  <c r="P801" i="18" s="1"/>
  <c r="P802" i="18" a="1"/>
  <c r="P802" i="18" s="1"/>
  <c r="P803" i="18" a="1"/>
  <c r="P803" i="18"/>
  <c r="P804" i="18" a="1"/>
  <c r="P804" i="18" s="1"/>
  <c r="P805" i="18" a="1"/>
  <c r="P805" i="18" s="1"/>
  <c r="P806" i="18" a="1"/>
  <c r="P806" i="18" s="1"/>
  <c r="P807" i="18" a="1"/>
  <c r="P807" i="18"/>
  <c r="P808" i="18" a="1"/>
  <c r="P808" i="18" s="1"/>
  <c r="P809" i="18" a="1"/>
  <c r="P809" i="18" s="1"/>
  <c r="P810" i="18" a="1"/>
  <c r="P810" i="18" s="1"/>
  <c r="P811" i="18" a="1"/>
  <c r="P811" i="18" s="1"/>
  <c r="P812" i="18" a="1"/>
  <c r="P812" i="18" s="1"/>
  <c r="P813" i="18" a="1"/>
  <c r="P813" i="18" s="1"/>
  <c r="P814" i="18" a="1"/>
  <c r="P814" i="18" s="1"/>
  <c r="P815" i="18" a="1"/>
  <c r="P815" i="18" s="1"/>
  <c r="P816" i="18" a="1"/>
  <c r="P816" i="18"/>
  <c r="P817" i="18" a="1"/>
  <c r="P817" i="18" s="1"/>
  <c r="P818" i="18" a="1"/>
  <c r="P818" i="18" s="1"/>
  <c r="P819" i="18" a="1"/>
  <c r="P819" i="18" s="1"/>
  <c r="P820" i="18" a="1"/>
  <c r="P820" i="18"/>
  <c r="P821" i="18" a="1"/>
  <c r="P821" i="18" s="1"/>
  <c r="P822" i="18" a="1"/>
  <c r="P822" i="18" s="1"/>
  <c r="P823" i="18" a="1"/>
  <c r="P823" i="18" s="1"/>
  <c r="P824" i="18" a="1"/>
  <c r="P824" i="18" s="1"/>
  <c r="P825" i="18" a="1"/>
  <c r="P825" i="18" s="1"/>
  <c r="P826" i="18" a="1"/>
  <c r="P826" i="18" s="1"/>
  <c r="P827" i="18" a="1"/>
  <c r="P827" i="18" s="1"/>
  <c r="P828" i="18" a="1"/>
  <c r="P828" i="18" s="1"/>
  <c r="P829" i="18" a="1"/>
  <c r="P829" i="18" s="1"/>
  <c r="P830" i="18" a="1"/>
  <c r="P830" i="18" s="1"/>
  <c r="P831" i="18" a="1"/>
  <c r="P831" i="18" s="1"/>
  <c r="P832" i="18" a="1"/>
  <c r="P832" i="18" s="1"/>
  <c r="P833" i="18" a="1"/>
  <c r="P833" i="18" s="1"/>
  <c r="P834" i="18" a="1"/>
  <c r="P834" i="18"/>
  <c r="P835" i="18" a="1"/>
  <c r="P835" i="18" s="1"/>
  <c r="P836" i="18" a="1"/>
  <c r="P836" i="18" s="1"/>
  <c r="P837" i="18" a="1"/>
  <c r="P837" i="18" s="1"/>
  <c r="P838" i="18" a="1"/>
  <c r="P838" i="18" s="1"/>
  <c r="P839" i="18" a="1"/>
  <c r="P839" i="18" s="1"/>
  <c r="P840" i="18" a="1"/>
  <c r="P840" i="18" s="1"/>
  <c r="P841" i="18" a="1"/>
  <c r="P841" i="18" s="1"/>
  <c r="P842" i="18" a="1"/>
  <c r="P842" i="18" s="1"/>
  <c r="P843" i="18" a="1"/>
  <c r="P843" i="18" s="1"/>
  <c r="P844" i="18" a="1"/>
  <c r="P844" i="18" s="1"/>
  <c r="P845" i="18" a="1"/>
  <c r="P845" i="18" s="1"/>
  <c r="P846" i="18" a="1"/>
  <c r="P846" i="18" s="1"/>
  <c r="P847" i="18" a="1"/>
  <c r="P847" i="18"/>
  <c r="P848" i="18" a="1"/>
  <c r="P848" i="18" s="1"/>
  <c r="P849" i="18" a="1"/>
  <c r="P849" i="18" s="1"/>
  <c r="P850" i="18" a="1"/>
  <c r="P850" i="18" s="1"/>
  <c r="P851" i="18" a="1"/>
  <c r="P851" i="18"/>
  <c r="P852" i="18" a="1"/>
  <c r="P852" i="18" s="1"/>
  <c r="P853" i="18" a="1"/>
  <c r="P853" i="18"/>
  <c r="P854" i="18" a="1"/>
  <c r="P854" i="18" s="1"/>
  <c r="P855" i="18" a="1"/>
  <c r="P855" i="18" s="1"/>
  <c r="P856" i="18" a="1"/>
  <c r="P856" i="18" s="1"/>
  <c r="P857" i="18" a="1"/>
  <c r="P857" i="18" s="1"/>
  <c r="P858" i="18" a="1"/>
  <c r="P858" i="18" s="1"/>
  <c r="P859" i="18" a="1"/>
  <c r="P859" i="18" s="1"/>
  <c r="P860" i="18" a="1"/>
  <c r="P860" i="18"/>
  <c r="P861" i="18" a="1"/>
  <c r="P861" i="18" s="1"/>
  <c r="P862" i="18" a="1"/>
  <c r="P862" i="18" s="1"/>
  <c r="P863" i="18" a="1"/>
  <c r="P863" i="18" s="1"/>
  <c r="P864" i="18" a="1"/>
  <c r="P864" i="18"/>
  <c r="P865" i="18" a="1"/>
  <c r="P865" i="18"/>
  <c r="P866" i="18" a="1"/>
  <c r="P866" i="18"/>
  <c r="P867" i="18" a="1"/>
  <c r="P867" i="18" s="1"/>
  <c r="P868" i="18" a="1"/>
  <c r="P868" i="18" s="1"/>
  <c r="P869" i="18" a="1"/>
  <c r="P869" i="18" s="1"/>
  <c r="P870" i="18" a="1"/>
  <c r="P870" i="18" s="1"/>
  <c r="P871" i="18" a="1"/>
  <c r="P871" i="18" s="1"/>
  <c r="P872" i="18" a="1"/>
  <c r="P872" i="18" s="1"/>
  <c r="P873" i="18" a="1"/>
  <c r="P873" i="18" s="1"/>
  <c r="P874" i="18" a="1"/>
  <c r="P874" i="18" s="1"/>
  <c r="P875" i="18" a="1"/>
  <c r="P875" i="18" s="1"/>
  <c r="P876" i="18" a="1"/>
  <c r="P876" i="18" s="1"/>
  <c r="P877" i="18" a="1"/>
  <c r="P877" i="18" s="1"/>
  <c r="P878" i="18" a="1"/>
  <c r="P878" i="18" s="1"/>
  <c r="P879" i="18" a="1"/>
  <c r="P879" i="18"/>
  <c r="P880" i="18" a="1"/>
  <c r="P880" i="18" s="1"/>
  <c r="P881" i="18" a="1"/>
  <c r="P881" i="18" s="1"/>
  <c r="P882" i="18" a="1"/>
  <c r="P882" i="18" s="1"/>
  <c r="P883" i="18" a="1"/>
  <c r="P883" i="18" s="1"/>
  <c r="P884" i="18" a="1"/>
  <c r="P884" i="18" s="1"/>
  <c r="P885" i="18" a="1"/>
  <c r="P885" i="18" s="1"/>
  <c r="P886" i="18" a="1"/>
  <c r="P886" i="18" s="1"/>
  <c r="P887" i="18" a="1"/>
  <c r="P887" i="18" s="1"/>
  <c r="P888" i="18" a="1"/>
  <c r="P888" i="18" s="1"/>
  <c r="P889" i="18" a="1"/>
  <c r="P889" i="18" s="1"/>
  <c r="P890" i="18" a="1"/>
  <c r="P890" i="18"/>
  <c r="P891" i="18" a="1"/>
  <c r="P891" i="18"/>
  <c r="P892" i="18" a="1"/>
  <c r="P892" i="18" s="1"/>
  <c r="P893" i="18" a="1"/>
  <c r="P893" i="18"/>
  <c r="P894" i="18" a="1"/>
  <c r="P894" i="18" s="1"/>
  <c r="P895" i="18" a="1"/>
  <c r="P895" i="18" s="1"/>
  <c r="P896" i="18" a="1"/>
  <c r="P896" i="18" s="1"/>
  <c r="P897" i="18" a="1"/>
  <c r="P897" i="18" s="1"/>
  <c r="P898" i="18" a="1"/>
  <c r="P898" i="18" s="1"/>
  <c r="P899" i="18" a="1"/>
  <c r="P899" i="18"/>
  <c r="P900" i="18" a="1"/>
  <c r="P900" i="18" s="1"/>
  <c r="P901" i="18" a="1"/>
  <c r="P901" i="18" s="1"/>
  <c r="P902" i="18" a="1"/>
  <c r="P902" i="18" s="1"/>
  <c r="P903" i="18" a="1"/>
  <c r="P903" i="18" s="1"/>
  <c r="P904" i="18" a="1"/>
  <c r="P904" i="18" s="1"/>
  <c r="P905" i="18" a="1"/>
  <c r="P905" i="18" s="1"/>
  <c r="P906" i="18" a="1"/>
  <c r="P906" i="18"/>
  <c r="P907" i="18" a="1"/>
  <c r="P907" i="18" s="1"/>
  <c r="P908" i="18" a="1"/>
  <c r="P908" i="18"/>
  <c r="P909" i="18" a="1"/>
  <c r="P909" i="18" s="1"/>
  <c r="P910" i="18" a="1"/>
  <c r="P910" i="18" s="1"/>
  <c r="P911" i="18" a="1"/>
  <c r="P911" i="18" s="1"/>
  <c r="P912" i="18" a="1"/>
  <c r="P912" i="18" s="1"/>
  <c r="P913" i="18" a="1"/>
  <c r="P913" i="18" s="1"/>
  <c r="P914" i="18" a="1"/>
  <c r="P914" i="18" s="1"/>
  <c r="P915" i="18" a="1"/>
  <c r="P915" i="18" s="1"/>
  <c r="P916" i="18" a="1"/>
  <c r="P916" i="18" s="1"/>
  <c r="P917" i="18" a="1"/>
  <c r="P917" i="18" s="1"/>
  <c r="P918" i="18" a="1"/>
  <c r="P918" i="18" s="1"/>
  <c r="P919" i="18" a="1"/>
  <c r="P919" i="18"/>
  <c r="P920" i="18" a="1"/>
  <c r="P920" i="18" s="1"/>
  <c r="P921" i="18" a="1"/>
  <c r="P921" i="18" s="1"/>
  <c r="P922" i="18" a="1"/>
  <c r="P922" i="18" s="1"/>
  <c r="P923" i="18" a="1"/>
  <c r="P923" i="18"/>
  <c r="P924" i="18" a="1"/>
  <c r="P924" i="18"/>
  <c r="P925" i="18" a="1"/>
  <c r="P925" i="18"/>
  <c r="P926" i="18" a="1"/>
  <c r="P926" i="18" s="1"/>
  <c r="P927" i="18" a="1"/>
  <c r="P927" i="18" s="1"/>
  <c r="P928" i="18" a="1"/>
  <c r="P928" i="18" s="1"/>
  <c r="P929" i="18" a="1"/>
  <c r="P929" i="18" s="1"/>
  <c r="P930" i="18" a="1"/>
  <c r="P930" i="18" s="1"/>
  <c r="P931" i="18" a="1"/>
  <c r="P931" i="18" s="1"/>
  <c r="P932" i="18" a="1"/>
  <c r="P932" i="18"/>
  <c r="P933" i="18" a="1"/>
  <c r="P933" i="18"/>
  <c r="P934" i="18" a="1"/>
  <c r="P934" i="18" s="1"/>
  <c r="P935" i="18" a="1"/>
  <c r="P935" i="18" s="1"/>
  <c r="P936" i="18" a="1"/>
  <c r="P936" i="18" s="1"/>
  <c r="P937" i="18" a="1"/>
  <c r="P937" i="18"/>
  <c r="P938" i="18" a="1"/>
  <c r="P938" i="18"/>
  <c r="P939" i="18" a="1"/>
  <c r="P939" i="18" s="1"/>
  <c r="P940" i="18" a="1"/>
  <c r="P940" i="18" s="1"/>
  <c r="P941" i="18" a="1"/>
  <c r="P941" i="18" s="1"/>
  <c r="P942" i="18" a="1"/>
  <c r="P942" i="18" s="1"/>
  <c r="P943" i="18" a="1"/>
  <c r="P943" i="18" s="1"/>
  <c r="P944" i="18" a="1"/>
  <c r="P944" i="18" s="1"/>
  <c r="P945" i="18" a="1"/>
  <c r="P945" i="18" s="1"/>
  <c r="P946" i="18" a="1"/>
  <c r="P946" i="18" s="1"/>
  <c r="P947" i="18" a="1"/>
  <c r="P947" i="18" s="1"/>
  <c r="P948" i="18" a="1"/>
  <c r="P948" i="18" s="1"/>
  <c r="P949" i="18" a="1"/>
  <c r="P949" i="18" s="1"/>
  <c r="P950" i="18" a="1"/>
  <c r="P950" i="18" s="1"/>
  <c r="P951" i="18" a="1"/>
  <c r="P951" i="18"/>
  <c r="P952" i="18" a="1"/>
  <c r="P952" i="18" s="1"/>
  <c r="P953" i="18" a="1"/>
  <c r="P953" i="18" s="1"/>
  <c r="P954" i="18" a="1"/>
  <c r="P954" i="18" s="1"/>
  <c r="P955" i="18" a="1"/>
  <c r="P955" i="18" s="1"/>
  <c r="P956" i="18" a="1"/>
  <c r="P956" i="18" s="1"/>
  <c r="P957" i="18" a="1"/>
  <c r="P957" i="18" s="1"/>
  <c r="P958" i="18" a="1"/>
  <c r="P958" i="18" s="1"/>
  <c r="P959" i="18" a="1"/>
  <c r="P959" i="18" s="1"/>
  <c r="P960" i="18" a="1"/>
  <c r="P960" i="18" s="1"/>
  <c r="P961" i="18" a="1"/>
  <c r="P961" i="18" s="1"/>
  <c r="P962" i="18" a="1"/>
  <c r="P962" i="18" s="1"/>
  <c r="P963" i="18" a="1"/>
  <c r="P963" i="18"/>
  <c r="P964" i="18" a="1"/>
  <c r="P964" i="18" s="1"/>
  <c r="P965" i="18" a="1"/>
  <c r="P965" i="18"/>
  <c r="P966" i="18" a="1"/>
  <c r="P966" i="18" s="1"/>
  <c r="P967" i="18" a="1"/>
  <c r="P967" i="18"/>
  <c r="P968" i="18" a="1"/>
  <c r="P968" i="18" s="1"/>
  <c r="P969" i="18" a="1"/>
  <c r="P969" i="18" s="1"/>
  <c r="P970" i="18" a="1"/>
  <c r="P970" i="18" s="1"/>
  <c r="P971" i="18" a="1"/>
  <c r="P971" i="18"/>
  <c r="P972" i="18" a="1"/>
  <c r="P972" i="18" s="1"/>
  <c r="P973" i="18" a="1"/>
  <c r="P973" i="18" s="1"/>
  <c r="P974" i="18" a="1"/>
  <c r="P974" i="18" s="1"/>
  <c r="P975" i="18" a="1"/>
  <c r="P975" i="18" s="1"/>
  <c r="P976" i="18" a="1"/>
  <c r="P976" i="18" s="1"/>
  <c r="P977" i="18" a="1"/>
  <c r="P977" i="18" s="1"/>
  <c r="P978" i="18" a="1"/>
  <c r="P978" i="18" s="1"/>
  <c r="P979" i="18" a="1"/>
  <c r="P979" i="18" s="1"/>
  <c r="P980" i="18" a="1"/>
  <c r="P980" i="18" s="1"/>
  <c r="P981" i="18" a="1"/>
  <c r="P981" i="18" s="1"/>
  <c r="P982" i="18" a="1"/>
  <c r="P982" i="18" s="1"/>
  <c r="P983" i="18" a="1"/>
  <c r="P983" i="18" s="1"/>
  <c r="P984" i="18" a="1"/>
  <c r="P984" i="18"/>
  <c r="P985" i="18" a="1"/>
  <c r="P985" i="18" s="1"/>
  <c r="P986" i="18" a="1"/>
  <c r="P986" i="18" s="1"/>
  <c r="P987" i="18" a="1"/>
  <c r="P987" i="18" s="1"/>
  <c r="P988" i="18" a="1"/>
  <c r="P988" i="18" s="1"/>
  <c r="P989" i="18" a="1"/>
  <c r="P989" i="18" s="1"/>
  <c r="P990" i="18" a="1"/>
  <c r="P990" i="18" s="1"/>
  <c r="P991" i="18" a="1"/>
  <c r="P991" i="18" s="1"/>
  <c r="P992" i="18" a="1"/>
  <c r="P992" i="18" s="1"/>
  <c r="P993" i="18" a="1"/>
  <c r="P993" i="18"/>
  <c r="P994" i="18" a="1"/>
  <c r="P994" i="18" s="1"/>
  <c r="P995" i="18" a="1"/>
  <c r="P995" i="18" s="1"/>
  <c r="P996" i="18" a="1"/>
  <c r="P996" i="18"/>
  <c r="P997" i="18" a="1"/>
  <c r="P997" i="18"/>
  <c r="P998" i="18" a="1"/>
  <c r="P998" i="18" s="1"/>
  <c r="P999" i="18" a="1"/>
  <c r="P999" i="18" s="1"/>
  <c r="P1000" i="18" a="1"/>
  <c r="P1000" i="18" s="1"/>
  <c r="P1001" i="18" a="1"/>
  <c r="P1001" i="18" s="1"/>
  <c r="P1002" i="18" a="1"/>
  <c r="P1002" i="18" s="1"/>
  <c r="P1003" i="18" a="1"/>
  <c r="P1003" i="18" s="1"/>
  <c r="P1004" i="18" a="1"/>
  <c r="P1004" i="18" s="1"/>
  <c r="P1005" i="18" a="1"/>
  <c r="P1005" i="18"/>
  <c r="P1006" i="18" a="1"/>
  <c r="P1006" i="18" s="1"/>
  <c r="P1007" i="18" a="1"/>
  <c r="P1007" i="18" s="1"/>
  <c r="P1008" i="18" a="1"/>
  <c r="P1008" i="18" s="1"/>
  <c r="P1009" i="18" a="1"/>
  <c r="P1009" i="18"/>
  <c r="P1010" i="18" a="1"/>
  <c r="P1010" i="18"/>
  <c r="P1011" i="18" a="1"/>
  <c r="P1011" i="18" s="1"/>
  <c r="P1012" i="18" a="1"/>
  <c r="P1012" i="18" s="1"/>
  <c r="P1013" i="18" a="1"/>
  <c r="P1013" i="18" s="1"/>
  <c r="P1014" i="18" a="1"/>
  <c r="P1014" i="18" s="1"/>
  <c r="P1015" i="18" a="1"/>
  <c r="P1015" i="18" s="1"/>
  <c r="P1016" i="18" a="1"/>
  <c r="P1016" i="18" s="1"/>
  <c r="P1017" i="18" a="1"/>
  <c r="P1017" i="18" s="1"/>
  <c r="P1018" i="18" a="1"/>
  <c r="P1018" i="18" s="1"/>
  <c r="P1019" i="18" a="1"/>
  <c r="P1019" i="18" s="1"/>
  <c r="P1020" i="18" a="1"/>
  <c r="P1020" i="18" s="1"/>
  <c r="P1021" i="18" a="1"/>
  <c r="P1021" i="18" s="1"/>
  <c r="P1022" i="18" a="1"/>
  <c r="P1022" i="18" s="1"/>
  <c r="P1023" i="18" a="1"/>
  <c r="P1023" i="18"/>
  <c r="P1024" i="18" a="1"/>
  <c r="P1024" i="18" s="1"/>
  <c r="P1025" i="18" a="1"/>
  <c r="P1025" i="18" s="1"/>
  <c r="P1026" i="18" a="1"/>
  <c r="P1026" i="18"/>
  <c r="P1027" i="18" a="1"/>
  <c r="P1027" i="18" s="1"/>
  <c r="P1028" i="18" a="1"/>
  <c r="P1028" i="18" s="1"/>
  <c r="P1029" i="18" a="1"/>
  <c r="P1029" i="18" s="1"/>
  <c r="P1030" i="18" a="1"/>
  <c r="P1030" i="18" s="1"/>
  <c r="P1031" i="18" a="1"/>
  <c r="P1031" i="18" s="1"/>
  <c r="P1032" i="18" a="1"/>
  <c r="P1032" i="18" s="1"/>
  <c r="P1033" i="18" a="1"/>
  <c r="P1033" i="18" s="1"/>
  <c r="P1034" i="18" a="1"/>
  <c r="P1034" i="18"/>
  <c r="P1035" i="18" a="1"/>
  <c r="P1035" i="18"/>
  <c r="P1036" i="18" a="1"/>
  <c r="P1036" i="18" s="1"/>
  <c r="P1037" i="18" a="1"/>
  <c r="P1037" i="18" s="1"/>
  <c r="P1038" i="18" a="1"/>
  <c r="P1038" i="18" s="1"/>
  <c r="P1039" i="18" a="1"/>
  <c r="P1039" i="18" s="1"/>
  <c r="P1040" i="18" a="1"/>
  <c r="P1040" i="18" s="1"/>
  <c r="P1041" i="18" a="1"/>
  <c r="P1041" i="18" s="1"/>
  <c r="P1042" i="18" a="1"/>
  <c r="P1042" i="18" s="1"/>
  <c r="P1043" i="18" a="1"/>
  <c r="P1043" i="18"/>
  <c r="P1044" i="18" a="1"/>
  <c r="P1044" i="18" s="1"/>
  <c r="P1045" i="18" a="1"/>
  <c r="P1045" i="18" s="1"/>
  <c r="P1046" i="18" a="1"/>
  <c r="P1046" i="18" s="1"/>
  <c r="P1047" i="18" a="1"/>
  <c r="P1047" i="18"/>
  <c r="P1048" i="18" a="1"/>
  <c r="P1048" i="18" s="1"/>
  <c r="P1049" i="18" a="1"/>
  <c r="P1049" i="18" s="1"/>
  <c r="P1050" i="18" a="1"/>
  <c r="P1050" i="18" s="1"/>
  <c r="P1051" i="18" a="1"/>
  <c r="P1051" i="18" s="1"/>
  <c r="P1052" i="18" a="1"/>
  <c r="P1052" i="18" s="1"/>
  <c r="P1053" i="18" a="1"/>
  <c r="P1053" i="18" s="1"/>
  <c r="P1054" i="18" a="1"/>
  <c r="P1054" i="18" s="1"/>
  <c r="P1055" i="18" a="1"/>
  <c r="P1055" i="18" s="1"/>
  <c r="P1056" i="18" a="1"/>
  <c r="P1056" i="18" s="1"/>
  <c r="P1057" i="18" a="1"/>
  <c r="P1057" i="18" s="1"/>
  <c r="P1058" i="18" a="1"/>
  <c r="P1058" i="18" s="1"/>
  <c r="P1059" i="18" a="1"/>
  <c r="P1059" i="18" s="1"/>
  <c r="P1060" i="18" a="1"/>
  <c r="P1060" i="18" s="1"/>
  <c r="P1061" i="18" a="1"/>
  <c r="P1061" i="18" s="1"/>
  <c r="P1062" i="18" a="1"/>
  <c r="P1062" i="18" s="1"/>
  <c r="P1063" i="18" a="1"/>
  <c r="P1063" i="18"/>
  <c r="P1064" i="18" a="1"/>
  <c r="P1064" i="18" s="1"/>
  <c r="P1065" i="18" a="1"/>
  <c r="P1065" i="18" s="1"/>
  <c r="P1066" i="18" a="1"/>
  <c r="P1066" i="18" s="1"/>
  <c r="P1067" i="18" a="1"/>
  <c r="P1067" i="18" s="1"/>
  <c r="P1068" i="18" a="1"/>
  <c r="P1068" i="18"/>
  <c r="P1069" i="18" a="1"/>
  <c r="P1069" i="18" s="1"/>
  <c r="P1070" i="18" a="1"/>
  <c r="P1070" i="18" s="1"/>
  <c r="P1071" i="18" a="1"/>
  <c r="P1071" i="18" s="1"/>
  <c r="P1072" i="18" a="1"/>
  <c r="P1072" i="18" s="1"/>
  <c r="P1073" i="18" a="1"/>
  <c r="P1073" i="18" s="1"/>
  <c r="P1074" i="18" a="1"/>
  <c r="P1074" i="18" s="1"/>
  <c r="P1075" i="18" a="1"/>
  <c r="P1075" i="18" s="1"/>
  <c r="P1076" i="18" a="1"/>
  <c r="P1076" i="18" s="1"/>
  <c r="P1077" i="18" a="1"/>
  <c r="P1077" i="18"/>
  <c r="P1078" i="18" a="1"/>
  <c r="P1078" i="18" s="1"/>
  <c r="P1079" i="18" a="1"/>
  <c r="P1079" i="18" s="1"/>
  <c r="P1080" i="18" a="1"/>
  <c r="P1080" i="18" s="1"/>
  <c r="P1081" i="18" a="1"/>
  <c r="P1081" i="18"/>
  <c r="P1082" i="18" a="1"/>
  <c r="P1082" i="18"/>
  <c r="P1083" i="18" a="1"/>
  <c r="P1083" i="18" s="1"/>
  <c r="P1084" i="18" a="1"/>
  <c r="P1084" i="18" s="1"/>
  <c r="P1085" i="18" a="1"/>
  <c r="P1085" i="18"/>
  <c r="P1086" i="18" a="1"/>
  <c r="P1086" i="18" s="1"/>
  <c r="P1087" i="18" a="1"/>
  <c r="P1087" i="18" s="1"/>
  <c r="P1088" i="18" a="1"/>
  <c r="P1088" i="18" s="1"/>
  <c r="P1089" i="18" a="1"/>
  <c r="P1089" i="18" s="1"/>
  <c r="P1090" i="18" a="1"/>
  <c r="P1090" i="18" s="1"/>
  <c r="P1091" i="18" a="1"/>
  <c r="P1091" i="18" s="1"/>
  <c r="P1092" i="18" a="1"/>
  <c r="P1092" i="18" s="1"/>
  <c r="P1093" i="18" a="1"/>
  <c r="P1093" i="18" s="1"/>
  <c r="P1094" i="18" a="1"/>
  <c r="P1094" i="18"/>
  <c r="P1095" i="18" a="1"/>
  <c r="P1095" i="18" s="1"/>
  <c r="P1096" i="18" a="1"/>
  <c r="P1096" i="18" s="1"/>
  <c r="P1097" i="18" a="1"/>
  <c r="P1097" i="18" s="1"/>
  <c r="P1098" i="18" a="1"/>
  <c r="P1098" i="18" s="1"/>
  <c r="P1099" i="18" a="1"/>
  <c r="P1099" i="18" s="1"/>
  <c r="P1100" i="18" a="1"/>
  <c r="P1100" i="18" s="1"/>
  <c r="P1101" i="18" a="1"/>
  <c r="P1101" i="18" s="1"/>
  <c r="P1102" i="18" a="1"/>
  <c r="P1102" i="18" s="1"/>
  <c r="P1103" i="18" a="1"/>
  <c r="P1103" i="18" s="1"/>
  <c r="P1104" i="18" a="1"/>
  <c r="P1104" i="18" s="1"/>
  <c r="P1105" i="18" a="1"/>
  <c r="P1105" i="18" s="1"/>
  <c r="P1106" i="18" a="1"/>
  <c r="P1106" i="18" s="1"/>
  <c r="P1107" i="18" a="1"/>
  <c r="P1107" i="18"/>
  <c r="P1108" i="18" a="1"/>
  <c r="P1108" i="18" s="1"/>
  <c r="P1109" i="18" a="1"/>
  <c r="P1109" i="18" s="1"/>
  <c r="P1110" i="18" a="1"/>
  <c r="P1110" i="18"/>
  <c r="P1111" i="18" a="1"/>
  <c r="P1111" i="18"/>
  <c r="P1112" i="18" a="1"/>
  <c r="P1112" i="18" s="1"/>
  <c r="P1113" i="18" a="1"/>
  <c r="P1113" i="18" s="1"/>
  <c r="P1114" i="18" a="1"/>
  <c r="P1114" i="18" s="1"/>
  <c r="P1115" i="18" a="1"/>
  <c r="P1115" i="18"/>
  <c r="P1116" i="18" a="1"/>
  <c r="P1116" i="18" s="1"/>
  <c r="P1117" i="18" a="1"/>
  <c r="P1117" i="18" s="1"/>
  <c r="P1118" i="18" a="1"/>
  <c r="P1118" i="18" s="1"/>
  <c r="P1119" i="18" a="1"/>
  <c r="P1119" i="18" s="1"/>
  <c r="P1120" i="18" a="1"/>
  <c r="P1120" i="18" s="1"/>
  <c r="P1121" i="18" a="1"/>
  <c r="P1121" i="18" s="1"/>
  <c r="P1122" i="18" a="1"/>
  <c r="P1122" i="18" s="1"/>
  <c r="P1123" i="18" a="1"/>
  <c r="P1123" i="18" s="1"/>
  <c r="P1124" i="18" a="1"/>
  <c r="P1124" i="18" s="1"/>
  <c r="P1125" i="18" a="1"/>
  <c r="P1125" i="18" s="1"/>
  <c r="P1126" i="18" a="1"/>
  <c r="P1126" i="18" s="1"/>
  <c r="P1127" i="18" a="1"/>
  <c r="P1127" i="18" s="1"/>
  <c r="P1128" i="18" a="1"/>
  <c r="P1128" i="18" s="1"/>
  <c r="P1129" i="18" a="1"/>
  <c r="P1129" i="18" s="1"/>
  <c r="P1130" i="18" a="1"/>
  <c r="P1130" i="18" s="1"/>
  <c r="P1131" i="18" a="1"/>
  <c r="P1131" i="18" s="1"/>
  <c r="P1132" i="18" a="1"/>
  <c r="P1132" i="18" s="1"/>
  <c r="P1133" i="18" a="1"/>
  <c r="P1133" i="18"/>
  <c r="P1134" i="18" a="1"/>
  <c r="P1134" i="18" s="1"/>
  <c r="P1135" i="18" a="1"/>
  <c r="P1135" i="18" s="1"/>
  <c r="P1136" i="18" a="1"/>
  <c r="P1136" i="18" s="1"/>
  <c r="P1137" i="18" a="1"/>
  <c r="P1137" i="18"/>
  <c r="P1138" i="18" a="1"/>
  <c r="P1138" i="18" s="1"/>
  <c r="P1139" i="18" a="1"/>
  <c r="P1139" i="18" s="1"/>
  <c r="P1140" i="18" a="1"/>
  <c r="P1140" i="18" s="1"/>
  <c r="P1141" i="18" a="1"/>
  <c r="P1141" i="18"/>
  <c r="P1142" i="18" a="1"/>
  <c r="P1142" i="18" s="1"/>
  <c r="P1143" i="18" a="1"/>
  <c r="P1143" i="18" s="1"/>
  <c r="P1144" i="18" a="1"/>
  <c r="P1144" i="18" s="1"/>
  <c r="P1145" i="18" a="1"/>
  <c r="P1145" i="18"/>
  <c r="P1146" i="18" a="1"/>
  <c r="P1146" i="18"/>
  <c r="P1147" i="18" a="1"/>
  <c r="P1147" i="18" s="1"/>
  <c r="P1148" i="18" a="1"/>
  <c r="P1148" i="18" s="1"/>
  <c r="P1149" i="18" a="1"/>
  <c r="P1149" i="18" s="1"/>
  <c r="P1150" i="18" a="1"/>
  <c r="P1150" i="18" s="1"/>
  <c r="P1151" i="18" a="1"/>
  <c r="P1151" i="18" s="1"/>
  <c r="R1151" i="18" s="1"/>
  <c r="P1152" i="18" a="1"/>
  <c r="P1152" i="18" s="1"/>
  <c r="P1153" i="18" a="1"/>
  <c r="P1153" i="18" s="1"/>
  <c r="P1154" i="18" a="1"/>
  <c r="P1154" i="18" s="1"/>
  <c r="P1155" i="18" a="1"/>
  <c r="P1155" i="18" s="1"/>
  <c r="P1156" i="18" a="1"/>
  <c r="P1156" i="18" s="1"/>
  <c r="P1157" i="18" a="1"/>
  <c r="P1157" i="18" s="1"/>
  <c r="R1157" i="18" s="1"/>
  <c r="P1158" i="18" a="1"/>
  <c r="P1158" i="18"/>
  <c r="P1159" i="18" a="1"/>
  <c r="P1159" i="18"/>
  <c r="R1159" i="18" s="1"/>
  <c r="P1160" i="18" a="1"/>
  <c r="P1160" i="18" s="1"/>
  <c r="P1161" i="18" a="1"/>
  <c r="P1161" i="18" s="1"/>
  <c r="P1162" i="18" a="1"/>
  <c r="P1162" i="18" s="1"/>
  <c r="P1163" i="18" a="1"/>
  <c r="P1163" i="18" s="1"/>
  <c r="P1164" i="18" a="1"/>
  <c r="P1164" i="18" s="1"/>
  <c r="P1165" i="18" a="1"/>
  <c r="P1165" i="18"/>
  <c r="P1166" i="18" a="1"/>
  <c r="P1166" i="18" s="1"/>
  <c r="R1166" i="18" s="1"/>
  <c r="P1167" i="18" a="1"/>
  <c r="P1167" i="18"/>
  <c r="P1168" i="18" a="1"/>
  <c r="P1168" i="18" s="1"/>
  <c r="P1169" i="18" a="1"/>
  <c r="P1169" i="18" s="1"/>
  <c r="R1169" i="18" s="1"/>
  <c r="P1170" i="18" a="1"/>
  <c r="P1170" i="18" s="1"/>
  <c r="P1171" i="18" a="1"/>
  <c r="P1171" i="18"/>
  <c r="Q2" i="18" a="1"/>
  <c r="Q2" i="18" s="1"/>
  <c r="R2" i="18" s="1"/>
  <c r="Q3" i="18" a="1"/>
  <c r="Q3" i="18"/>
  <c r="R3" i="18" s="1"/>
  <c r="Q4" i="18" a="1"/>
  <c r="Q4" i="18" s="1"/>
  <c r="R4" i="18" s="1"/>
  <c r="Q5" i="18" a="1"/>
  <c r="Q5" i="18" s="1"/>
  <c r="Q6" i="18" a="1"/>
  <c r="Q6" i="18" s="1"/>
  <c r="Q7" i="18" a="1"/>
  <c r="Q7" i="18"/>
  <c r="R7" i="18" s="1"/>
  <c r="Q8" i="18" a="1"/>
  <c r="Q8" i="18" s="1"/>
  <c r="R8" i="18" s="1"/>
  <c r="Q9" i="18" a="1"/>
  <c r="Q9" i="18" s="1"/>
  <c r="Q10" i="18" a="1"/>
  <c r="Q10" i="18" s="1"/>
  <c r="R10" i="18" s="1"/>
  <c r="Q11" i="18" a="1"/>
  <c r="Q11" i="18" s="1"/>
  <c r="R11" i="18" s="1"/>
  <c r="Q12" i="18" a="1"/>
  <c r="Q12" i="18" s="1"/>
  <c r="R12" i="18" s="1"/>
  <c r="Q13" i="18" a="1"/>
  <c r="Q13" i="18" s="1"/>
  <c r="R13" i="18" s="1"/>
  <c r="Q14" i="18" a="1"/>
  <c r="Q14" i="18" s="1"/>
  <c r="R14" i="18" s="1"/>
  <c r="Q15" i="18" a="1"/>
  <c r="Q15" i="18" s="1"/>
  <c r="R15" i="18" s="1"/>
  <c r="Q16" i="18" a="1"/>
  <c r="Q16" i="18" s="1"/>
  <c r="Q17" i="18" a="1"/>
  <c r="Q17" i="18"/>
  <c r="R17" i="18" s="1"/>
  <c r="Q18" i="18" a="1"/>
  <c r="Q18" i="18" s="1"/>
  <c r="R18" i="18" s="1"/>
  <c r="Q19" i="18" a="1"/>
  <c r="Q19" i="18" s="1"/>
  <c r="Q20" i="18" a="1"/>
  <c r="Q20" i="18"/>
  <c r="Q21" i="18" a="1"/>
  <c r="Q21" i="18" s="1"/>
  <c r="R21" i="18" s="1"/>
  <c r="Q22" i="18" a="1"/>
  <c r="Q22" i="18" s="1"/>
  <c r="R22" i="18" s="1"/>
  <c r="Q23" i="18" a="1"/>
  <c r="Q23" i="18" s="1"/>
  <c r="R23" i="18" s="1"/>
  <c r="Q24" i="18" a="1"/>
  <c r="Q24" i="18" s="1"/>
  <c r="R24" i="18" s="1"/>
  <c r="Q25" i="18" a="1"/>
  <c r="Q25" i="18" s="1"/>
  <c r="R25" i="18" s="1"/>
  <c r="Q26" i="18" a="1"/>
  <c r="Q26" i="18" s="1"/>
  <c r="R26" i="18" s="1"/>
  <c r="Q27" i="18" a="1"/>
  <c r="Q27" i="18" s="1"/>
  <c r="R27" i="18" s="1"/>
  <c r="Q28" i="18" a="1"/>
  <c r="Q28" i="18" s="1"/>
  <c r="Q29" i="18" a="1"/>
  <c r="Q29" i="18" s="1"/>
  <c r="R29" i="18" s="1"/>
  <c r="Q30" i="18" a="1"/>
  <c r="Q30" i="18" s="1"/>
  <c r="R30" i="18" s="1"/>
  <c r="Q31" i="18" a="1"/>
  <c r="Q31" i="18" s="1"/>
  <c r="R31" i="18" s="1"/>
  <c r="Q32" i="18" a="1"/>
  <c r="Q32" i="18" s="1"/>
  <c r="Q33" i="18" a="1"/>
  <c r="Q33" i="18"/>
  <c r="Q34" i="18" a="1"/>
  <c r="Q34" i="18" s="1"/>
  <c r="R34" i="18" s="1"/>
  <c r="Q35" i="18" a="1"/>
  <c r="Q35" i="18" s="1"/>
  <c r="R35" i="18" s="1"/>
  <c r="Q36" i="18" a="1"/>
  <c r="Q36" i="18" s="1"/>
  <c r="R36" i="18" s="1"/>
  <c r="Q37" i="18" a="1"/>
  <c r="Q37" i="18" s="1"/>
  <c r="R37" i="18" s="1"/>
  <c r="Q38" i="18" a="1"/>
  <c r="Q38" i="18" s="1"/>
  <c r="R38" i="18" s="1"/>
  <c r="Q39" i="18" a="1"/>
  <c r="Q39" i="18" s="1"/>
  <c r="R39" i="18" s="1"/>
  <c r="Q40" i="18" a="1"/>
  <c r="Q40" i="18" s="1"/>
  <c r="Q41" i="18" a="1"/>
  <c r="Q41" i="18"/>
  <c r="Q42" i="18" a="1"/>
  <c r="Q42" i="18" s="1"/>
  <c r="Q43" i="18" a="1"/>
  <c r="Q43" i="18"/>
  <c r="R43" i="18" s="1"/>
  <c r="Q44" i="18" a="1"/>
  <c r="Q44" i="18"/>
  <c r="R44" i="18" s="1"/>
  <c r="Q45" i="18" a="1"/>
  <c r="Q45" i="18" s="1"/>
  <c r="R45" i="18" s="1"/>
  <c r="Q46" i="18" a="1"/>
  <c r="Q46" i="18" s="1"/>
  <c r="Q47" i="18" a="1"/>
  <c r="Q47" i="18"/>
  <c r="R47" i="18" s="1"/>
  <c r="Q48" i="18" a="1"/>
  <c r="Q48" i="18" s="1"/>
  <c r="R48" i="18" s="1"/>
  <c r="Q49" i="18" a="1"/>
  <c r="Q49" i="18"/>
  <c r="R49" i="18" s="1"/>
  <c r="Q50" i="18" a="1"/>
  <c r="Q50" i="18" s="1"/>
  <c r="R50" i="18" s="1"/>
  <c r="Q51" i="18" a="1"/>
  <c r="Q51" i="18" s="1"/>
  <c r="R51" i="18" s="1"/>
  <c r="Q52" i="18" a="1"/>
  <c r="Q52" i="18" s="1"/>
  <c r="R52" i="18" s="1"/>
  <c r="Q53" i="18" a="1"/>
  <c r="Q53" i="18" s="1"/>
  <c r="R53" i="18" s="1"/>
  <c r="Q54" i="18" a="1"/>
  <c r="Q54" i="18" s="1"/>
  <c r="Q55" i="18" a="1"/>
  <c r="Q55" i="18" s="1"/>
  <c r="Q56" i="18" a="1"/>
  <c r="Q56" i="18"/>
  <c r="R56" i="18" s="1"/>
  <c r="Q57" i="18" a="1"/>
  <c r="Q57" i="18" s="1"/>
  <c r="R57" i="18" s="1"/>
  <c r="Q58" i="18" a="1"/>
  <c r="Q58" i="18" s="1"/>
  <c r="Q59" i="18" a="1"/>
  <c r="Q59" i="18" s="1"/>
  <c r="Q60" i="18" a="1"/>
  <c r="Q60" i="18" s="1"/>
  <c r="R60" i="18" s="1"/>
  <c r="Q61" i="18" a="1"/>
  <c r="Q61" i="18"/>
  <c r="R61" i="18" s="1"/>
  <c r="Q62" i="18" a="1"/>
  <c r="Q62" i="18"/>
  <c r="R62" i="18" s="1"/>
  <c r="Q63" i="18" a="1"/>
  <c r="Q63" i="18" s="1"/>
  <c r="R63" i="18" s="1"/>
  <c r="Q64" i="18" a="1"/>
  <c r="Q64" i="18" s="1"/>
  <c r="R64" i="18" s="1"/>
  <c r="Q65" i="18" a="1"/>
  <c r="Q65" i="18" s="1"/>
  <c r="R65" i="18" s="1"/>
  <c r="Q66" i="18" a="1"/>
  <c r="Q66" i="18"/>
  <c r="R66" i="18" s="1"/>
  <c r="Q67" i="18" a="1"/>
  <c r="Q67" i="18" s="1"/>
  <c r="R67" i="18" s="1"/>
  <c r="Q68" i="18" a="1"/>
  <c r="Q68" i="18" s="1"/>
  <c r="R68" i="18" s="1"/>
  <c r="Q69" i="18" a="1"/>
  <c r="Q69" i="18"/>
  <c r="Q70" i="18" a="1"/>
  <c r="Q70" i="18" s="1"/>
  <c r="Q71" i="18" a="1"/>
  <c r="Q71" i="18" s="1"/>
  <c r="R71" i="18" s="1"/>
  <c r="Q72" i="18" a="1"/>
  <c r="Q72" i="18" s="1"/>
  <c r="Q73" i="18" a="1"/>
  <c r="Q73" i="18" s="1"/>
  <c r="R73" i="18" s="1"/>
  <c r="Q74" i="18" a="1"/>
  <c r="Q74" i="18" s="1"/>
  <c r="R74" i="18" s="1"/>
  <c r="Q75" i="18" a="1"/>
  <c r="Q75" i="18"/>
  <c r="Q76" i="18" a="1"/>
  <c r="Q76" i="18" s="1"/>
  <c r="Q77" i="18" a="1"/>
  <c r="Q77" i="18" s="1"/>
  <c r="R77" i="18" s="1"/>
  <c r="Q78" i="18" a="1"/>
  <c r="Q78" i="18"/>
  <c r="R78" i="18" s="1"/>
  <c r="Q79" i="18" a="1"/>
  <c r="Q79" i="18"/>
  <c r="R79" i="18" s="1"/>
  <c r="Q80" i="18" a="1"/>
  <c r="Q80" i="18" s="1"/>
  <c r="R80" i="18" s="1"/>
  <c r="Q81" i="18" a="1"/>
  <c r="Q81" i="18" s="1"/>
  <c r="R81" i="18" s="1"/>
  <c r="Q82" i="18" a="1"/>
  <c r="Q82" i="18" s="1"/>
  <c r="R82" i="18" s="1"/>
  <c r="Q83" i="18" a="1"/>
  <c r="Q83" i="18" s="1"/>
  <c r="Q84" i="18" a="1"/>
  <c r="Q84" i="18" s="1"/>
  <c r="Q85" i="18" a="1"/>
  <c r="Q85" i="18" s="1"/>
  <c r="R85" i="18" s="1"/>
  <c r="Q86" i="18" a="1"/>
  <c r="Q86" i="18" s="1"/>
  <c r="R86" i="18" s="1"/>
  <c r="Q87" i="18" a="1"/>
  <c r="Q87" i="18" s="1"/>
  <c r="R87" i="18" s="1"/>
  <c r="Q88" i="18" a="1"/>
  <c r="Q88" i="18" s="1"/>
  <c r="Q89" i="18" a="1"/>
  <c r="Q89" i="18" s="1"/>
  <c r="Q90" i="18" a="1"/>
  <c r="Q90" i="18" s="1"/>
  <c r="R90" i="18" s="1"/>
  <c r="Q91" i="18" a="1"/>
  <c r="Q91" i="18" s="1"/>
  <c r="R91" i="18" s="1"/>
  <c r="Q92" i="18" a="1"/>
  <c r="Q92" i="18"/>
  <c r="R92" i="18" s="1"/>
  <c r="Q93" i="18" a="1"/>
  <c r="Q93" i="18" s="1"/>
  <c r="R93" i="18" s="1"/>
  <c r="Q94" i="18" a="1"/>
  <c r="Q94" i="18" s="1"/>
  <c r="Q95" i="18" a="1"/>
  <c r="Q95" i="18"/>
  <c r="R95" i="18" s="1"/>
  <c r="Q96" i="18" a="1"/>
  <c r="Q96" i="18" s="1"/>
  <c r="R96" i="18" s="1"/>
  <c r="Q97" i="18" a="1"/>
  <c r="Q97" i="18" s="1"/>
  <c r="R97" i="18" s="1"/>
  <c r="Q98" i="18" a="1"/>
  <c r="Q98" i="18" s="1"/>
  <c r="Q99" i="18" a="1"/>
  <c r="Q99" i="18" s="1"/>
  <c r="R99" i="18" s="1"/>
  <c r="Q100" i="18" a="1"/>
  <c r="Q100" i="18" s="1"/>
  <c r="R100" i="18" s="1"/>
  <c r="Q101" i="18" a="1"/>
  <c r="Q101" i="18" s="1"/>
  <c r="Q102" i="18" a="1"/>
  <c r="Q102" i="18"/>
  <c r="Q103" i="18" a="1"/>
  <c r="Q103" i="18" s="1"/>
  <c r="R103" i="18" s="1"/>
  <c r="Q104" i="18" a="1"/>
  <c r="Q104" i="18" s="1"/>
  <c r="Q105" i="18" a="1"/>
  <c r="Q105" i="18" s="1"/>
  <c r="R105" i="18" s="1"/>
  <c r="Q106" i="18" a="1"/>
  <c r="Q106" i="18" s="1"/>
  <c r="Q107" i="18" a="1"/>
  <c r="Q107" i="18" s="1"/>
  <c r="R107" i="18" s="1"/>
  <c r="Q108" i="18" a="1"/>
  <c r="Q108" i="18" s="1"/>
  <c r="R108" i="18" s="1"/>
  <c r="Q109" i="18" a="1"/>
  <c r="Q109" i="18"/>
  <c r="R109" i="18" s="1"/>
  <c r="Q110" i="18" a="1"/>
  <c r="Q110" i="18"/>
  <c r="Q111" i="18" a="1"/>
  <c r="Q111" i="18" s="1"/>
  <c r="Q112" i="18" a="1"/>
  <c r="Q112" i="18" s="1"/>
  <c r="Q113" i="18" a="1"/>
  <c r="Q113" i="18" s="1"/>
  <c r="R113" i="18" s="1"/>
  <c r="Q114" i="18" a="1"/>
  <c r="Q114" i="18" s="1"/>
  <c r="R114" i="18" s="1"/>
  <c r="Q115" i="18" a="1"/>
  <c r="Q115" i="18"/>
  <c r="R115" i="18" s="1"/>
  <c r="Q116" i="18" a="1"/>
  <c r="Q116" i="18" s="1"/>
  <c r="R116" i="18" s="1"/>
  <c r="Q117" i="18" a="1"/>
  <c r="Q117" i="18" s="1"/>
  <c r="R117" i="18" s="1"/>
  <c r="Q118" i="18" a="1"/>
  <c r="Q118" i="18" s="1"/>
  <c r="Q119" i="18" a="1"/>
  <c r="Q119" i="18" s="1"/>
  <c r="R119" i="18" s="1"/>
  <c r="Q120" i="18" a="1"/>
  <c r="Q120" i="18"/>
  <c r="R120" i="18" s="1"/>
  <c r="Q121" i="18" a="1"/>
  <c r="Q121" i="18" s="1"/>
  <c r="R121" i="18" s="1"/>
  <c r="Q122" i="18" a="1"/>
  <c r="Q122" i="18" s="1"/>
  <c r="Q123" i="18" a="1"/>
  <c r="Q123" i="18"/>
  <c r="Q124" i="18" a="1"/>
  <c r="Q124" i="18" s="1"/>
  <c r="Q125" i="18" a="1"/>
  <c r="Q125" i="18" s="1"/>
  <c r="R125" i="18" s="1"/>
  <c r="Q126" i="18" a="1"/>
  <c r="Q126" i="18" s="1"/>
  <c r="R126" i="18" s="1"/>
  <c r="Q127" i="18" a="1"/>
  <c r="Q127" i="18" s="1"/>
  <c r="R127" i="18" s="1"/>
  <c r="Q128" i="18" a="1"/>
  <c r="Q128" i="18" s="1"/>
  <c r="R128" i="18" s="1"/>
  <c r="Q129" i="18" a="1"/>
  <c r="Q129" i="18" s="1"/>
  <c r="R129" i="18" s="1"/>
  <c r="Q130" i="18" a="1"/>
  <c r="Q130" i="18" s="1"/>
  <c r="R130" i="18" s="1"/>
  <c r="Q131" i="18" a="1"/>
  <c r="Q131" i="18" s="1"/>
  <c r="Q132" i="18" a="1"/>
  <c r="Q132" i="18" s="1"/>
  <c r="R132" i="18" s="1"/>
  <c r="Q133" i="18" a="1"/>
  <c r="Q133" i="18" s="1"/>
  <c r="R133" i="18" s="1"/>
  <c r="Q134" i="18" a="1"/>
  <c r="Q134" i="18"/>
  <c r="R134" i="18" s="1"/>
  <c r="Q135" i="18" a="1"/>
  <c r="Q135" i="18" s="1"/>
  <c r="R135" i="18" s="1"/>
  <c r="Q136" i="18" a="1"/>
  <c r="Q136" i="18" s="1"/>
  <c r="Q137" i="18" a="1"/>
  <c r="Q137" i="18" s="1"/>
  <c r="R137" i="18" s="1"/>
  <c r="Q138" i="18" a="1"/>
  <c r="Q138" i="18" s="1"/>
  <c r="R138" i="18" s="1"/>
  <c r="Q139" i="18" a="1"/>
  <c r="Q139" i="18" s="1"/>
  <c r="Q140" i="18" a="1"/>
  <c r="Q140" i="18" s="1"/>
  <c r="Q141" i="18" a="1"/>
  <c r="Q141" i="18" s="1"/>
  <c r="R141" i="18" s="1"/>
  <c r="Q142" i="18" a="1"/>
  <c r="Q142" i="18" s="1"/>
  <c r="R142" i="18" s="1"/>
  <c r="Q143" i="18" a="1"/>
  <c r="Q143" i="18"/>
  <c r="Q144" i="18" a="1"/>
  <c r="Q144" i="18" s="1"/>
  <c r="R144" i="18" s="1"/>
  <c r="Q145" i="18" a="1"/>
  <c r="Q145" i="18" s="1"/>
  <c r="R145" i="18" s="1"/>
  <c r="Q146" i="18" a="1"/>
  <c r="Q146" i="18"/>
  <c r="R146" i="18" s="1"/>
  <c r="Q147" i="18" a="1"/>
  <c r="Q147" i="18" s="1"/>
  <c r="R147" i="18" s="1"/>
  <c r="Q148" i="18" a="1"/>
  <c r="Q148" i="18" s="1"/>
  <c r="Q149" i="18" a="1"/>
  <c r="Q149" i="18"/>
  <c r="R149" i="18" s="1"/>
  <c r="Q150" i="18" a="1"/>
  <c r="Q150" i="18" s="1"/>
  <c r="R150" i="18" s="1"/>
  <c r="Q151" i="18" a="1"/>
  <c r="Q151" i="18"/>
  <c r="R151" i="18" s="1"/>
  <c r="Q152" i="18" a="1"/>
  <c r="Q152" i="18" s="1"/>
  <c r="Q153" i="18" a="1"/>
  <c r="Q153" i="18" s="1"/>
  <c r="Q154" i="18" a="1"/>
  <c r="Q154" i="18" s="1"/>
  <c r="Q155" i="18" a="1"/>
  <c r="Q155" i="18" s="1"/>
  <c r="R155" i="18" s="1"/>
  <c r="Q156" i="18" a="1"/>
  <c r="Q156" i="18"/>
  <c r="R156" i="18" s="1"/>
  <c r="Q157" i="18" a="1"/>
  <c r="Q157" i="18" s="1"/>
  <c r="R157" i="18" s="1"/>
  <c r="Q158" i="18" a="1"/>
  <c r="Q158" i="18" s="1"/>
  <c r="R158" i="18" s="1"/>
  <c r="Q159" i="18" a="1"/>
  <c r="Q159" i="18" s="1"/>
  <c r="R159" i="18" s="1"/>
  <c r="Q160" i="18" a="1"/>
  <c r="Q160" i="18" s="1"/>
  <c r="Q161" i="18" a="1"/>
  <c r="Q161" i="18" s="1"/>
  <c r="Q162" i="18" a="1"/>
  <c r="Q162" i="18" s="1"/>
  <c r="R162" i="18" s="1"/>
  <c r="Q163" i="18" a="1"/>
  <c r="Q163" i="18"/>
  <c r="Q164" i="18" a="1"/>
  <c r="Q164" i="18" s="1"/>
  <c r="R164" i="18" s="1"/>
  <c r="Q165" i="18" a="1"/>
  <c r="Q165" i="18" s="1"/>
  <c r="R165" i="18" s="1"/>
  <c r="Q166" i="18" a="1"/>
  <c r="Q166" i="18" s="1"/>
  <c r="R166" i="18" s="1"/>
  <c r="Q167" i="18" a="1"/>
  <c r="Q167" i="18" s="1"/>
  <c r="R167" i="18" s="1"/>
  <c r="Q168" i="18" a="1"/>
  <c r="Q168" i="18"/>
  <c r="Q169" i="18" a="1"/>
  <c r="Q169" i="18"/>
  <c r="R169" i="18" s="1"/>
  <c r="Q170" i="18" a="1"/>
  <c r="Q170" i="18" s="1"/>
  <c r="Q171" i="18" a="1"/>
  <c r="Q171" i="18" s="1"/>
  <c r="R171" i="18" s="1"/>
  <c r="Q172" i="18" a="1"/>
  <c r="Q172" i="18" s="1"/>
  <c r="R172" i="18" s="1"/>
  <c r="Q173" i="18" a="1"/>
  <c r="Q173" i="18" s="1"/>
  <c r="Q174" i="18" a="1"/>
  <c r="Q174" i="18" s="1"/>
  <c r="Q175" i="18" a="1"/>
  <c r="Q175" i="18" s="1"/>
  <c r="R175" i="18" s="1"/>
  <c r="Q176" i="18" a="1"/>
  <c r="Q176" i="18" s="1"/>
  <c r="R176" i="18" s="1"/>
  <c r="Q177" i="18" a="1"/>
  <c r="Q177" i="18" s="1"/>
  <c r="R177" i="18" s="1"/>
  <c r="Q178" i="18" a="1"/>
  <c r="Q178" i="18" s="1"/>
  <c r="R178" i="18" s="1"/>
  <c r="Q179" i="18" a="1"/>
  <c r="Q179" i="18" s="1"/>
  <c r="Q180" i="18" a="1"/>
  <c r="Q180" i="18" s="1"/>
  <c r="R180" i="18" s="1"/>
  <c r="Q181" i="18" a="1"/>
  <c r="Q181" i="18"/>
  <c r="R181" i="18" s="1"/>
  <c r="Q182" i="18" a="1"/>
  <c r="Q182" i="18" s="1"/>
  <c r="R182" i="18" s="1"/>
  <c r="Q183" i="18" a="1"/>
  <c r="Q183" i="18" s="1"/>
  <c r="R183" i="18" s="1"/>
  <c r="Q184" i="18" a="1"/>
  <c r="Q184" i="18" s="1"/>
  <c r="Q185" i="18" a="1"/>
  <c r="Q185" i="18" s="1"/>
  <c r="R185" i="18" s="1"/>
  <c r="Q186" i="18" a="1"/>
  <c r="Q186" i="18" s="1"/>
  <c r="R186" i="18" s="1"/>
  <c r="Q187" i="18" a="1"/>
  <c r="Q187" i="18"/>
  <c r="R187" i="18" s="1"/>
  <c r="Q188" i="18" a="1"/>
  <c r="Q188" i="18" s="1"/>
  <c r="R188" i="18" s="1"/>
  <c r="Q189" i="18" a="1"/>
  <c r="Q189" i="18" s="1"/>
  <c r="R189" i="18" s="1"/>
  <c r="Q190" i="18" a="1"/>
  <c r="Q190" i="18" s="1"/>
  <c r="Q191" i="18" a="1"/>
  <c r="Q191" i="18" s="1"/>
  <c r="Q192" i="18" a="1"/>
  <c r="Q192" i="18" s="1"/>
  <c r="R192" i="18" s="1"/>
  <c r="Q193" i="18" a="1"/>
  <c r="Q193" i="18" s="1"/>
  <c r="R193" i="18" s="1"/>
  <c r="Q194" i="18" a="1"/>
  <c r="Q194" i="18" s="1"/>
  <c r="R194" i="18" s="1"/>
  <c r="Q195" i="18" a="1"/>
  <c r="Q195" i="18" s="1"/>
  <c r="R195" i="18" s="1"/>
  <c r="Q196" i="18" a="1"/>
  <c r="Q196" i="18" s="1"/>
  <c r="Q197" i="18" a="1"/>
  <c r="Q197" i="18"/>
  <c r="R197" i="18" s="1"/>
  <c r="Q198" i="18" a="1"/>
  <c r="Q198" i="18" s="1"/>
  <c r="R198" i="18" s="1"/>
  <c r="Q199" i="18" a="1"/>
  <c r="Q199" i="18" s="1"/>
  <c r="Q200" i="18" a="1"/>
  <c r="Q200" i="18" s="1"/>
  <c r="R200" i="18" s="1"/>
  <c r="Q201" i="18" a="1"/>
  <c r="Q201" i="18"/>
  <c r="R201" i="18" s="1"/>
  <c r="Q202" i="18" a="1"/>
  <c r="Q202" i="18" s="1"/>
  <c r="R202" i="18" s="1"/>
  <c r="Q203" i="18" a="1"/>
  <c r="Q203" i="18" s="1"/>
  <c r="R203" i="18" s="1"/>
  <c r="Q204" i="18" a="1"/>
  <c r="Q204" i="18"/>
  <c r="Q205" i="18" a="1"/>
  <c r="Q205" i="18"/>
  <c r="R205" i="18" s="1"/>
  <c r="Q206" i="18" a="1"/>
  <c r="Q206" i="18" s="1"/>
  <c r="R206" i="18" s="1"/>
  <c r="Q207" i="18" a="1"/>
  <c r="Q207" i="18" s="1"/>
  <c r="Q208" i="18" a="1"/>
  <c r="Q208" i="18" s="1"/>
  <c r="R208" i="18" s="1"/>
  <c r="Q209" i="18" a="1"/>
  <c r="Q209" i="18" s="1"/>
  <c r="R209" i="18" s="1"/>
  <c r="Q210" i="18" a="1"/>
  <c r="Q210" i="18" s="1"/>
  <c r="R210" i="18" s="1"/>
  <c r="Q211" i="18" a="1"/>
  <c r="Q211" i="18" s="1"/>
  <c r="Q212" i="18" a="1"/>
  <c r="Q212" i="18" s="1"/>
  <c r="Q213" i="18" a="1"/>
  <c r="Q213" i="18"/>
  <c r="R213" i="18" s="1"/>
  <c r="Q214" i="18" a="1"/>
  <c r="Q214" i="18" s="1"/>
  <c r="R214" i="18" s="1"/>
  <c r="Q215" i="18" a="1"/>
  <c r="Q215" i="18" s="1"/>
  <c r="R215" i="18" s="1"/>
  <c r="Q216" i="18" a="1"/>
  <c r="Q216" i="18" s="1"/>
  <c r="Q217" i="18" a="1"/>
  <c r="Q217" i="18" s="1"/>
  <c r="R217" i="18" s="1"/>
  <c r="Q218" i="18" a="1"/>
  <c r="Q218" i="18" s="1"/>
  <c r="R218" i="18" s="1"/>
  <c r="Q219" i="18" a="1"/>
  <c r="Q219" i="18" s="1"/>
  <c r="Q220" i="18" a="1"/>
  <c r="Q220" i="18" s="1"/>
  <c r="Q221" i="18" a="1"/>
  <c r="Q221" i="18" s="1"/>
  <c r="R221" i="18" s="1"/>
  <c r="Q222" i="18" a="1"/>
  <c r="Q222" i="18"/>
  <c r="R222" i="18" s="1"/>
  <c r="Q223" i="18" a="1"/>
  <c r="Q223" i="18" s="1"/>
  <c r="R223" i="18" s="1"/>
  <c r="Q224" i="18" a="1"/>
  <c r="Q224" i="18" s="1"/>
  <c r="Q225" i="18" a="1"/>
  <c r="Q225" i="18" s="1"/>
  <c r="Q226" i="18" a="1"/>
  <c r="Q226" i="18" s="1"/>
  <c r="R226" i="18" s="1"/>
  <c r="Q227" i="18" a="1"/>
  <c r="Q227" i="18"/>
  <c r="R227" i="18" s="1"/>
  <c r="Q228" i="18" a="1"/>
  <c r="Q228" i="18"/>
  <c r="R228" i="18" s="1"/>
  <c r="Q229" i="18" a="1"/>
  <c r="Q229" i="18" s="1"/>
  <c r="R229" i="18" s="1"/>
  <c r="Q230" i="18" a="1"/>
  <c r="Q230" i="18" s="1"/>
  <c r="R230" i="18" s="1"/>
  <c r="Q231" i="18" a="1"/>
  <c r="Q231" i="18"/>
  <c r="R231" i="18" s="1"/>
  <c r="Q232" i="18" a="1"/>
  <c r="Q232" i="18" s="1"/>
  <c r="Q233" i="18" a="1"/>
  <c r="Q233" i="18" s="1"/>
  <c r="R233" i="18" s="1"/>
  <c r="Q234" i="18" a="1"/>
  <c r="Q234" i="18"/>
  <c r="R234" i="18" s="1"/>
  <c r="Q235" i="18" a="1"/>
  <c r="Q235" i="18" s="1"/>
  <c r="R235" i="18" s="1"/>
  <c r="Q236" i="18" a="1"/>
  <c r="Q236" i="18" s="1"/>
  <c r="R236" i="18" s="1"/>
  <c r="Q237" i="18" a="1"/>
  <c r="Q237" i="18" s="1"/>
  <c r="R237" i="18" s="1"/>
  <c r="Q238" i="18" a="1"/>
  <c r="Q238" i="18" s="1"/>
  <c r="R238" i="18" s="1"/>
  <c r="Q239" i="18" a="1"/>
  <c r="Q239" i="18" s="1"/>
  <c r="R239" i="18" s="1"/>
  <c r="Q240" i="18" a="1"/>
  <c r="Q240" i="18" s="1"/>
  <c r="Q241" i="18" a="1"/>
  <c r="Q241" i="18" s="1"/>
  <c r="R241" i="18" s="1"/>
  <c r="Q242" i="18" a="1"/>
  <c r="Q242" i="18" s="1"/>
  <c r="Q243" i="18" a="1"/>
  <c r="Q243" i="18"/>
  <c r="R243" i="18" s="1"/>
  <c r="Q244" i="18" a="1"/>
  <c r="Q244" i="18" s="1"/>
  <c r="R244" i="18" s="1"/>
  <c r="Q245" i="18" a="1"/>
  <c r="Q245" i="18" s="1"/>
  <c r="R245" i="18" s="1"/>
  <c r="Q246" i="18" a="1"/>
  <c r="Q246" i="18" s="1"/>
  <c r="R246" i="18" s="1"/>
  <c r="Q247" i="18" a="1"/>
  <c r="Q247" i="18" s="1"/>
  <c r="R247" i="18" s="1"/>
  <c r="Q248" i="18" a="1"/>
  <c r="Q248" i="18" s="1"/>
  <c r="R248" i="18" s="1"/>
  <c r="Q249" i="18" a="1"/>
  <c r="Q249" i="18"/>
  <c r="R249" i="18" s="1"/>
  <c r="Q250" i="18" a="1"/>
  <c r="Q250" i="18" s="1"/>
  <c r="R250" i="18" s="1"/>
  <c r="Q251" i="18" a="1"/>
  <c r="Q251" i="18" s="1"/>
  <c r="R251" i="18" s="1"/>
  <c r="Q252" i="18" a="1"/>
  <c r="Q252" i="18"/>
  <c r="R252" i="18" s="1"/>
  <c r="Q253" i="18" a="1"/>
  <c r="Q253" i="18"/>
  <c r="R253" i="18" s="1"/>
  <c r="Q254" i="18" a="1"/>
  <c r="Q254" i="18"/>
  <c r="Q255" i="18" a="1"/>
  <c r="Q255" i="18" s="1"/>
  <c r="R255" i="18" s="1"/>
  <c r="Q256" i="18" a="1"/>
  <c r="Q256" i="18" s="1"/>
  <c r="R256" i="18" s="1"/>
  <c r="Q257" i="18" a="1"/>
  <c r="Q257" i="18" s="1"/>
  <c r="Q258" i="18" a="1"/>
  <c r="Q258" i="18" s="1"/>
  <c r="R258" i="18" s="1"/>
  <c r="Q259" i="18" a="1"/>
  <c r="Q259" i="18" s="1"/>
  <c r="Q260" i="18" a="1"/>
  <c r="Q260" i="18" s="1"/>
  <c r="R260" i="18" s="1"/>
  <c r="Q261" i="18" a="1"/>
  <c r="Q261" i="18" s="1"/>
  <c r="Q262" i="18" a="1"/>
  <c r="Q262" i="18" s="1"/>
  <c r="R262" i="18" s="1"/>
  <c r="Q263" i="18" a="1"/>
  <c r="Q263" i="18" s="1"/>
  <c r="R263" i="18" s="1"/>
  <c r="Q264" i="18" a="1"/>
  <c r="Q264" i="18" s="1"/>
  <c r="Q265" i="18" a="1"/>
  <c r="Q265" i="18"/>
  <c r="R265" i="18" s="1"/>
  <c r="Q266" i="18" a="1"/>
  <c r="Q266" i="18" s="1"/>
  <c r="R266" i="18" s="1"/>
  <c r="Q267" i="18" a="1"/>
  <c r="Q267" i="18"/>
  <c r="R267" i="18" s="1"/>
  <c r="Q268" i="18" a="1"/>
  <c r="Q268" i="18" s="1"/>
  <c r="R268" i="18" s="1"/>
  <c r="Q269" i="18" a="1"/>
  <c r="Q269" i="18"/>
  <c r="R269" i="18" s="1"/>
  <c r="Q270" i="18" a="1"/>
  <c r="Q270" i="18" s="1"/>
  <c r="R270" i="18" s="1"/>
  <c r="Q271" i="18" a="1"/>
  <c r="Q271" i="18" s="1"/>
  <c r="Q272" i="18" a="1"/>
  <c r="Q272" i="18" s="1"/>
  <c r="R272" i="18" s="1"/>
  <c r="Q273" i="18" a="1"/>
  <c r="Q273" i="18" s="1"/>
  <c r="R273" i="18" s="1"/>
  <c r="Q274" i="18" a="1"/>
  <c r="Q274" i="18" s="1"/>
  <c r="Q275" i="18" a="1"/>
  <c r="Q275" i="18" s="1"/>
  <c r="Q276" i="18" a="1"/>
  <c r="Q276" i="18" s="1"/>
  <c r="R276" i="18" s="1"/>
  <c r="Q277" i="18" a="1"/>
  <c r="Q277" i="18" s="1"/>
  <c r="R277" i="18" s="1"/>
  <c r="Q278" i="18" a="1"/>
  <c r="Q278" i="18"/>
  <c r="R278" i="18" s="1"/>
  <c r="Q279" i="18" a="1"/>
  <c r="Q279" i="18"/>
  <c r="Q280" i="18" a="1"/>
  <c r="Q280" i="18" s="1"/>
  <c r="R280" i="18" s="1"/>
  <c r="Q281" i="18" a="1"/>
  <c r="Q281" i="18" s="1"/>
  <c r="R281" i="18" s="1"/>
  <c r="Q282" i="18" a="1"/>
  <c r="Q282" i="18" s="1"/>
  <c r="R282" i="18" s="1"/>
  <c r="Q283" i="18" a="1"/>
  <c r="Q283" i="18"/>
  <c r="R283" i="18" s="1"/>
  <c r="Q284" i="18" a="1"/>
  <c r="Q284" i="18" s="1"/>
  <c r="R284" i="18" s="1"/>
  <c r="Q285" i="18" a="1"/>
  <c r="Q285" i="18" s="1"/>
  <c r="Q286" i="18" a="1"/>
  <c r="Q286" i="18" s="1"/>
  <c r="R286" i="18" s="1"/>
  <c r="Q287" i="18" a="1"/>
  <c r="Q287" i="18" s="1"/>
  <c r="R287" i="18" s="1"/>
  <c r="Q288" i="18" a="1"/>
  <c r="Q288" i="18" s="1"/>
  <c r="Q289" i="18" a="1"/>
  <c r="Q289" i="18" s="1"/>
  <c r="R289" i="18" s="1"/>
  <c r="Q290" i="18" a="1"/>
  <c r="Q290" i="18" s="1"/>
  <c r="R290" i="18" s="1"/>
  <c r="Q291" i="18" a="1"/>
  <c r="Q291" i="18" s="1"/>
  <c r="Q292" i="18" a="1"/>
  <c r="Q292" i="18" s="1"/>
  <c r="R292" i="18" s="1"/>
  <c r="Q293" i="18" a="1"/>
  <c r="Q293" i="18" s="1"/>
  <c r="R293" i="18" s="1"/>
  <c r="Q294" i="18" a="1"/>
  <c r="Q294" i="18" s="1"/>
  <c r="Q295" i="18" a="1"/>
  <c r="Q295" i="18" s="1"/>
  <c r="Q296" i="18" a="1"/>
  <c r="Q296" i="18" s="1"/>
  <c r="R296" i="18" s="1"/>
  <c r="Q297" i="18" a="1"/>
  <c r="Q297" i="18" s="1"/>
  <c r="R297" i="18" s="1"/>
  <c r="Q298" i="18" a="1"/>
  <c r="Q298" i="18" s="1"/>
  <c r="Q299" i="18" a="1"/>
  <c r="Q299" i="18"/>
  <c r="R299" i="18" s="1"/>
  <c r="Q300" i="18" a="1"/>
  <c r="Q300" i="18"/>
  <c r="Q301" i="18" a="1"/>
  <c r="Q301" i="18" s="1"/>
  <c r="R301" i="18" s="1"/>
  <c r="Q302" i="18" a="1"/>
  <c r="Q302" i="18" s="1"/>
  <c r="R302" i="18" s="1"/>
  <c r="Q303" i="18" a="1"/>
  <c r="Q303" i="18" s="1"/>
  <c r="Q304" i="18" a="1"/>
  <c r="Q304" i="18" s="1"/>
  <c r="Q305" i="18" a="1"/>
  <c r="Q305" i="18" s="1"/>
  <c r="R305" i="18" s="1"/>
  <c r="Q306" i="18" a="1"/>
  <c r="Q306" i="18" s="1"/>
  <c r="R306" i="18" s="1"/>
  <c r="Q307" i="18" a="1"/>
  <c r="Q307" i="18"/>
  <c r="R307" i="18" s="1"/>
  <c r="Q308" i="18" a="1"/>
  <c r="Q308" i="18"/>
  <c r="Q309" i="18" a="1"/>
  <c r="Q309" i="18" s="1"/>
  <c r="R309" i="18" s="1"/>
  <c r="Q310" i="18" a="1"/>
  <c r="Q310" i="18" s="1"/>
  <c r="Q311" i="18" a="1"/>
  <c r="Q311" i="18"/>
  <c r="Q312" i="18" a="1"/>
  <c r="Q312" i="18" s="1"/>
  <c r="R312" i="18" s="1"/>
  <c r="Q313" i="18" a="1"/>
  <c r="Q313" i="18" s="1"/>
  <c r="R313" i="18" s="1"/>
  <c r="Q314" i="18" a="1"/>
  <c r="Q314" i="18" s="1"/>
  <c r="R314" i="18" s="1"/>
  <c r="Q315" i="18" a="1"/>
  <c r="Q315" i="18" s="1"/>
  <c r="Q316" i="18" a="1"/>
  <c r="Q316" i="18" s="1"/>
  <c r="Q317" i="18" a="1"/>
  <c r="Q317" i="18" s="1"/>
  <c r="R317" i="18" s="1"/>
  <c r="Q318" i="18" a="1"/>
  <c r="Q318" i="18" s="1"/>
  <c r="Q319" i="18" a="1"/>
  <c r="Q319" i="18"/>
  <c r="R319" i="18" s="1"/>
  <c r="Q320" i="18" a="1"/>
  <c r="Q320" i="18" s="1"/>
  <c r="Q321" i="18" a="1"/>
  <c r="Q321" i="18"/>
  <c r="R321" i="18" s="1"/>
  <c r="Q322" i="18" a="1"/>
  <c r="Q322" i="18" s="1"/>
  <c r="R322" i="18" s="1"/>
  <c r="Q323" i="18" a="1"/>
  <c r="Q323" i="18"/>
  <c r="Q324" i="18" a="1"/>
  <c r="Q324" i="18"/>
  <c r="R324" i="18" s="1"/>
  <c r="Q325" i="18" a="1"/>
  <c r="Q325" i="18" s="1"/>
  <c r="R325" i="18" s="1"/>
  <c r="Q326" i="18" a="1"/>
  <c r="Q326" i="18"/>
  <c r="Q327" i="18" a="1"/>
  <c r="Q327" i="18" s="1"/>
  <c r="Q328" i="18" a="1"/>
  <c r="Q328" i="18" s="1"/>
  <c r="Q329" i="18" a="1"/>
  <c r="Q329" i="18"/>
  <c r="R329" i="18" s="1"/>
  <c r="Q330" i="18" a="1"/>
  <c r="Q330" i="18" s="1"/>
  <c r="Q331" i="18" a="1"/>
  <c r="Q331" i="18" s="1"/>
  <c r="R331" i="18" s="1"/>
  <c r="Q332" i="18" a="1"/>
  <c r="Q332" i="18" s="1"/>
  <c r="Q333" i="18" a="1"/>
  <c r="Q333" i="18" s="1"/>
  <c r="R333" i="18" s="1"/>
  <c r="Q334" i="18" a="1"/>
  <c r="Q334" i="18" s="1"/>
  <c r="R334" i="18" s="1"/>
  <c r="Q335" i="18" a="1"/>
  <c r="Q335" i="18" s="1"/>
  <c r="Q336" i="18" a="1"/>
  <c r="Q336" i="18" s="1"/>
  <c r="R336" i="18" s="1"/>
  <c r="Q337" i="18" a="1"/>
  <c r="Q337" i="18" s="1"/>
  <c r="R337" i="18" s="1"/>
  <c r="Q338" i="18" a="1"/>
  <c r="Q338" i="18"/>
  <c r="R338" i="18" s="1"/>
  <c r="Q339" i="18" a="1"/>
  <c r="Q339" i="18" s="1"/>
  <c r="Q340" i="18" a="1"/>
  <c r="Q340" i="18" s="1"/>
  <c r="Q341" i="18" a="1"/>
  <c r="Q341" i="18"/>
  <c r="R341" i="18" s="1"/>
  <c r="Q342" i="18" a="1"/>
  <c r="Q342" i="18" s="1"/>
  <c r="R342" i="18" s="1"/>
  <c r="Q343" i="18" a="1"/>
  <c r="Q343" i="18" s="1"/>
  <c r="Q344" i="18" a="1"/>
  <c r="Q344" i="18" s="1"/>
  <c r="R344" i="18" s="1"/>
  <c r="Q345" i="18" a="1"/>
  <c r="Q345" i="18"/>
  <c r="Q346" i="18" a="1"/>
  <c r="Q346" i="18" s="1"/>
  <c r="R346" i="18" s="1"/>
  <c r="Q347" i="18" a="1"/>
  <c r="Q347" i="18" s="1"/>
  <c r="Q348" i="18" a="1"/>
  <c r="Q348" i="18" s="1"/>
  <c r="R348" i="18" s="1"/>
  <c r="Q349" i="18" a="1"/>
  <c r="Q349" i="18" s="1"/>
  <c r="R349" i="18" s="1"/>
  <c r="Q350" i="18" a="1"/>
  <c r="Q350" i="18" s="1"/>
  <c r="R350" i="18" s="1"/>
  <c r="Q351" i="18" a="1"/>
  <c r="Q351" i="18" s="1"/>
  <c r="Q352" i="18" a="1"/>
  <c r="Q352" i="18" s="1"/>
  <c r="Q353" i="18" a="1"/>
  <c r="Q353" i="18" s="1"/>
  <c r="R353" i="18" s="1"/>
  <c r="Q354" i="18" a="1"/>
  <c r="Q354" i="18" s="1"/>
  <c r="R354" i="18" s="1"/>
  <c r="Q355" i="18" a="1"/>
  <c r="Q355" i="18" s="1"/>
  <c r="R355" i="18" s="1"/>
  <c r="Q356" i="18" a="1"/>
  <c r="Q356" i="18" s="1"/>
  <c r="Q357" i="18" a="1"/>
  <c r="Q357" i="18" s="1"/>
  <c r="R357" i="18" s="1"/>
  <c r="Q358" i="18" a="1"/>
  <c r="Q358" i="18" s="1"/>
  <c r="R358" i="18" s="1"/>
  <c r="Q359" i="18" a="1"/>
  <c r="Q359" i="18" s="1"/>
  <c r="Q360" i="18" a="1"/>
  <c r="Q360" i="18" s="1"/>
  <c r="R360" i="18" s="1"/>
  <c r="Q361" i="18" a="1"/>
  <c r="Q361" i="18" s="1"/>
  <c r="R361" i="18" s="1"/>
  <c r="Q362" i="18" a="1"/>
  <c r="Q362" i="18" s="1"/>
  <c r="R362" i="18" s="1"/>
  <c r="Q363" i="18" a="1"/>
  <c r="Q363" i="18"/>
  <c r="R363" i="18" s="1"/>
  <c r="Q364" i="18" a="1"/>
  <c r="Q364" i="18" s="1"/>
  <c r="R364" i="18" s="1"/>
  <c r="Q365" i="18" a="1"/>
  <c r="Q365" i="18" s="1"/>
  <c r="R365" i="18" s="1"/>
  <c r="Q366" i="18" a="1"/>
  <c r="Q366" i="18" s="1"/>
  <c r="Q367" i="18" a="1"/>
  <c r="Q367" i="18" s="1"/>
  <c r="R367" i="18" s="1"/>
  <c r="Q368" i="18" a="1"/>
  <c r="Q368" i="18" s="1"/>
  <c r="R368" i="18" s="1"/>
  <c r="Q369" i="18" a="1"/>
  <c r="Q369" i="18" s="1"/>
  <c r="R369" i="18" s="1"/>
  <c r="Q370" i="18" a="1"/>
  <c r="Q370" i="18" s="1"/>
  <c r="Q371" i="18" a="1"/>
  <c r="Q371" i="18"/>
  <c r="Q372" i="18" a="1"/>
  <c r="Q372" i="18" s="1"/>
  <c r="R372" i="18" s="1"/>
  <c r="Q373" i="18" a="1"/>
  <c r="Q373" i="18" s="1"/>
  <c r="R373" i="18" s="1"/>
  <c r="Q374" i="18" a="1"/>
  <c r="Q374" i="18" s="1"/>
  <c r="Q375" i="18" a="1"/>
  <c r="Q375" i="18"/>
  <c r="R375" i="18" s="1"/>
  <c r="Q376" i="18" a="1"/>
  <c r="Q376" i="18" s="1"/>
  <c r="Q377" i="18" a="1"/>
  <c r="Q377" i="18" s="1"/>
  <c r="R377" i="18" s="1"/>
  <c r="Q378" i="18" a="1"/>
  <c r="Q378" i="18"/>
  <c r="R378" i="18" s="1"/>
  <c r="Q379" i="18" a="1"/>
  <c r="Q379" i="18"/>
  <c r="R379" i="18" s="1"/>
  <c r="Q380" i="18" a="1"/>
  <c r="Q380" i="18"/>
  <c r="R380" i="18" s="1"/>
  <c r="Q381" i="18" a="1"/>
  <c r="Q381" i="18" s="1"/>
  <c r="R381" i="18" s="1"/>
  <c r="Q382" i="18" a="1"/>
  <c r="Q382" i="18" s="1"/>
  <c r="Q383" i="18" a="1"/>
  <c r="Q383" i="18" s="1"/>
  <c r="R383" i="18" s="1"/>
  <c r="Q384" i="18" a="1"/>
  <c r="Q384" i="18" s="1"/>
  <c r="R384" i="18" s="1"/>
  <c r="Q385" i="18" a="1"/>
  <c r="Q385" i="18" s="1"/>
  <c r="R385" i="18" s="1"/>
  <c r="Q386" i="18" a="1"/>
  <c r="Q386" i="18" s="1"/>
  <c r="Q387" i="18" a="1"/>
  <c r="Q387" i="18" s="1"/>
  <c r="Q388" i="18" a="1"/>
  <c r="Q388" i="18" s="1"/>
  <c r="Q389" i="18" a="1"/>
  <c r="Q389" i="18" s="1"/>
  <c r="R389" i="18" s="1"/>
  <c r="Q390" i="18" a="1"/>
  <c r="Q390" i="18" s="1"/>
  <c r="R390" i="18" s="1"/>
  <c r="Q391" i="18" a="1"/>
  <c r="Q391" i="18" s="1"/>
  <c r="Q392" i="18" a="1"/>
  <c r="Q392" i="18" s="1"/>
  <c r="Q393" i="18" a="1"/>
  <c r="Q393" i="18" s="1"/>
  <c r="R393" i="18" s="1"/>
  <c r="Q394" i="18" a="1"/>
  <c r="Q394" i="18" s="1"/>
  <c r="Q395" i="18" a="1"/>
  <c r="Q395" i="18" s="1"/>
  <c r="R395" i="18" s="1"/>
  <c r="Q396" i="18" a="1"/>
  <c r="Q396" i="18"/>
  <c r="R396" i="18" s="1"/>
  <c r="Q397" i="18" a="1"/>
  <c r="Q397" i="18" s="1"/>
  <c r="R397" i="18" s="1"/>
  <c r="Q398" i="18" a="1"/>
  <c r="Q398" i="18" s="1"/>
  <c r="R398" i="18" s="1"/>
  <c r="Q399" i="18" a="1"/>
  <c r="Q399" i="18" s="1"/>
  <c r="R399" i="18" s="1"/>
  <c r="Q400" i="18" a="1"/>
  <c r="Q400" i="18" s="1"/>
  <c r="Q401" i="18" a="1"/>
  <c r="Q401" i="18" s="1"/>
  <c r="R401" i="18" s="1"/>
  <c r="Q402" i="18" a="1"/>
  <c r="Q402" i="18" s="1"/>
  <c r="R402" i="18" s="1"/>
  <c r="Q403" i="18" a="1"/>
  <c r="Q403" i="18" s="1"/>
  <c r="R403" i="18" s="1"/>
  <c r="Q404" i="18" a="1"/>
  <c r="Q404" i="18" s="1"/>
  <c r="Q405" i="18" a="1"/>
  <c r="Q405" i="18" s="1"/>
  <c r="R405" i="18" s="1"/>
  <c r="Q406" i="18" a="1"/>
  <c r="Q406" i="18" s="1"/>
  <c r="Q407" i="18" a="1"/>
  <c r="Q407" i="18" s="1"/>
  <c r="Q408" i="18" a="1"/>
  <c r="Q408" i="18" s="1"/>
  <c r="Q409" i="18" a="1"/>
  <c r="Q409" i="18"/>
  <c r="R409" i="18" s="1"/>
  <c r="Q410" i="18" a="1"/>
  <c r="Q410" i="18" s="1"/>
  <c r="R410" i="18" s="1"/>
  <c r="Q411" i="18" a="1"/>
  <c r="Q411" i="18"/>
  <c r="Q412" i="18" a="1"/>
  <c r="Q412" i="18" s="1"/>
  <c r="R412" i="18" s="1"/>
  <c r="Q413" i="18" a="1"/>
  <c r="Q413" i="18"/>
  <c r="R413" i="18" s="1"/>
  <c r="Q414" i="18" a="1"/>
  <c r="Q414" i="18" s="1"/>
  <c r="Q415" i="18" a="1"/>
  <c r="Q415" i="18" s="1"/>
  <c r="R415" i="18" s="1"/>
  <c r="Q416" i="18" a="1"/>
  <c r="Q416" i="18" s="1"/>
  <c r="R416" i="18" s="1"/>
  <c r="Q417" i="18" a="1"/>
  <c r="Q417" i="18" s="1"/>
  <c r="R417" i="18" s="1"/>
  <c r="Q418" i="18" a="1"/>
  <c r="Q418" i="18" s="1"/>
  <c r="R418" i="18" s="1"/>
  <c r="Q419" i="18" a="1"/>
  <c r="Q419" i="18" s="1"/>
  <c r="R419" i="18" s="1"/>
  <c r="Q420" i="18" a="1"/>
  <c r="Q420" i="18"/>
  <c r="R420" i="18" s="1"/>
  <c r="Q421" i="18" a="1"/>
  <c r="Q421" i="18" s="1"/>
  <c r="R421" i="18" s="1"/>
  <c r="Q422" i="18" a="1"/>
  <c r="Q422" i="18" s="1"/>
  <c r="R422" i="18" s="1"/>
  <c r="Q423" i="18" a="1"/>
  <c r="Q423" i="18"/>
  <c r="R423" i="18" s="1"/>
  <c r="Q424" i="18" a="1"/>
  <c r="Q424" i="18" s="1"/>
  <c r="Q425" i="18" a="1"/>
  <c r="Q425" i="18"/>
  <c r="R425" i="18" s="1"/>
  <c r="Q426" i="18" a="1"/>
  <c r="Q426" i="18" s="1"/>
  <c r="Q427" i="18" a="1"/>
  <c r="Q427" i="18" s="1"/>
  <c r="R427" i="18" s="1"/>
  <c r="Q428" i="18" a="1"/>
  <c r="Q428" i="18" s="1"/>
  <c r="Q429" i="18" a="1"/>
  <c r="Q429" i="18"/>
  <c r="R429" i="18" s="1"/>
  <c r="Q430" i="18" a="1"/>
  <c r="Q430" i="18" s="1"/>
  <c r="Q431" i="18" a="1"/>
  <c r="Q431" i="18"/>
  <c r="R431" i="18" s="1"/>
  <c r="Q432" i="18" a="1"/>
  <c r="Q432" i="18" s="1"/>
  <c r="R432" i="18" s="1"/>
  <c r="Q433" i="18" a="1"/>
  <c r="Q433" i="18" s="1"/>
  <c r="R433" i="18" s="1"/>
  <c r="Q434" i="18" a="1"/>
  <c r="Q434" i="18" s="1"/>
  <c r="Q435" i="18" a="1"/>
  <c r="Q435" i="18"/>
  <c r="Q436" i="18" a="1"/>
  <c r="Q436" i="18" s="1"/>
  <c r="Q437" i="18" a="1"/>
  <c r="Q437" i="18" s="1"/>
  <c r="R437" i="18" s="1"/>
  <c r="Q438" i="18" a="1"/>
  <c r="Q438" i="18" s="1"/>
  <c r="R438" i="18" s="1"/>
  <c r="Q439" i="18" a="1"/>
  <c r="Q439" i="18" s="1"/>
  <c r="Q440" i="18" a="1"/>
  <c r="Q440" i="18" s="1"/>
  <c r="R440" i="18" s="1"/>
  <c r="Q441" i="18" a="1"/>
  <c r="Q441" i="18" s="1"/>
  <c r="R441" i="18" s="1"/>
  <c r="Q442" i="18" a="1"/>
  <c r="Q442" i="18" s="1"/>
  <c r="Q443" i="18" a="1"/>
  <c r="Q443" i="18" s="1"/>
  <c r="Q444" i="18" a="1"/>
  <c r="Q444" i="18" s="1"/>
  <c r="R444" i="18" s="1"/>
  <c r="Q445" i="18" a="1"/>
  <c r="Q445" i="18" s="1"/>
  <c r="R445" i="18" s="1"/>
  <c r="Q446" i="18" a="1"/>
  <c r="Q446" i="18" s="1"/>
  <c r="R446" i="18" s="1"/>
  <c r="Q447" i="18" a="1"/>
  <c r="Q447" i="18" s="1"/>
  <c r="Q448" i="18" a="1"/>
  <c r="Q448" i="18" s="1"/>
  <c r="R448" i="18" s="1"/>
  <c r="Q449" i="18" a="1"/>
  <c r="Q449" i="18" s="1"/>
  <c r="R449" i="18" s="1"/>
  <c r="Q450" i="18" a="1"/>
  <c r="Q450" i="18" s="1"/>
  <c r="R450" i="18" s="1"/>
  <c r="Q451" i="18" a="1"/>
  <c r="Q451" i="18" s="1"/>
  <c r="R451" i="18" s="1"/>
  <c r="Q452" i="18" a="1"/>
  <c r="Q452" i="18"/>
  <c r="Q453" i="18" a="1"/>
  <c r="Q453" i="18" s="1"/>
  <c r="R453" i="18" s="1"/>
  <c r="Q454" i="18" a="1"/>
  <c r="Q454" i="18" s="1"/>
  <c r="R454" i="18" s="1"/>
  <c r="Q455" i="18" a="1"/>
  <c r="Q455" i="18" s="1"/>
  <c r="R455" i="18" s="1"/>
  <c r="Q456" i="18" a="1"/>
  <c r="Q456" i="18"/>
  <c r="Q457" i="18" a="1"/>
  <c r="Q457" i="18" s="1"/>
  <c r="R457" i="18" s="1"/>
  <c r="Q458" i="18" a="1"/>
  <c r="Q458" i="18" s="1"/>
  <c r="R458" i="18" s="1"/>
  <c r="Q459" i="18" a="1"/>
  <c r="Q459" i="18" s="1"/>
  <c r="R459" i="18" s="1"/>
  <c r="Q460" i="18" a="1"/>
  <c r="Q460" i="18" s="1"/>
  <c r="R460" i="18" s="1"/>
  <c r="Q461" i="18" a="1"/>
  <c r="Q461" i="18" s="1"/>
  <c r="Q462" i="18" a="1"/>
  <c r="Q462" i="18"/>
  <c r="Q463" i="18" a="1"/>
  <c r="Q463" i="18" s="1"/>
  <c r="R463" i="18" s="1"/>
  <c r="Q464" i="18" a="1"/>
  <c r="Q464" i="18" s="1"/>
  <c r="R464" i="18" s="1"/>
  <c r="Q465" i="18" a="1"/>
  <c r="Q465" i="18" s="1"/>
  <c r="Q466" i="18" a="1"/>
  <c r="Q466" i="18" s="1"/>
  <c r="R466" i="18" s="1"/>
  <c r="Q467" i="18" a="1"/>
  <c r="Q467" i="18" s="1"/>
  <c r="R467" i="18" s="1"/>
  <c r="Q468" i="18" a="1"/>
  <c r="Q468" i="18" s="1"/>
  <c r="R468" i="18" s="1"/>
  <c r="Q469" i="18" a="1"/>
  <c r="Q469" i="18" s="1"/>
  <c r="R469" i="18" s="1"/>
  <c r="Q470" i="18" a="1"/>
  <c r="Q470" i="18"/>
  <c r="Q471" i="18" a="1"/>
  <c r="Q471" i="18" s="1"/>
  <c r="R471" i="18" s="1"/>
  <c r="Q472" i="18" a="1"/>
  <c r="Q472" i="18" s="1"/>
  <c r="Q473" i="18" a="1"/>
  <c r="Q473" i="18" s="1"/>
  <c r="R473" i="18" s="1"/>
  <c r="Q474" i="18" a="1"/>
  <c r="Q474" i="18" s="1"/>
  <c r="Q475" i="18" a="1"/>
  <c r="Q475" i="18" s="1"/>
  <c r="R475" i="18" s="1"/>
  <c r="Q476" i="18" a="1"/>
  <c r="Q476" i="18" s="1"/>
  <c r="R476" i="18" s="1"/>
  <c r="Q477" i="18" a="1"/>
  <c r="Q477" i="18"/>
  <c r="R477" i="18" s="1"/>
  <c r="Q478" i="18" a="1"/>
  <c r="Q478" i="18" s="1"/>
  <c r="Q479" i="18" a="1"/>
  <c r="Q479" i="18" s="1"/>
  <c r="R479" i="18" s="1"/>
  <c r="Q480" i="18" a="1"/>
  <c r="Q480" i="18" s="1"/>
  <c r="R480" i="18" s="1"/>
  <c r="Q481" i="18" a="1"/>
  <c r="Q481" i="18"/>
  <c r="R481" i="18" s="1"/>
  <c r="Q482" i="18" a="1"/>
  <c r="Q482" i="18" s="1"/>
  <c r="R482" i="18" s="1"/>
  <c r="Q483" i="18" a="1"/>
  <c r="Q483" i="18" s="1"/>
  <c r="Q484" i="18" a="1"/>
  <c r="Q484" i="18" s="1"/>
  <c r="R484" i="18" s="1"/>
  <c r="Q485" i="18" a="1"/>
  <c r="Q485" i="18" s="1"/>
  <c r="R485" i="18" s="1"/>
  <c r="Q486" i="18" a="1"/>
  <c r="Q486" i="18" s="1"/>
  <c r="R486" i="18" s="1"/>
  <c r="Q487" i="18" a="1"/>
  <c r="Q487" i="18" s="1"/>
  <c r="Q488" i="18" a="1"/>
  <c r="Q488" i="18" s="1"/>
  <c r="R488" i="18" s="1"/>
  <c r="Q489" i="18" a="1"/>
  <c r="Q489" i="18"/>
  <c r="Q490" i="18" a="1"/>
  <c r="Q490" i="18" s="1"/>
  <c r="Q491" i="18" a="1"/>
  <c r="Q491" i="18"/>
  <c r="Q492" i="18" a="1"/>
  <c r="Q492" i="18" s="1"/>
  <c r="R492" i="18" s="1"/>
  <c r="Q493" i="18" a="1"/>
  <c r="Q493" i="18" s="1"/>
  <c r="R493" i="18" s="1"/>
  <c r="Q494" i="18" a="1"/>
  <c r="Q494" i="18"/>
  <c r="R494" i="18" s="1"/>
  <c r="Q495" i="18" a="1"/>
  <c r="Q495" i="18" s="1"/>
  <c r="Q496" i="18" a="1"/>
  <c r="Q496" i="18" s="1"/>
  <c r="R496" i="18" s="1"/>
  <c r="Q497" i="18" a="1"/>
  <c r="Q497" i="18" s="1"/>
  <c r="R497" i="18" s="1"/>
  <c r="Q498" i="18" a="1"/>
  <c r="Q498" i="18" s="1"/>
  <c r="R498" i="18" s="1"/>
  <c r="Q499" i="18" a="1"/>
  <c r="Q499" i="18" s="1"/>
  <c r="R499" i="18" s="1"/>
  <c r="Q500" i="18" a="1"/>
  <c r="Q500" i="18" s="1"/>
  <c r="R500" i="18" s="1"/>
  <c r="Q501" i="18" a="1"/>
  <c r="Q501" i="18" s="1"/>
  <c r="Q502" i="18" a="1"/>
  <c r="Q502" i="18" s="1"/>
  <c r="Q503" i="18" a="1"/>
  <c r="Q503" i="18" s="1"/>
  <c r="R503" i="18" s="1"/>
  <c r="Q504" i="18" a="1"/>
  <c r="Q504" i="18" s="1"/>
  <c r="R504" i="18" s="1"/>
  <c r="Q505" i="18" a="1"/>
  <c r="Q505" i="18" s="1"/>
  <c r="R505" i="18" s="1"/>
  <c r="Q506" i="18" a="1"/>
  <c r="Q506" i="18" s="1"/>
  <c r="Q507" i="18" a="1"/>
  <c r="Q507" i="18" s="1"/>
  <c r="R507" i="18" s="1"/>
  <c r="Q508" i="18" a="1"/>
  <c r="Q508" i="18" s="1"/>
  <c r="R508" i="18" s="1"/>
  <c r="Q509" i="18" a="1"/>
  <c r="Q509" i="18" s="1"/>
  <c r="Q510" i="18" a="1"/>
  <c r="Q510" i="18" s="1"/>
  <c r="Q511" i="18" a="1"/>
  <c r="Q511" i="18" s="1"/>
  <c r="R511" i="18" s="1"/>
  <c r="Q512" i="18" a="1"/>
  <c r="Q512" i="18" s="1"/>
  <c r="R512" i="18" s="1"/>
  <c r="Q513" i="18" a="1"/>
  <c r="Q513" i="18" s="1"/>
  <c r="R513" i="18" s="1"/>
  <c r="Q514" i="18" a="1"/>
  <c r="Q514" i="18" s="1"/>
  <c r="R514" i="18" s="1"/>
  <c r="Q515" i="18" a="1"/>
  <c r="Q515" i="18" s="1"/>
  <c r="Q516" i="18" a="1"/>
  <c r="Q516" i="18" s="1"/>
  <c r="Q517" i="18" a="1"/>
  <c r="Q517" i="18" s="1"/>
  <c r="R517" i="18" s="1"/>
  <c r="Q518" i="18" a="1"/>
  <c r="Q518" i="18"/>
  <c r="Q519" i="18" a="1"/>
  <c r="Q519" i="18" s="1"/>
  <c r="R519" i="18" s="1"/>
  <c r="Q520" i="18" a="1"/>
  <c r="Q520" i="18" s="1"/>
  <c r="Q521" i="18" a="1"/>
  <c r="Q521" i="18" s="1"/>
  <c r="R521" i="18" s="1"/>
  <c r="Q522" i="18" a="1"/>
  <c r="Q522" i="18" s="1"/>
  <c r="R522" i="18" s="1"/>
  <c r="Q523" i="18" a="1"/>
  <c r="Q523" i="18" s="1"/>
  <c r="R523" i="18" s="1"/>
  <c r="Q524" i="18" a="1"/>
  <c r="Q524" i="18" s="1"/>
  <c r="R524" i="18" s="1"/>
  <c r="Q525" i="18" a="1"/>
  <c r="Q525" i="18" s="1"/>
  <c r="R525" i="18" s="1"/>
  <c r="Q526" i="18" a="1"/>
  <c r="Q526" i="18" s="1"/>
  <c r="R526" i="18" s="1"/>
  <c r="Q527" i="18" a="1"/>
  <c r="Q527" i="18" s="1"/>
  <c r="R527" i="18" s="1"/>
  <c r="Q528" i="18" a="1"/>
  <c r="Q528" i="18" s="1"/>
  <c r="Q529" i="18" a="1"/>
  <c r="Q529" i="18" s="1"/>
  <c r="R529" i="18" s="1"/>
  <c r="Q530" i="18" a="1"/>
  <c r="Q530" i="18" s="1"/>
  <c r="Q531" i="18" a="1"/>
  <c r="Q531" i="18"/>
  <c r="R531" i="18" s="1"/>
  <c r="Q532" i="18" a="1"/>
  <c r="Q532" i="18" s="1"/>
  <c r="R532" i="18" s="1"/>
  <c r="Q533" i="18" a="1"/>
  <c r="Q533" i="18" s="1"/>
  <c r="R533" i="18" s="1"/>
  <c r="Q534" i="18" a="1"/>
  <c r="Q534" i="18" s="1"/>
  <c r="R534" i="18" s="1"/>
  <c r="Q535" i="18" a="1"/>
  <c r="Q535" i="18" s="1"/>
  <c r="Q536" i="18" a="1"/>
  <c r="Q536" i="18" s="1"/>
  <c r="Q537" i="18" a="1"/>
  <c r="Q537" i="18" s="1"/>
  <c r="R537" i="18" s="1"/>
  <c r="Q538" i="18" a="1"/>
  <c r="Q538" i="18" s="1"/>
  <c r="R538" i="18" s="1"/>
  <c r="Q539" i="18" a="1"/>
  <c r="Q539" i="18" s="1"/>
  <c r="R539" i="18" s="1"/>
  <c r="Q540" i="18" a="1"/>
  <c r="Q540" i="18"/>
  <c r="R540" i="18" s="1"/>
  <c r="Q541" i="18" a="1"/>
  <c r="Q541" i="18" s="1"/>
  <c r="R541" i="18" s="1"/>
  <c r="Q542" i="18" a="1"/>
  <c r="Q542" i="18" s="1"/>
  <c r="R542" i="18" s="1"/>
  <c r="Q543" i="18" a="1"/>
  <c r="Q543" i="18" s="1"/>
  <c r="R543" i="18" s="1"/>
  <c r="Q544" i="18" a="1"/>
  <c r="Q544" i="18" s="1"/>
  <c r="R544" i="18" s="1"/>
  <c r="Q545" i="18" a="1"/>
  <c r="Q545" i="18"/>
  <c r="R545" i="18" s="1"/>
  <c r="Q546" i="18" a="1"/>
  <c r="Q546" i="18" s="1"/>
  <c r="R546" i="18" s="1"/>
  <c r="Q547" i="18" a="1"/>
  <c r="Q547" i="18" s="1"/>
  <c r="Q548" i="18" a="1"/>
  <c r="Q548" i="18"/>
  <c r="R548" i="18" s="1"/>
  <c r="Q549" i="18" a="1"/>
  <c r="Q549" i="18" s="1"/>
  <c r="R549" i="18" s="1"/>
  <c r="Q550" i="18" a="1"/>
  <c r="Q550" i="18" s="1"/>
  <c r="R550" i="18" s="1"/>
  <c r="Q551" i="18" a="1"/>
  <c r="Q551" i="18" s="1"/>
  <c r="Q552" i="18" a="1"/>
  <c r="Q552" i="18"/>
  <c r="Q553" i="18" a="1"/>
  <c r="Q553" i="18"/>
  <c r="R553" i="18" s="1"/>
  <c r="Q554" i="18" a="1"/>
  <c r="Q554" i="18" s="1"/>
  <c r="R554" i="18" s="1"/>
  <c r="Q555" i="18" a="1"/>
  <c r="Q555" i="18" s="1"/>
  <c r="Q556" i="18" a="1"/>
  <c r="Q556" i="18" s="1"/>
  <c r="R556" i="18" s="1"/>
  <c r="Q557" i="18" a="1"/>
  <c r="Q557" i="18" s="1"/>
  <c r="R557" i="18" s="1"/>
  <c r="Q558" i="18" a="1"/>
  <c r="Q558" i="18" s="1"/>
  <c r="R558" i="18" s="1"/>
  <c r="Q559" i="18" a="1"/>
  <c r="Q559" i="18" s="1"/>
  <c r="Q560" i="18" a="1"/>
  <c r="Q560" i="18" s="1"/>
  <c r="R560" i="18" s="1"/>
  <c r="Q561" i="18" a="1"/>
  <c r="Q561" i="18"/>
  <c r="R561" i="18" s="1"/>
  <c r="Q562" i="18" a="1"/>
  <c r="Q562" i="18" s="1"/>
  <c r="R562" i="18" s="1"/>
  <c r="Q563" i="18" a="1"/>
  <c r="Q563" i="18" s="1"/>
  <c r="R563" i="18" s="1"/>
  <c r="Q564" i="18" a="1"/>
  <c r="Q564" i="18"/>
  <c r="Q565" i="18" a="1"/>
  <c r="Q565" i="18" s="1"/>
  <c r="R565" i="18" s="1"/>
  <c r="Q566" i="18" a="1"/>
  <c r="Q566" i="18" s="1"/>
  <c r="Q567" i="18" a="1"/>
  <c r="Q567" i="18" s="1"/>
  <c r="R567" i="18" s="1"/>
  <c r="Q568" i="18" a="1"/>
  <c r="Q568" i="18" s="1"/>
  <c r="R568" i="18" s="1"/>
  <c r="Q569" i="18" a="1"/>
  <c r="Q569" i="18" s="1"/>
  <c r="Q570" i="18" a="1"/>
  <c r="Q570" i="18" s="1"/>
  <c r="Q571" i="18" a="1"/>
  <c r="Q571" i="18" s="1"/>
  <c r="Q572" i="18" a="1"/>
  <c r="Q572" i="18" s="1"/>
  <c r="Q573" i="18" a="1"/>
  <c r="Q573" i="18" s="1"/>
  <c r="R573" i="18" s="1"/>
  <c r="Q574" i="18" a="1"/>
  <c r="Q574" i="18" s="1"/>
  <c r="R574" i="18" s="1"/>
  <c r="Q575" i="18" a="1"/>
  <c r="Q575" i="18" s="1"/>
  <c r="R575" i="18" s="1"/>
  <c r="Q576" i="18" a="1"/>
  <c r="Q576" i="18" s="1"/>
  <c r="Q577" i="18" a="1"/>
  <c r="Q577" i="18" s="1"/>
  <c r="R577" i="18" s="1"/>
  <c r="Q578" i="18" a="1"/>
  <c r="Q578" i="18" s="1"/>
  <c r="R578" i="18" s="1"/>
  <c r="Q579" i="18" a="1"/>
  <c r="Q579" i="18" s="1"/>
  <c r="R579" i="18" s="1"/>
  <c r="Q580" i="18" a="1"/>
  <c r="Q580" i="18" s="1"/>
  <c r="R580" i="18" s="1"/>
  <c r="Q581" i="18" a="1"/>
  <c r="Q581" i="18" s="1"/>
  <c r="Q582" i="18" a="1"/>
  <c r="Q582" i="18" s="1"/>
  <c r="R582" i="18" s="1"/>
  <c r="Q583" i="18" a="1"/>
  <c r="Q583" i="18"/>
  <c r="R583" i="18" s="1"/>
  <c r="Q584" i="18" a="1"/>
  <c r="Q584" i="18" s="1"/>
  <c r="Q585" i="18" a="1"/>
  <c r="Q585" i="18" s="1"/>
  <c r="Q586" i="18" a="1"/>
  <c r="Q586" i="18" s="1"/>
  <c r="Q587" i="18" a="1"/>
  <c r="Q587" i="18" s="1"/>
  <c r="R587" i="18" s="1"/>
  <c r="Q588" i="18" a="1"/>
  <c r="Q588" i="18" s="1"/>
  <c r="Q589" i="18" a="1"/>
  <c r="Q589" i="18" s="1"/>
  <c r="R589" i="18" s="1"/>
  <c r="Q590" i="18" a="1"/>
  <c r="Q590" i="18"/>
  <c r="R590" i="18" s="1"/>
  <c r="Q591" i="18" a="1"/>
  <c r="Q591" i="18" s="1"/>
  <c r="R591" i="18" s="1"/>
  <c r="Q592" i="18" a="1"/>
  <c r="Q592" i="18" s="1"/>
  <c r="Q593" i="18" a="1"/>
  <c r="Q593" i="18" s="1"/>
  <c r="R593" i="18" s="1"/>
  <c r="Q594" i="18" a="1"/>
  <c r="Q594" i="18" s="1"/>
  <c r="R594" i="18" s="1"/>
  <c r="Q595" i="18" a="1"/>
  <c r="Q595" i="18" s="1"/>
  <c r="R595" i="18" s="1"/>
  <c r="Q596" i="18" a="1"/>
  <c r="Q596" i="18" s="1"/>
  <c r="R596" i="18" s="1"/>
  <c r="Q597" i="18" a="1"/>
  <c r="Q597" i="18" s="1"/>
  <c r="R597" i="18" s="1"/>
  <c r="Q598" i="18" a="1"/>
  <c r="Q598" i="18" s="1"/>
  <c r="Q599" i="18" a="1"/>
  <c r="Q599" i="18"/>
  <c r="Q600" i="18" a="1"/>
  <c r="Q600" i="18" s="1"/>
  <c r="R600" i="18" s="1"/>
  <c r="Q601" i="18" a="1"/>
  <c r="Q601" i="18" s="1"/>
  <c r="R601" i="18" s="1"/>
  <c r="Q602" i="18" a="1"/>
  <c r="Q602" i="18" s="1"/>
  <c r="R602" i="18" s="1"/>
  <c r="Q603" i="18" a="1"/>
  <c r="Q603" i="18"/>
  <c r="Q604" i="18" a="1"/>
  <c r="Q604" i="18" s="1"/>
  <c r="Q605" i="18" a="1"/>
  <c r="Q605" i="18" s="1"/>
  <c r="Q606" i="18" a="1"/>
  <c r="Q606" i="18" s="1"/>
  <c r="R606" i="18" s="1"/>
  <c r="Q607" i="18" a="1"/>
  <c r="Q607" i="18" s="1"/>
  <c r="R607" i="18" s="1"/>
  <c r="Q608" i="18" a="1"/>
  <c r="Q608" i="18" s="1"/>
  <c r="Q609" i="18" a="1"/>
  <c r="Q609" i="18" s="1"/>
  <c r="R609" i="18" s="1"/>
  <c r="Q610" i="18" a="1"/>
  <c r="Q610" i="18" s="1"/>
  <c r="R610" i="18" s="1"/>
  <c r="Q611" i="18" a="1"/>
  <c r="Q611" i="18" s="1"/>
  <c r="Q612" i="18" a="1"/>
  <c r="Q612" i="18" s="1"/>
  <c r="R612" i="18" s="1"/>
  <c r="Q613" i="18" a="1"/>
  <c r="Q613" i="18" s="1"/>
  <c r="R613" i="18" s="1"/>
  <c r="Q614" i="18" a="1"/>
  <c r="Q614" i="18" s="1"/>
  <c r="R614" i="18" s="1"/>
  <c r="Q615" i="18" a="1"/>
  <c r="Q615" i="18" s="1"/>
  <c r="R615" i="18" s="1"/>
  <c r="Q616" i="18" a="1"/>
  <c r="Q616" i="18" s="1"/>
  <c r="R616" i="18" s="1"/>
  <c r="Q617" i="18" a="1"/>
  <c r="Q617" i="18"/>
  <c r="R617" i="18" s="1"/>
  <c r="Q618" i="18" a="1"/>
  <c r="Q618" i="18" s="1"/>
  <c r="R618" i="18" s="1"/>
  <c r="Q619" i="18" a="1"/>
  <c r="Q619" i="18" s="1"/>
  <c r="Q620" i="18" a="1"/>
  <c r="Q620" i="18"/>
  <c r="Q621" i="18" a="1"/>
  <c r="Q621" i="18" s="1"/>
  <c r="R621" i="18" s="1"/>
  <c r="Q622" i="18" a="1"/>
  <c r="Q622" i="18" s="1"/>
  <c r="Q623" i="18" a="1"/>
  <c r="Q623" i="18" s="1"/>
  <c r="R623" i="18" s="1"/>
  <c r="Q624" i="18" a="1"/>
  <c r="Q624" i="18" s="1"/>
  <c r="Q625" i="18" a="1"/>
  <c r="Q625" i="18" s="1"/>
  <c r="R625" i="18" s="1"/>
  <c r="Q626" i="18" a="1"/>
  <c r="Q626" i="18"/>
  <c r="Q627" i="18" a="1"/>
  <c r="Q627" i="18" s="1"/>
  <c r="R627" i="18" s="1"/>
  <c r="Q628" i="18" a="1"/>
  <c r="Q628" i="18" s="1"/>
  <c r="Q629" i="18" a="1"/>
  <c r="Q629" i="18"/>
  <c r="R629" i="18" s="1"/>
  <c r="Q630" i="18" a="1"/>
  <c r="Q630" i="18" s="1"/>
  <c r="R630" i="18" s="1"/>
  <c r="Q631" i="18" a="1"/>
  <c r="Q631" i="18" s="1"/>
  <c r="Q632" i="18" a="1"/>
  <c r="Q632" i="18"/>
  <c r="R632" i="18" s="1"/>
  <c r="Q633" i="18" a="1"/>
  <c r="Q633" i="18" s="1"/>
  <c r="R633" i="18" s="1"/>
  <c r="Q634" i="18" a="1"/>
  <c r="Q634" i="18" s="1"/>
  <c r="Q635" i="18" a="1"/>
  <c r="Q635" i="18" s="1"/>
  <c r="R635" i="18" s="1"/>
  <c r="Q636" i="18" a="1"/>
  <c r="Q636" i="18" s="1"/>
  <c r="R636" i="18" s="1"/>
  <c r="Q637" i="18" a="1"/>
  <c r="Q637" i="18" s="1"/>
  <c r="R637" i="18" s="1"/>
  <c r="Q638" i="18" a="1"/>
  <c r="Q638" i="18"/>
  <c r="R638" i="18" s="1"/>
  <c r="Q639" i="18" a="1"/>
  <c r="Q639" i="18" s="1"/>
  <c r="R639" i="18" s="1"/>
  <c r="Q640" i="18" a="1"/>
  <c r="Q640" i="18" s="1"/>
  <c r="Q641" i="18" a="1"/>
  <c r="Q641" i="18"/>
  <c r="R641" i="18" s="1"/>
  <c r="Q642" i="18" a="1"/>
  <c r="Q642" i="18" s="1"/>
  <c r="Q643" i="18" a="1"/>
  <c r="Q643" i="18" s="1"/>
  <c r="R643" i="18" s="1"/>
  <c r="Q644" i="18" a="1"/>
  <c r="Q644" i="18" s="1"/>
  <c r="Q645" i="18" a="1"/>
  <c r="Q645" i="18" s="1"/>
  <c r="R645" i="18" s="1"/>
  <c r="Q646" i="18" a="1"/>
  <c r="Q646" i="18" s="1"/>
  <c r="Q647" i="18" a="1"/>
  <c r="Q647" i="18"/>
  <c r="Q648" i="18" a="1"/>
  <c r="Q648" i="18" s="1"/>
  <c r="R648" i="18" s="1"/>
  <c r="Q649" i="18" a="1"/>
  <c r="Q649" i="18" s="1"/>
  <c r="R649" i="18" s="1"/>
  <c r="Q650" i="18" a="1"/>
  <c r="Q650" i="18" s="1"/>
  <c r="R650" i="18" s="1"/>
  <c r="Q651" i="18" a="1"/>
  <c r="Q651" i="18"/>
  <c r="R651" i="18" s="1"/>
  <c r="Q652" i="18" a="1"/>
  <c r="Q652" i="18" s="1"/>
  <c r="R652" i="18" s="1"/>
  <c r="Q653" i="18" a="1"/>
  <c r="Q653" i="18" s="1"/>
  <c r="Q654" i="18" a="1"/>
  <c r="Q654" i="18"/>
  <c r="Q655" i="18" a="1"/>
  <c r="Q655" i="18" s="1"/>
  <c r="R655" i="18" s="1"/>
  <c r="Q656" i="18" a="1"/>
  <c r="Q656" i="18"/>
  <c r="Q657" i="18" a="1"/>
  <c r="Q657" i="18" s="1"/>
  <c r="Q658" i="18" a="1"/>
  <c r="Q658" i="18" s="1"/>
  <c r="Q659" i="18" a="1"/>
  <c r="Q659" i="18" s="1"/>
  <c r="Q660" i="18" a="1"/>
  <c r="Q660" i="18" s="1"/>
  <c r="R660" i="18" s="1"/>
  <c r="Q661" i="18" a="1"/>
  <c r="Q661" i="18" s="1"/>
  <c r="R661" i="18" s="1"/>
  <c r="Q662" i="18" a="1"/>
  <c r="Q662" i="18" s="1"/>
  <c r="R662" i="18" s="1"/>
  <c r="Q663" i="18" a="1"/>
  <c r="Q663" i="18"/>
  <c r="R663" i="18" s="1"/>
  <c r="Q664" i="18" a="1"/>
  <c r="Q664" i="18" s="1"/>
  <c r="Q665" i="18" a="1"/>
  <c r="Q665" i="18"/>
  <c r="R665" i="18" s="1"/>
  <c r="Q666" i="18" a="1"/>
  <c r="Q666" i="18"/>
  <c r="Q667" i="18" a="1"/>
  <c r="Q667" i="18" s="1"/>
  <c r="R667" i="18" s="1"/>
  <c r="Q668" i="18" a="1"/>
  <c r="Q668" i="18" s="1"/>
  <c r="R668" i="18" s="1"/>
  <c r="Q669" i="18" a="1"/>
  <c r="Q669" i="18" s="1"/>
  <c r="R669" i="18" s="1"/>
  <c r="Q670" i="18" a="1"/>
  <c r="Q670" i="18" s="1"/>
  <c r="R670" i="18" s="1"/>
  <c r="Q671" i="18" a="1"/>
  <c r="Q671" i="18"/>
  <c r="R671" i="18" s="1"/>
  <c r="Q672" i="18" a="1"/>
  <c r="Q672" i="18" s="1"/>
  <c r="Q673" i="18" a="1"/>
  <c r="Q673" i="18" s="1"/>
  <c r="R673" i="18" s="1"/>
  <c r="Q674" i="18" a="1"/>
  <c r="Q674" i="18" s="1"/>
  <c r="Q675" i="18" a="1"/>
  <c r="Q675" i="18" s="1"/>
  <c r="R675" i="18" s="1"/>
  <c r="Q676" i="18" a="1"/>
  <c r="Q676" i="18" s="1"/>
  <c r="Q677" i="18" a="1"/>
  <c r="Q677" i="18" s="1"/>
  <c r="Q678" i="18" a="1"/>
  <c r="Q678" i="18" s="1"/>
  <c r="Q679" i="18" a="1"/>
  <c r="Q679" i="18" s="1"/>
  <c r="R679" i="18" s="1"/>
  <c r="Q680" i="18" a="1"/>
  <c r="Q680" i="18" s="1"/>
  <c r="Q681" i="18" a="1"/>
  <c r="Q681" i="18"/>
  <c r="Q682" i="18" a="1"/>
  <c r="Q682" i="18" s="1"/>
  <c r="R682" i="18" s="1"/>
  <c r="Q683" i="18" a="1"/>
  <c r="Q683" i="18" s="1"/>
  <c r="Q684" i="18" a="1"/>
  <c r="Q684" i="18" s="1"/>
  <c r="R684" i="18" s="1"/>
  <c r="Q685" i="18" a="1"/>
  <c r="Q685" i="18"/>
  <c r="R685" i="18" s="1"/>
  <c r="Q686" i="18" a="1"/>
  <c r="Q686" i="18"/>
  <c r="Q687" i="18" a="1"/>
  <c r="Q687" i="18" s="1"/>
  <c r="R687" i="18" s="1"/>
  <c r="Q688" i="18" a="1"/>
  <c r="Q688" i="18" s="1"/>
  <c r="R688" i="18" s="1"/>
  <c r="Q689" i="18" a="1"/>
  <c r="Q689" i="18" s="1"/>
  <c r="R689" i="18" s="1"/>
  <c r="Q690" i="18" a="1"/>
  <c r="Q690" i="18" s="1"/>
  <c r="Q691" i="18" a="1"/>
  <c r="Q691" i="18" s="1"/>
  <c r="R691" i="18" s="1"/>
  <c r="Q692" i="18" a="1"/>
  <c r="Q692" i="18" s="1"/>
  <c r="R692" i="18" s="1"/>
  <c r="Q693" i="18" a="1"/>
  <c r="Q693" i="18"/>
  <c r="R693" i="18" s="1"/>
  <c r="Q694" i="18" a="1"/>
  <c r="Q694" i="18" s="1"/>
  <c r="Q695" i="18" a="1"/>
  <c r="Q695" i="18"/>
  <c r="Q696" i="18" a="1"/>
  <c r="Q696" i="18" s="1"/>
  <c r="R696" i="18" s="1"/>
  <c r="Q697" i="18" a="1"/>
  <c r="Q697" i="18"/>
  <c r="R697" i="18" s="1"/>
  <c r="Q698" i="18" a="1"/>
  <c r="Q698" i="18" s="1"/>
  <c r="R698" i="18" s="1"/>
  <c r="Q699" i="18" a="1"/>
  <c r="Q699" i="18" s="1"/>
  <c r="R699" i="18" s="1"/>
  <c r="Q700" i="18" a="1"/>
  <c r="Q700" i="18" s="1"/>
  <c r="Q701" i="18" a="1"/>
  <c r="Q701" i="18"/>
  <c r="R701" i="18" s="1"/>
  <c r="Q702" i="18" a="1"/>
  <c r="Q702" i="18" s="1"/>
  <c r="R702" i="18" s="1"/>
  <c r="Q703" i="18" a="1"/>
  <c r="Q703" i="18" s="1"/>
  <c r="Q704" i="18" a="1"/>
  <c r="Q704" i="18"/>
  <c r="R704" i="18" s="1"/>
  <c r="Q705" i="18" a="1"/>
  <c r="Q705" i="18" s="1"/>
  <c r="R705" i="18" s="1"/>
  <c r="Q706" i="18" a="1"/>
  <c r="Q706" i="18" s="1"/>
  <c r="Q707" i="18" a="1"/>
  <c r="Q707" i="18" s="1"/>
  <c r="R707" i="18" s="1"/>
  <c r="Q708" i="18" a="1"/>
  <c r="Q708" i="18" s="1"/>
  <c r="R708" i="18" s="1"/>
  <c r="Q709" i="18" a="1"/>
  <c r="Q709" i="18"/>
  <c r="R709" i="18" s="1"/>
  <c r="Q710" i="18" a="1"/>
  <c r="Q710" i="18" s="1"/>
  <c r="R710" i="18" s="1"/>
  <c r="Q711" i="18" a="1"/>
  <c r="Q711" i="18"/>
  <c r="Q712" i="18" a="1"/>
  <c r="Q712" i="18" s="1"/>
  <c r="Q713" i="18" a="1"/>
  <c r="Q713" i="18" s="1"/>
  <c r="R713" i="18" s="1"/>
  <c r="Q714" i="18" a="1"/>
  <c r="Q714" i="18" s="1"/>
  <c r="R714" i="18" s="1"/>
  <c r="Q715" i="18" a="1"/>
  <c r="Q715" i="18"/>
  <c r="Q716" i="18" a="1"/>
  <c r="Q716" i="18" s="1"/>
  <c r="Q717" i="18" a="1"/>
  <c r="Q717" i="18" s="1"/>
  <c r="Q718" i="18" a="1"/>
  <c r="Q718" i="18" s="1"/>
  <c r="R718" i="18" s="1"/>
  <c r="Q719" i="18" a="1"/>
  <c r="Q719" i="18" s="1"/>
  <c r="R719" i="18" s="1"/>
  <c r="Q720" i="18" a="1"/>
  <c r="Q720" i="18" s="1"/>
  <c r="Q721" i="18" a="1"/>
  <c r="Q721" i="18" s="1"/>
  <c r="R721" i="18" s="1"/>
  <c r="Q722" i="18" a="1"/>
  <c r="Q722" i="18" s="1"/>
  <c r="R722" i="18" s="1"/>
  <c r="Q723" i="18" a="1"/>
  <c r="Q723" i="18"/>
  <c r="R723" i="18" s="1"/>
  <c r="Q724" i="18" a="1"/>
  <c r="Q724" i="18" s="1"/>
  <c r="Q725" i="18" a="1"/>
  <c r="Q725" i="18" s="1"/>
  <c r="R725" i="18" s="1"/>
  <c r="Q726" i="18" a="1"/>
  <c r="Q726" i="18"/>
  <c r="R726" i="18" s="1"/>
  <c r="Q727" i="18" a="1"/>
  <c r="Q727" i="18" s="1"/>
  <c r="R727" i="18" s="1"/>
  <c r="Q728" i="18" a="1"/>
  <c r="Q728" i="18" s="1"/>
  <c r="Q729" i="18" a="1"/>
  <c r="Q729" i="18" s="1"/>
  <c r="R729" i="18" s="1"/>
  <c r="Q730" i="18" a="1"/>
  <c r="Q730" i="18" s="1"/>
  <c r="Q731" i="18" a="1"/>
  <c r="Q731" i="18" s="1"/>
  <c r="R731" i="18" s="1"/>
  <c r="Q732" i="18" a="1"/>
  <c r="Q732" i="18"/>
  <c r="R732" i="18" s="1"/>
  <c r="Q733" i="18" a="1"/>
  <c r="Q733" i="18"/>
  <c r="R733" i="18" s="1"/>
  <c r="Q734" i="18" a="1"/>
  <c r="Q734" i="18"/>
  <c r="R734" i="18" s="1"/>
  <c r="Q735" i="18" a="1"/>
  <c r="Q735" i="18" s="1"/>
  <c r="R735" i="18" s="1"/>
  <c r="Q736" i="18" a="1"/>
  <c r="Q736" i="18" s="1"/>
  <c r="Q737" i="18" a="1"/>
  <c r="Q737" i="18" s="1"/>
  <c r="R737" i="18" s="1"/>
  <c r="Q738" i="18" a="1"/>
  <c r="Q738" i="18" s="1"/>
  <c r="R738" i="18" s="1"/>
  <c r="Q739" i="18" a="1"/>
  <c r="Q739" i="18" s="1"/>
  <c r="R739" i="18" s="1"/>
  <c r="Q740" i="18" a="1"/>
  <c r="Q740" i="18" s="1"/>
  <c r="Q741" i="18" a="1"/>
  <c r="Q741" i="18" s="1"/>
  <c r="Q742" i="18" a="1"/>
  <c r="Q742" i="18" s="1"/>
  <c r="R742" i="18" s="1"/>
  <c r="Q743" i="18" a="1"/>
  <c r="Q743" i="18" s="1"/>
  <c r="R743" i="18" s="1"/>
  <c r="Q744" i="18" a="1"/>
  <c r="Q744" i="18" s="1"/>
  <c r="Q745" i="18" a="1"/>
  <c r="Q745" i="18" s="1"/>
  <c r="R745" i="18" s="1"/>
  <c r="Q746" i="18" a="1"/>
  <c r="Q746" i="18" s="1"/>
  <c r="R746" i="18" s="1"/>
  <c r="Q747" i="18" a="1"/>
  <c r="Q747" i="18" s="1"/>
  <c r="R747" i="18" s="1"/>
  <c r="Q748" i="18" a="1"/>
  <c r="Q748" i="18" s="1"/>
  <c r="R748" i="18" s="1"/>
  <c r="Q749" i="18" a="1"/>
  <c r="Q749" i="18" s="1"/>
  <c r="Q750" i="18" a="1"/>
  <c r="Q750" i="18" s="1"/>
  <c r="R750" i="18" s="1"/>
  <c r="Q751" i="18" a="1"/>
  <c r="Q751" i="18" s="1"/>
  <c r="Q752" i="18" a="1"/>
  <c r="Q752" i="18" s="1"/>
  <c r="R752" i="18" s="1"/>
  <c r="Q753" i="18" a="1"/>
  <c r="Q753" i="18" s="1"/>
  <c r="R753" i="18" s="1"/>
  <c r="Q754" i="18" a="1"/>
  <c r="Q754" i="18" s="1"/>
  <c r="Q755" i="18" a="1"/>
  <c r="Q755" i="18" s="1"/>
  <c r="R755" i="18" s="1"/>
  <c r="Q756" i="18" a="1"/>
  <c r="Q756" i="18"/>
  <c r="R756" i="18" s="1"/>
  <c r="Q757" i="18" a="1"/>
  <c r="Q757" i="18"/>
  <c r="R757" i="18" s="1"/>
  <c r="Q758" i="18" a="1"/>
  <c r="Q758" i="18"/>
  <c r="Q759" i="18" a="1"/>
  <c r="Q759" i="18" s="1"/>
  <c r="R759" i="18" s="1"/>
  <c r="Q760" i="18" a="1"/>
  <c r="Q760" i="18" s="1"/>
  <c r="R760" i="18" s="1"/>
  <c r="Q761" i="18" a="1"/>
  <c r="Q761" i="18" s="1"/>
  <c r="R761" i="18" s="1"/>
  <c r="Q762" i="18" a="1"/>
  <c r="Q762" i="18" s="1"/>
  <c r="Q763" i="18" a="1"/>
  <c r="Q763" i="18" s="1"/>
  <c r="R763" i="18" s="1"/>
  <c r="Q764" i="18" a="1"/>
  <c r="Q764" i="18" s="1"/>
  <c r="R764" i="18" s="1"/>
  <c r="Q765" i="18" a="1"/>
  <c r="Q765" i="18"/>
  <c r="R765" i="18" s="1"/>
  <c r="Q766" i="18" a="1"/>
  <c r="Q766" i="18" s="1"/>
  <c r="Q767" i="18" a="1"/>
  <c r="Q767" i="18"/>
  <c r="Q768" i="18" a="1"/>
  <c r="Q768" i="18" s="1"/>
  <c r="R768" i="18" s="1"/>
  <c r="Q769" i="18" a="1"/>
  <c r="Q769" i="18" s="1"/>
  <c r="R769" i="18" s="1"/>
  <c r="Q770" i="18" a="1"/>
  <c r="Q770" i="18" s="1"/>
  <c r="R770" i="18" s="1"/>
  <c r="Q771" i="18" a="1"/>
  <c r="Q771" i="18" s="1"/>
  <c r="R771" i="18" s="1"/>
  <c r="Q772" i="18" a="1"/>
  <c r="Q772" i="18" s="1"/>
  <c r="Q773" i="18" a="1"/>
  <c r="Q773" i="18" s="1"/>
  <c r="R773" i="18" s="1"/>
  <c r="Q774" i="18" a="1"/>
  <c r="Q774" i="18" s="1"/>
  <c r="Q775" i="18" a="1"/>
  <c r="Q775" i="18" s="1"/>
  <c r="Q776" i="18" a="1"/>
  <c r="Q776" i="18" s="1"/>
  <c r="R776" i="18" s="1"/>
  <c r="Q777" i="18" a="1"/>
  <c r="Q777" i="18"/>
  <c r="R777" i="18" s="1"/>
  <c r="Q778" i="18" a="1"/>
  <c r="Q778" i="18" s="1"/>
  <c r="Q779" i="18" a="1"/>
  <c r="Q779" i="18"/>
  <c r="Q780" i="18" a="1"/>
  <c r="Q780" i="18" s="1"/>
  <c r="R780" i="18" s="1"/>
  <c r="Q781" i="18" a="1"/>
  <c r="Q781" i="18" s="1"/>
  <c r="R781" i="18" s="1"/>
  <c r="Q782" i="18" a="1"/>
  <c r="Q782" i="18" s="1"/>
  <c r="R782" i="18" s="1"/>
  <c r="Q783" i="18" a="1"/>
  <c r="Q783" i="18" s="1"/>
  <c r="R783" i="18" s="1"/>
  <c r="Q784" i="18" a="1"/>
  <c r="Q784" i="18" s="1"/>
  <c r="Q785" i="18" a="1"/>
  <c r="Q785" i="18" s="1"/>
  <c r="Q786" i="18" a="1"/>
  <c r="Q786" i="18" s="1"/>
  <c r="R786" i="18" s="1"/>
  <c r="Q787" i="18" a="1"/>
  <c r="Q787" i="18" s="1"/>
  <c r="R787" i="18" s="1"/>
  <c r="Q788" i="18" a="1"/>
  <c r="Q788" i="18" s="1"/>
  <c r="Q789" i="18" a="1"/>
  <c r="Q789" i="18" s="1"/>
  <c r="R789" i="18" s="1"/>
  <c r="Q790" i="18" a="1"/>
  <c r="Q790" i="18" s="1"/>
  <c r="R790" i="18" s="1"/>
  <c r="Q791" i="18" a="1"/>
  <c r="Q791" i="18"/>
  <c r="Q792" i="18" a="1"/>
  <c r="Q792" i="18" s="1"/>
  <c r="R792" i="18" s="1"/>
  <c r="Q793" i="18" a="1"/>
  <c r="Q793" i="18"/>
  <c r="R793" i="18" s="1"/>
  <c r="Q794" i="18" a="1"/>
  <c r="Q794" i="18"/>
  <c r="Q795" i="18" a="1"/>
  <c r="Q795" i="18" s="1"/>
  <c r="R795" i="18" s="1"/>
  <c r="Q796" i="18" a="1"/>
  <c r="Q796" i="18" s="1"/>
  <c r="Q797" i="18" a="1"/>
  <c r="Q797" i="18" s="1"/>
  <c r="R797" i="18" s="1"/>
  <c r="Q798" i="18" a="1"/>
  <c r="Q798" i="18" s="1"/>
  <c r="R798" i="18" s="1"/>
  <c r="Q799" i="18" a="1"/>
  <c r="Q799" i="18" s="1"/>
  <c r="R799" i="18" s="1"/>
  <c r="Q800" i="18" a="1"/>
  <c r="Q800" i="18" s="1"/>
  <c r="Q801" i="18" a="1"/>
  <c r="Q801" i="18" s="1"/>
  <c r="R801" i="18" s="1"/>
  <c r="Q802" i="18" a="1"/>
  <c r="Q802" i="18" s="1"/>
  <c r="Q803" i="18" a="1"/>
  <c r="Q803" i="18" s="1"/>
  <c r="R803" i="18" s="1"/>
  <c r="Q804" i="18" a="1"/>
  <c r="Q804" i="18" s="1"/>
  <c r="R804" i="18" s="1"/>
  <c r="Q805" i="18" a="1"/>
  <c r="Q805" i="18" s="1"/>
  <c r="R805" i="18" s="1"/>
  <c r="Q806" i="18" a="1"/>
  <c r="Q806" i="18"/>
  <c r="R806" i="18" s="1"/>
  <c r="Q807" i="18" a="1"/>
  <c r="Q807" i="18" s="1"/>
  <c r="R807" i="18" s="1"/>
  <c r="Q808" i="18" a="1"/>
  <c r="Q808" i="18" s="1"/>
  <c r="Q809" i="18" a="1"/>
  <c r="Q809" i="18" s="1"/>
  <c r="R809" i="18" s="1"/>
  <c r="Q810" i="18" a="1"/>
  <c r="Q810" i="18"/>
  <c r="R810" i="18" s="1"/>
  <c r="Q811" i="18" a="1"/>
  <c r="Q811" i="18" s="1"/>
  <c r="R811" i="18" s="1"/>
  <c r="Q812" i="18" a="1"/>
  <c r="Q812" i="18" s="1"/>
  <c r="R812" i="18" s="1"/>
  <c r="Q813" i="18" a="1"/>
  <c r="Q813" i="18" s="1"/>
  <c r="R813" i="18" s="1"/>
  <c r="Q814" i="18" a="1"/>
  <c r="Q814" i="18" s="1"/>
  <c r="Q815" i="18" a="1"/>
  <c r="Q815" i="18"/>
  <c r="Q816" i="18" a="1"/>
  <c r="Q816" i="18" s="1"/>
  <c r="R816" i="18" s="1"/>
  <c r="Q817" i="18" a="1"/>
  <c r="Q817" i="18" s="1"/>
  <c r="R817" i="18" s="1"/>
  <c r="Q818" i="18" a="1"/>
  <c r="Q818" i="18" s="1"/>
  <c r="R818" i="18" s="1"/>
  <c r="Q819" i="18" a="1"/>
  <c r="Q819" i="18" s="1"/>
  <c r="R819" i="18" s="1"/>
  <c r="Q820" i="18" a="1"/>
  <c r="Q820" i="18" s="1"/>
  <c r="R820" i="18" s="1"/>
  <c r="Q821" i="18" a="1"/>
  <c r="Q821" i="18" s="1"/>
  <c r="Q822" i="18" a="1"/>
  <c r="Q822" i="18" s="1"/>
  <c r="Q823" i="18" a="1"/>
  <c r="Q823" i="18" s="1"/>
  <c r="Q824" i="18" a="1"/>
  <c r="Q824" i="18" s="1"/>
  <c r="Q825" i="18" a="1"/>
  <c r="Q825" i="18" s="1"/>
  <c r="R825" i="18" s="1"/>
  <c r="Q826" i="18" a="1"/>
  <c r="Q826" i="18" s="1"/>
  <c r="Q827" i="18" a="1"/>
  <c r="Q827" i="18" s="1"/>
  <c r="R827" i="18" s="1"/>
  <c r="Q828" i="18" a="1"/>
  <c r="Q828" i="18" s="1"/>
  <c r="R828" i="18" s="1"/>
  <c r="Q829" i="18" a="1"/>
  <c r="Q829" i="18"/>
  <c r="R829" i="18" s="1"/>
  <c r="Q830" i="18" a="1"/>
  <c r="Q830" i="18" s="1"/>
  <c r="R830" i="18" s="1"/>
  <c r="Q831" i="18" a="1"/>
  <c r="Q831" i="18"/>
  <c r="R831" i="18" s="1"/>
  <c r="Q832" i="18" a="1"/>
  <c r="Q832" i="18" s="1"/>
  <c r="Q833" i="18" a="1"/>
  <c r="Q833" i="18" s="1"/>
  <c r="R833" i="18" s="1"/>
  <c r="Q834" i="18" a="1"/>
  <c r="Q834" i="18" s="1"/>
  <c r="Q835" i="18" a="1"/>
  <c r="Q835" i="18" s="1"/>
  <c r="R835" i="18" s="1"/>
  <c r="Q836" i="18" a="1"/>
  <c r="Q836" i="18"/>
  <c r="Q837" i="18" a="1"/>
  <c r="Q837" i="18" s="1"/>
  <c r="R837" i="18" s="1"/>
  <c r="Q838" i="18" a="1"/>
  <c r="Q838" i="18" s="1"/>
  <c r="Q839" i="18" a="1"/>
  <c r="Q839" i="18" s="1"/>
  <c r="R839" i="18" s="1"/>
  <c r="Q840" i="18" a="1"/>
  <c r="Q840" i="18"/>
  <c r="Q841" i="18" a="1"/>
  <c r="Q841" i="18"/>
  <c r="R841" i="18" s="1"/>
  <c r="Q842" i="18" a="1"/>
  <c r="Q842" i="18" s="1"/>
  <c r="R842" i="18" s="1"/>
  <c r="Q843" i="18" a="1"/>
  <c r="Q843" i="18" s="1"/>
  <c r="R843" i="18" s="1"/>
  <c r="Q844" i="18" a="1"/>
  <c r="Q844" i="18" s="1"/>
  <c r="Q845" i="18" a="1"/>
  <c r="Q845" i="18" s="1"/>
  <c r="R845" i="18" s="1"/>
  <c r="Q846" i="18" a="1"/>
  <c r="Q846" i="18" s="1"/>
  <c r="R846" i="18" s="1"/>
  <c r="Q847" i="18" a="1"/>
  <c r="Q847" i="18" s="1"/>
  <c r="R847" i="18" s="1"/>
  <c r="Q848" i="18" a="1"/>
  <c r="Q848" i="18" s="1"/>
  <c r="Q849" i="18" a="1"/>
  <c r="Q849" i="18" s="1"/>
  <c r="R849" i="18" s="1"/>
  <c r="Q850" i="18" a="1"/>
  <c r="Q850" i="18" s="1"/>
  <c r="Q851" i="18" a="1"/>
  <c r="Q851" i="18" s="1"/>
  <c r="R851" i="18" s="1"/>
  <c r="Q852" i="18" a="1"/>
  <c r="Q852" i="18" s="1"/>
  <c r="R852" i="18" s="1"/>
  <c r="Q853" i="18" a="1"/>
  <c r="Q853" i="18" s="1"/>
  <c r="R853" i="18" s="1"/>
  <c r="Q854" i="18" a="1"/>
  <c r="Q854" i="18" s="1"/>
  <c r="R854" i="18" s="1"/>
  <c r="Q855" i="18" a="1"/>
  <c r="Q855" i="18"/>
  <c r="R855" i="18" s="1"/>
  <c r="Q856" i="18" a="1"/>
  <c r="Q856" i="18" s="1"/>
  <c r="R856" i="18" s="1"/>
  <c r="Q857" i="18" a="1"/>
  <c r="Q857" i="18"/>
  <c r="R857" i="18" s="1"/>
  <c r="Q858" i="18" a="1"/>
  <c r="Q858" i="18" s="1"/>
  <c r="R858" i="18" s="1"/>
  <c r="Q859" i="18" a="1"/>
  <c r="Q859" i="18" s="1"/>
  <c r="Q860" i="18" a="1"/>
  <c r="Q860" i="18"/>
  <c r="Q861" i="18" a="1"/>
  <c r="Q861" i="18" s="1"/>
  <c r="R861" i="18" s="1"/>
  <c r="Q862" i="18" a="1"/>
  <c r="Q862" i="18" s="1"/>
  <c r="Q863" i="18" a="1"/>
  <c r="Q863" i="18" s="1"/>
  <c r="Q864" i="18" a="1"/>
  <c r="Q864" i="18"/>
  <c r="R864" i="18" s="1"/>
  <c r="Q865" i="18" a="1"/>
  <c r="Q865" i="18" s="1"/>
  <c r="R865" i="18" s="1"/>
  <c r="Q866" i="18" a="1"/>
  <c r="Q866" i="18" s="1"/>
  <c r="Q867" i="18" a="1"/>
  <c r="Q867" i="18" s="1"/>
  <c r="R867" i="18" s="1"/>
  <c r="Q868" i="18" a="1"/>
  <c r="Q868" i="18"/>
  <c r="Q869" i="18" a="1"/>
  <c r="Q869" i="18"/>
  <c r="R869" i="18" s="1"/>
  <c r="Q870" i="18" a="1"/>
  <c r="Q870" i="18" s="1"/>
  <c r="R870" i="18" s="1"/>
  <c r="Q871" i="18" a="1"/>
  <c r="Q871" i="18" s="1"/>
  <c r="Q872" i="18" a="1"/>
  <c r="Q872" i="18" s="1"/>
  <c r="R872" i="18" s="1"/>
  <c r="Q873" i="18" a="1"/>
  <c r="Q873" i="18" s="1"/>
  <c r="R873" i="18" s="1"/>
  <c r="Q874" i="18" a="1"/>
  <c r="Q874" i="18" s="1"/>
  <c r="R874" i="18" s="1"/>
  <c r="Q875" i="18" a="1"/>
  <c r="Q875" i="18" s="1"/>
  <c r="Q876" i="18" a="1"/>
  <c r="Q876" i="18" s="1"/>
  <c r="Q877" i="18" a="1"/>
  <c r="Q877" i="18" s="1"/>
  <c r="R877" i="18" s="1"/>
  <c r="Q878" i="18" a="1"/>
  <c r="Q878" i="18"/>
  <c r="Q879" i="18" a="1"/>
  <c r="Q879" i="18" s="1"/>
  <c r="R879" i="18" s="1"/>
  <c r="Q880" i="18" a="1"/>
  <c r="Q880" i="18" s="1"/>
  <c r="Q881" i="18" a="1"/>
  <c r="Q881" i="18" s="1"/>
  <c r="R881" i="18" s="1"/>
  <c r="Q882" i="18" a="1"/>
  <c r="Q882" i="18" s="1"/>
  <c r="R882" i="18" s="1"/>
  <c r="Q883" i="18" a="1"/>
  <c r="Q883" i="18" s="1"/>
  <c r="Q884" i="18" a="1"/>
  <c r="Q884" i="18"/>
  <c r="Q885" i="18" a="1"/>
  <c r="Q885" i="18" s="1"/>
  <c r="R885" i="18" s="1"/>
  <c r="Q886" i="18" a="1"/>
  <c r="Q886" i="18"/>
  <c r="R886" i="18" s="1"/>
  <c r="Q887" i="18" a="1"/>
  <c r="Q887" i="18" s="1"/>
  <c r="Q888" i="18" a="1"/>
  <c r="Q888" i="18" s="1"/>
  <c r="R888" i="18" s="1"/>
  <c r="Q889" i="18" a="1"/>
  <c r="Q889" i="18" s="1"/>
  <c r="R889" i="18" s="1"/>
  <c r="Q890" i="18" a="1"/>
  <c r="Q890" i="18" s="1"/>
  <c r="R890" i="18" s="1"/>
  <c r="Q891" i="18" a="1"/>
  <c r="Q891" i="18" s="1"/>
  <c r="Q892" i="18" a="1"/>
  <c r="Q892" i="18" s="1"/>
  <c r="Q893" i="18" a="1"/>
  <c r="Q893" i="18" s="1"/>
  <c r="R893" i="18" s="1"/>
  <c r="Q894" i="18" a="1"/>
  <c r="Q894" i="18"/>
  <c r="Q895" i="18" a="1"/>
  <c r="Q895" i="18" s="1"/>
  <c r="Q896" i="18" a="1"/>
  <c r="Q896" i="18" s="1"/>
  <c r="R896" i="18" s="1"/>
  <c r="Q897" i="18" a="1"/>
  <c r="Q897" i="18" s="1"/>
  <c r="R897" i="18" s="1"/>
  <c r="Q898" i="18" a="1"/>
  <c r="Q898" i="18" s="1"/>
  <c r="R898" i="18" s="1"/>
  <c r="Q899" i="18" a="1"/>
  <c r="Q899" i="18" s="1"/>
  <c r="Q900" i="18" a="1"/>
  <c r="Q900" i="18" s="1"/>
  <c r="Q901" i="18" a="1"/>
  <c r="Q901" i="18" s="1"/>
  <c r="R901" i="18" s="1"/>
  <c r="Q902" i="18" a="1"/>
  <c r="Q902" i="18" s="1"/>
  <c r="R902" i="18" s="1"/>
  <c r="Q903" i="18" a="1"/>
  <c r="Q903" i="18" s="1"/>
  <c r="Q904" i="18" a="1"/>
  <c r="Q904" i="18"/>
  <c r="R904" i="18" s="1"/>
  <c r="Q905" i="18" a="1"/>
  <c r="Q905" i="18" s="1"/>
  <c r="Q906" i="18" a="1"/>
  <c r="Q906" i="18" s="1"/>
  <c r="R906" i="18" s="1"/>
  <c r="Q907" i="18" a="1"/>
  <c r="Q907" i="18" s="1"/>
  <c r="Q908" i="18" a="1"/>
  <c r="Q908" i="18" s="1"/>
  <c r="Q909" i="18" a="1"/>
  <c r="Q909" i="18" s="1"/>
  <c r="Q910" i="18" a="1"/>
  <c r="Q910" i="18" s="1"/>
  <c r="R910" i="18" s="1"/>
  <c r="Q911" i="18" a="1"/>
  <c r="Q911" i="18" s="1"/>
  <c r="R911" i="18" s="1"/>
  <c r="Q912" i="18" a="1"/>
  <c r="Q912" i="18" s="1"/>
  <c r="R912" i="18" s="1"/>
  <c r="Q913" i="18" a="1"/>
  <c r="Q913" i="18" s="1"/>
  <c r="R913" i="18" s="1"/>
  <c r="Q914" i="18" a="1"/>
  <c r="Q914" i="18"/>
  <c r="R914" i="18" s="1"/>
  <c r="Q915" i="18" a="1"/>
  <c r="Q915" i="18"/>
  <c r="Q916" i="18" a="1"/>
  <c r="Q916" i="18"/>
  <c r="R916" i="18" s="1"/>
  <c r="Q917" i="18" a="1"/>
  <c r="Q917" i="18" s="1"/>
  <c r="R917" i="18" s="1"/>
  <c r="Q918" i="18" a="1"/>
  <c r="Q918" i="18" s="1"/>
  <c r="Q919" i="18" a="1"/>
  <c r="Q919" i="18" s="1"/>
  <c r="R919" i="18" s="1"/>
  <c r="Q920" i="18" a="1"/>
  <c r="Q920" i="18" s="1"/>
  <c r="R920" i="18" s="1"/>
  <c r="Q921" i="18" a="1"/>
  <c r="Q921" i="18" s="1"/>
  <c r="Q922" i="18" a="1"/>
  <c r="Q922" i="18" s="1"/>
  <c r="Q923" i="18" a="1"/>
  <c r="Q923" i="18" s="1"/>
  <c r="R923" i="18" s="1"/>
  <c r="Q924" i="18" a="1"/>
  <c r="Q924" i="18" s="1"/>
  <c r="R924" i="18" s="1"/>
  <c r="Q925" i="18" a="1"/>
  <c r="Q925" i="18" s="1"/>
  <c r="R925" i="18" s="1"/>
  <c r="Q926" i="18" a="1"/>
  <c r="Q926" i="18" s="1"/>
  <c r="R926" i="18" s="1"/>
  <c r="Q927" i="18" a="1"/>
  <c r="Q927" i="18"/>
  <c r="Q928" i="18" a="1"/>
  <c r="Q928" i="18"/>
  <c r="Q929" i="18" a="1"/>
  <c r="Q929" i="18"/>
  <c r="Q930" i="18" a="1"/>
  <c r="Q930" i="18" s="1"/>
  <c r="R930" i="18" s="1"/>
  <c r="Q931" i="18" a="1"/>
  <c r="Q931" i="18" s="1"/>
  <c r="R931" i="18" s="1"/>
  <c r="Q932" i="18" a="1"/>
  <c r="Q932" i="18"/>
  <c r="Q933" i="18" a="1"/>
  <c r="Q933" i="18" s="1"/>
  <c r="R933" i="18" s="1"/>
  <c r="Q934" i="18" a="1"/>
  <c r="Q934" i="18" s="1"/>
  <c r="R934" i="18" s="1"/>
  <c r="Q935" i="18" a="1"/>
  <c r="Q935" i="18" s="1"/>
  <c r="Q936" i="18" a="1"/>
  <c r="Q936" i="18" s="1"/>
  <c r="R936" i="18" s="1"/>
  <c r="Q937" i="18" a="1"/>
  <c r="Q937" i="18" s="1"/>
  <c r="R937" i="18" s="1"/>
  <c r="Q938" i="18" a="1"/>
  <c r="Q938" i="18" s="1"/>
  <c r="Q939" i="18" a="1"/>
  <c r="Q939" i="18" s="1"/>
  <c r="R939" i="18" s="1"/>
  <c r="Q940" i="18" a="1"/>
  <c r="Q940" i="18"/>
  <c r="R940" i="18" s="1"/>
  <c r="Q941" i="18" a="1"/>
  <c r="Q941" i="18" s="1"/>
  <c r="Q942" i="18" a="1"/>
  <c r="Q942" i="18" s="1"/>
  <c r="R942" i="18" s="1"/>
  <c r="Q943" i="18" a="1"/>
  <c r="Q943" i="18" s="1"/>
  <c r="R943" i="18" s="1"/>
  <c r="Q944" i="18" a="1"/>
  <c r="Q944" i="18" s="1"/>
  <c r="R944" i="18" s="1"/>
  <c r="Q945" i="18" a="1"/>
  <c r="Q945" i="18" s="1"/>
  <c r="Q946" i="18" a="1"/>
  <c r="Q946" i="18" s="1"/>
  <c r="Q947" i="18" a="1"/>
  <c r="Q947" i="18" s="1"/>
  <c r="Q948" i="18" a="1"/>
  <c r="Q948" i="18" s="1"/>
  <c r="R948" i="18" s="1"/>
  <c r="Q949" i="18" a="1"/>
  <c r="Q949" i="18" s="1"/>
  <c r="R949" i="18" s="1"/>
  <c r="Q950" i="18" a="1"/>
  <c r="Q950" i="18" s="1"/>
  <c r="R950" i="18" s="1"/>
  <c r="Q951" i="18" a="1"/>
  <c r="Q951" i="18" s="1"/>
  <c r="Q952" i="18" a="1"/>
  <c r="Q952" i="18" s="1"/>
  <c r="R952" i="18" s="1"/>
  <c r="Q953" i="18" a="1"/>
  <c r="Q953" i="18" s="1"/>
  <c r="R953" i="18" s="1"/>
  <c r="Q954" i="18" a="1"/>
  <c r="Q954" i="18" s="1"/>
  <c r="R954" i="18" s="1"/>
  <c r="Q955" i="18" a="1"/>
  <c r="Q955" i="18" s="1"/>
  <c r="Q956" i="18" a="1"/>
  <c r="Q956" i="18" s="1"/>
  <c r="R956" i="18" s="1"/>
  <c r="Q957" i="18" a="1"/>
  <c r="Q957" i="18" s="1"/>
  <c r="R957" i="18" s="1"/>
  <c r="Q958" i="18" a="1"/>
  <c r="Q958" i="18" s="1"/>
  <c r="R958" i="18" s="1"/>
  <c r="Q959" i="18" a="1"/>
  <c r="Q959" i="18" s="1"/>
  <c r="R959" i="18" s="1"/>
  <c r="Q960" i="18" a="1"/>
  <c r="Q960" i="18" s="1"/>
  <c r="Q961" i="18" a="1"/>
  <c r="Q961" i="18" s="1"/>
  <c r="R961" i="18" s="1"/>
  <c r="Q962" i="18" a="1"/>
  <c r="Q962" i="18" s="1"/>
  <c r="R962" i="18" s="1"/>
  <c r="Q963" i="18" a="1"/>
  <c r="Q963" i="18" s="1"/>
  <c r="R963" i="18" s="1"/>
  <c r="Q964" i="18" a="1"/>
  <c r="Q964" i="18" s="1"/>
  <c r="Q965" i="18" a="1"/>
  <c r="Q965" i="18" s="1"/>
  <c r="R965" i="18" s="1"/>
  <c r="Q966" i="18" a="1"/>
  <c r="Q966" i="18" s="1"/>
  <c r="R966" i="18" s="1"/>
  <c r="Q967" i="18" a="1"/>
  <c r="Q967" i="18" s="1"/>
  <c r="Q968" i="18" a="1"/>
  <c r="Q968" i="18" s="1"/>
  <c r="Q969" i="18" a="1"/>
  <c r="Q969" i="18" s="1"/>
  <c r="R969" i="18" s="1"/>
  <c r="Q970" i="18" a="1"/>
  <c r="Q970" i="18"/>
  <c r="Q971" i="18" a="1"/>
  <c r="Q971" i="18"/>
  <c r="R971" i="18" s="1"/>
  <c r="Q972" i="18" a="1"/>
  <c r="Q972" i="18" s="1"/>
  <c r="Q973" i="18" a="1"/>
  <c r="Q973" i="18" s="1"/>
  <c r="R973" i="18" s="1"/>
  <c r="Q974" i="18" a="1"/>
  <c r="Q974" i="18"/>
  <c r="R974" i="18" s="1"/>
  <c r="Q975" i="18" a="1"/>
  <c r="Q975" i="18" s="1"/>
  <c r="R975" i="18" s="1"/>
  <c r="Q976" i="18" a="1"/>
  <c r="Q976" i="18" s="1"/>
  <c r="R976" i="18" s="1"/>
  <c r="Q977" i="18" a="1"/>
  <c r="Q977" i="18" s="1"/>
  <c r="Q978" i="18" a="1"/>
  <c r="Q978" i="18"/>
  <c r="R978" i="18" s="1"/>
  <c r="Q979" i="18" a="1"/>
  <c r="Q979" i="18" s="1"/>
  <c r="Q980" i="18" a="1"/>
  <c r="Q980" i="18" s="1"/>
  <c r="R980" i="18" s="1"/>
  <c r="Q981" i="18" a="1"/>
  <c r="Q981" i="18" s="1"/>
  <c r="R981" i="18" s="1"/>
  <c r="Q982" i="18" a="1"/>
  <c r="Q982" i="18"/>
  <c r="R982" i="18" s="1"/>
  <c r="Q983" i="18" a="1"/>
  <c r="Q983" i="18" s="1"/>
  <c r="R983" i="18" s="1"/>
  <c r="Q984" i="18" a="1"/>
  <c r="Q984" i="18" s="1"/>
  <c r="R984" i="18" s="1"/>
  <c r="Q985" i="18" a="1"/>
  <c r="Q985" i="18" s="1"/>
  <c r="R985" i="18" s="1"/>
  <c r="Q986" i="18" a="1"/>
  <c r="Q986" i="18"/>
  <c r="R986" i="18" s="1"/>
  <c r="Q987" i="18" a="1"/>
  <c r="Q987" i="18" s="1"/>
  <c r="R987" i="18" s="1"/>
  <c r="Q988" i="18" a="1"/>
  <c r="Q988" i="18" s="1"/>
  <c r="R988" i="18" s="1"/>
  <c r="Q989" i="18" a="1"/>
  <c r="Q989" i="18" s="1"/>
  <c r="R989" i="18" s="1"/>
  <c r="Q990" i="18" a="1"/>
  <c r="Q990" i="18" s="1"/>
  <c r="Q991" i="18" a="1"/>
  <c r="Q991" i="18" s="1"/>
  <c r="R991" i="18" s="1"/>
  <c r="Q992" i="18" a="1"/>
  <c r="Q992" i="18" s="1"/>
  <c r="Q993" i="18" a="1"/>
  <c r="Q993" i="18" s="1"/>
  <c r="Q994" i="18" a="1"/>
  <c r="Q994" i="18" s="1"/>
  <c r="R994" i="18" s="1"/>
  <c r="Q995" i="18" a="1"/>
  <c r="Q995" i="18" s="1"/>
  <c r="Q996" i="18" a="1"/>
  <c r="Q996" i="18" s="1"/>
  <c r="R996" i="18" s="1"/>
  <c r="Q997" i="18" a="1"/>
  <c r="Q997" i="18" s="1"/>
  <c r="R997" i="18" s="1"/>
  <c r="Q998" i="18" a="1"/>
  <c r="Q998" i="18" s="1"/>
  <c r="R998" i="18" s="1"/>
  <c r="Q999" i="18" a="1"/>
  <c r="Q999" i="18" s="1"/>
  <c r="R999" i="18" s="1"/>
  <c r="Q1000" i="18" a="1"/>
  <c r="Q1000" i="18"/>
  <c r="Q1001" i="18" a="1"/>
  <c r="Q1001" i="18" s="1"/>
  <c r="R1001" i="18" s="1"/>
  <c r="Q1002" i="18" a="1"/>
  <c r="Q1002" i="18"/>
  <c r="Q1003" i="18" a="1"/>
  <c r="Q1003" i="18" s="1"/>
  <c r="Q1004" i="18" a="1"/>
  <c r="Q1004" i="18"/>
  <c r="R1004" i="18" s="1"/>
  <c r="Q1005" i="18" a="1"/>
  <c r="Q1005" i="18" s="1"/>
  <c r="R1005" i="18" s="1"/>
  <c r="Q1006" i="18" a="1"/>
  <c r="Q1006" i="18" s="1"/>
  <c r="Q1007" i="18" a="1"/>
  <c r="Q1007" i="18" s="1"/>
  <c r="R1007" i="18" s="1"/>
  <c r="Q1008" i="18" a="1"/>
  <c r="Q1008" i="18" s="1"/>
  <c r="Q1009" i="18" a="1"/>
  <c r="Q1009" i="18" s="1"/>
  <c r="R1009" i="18" s="1"/>
  <c r="Q1010" i="18" a="1"/>
  <c r="Q1010" i="18" s="1"/>
  <c r="R1010" i="18" s="1"/>
  <c r="Q1011" i="18" a="1"/>
  <c r="Q1011" i="18" s="1"/>
  <c r="R1011" i="18" s="1"/>
  <c r="Q1012" i="18" a="1"/>
  <c r="Q1012" i="18"/>
  <c r="R1012" i="18" s="1"/>
  <c r="Q1013" i="18" a="1"/>
  <c r="Q1013" i="18"/>
  <c r="Q1014" i="18" a="1"/>
  <c r="Q1014" i="18" s="1"/>
  <c r="R1014" i="18" s="1"/>
  <c r="Q1015" i="18" a="1"/>
  <c r="Q1015" i="18" s="1"/>
  <c r="Q1016" i="18" a="1"/>
  <c r="Q1016" i="18" s="1"/>
  <c r="R1016" i="18" s="1"/>
  <c r="Q1017" i="18" a="1"/>
  <c r="Q1017" i="18"/>
  <c r="Q1018" i="18" a="1"/>
  <c r="Q1018" i="18" s="1"/>
  <c r="R1018" i="18" s="1"/>
  <c r="Q1019" i="18" a="1"/>
  <c r="Q1019" i="18" s="1"/>
  <c r="Q1020" i="18" a="1"/>
  <c r="Q1020" i="18" s="1"/>
  <c r="Q1021" i="18" a="1"/>
  <c r="Q1021" i="18" s="1"/>
  <c r="Q1022" i="18" a="1"/>
  <c r="Q1022" i="18" s="1"/>
  <c r="R1022" i="18" s="1"/>
  <c r="Q1023" i="18" a="1"/>
  <c r="Q1023" i="18" s="1"/>
  <c r="R1023" i="18" s="1"/>
  <c r="Q1024" i="18" a="1"/>
  <c r="Q1024" i="18"/>
  <c r="R1024" i="18" s="1"/>
  <c r="Q1025" i="18" a="1"/>
  <c r="Q1025" i="18"/>
  <c r="Q1026" i="18" a="1"/>
  <c r="Q1026" i="18"/>
  <c r="R1026" i="18" s="1"/>
  <c r="Q1027" i="18" a="1"/>
  <c r="Q1027" i="18" s="1"/>
  <c r="Q1028" i="18" a="1"/>
  <c r="Q1028" i="18" s="1"/>
  <c r="R1028" i="18" s="1"/>
  <c r="Q1029" i="18" a="1"/>
  <c r="Q1029" i="18" s="1"/>
  <c r="R1029" i="18" s="1"/>
  <c r="Q1030" i="18" a="1"/>
  <c r="Q1030" i="18" s="1"/>
  <c r="R1030" i="18" s="1"/>
  <c r="Q1031" i="18" a="1"/>
  <c r="Q1031" i="18" s="1"/>
  <c r="R1031" i="18" s="1"/>
  <c r="Q1032" i="18" a="1"/>
  <c r="Q1032" i="18" s="1"/>
  <c r="Q1033" i="18" a="1"/>
  <c r="Q1033" i="18" s="1"/>
  <c r="R1033" i="18" s="1"/>
  <c r="Q1034" i="18" a="1"/>
  <c r="Q1034" i="18"/>
  <c r="Q1035" i="18" a="1"/>
  <c r="Q1035" i="18" s="1"/>
  <c r="R1035" i="18" s="1"/>
  <c r="Q1036" i="18" a="1"/>
  <c r="Q1036" i="18" s="1"/>
  <c r="R1036" i="18" s="1"/>
  <c r="Q1037" i="18" a="1"/>
  <c r="Q1037" i="18" s="1"/>
  <c r="R1037" i="18" s="1"/>
  <c r="Q1038" i="18" a="1"/>
  <c r="Q1038" i="18"/>
  <c r="R1038" i="18" s="1"/>
  <c r="Q1039" i="18" a="1"/>
  <c r="Q1039" i="18" s="1"/>
  <c r="Q1040" i="18" a="1"/>
  <c r="Q1040" i="18" s="1"/>
  <c r="R1040" i="18" s="1"/>
  <c r="Q1041" i="18" a="1"/>
  <c r="Q1041" i="18" s="1"/>
  <c r="R1041" i="18" s="1"/>
  <c r="Q1042" i="18" a="1"/>
  <c r="Q1042" i="18" s="1"/>
  <c r="R1042" i="18" s="1"/>
  <c r="Q1043" i="18" a="1"/>
  <c r="Q1043" i="18"/>
  <c r="Q1044" i="18" a="1"/>
  <c r="Q1044" i="18" s="1"/>
  <c r="Q1045" i="18" a="1"/>
  <c r="Q1045" i="18" s="1"/>
  <c r="R1045" i="18" s="1"/>
  <c r="Q1046" i="18" a="1"/>
  <c r="Q1046" i="18" s="1"/>
  <c r="R1046" i="18" s="1"/>
  <c r="Q1047" i="18" a="1"/>
  <c r="Q1047" i="18"/>
  <c r="R1047" i="18" s="1"/>
  <c r="Q1048" i="18" a="1"/>
  <c r="Q1048" i="18" s="1"/>
  <c r="R1048" i="18" s="1"/>
  <c r="Q1049" i="18" a="1"/>
  <c r="Q1049" i="18" s="1"/>
  <c r="R1049" i="18" s="1"/>
  <c r="Q1050" i="18" a="1"/>
  <c r="Q1050" i="18"/>
  <c r="R1050" i="18" s="1"/>
  <c r="Q1051" i="18" a="1"/>
  <c r="Q1051" i="18" s="1"/>
  <c r="Q1052" i="18" a="1"/>
  <c r="Q1052" i="18" s="1"/>
  <c r="Q1053" i="18" a="1"/>
  <c r="Q1053" i="18" s="1"/>
  <c r="R1053" i="18" s="1"/>
  <c r="Q1054" i="18" a="1"/>
  <c r="Q1054" i="18" s="1"/>
  <c r="R1054" i="18" s="1"/>
  <c r="Q1055" i="18" a="1"/>
  <c r="Q1055" i="18" s="1"/>
  <c r="R1055" i="18" s="1"/>
  <c r="Q1056" i="18" a="1"/>
  <c r="Q1056" i="18" s="1"/>
  <c r="R1056" i="18" s="1"/>
  <c r="Q1057" i="18" a="1"/>
  <c r="Q1057" i="18" s="1"/>
  <c r="R1057" i="18" s="1"/>
  <c r="Q1058" i="18" a="1"/>
  <c r="Q1058" i="18" s="1"/>
  <c r="R1058" i="18" s="1"/>
  <c r="Q1059" i="18" a="1"/>
  <c r="Q1059" i="18" s="1"/>
  <c r="R1059" i="18" s="1"/>
  <c r="Q1060" i="18" a="1"/>
  <c r="Q1060" i="18"/>
  <c r="Q1061" i="18" a="1"/>
  <c r="Q1061" i="18"/>
  <c r="Q1062" i="18" a="1"/>
  <c r="Q1062" i="18" s="1"/>
  <c r="R1062" i="18" s="1"/>
  <c r="Q1063" i="18" a="1"/>
  <c r="Q1063" i="18" s="1"/>
  <c r="R1063" i="18" s="1"/>
  <c r="Q1064" i="18" a="1"/>
  <c r="Q1064" i="18" s="1"/>
  <c r="Q1065" i="18" a="1"/>
  <c r="Q1065" i="18" s="1"/>
  <c r="Q1066" i="18" a="1"/>
  <c r="Q1066" i="18" s="1"/>
  <c r="R1066" i="18" s="1"/>
  <c r="Q1067" i="18" a="1"/>
  <c r="Q1067" i="18" s="1"/>
  <c r="R1067" i="18" s="1"/>
  <c r="Q1068" i="18" a="1"/>
  <c r="Q1068" i="18" s="1"/>
  <c r="R1068" i="18" s="1"/>
  <c r="Q1069" i="18" a="1"/>
  <c r="Q1069" i="18" s="1"/>
  <c r="Q1070" i="18" a="1"/>
  <c r="Q1070" i="18" s="1"/>
  <c r="R1070" i="18" s="1"/>
  <c r="Q1071" i="18" a="1"/>
  <c r="Q1071" i="18"/>
  <c r="R1071" i="18" s="1"/>
  <c r="Q1072" i="18" a="1"/>
  <c r="Q1072" i="18" s="1"/>
  <c r="R1072" i="18" s="1"/>
  <c r="Q1073" i="18" a="1"/>
  <c r="Q1073" i="18"/>
  <c r="R1073" i="18" s="1"/>
  <c r="Q1074" i="18" a="1"/>
  <c r="Q1074" i="18" s="1"/>
  <c r="R1074" i="18" s="1"/>
  <c r="Q1075" i="18" a="1"/>
  <c r="Q1075" i="18" s="1"/>
  <c r="R1075" i="18" s="1"/>
  <c r="Q1076" i="18" a="1"/>
  <c r="Q1076" i="18" s="1"/>
  <c r="Q1077" i="18" a="1"/>
  <c r="Q1077" i="18" s="1"/>
  <c r="R1077" i="18" s="1"/>
  <c r="Q1078" i="18" a="1"/>
  <c r="Q1078" i="18" s="1"/>
  <c r="Q1079" i="18" a="1"/>
  <c r="Q1079" i="18" s="1"/>
  <c r="Q1080" i="18" a="1"/>
  <c r="Q1080" i="18" s="1"/>
  <c r="R1080" i="18" s="1"/>
  <c r="Q1081" i="18" a="1"/>
  <c r="Q1081" i="18" s="1"/>
  <c r="R1081" i="18" s="1"/>
  <c r="Q1082" i="18" a="1"/>
  <c r="Q1082" i="18" s="1"/>
  <c r="R1082" i="18" s="1"/>
  <c r="Q1083" i="18" a="1"/>
  <c r="Q1083" i="18"/>
  <c r="R1083" i="18" s="1"/>
  <c r="Q1084" i="18" a="1"/>
  <c r="Q1084" i="18" s="1"/>
  <c r="R1084" i="18" s="1"/>
  <c r="Q1085" i="18" a="1"/>
  <c r="Q1085" i="18" s="1"/>
  <c r="Q1086" i="18" a="1"/>
  <c r="Q1086" i="18"/>
  <c r="R1086" i="18" s="1"/>
  <c r="Q1087" i="18" a="1"/>
  <c r="Q1087" i="18" s="1"/>
  <c r="Q1088" i="18" a="1"/>
  <c r="Q1088" i="18" s="1"/>
  <c r="R1088" i="18" s="1"/>
  <c r="Q1089" i="18" a="1"/>
  <c r="Q1089" i="18" s="1"/>
  <c r="Q1090" i="18" a="1"/>
  <c r="Q1090" i="18" s="1"/>
  <c r="R1090" i="18" s="1"/>
  <c r="Q1091" i="18" a="1"/>
  <c r="Q1091" i="18" s="1"/>
  <c r="Q1092" i="18" a="1"/>
  <c r="Q1092" i="18" s="1"/>
  <c r="Q1093" i="18" a="1"/>
  <c r="Q1093" i="18" s="1"/>
  <c r="R1093" i="18" s="1"/>
  <c r="Q1094" i="18" a="1"/>
  <c r="Q1094" i="18" s="1"/>
  <c r="R1094" i="18" s="1"/>
  <c r="Q1095" i="18" a="1"/>
  <c r="Q1095" i="18" s="1"/>
  <c r="R1095" i="18" s="1"/>
  <c r="Q1096" i="18" a="1"/>
  <c r="Q1096" i="18" s="1"/>
  <c r="R1096" i="18" s="1"/>
  <c r="Q1097" i="18" a="1"/>
  <c r="Q1097" i="18"/>
  <c r="R1097" i="18" s="1"/>
  <c r="Q1098" i="18" a="1"/>
  <c r="Q1098" i="18" s="1"/>
  <c r="Q1099" i="18" a="1"/>
  <c r="Q1099" i="18" s="1"/>
  <c r="Q1100" i="18" a="1"/>
  <c r="Q1100" i="18" s="1"/>
  <c r="R1100" i="18" s="1"/>
  <c r="Q1101" i="18" a="1"/>
  <c r="Q1101" i="18" s="1"/>
  <c r="R1101" i="18" s="1"/>
  <c r="Q1102" i="18" a="1"/>
  <c r="Q1102" i="18" s="1"/>
  <c r="R1102" i="18" s="1"/>
  <c r="Q1103" i="18" a="1"/>
  <c r="Q1103" i="18" s="1"/>
  <c r="Q1104" i="18" a="1"/>
  <c r="Q1104" i="18" s="1"/>
  <c r="R1104" i="18" s="1"/>
  <c r="Q1105" i="18" a="1"/>
  <c r="Q1105" i="18" s="1"/>
  <c r="R1105" i="18" s="1"/>
  <c r="Q1106" i="18" a="1"/>
  <c r="Q1106" i="18" s="1"/>
  <c r="R1106" i="18" s="1"/>
  <c r="Q1107" i="18" a="1"/>
  <c r="Q1107" i="18" s="1"/>
  <c r="R1107" i="18" s="1"/>
  <c r="Q1108" i="18" a="1"/>
  <c r="Q1108" i="18"/>
  <c r="R1108" i="18" s="1"/>
  <c r="Q1109" i="18" a="1"/>
  <c r="Q1109" i="18" s="1"/>
  <c r="R1109" i="18" s="1"/>
  <c r="Q1110" i="18" a="1"/>
  <c r="Q1110" i="18" s="1"/>
  <c r="R1110" i="18" s="1"/>
  <c r="Q1111" i="18" a="1"/>
  <c r="Q1111" i="18" s="1"/>
  <c r="Q1112" i="18" a="1"/>
  <c r="Q1112" i="18" s="1"/>
  <c r="Q1113" i="18" a="1"/>
  <c r="Q1113" i="18" s="1"/>
  <c r="R1113" i="18" s="1"/>
  <c r="Q1114" i="18" a="1"/>
  <c r="Q1114" i="18" s="1"/>
  <c r="R1114" i="18" s="1"/>
  <c r="Q1115" i="18" a="1"/>
  <c r="Q1115" i="18" s="1"/>
  <c r="R1115" i="18" s="1"/>
  <c r="Q1116" i="18" a="1"/>
  <c r="Q1116" i="18" s="1"/>
  <c r="R1116" i="18" s="1"/>
  <c r="Q1117" i="18" a="1"/>
  <c r="Q1117" i="18" s="1"/>
  <c r="Q1118" i="18" a="1"/>
  <c r="Q1118" i="18"/>
  <c r="R1118" i="18" s="1"/>
  <c r="Q1119" i="18" a="1"/>
  <c r="Q1119" i="18" s="1"/>
  <c r="R1119" i="18" s="1"/>
  <c r="Q1120" i="18" a="1"/>
  <c r="Q1120" i="18" s="1"/>
  <c r="R1120" i="18" s="1"/>
  <c r="Q1121" i="18" a="1"/>
  <c r="Q1121" i="18" s="1"/>
  <c r="Q1122" i="18" a="1"/>
  <c r="Q1122" i="18" s="1"/>
  <c r="R1122" i="18" s="1"/>
  <c r="Q1123" i="18" a="1"/>
  <c r="Q1123" i="18" s="1"/>
  <c r="Q1124" i="18" a="1"/>
  <c r="Q1124" i="18" s="1"/>
  <c r="R1124" i="18" s="1"/>
  <c r="Q1125" i="18" a="1"/>
  <c r="Q1125" i="18" s="1"/>
  <c r="R1125" i="18" s="1"/>
  <c r="Q1126" i="18" a="1"/>
  <c r="Q1126" i="18" s="1"/>
  <c r="R1126" i="18" s="1"/>
  <c r="Q1127" i="18" a="1"/>
  <c r="Q1127" i="18"/>
  <c r="R1127" i="18" s="1"/>
  <c r="Q1128" i="18" a="1"/>
  <c r="Q1128" i="18" s="1"/>
  <c r="R1128" i="18" s="1"/>
  <c r="Q1129" i="18" a="1"/>
  <c r="Q1129" i="18" s="1"/>
  <c r="Q1130" i="18" a="1"/>
  <c r="Q1130" i="18"/>
  <c r="R1130" i="18" s="1"/>
  <c r="Q1131" i="18" a="1"/>
  <c r="Q1131" i="18"/>
  <c r="Q1132" i="18" a="1"/>
  <c r="Q1132" i="18"/>
  <c r="R1132" i="18" s="1"/>
  <c r="Q1133" i="18" a="1"/>
  <c r="Q1133" i="18"/>
  <c r="Q1134" i="18" a="1"/>
  <c r="Q1134" i="18" s="1"/>
  <c r="R1134" i="18" s="1"/>
  <c r="Q1135" i="18" a="1"/>
  <c r="Q1135" i="18" s="1"/>
  <c r="R1135" i="18" s="1"/>
  <c r="Q1136" i="18" a="1"/>
  <c r="Q1136" i="18" s="1"/>
  <c r="Q1137" i="18" a="1"/>
  <c r="Q1137" i="18" s="1"/>
  <c r="Q1138" i="18" a="1"/>
  <c r="Q1138" i="18" s="1"/>
  <c r="Q1139" i="18" a="1"/>
  <c r="Q1139" i="18" s="1"/>
  <c r="R1139" i="18" s="1"/>
  <c r="Q1140" i="18" a="1"/>
  <c r="Q1140" i="18" s="1"/>
  <c r="R1140" i="18" s="1"/>
  <c r="Q1141" i="18" a="1"/>
  <c r="Q1141" i="18" s="1"/>
  <c r="R1141" i="18" s="1"/>
  <c r="Q1142" i="18" a="1"/>
  <c r="Q1142" i="18"/>
  <c r="Q1143" i="18" a="1"/>
  <c r="Q1143" i="18"/>
  <c r="Q1144" i="18" a="1"/>
  <c r="Q1144" i="18"/>
  <c r="Q1145" i="18" a="1"/>
  <c r="Q1145" i="18" s="1"/>
  <c r="R1145" i="18" s="1"/>
  <c r="Q1146" i="18" a="1"/>
  <c r="Q1146" i="18"/>
  <c r="R1146" i="18" s="1"/>
  <c r="Q1147" i="18" a="1"/>
  <c r="Q1147" i="18" s="1"/>
  <c r="Q1148" i="18" a="1"/>
  <c r="Q1148" i="18" s="1"/>
  <c r="R1148" i="18" s="1"/>
  <c r="Q1149" i="18" a="1"/>
  <c r="Q1149" i="18" s="1"/>
  <c r="Q1150" i="18" a="1"/>
  <c r="Q1150" i="18" s="1"/>
  <c r="Q1151" i="18" a="1"/>
  <c r="Q1151" i="18" s="1"/>
  <c r="Q1152" i="18" a="1"/>
  <c r="Q1152" i="18" s="1"/>
  <c r="R1152" i="18" s="1"/>
  <c r="Q1153" i="18" a="1"/>
  <c r="Q1153" i="18" s="1"/>
  <c r="R1153" i="18" s="1"/>
  <c r="Q1154" i="18" a="1"/>
  <c r="Q1154" i="18" s="1"/>
  <c r="Q1155" i="18" a="1"/>
  <c r="Q1155" i="18" s="1"/>
  <c r="R1155" i="18" s="1"/>
  <c r="Q1156" i="18" a="1"/>
  <c r="Q1156" i="18"/>
  <c r="Q1157" i="18" a="1"/>
  <c r="Q1157" i="18"/>
  <c r="Q1158" i="18" a="1"/>
  <c r="Q1158" i="18"/>
  <c r="R1158" i="18" s="1"/>
  <c r="Q1159" i="18" a="1"/>
  <c r="Q1159" i="18" s="1"/>
  <c r="Q1160" i="18" a="1"/>
  <c r="Q1160" i="18" s="1"/>
  <c r="Q1161" i="18" a="1"/>
  <c r="Q1161" i="18"/>
  <c r="R1161" i="18" s="1"/>
  <c r="Q1162" i="18" a="1"/>
  <c r="Q1162" i="18" s="1"/>
  <c r="Q1163" i="18" a="1"/>
  <c r="Q1163" i="18" s="1"/>
  <c r="Q1164" i="18" a="1"/>
  <c r="Q1164" i="18" s="1"/>
  <c r="Q1165" i="18" a="1"/>
  <c r="Q1165" i="18" s="1"/>
  <c r="R1165" i="18" s="1"/>
  <c r="Q1166" i="18" a="1"/>
  <c r="Q1166" i="18"/>
  <c r="Q1167" i="18" a="1"/>
  <c r="Q1167" i="18" s="1"/>
  <c r="R1167" i="18" s="1"/>
  <c r="Q1168" i="18" a="1"/>
  <c r="Q1168" i="18" s="1"/>
  <c r="R1168" i="18" s="1"/>
  <c r="Q1169" i="18" a="1"/>
  <c r="Q1169" i="18"/>
  <c r="Q1170" i="18" a="1"/>
  <c r="Q1170" i="18"/>
  <c r="Q1171" i="18" a="1"/>
  <c r="Q1171" i="18" s="1"/>
  <c r="R5" i="18"/>
  <c r="R6" i="18"/>
  <c r="R9" i="18"/>
  <c r="R16" i="18"/>
  <c r="R19" i="18"/>
  <c r="R20" i="18"/>
  <c r="R28" i="18"/>
  <c r="R32" i="18"/>
  <c r="R33" i="18"/>
  <c r="R40" i="18"/>
  <c r="R41" i="18"/>
  <c r="R42" i="18"/>
  <c r="R46" i="18"/>
  <c r="R54" i="18"/>
  <c r="R55" i="18"/>
  <c r="R58" i="18"/>
  <c r="R59" i="18"/>
  <c r="R69" i="18"/>
  <c r="R70" i="18"/>
  <c r="R72" i="18"/>
  <c r="R75" i="18"/>
  <c r="R76" i="18"/>
  <c r="R83" i="18"/>
  <c r="R84" i="18"/>
  <c r="R88" i="18"/>
  <c r="R89" i="18"/>
  <c r="R94" i="18"/>
  <c r="R98" i="18"/>
  <c r="R101" i="18"/>
  <c r="R102" i="18"/>
  <c r="R104" i="18"/>
  <c r="R106" i="18"/>
  <c r="R110" i="18"/>
  <c r="R111" i="18"/>
  <c r="R112" i="18"/>
  <c r="R118" i="18"/>
  <c r="R122" i="18"/>
  <c r="R123" i="18"/>
  <c r="R124" i="18"/>
  <c r="R131" i="18"/>
  <c r="R136" i="18"/>
  <c r="R139" i="18"/>
  <c r="R140" i="18"/>
  <c r="R143" i="18"/>
  <c r="R148" i="18"/>
  <c r="R152" i="18"/>
  <c r="R153" i="18"/>
  <c r="R154" i="18"/>
  <c r="R160" i="18"/>
  <c r="R161" i="18"/>
  <c r="R163" i="18"/>
  <c r="R168" i="18"/>
  <c r="R170" i="18"/>
  <c r="R173" i="18"/>
  <c r="R174" i="18"/>
  <c r="R179" i="18"/>
  <c r="R184" i="18"/>
  <c r="R190" i="18"/>
  <c r="R191" i="18"/>
  <c r="R196" i="18"/>
  <c r="R199" i="18"/>
  <c r="R204" i="18"/>
  <c r="R207" i="18"/>
  <c r="R211" i="18"/>
  <c r="R212" i="18"/>
  <c r="R216" i="18"/>
  <c r="R219" i="18"/>
  <c r="R220" i="18"/>
  <c r="R224" i="18"/>
  <c r="R225" i="18"/>
  <c r="R232" i="18"/>
  <c r="R240" i="18"/>
  <c r="R242" i="18"/>
  <c r="R254" i="18"/>
  <c r="R257" i="18"/>
  <c r="R259" i="18"/>
  <c r="R261" i="18"/>
  <c r="R264" i="18"/>
  <c r="R271" i="18"/>
  <c r="R274" i="18"/>
  <c r="R275" i="18"/>
  <c r="R279" i="18"/>
  <c r="R285" i="18"/>
  <c r="R288" i="18"/>
  <c r="R291" i="18"/>
  <c r="R294" i="18"/>
  <c r="R295" i="18"/>
  <c r="R298" i="18"/>
  <c r="R300" i="18"/>
  <c r="R303" i="18"/>
  <c r="R304" i="18"/>
  <c r="R308" i="18"/>
  <c r="R310" i="18"/>
  <c r="R311" i="18"/>
  <c r="R315" i="18"/>
  <c r="R316" i="18"/>
  <c r="R318" i="18"/>
  <c r="R320" i="18"/>
  <c r="R323" i="18"/>
  <c r="R326" i="18"/>
  <c r="R327" i="18"/>
  <c r="R328" i="18"/>
  <c r="R330" i="18"/>
  <c r="R332" i="18"/>
  <c r="R335" i="18"/>
  <c r="R339" i="18"/>
  <c r="R340" i="18"/>
  <c r="R343" i="18"/>
  <c r="R345" i="18"/>
  <c r="R347" i="18"/>
  <c r="R351" i="18"/>
  <c r="R352" i="18"/>
  <c r="R356" i="18"/>
  <c r="R359" i="18"/>
  <c r="R366" i="18"/>
  <c r="R370" i="18"/>
  <c r="R371" i="18"/>
  <c r="R374" i="18"/>
  <c r="R376" i="18"/>
  <c r="R382" i="18"/>
  <c r="R386" i="18"/>
  <c r="R387" i="18"/>
  <c r="R388" i="18"/>
  <c r="R391" i="18"/>
  <c r="R392" i="18"/>
  <c r="R394" i="18"/>
  <c r="R400" i="18"/>
  <c r="R404" i="18"/>
  <c r="R406" i="18"/>
  <c r="R407" i="18"/>
  <c r="R408" i="18"/>
  <c r="R411" i="18"/>
  <c r="R414" i="18"/>
  <c r="R424" i="18"/>
  <c r="R426" i="18"/>
  <c r="R428" i="18"/>
  <c r="R430" i="18"/>
  <c r="R434" i="18"/>
  <c r="R435" i="18"/>
  <c r="R436" i="18"/>
  <c r="R439" i="18"/>
  <c r="R442" i="18"/>
  <c r="R443" i="18"/>
  <c r="R447" i="18"/>
  <c r="R452" i="18"/>
  <c r="R456" i="18"/>
  <c r="R461" i="18"/>
  <c r="R462" i="18"/>
  <c r="R465" i="18"/>
  <c r="R470" i="18"/>
  <c r="R472" i="18"/>
  <c r="R474" i="18"/>
  <c r="R478" i="18"/>
  <c r="R483" i="18"/>
  <c r="R487" i="18"/>
  <c r="R489" i="18"/>
  <c r="R490" i="18"/>
  <c r="R491" i="18"/>
  <c r="R495" i="18"/>
  <c r="R501" i="18"/>
  <c r="R502" i="18"/>
  <c r="R506" i="18"/>
  <c r="R509" i="18"/>
  <c r="R510" i="18"/>
  <c r="R515" i="18"/>
  <c r="R516" i="18"/>
  <c r="R518" i="18"/>
  <c r="R520" i="18"/>
  <c r="R528" i="18"/>
  <c r="R530" i="18"/>
  <c r="R535" i="18"/>
  <c r="R536" i="18"/>
  <c r="R547" i="18"/>
  <c r="R551" i="18"/>
  <c r="R552" i="18"/>
  <c r="R555" i="18"/>
  <c r="R559" i="18"/>
  <c r="R564" i="18"/>
  <c r="R566" i="18"/>
  <c r="R569" i="18"/>
  <c r="R570" i="18"/>
  <c r="R571" i="18"/>
  <c r="R572" i="18"/>
  <c r="R576" i="18"/>
  <c r="R581" i="18"/>
  <c r="R584" i="18"/>
  <c r="R585" i="18"/>
  <c r="R586" i="18"/>
  <c r="R588" i="18"/>
  <c r="R592" i="18"/>
  <c r="R598" i="18"/>
  <c r="R599" i="18"/>
  <c r="R603" i="18"/>
  <c r="R604" i="18"/>
  <c r="R605" i="18"/>
  <c r="R608" i="18"/>
  <c r="R611" i="18"/>
  <c r="R619" i="18"/>
  <c r="R620" i="18"/>
  <c r="R622" i="18"/>
  <c r="R624" i="18"/>
  <c r="R626" i="18"/>
  <c r="R628" i="18"/>
  <c r="R631" i="18"/>
  <c r="R634" i="18"/>
  <c r="R640" i="18"/>
  <c r="R642" i="18"/>
  <c r="R644" i="18"/>
  <c r="R646" i="18"/>
  <c r="R647" i="18"/>
  <c r="R653" i="18"/>
  <c r="R654" i="18"/>
  <c r="R656" i="18"/>
  <c r="R657" i="18"/>
  <c r="R658" i="18"/>
  <c r="R659" i="18"/>
  <c r="R664" i="18"/>
  <c r="R666" i="18"/>
  <c r="R672" i="18"/>
  <c r="R674" i="18"/>
  <c r="R676" i="18"/>
  <c r="R677" i="18"/>
  <c r="R678" i="18"/>
  <c r="R680" i="18"/>
  <c r="R681" i="18"/>
  <c r="R683" i="18"/>
  <c r="R686" i="18"/>
  <c r="R690" i="18"/>
  <c r="R694" i="18"/>
  <c r="R695" i="18"/>
  <c r="R700" i="18"/>
  <c r="R703" i="18"/>
  <c r="R706" i="18"/>
  <c r="R711" i="18"/>
  <c r="R712" i="18"/>
  <c r="R715" i="18"/>
  <c r="R716" i="18"/>
  <c r="R717" i="18"/>
  <c r="R720" i="18"/>
  <c r="R724" i="18"/>
  <c r="R728" i="18"/>
  <c r="R730" i="18"/>
  <c r="R736" i="18"/>
  <c r="R740" i="18"/>
  <c r="R741" i="18"/>
  <c r="R744" i="18"/>
  <c r="R749" i="18"/>
  <c r="R751" i="18"/>
  <c r="R754" i="18"/>
  <c r="R758" i="18"/>
  <c r="R762" i="18"/>
  <c r="R766" i="18"/>
  <c r="R767" i="18"/>
  <c r="R772" i="18"/>
  <c r="R774" i="18"/>
  <c r="R775" i="18"/>
  <c r="R778" i="18"/>
  <c r="R779" i="18"/>
  <c r="R784" i="18"/>
  <c r="R785" i="18"/>
  <c r="R788" i="18"/>
  <c r="R791" i="18"/>
  <c r="R794" i="18"/>
  <c r="R796" i="18"/>
  <c r="R800" i="18"/>
  <c r="R802" i="18"/>
  <c r="R808" i="18"/>
  <c r="R814" i="18"/>
  <c r="R815" i="18"/>
  <c r="R821" i="18"/>
  <c r="R822" i="18"/>
  <c r="R823" i="18"/>
  <c r="R824" i="18"/>
  <c r="R826" i="18"/>
  <c r="R832" i="18"/>
  <c r="R834" i="18"/>
  <c r="R836" i="18"/>
  <c r="R838" i="18"/>
  <c r="R840" i="18"/>
  <c r="R844" i="18"/>
  <c r="R848" i="18"/>
  <c r="R850" i="18"/>
  <c r="R859" i="18"/>
  <c r="R860" i="18"/>
  <c r="R862" i="18"/>
  <c r="R863" i="18"/>
  <c r="R866" i="18"/>
  <c r="R868" i="18"/>
  <c r="R871" i="18"/>
  <c r="R875" i="18"/>
  <c r="R876" i="18"/>
  <c r="R878" i="18"/>
  <c r="R880" i="18"/>
  <c r="R883" i="18"/>
  <c r="R884" i="18"/>
  <c r="R887" i="18"/>
  <c r="R891" i="18"/>
  <c r="R892" i="18"/>
  <c r="R894" i="18"/>
  <c r="R895" i="18"/>
  <c r="R899" i="18"/>
  <c r="R900" i="18"/>
  <c r="R903" i="18"/>
  <c r="R905" i="18"/>
  <c r="R907" i="18"/>
  <c r="R908" i="18"/>
  <c r="R909" i="18"/>
  <c r="R915" i="18"/>
  <c r="R918" i="18"/>
  <c r="R921" i="18"/>
  <c r="R922" i="18"/>
  <c r="R927" i="18"/>
  <c r="R928" i="18"/>
  <c r="R929" i="18"/>
  <c r="R932" i="18"/>
  <c r="R935" i="18"/>
  <c r="R938" i="18"/>
  <c r="R941" i="18"/>
  <c r="R945" i="18"/>
  <c r="R946" i="18"/>
  <c r="R947" i="18"/>
  <c r="R951" i="18"/>
  <c r="R955" i="18"/>
  <c r="R960" i="18"/>
  <c r="R964" i="18"/>
  <c r="R967" i="18"/>
  <c r="R968" i="18"/>
  <c r="R970" i="18"/>
  <c r="R972" i="18"/>
  <c r="R977" i="18"/>
  <c r="R979" i="18"/>
  <c r="R990" i="18"/>
  <c r="R992" i="18"/>
  <c r="R993" i="18"/>
  <c r="R1000" i="18"/>
  <c r="R1002" i="18"/>
  <c r="R1003" i="18"/>
  <c r="R1006" i="18"/>
  <c r="R1013" i="18"/>
  <c r="R1015" i="18"/>
  <c r="R1017" i="18"/>
  <c r="R1019" i="18"/>
  <c r="R1020" i="18"/>
  <c r="R1025" i="18"/>
  <c r="R1027" i="18"/>
  <c r="R1032" i="18"/>
  <c r="R1034" i="18"/>
  <c r="R1039" i="18"/>
  <c r="R1043" i="18"/>
  <c r="R1044" i="18"/>
  <c r="R1051" i="18"/>
  <c r="R1052" i="18"/>
  <c r="R1060" i="18"/>
  <c r="R1061" i="18"/>
  <c r="R1064" i="18"/>
  <c r="R1065" i="18"/>
  <c r="R1076" i="18"/>
  <c r="R1078" i="18"/>
  <c r="R1079" i="18"/>
  <c r="R1085" i="18"/>
  <c r="R1087" i="18"/>
  <c r="R1089" i="18"/>
  <c r="R1091" i="18"/>
  <c r="R1092" i="18"/>
  <c r="R1098" i="18"/>
  <c r="R1099" i="18"/>
  <c r="R1103" i="18"/>
  <c r="R1111" i="18"/>
  <c r="R1112" i="18"/>
  <c r="R1123" i="18"/>
  <c r="R1131" i="18"/>
  <c r="R1133" i="18"/>
  <c r="R1136" i="18"/>
  <c r="R1137" i="18"/>
  <c r="R1138" i="18"/>
  <c r="R1143" i="18"/>
  <c r="R1144" i="18"/>
  <c r="R1147" i="18"/>
  <c r="R1150" i="18"/>
  <c r="R1162" i="18"/>
  <c r="R1163" i="18"/>
  <c r="R1164" i="18"/>
  <c r="R1170" i="18"/>
  <c r="R1171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/>
  <c r="S25" i="18" a="1"/>
  <c r="S25" i="18" s="1"/>
  <c r="S26" i="18" a="1"/>
  <c r="S26" i="18" s="1"/>
  <c r="S27" i="18" a="1"/>
  <c r="S27" i="18"/>
  <c r="S28" i="18" a="1"/>
  <c r="S28" i="18" s="1"/>
  <c r="S29" i="18" a="1"/>
  <c r="S29" i="18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/>
  <c r="S51" i="18" a="1"/>
  <c r="S51" i="18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/>
  <c r="S64" i="18" a="1"/>
  <c r="S64" i="18" s="1"/>
  <c r="S65" i="18" a="1"/>
  <c r="S65" i="18" s="1"/>
  <c r="S66" i="18" a="1"/>
  <c r="S66" i="18"/>
  <c r="S67" i="18" a="1"/>
  <c r="S67" i="18" s="1"/>
  <c r="S68" i="18" a="1"/>
  <c r="S68" i="18"/>
  <c r="S69" i="18" a="1"/>
  <c r="S69" i="18"/>
  <c r="S70" i="18" a="1"/>
  <c r="S70" i="18" s="1"/>
  <c r="S71" i="18" a="1"/>
  <c r="S71" i="18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/>
  <c r="S84" i="18" a="1"/>
  <c r="S84" i="18" s="1"/>
  <c r="S85" i="18" a="1"/>
  <c r="S85" i="18" s="1"/>
  <c r="S86" i="18" a="1"/>
  <c r="S86" i="18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/>
  <c r="S93" i="18" a="1"/>
  <c r="S93" i="18" s="1"/>
  <c r="S94" i="18" a="1"/>
  <c r="S94" i="18" s="1"/>
  <c r="S95" i="18" a="1"/>
  <c r="S95" i="18" s="1"/>
  <c r="S96" i="18" a="1"/>
  <c r="S96" i="18" s="1"/>
  <c r="S97" i="18" a="1"/>
  <c r="S97" i="18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/>
  <c r="S106" i="18" a="1"/>
  <c r="S106" i="18" s="1"/>
  <c r="S107" i="18" a="1"/>
  <c r="S107" i="18" s="1"/>
  <c r="S108" i="18" a="1"/>
  <c r="S108" i="18" s="1"/>
  <c r="S109" i="18" a="1"/>
  <c r="S109" i="18"/>
  <c r="S110" i="18" a="1"/>
  <c r="S110" i="18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/>
  <c r="S116" i="18" a="1"/>
  <c r="S116" i="18" s="1"/>
  <c r="S117" i="18" a="1"/>
  <c r="S117" i="18" s="1"/>
  <c r="S118" i="18" a="1"/>
  <c r="S118" i="18" s="1"/>
  <c r="S119" i="18" a="1"/>
  <c r="S119" i="18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/>
  <c r="S126" i="18" a="1"/>
  <c r="S126" i="18" s="1"/>
  <c r="S127" i="18" a="1"/>
  <c r="S127" i="18"/>
  <c r="S128" i="18" a="1"/>
  <c r="S128" i="18"/>
  <c r="S129" i="18" a="1"/>
  <c r="S129" i="18" s="1"/>
  <c r="S130" i="18" a="1"/>
  <c r="S130" i="18" s="1"/>
  <c r="S131" i="18" a="1"/>
  <c r="S131" i="18" s="1"/>
  <c r="S132" i="18" a="1"/>
  <c r="S132" i="18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/>
  <c r="S154" i="18" a="1"/>
  <c r="S154" i="18" s="1"/>
  <c r="S155" i="18" a="1"/>
  <c r="S155" i="18"/>
  <c r="S156" i="18" a="1"/>
  <c r="S156" i="18" s="1"/>
  <c r="S157" i="18" a="1"/>
  <c r="S157" i="18" s="1"/>
  <c r="S158" i="18" a="1"/>
  <c r="S158" i="18"/>
  <c r="S159" i="18" a="1"/>
  <c r="S159" i="18" s="1"/>
  <c r="S160" i="18" a="1"/>
  <c r="S160" i="18" s="1"/>
  <c r="S161" i="18" a="1"/>
  <c r="S161" i="18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/>
  <c r="S172" i="18" a="1"/>
  <c r="S172" i="18" s="1"/>
  <c r="S173" i="18" a="1"/>
  <c r="S173" i="18" s="1"/>
  <c r="S174" i="18" a="1"/>
  <c r="S174" i="18"/>
  <c r="S175" i="18" a="1"/>
  <c r="S175" i="18" s="1"/>
  <c r="S176" i="18" a="1"/>
  <c r="S176" i="18" s="1"/>
  <c r="S177" i="18" a="1"/>
  <c r="S177" i="18"/>
  <c r="S178" i="18" a="1"/>
  <c r="S178" i="18" s="1"/>
  <c r="S179" i="18" a="1"/>
  <c r="S179" i="18" s="1"/>
  <c r="S180" i="18" a="1"/>
  <c r="S180" i="18" s="1"/>
  <c r="S181" i="18" a="1"/>
  <c r="S181" i="18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/>
  <c r="S211" i="18" a="1"/>
  <c r="S211" i="18" s="1"/>
  <c r="S212" i="18" a="1"/>
  <c r="S212" i="18" s="1"/>
  <c r="S213" i="18" a="1"/>
  <c r="S213" i="18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/>
  <c r="S228" i="18" a="1"/>
  <c r="S228" i="18"/>
  <c r="S229" i="18" a="1"/>
  <c r="S229" i="18" s="1"/>
  <c r="S230" i="18" a="1"/>
  <c r="S230" i="18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/>
  <c r="S267" i="18" a="1"/>
  <c r="S267" i="18" s="1"/>
  <c r="S268" i="18" a="1"/>
  <c r="S268" i="18" s="1"/>
  <c r="S269" i="18" a="1"/>
  <c r="S269" i="18"/>
  <c r="S270" i="18" a="1"/>
  <c r="S270" i="18" s="1"/>
  <c r="S271" i="18" a="1"/>
  <c r="S271" i="18" s="1"/>
  <c r="S272" i="18" a="1"/>
  <c r="S272" i="18"/>
  <c r="S273" i="18" a="1"/>
  <c r="S273" i="18" s="1"/>
  <c r="S274" i="18" a="1"/>
  <c r="S274" i="18" s="1"/>
  <c r="S275" i="18" a="1"/>
  <c r="S275" i="18" s="1"/>
  <c r="S276" i="18" a="1"/>
  <c r="S276" i="18"/>
  <c r="S277" i="18" a="1"/>
  <c r="S277" i="18" s="1"/>
  <c r="S278" i="18" a="1"/>
  <c r="S278" i="18" s="1"/>
  <c r="S279" i="18" a="1"/>
  <c r="S279" i="18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/>
  <c r="S309" i="18" a="1"/>
  <c r="S309" i="18" s="1"/>
  <c r="S310" i="18" a="1"/>
  <c r="S310" i="18" s="1"/>
  <c r="S311" i="18" a="1"/>
  <c r="S311" i="18" s="1"/>
  <c r="S312" i="18" a="1"/>
  <c r="S312" i="18"/>
  <c r="S313" i="18" a="1"/>
  <c r="S313" i="18" s="1"/>
  <c r="S314" i="18" a="1"/>
  <c r="S314" i="18" s="1"/>
  <c r="S315" i="18" a="1"/>
  <c r="S315" i="18"/>
  <c r="S316" i="18" a="1"/>
  <c r="S316" i="18" s="1"/>
  <c r="S317" i="18" a="1"/>
  <c r="S317" i="18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/>
  <c r="S352" i="18" a="1"/>
  <c r="S352" i="18" s="1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/>
  <c r="S361" i="18" a="1"/>
  <c r="S361" i="18"/>
  <c r="S362" i="18" a="1"/>
  <c r="S362" i="18" s="1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/>
  <c r="S370" i="18" a="1"/>
  <c r="S370" i="18" s="1"/>
  <c r="S371" i="18" a="1"/>
  <c r="S371" i="18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/>
  <c r="S398" i="18" a="1"/>
  <c r="S398" i="18" s="1"/>
  <c r="S399" i="18" a="1"/>
  <c r="S399" i="18"/>
  <c r="S400" i="18" a="1"/>
  <c r="S400" i="18" s="1"/>
  <c r="S401" i="18" a="1"/>
  <c r="S401" i="18" s="1"/>
  <c r="S402" i="18" a="1"/>
  <c r="S402" i="18"/>
  <c r="S403" i="18" a="1"/>
  <c r="S403" i="18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/>
  <c r="S417" i="18" a="1"/>
  <c r="S417" i="18" s="1"/>
  <c r="S418" i="18" a="1"/>
  <c r="S418" i="18" s="1"/>
  <c r="S419" i="18" a="1"/>
  <c r="S419" i="18"/>
  <c r="S420" i="18" a="1"/>
  <c r="S420" i="18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 s="1"/>
  <c r="S428" i="18" a="1"/>
  <c r="S428" i="18" s="1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/>
  <c r="S434" i="18" a="1"/>
  <c r="S434" i="18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S442" i="18" a="1"/>
  <c r="S442" i="18" s="1"/>
  <c r="S443" i="18" a="1"/>
  <c r="S443" i="18"/>
  <c r="S444" i="18" a="1"/>
  <c r="S444" i="18"/>
  <c r="S445" i="18" a="1"/>
  <c r="S445" i="18"/>
  <c r="S446" i="18" a="1"/>
  <c r="S446" i="18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 s="1"/>
  <c r="S458" i="18" a="1"/>
  <c r="S458" i="18"/>
  <c r="S459" i="18" a="1"/>
  <c r="S459" i="18"/>
  <c r="S460" i="18" a="1"/>
  <c r="S460" i="18" s="1"/>
  <c r="S461" i="18" a="1"/>
  <c r="S461" i="18" s="1"/>
  <c r="S462" i="18" a="1"/>
  <c r="S462" i="18" s="1"/>
  <c r="S463" i="18" a="1"/>
  <c r="S463" i="18" s="1"/>
  <c r="S464" i="18" a="1"/>
  <c r="S464" i="18" s="1"/>
  <c r="S465" i="18" a="1"/>
  <c r="S465" i="18" s="1"/>
  <c r="S466" i="18" a="1"/>
  <c r="S466" i="18" s="1"/>
  <c r="S467" i="18" a="1"/>
  <c r="S467" i="18" s="1"/>
  <c r="S468" i="18" a="1"/>
  <c r="S468" i="18" s="1"/>
  <c r="S469" i="18" a="1"/>
  <c r="S469" i="18"/>
  <c r="S470" i="18" a="1"/>
  <c r="S470" i="18" s="1"/>
  <c r="S471" i="18" a="1"/>
  <c r="S471" i="18" s="1"/>
  <c r="S472" i="18" a="1"/>
  <c r="S472" i="18" s="1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 s="1"/>
  <c r="S478" i="18" a="1"/>
  <c r="S478" i="18" s="1"/>
  <c r="S479" i="18" a="1"/>
  <c r="S479" i="18" s="1"/>
  <c r="S480" i="18" a="1"/>
  <c r="S480" i="18" s="1"/>
  <c r="S481" i="18" a="1"/>
  <c r="S481" i="18" s="1"/>
  <c r="S482" i="18" a="1"/>
  <c r="S482" i="18" s="1"/>
  <c r="S483" i="18" a="1"/>
  <c r="S483" i="18" s="1"/>
  <c r="S484" i="18" a="1"/>
  <c r="S484" i="18" s="1"/>
  <c r="S485" i="18" a="1"/>
  <c r="S485" i="18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/>
  <c r="S492" i="18" a="1"/>
  <c r="S492" i="18"/>
  <c r="S493" i="18" a="1"/>
  <c r="S493" i="18" s="1"/>
  <c r="S494" i="18" a="1"/>
  <c r="S494" i="18" s="1"/>
  <c r="S495" i="18" a="1"/>
  <c r="S495" i="18"/>
  <c r="S496" i="18" a="1"/>
  <c r="S496" i="18" s="1"/>
  <c r="S497" i="18" a="1"/>
  <c r="S497" i="18" s="1"/>
  <c r="S498" i="18" a="1"/>
  <c r="S498" i="18" s="1"/>
  <c r="S499" i="18" a="1"/>
  <c r="S499" i="18" s="1"/>
  <c r="S500" i="18" a="1"/>
  <c r="S500" i="18" s="1"/>
  <c r="S501" i="18" a="1"/>
  <c r="S501" i="18" s="1"/>
  <c r="S502" i="18" a="1"/>
  <c r="S502" i="18" s="1"/>
  <c r="S503" i="18" a="1"/>
  <c r="S503" i="18" s="1"/>
  <c r="S504" i="18" a="1"/>
  <c r="S504" i="18" s="1"/>
  <c r="S505" i="18" a="1"/>
  <c r="S505" i="18" s="1"/>
  <c r="S506" i="18" a="1"/>
  <c r="S506" i="18"/>
  <c r="S507" i="18" a="1"/>
  <c r="S507" i="18" s="1"/>
  <c r="S508" i="18" a="1"/>
  <c r="S508" i="18" s="1"/>
  <c r="S509" i="18" a="1"/>
  <c r="S509" i="18" s="1"/>
  <c r="S510" i="18" a="1"/>
  <c r="S510" i="18" s="1"/>
  <c r="S511" i="18" a="1"/>
  <c r="S511" i="18" s="1"/>
  <c r="S512" i="18" a="1"/>
  <c r="S512" i="18" s="1"/>
  <c r="S513" i="18" a="1"/>
  <c r="S513" i="18" s="1"/>
  <c r="S514" i="18" a="1"/>
  <c r="S514" i="18" s="1"/>
  <c r="S515" i="18" a="1"/>
  <c r="S515" i="18" s="1"/>
  <c r="S516" i="18" a="1"/>
  <c r="S516" i="18" s="1"/>
  <c r="S517" i="18" a="1"/>
  <c r="S517" i="18" s="1"/>
  <c r="S518" i="18" a="1"/>
  <c r="S518" i="18"/>
  <c r="S519" i="18" a="1"/>
  <c r="S519" i="18"/>
  <c r="S520" i="18" a="1"/>
  <c r="S520" i="18" s="1"/>
  <c r="S521" i="18" a="1"/>
  <c r="S521" i="18" s="1"/>
  <c r="S522" i="18" a="1"/>
  <c r="S522" i="18" s="1"/>
  <c r="S523" i="18" a="1"/>
  <c r="S523" i="18" s="1"/>
  <c r="S524" i="18" a="1"/>
  <c r="S524" i="18"/>
  <c r="S525" i="18" a="1"/>
  <c r="S525" i="18" s="1"/>
  <c r="S526" i="18" a="1"/>
  <c r="S526" i="18" s="1"/>
  <c r="S527" i="18" a="1"/>
  <c r="S527" i="18" s="1"/>
  <c r="S528" i="18" a="1"/>
  <c r="S528" i="18"/>
  <c r="S529" i="18" a="1"/>
  <c r="S529" i="18"/>
  <c r="S530" i="18" a="1"/>
  <c r="S530" i="18" s="1"/>
  <c r="S531" i="18" a="1"/>
  <c r="S531" i="18" s="1"/>
  <c r="S532" i="18" a="1"/>
  <c r="S532" i="18" s="1"/>
  <c r="S533" i="18" a="1"/>
  <c r="S533" i="18" s="1"/>
  <c r="S534" i="18" a="1"/>
  <c r="S534" i="18" s="1"/>
  <c r="S535" i="18" a="1"/>
  <c r="S535" i="18" s="1"/>
  <c r="S536" i="18" a="1"/>
  <c r="S536" i="18" s="1"/>
  <c r="S537" i="18" a="1"/>
  <c r="S537" i="18"/>
  <c r="S538" i="18" a="1"/>
  <c r="S538" i="18" s="1"/>
  <c r="S539" i="18" a="1"/>
  <c r="S539" i="18" s="1"/>
  <c r="S540" i="18" a="1"/>
  <c r="S540" i="18" s="1"/>
  <c r="S541" i="18" a="1"/>
  <c r="S541" i="18"/>
  <c r="S542" i="18" a="1"/>
  <c r="S542" i="18" s="1"/>
  <c r="S543" i="18" a="1"/>
  <c r="S543" i="18" s="1"/>
  <c r="S544" i="18" a="1"/>
  <c r="S544" i="18" s="1"/>
  <c r="S545" i="18" a="1"/>
  <c r="S545" i="18" s="1"/>
  <c r="S546" i="18" a="1"/>
  <c r="S546" i="18" s="1"/>
  <c r="S547" i="18" a="1"/>
  <c r="S547" i="18" s="1"/>
  <c r="S548" i="18" a="1"/>
  <c r="S548" i="18" s="1"/>
  <c r="S549" i="18" a="1"/>
  <c r="S549" i="18" s="1"/>
  <c r="S550" i="18" a="1"/>
  <c r="S550" i="18" s="1"/>
  <c r="S551" i="18" a="1"/>
  <c r="S551" i="18" s="1"/>
  <c r="S552" i="18" a="1"/>
  <c r="S552" i="18" s="1"/>
  <c r="S553" i="18" a="1"/>
  <c r="S553" i="18" s="1"/>
  <c r="S554" i="18" a="1"/>
  <c r="S554" i="18"/>
  <c r="S555" i="18" a="1"/>
  <c r="S555" i="18" s="1"/>
  <c r="S556" i="18" a="1"/>
  <c r="S556" i="18" s="1"/>
  <c r="S557" i="18" a="1"/>
  <c r="S557" i="18" s="1"/>
  <c r="S558" i="18" a="1"/>
  <c r="S558" i="18" s="1"/>
  <c r="S559" i="18" a="1"/>
  <c r="S559" i="18" s="1"/>
  <c r="S560" i="18" a="1"/>
  <c r="S560" i="18" s="1"/>
  <c r="S561" i="18" a="1"/>
  <c r="S561" i="18" s="1"/>
  <c r="S562" i="18" a="1"/>
  <c r="S562" i="18" s="1"/>
  <c r="S563" i="18" a="1"/>
  <c r="S563" i="18"/>
  <c r="S564" i="18" a="1"/>
  <c r="S564" i="18"/>
  <c r="S565" i="18" a="1"/>
  <c r="S565" i="18" s="1"/>
  <c r="S566" i="18" a="1"/>
  <c r="S566" i="18" s="1"/>
  <c r="S567" i="18" a="1"/>
  <c r="S567" i="18" s="1"/>
  <c r="S568" i="18" a="1"/>
  <c r="S568" i="18" s="1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/>
  <c r="S574" i="18" a="1"/>
  <c r="S574" i="18" s="1"/>
  <c r="S575" i="18" a="1"/>
  <c r="S575" i="18" s="1"/>
  <c r="S576" i="18" a="1"/>
  <c r="S576" i="18" s="1"/>
  <c r="S577" i="18" a="1"/>
  <c r="S577" i="18" s="1"/>
  <c r="S578" i="18" a="1"/>
  <c r="S578" i="18" s="1"/>
  <c r="S579" i="18" a="1"/>
  <c r="S579" i="18" s="1"/>
  <c r="S580" i="18" a="1"/>
  <c r="S580" i="18" s="1"/>
  <c r="S581" i="18" a="1"/>
  <c r="S581" i="18" s="1"/>
  <c r="S582" i="18" a="1"/>
  <c r="S582" i="18" s="1"/>
  <c r="S583" i="18" a="1"/>
  <c r="S583" i="18" s="1"/>
  <c r="S584" i="18" a="1"/>
  <c r="S584" i="18" s="1"/>
  <c r="S585" i="18" a="1"/>
  <c r="S585" i="18" s="1"/>
  <c r="S586" i="18" a="1"/>
  <c r="S586" i="18" s="1"/>
  <c r="S587" i="18" a="1"/>
  <c r="S587" i="18" s="1"/>
  <c r="S588" i="18" a="1"/>
  <c r="S588" i="18" s="1"/>
  <c r="S589" i="18" a="1"/>
  <c r="S589" i="18" s="1"/>
  <c r="S590" i="18" a="1"/>
  <c r="S590" i="18" s="1"/>
  <c r="S591" i="18" a="1"/>
  <c r="S591" i="18" s="1"/>
  <c r="S592" i="18" a="1"/>
  <c r="S592" i="18" s="1"/>
  <c r="S593" i="18" a="1"/>
  <c r="S593" i="18" s="1"/>
  <c r="S594" i="18" a="1"/>
  <c r="S594" i="18" s="1"/>
  <c r="S595" i="18" a="1"/>
  <c r="S595" i="18" s="1"/>
  <c r="S596" i="18" a="1"/>
  <c r="S596" i="18"/>
  <c r="S597" i="18" a="1"/>
  <c r="S597" i="18" s="1"/>
  <c r="S598" i="18" a="1"/>
  <c r="S598" i="18" s="1"/>
  <c r="S599" i="18" a="1"/>
  <c r="S599" i="18" s="1"/>
  <c r="S600" i="18" a="1"/>
  <c r="S600" i="18"/>
  <c r="S601" i="18" a="1"/>
  <c r="S601" i="18" s="1"/>
  <c r="S602" i="18" a="1"/>
  <c r="S602" i="18" s="1"/>
  <c r="S603" i="18" a="1"/>
  <c r="S603" i="18"/>
  <c r="S604" i="18" a="1"/>
  <c r="S604" i="18" s="1"/>
  <c r="S605" i="18" a="1"/>
  <c r="S605" i="18" s="1"/>
  <c r="S606" i="18" a="1"/>
  <c r="S606" i="18" s="1"/>
  <c r="S607" i="18" a="1"/>
  <c r="S607" i="18" s="1"/>
  <c r="S608" i="18" a="1"/>
  <c r="S608" i="18" s="1"/>
  <c r="S609" i="18" a="1"/>
  <c r="S609" i="18" s="1"/>
  <c r="S610" i="18" a="1"/>
  <c r="S610" i="18" s="1"/>
  <c r="S611" i="18" a="1"/>
  <c r="S611" i="18" s="1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 s="1"/>
  <c r="S617" i="18" a="1"/>
  <c r="S617" i="18" s="1"/>
  <c r="S618" i="18" a="1"/>
  <c r="S618" i="18" s="1"/>
  <c r="S619" i="18" a="1"/>
  <c r="S619" i="18"/>
  <c r="S620" i="18" a="1"/>
  <c r="S620" i="18" s="1"/>
  <c r="S621" i="18" a="1"/>
  <c r="S621" i="18" s="1"/>
  <c r="S622" i="18" a="1"/>
  <c r="S622" i="18" s="1"/>
  <c r="S623" i="18" a="1"/>
  <c r="S623" i="18"/>
  <c r="S624" i="18" a="1"/>
  <c r="S624" i="18" s="1"/>
  <c r="S625" i="18" a="1"/>
  <c r="S625" i="18" s="1"/>
  <c r="S626" i="18" a="1"/>
  <c r="S626" i="18" s="1"/>
  <c r="S627" i="18" a="1"/>
  <c r="S627" i="18" s="1"/>
  <c r="S628" i="18" a="1"/>
  <c r="S628" i="18" s="1"/>
  <c r="S629" i="18" a="1"/>
  <c r="S629" i="18" s="1"/>
  <c r="S630" i="18" a="1"/>
  <c r="S630" i="18" s="1"/>
  <c r="S631" i="18" a="1"/>
  <c r="S631" i="18" s="1"/>
  <c r="S632" i="18" a="1"/>
  <c r="S632" i="18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 s="1"/>
  <c r="S638" i="18" a="1"/>
  <c r="S638" i="18" s="1"/>
  <c r="S639" i="18" a="1"/>
  <c r="S639" i="18"/>
  <c r="S640" i="18" a="1"/>
  <c r="S640" i="18" s="1"/>
  <c r="S641" i="18" a="1"/>
  <c r="S641" i="18" s="1"/>
  <c r="S642" i="18" a="1"/>
  <c r="S642" i="18" s="1"/>
  <c r="S643" i="18" a="1"/>
  <c r="S643" i="18" s="1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/>
  <c r="S649" i="18" a="1"/>
  <c r="S649" i="18"/>
  <c r="S650" i="18" a="1"/>
  <c r="S650" i="18" s="1"/>
  <c r="S651" i="18" a="1"/>
  <c r="S651" i="18" s="1"/>
  <c r="S652" i="18" a="1"/>
  <c r="S652" i="18" s="1"/>
  <c r="S653" i="18" a="1"/>
  <c r="S653" i="18" s="1"/>
  <c r="S654" i="18" a="1"/>
  <c r="S654" i="18" s="1"/>
  <c r="S655" i="18" a="1"/>
  <c r="S655" i="18"/>
  <c r="S656" i="18" a="1"/>
  <c r="S656" i="18" s="1"/>
  <c r="S657" i="18" a="1"/>
  <c r="S657" i="18" s="1"/>
  <c r="S658" i="18" a="1"/>
  <c r="S658" i="18" s="1"/>
  <c r="S659" i="18" a="1"/>
  <c r="S659" i="18"/>
  <c r="S660" i="18" a="1"/>
  <c r="S660" i="18" s="1"/>
  <c r="S661" i="18" a="1"/>
  <c r="S661" i="18"/>
  <c r="S662" i="18" a="1"/>
  <c r="S662" i="18"/>
  <c r="S663" i="18" a="1"/>
  <c r="S663" i="18" s="1"/>
  <c r="S664" i="18" a="1"/>
  <c r="S664" i="18" s="1"/>
  <c r="S665" i="18" a="1"/>
  <c r="S665" i="18" s="1"/>
  <c r="S666" i="18" a="1"/>
  <c r="S666" i="18" s="1"/>
  <c r="S667" i="18" a="1"/>
  <c r="S667" i="18" s="1"/>
  <c r="S668" i="18" a="1"/>
  <c r="S668" i="18"/>
  <c r="S669" i="18" a="1"/>
  <c r="S669" i="18" s="1"/>
  <c r="S670" i="18" a="1"/>
  <c r="S670" i="18" s="1"/>
  <c r="S671" i="18" a="1"/>
  <c r="S671" i="18" s="1"/>
  <c r="S672" i="18" a="1"/>
  <c r="S672" i="18" s="1"/>
  <c r="S673" i="18" a="1"/>
  <c r="S673" i="18" s="1"/>
  <c r="S674" i="18" a="1"/>
  <c r="S674" i="18" s="1"/>
  <c r="S675" i="18" a="1"/>
  <c r="S675" i="18" s="1"/>
  <c r="S676" i="18" a="1"/>
  <c r="S676" i="18" s="1"/>
  <c r="S677" i="18" a="1"/>
  <c r="S677" i="18" s="1"/>
  <c r="S678" i="18" a="1"/>
  <c r="S678" i="18"/>
  <c r="S679" i="18" a="1"/>
  <c r="S679" i="18" s="1"/>
  <c r="S680" i="18" a="1"/>
  <c r="S680" i="18" s="1"/>
  <c r="S681" i="18" a="1"/>
  <c r="S681" i="18"/>
  <c r="S682" i="18" a="1"/>
  <c r="S682" i="18" s="1"/>
  <c r="S683" i="18" a="1"/>
  <c r="S683" i="18" s="1"/>
  <c r="S684" i="18" a="1"/>
  <c r="S684" i="18" s="1"/>
  <c r="S685" i="18" a="1"/>
  <c r="S685" i="18"/>
  <c r="S686" i="18" a="1"/>
  <c r="S686" i="18" s="1"/>
  <c r="S687" i="18" a="1"/>
  <c r="S687" i="18"/>
  <c r="S688" i="18" a="1"/>
  <c r="S688" i="18" s="1"/>
  <c r="S689" i="18" a="1"/>
  <c r="S689" i="18" s="1"/>
  <c r="S690" i="18" a="1"/>
  <c r="S690" i="18" s="1"/>
  <c r="S691" i="18" a="1"/>
  <c r="S691" i="18" s="1"/>
  <c r="S692" i="18" a="1"/>
  <c r="S692" i="18" s="1"/>
  <c r="S693" i="18" a="1"/>
  <c r="S693" i="18" s="1"/>
  <c r="S694" i="18" a="1"/>
  <c r="S694" i="18" s="1"/>
  <c r="S695" i="18" a="1"/>
  <c r="S695" i="18"/>
  <c r="S696" i="18" a="1"/>
  <c r="S696" i="18" s="1"/>
  <c r="S697" i="18" a="1"/>
  <c r="S697" i="18" s="1"/>
  <c r="S698" i="18" a="1"/>
  <c r="S698" i="18"/>
  <c r="S699" i="18" a="1"/>
  <c r="S699" i="18" s="1"/>
  <c r="S700" i="18" a="1"/>
  <c r="S700" i="18" s="1"/>
  <c r="S701" i="18" a="1"/>
  <c r="S701" i="18" s="1"/>
  <c r="S702" i="18" a="1"/>
  <c r="S702" i="18" s="1"/>
  <c r="S703" i="18" a="1"/>
  <c r="S703" i="18" s="1"/>
  <c r="S704" i="18" a="1"/>
  <c r="S704" i="18"/>
  <c r="S705" i="18" a="1"/>
  <c r="S705" i="18" s="1"/>
  <c r="S706" i="18" a="1"/>
  <c r="S706" i="18" s="1"/>
  <c r="S707" i="18" a="1"/>
  <c r="S707" i="18"/>
  <c r="S708" i="18" a="1"/>
  <c r="S708" i="18"/>
  <c r="S709" i="18" a="1"/>
  <c r="S709" i="18" s="1"/>
  <c r="S710" i="18" a="1"/>
  <c r="S710" i="18" s="1"/>
  <c r="S711" i="18" a="1"/>
  <c r="S711" i="18" s="1"/>
  <c r="S712" i="18" a="1"/>
  <c r="S712" i="18" s="1"/>
  <c r="S713" i="18" a="1"/>
  <c r="S713" i="18" s="1"/>
  <c r="S714" i="18" a="1"/>
  <c r="S714" i="18" s="1"/>
  <c r="S715" i="18" a="1"/>
  <c r="S715" i="18" s="1"/>
  <c r="S716" i="18" a="1"/>
  <c r="S716" i="18" s="1"/>
  <c r="S717" i="18" a="1"/>
  <c r="S717" i="18" s="1"/>
  <c r="S718" i="18" a="1"/>
  <c r="S718" i="18" s="1"/>
  <c r="S719" i="18" a="1"/>
  <c r="S719" i="18" s="1"/>
  <c r="S720" i="18" a="1"/>
  <c r="S720" i="18"/>
  <c r="S721" i="18" a="1"/>
  <c r="S721" i="18" s="1"/>
  <c r="S722" i="18" a="1"/>
  <c r="S722" i="18" s="1"/>
  <c r="S723" i="18" a="1"/>
  <c r="S723" i="18" s="1"/>
  <c r="S724" i="18" a="1"/>
  <c r="S724" i="18" s="1"/>
  <c r="S725" i="18" a="1"/>
  <c r="S725" i="18" s="1"/>
  <c r="S726" i="18" a="1"/>
  <c r="S726" i="18" s="1"/>
  <c r="S727" i="18" a="1"/>
  <c r="S727" i="18"/>
  <c r="S728" i="18" a="1"/>
  <c r="S728" i="18" s="1"/>
  <c r="S729" i="18" a="1"/>
  <c r="S729" i="18" s="1"/>
  <c r="S730" i="18" a="1"/>
  <c r="S730" i="18" s="1"/>
  <c r="S731" i="18" a="1"/>
  <c r="S731" i="18" s="1"/>
  <c r="S732" i="18" a="1"/>
  <c r="S732" i="18" s="1"/>
  <c r="S733" i="18" a="1"/>
  <c r="S733" i="18" s="1"/>
  <c r="S734" i="18" a="1"/>
  <c r="S734" i="18" s="1"/>
  <c r="S735" i="18" a="1"/>
  <c r="S735" i="18" s="1"/>
  <c r="S736" i="18" a="1"/>
  <c r="S736" i="18" s="1"/>
  <c r="S737" i="18" a="1"/>
  <c r="S737" i="18"/>
  <c r="S738" i="18" a="1"/>
  <c r="S738" i="18" s="1"/>
  <c r="S739" i="18" a="1"/>
  <c r="S739" i="18" s="1"/>
  <c r="S740" i="18" a="1"/>
  <c r="S740" i="18" s="1"/>
  <c r="S741" i="18" a="1"/>
  <c r="S741" i="18" s="1"/>
  <c r="S742" i="18" a="1"/>
  <c r="S742" i="18" s="1"/>
  <c r="S743" i="18" a="1"/>
  <c r="S743" i="18" s="1"/>
  <c r="S744" i="18" a="1"/>
  <c r="S744" i="18" s="1"/>
  <c r="S745" i="18" a="1"/>
  <c r="S745" i="18" s="1"/>
  <c r="S746" i="18" a="1"/>
  <c r="S746" i="18"/>
  <c r="S747" i="18" a="1"/>
  <c r="S747" i="18" s="1"/>
  <c r="S748" i="18" a="1"/>
  <c r="S748" i="18" s="1"/>
  <c r="S749" i="18" a="1"/>
  <c r="S749" i="18" s="1"/>
  <c r="S750" i="18" a="1"/>
  <c r="S750" i="18"/>
  <c r="S751" i="18" a="1"/>
  <c r="S751" i="18"/>
  <c r="S752" i="18" a="1"/>
  <c r="S752" i="18" s="1"/>
  <c r="S753" i="18" a="1"/>
  <c r="S753" i="18" s="1"/>
  <c r="S754" i="18" a="1"/>
  <c r="S754" i="18" s="1"/>
  <c r="S755" i="18" a="1"/>
  <c r="S755" i="18"/>
  <c r="S756" i="18" a="1"/>
  <c r="S756" i="18" s="1"/>
  <c r="S757" i="18" a="1"/>
  <c r="S757" i="18" s="1"/>
  <c r="S758" i="18" a="1"/>
  <c r="S758" i="18" s="1"/>
  <c r="S759" i="18" a="1"/>
  <c r="S759" i="18" s="1"/>
  <c r="S760" i="18" a="1"/>
  <c r="S760" i="18" s="1"/>
  <c r="S761" i="18" a="1"/>
  <c r="S761" i="18" s="1"/>
  <c r="S762" i="18" a="1"/>
  <c r="S762" i="18" s="1"/>
  <c r="S763" i="18" a="1"/>
  <c r="S763" i="18"/>
  <c r="S764" i="18" a="1"/>
  <c r="S764" i="18" s="1"/>
  <c r="S765" i="18" a="1"/>
  <c r="S765" i="18" s="1"/>
  <c r="S766" i="18" a="1"/>
  <c r="S766" i="18" s="1"/>
  <c r="S767" i="18" a="1"/>
  <c r="S767" i="18"/>
  <c r="S768" i="18" a="1"/>
  <c r="S768" i="18" s="1"/>
  <c r="S769" i="18" a="1"/>
  <c r="S769" i="18" s="1"/>
  <c r="S770" i="18" a="1"/>
  <c r="S770" i="18" s="1"/>
  <c r="S771" i="18" a="1"/>
  <c r="S771" i="18" s="1"/>
  <c r="S772" i="18" a="1"/>
  <c r="S772" i="18" s="1"/>
  <c r="S773" i="18" a="1"/>
  <c r="S773" i="18" s="1"/>
  <c r="S774" i="18" a="1"/>
  <c r="S774" i="18" s="1"/>
  <c r="S775" i="18" a="1"/>
  <c r="S775" i="18" s="1"/>
  <c r="S776" i="18" a="1"/>
  <c r="S776" i="18"/>
  <c r="S777" i="18" a="1"/>
  <c r="S777" i="18" s="1"/>
  <c r="S778" i="18" a="1"/>
  <c r="S778" i="18" s="1"/>
  <c r="S779" i="18" a="1"/>
  <c r="S779" i="18"/>
  <c r="S780" i="18" a="1"/>
  <c r="S780" i="18" s="1"/>
  <c r="S781" i="18" a="1"/>
  <c r="S781" i="18" s="1"/>
  <c r="S782" i="18" a="1"/>
  <c r="S782" i="18"/>
  <c r="S783" i="18" a="1"/>
  <c r="S783" i="18" s="1"/>
  <c r="S784" i="18" a="1"/>
  <c r="S784" i="18" s="1"/>
  <c r="S785" i="18" a="1"/>
  <c r="S785" i="18" s="1"/>
  <c r="S786" i="18" a="1"/>
  <c r="S786" i="18" s="1"/>
  <c r="S787" i="18" a="1"/>
  <c r="S787" i="18" s="1"/>
  <c r="S788" i="18" a="1"/>
  <c r="S788" i="18" s="1"/>
  <c r="S789" i="18" a="1"/>
  <c r="S789" i="18" s="1"/>
  <c r="S790" i="18" a="1"/>
  <c r="S790" i="18" s="1"/>
  <c r="S791" i="18" a="1"/>
  <c r="S791" i="18" s="1"/>
  <c r="S792" i="18" a="1"/>
  <c r="S792" i="18" s="1"/>
  <c r="S793" i="18" a="1"/>
  <c r="S793" i="18"/>
  <c r="S794" i="18" a="1"/>
  <c r="S794" i="18" s="1"/>
  <c r="S795" i="18" a="1"/>
  <c r="S795" i="18" s="1"/>
  <c r="S796" i="18" a="1"/>
  <c r="S796" i="18"/>
  <c r="S797" i="18" a="1"/>
  <c r="S797" i="18" s="1"/>
  <c r="S798" i="18" a="1"/>
  <c r="S798" i="18" s="1"/>
  <c r="S799" i="18" a="1"/>
  <c r="S799" i="18" s="1"/>
  <c r="S800" i="18" a="1"/>
  <c r="S800" i="18" s="1"/>
  <c r="S801" i="18" a="1"/>
  <c r="S801" i="18" s="1"/>
  <c r="S802" i="18" a="1"/>
  <c r="S802" i="18" s="1"/>
  <c r="S803" i="18" a="1"/>
  <c r="S803" i="18" s="1"/>
  <c r="S804" i="18" a="1"/>
  <c r="S804" i="18" s="1"/>
  <c r="S805" i="18" a="1"/>
  <c r="S805" i="18" s="1"/>
  <c r="S806" i="18" a="1"/>
  <c r="S806" i="18"/>
  <c r="S807" i="18" a="1"/>
  <c r="S807" i="18" s="1"/>
  <c r="S808" i="18" a="1"/>
  <c r="S808" i="18" s="1"/>
  <c r="S809" i="18" a="1"/>
  <c r="S809" i="18"/>
  <c r="S810" i="18" a="1"/>
  <c r="S810" i="18" s="1"/>
  <c r="S811" i="18" a="1"/>
  <c r="S811" i="18" s="1"/>
  <c r="S812" i="18" a="1"/>
  <c r="S812" i="18"/>
  <c r="S813" i="18" a="1"/>
  <c r="S813" i="18" s="1"/>
  <c r="S814" i="18" a="1"/>
  <c r="S814" i="18" s="1"/>
  <c r="S815" i="18" a="1"/>
  <c r="S815" i="18" s="1"/>
  <c r="S816" i="18" a="1"/>
  <c r="S816" i="18" s="1"/>
  <c r="S817" i="18" a="1"/>
  <c r="S817" i="18" s="1"/>
  <c r="S818" i="18" a="1"/>
  <c r="S818" i="18"/>
  <c r="S819" i="18" a="1"/>
  <c r="S819" i="18" s="1"/>
  <c r="S820" i="18" a="1"/>
  <c r="S820" i="18" s="1"/>
  <c r="S821" i="18" a="1"/>
  <c r="S821" i="18" s="1"/>
  <c r="S822" i="18" a="1"/>
  <c r="S822" i="18"/>
  <c r="S823" i="18" a="1"/>
  <c r="S823" i="18" s="1"/>
  <c r="S824" i="18" a="1"/>
  <c r="S824" i="18" s="1"/>
  <c r="S825" i="18" a="1"/>
  <c r="S825" i="18" s="1"/>
  <c r="S826" i="18" a="1"/>
  <c r="S826" i="18"/>
  <c r="S827" i="18" a="1"/>
  <c r="S827" i="18" s="1"/>
  <c r="S828" i="18" a="1"/>
  <c r="S828" i="18" s="1"/>
  <c r="S829" i="18" a="1"/>
  <c r="S829" i="18" s="1"/>
  <c r="S830" i="18" a="1"/>
  <c r="S830" i="18" s="1"/>
  <c r="S831" i="18" a="1"/>
  <c r="S831" i="18" s="1"/>
  <c r="S832" i="18" a="1"/>
  <c r="S832" i="18" s="1"/>
  <c r="S833" i="18" a="1"/>
  <c r="S833" i="18" s="1"/>
  <c r="S834" i="18" a="1"/>
  <c r="S834" i="18" s="1"/>
  <c r="S835" i="18" a="1"/>
  <c r="S835" i="18"/>
  <c r="S836" i="18" a="1"/>
  <c r="S836" i="18" s="1"/>
  <c r="S837" i="18" a="1"/>
  <c r="S837" i="18" s="1"/>
  <c r="S838" i="18" a="1"/>
  <c r="S838" i="18" s="1"/>
  <c r="S839" i="18" a="1"/>
  <c r="S839" i="18" s="1"/>
  <c r="S840" i="18" a="1"/>
  <c r="S840" i="18" s="1"/>
  <c r="S841" i="18" a="1"/>
  <c r="S841" i="18"/>
  <c r="S842" i="18" a="1"/>
  <c r="S842" i="18" s="1"/>
  <c r="S843" i="18" a="1"/>
  <c r="S843" i="18" s="1"/>
  <c r="S844" i="18" a="1"/>
  <c r="S844" i="18" s="1"/>
  <c r="S845" i="18" a="1"/>
  <c r="S845" i="18"/>
  <c r="S846" i="18" a="1"/>
  <c r="S846" i="18" s="1"/>
  <c r="S847" i="18" a="1"/>
  <c r="S847" i="18" s="1"/>
  <c r="S848" i="18" a="1"/>
  <c r="S848" i="18" s="1"/>
  <c r="S849" i="18" a="1"/>
  <c r="S849" i="18" s="1"/>
  <c r="S850" i="18" a="1"/>
  <c r="S850" i="18" s="1"/>
  <c r="S851" i="18" a="1"/>
  <c r="S851" i="18"/>
  <c r="S852" i="18" a="1"/>
  <c r="S852" i="18"/>
  <c r="S853" i="18" a="1"/>
  <c r="S853" i="18" s="1"/>
  <c r="S854" i="18" a="1"/>
  <c r="S854" i="18"/>
  <c r="S855" i="18" a="1"/>
  <c r="S855" i="18" s="1"/>
  <c r="S856" i="18" a="1"/>
  <c r="S856" i="18" s="1"/>
  <c r="S857" i="18" a="1"/>
  <c r="S857" i="18" s="1"/>
  <c r="S858" i="18" a="1"/>
  <c r="S858" i="18" s="1"/>
  <c r="S859" i="18" a="1"/>
  <c r="S859" i="18"/>
  <c r="S860" i="18" a="1"/>
  <c r="S860" i="18" s="1"/>
  <c r="S861" i="18" a="1"/>
  <c r="S861" i="18" s="1"/>
  <c r="S862" i="18" a="1"/>
  <c r="S862" i="18" s="1"/>
  <c r="S863" i="18" a="1"/>
  <c r="S863" i="18" s="1"/>
  <c r="S864" i="18" a="1"/>
  <c r="S864" i="18" s="1"/>
  <c r="S865" i="18" a="1"/>
  <c r="S865" i="18" s="1"/>
  <c r="S866" i="18" a="1"/>
  <c r="S866" i="18" s="1"/>
  <c r="S867" i="18" a="1"/>
  <c r="S867" i="18" s="1"/>
  <c r="S868" i="18" a="1"/>
  <c r="S868" i="18"/>
  <c r="S869" i="18" a="1"/>
  <c r="S869" i="18" s="1"/>
  <c r="S870" i="18" a="1"/>
  <c r="S870" i="18" s="1"/>
  <c r="S871" i="18" a="1"/>
  <c r="S871" i="18" s="1"/>
  <c r="S872" i="18" a="1"/>
  <c r="S872" i="18"/>
  <c r="S873" i="18" a="1"/>
  <c r="S873" i="18" s="1"/>
  <c r="S874" i="18" a="1"/>
  <c r="S874" i="18" s="1"/>
  <c r="S875" i="18" a="1"/>
  <c r="S875" i="18" s="1"/>
  <c r="S876" i="18" a="1"/>
  <c r="S876" i="18" s="1"/>
  <c r="S877" i="18" a="1"/>
  <c r="S877" i="18"/>
  <c r="S878" i="18" a="1"/>
  <c r="S878" i="18"/>
  <c r="S879" i="18" a="1"/>
  <c r="S879" i="18" s="1"/>
  <c r="S880" i="18" a="1"/>
  <c r="S880" i="18"/>
  <c r="S881" i="18" a="1"/>
  <c r="S881" i="18"/>
  <c r="S882" i="18" a="1"/>
  <c r="S882" i="18" s="1"/>
  <c r="S883" i="18" a="1"/>
  <c r="S883" i="18" s="1"/>
  <c r="S884" i="18" a="1"/>
  <c r="S884" i="18" s="1"/>
  <c r="S885" i="18" a="1"/>
  <c r="S885" i="18" s="1"/>
  <c r="S886" i="18" a="1"/>
  <c r="S886" i="18" s="1"/>
  <c r="S887" i="18" a="1"/>
  <c r="S887" i="18"/>
  <c r="S888" i="18" a="1"/>
  <c r="S888" i="18" s="1"/>
  <c r="S889" i="18" a="1"/>
  <c r="S889" i="18" s="1"/>
  <c r="S890" i="18" a="1"/>
  <c r="S890" i="18" s="1"/>
  <c r="S891" i="18" a="1"/>
  <c r="S891" i="18" s="1"/>
  <c r="S892" i="18" a="1"/>
  <c r="S892" i="18"/>
  <c r="S893" i="18" a="1"/>
  <c r="S893" i="18" s="1"/>
  <c r="S894" i="18" a="1"/>
  <c r="S894" i="18" s="1"/>
  <c r="S895" i="18" a="1"/>
  <c r="S895" i="18" s="1"/>
  <c r="S896" i="18" a="1"/>
  <c r="S896" i="18" s="1"/>
  <c r="S897" i="18" a="1"/>
  <c r="S897" i="18" s="1"/>
  <c r="S898" i="18" a="1"/>
  <c r="S898" i="18" s="1"/>
  <c r="S899" i="18" a="1"/>
  <c r="S899" i="18" s="1"/>
  <c r="S900" i="18" a="1"/>
  <c r="S900" i="18"/>
  <c r="S901" i="18" a="1"/>
  <c r="S901" i="18" s="1"/>
  <c r="S902" i="18" a="1"/>
  <c r="S902" i="18" s="1"/>
  <c r="S903" i="18" a="1"/>
  <c r="S903" i="18" s="1"/>
  <c r="S904" i="18" a="1"/>
  <c r="S904" i="18" s="1"/>
  <c r="S905" i="18" a="1"/>
  <c r="S905" i="18"/>
  <c r="S906" i="18" a="1"/>
  <c r="S906" i="18"/>
  <c r="S907" i="18" a="1"/>
  <c r="S907" i="18"/>
  <c r="S908" i="18" a="1"/>
  <c r="S908" i="18" s="1"/>
  <c r="S909" i="18" a="1"/>
  <c r="S909" i="18" s="1"/>
  <c r="S910" i="18" a="1"/>
  <c r="S910" i="18" s="1"/>
  <c r="S911" i="18" a="1"/>
  <c r="S911" i="18" s="1"/>
  <c r="S912" i="18" a="1"/>
  <c r="S912" i="18" s="1"/>
  <c r="S913" i="18" a="1"/>
  <c r="S913" i="18" s="1"/>
  <c r="S914" i="18" a="1"/>
  <c r="S914" i="18" s="1"/>
  <c r="S915" i="18" a="1"/>
  <c r="S915" i="18" s="1"/>
  <c r="S916" i="18" a="1"/>
  <c r="S916" i="18" s="1"/>
  <c r="S917" i="18" a="1"/>
  <c r="S917" i="18" s="1"/>
  <c r="S918" i="18" a="1"/>
  <c r="S918" i="18"/>
  <c r="S919" i="18" a="1"/>
  <c r="S919" i="18"/>
  <c r="S920" i="18" a="1"/>
  <c r="S920" i="18"/>
  <c r="S921" i="18" a="1"/>
  <c r="S921" i="18" s="1"/>
  <c r="S922" i="18" a="1"/>
  <c r="S922" i="18" s="1"/>
  <c r="S923" i="18" a="1"/>
  <c r="S923" i="18" s="1"/>
  <c r="S924" i="18" a="1"/>
  <c r="S924" i="18" s="1"/>
  <c r="S925" i="18" a="1"/>
  <c r="S925" i="18" s="1"/>
  <c r="S926" i="18" a="1"/>
  <c r="S926" i="18" s="1"/>
  <c r="S927" i="18" a="1"/>
  <c r="S927" i="18" s="1"/>
  <c r="S928" i="18" a="1"/>
  <c r="S928" i="18" s="1"/>
  <c r="S929" i="18" a="1"/>
  <c r="S929" i="18" s="1"/>
  <c r="S930" i="18" a="1"/>
  <c r="S930" i="18" s="1"/>
  <c r="S931" i="18" a="1"/>
  <c r="S931" i="18"/>
  <c r="S932" i="18" a="1"/>
  <c r="S932" i="18"/>
  <c r="S933" i="18" a="1"/>
  <c r="S933" i="18" s="1"/>
  <c r="S934" i="18" a="1"/>
  <c r="S934" i="18"/>
  <c r="S935" i="18" a="1"/>
  <c r="S935" i="18" s="1"/>
  <c r="S936" i="18" a="1"/>
  <c r="S936" i="18" s="1"/>
  <c r="S937" i="18" a="1"/>
  <c r="S937" i="18"/>
  <c r="S938" i="18" a="1"/>
  <c r="S938" i="18" s="1"/>
  <c r="S939" i="18" a="1"/>
  <c r="S939" i="18" s="1"/>
  <c r="S940" i="18" a="1"/>
  <c r="S940" i="18"/>
  <c r="S941" i="18" a="1"/>
  <c r="S941" i="18" s="1"/>
  <c r="S942" i="18" a="1"/>
  <c r="S942" i="18" s="1"/>
  <c r="S943" i="18" a="1"/>
  <c r="S943" i="18" s="1"/>
  <c r="S944" i="18" a="1"/>
  <c r="S944" i="18"/>
  <c r="S945" i="18" a="1"/>
  <c r="S945" i="18" s="1"/>
  <c r="S946" i="18" a="1"/>
  <c r="S946" i="18"/>
  <c r="S947" i="18" a="1"/>
  <c r="S947" i="18" s="1"/>
  <c r="S948" i="18" a="1"/>
  <c r="S948" i="18" s="1"/>
  <c r="S949" i="18" a="1"/>
  <c r="S949" i="18"/>
  <c r="S950" i="18" a="1"/>
  <c r="S950" i="18"/>
  <c r="S951" i="18" a="1"/>
  <c r="S951" i="18" s="1"/>
  <c r="S952" i="18" a="1"/>
  <c r="S952" i="18"/>
  <c r="S953" i="18" a="1"/>
  <c r="S953" i="18"/>
  <c r="S954" i="18" a="1"/>
  <c r="S954" i="18" s="1"/>
  <c r="S955" i="18" a="1"/>
  <c r="S955" i="18" s="1"/>
  <c r="S956" i="18" a="1"/>
  <c r="S956" i="18" s="1"/>
  <c r="S957" i="18" a="1"/>
  <c r="S957" i="18" s="1"/>
  <c r="S958" i="18" a="1"/>
  <c r="S958" i="18" s="1"/>
  <c r="S959" i="18" a="1"/>
  <c r="S959" i="18"/>
  <c r="S960" i="18" a="1"/>
  <c r="S960" i="18" s="1"/>
  <c r="S961" i="18" a="1"/>
  <c r="S961" i="18"/>
  <c r="S962" i="18" a="1"/>
  <c r="S962" i="18"/>
  <c r="S963" i="18" a="1"/>
  <c r="S963" i="18" s="1"/>
  <c r="S964" i="18" a="1"/>
  <c r="S964" i="18" s="1"/>
  <c r="S965" i="18" a="1"/>
  <c r="S965" i="18"/>
  <c r="S966" i="18" a="1"/>
  <c r="S966" i="18"/>
  <c r="S967" i="18" a="1"/>
  <c r="S967" i="18" s="1"/>
  <c r="S968" i="18" a="1"/>
  <c r="S968" i="18"/>
  <c r="S969" i="18" a="1"/>
  <c r="S969" i="18" s="1"/>
  <c r="S970" i="18" a="1"/>
  <c r="S970" i="18" s="1"/>
  <c r="S971" i="18" a="1"/>
  <c r="S971" i="18" s="1"/>
  <c r="S972" i="18" a="1"/>
  <c r="S972" i="18" s="1"/>
  <c r="S973" i="18" a="1"/>
  <c r="S973" i="18" s="1"/>
  <c r="S974" i="18" a="1"/>
  <c r="S974" i="18" s="1"/>
  <c r="S975" i="18" a="1"/>
  <c r="S975" i="18" s="1"/>
  <c r="S976" i="18" a="1"/>
  <c r="S976" i="18" s="1"/>
  <c r="S977" i="18" a="1"/>
  <c r="S977" i="18" s="1"/>
  <c r="S978" i="18" a="1"/>
  <c r="S978" i="18" s="1"/>
  <c r="S979" i="18" a="1"/>
  <c r="S979" i="18" s="1"/>
  <c r="S980" i="18" a="1"/>
  <c r="S980" i="18" s="1"/>
  <c r="S981" i="18" a="1"/>
  <c r="S981" i="18" s="1"/>
  <c r="S982" i="18" a="1"/>
  <c r="S982" i="18" s="1"/>
  <c r="S983" i="18" a="1"/>
  <c r="S983" i="18" s="1"/>
  <c r="S984" i="18" a="1"/>
  <c r="S984" i="18" s="1"/>
  <c r="S985" i="18" a="1"/>
  <c r="S985" i="18" s="1"/>
  <c r="S986" i="18" a="1"/>
  <c r="S986" i="18" s="1"/>
  <c r="S987" i="18" a="1"/>
  <c r="S987" i="18" s="1"/>
  <c r="S988" i="18" a="1"/>
  <c r="S988" i="18" s="1"/>
  <c r="S989" i="18" a="1"/>
  <c r="S989" i="18"/>
  <c r="S990" i="18" a="1"/>
  <c r="S990" i="18" s="1"/>
  <c r="S991" i="18" a="1"/>
  <c r="S991" i="18" s="1"/>
  <c r="S992" i="18" a="1"/>
  <c r="S992" i="18" s="1"/>
  <c r="S993" i="18" a="1"/>
  <c r="S993" i="18" s="1"/>
  <c r="S994" i="18" a="1"/>
  <c r="S994" i="18" s="1"/>
  <c r="S995" i="18" a="1"/>
  <c r="S995" i="18" s="1"/>
  <c r="S996" i="18" a="1"/>
  <c r="S996" i="18" s="1"/>
  <c r="S997" i="18" a="1"/>
  <c r="S997" i="18" s="1"/>
  <c r="S998" i="18" a="1"/>
  <c r="S998" i="18" s="1"/>
  <c r="S999" i="18" a="1"/>
  <c r="S999" i="18" s="1"/>
  <c r="S1000" i="18" a="1"/>
  <c r="S1000" i="18" s="1"/>
  <c r="S1001" i="18" a="1"/>
  <c r="S1001" i="18" s="1"/>
  <c r="S1002" i="18" a="1"/>
  <c r="S1002" i="18" s="1"/>
  <c r="S1003" i="18" a="1"/>
  <c r="S1003" i="18" s="1"/>
  <c r="S1004" i="18" a="1"/>
  <c r="S1004" i="18" s="1"/>
  <c r="S1005" i="18" a="1"/>
  <c r="S1005" i="18" s="1"/>
  <c r="S1006" i="18" a="1"/>
  <c r="S1006" i="18" s="1"/>
  <c r="S1007" i="18" a="1"/>
  <c r="S1007" i="18" s="1"/>
  <c r="S1008" i="18" a="1"/>
  <c r="S1008" i="18" s="1"/>
  <c r="S1009" i="18" a="1"/>
  <c r="S1009" i="18" s="1"/>
  <c r="S1010" i="18" a="1"/>
  <c r="S1010" i="18" s="1"/>
  <c r="S1011" i="18" a="1"/>
  <c r="S1011" i="18" s="1"/>
  <c r="S1012" i="18" a="1"/>
  <c r="S1012" i="18" s="1"/>
  <c r="S1013" i="18" a="1"/>
  <c r="S1013" i="18" s="1"/>
  <c r="S1014" i="18" a="1"/>
  <c r="S1014" i="18" s="1"/>
  <c r="S1015" i="18" a="1"/>
  <c r="S1015" i="18" s="1"/>
  <c r="S1016" i="18" a="1"/>
  <c r="S1016" i="18" s="1"/>
  <c r="S1017" i="18" a="1"/>
  <c r="S1017" i="18" s="1"/>
  <c r="S1018" i="18" a="1"/>
  <c r="S1018" i="18" s="1"/>
  <c r="S1019" i="18" a="1"/>
  <c r="S1019" i="18" s="1"/>
  <c r="S1020" i="18" a="1"/>
  <c r="S1020" i="18" s="1"/>
  <c r="S1021" i="18" a="1"/>
  <c r="S1021" i="18" s="1"/>
  <c r="S1022" i="18" a="1"/>
  <c r="S1022" i="18" s="1"/>
  <c r="S1023" i="18" a="1"/>
  <c r="S1023" i="18"/>
  <c r="S1024" i="18" a="1"/>
  <c r="S1024" i="18" s="1"/>
  <c r="S1025" i="18" a="1"/>
  <c r="S1025" i="18" s="1"/>
  <c r="S1026" i="18" a="1"/>
  <c r="S1026" i="18" s="1"/>
  <c r="S1027" i="18" a="1"/>
  <c r="S1027" i="18" s="1"/>
  <c r="S1028" i="18" a="1"/>
  <c r="S1028" i="18" s="1"/>
  <c r="S1029" i="18" a="1"/>
  <c r="S1029" i="18"/>
  <c r="S1030" i="18" a="1"/>
  <c r="S1030" i="18" s="1"/>
  <c r="S1031" i="18" a="1"/>
  <c r="S1031" i="18" s="1"/>
  <c r="S1032" i="18" a="1"/>
  <c r="S1032" i="18" s="1"/>
  <c r="S1033" i="18" a="1"/>
  <c r="S1033" i="18"/>
  <c r="S1034" i="18" a="1"/>
  <c r="S1034" i="18" s="1"/>
  <c r="S1035" i="18" a="1"/>
  <c r="S1035" i="18" s="1"/>
  <c r="S1036" i="18" a="1"/>
  <c r="S1036" i="18" s="1"/>
  <c r="S1037" i="18" a="1"/>
  <c r="S1037" i="18" s="1"/>
  <c r="S1038" i="18" a="1"/>
  <c r="S1038" i="18" s="1"/>
  <c r="S1039" i="18" a="1"/>
  <c r="S1039" i="18" s="1"/>
  <c r="S1040" i="18" a="1"/>
  <c r="S1040" i="18" s="1"/>
  <c r="S1041" i="18" a="1"/>
  <c r="S1041" i="18" s="1"/>
  <c r="S1042" i="18" a="1"/>
  <c r="S1042" i="18" s="1"/>
  <c r="S1043" i="18" a="1"/>
  <c r="S1043" i="18" s="1"/>
  <c r="S1044" i="18" a="1"/>
  <c r="S1044" i="18" s="1"/>
  <c r="S1045" i="18" a="1"/>
  <c r="S1045" i="18" s="1"/>
  <c r="S1046" i="18" a="1"/>
  <c r="S1046" i="18" s="1"/>
  <c r="S1047" i="18" a="1"/>
  <c r="S1047" i="18"/>
  <c r="S1048" i="18" a="1"/>
  <c r="S1048" i="18" s="1"/>
  <c r="S1049" i="18" a="1"/>
  <c r="S1049" i="18" s="1"/>
  <c r="S1050" i="18" a="1"/>
  <c r="S1050" i="18" s="1"/>
  <c r="S1051" i="18" a="1"/>
  <c r="S1051" i="18" s="1"/>
  <c r="S1052" i="18" a="1"/>
  <c r="S1052" i="18" s="1"/>
  <c r="S1053" i="18" a="1"/>
  <c r="S1053" i="18"/>
  <c r="S1054" i="18" a="1"/>
  <c r="S1054" i="18" s="1"/>
  <c r="S1055" i="18" a="1"/>
  <c r="S1055" i="18" s="1"/>
  <c r="S1056" i="18" a="1"/>
  <c r="S1056" i="18" s="1"/>
  <c r="S1057" i="18" a="1"/>
  <c r="S1057" i="18" s="1"/>
  <c r="S1058" i="18" a="1"/>
  <c r="S1058" i="18" s="1"/>
  <c r="S1059" i="18" a="1"/>
  <c r="S1059" i="18" s="1"/>
  <c r="S1060" i="18" a="1"/>
  <c r="S1060" i="18" s="1"/>
  <c r="S1061" i="18" a="1"/>
  <c r="S1061" i="18" s="1"/>
  <c r="S1062" i="18" a="1"/>
  <c r="S1062" i="18" s="1"/>
  <c r="S1063" i="18" a="1"/>
  <c r="S1063" i="18" s="1"/>
  <c r="S1064" i="18" a="1"/>
  <c r="S1064" i="18" s="1"/>
  <c r="S1065" i="18" a="1"/>
  <c r="S1065" i="18" s="1"/>
  <c r="S1066" i="18" a="1"/>
  <c r="S1066" i="18" s="1"/>
  <c r="S1067" i="18" a="1"/>
  <c r="S1067" i="18" s="1"/>
  <c r="S1068" i="18" a="1"/>
  <c r="S1068" i="18" s="1"/>
  <c r="S1069" i="18" a="1"/>
  <c r="S1069" i="18" s="1"/>
  <c r="S1070" i="18" a="1"/>
  <c r="S1070" i="18" s="1"/>
  <c r="S1071" i="18" a="1"/>
  <c r="S1071" i="18" s="1"/>
  <c r="S1072" i="18" a="1"/>
  <c r="S1072" i="18" s="1"/>
  <c r="S1073" i="18" a="1"/>
  <c r="S1073" i="18" s="1"/>
  <c r="S1074" i="18" a="1"/>
  <c r="S1074" i="18" s="1"/>
  <c r="S1075" i="18" a="1"/>
  <c r="S1075" i="18" s="1"/>
  <c r="S1076" i="18" a="1"/>
  <c r="S1076" i="18" s="1"/>
  <c r="S1077" i="18" a="1"/>
  <c r="S1077" i="18"/>
  <c r="S1078" i="18" a="1"/>
  <c r="S1078" i="18" s="1"/>
  <c r="S1079" i="18" a="1"/>
  <c r="S1079" i="18" s="1"/>
  <c r="S1080" i="18" a="1"/>
  <c r="S1080" i="18" s="1"/>
  <c r="S1081" i="18" a="1"/>
  <c r="S1081" i="18" s="1"/>
  <c r="S1082" i="18" a="1"/>
  <c r="S1082" i="18" s="1"/>
  <c r="S1083" i="18" a="1"/>
  <c r="S1083" i="18"/>
  <c r="S1084" i="18" a="1"/>
  <c r="S1084" i="18" s="1"/>
  <c r="S1085" i="18" a="1"/>
  <c r="S1085" i="18" s="1"/>
  <c r="S1086" i="18" a="1"/>
  <c r="S1086" i="18" s="1"/>
  <c r="S1087" i="18" a="1"/>
  <c r="S1087" i="18" s="1"/>
  <c r="S1088" i="18" a="1"/>
  <c r="S1088" i="18" s="1"/>
  <c r="S1089" i="18" a="1"/>
  <c r="S1089" i="18"/>
  <c r="S1090" i="18" a="1"/>
  <c r="S1090" i="18" s="1"/>
  <c r="S1091" i="18" a="1"/>
  <c r="S1091" i="18" s="1"/>
  <c r="S1092" i="18" a="1"/>
  <c r="S1092" i="18" s="1"/>
  <c r="S1093" i="18" a="1"/>
  <c r="S1093" i="18" s="1"/>
  <c r="S1094" i="18" a="1"/>
  <c r="S1094" i="18" s="1"/>
  <c r="S1095" i="18" a="1"/>
  <c r="S1095" i="18"/>
  <c r="S1096" i="18" a="1"/>
  <c r="S1096" i="18" s="1"/>
  <c r="S1097" i="18" a="1"/>
  <c r="S1097" i="18" s="1"/>
  <c r="S1098" i="18" a="1"/>
  <c r="S1098" i="18" s="1"/>
  <c r="S1099" i="18" a="1"/>
  <c r="S1099" i="18" s="1"/>
  <c r="S1100" i="18" a="1"/>
  <c r="S1100" i="18" s="1"/>
  <c r="S1101" i="18" a="1"/>
  <c r="S1101" i="18"/>
  <c r="S1102" i="18" a="1"/>
  <c r="S1102" i="18" s="1"/>
  <c r="S1103" i="18" a="1"/>
  <c r="S1103" i="18" s="1"/>
  <c r="S1104" i="18" a="1"/>
  <c r="S1104" i="18" s="1"/>
  <c r="S1105" i="18" a="1"/>
  <c r="S1105" i="18" s="1"/>
  <c r="S1106" i="18" a="1"/>
  <c r="S1106" i="18" s="1"/>
  <c r="S1107" i="18" a="1"/>
  <c r="S1107" i="18"/>
  <c r="S1108" i="18" a="1"/>
  <c r="S1108" i="18" s="1"/>
  <c r="S1109" i="18" a="1"/>
  <c r="S1109" i="18" s="1"/>
  <c r="S1110" i="18" a="1"/>
  <c r="S1110" i="18" s="1"/>
  <c r="S1111" i="18" a="1"/>
  <c r="S1111" i="18" s="1"/>
  <c r="S1112" i="18" a="1"/>
  <c r="S1112" i="18" s="1"/>
  <c r="S1113" i="18" a="1"/>
  <c r="S1113" i="18"/>
  <c r="S1114" i="18" a="1"/>
  <c r="S1114" i="18" s="1"/>
  <c r="S1115" i="18" a="1"/>
  <c r="S1115" i="18" s="1"/>
  <c r="S1116" i="18" a="1"/>
  <c r="S1116" i="18" s="1"/>
  <c r="S1117" i="18" a="1"/>
  <c r="S1117" i="18" s="1"/>
  <c r="S1118" i="18" a="1"/>
  <c r="S1118" i="18" s="1"/>
  <c r="S1119" i="18" a="1"/>
  <c r="S1119" i="18" s="1"/>
  <c r="S1120" i="18" a="1"/>
  <c r="S1120" i="18" s="1"/>
  <c r="S1121" i="18" a="1"/>
  <c r="S1121" i="18" s="1"/>
  <c r="S1122" i="18" a="1"/>
  <c r="S1122" i="18" s="1"/>
  <c r="S1123" i="18" a="1"/>
  <c r="S1123" i="18" s="1"/>
  <c r="S1124" i="18" a="1"/>
  <c r="S1124" i="18" s="1"/>
  <c r="S1125" i="18" a="1"/>
  <c r="S1125" i="18" s="1"/>
  <c r="S1126" i="18" a="1"/>
  <c r="S1126" i="18" s="1"/>
  <c r="S1127" i="18" a="1"/>
  <c r="S1127" i="18" s="1"/>
  <c r="S1128" i="18" a="1"/>
  <c r="S1128" i="18" s="1"/>
  <c r="S1129" i="18" a="1"/>
  <c r="S1129" i="18" s="1"/>
  <c r="S1130" i="18" a="1"/>
  <c r="S1130" i="18" s="1"/>
  <c r="S1131" i="18" a="1"/>
  <c r="S1131" i="18" s="1"/>
  <c r="S1132" i="18" a="1"/>
  <c r="S1132" i="18" s="1"/>
  <c r="S1133" i="18" a="1"/>
  <c r="S1133" i="18" s="1"/>
  <c r="S1134" i="18" a="1"/>
  <c r="S1134" i="18" s="1"/>
  <c r="S1135" i="18" a="1"/>
  <c r="S1135" i="18" s="1"/>
  <c r="S1136" i="18" a="1"/>
  <c r="S1136" i="18" s="1"/>
  <c r="S1137" i="18" a="1"/>
  <c r="S1137" i="18" s="1"/>
  <c r="S1138" i="18" a="1"/>
  <c r="S1138" i="18" s="1"/>
  <c r="S1139" i="18" a="1"/>
  <c r="S1139" i="18" s="1"/>
  <c r="S1140" i="18" a="1"/>
  <c r="S1140" i="18" s="1"/>
  <c r="S1141" i="18" a="1"/>
  <c r="S1141" i="18" s="1"/>
  <c r="S1142" i="18" a="1"/>
  <c r="S1142" i="18" s="1"/>
  <c r="S1143" i="18" a="1"/>
  <c r="S1143" i="18" s="1"/>
  <c r="S1144" i="18" a="1"/>
  <c r="S1144" i="18" s="1"/>
  <c r="S1145" i="18" a="1"/>
  <c r="S1145" i="18" s="1"/>
  <c r="S1146" i="18" a="1"/>
  <c r="S1146" i="18" s="1"/>
  <c r="S1147" i="18" a="1"/>
  <c r="S1147" i="18" s="1"/>
  <c r="S1148" i="18" a="1"/>
  <c r="S1148" i="18" s="1"/>
  <c r="S1149" i="18" a="1"/>
  <c r="S1149" i="18"/>
  <c r="S1150" i="18" a="1"/>
  <c r="S1150" i="18" s="1"/>
  <c r="S1151" i="18" a="1"/>
  <c r="S1151" i="18" s="1"/>
  <c r="S1152" i="18" a="1"/>
  <c r="S1152" i="18" s="1"/>
  <c r="S1153" i="18" a="1"/>
  <c r="S1153" i="18" s="1"/>
  <c r="S1154" i="18" a="1"/>
  <c r="S1154" i="18" s="1"/>
  <c r="S1155" i="18" a="1"/>
  <c r="S1155" i="18"/>
  <c r="S1156" i="18" a="1"/>
  <c r="S1156" i="18" s="1"/>
  <c r="S1157" i="18" a="1"/>
  <c r="S1157" i="18" s="1"/>
  <c r="S1158" i="18" a="1"/>
  <c r="S1158" i="18" s="1"/>
  <c r="S1159" i="18" a="1"/>
  <c r="S1159" i="18" s="1"/>
  <c r="S1160" i="18" a="1"/>
  <c r="S1160" i="18" s="1"/>
  <c r="S1161" i="18" a="1"/>
  <c r="S1161" i="18"/>
  <c r="S1162" i="18" a="1"/>
  <c r="S1162" i="18" s="1"/>
  <c r="S1163" i="18" a="1"/>
  <c r="S1163" i="18" s="1"/>
  <c r="S1164" i="18" a="1"/>
  <c r="S1164" i="18" s="1"/>
  <c r="S1165" i="18" a="1"/>
  <c r="S1165" i="18" s="1"/>
  <c r="S1166" i="18" a="1"/>
  <c r="S1166" i="18" s="1"/>
  <c r="S1167" i="18" a="1"/>
  <c r="S1167" i="18"/>
  <c r="S1168" i="18" a="1"/>
  <c r="S1168" i="18" s="1"/>
  <c r="S1169" i="18" a="1"/>
  <c r="S1169" i="18" s="1"/>
  <c r="S1170" i="18" a="1"/>
  <c r="S1170" i="18" s="1"/>
  <c r="S1171" i="18" a="1"/>
  <c r="S1171" i="18" s="1"/>
  <c r="T2" i="18" a="1"/>
  <c r="T2" i="18" s="1"/>
  <c r="T3" i="18" a="1"/>
  <c r="T3" i="18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/>
  <c r="T314" i="18" a="1"/>
  <c r="T314" i="18"/>
  <c r="T315" i="18" a="1"/>
  <c r="T315" i="18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/>
  <c r="T324" i="18" a="1"/>
  <c r="T324" i="18" s="1"/>
  <c r="T325" i="18" a="1"/>
  <c r="T325" i="18"/>
  <c r="T326" i="18" a="1"/>
  <c r="T326" i="18"/>
  <c r="T327" i="18" a="1"/>
  <c r="T327" i="18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/>
  <c r="T348" i="18" a="1"/>
  <c r="T348" i="18"/>
  <c r="T349" i="18" a="1"/>
  <c r="T349" i="18" s="1"/>
  <c r="T350" i="18" a="1"/>
  <c r="T350" i="18"/>
  <c r="T351" i="18" a="1"/>
  <c r="T351" i="18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/>
  <c r="T372" i="18" a="1"/>
  <c r="T372" i="18"/>
  <c r="T373" i="18" a="1"/>
  <c r="T373" i="18"/>
  <c r="T374" i="18" a="1"/>
  <c r="T374" i="18" s="1"/>
  <c r="T375" i="18" a="1"/>
  <c r="T375" i="18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/>
  <c r="T384" i="18" a="1"/>
  <c r="T384" i="18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/>
  <c r="T396" i="18" a="1"/>
  <c r="T396" i="18"/>
  <c r="T397" i="18" a="1"/>
  <c r="T397" i="18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/>
  <c r="T408" i="18" a="1"/>
  <c r="T408" i="18"/>
  <c r="T409" i="18" a="1"/>
  <c r="T409" i="18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/>
  <c r="T420" i="18" a="1"/>
  <c r="T420" i="18"/>
  <c r="T421" i="18" a="1"/>
  <c r="T421" i="18"/>
  <c r="T422" i="18" a="1"/>
  <c r="T422" i="18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/>
  <c r="T433" i="18" a="1"/>
  <c r="T433" i="18"/>
  <c r="T434" i="18" a="1"/>
  <c r="T434" i="18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/>
  <c r="T445" i="18" a="1"/>
  <c r="T445" i="18"/>
  <c r="T446" i="18" a="1"/>
  <c r="T446" i="18"/>
  <c r="T447" i="18" a="1"/>
  <c r="T447" i="18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/>
  <c r="T458" i="18" a="1"/>
  <c r="T458" i="18"/>
  <c r="T459" i="18" a="1"/>
  <c r="T459" i="18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/>
  <c r="T468" i="18" a="1"/>
  <c r="T468" i="18" s="1"/>
  <c r="T469" i="18" a="1"/>
  <c r="T469" i="18"/>
  <c r="T470" i="18" a="1"/>
  <c r="T470" i="18"/>
  <c r="T471" i="18" a="1"/>
  <c r="T471" i="18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 s="1"/>
  <c r="T482" i="18" a="1"/>
  <c r="T482" i="18" s="1"/>
  <c r="T483" i="18" a="1"/>
  <c r="T483" i="18"/>
  <c r="T484" i="18" a="1"/>
  <c r="T484" i="18" s="1"/>
  <c r="T485" i="18" a="1"/>
  <c r="T485" i="18" s="1"/>
  <c r="T486" i="18" a="1"/>
  <c r="T486" i="18" s="1"/>
  <c r="T487" i="18" a="1"/>
  <c r="T487" i="18" s="1"/>
  <c r="T488" i="18" a="1"/>
  <c r="T488" i="18" s="1"/>
  <c r="T489" i="18" a="1"/>
  <c r="T489" i="18" s="1"/>
  <c r="T490" i="18" a="1"/>
  <c r="T490" i="18" s="1"/>
  <c r="T491" i="18" a="1"/>
  <c r="T491" i="18"/>
  <c r="T492" i="18" a="1"/>
  <c r="T492" i="18"/>
  <c r="T493" i="18" a="1"/>
  <c r="T493" i="18" s="1"/>
  <c r="T494" i="18" a="1"/>
  <c r="T494" i="18"/>
  <c r="T495" i="18" a="1"/>
  <c r="T495" i="18"/>
  <c r="T496" i="18" a="1"/>
  <c r="T496" i="18" s="1"/>
  <c r="T497" i="18" a="1"/>
  <c r="T497" i="18" s="1"/>
  <c r="T498" i="18" a="1"/>
  <c r="T498" i="18" s="1"/>
  <c r="T499" i="18" a="1"/>
  <c r="T499" i="18" s="1"/>
  <c r="T500" i="18" a="1"/>
  <c r="T500" i="18" s="1"/>
  <c r="T501" i="18" a="1"/>
  <c r="T501" i="18" s="1"/>
  <c r="T502" i="18" a="1"/>
  <c r="T502" i="18" s="1"/>
  <c r="T503" i="18" a="1"/>
  <c r="T503" i="18"/>
  <c r="T504" i="18" a="1"/>
  <c r="T504" i="18" s="1"/>
  <c r="T505" i="18" a="1"/>
  <c r="T505" i="18" s="1"/>
  <c r="T506" i="18" a="1"/>
  <c r="T506" i="18" s="1"/>
  <c r="T507" i="18" a="1"/>
  <c r="T507" i="18" s="1"/>
  <c r="T508" i="18" a="1"/>
  <c r="T508" i="18" s="1"/>
  <c r="T509" i="18" a="1"/>
  <c r="T509" i="18" s="1"/>
  <c r="T510" i="18" a="1"/>
  <c r="T510" i="18" s="1"/>
  <c r="T511" i="18" a="1"/>
  <c r="T511" i="18" s="1"/>
  <c r="T512" i="18" a="1"/>
  <c r="T512" i="18" s="1"/>
  <c r="T513" i="18" a="1"/>
  <c r="T513" i="18" s="1"/>
  <c r="T514" i="18" a="1"/>
  <c r="T514" i="18" s="1"/>
  <c r="T515" i="18" a="1"/>
  <c r="T515" i="18"/>
  <c r="T516" i="18" a="1"/>
  <c r="T516" i="18"/>
  <c r="T517" i="18" a="1"/>
  <c r="T517" i="18"/>
  <c r="T518" i="18" a="1"/>
  <c r="T518" i="18" s="1"/>
  <c r="T519" i="18" a="1"/>
  <c r="T519" i="18"/>
  <c r="T520" i="18" a="1"/>
  <c r="T520" i="18" s="1"/>
  <c r="T521" i="18" a="1"/>
  <c r="T521" i="18" s="1"/>
  <c r="T522" i="18" a="1"/>
  <c r="T522" i="18" s="1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/>
  <c r="T528" i="18" a="1"/>
  <c r="T528" i="18"/>
  <c r="T529" i="18" a="1"/>
  <c r="T529" i="18" s="1"/>
  <c r="T530" i="18" a="1"/>
  <c r="T530" i="18" s="1"/>
  <c r="T531" i="18" a="1"/>
  <c r="T531" i="18" s="1"/>
  <c r="T532" i="18" a="1"/>
  <c r="T532" i="18" s="1"/>
  <c r="T533" i="18" a="1"/>
  <c r="T533" i="18" s="1"/>
  <c r="T534" i="18" a="1"/>
  <c r="T534" i="18" s="1"/>
  <c r="T535" i="18" a="1"/>
  <c r="T535" i="18" s="1"/>
  <c r="T536" i="18" a="1"/>
  <c r="T536" i="18" s="1"/>
  <c r="T537" i="18" a="1"/>
  <c r="T537" i="18" s="1"/>
  <c r="T538" i="18" a="1"/>
  <c r="T538" i="18" s="1"/>
  <c r="T539" i="18" a="1"/>
  <c r="T539" i="18"/>
  <c r="T540" i="18" a="1"/>
  <c r="T540" i="18"/>
  <c r="T541" i="18" a="1"/>
  <c r="T541" i="18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/>
  <c r="T553" i="18" a="1"/>
  <c r="T553" i="18"/>
  <c r="T554" i="18" a="1"/>
  <c r="T554" i="18" s="1"/>
  <c r="T555" i="18" a="1"/>
  <c r="T555" i="18" s="1"/>
  <c r="T556" i="18" a="1"/>
  <c r="T556" i="18" s="1"/>
  <c r="T557" i="18" a="1"/>
  <c r="T557" i="18" s="1"/>
  <c r="T558" i="18" a="1"/>
  <c r="T558" i="18" s="1"/>
  <c r="T559" i="18" a="1"/>
  <c r="T559" i="18" s="1"/>
  <c r="T560" i="18" a="1"/>
  <c r="T560" i="18" s="1"/>
  <c r="T561" i="18" a="1"/>
  <c r="T561" i="18" s="1"/>
  <c r="T562" i="18" a="1"/>
  <c r="T562" i="18" s="1"/>
  <c r="T563" i="18" a="1"/>
  <c r="T563" i="18"/>
  <c r="T564" i="18" a="1"/>
  <c r="T564" i="18"/>
  <c r="T565" i="18" a="1"/>
  <c r="T565" i="18"/>
  <c r="T566" i="18" a="1"/>
  <c r="T566" i="18"/>
  <c r="T567" i="18" a="1"/>
  <c r="T567" i="18" s="1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 s="1"/>
  <c r="T576" i="18" a="1"/>
  <c r="T576" i="18" s="1"/>
  <c r="T577" i="18" a="1"/>
  <c r="T577" i="18"/>
  <c r="T578" i="18" a="1"/>
  <c r="T578" i="18"/>
  <c r="T579" i="18" a="1"/>
  <c r="T579" i="18" s="1"/>
  <c r="T580" i="18" a="1"/>
  <c r="T580" i="18" s="1"/>
  <c r="T581" i="18" a="1"/>
  <c r="T581" i="18" s="1"/>
  <c r="T582" i="18" a="1"/>
  <c r="T582" i="18" s="1"/>
  <c r="T583" i="18" a="1"/>
  <c r="T583" i="18" s="1"/>
  <c r="T584" i="18" a="1"/>
  <c r="T584" i="18" s="1"/>
  <c r="T585" i="18" a="1"/>
  <c r="T585" i="18" s="1"/>
  <c r="T586" i="18" a="1"/>
  <c r="T586" i="18" s="1"/>
  <c r="T587" i="18" a="1"/>
  <c r="T587" i="18" s="1"/>
  <c r="T588" i="18" a="1"/>
  <c r="T588" i="18"/>
  <c r="T589" i="18" a="1"/>
  <c r="T589" i="18"/>
  <c r="T590" i="18" a="1"/>
  <c r="T590" i="18"/>
  <c r="T591" i="18" a="1"/>
  <c r="T591" i="18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 s="1"/>
  <c r="T601" i="18" a="1"/>
  <c r="T601" i="18" s="1"/>
  <c r="T602" i="18" a="1"/>
  <c r="T602" i="18"/>
  <c r="T603" i="18" a="1"/>
  <c r="T603" i="18"/>
  <c r="T604" i="18" a="1"/>
  <c r="T604" i="18" s="1"/>
  <c r="T605" i="18" a="1"/>
  <c r="T605" i="18" s="1"/>
  <c r="T606" i="18" a="1"/>
  <c r="T606" i="18" s="1"/>
  <c r="T607" i="18" a="1"/>
  <c r="T607" i="18" s="1"/>
  <c r="T608" i="18" a="1"/>
  <c r="T608" i="18" s="1"/>
  <c r="T609" i="18" a="1"/>
  <c r="T609" i="18" s="1"/>
  <c r="T610" i="18" a="1"/>
  <c r="T610" i="18" s="1"/>
  <c r="T611" i="18" a="1"/>
  <c r="T611" i="18"/>
  <c r="T612" i="18" a="1"/>
  <c r="T612" i="18" s="1"/>
  <c r="T613" i="18" a="1"/>
  <c r="T613" i="18"/>
  <c r="T614" i="18" a="1"/>
  <c r="T614" i="18"/>
  <c r="T615" i="18" a="1"/>
  <c r="T615" i="18"/>
  <c r="T616" i="18" a="1"/>
  <c r="T616" i="18" s="1"/>
  <c r="T617" i="18" a="1"/>
  <c r="T617" i="18" s="1"/>
  <c r="T618" i="18" a="1"/>
  <c r="T618" i="18" s="1"/>
  <c r="T619" i="18" a="1"/>
  <c r="T619" i="18" s="1"/>
  <c r="T620" i="18" a="1"/>
  <c r="T620" i="18" s="1"/>
  <c r="T621" i="18" a="1"/>
  <c r="T621" i="18" s="1"/>
  <c r="T622" i="18" a="1"/>
  <c r="T622" i="18" s="1"/>
  <c r="T623" i="18" a="1"/>
  <c r="T623" i="18" s="1"/>
  <c r="T624" i="18" a="1"/>
  <c r="T624" i="18" s="1"/>
  <c r="T625" i="18" a="1"/>
  <c r="T625" i="18" s="1"/>
  <c r="T626" i="18" a="1"/>
  <c r="T626" i="18" s="1"/>
  <c r="T627" i="18" a="1"/>
  <c r="T627" i="18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/>
  <c r="T636" i="18" a="1"/>
  <c r="T636" i="18"/>
  <c r="T637" i="18" a="1"/>
  <c r="T637" i="18" s="1"/>
  <c r="T638" i="18" a="1"/>
  <c r="T638" i="18"/>
  <c r="T639" i="18" a="1"/>
  <c r="T639" i="18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/>
  <c r="T648" i="18" a="1"/>
  <c r="T648" i="18" s="1"/>
  <c r="T649" i="18" a="1"/>
  <c r="T649" i="18" s="1"/>
  <c r="T650" i="18" a="1"/>
  <c r="T650" i="18" s="1"/>
  <c r="T651" i="18" a="1"/>
  <c r="T651" i="18" s="1"/>
  <c r="T652" i="18" a="1"/>
  <c r="T652" i="18" s="1"/>
  <c r="T653" i="18" a="1"/>
  <c r="T653" i="18" s="1"/>
  <c r="T654" i="18" a="1"/>
  <c r="T654" i="18" s="1"/>
  <c r="T655" i="18" a="1"/>
  <c r="T655" i="18" s="1"/>
  <c r="T656" i="18" a="1"/>
  <c r="T656" i="18" s="1"/>
  <c r="T657" i="18" a="1"/>
  <c r="T657" i="18" s="1"/>
  <c r="T658" i="18" a="1"/>
  <c r="T658" i="18" s="1"/>
  <c r="T659" i="18" a="1"/>
  <c r="T659" i="18"/>
  <c r="T660" i="18" a="1"/>
  <c r="T660" i="18"/>
  <c r="T661" i="18" a="1"/>
  <c r="T661" i="18"/>
  <c r="T662" i="18" a="1"/>
  <c r="T662" i="18" s="1"/>
  <c r="T663" i="18" a="1"/>
  <c r="T663" i="18"/>
  <c r="T664" i="18" a="1"/>
  <c r="T664" i="18" s="1"/>
  <c r="T665" i="18" a="1"/>
  <c r="T665" i="18" s="1"/>
  <c r="T666" i="18" a="1"/>
  <c r="T666" i="18" s="1"/>
  <c r="T667" i="18" a="1"/>
  <c r="T667" i="18" s="1"/>
  <c r="T668" i="18" a="1"/>
  <c r="T668" i="18" s="1"/>
  <c r="T669" i="18" a="1"/>
  <c r="T669" i="18" s="1"/>
  <c r="T670" i="18" a="1"/>
  <c r="T670" i="18" s="1"/>
  <c r="T671" i="18" a="1"/>
  <c r="T671" i="18"/>
  <c r="T672" i="18" a="1"/>
  <c r="T672" i="18"/>
  <c r="T673" i="18" a="1"/>
  <c r="T673" i="18" s="1"/>
  <c r="T674" i="18" a="1"/>
  <c r="T674" i="18" s="1"/>
  <c r="T675" i="18" a="1"/>
  <c r="T675" i="18" s="1"/>
  <c r="T676" i="18" a="1"/>
  <c r="T676" i="18" s="1"/>
  <c r="T677" i="18" a="1"/>
  <c r="T677" i="18" s="1"/>
  <c r="T678" i="18" a="1"/>
  <c r="T678" i="18" s="1"/>
  <c r="T679" i="18" a="1"/>
  <c r="T679" i="18" s="1"/>
  <c r="T680" i="18" a="1"/>
  <c r="T680" i="18" s="1"/>
  <c r="T681" i="18" a="1"/>
  <c r="T681" i="18" s="1"/>
  <c r="T682" i="18" a="1"/>
  <c r="T682" i="18" s="1"/>
  <c r="T683" i="18" a="1"/>
  <c r="T683" i="18"/>
  <c r="T684" i="18" a="1"/>
  <c r="T684" i="18"/>
  <c r="T685" i="18" a="1"/>
  <c r="T685" i="18"/>
  <c r="T686" i="18" a="1"/>
  <c r="T686" i="18" s="1"/>
  <c r="T687" i="18" a="1"/>
  <c r="T687" i="18" s="1"/>
  <c r="T688" i="18" a="1"/>
  <c r="T688" i="18" s="1"/>
  <c r="T689" i="18" a="1"/>
  <c r="T689" i="18" s="1"/>
  <c r="T690" i="18" a="1"/>
  <c r="T690" i="18" s="1"/>
  <c r="T691" i="18" a="1"/>
  <c r="T691" i="18" s="1"/>
  <c r="T692" i="18" a="1"/>
  <c r="T692" i="18" s="1"/>
  <c r="T693" i="18" a="1"/>
  <c r="T693" i="18" s="1"/>
  <c r="T694" i="18" a="1"/>
  <c r="T694" i="18" s="1"/>
  <c r="T695" i="18" a="1"/>
  <c r="T695" i="18" s="1"/>
  <c r="T696" i="18" a="1"/>
  <c r="T696" i="18"/>
  <c r="T697" i="18" a="1"/>
  <c r="T697" i="18"/>
  <c r="T698" i="18" a="1"/>
  <c r="T698" i="18" s="1"/>
  <c r="T699" i="18" a="1"/>
  <c r="T699" i="18" s="1"/>
  <c r="T700" i="18" a="1"/>
  <c r="T700" i="18" s="1"/>
  <c r="T701" i="18" a="1"/>
  <c r="T701" i="18" s="1"/>
  <c r="T702" i="18" a="1"/>
  <c r="T702" i="18" s="1"/>
  <c r="T703" i="18" a="1"/>
  <c r="T703" i="18" s="1"/>
  <c r="T704" i="18" a="1"/>
  <c r="T704" i="18" s="1"/>
  <c r="T705" i="18" a="1"/>
  <c r="T705" i="18" s="1"/>
  <c r="T706" i="18" a="1"/>
  <c r="T706" i="18" s="1"/>
  <c r="T707" i="18" a="1"/>
  <c r="T707" i="18"/>
  <c r="T708" i="18" a="1"/>
  <c r="T708" i="18"/>
  <c r="T709" i="18" a="1"/>
  <c r="T709" i="18"/>
  <c r="T710" i="18" a="1"/>
  <c r="T710" i="18"/>
  <c r="T711" i="18" a="1"/>
  <c r="T711" i="18" s="1"/>
  <c r="T712" i="18" a="1"/>
  <c r="T712" i="18" s="1"/>
  <c r="T713" i="18" a="1"/>
  <c r="T713" i="18" s="1"/>
  <c r="T714" i="18" a="1"/>
  <c r="T714" i="18" s="1"/>
  <c r="T715" i="18" a="1"/>
  <c r="T715" i="18" s="1"/>
  <c r="T716" i="18" a="1"/>
  <c r="T716" i="18" s="1"/>
  <c r="T717" i="18" a="1"/>
  <c r="T717" i="18" s="1"/>
  <c r="T718" i="18" a="1"/>
  <c r="T718" i="18" s="1"/>
  <c r="T719" i="18" a="1"/>
  <c r="T719" i="18" s="1"/>
  <c r="T720" i="18" a="1"/>
  <c r="T720" i="18" s="1"/>
  <c r="T721" i="18" a="1"/>
  <c r="T721" i="18"/>
  <c r="T722" i="18" a="1"/>
  <c r="T722" i="18"/>
  <c r="T723" i="18" a="1"/>
  <c r="T723" i="18" s="1"/>
  <c r="T724" i="18" a="1"/>
  <c r="T724" i="18" s="1"/>
  <c r="T725" i="18" a="1"/>
  <c r="T725" i="18" s="1"/>
  <c r="T726" i="18" a="1"/>
  <c r="T726" i="18" s="1"/>
  <c r="T727" i="18" a="1"/>
  <c r="T727" i="18" s="1"/>
  <c r="T728" i="18" a="1"/>
  <c r="T728" i="18" s="1"/>
  <c r="T729" i="18" a="1"/>
  <c r="T729" i="18" s="1"/>
  <c r="T730" i="18" a="1"/>
  <c r="T730" i="18" s="1"/>
  <c r="T731" i="18" a="1"/>
  <c r="T731" i="18" s="1"/>
  <c r="T732" i="18" a="1"/>
  <c r="T732" i="18"/>
  <c r="T733" i="18" a="1"/>
  <c r="T733" i="18"/>
  <c r="T734" i="18" a="1"/>
  <c r="T734" i="18"/>
  <c r="T735" i="18" a="1"/>
  <c r="T735" i="18"/>
  <c r="T736" i="18" a="1"/>
  <c r="T736" i="18" s="1"/>
  <c r="T737" i="18" a="1"/>
  <c r="T737" i="18" s="1"/>
  <c r="T738" i="18" a="1"/>
  <c r="T738" i="18" s="1"/>
  <c r="T739" i="18" a="1"/>
  <c r="T739" i="18" s="1"/>
  <c r="T740" i="18" a="1"/>
  <c r="T740" i="18" s="1"/>
  <c r="T741" i="18" a="1"/>
  <c r="T741" i="18" s="1"/>
  <c r="T742" i="18" a="1"/>
  <c r="T742" i="18" s="1"/>
  <c r="T743" i="18" a="1"/>
  <c r="T743" i="18" s="1"/>
  <c r="T744" i="18" a="1"/>
  <c r="T744" i="18" s="1"/>
  <c r="T745" i="18" a="1"/>
  <c r="T745" i="18" s="1"/>
  <c r="T746" i="18" a="1"/>
  <c r="T746" i="18"/>
  <c r="T747" i="18" a="1"/>
  <c r="T747" i="18"/>
  <c r="T748" i="18" a="1"/>
  <c r="T748" i="18" s="1"/>
  <c r="T749" i="18" a="1"/>
  <c r="T749" i="18" s="1"/>
  <c r="T750" i="18" a="1"/>
  <c r="T750" i="18" s="1"/>
  <c r="T751" i="18" a="1"/>
  <c r="T751" i="18" s="1"/>
  <c r="T752" i="18" a="1"/>
  <c r="T752" i="18" s="1"/>
  <c r="T753" i="18" a="1"/>
  <c r="T753" i="18" s="1"/>
  <c r="T754" i="18" a="1"/>
  <c r="T754" i="18" s="1"/>
  <c r="T755" i="18" a="1"/>
  <c r="T755" i="18"/>
  <c r="T756" i="18" a="1"/>
  <c r="T756" i="18" s="1"/>
  <c r="T757" i="18" a="1"/>
  <c r="T757" i="18"/>
  <c r="T758" i="18" a="1"/>
  <c r="T758" i="18"/>
  <c r="T759" i="18" a="1"/>
  <c r="T759" i="18"/>
  <c r="T760" i="18" a="1"/>
  <c r="T760" i="18" s="1"/>
  <c r="T761" i="18" a="1"/>
  <c r="T761" i="18" s="1"/>
  <c r="T762" i="18" a="1"/>
  <c r="T762" i="18" s="1"/>
  <c r="T763" i="18" a="1"/>
  <c r="T763" i="18" s="1"/>
  <c r="T764" i="18" a="1"/>
  <c r="T764" i="18" s="1"/>
  <c r="T765" i="18" a="1"/>
  <c r="T765" i="18" s="1"/>
  <c r="T766" i="18" a="1"/>
  <c r="T766" i="18" s="1"/>
  <c r="T767" i="18" a="1"/>
  <c r="T767" i="18" s="1"/>
  <c r="T768" i="18" a="1"/>
  <c r="T768" i="18" s="1"/>
  <c r="T769" i="18" a="1"/>
  <c r="T769" i="18" s="1"/>
  <c r="T770" i="18" a="1"/>
  <c r="T770" i="18" s="1"/>
  <c r="T771" i="18" a="1"/>
  <c r="T771" i="18"/>
  <c r="T772" i="18" a="1"/>
  <c r="T772" i="18" s="1"/>
  <c r="T773" i="18" a="1"/>
  <c r="T773" i="18" s="1"/>
  <c r="T774" i="18" a="1"/>
  <c r="T774" i="18" s="1"/>
  <c r="T775" i="18" a="1"/>
  <c r="T775" i="18" s="1"/>
  <c r="T776" i="18" a="1"/>
  <c r="T776" i="18" s="1"/>
  <c r="T777" i="18" a="1"/>
  <c r="T777" i="18" s="1"/>
  <c r="T778" i="18" a="1"/>
  <c r="T778" i="18" s="1"/>
  <c r="T779" i="18" a="1"/>
  <c r="T779" i="18"/>
  <c r="T780" i="18" a="1"/>
  <c r="T780" i="18"/>
  <c r="T781" i="18" a="1"/>
  <c r="T781" i="18" s="1"/>
  <c r="T782" i="18" a="1"/>
  <c r="T782" i="18"/>
  <c r="T783" i="18" a="1"/>
  <c r="T783" i="18"/>
  <c r="T784" i="18" a="1"/>
  <c r="T784" i="18" s="1"/>
  <c r="T785" i="18" a="1"/>
  <c r="T785" i="18" s="1"/>
  <c r="T786" i="18" a="1"/>
  <c r="T786" i="18" s="1"/>
  <c r="T787" i="18" a="1"/>
  <c r="T787" i="18" s="1"/>
  <c r="T788" i="18" a="1"/>
  <c r="T788" i="18" s="1"/>
  <c r="T789" i="18" a="1"/>
  <c r="T789" i="18" s="1"/>
  <c r="T790" i="18" a="1"/>
  <c r="T790" i="18" s="1"/>
  <c r="T791" i="18" a="1"/>
  <c r="T791" i="18"/>
  <c r="T792" i="18" a="1"/>
  <c r="T792" i="18" s="1"/>
  <c r="T793" i="18" a="1"/>
  <c r="T793" i="18" s="1"/>
  <c r="T794" i="18" a="1"/>
  <c r="T794" i="18" s="1"/>
  <c r="T795" i="18" a="1"/>
  <c r="T795" i="18" s="1"/>
  <c r="T796" i="18" a="1"/>
  <c r="T796" i="18" s="1"/>
  <c r="T797" i="18" a="1"/>
  <c r="T797" i="18" s="1"/>
  <c r="T798" i="18" a="1"/>
  <c r="T798" i="18" s="1"/>
  <c r="T799" i="18" a="1"/>
  <c r="T799" i="18" s="1"/>
  <c r="T800" i="18" a="1"/>
  <c r="T800" i="18" s="1"/>
  <c r="T801" i="18" a="1"/>
  <c r="T801" i="18" s="1"/>
  <c r="T802" i="18" a="1"/>
  <c r="T802" i="18" s="1"/>
  <c r="T803" i="18" a="1"/>
  <c r="T803" i="18"/>
  <c r="T804" i="18" a="1"/>
  <c r="T804" i="18"/>
  <c r="T805" i="18" a="1"/>
  <c r="T805" i="18"/>
  <c r="T806" i="18" a="1"/>
  <c r="T806" i="18" s="1"/>
  <c r="T807" i="18" a="1"/>
  <c r="T807" i="18"/>
  <c r="T808" i="18" a="1"/>
  <c r="T808" i="18" s="1"/>
  <c r="T809" i="18" a="1"/>
  <c r="T809" i="18" s="1"/>
  <c r="T810" i="18" a="1"/>
  <c r="T810" i="18" s="1"/>
  <c r="T811" i="18" a="1"/>
  <c r="T811" i="18" s="1"/>
  <c r="T812" i="18" a="1"/>
  <c r="T812" i="18" s="1"/>
  <c r="T813" i="18" a="1"/>
  <c r="T813" i="18" s="1"/>
  <c r="T814" i="18" a="1"/>
  <c r="T814" i="18" s="1"/>
  <c r="T815" i="18" a="1"/>
  <c r="T815" i="18"/>
  <c r="T816" i="18" a="1"/>
  <c r="T816" i="18"/>
  <c r="T817" i="18" a="1"/>
  <c r="T817" i="18" s="1"/>
  <c r="T818" i="18" a="1"/>
  <c r="T818" i="18" s="1"/>
  <c r="T819" i="18" a="1"/>
  <c r="T819" i="18" s="1"/>
  <c r="T820" i="18" a="1"/>
  <c r="T820" i="18" s="1"/>
  <c r="T821" i="18" a="1"/>
  <c r="T821" i="18" s="1"/>
  <c r="T822" i="18" a="1"/>
  <c r="T822" i="18" s="1"/>
  <c r="T823" i="18" a="1"/>
  <c r="T823" i="18" s="1"/>
  <c r="T824" i="18" a="1"/>
  <c r="T824" i="18" s="1"/>
  <c r="T825" i="18" a="1"/>
  <c r="T825" i="18" s="1"/>
  <c r="T826" i="18" a="1"/>
  <c r="T826" i="18" s="1"/>
  <c r="T827" i="18" a="1"/>
  <c r="T827" i="18"/>
  <c r="T828" i="18" a="1"/>
  <c r="T828" i="18"/>
  <c r="T829" i="18" a="1"/>
  <c r="T829" i="18"/>
  <c r="T830" i="18" a="1"/>
  <c r="T830" i="18" s="1"/>
  <c r="T831" i="18" a="1"/>
  <c r="T831" i="18" s="1"/>
  <c r="T832" i="18" a="1"/>
  <c r="T832" i="18" s="1"/>
  <c r="T833" i="18" a="1"/>
  <c r="T833" i="18" s="1"/>
  <c r="T834" i="18" a="1"/>
  <c r="T834" i="18" s="1"/>
  <c r="T835" i="18" a="1"/>
  <c r="T835" i="18" s="1"/>
  <c r="T836" i="18" a="1"/>
  <c r="T836" i="18" s="1"/>
  <c r="T837" i="18" a="1"/>
  <c r="T837" i="18" s="1"/>
  <c r="T838" i="18" a="1"/>
  <c r="T838" i="18" s="1"/>
  <c r="T839" i="18" a="1"/>
  <c r="T839" i="18" s="1"/>
  <c r="T840" i="18" a="1"/>
  <c r="T840" i="18"/>
  <c r="T841" i="18" a="1"/>
  <c r="T841" i="18"/>
  <c r="T842" i="18" a="1"/>
  <c r="T842" i="18" s="1"/>
  <c r="T843" i="18" a="1"/>
  <c r="T843" i="18" s="1"/>
  <c r="T844" i="18" a="1"/>
  <c r="T844" i="18" s="1"/>
  <c r="T845" i="18" a="1"/>
  <c r="T845" i="18" s="1"/>
  <c r="T846" i="18" a="1"/>
  <c r="T846" i="18" s="1"/>
  <c r="T847" i="18" a="1"/>
  <c r="T847" i="18" s="1"/>
  <c r="T848" i="18" a="1"/>
  <c r="T848" i="18" s="1"/>
  <c r="T849" i="18" a="1"/>
  <c r="T849" i="18" s="1"/>
  <c r="T850" i="18" a="1"/>
  <c r="T850" i="18" s="1"/>
  <c r="T851" i="18" a="1"/>
  <c r="T851" i="18"/>
  <c r="T852" i="18" a="1"/>
  <c r="T852" i="18"/>
  <c r="T853" i="18" a="1"/>
  <c r="T853" i="18"/>
  <c r="T854" i="18" a="1"/>
  <c r="T854" i="18"/>
  <c r="T855" i="18" a="1"/>
  <c r="T855" i="18" s="1"/>
  <c r="T856" i="18" a="1"/>
  <c r="T856" i="18" s="1"/>
  <c r="T857" i="18" a="1"/>
  <c r="T857" i="18" s="1"/>
  <c r="T858" i="18" a="1"/>
  <c r="T858" i="18" s="1"/>
  <c r="T859" i="18" a="1"/>
  <c r="T859" i="18" s="1"/>
  <c r="T860" i="18" a="1"/>
  <c r="T860" i="18" s="1"/>
  <c r="T861" i="18" a="1"/>
  <c r="T861" i="18" s="1"/>
  <c r="T862" i="18" a="1"/>
  <c r="T862" i="18" s="1"/>
  <c r="T863" i="18" a="1"/>
  <c r="T863" i="18" s="1"/>
  <c r="T864" i="18" a="1"/>
  <c r="T864" i="18" s="1"/>
  <c r="T865" i="18" a="1"/>
  <c r="T865" i="18"/>
  <c r="T866" i="18" a="1"/>
  <c r="T866" i="18"/>
  <c r="T867" i="18" a="1"/>
  <c r="T867" i="18" s="1"/>
  <c r="T868" i="18" a="1"/>
  <c r="T868" i="18" s="1"/>
  <c r="T869" i="18" a="1"/>
  <c r="T869" i="18" s="1"/>
  <c r="T870" i="18" a="1"/>
  <c r="T870" i="18" s="1"/>
  <c r="T871" i="18" a="1"/>
  <c r="T871" i="18" s="1"/>
  <c r="T872" i="18" a="1"/>
  <c r="T872" i="18" s="1"/>
  <c r="T873" i="18" a="1"/>
  <c r="T873" i="18" s="1"/>
  <c r="T874" i="18" a="1"/>
  <c r="T874" i="18" s="1"/>
  <c r="T875" i="18" a="1"/>
  <c r="T875" i="18" s="1"/>
  <c r="T876" i="18" a="1"/>
  <c r="T876" i="18"/>
  <c r="T877" i="18" a="1"/>
  <c r="T877" i="18"/>
  <c r="T878" i="18" a="1"/>
  <c r="T878" i="18"/>
  <c r="T879" i="18" a="1"/>
  <c r="T879" i="18"/>
  <c r="T880" i="18" a="1"/>
  <c r="T880" i="18" s="1"/>
  <c r="T881" i="18" a="1"/>
  <c r="T881" i="18" s="1"/>
  <c r="T882" i="18" a="1"/>
  <c r="T882" i="18" s="1"/>
  <c r="T883" i="18" a="1"/>
  <c r="T883" i="18" s="1"/>
  <c r="T884" i="18" a="1"/>
  <c r="T884" i="18" s="1"/>
  <c r="T885" i="18" a="1"/>
  <c r="T885" i="18" s="1"/>
  <c r="T886" i="18" a="1"/>
  <c r="T886" i="18" s="1"/>
  <c r="T887" i="18" a="1"/>
  <c r="T887" i="18" s="1"/>
  <c r="T888" i="18" a="1"/>
  <c r="T888" i="18" s="1"/>
  <c r="T889" i="18" a="1"/>
  <c r="T889" i="18" s="1"/>
  <c r="T890" i="18" a="1"/>
  <c r="T890" i="18"/>
  <c r="T891" i="18" a="1"/>
  <c r="T891" i="18"/>
  <c r="T892" i="18" a="1"/>
  <c r="T892" i="18" s="1"/>
  <c r="T893" i="18" a="1"/>
  <c r="T893" i="18" s="1"/>
  <c r="T894" i="18" a="1"/>
  <c r="T894" i="18" s="1"/>
  <c r="T895" i="18" a="1"/>
  <c r="T895" i="18" s="1"/>
  <c r="T896" i="18" a="1"/>
  <c r="T896" i="18" s="1"/>
  <c r="T897" i="18" a="1"/>
  <c r="T897" i="18" s="1"/>
  <c r="T898" i="18" a="1"/>
  <c r="T898" i="18" s="1"/>
  <c r="T899" i="18" a="1"/>
  <c r="T899" i="18"/>
  <c r="T900" i="18" a="1"/>
  <c r="T900" i="18" s="1"/>
  <c r="T901" i="18" a="1"/>
  <c r="T901" i="18"/>
  <c r="T902" i="18" a="1"/>
  <c r="T902" i="18"/>
  <c r="T903" i="18" a="1"/>
  <c r="T903" i="18"/>
  <c r="T904" i="18" a="1"/>
  <c r="T904" i="18" s="1"/>
  <c r="T905" i="18" a="1"/>
  <c r="T905" i="18" s="1"/>
  <c r="T906" i="18" a="1"/>
  <c r="T906" i="18" s="1"/>
  <c r="T907" i="18" a="1"/>
  <c r="T907" i="18" s="1"/>
  <c r="T908" i="18" a="1"/>
  <c r="T908" i="18" s="1"/>
  <c r="T909" i="18" a="1"/>
  <c r="T909" i="18" s="1"/>
  <c r="T910" i="18" a="1"/>
  <c r="T910" i="18" s="1"/>
  <c r="T911" i="18" a="1"/>
  <c r="T911" i="18" s="1"/>
  <c r="T912" i="18" a="1"/>
  <c r="T912" i="18" s="1"/>
  <c r="T913" i="18" a="1"/>
  <c r="T913" i="18" s="1"/>
  <c r="T914" i="18" a="1"/>
  <c r="T914" i="18" s="1"/>
  <c r="T915" i="18" a="1"/>
  <c r="T915" i="18"/>
  <c r="T916" i="18" a="1"/>
  <c r="T916" i="18" s="1"/>
  <c r="T917" i="18" a="1"/>
  <c r="T917" i="18" s="1"/>
  <c r="T918" i="18" a="1"/>
  <c r="T918" i="18" s="1"/>
  <c r="T919" i="18" a="1"/>
  <c r="T919" i="18" s="1"/>
  <c r="T920" i="18" a="1"/>
  <c r="T920" i="18" s="1"/>
  <c r="T921" i="18" a="1"/>
  <c r="T921" i="18" s="1"/>
  <c r="T922" i="18" a="1"/>
  <c r="T922" i="18" s="1"/>
  <c r="T923" i="18" a="1"/>
  <c r="T923" i="18"/>
  <c r="T924" i="18" a="1"/>
  <c r="T924" i="18"/>
  <c r="T925" i="18" a="1"/>
  <c r="T925" i="18" s="1"/>
  <c r="T926" i="18" a="1"/>
  <c r="T926" i="18"/>
  <c r="T927" i="18" a="1"/>
  <c r="T927" i="18"/>
  <c r="T928" i="18" a="1"/>
  <c r="T928" i="18" s="1"/>
  <c r="T929" i="18" a="1"/>
  <c r="T929" i="18" s="1"/>
  <c r="T930" i="18" a="1"/>
  <c r="T930" i="18" s="1"/>
  <c r="T931" i="18" a="1"/>
  <c r="T931" i="18" s="1"/>
  <c r="T932" i="18" a="1"/>
  <c r="T932" i="18" s="1"/>
  <c r="T933" i="18" a="1"/>
  <c r="T933" i="18" s="1"/>
  <c r="T934" i="18" a="1"/>
  <c r="T934" i="18" s="1"/>
  <c r="T935" i="18" a="1"/>
  <c r="T935" i="18"/>
  <c r="T936" i="18" a="1"/>
  <c r="T936" i="18" s="1"/>
  <c r="T937" i="18" a="1"/>
  <c r="T937" i="18" s="1"/>
  <c r="T938" i="18" a="1"/>
  <c r="T938" i="18" s="1"/>
  <c r="T939" i="18" a="1"/>
  <c r="T939" i="18" s="1"/>
  <c r="T940" i="18" a="1"/>
  <c r="T940" i="18" s="1"/>
  <c r="T941" i="18" a="1"/>
  <c r="T941" i="18" s="1"/>
  <c r="T942" i="18" a="1"/>
  <c r="T942" i="18" s="1"/>
  <c r="T943" i="18" a="1"/>
  <c r="T943" i="18" s="1"/>
  <c r="T944" i="18" a="1"/>
  <c r="T944" i="18" s="1"/>
  <c r="T945" i="18" a="1"/>
  <c r="T945" i="18" s="1"/>
  <c r="T946" i="18" a="1"/>
  <c r="T946" i="18" s="1"/>
  <c r="T947" i="18" a="1"/>
  <c r="T947" i="18"/>
  <c r="T948" i="18" a="1"/>
  <c r="T948" i="18"/>
  <c r="T949" i="18" a="1"/>
  <c r="T949" i="18"/>
  <c r="T950" i="18" a="1"/>
  <c r="T950" i="18" s="1"/>
  <c r="T951" i="18" a="1"/>
  <c r="T951" i="18"/>
  <c r="T952" i="18" a="1"/>
  <c r="T952" i="18" s="1"/>
  <c r="T953" i="18" a="1"/>
  <c r="T953" i="18" s="1"/>
  <c r="T954" i="18" a="1"/>
  <c r="T954" i="18" s="1"/>
  <c r="T955" i="18" a="1"/>
  <c r="T955" i="18" s="1"/>
  <c r="T956" i="18" a="1"/>
  <c r="T956" i="18" s="1"/>
  <c r="T957" i="18" a="1"/>
  <c r="T957" i="18" s="1"/>
  <c r="T958" i="18" a="1"/>
  <c r="T958" i="18" s="1"/>
  <c r="T959" i="18" a="1"/>
  <c r="T959" i="18"/>
  <c r="T960" i="18" a="1"/>
  <c r="T960" i="18"/>
  <c r="T961" i="18" a="1"/>
  <c r="T961" i="18" s="1"/>
  <c r="T962" i="18" a="1"/>
  <c r="T962" i="18" s="1"/>
  <c r="T963" i="18" a="1"/>
  <c r="T963" i="18" s="1"/>
  <c r="T964" i="18" a="1"/>
  <c r="T964" i="18" s="1"/>
  <c r="T965" i="18" a="1"/>
  <c r="T965" i="18" s="1"/>
  <c r="T966" i="18" a="1"/>
  <c r="T966" i="18" s="1"/>
  <c r="T967" i="18" a="1"/>
  <c r="T967" i="18" s="1"/>
  <c r="T968" i="18" a="1"/>
  <c r="T968" i="18" s="1"/>
  <c r="T969" i="18" a="1"/>
  <c r="T969" i="18" s="1"/>
  <c r="T970" i="18" a="1"/>
  <c r="T970" i="18" s="1"/>
  <c r="T971" i="18" a="1"/>
  <c r="T971" i="18"/>
  <c r="T972" i="18" a="1"/>
  <c r="T972" i="18"/>
  <c r="T973" i="18" a="1"/>
  <c r="T973" i="18"/>
  <c r="T974" i="18" a="1"/>
  <c r="T974" i="18" s="1"/>
  <c r="T975" i="18" a="1"/>
  <c r="T975" i="18" s="1"/>
  <c r="T976" i="18" a="1"/>
  <c r="T976" i="18" s="1"/>
  <c r="T977" i="18" a="1"/>
  <c r="T977" i="18" s="1"/>
  <c r="T978" i="18" a="1"/>
  <c r="T978" i="18" s="1"/>
  <c r="T979" i="18" a="1"/>
  <c r="T979" i="18" s="1"/>
  <c r="T980" i="18" a="1"/>
  <c r="T980" i="18" s="1"/>
  <c r="T981" i="18" a="1"/>
  <c r="T981" i="18" s="1"/>
  <c r="T982" i="18" a="1"/>
  <c r="T982" i="18" s="1"/>
  <c r="T983" i="18" a="1"/>
  <c r="T983" i="18" s="1"/>
  <c r="T984" i="18" a="1"/>
  <c r="T984" i="18"/>
  <c r="T985" i="18" a="1"/>
  <c r="T985" i="18"/>
  <c r="T986" i="18" a="1"/>
  <c r="T986" i="18" s="1"/>
  <c r="T987" i="18" a="1"/>
  <c r="T987" i="18" s="1"/>
  <c r="T988" i="18" a="1"/>
  <c r="T988" i="18" s="1"/>
  <c r="T989" i="18" a="1"/>
  <c r="T989" i="18" s="1"/>
  <c r="T990" i="18" a="1"/>
  <c r="T990" i="18" s="1"/>
  <c r="T991" i="18" a="1"/>
  <c r="T991" i="18" s="1"/>
  <c r="T992" i="18" a="1"/>
  <c r="T992" i="18" s="1"/>
  <c r="T993" i="18" a="1"/>
  <c r="T993" i="18" s="1"/>
  <c r="T994" i="18" a="1"/>
  <c r="T994" i="18" s="1"/>
  <c r="T995" i="18" a="1"/>
  <c r="T995" i="18"/>
  <c r="T996" i="18" a="1"/>
  <c r="T996" i="18"/>
  <c r="T997" i="18" a="1"/>
  <c r="T997" i="18"/>
  <c r="T998" i="18" a="1"/>
  <c r="T998" i="18"/>
  <c r="T999" i="18" a="1"/>
  <c r="T999" i="18" s="1"/>
  <c r="T1000" i="18" a="1"/>
  <c r="T1000" i="18" s="1"/>
  <c r="T1001" i="18" a="1"/>
  <c r="T1001" i="18" s="1"/>
  <c r="T1002" i="18" a="1"/>
  <c r="T1002" i="18" s="1"/>
  <c r="T1003" i="18" a="1"/>
  <c r="T1003" i="18" s="1"/>
  <c r="T1004" i="18" a="1"/>
  <c r="T1004" i="18" s="1"/>
  <c r="T1005" i="18" a="1"/>
  <c r="T1005" i="18" s="1"/>
  <c r="T1006" i="18" a="1"/>
  <c r="T1006" i="18" s="1"/>
  <c r="T1007" i="18" a="1"/>
  <c r="T1007" i="18" s="1"/>
  <c r="T1008" i="18" a="1"/>
  <c r="T1008" i="18" s="1"/>
  <c r="T1009" i="18" a="1"/>
  <c r="T1009" i="18"/>
  <c r="T1010" i="18" a="1"/>
  <c r="T1010" i="18"/>
  <c r="T1011" i="18" a="1"/>
  <c r="T1011" i="18" s="1"/>
  <c r="T1012" i="18" a="1"/>
  <c r="T1012" i="18" s="1"/>
  <c r="T1013" i="18" a="1"/>
  <c r="T1013" i="18" s="1"/>
  <c r="T1014" i="18" a="1"/>
  <c r="T1014" i="18" s="1"/>
  <c r="T1015" i="18" a="1"/>
  <c r="T1015" i="18" s="1"/>
  <c r="T1016" i="18" a="1"/>
  <c r="T1016" i="18" s="1"/>
  <c r="T1017" i="18" a="1"/>
  <c r="T1017" i="18" s="1"/>
  <c r="T1018" i="18" a="1"/>
  <c r="T1018" i="18" s="1"/>
  <c r="T1019" i="18" a="1"/>
  <c r="T1019" i="18" s="1"/>
  <c r="T1020" i="18" a="1"/>
  <c r="T1020" i="18"/>
  <c r="T1021" i="18" a="1"/>
  <c r="T1021" i="18"/>
  <c r="T1022" i="18" a="1"/>
  <c r="T1022" i="18"/>
  <c r="T1023" i="18" a="1"/>
  <c r="T1023" i="18"/>
  <c r="T1024" i="18" a="1"/>
  <c r="T1024" i="18" s="1"/>
  <c r="T1025" i="18" a="1"/>
  <c r="T1025" i="18" s="1"/>
  <c r="T1026" i="18" a="1"/>
  <c r="T1026" i="18" s="1"/>
  <c r="T1027" i="18" a="1"/>
  <c r="T1027" i="18" s="1"/>
  <c r="T1028" i="18" a="1"/>
  <c r="T1028" i="18" s="1"/>
  <c r="T1029" i="18" a="1"/>
  <c r="T1029" i="18" s="1"/>
  <c r="T1030" i="18" a="1"/>
  <c r="T1030" i="18" s="1"/>
  <c r="T1031" i="18" a="1"/>
  <c r="T1031" i="18" s="1"/>
  <c r="T1032" i="18" a="1"/>
  <c r="T1032" i="18" s="1"/>
  <c r="T1033" i="18" a="1"/>
  <c r="T1033" i="18" s="1"/>
  <c r="T1034" i="18" a="1"/>
  <c r="T1034" i="18"/>
  <c r="T1035" i="18" a="1"/>
  <c r="T1035" i="18"/>
  <c r="T1036" i="18" a="1"/>
  <c r="T1036" i="18" s="1"/>
  <c r="T1037" i="18" a="1"/>
  <c r="T1037" i="18" s="1"/>
  <c r="T1038" i="18" a="1"/>
  <c r="T1038" i="18" s="1"/>
  <c r="T1039" i="18" a="1"/>
  <c r="T1039" i="18" s="1"/>
  <c r="T1040" i="18" a="1"/>
  <c r="T1040" i="18" s="1"/>
  <c r="T1041" i="18" a="1"/>
  <c r="T1041" i="18" s="1"/>
  <c r="T1042" i="18" a="1"/>
  <c r="T1042" i="18" s="1"/>
  <c r="T1043" i="18" a="1"/>
  <c r="T1043" i="18"/>
  <c r="T1044" i="18" a="1"/>
  <c r="T1044" i="18" s="1"/>
  <c r="T1045" i="18" a="1"/>
  <c r="T1045" i="18"/>
  <c r="T1046" i="18" a="1"/>
  <c r="T1046" i="18"/>
  <c r="T1047" i="18" a="1"/>
  <c r="T1047" i="18"/>
  <c r="T1048" i="18" a="1"/>
  <c r="T1048" i="18" s="1"/>
  <c r="T1049" i="18" a="1"/>
  <c r="T1049" i="18" s="1"/>
  <c r="T1050" i="18" a="1"/>
  <c r="T1050" i="18" s="1"/>
  <c r="T1051" i="18" a="1"/>
  <c r="T1051" i="18" s="1"/>
  <c r="T1052" i="18" a="1"/>
  <c r="T1052" i="18" s="1"/>
  <c r="T1053" i="18" a="1"/>
  <c r="T1053" i="18" s="1"/>
  <c r="T1054" i="18" a="1"/>
  <c r="T1054" i="18" s="1"/>
  <c r="T1055" i="18" a="1"/>
  <c r="T1055" i="18" s="1"/>
  <c r="T1056" i="18" a="1"/>
  <c r="T1056" i="18" s="1"/>
  <c r="T1057" i="18" a="1"/>
  <c r="T1057" i="18" s="1"/>
  <c r="T1058" i="18" a="1"/>
  <c r="T1058" i="18" s="1"/>
  <c r="T1059" i="18" a="1"/>
  <c r="T1059" i="18"/>
  <c r="T1060" i="18" a="1"/>
  <c r="T1060" i="18" s="1"/>
  <c r="T1061" i="18" a="1"/>
  <c r="T1061" i="18" s="1"/>
  <c r="T1062" i="18" a="1"/>
  <c r="T1062" i="18" s="1"/>
  <c r="T1063" i="18" a="1"/>
  <c r="T1063" i="18" s="1"/>
  <c r="T1064" i="18" a="1"/>
  <c r="T1064" i="18" s="1"/>
  <c r="T1065" i="18" a="1"/>
  <c r="T1065" i="18" s="1"/>
  <c r="T1066" i="18" a="1"/>
  <c r="T1066" i="18" s="1"/>
  <c r="T1067" i="18" a="1"/>
  <c r="T1067" i="18"/>
  <c r="T1068" i="18" a="1"/>
  <c r="T1068" i="18"/>
  <c r="T1069" i="18" a="1"/>
  <c r="T1069" i="18" s="1"/>
  <c r="T1070" i="18" a="1"/>
  <c r="T1070" i="18"/>
  <c r="T1071" i="18" a="1"/>
  <c r="T1071" i="18"/>
  <c r="T1072" i="18" a="1"/>
  <c r="T1072" i="18" s="1"/>
  <c r="T1073" i="18" a="1"/>
  <c r="T1073" i="18" s="1"/>
  <c r="T1074" i="18" a="1"/>
  <c r="T1074" i="18" s="1"/>
  <c r="T1075" i="18" a="1"/>
  <c r="T1075" i="18" s="1"/>
  <c r="T1076" i="18" a="1"/>
  <c r="T1076" i="18" s="1"/>
  <c r="T1077" i="18" a="1"/>
  <c r="T1077" i="18" s="1"/>
  <c r="T1078" i="18" a="1"/>
  <c r="T1078" i="18" s="1"/>
  <c r="T1079" i="18" a="1"/>
  <c r="T1079" i="18"/>
  <c r="T1080" i="18" a="1"/>
  <c r="T1080" i="18" s="1"/>
  <c r="T1081" i="18" a="1"/>
  <c r="T1081" i="18" s="1"/>
  <c r="T1082" i="18" a="1"/>
  <c r="T1082" i="18" s="1"/>
  <c r="T1083" i="18" a="1"/>
  <c r="T1083" i="18" s="1"/>
  <c r="T1084" i="18" a="1"/>
  <c r="T1084" i="18" s="1"/>
  <c r="T1085" i="18" a="1"/>
  <c r="T1085" i="18" s="1"/>
  <c r="T1086" i="18" a="1"/>
  <c r="T1086" i="18" s="1"/>
  <c r="T1087" i="18" a="1"/>
  <c r="T1087" i="18" s="1"/>
  <c r="T1088" i="18" a="1"/>
  <c r="T1088" i="18" s="1"/>
  <c r="T1089" i="18" a="1"/>
  <c r="T1089" i="18" s="1"/>
  <c r="T1090" i="18" a="1"/>
  <c r="T1090" i="18" s="1"/>
  <c r="T1091" i="18" a="1"/>
  <c r="T1091" i="18"/>
  <c r="T1092" i="18" a="1"/>
  <c r="T1092" i="18"/>
  <c r="T1093" i="18" a="1"/>
  <c r="T1093" i="18"/>
  <c r="T1094" i="18" a="1"/>
  <c r="T1094" i="18" s="1"/>
  <c r="T1095" i="18" a="1"/>
  <c r="T1095" i="18"/>
  <c r="T1096" i="18" a="1"/>
  <c r="T1096" i="18" s="1"/>
  <c r="T1097" i="18" a="1"/>
  <c r="T1097" i="18" s="1"/>
  <c r="T1098" i="18" a="1"/>
  <c r="T1098" i="18" s="1"/>
  <c r="T1099" i="18" a="1"/>
  <c r="T1099" i="18" s="1"/>
  <c r="T1100" i="18" a="1"/>
  <c r="T1100" i="18" s="1"/>
  <c r="T1101" i="18" a="1"/>
  <c r="T1101" i="18" s="1"/>
  <c r="T1102" i="18" a="1"/>
  <c r="T1102" i="18" s="1"/>
  <c r="T1103" i="18" a="1"/>
  <c r="T1103" i="18"/>
  <c r="T1104" i="18" a="1"/>
  <c r="T1104" i="18"/>
  <c r="T1105" i="18" a="1"/>
  <c r="T1105" i="18" s="1"/>
  <c r="T1106" i="18" a="1"/>
  <c r="T1106" i="18" s="1"/>
  <c r="T1107" i="18" a="1"/>
  <c r="T1107" i="18" s="1"/>
  <c r="T1108" i="18" a="1"/>
  <c r="T1108" i="18" s="1"/>
  <c r="T1109" i="18" a="1"/>
  <c r="T1109" i="18" s="1"/>
  <c r="T1110" i="18" a="1"/>
  <c r="T1110" i="18" s="1"/>
  <c r="T1111" i="18" a="1"/>
  <c r="T1111" i="18" s="1"/>
  <c r="T1112" i="18" a="1"/>
  <c r="T1112" i="18" s="1"/>
  <c r="T1113" i="18" a="1"/>
  <c r="T1113" i="18" s="1"/>
  <c r="T1114" i="18" a="1"/>
  <c r="T1114" i="18" s="1"/>
  <c r="T1115" i="18" a="1"/>
  <c r="T1115" i="18"/>
  <c r="T1116" i="18" a="1"/>
  <c r="T1116" i="18"/>
  <c r="T1117" i="18" a="1"/>
  <c r="T1117" i="18"/>
  <c r="T1118" i="18" a="1"/>
  <c r="T1118" i="18" s="1"/>
  <c r="T1119" i="18" a="1"/>
  <c r="T1119" i="18" s="1"/>
  <c r="T1120" i="18" a="1"/>
  <c r="T1120" i="18" s="1"/>
  <c r="T1121" i="18" a="1"/>
  <c r="T1121" i="18" s="1"/>
  <c r="T1122" i="18" a="1"/>
  <c r="T1122" i="18" s="1"/>
  <c r="T1123" i="18" a="1"/>
  <c r="T1123" i="18" s="1"/>
  <c r="T1124" i="18" a="1"/>
  <c r="T1124" i="18" s="1"/>
  <c r="T1125" i="18" a="1"/>
  <c r="T1125" i="18" s="1"/>
  <c r="T1126" i="18" a="1"/>
  <c r="T1126" i="18" s="1"/>
  <c r="T1127" i="18" a="1"/>
  <c r="T1127" i="18" s="1"/>
  <c r="T1128" i="18" a="1"/>
  <c r="T1128" i="18"/>
  <c r="T1129" i="18" a="1"/>
  <c r="T1129" i="18"/>
  <c r="T1130" i="18" a="1"/>
  <c r="T1130" i="18" s="1"/>
  <c r="T1131" i="18" a="1"/>
  <c r="T1131" i="18" s="1"/>
  <c r="T1132" i="18" a="1"/>
  <c r="T1132" i="18" s="1"/>
  <c r="T1133" i="18" a="1"/>
  <c r="T1133" i="18" s="1"/>
  <c r="T1134" i="18" a="1"/>
  <c r="T1134" i="18" s="1"/>
  <c r="T1135" i="18" a="1"/>
  <c r="T1135" i="18" s="1"/>
  <c r="T1136" i="18" a="1"/>
  <c r="T1136" i="18" s="1"/>
  <c r="T1137" i="18" a="1"/>
  <c r="T1137" i="18" s="1"/>
  <c r="T1138" i="18" a="1"/>
  <c r="T1138" i="18" s="1"/>
  <c r="T1139" i="18" a="1"/>
  <c r="T1139" i="18"/>
  <c r="T1140" i="18" a="1"/>
  <c r="T1140" i="18"/>
  <c r="T1141" i="18" a="1"/>
  <c r="T1141" i="18"/>
  <c r="T1142" i="18" a="1"/>
  <c r="T1142" i="18"/>
  <c r="T1143" i="18" a="1"/>
  <c r="T1143" i="18" s="1"/>
  <c r="T1144" i="18" a="1"/>
  <c r="T1144" i="18" s="1"/>
  <c r="T1145" i="18" a="1"/>
  <c r="T1145" i="18" s="1"/>
  <c r="T1146" i="18" a="1"/>
  <c r="T1146" i="18" s="1"/>
  <c r="T1147" i="18" a="1"/>
  <c r="T1147" i="18" s="1"/>
  <c r="T1148" i="18" a="1"/>
  <c r="T1148" i="18" s="1"/>
  <c r="T1149" i="18" a="1"/>
  <c r="T1149" i="18" s="1"/>
  <c r="T1150" i="18" a="1"/>
  <c r="T1150" i="18" s="1"/>
  <c r="T1151" i="18" a="1"/>
  <c r="T1151" i="18" s="1"/>
  <c r="T1152" i="18" a="1"/>
  <c r="T1152" i="18" s="1"/>
  <c r="T1153" i="18" a="1"/>
  <c r="T1153" i="18"/>
  <c r="T1154" i="18" a="1"/>
  <c r="T1154" i="18"/>
  <c r="T1155" i="18" a="1"/>
  <c r="T1155" i="18" s="1"/>
  <c r="T1156" i="18" a="1"/>
  <c r="T1156" i="18" s="1"/>
  <c r="T1157" i="18" a="1"/>
  <c r="T1157" i="18" s="1"/>
  <c r="T1158" i="18" a="1"/>
  <c r="T1158" i="18" s="1"/>
  <c r="T1159" i="18" a="1"/>
  <c r="T1159" i="18" s="1"/>
  <c r="T1160" i="18" a="1"/>
  <c r="T1160" i="18" s="1"/>
  <c r="T1161" i="18" a="1"/>
  <c r="T1161" i="18" s="1"/>
  <c r="T1162" i="18" a="1"/>
  <c r="T1162" i="18" s="1"/>
  <c r="T1163" i="18" a="1"/>
  <c r="T1163" i="18" s="1"/>
  <c r="T1164" i="18" a="1"/>
  <c r="T1164" i="18"/>
  <c r="T1165" i="18" a="1"/>
  <c r="T1165" i="18"/>
  <c r="T1166" i="18" a="1"/>
  <c r="T1166" i="18"/>
  <c r="T1167" i="18" a="1"/>
  <c r="T1167" i="18"/>
  <c r="T1168" i="18" a="1"/>
  <c r="T1168" i="18" s="1"/>
  <c r="T1169" i="18" a="1"/>
  <c r="T1169" i="18" s="1"/>
  <c r="T1170" i="18" a="1"/>
  <c r="T1170" i="18" s="1"/>
  <c r="T1171" i="18" a="1"/>
  <c r="T1171" i="18" s="1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2" i="18"/>
  <c r="U463" i="18"/>
  <c r="U464" i="18"/>
  <c r="U465" i="18"/>
  <c r="U466" i="18"/>
  <c r="U467" i="18"/>
  <c r="U468" i="18"/>
  <c r="U469" i="18"/>
  <c r="U470" i="18"/>
  <c r="U471" i="18"/>
  <c r="U472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1" i="18"/>
  <c r="U562" i="18"/>
  <c r="U563" i="18"/>
  <c r="U564" i="18"/>
  <c r="U565" i="18"/>
  <c r="U566" i="18"/>
  <c r="U567" i="18"/>
  <c r="U568" i="18"/>
  <c r="U569" i="18"/>
  <c r="U570" i="18"/>
  <c r="U571" i="18"/>
  <c r="U572" i="18"/>
  <c r="U573" i="18"/>
  <c r="U574" i="18"/>
  <c r="U575" i="18"/>
  <c r="U576" i="18"/>
  <c r="U577" i="18"/>
  <c r="U578" i="18"/>
  <c r="U579" i="18"/>
  <c r="U580" i="18"/>
  <c r="U581" i="18"/>
  <c r="U582" i="18"/>
  <c r="U583" i="18"/>
  <c r="U584" i="18"/>
  <c r="U585" i="18"/>
  <c r="U586" i="18"/>
  <c r="U587" i="18"/>
  <c r="U588" i="18"/>
  <c r="U589" i="18"/>
  <c r="U590" i="18"/>
  <c r="U591" i="18"/>
  <c r="U592" i="18"/>
  <c r="U593" i="18"/>
  <c r="U594" i="18"/>
  <c r="U595" i="18"/>
  <c r="U596" i="18"/>
  <c r="U597" i="18"/>
  <c r="U598" i="18"/>
  <c r="U599" i="18"/>
  <c r="U600" i="18"/>
  <c r="U601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4" i="18"/>
  <c r="U615" i="18"/>
  <c r="U616" i="18"/>
  <c r="U617" i="18"/>
  <c r="U618" i="18"/>
  <c r="U619" i="18"/>
  <c r="U620" i="18"/>
  <c r="U621" i="18"/>
  <c r="U622" i="18"/>
  <c r="U623" i="18"/>
  <c r="U624" i="18"/>
  <c r="U625" i="18"/>
  <c r="U626" i="18"/>
  <c r="U627" i="18"/>
  <c r="U628" i="18"/>
  <c r="U629" i="18"/>
  <c r="U630" i="18"/>
  <c r="U631" i="18"/>
  <c r="U632" i="18"/>
  <c r="U633" i="18"/>
  <c r="U634" i="18"/>
  <c r="U635" i="18"/>
  <c r="U636" i="18"/>
  <c r="U637" i="18"/>
  <c r="U638" i="18"/>
  <c r="U639" i="18"/>
  <c r="U640" i="18"/>
  <c r="U641" i="18"/>
  <c r="U642" i="18"/>
  <c r="U643" i="18"/>
  <c r="U644" i="18"/>
  <c r="U645" i="18"/>
  <c r="U646" i="18"/>
  <c r="U647" i="18"/>
  <c r="U648" i="18"/>
  <c r="U649" i="18"/>
  <c r="U650" i="18"/>
  <c r="U651" i="18"/>
  <c r="U652" i="18"/>
  <c r="U653" i="18"/>
  <c r="U654" i="18"/>
  <c r="U655" i="18"/>
  <c r="U656" i="18"/>
  <c r="U657" i="18"/>
  <c r="U658" i="18"/>
  <c r="U659" i="18"/>
  <c r="U660" i="18"/>
  <c r="U661" i="18"/>
  <c r="U662" i="18"/>
  <c r="U663" i="18"/>
  <c r="U664" i="18"/>
  <c r="U665" i="18"/>
  <c r="U666" i="18"/>
  <c r="U667" i="18"/>
  <c r="U668" i="18"/>
  <c r="U669" i="18"/>
  <c r="U670" i="18"/>
  <c r="U671" i="18"/>
  <c r="U672" i="18"/>
  <c r="U673" i="18"/>
  <c r="U674" i="18"/>
  <c r="U675" i="18"/>
  <c r="U676" i="18"/>
  <c r="U677" i="18"/>
  <c r="U678" i="18"/>
  <c r="U679" i="18"/>
  <c r="U680" i="18"/>
  <c r="U681" i="18"/>
  <c r="U682" i="18"/>
  <c r="U683" i="18"/>
  <c r="U684" i="18"/>
  <c r="U685" i="18"/>
  <c r="U686" i="18"/>
  <c r="U687" i="18"/>
  <c r="U688" i="18"/>
  <c r="U689" i="18"/>
  <c r="U690" i="18"/>
  <c r="U691" i="18"/>
  <c r="U692" i="18"/>
  <c r="U693" i="18"/>
  <c r="U694" i="18"/>
  <c r="U695" i="18"/>
  <c r="U696" i="18"/>
  <c r="U697" i="18"/>
  <c r="U698" i="18"/>
  <c r="U699" i="18"/>
  <c r="U700" i="18"/>
  <c r="U701" i="18"/>
  <c r="U702" i="18"/>
  <c r="U703" i="18"/>
  <c r="U704" i="18"/>
  <c r="U705" i="18"/>
  <c r="U706" i="18"/>
  <c r="U707" i="18"/>
  <c r="U708" i="18"/>
  <c r="U709" i="18"/>
  <c r="U710" i="18"/>
  <c r="U711" i="18"/>
  <c r="U712" i="18"/>
  <c r="U713" i="18"/>
  <c r="U714" i="18"/>
  <c r="U715" i="18"/>
  <c r="U716" i="18"/>
  <c r="U717" i="18"/>
  <c r="U718" i="18"/>
  <c r="U719" i="18"/>
  <c r="U720" i="18"/>
  <c r="U721" i="18"/>
  <c r="U722" i="18"/>
  <c r="U723" i="18"/>
  <c r="U724" i="18"/>
  <c r="U725" i="18"/>
  <c r="U726" i="18"/>
  <c r="U727" i="18"/>
  <c r="U728" i="18"/>
  <c r="U729" i="18"/>
  <c r="U730" i="18"/>
  <c r="U731" i="18"/>
  <c r="U732" i="18"/>
  <c r="U733" i="18"/>
  <c r="U734" i="18"/>
  <c r="U735" i="18"/>
  <c r="U736" i="18"/>
  <c r="U737" i="18"/>
  <c r="U738" i="18"/>
  <c r="U739" i="18"/>
  <c r="U740" i="18"/>
  <c r="U741" i="18"/>
  <c r="U742" i="18"/>
  <c r="U743" i="18"/>
  <c r="U744" i="18"/>
  <c r="U745" i="18"/>
  <c r="U746" i="18"/>
  <c r="U747" i="18"/>
  <c r="U748" i="18"/>
  <c r="U749" i="18"/>
  <c r="U750" i="18"/>
  <c r="U751" i="18"/>
  <c r="U752" i="18"/>
  <c r="U753" i="18"/>
  <c r="U754" i="18"/>
  <c r="U755" i="18"/>
  <c r="U756" i="18"/>
  <c r="U757" i="18"/>
  <c r="U758" i="18"/>
  <c r="U759" i="18"/>
  <c r="U760" i="18"/>
  <c r="U761" i="18"/>
  <c r="U762" i="18"/>
  <c r="U763" i="18"/>
  <c r="U764" i="18"/>
  <c r="U765" i="18"/>
  <c r="U766" i="18"/>
  <c r="U767" i="18"/>
  <c r="U768" i="18"/>
  <c r="U769" i="18"/>
  <c r="U770" i="18"/>
  <c r="U771" i="18"/>
  <c r="U772" i="18"/>
  <c r="U773" i="18"/>
  <c r="U774" i="18"/>
  <c r="U775" i="18"/>
  <c r="U776" i="18"/>
  <c r="U777" i="18"/>
  <c r="U778" i="18"/>
  <c r="U779" i="18"/>
  <c r="U780" i="18"/>
  <c r="U781" i="18"/>
  <c r="U782" i="18"/>
  <c r="U783" i="18"/>
  <c r="U784" i="18"/>
  <c r="U785" i="18"/>
  <c r="U786" i="18"/>
  <c r="U787" i="18"/>
  <c r="U788" i="18"/>
  <c r="U789" i="18"/>
  <c r="U790" i="18"/>
  <c r="U791" i="18"/>
  <c r="U792" i="18"/>
  <c r="U793" i="18"/>
  <c r="U794" i="18"/>
  <c r="U795" i="18"/>
  <c r="U796" i="18"/>
  <c r="U797" i="18"/>
  <c r="U798" i="18"/>
  <c r="U799" i="18"/>
  <c r="U800" i="18"/>
  <c r="U801" i="18"/>
  <c r="U802" i="18"/>
  <c r="U803" i="18"/>
  <c r="U804" i="18"/>
  <c r="U805" i="18"/>
  <c r="U806" i="18"/>
  <c r="U807" i="18"/>
  <c r="U808" i="18"/>
  <c r="U809" i="18"/>
  <c r="U810" i="18"/>
  <c r="U811" i="18"/>
  <c r="U812" i="18"/>
  <c r="U813" i="18"/>
  <c r="U814" i="18"/>
  <c r="U815" i="18"/>
  <c r="U816" i="18"/>
  <c r="U817" i="18"/>
  <c r="U818" i="18"/>
  <c r="U819" i="18"/>
  <c r="U820" i="18"/>
  <c r="U821" i="18"/>
  <c r="U822" i="18"/>
  <c r="U823" i="18"/>
  <c r="U824" i="18"/>
  <c r="U825" i="18"/>
  <c r="U826" i="18"/>
  <c r="U827" i="18"/>
  <c r="U828" i="18"/>
  <c r="U829" i="18"/>
  <c r="U830" i="18"/>
  <c r="U831" i="18"/>
  <c r="U832" i="18"/>
  <c r="U833" i="18"/>
  <c r="U834" i="18"/>
  <c r="U835" i="18"/>
  <c r="U836" i="18"/>
  <c r="U837" i="18"/>
  <c r="U838" i="18"/>
  <c r="U839" i="18"/>
  <c r="U840" i="18"/>
  <c r="U841" i="18"/>
  <c r="U842" i="18"/>
  <c r="U843" i="18"/>
  <c r="U844" i="18"/>
  <c r="U845" i="18"/>
  <c r="U846" i="18"/>
  <c r="U847" i="18"/>
  <c r="U848" i="18"/>
  <c r="U849" i="18"/>
  <c r="U850" i="18"/>
  <c r="U851" i="18"/>
  <c r="U852" i="18"/>
  <c r="U853" i="18"/>
  <c r="U854" i="18"/>
  <c r="U855" i="18"/>
  <c r="U856" i="18"/>
  <c r="U857" i="18"/>
  <c r="U858" i="18"/>
  <c r="U859" i="18"/>
  <c r="U860" i="18"/>
  <c r="U861" i="18"/>
  <c r="U862" i="18"/>
  <c r="U863" i="18"/>
  <c r="U864" i="18"/>
  <c r="U865" i="18"/>
  <c r="U866" i="18"/>
  <c r="U867" i="18"/>
  <c r="U868" i="18"/>
  <c r="U869" i="18"/>
  <c r="U870" i="18"/>
  <c r="U871" i="18"/>
  <c r="U872" i="18"/>
  <c r="U873" i="18"/>
  <c r="U874" i="18"/>
  <c r="U875" i="18"/>
  <c r="U876" i="18"/>
  <c r="U877" i="18"/>
  <c r="U878" i="18"/>
  <c r="U879" i="18"/>
  <c r="U880" i="18"/>
  <c r="U881" i="18"/>
  <c r="U882" i="18"/>
  <c r="U883" i="18"/>
  <c r="U884" i="18"/>
  <c r="U885" i="18"/>
  <c r="U886" i="18"/>
  <c r="U887" i="18"/>
  <c r="U888" i="18"/>
  <c r="U889" i="18"/>
  <c r="U890" i="18"/>
  <c r="U891" i="18"/>
  <c r="U892" i="18"/>
  <c r="U893" i="18"/>
  <c r="U894" i="18"/>
  <c r="U895" i="18"/>
  <c r="U896" i="18"/>
  <c r="U897" i="18"/>
  <c r="U898" i="18"/>
  <c r="U899" i="18"/>
  <c r="U900" i="18"/>
  <c r="U901" i="18"/>
  <c r="U902" i="18"/>
  <c r="U903" i="18"/>
  <c r="U904" i="18"/>
  <c r="U905" i="18"/>
  <c r="U906" i="18"/>
  <c r="U907" i="18"/>
  <c r="U908" i="18"/>
  <c r="U909" i="18"/>
  <c r="U910" i="18"/>
  <c r="U911" i="18"/>
  <c r="U912" i="18"/>
  <c r="U913" i="18"/>
  <c r="U914" i="18"/>
  <c r="U915" i="18"/>
  <c r="U916" i="18"/>
  <c r="U917" i="18"/>
  <c r="U918" i="18"/>
  <c r="U919" i="18"/>
  <c r="U920" i="18"/>
  <c r="U921" i="18"/>
  <c r="U922" i="18"/>
  <c r="U923" i="18"/>
  <c r="U924" i="18"/>
  <c r="U925" i="18"/>
  <c r="U926" i="18"/>
  <c r="U927" i="18"/>
  <c r="U928" i="18"/>
  <c r="U929" i="18"/>
  <c r="U930" i="18"/>
  <c r="U931" i="18"/>
  <c r="U932" i="18"/>
  <c r="U933" i="18"/>
  <c r="U934" i="18"/>
  <c r="U935" i="18"/>
  <c r="U936" i="18"/>
  <c r="U937" i="18"/>
  <c r="U938" i="18"/>
  <c r="U939" i="18"/>
  <c r="U940" i="18"/>
  <c r="U941" i="18"/>
  <c r="U942" i="18"/>
  <c r="U943" i="18"/>
  <c r="U944" i="18"/>
  <c r="U945" i="18"/>
  <c r="U946" i="18"/>
  <c r="U947" i="18"/>
  <c r="U948" i="18"/>
  <c r="U949" i="18"/>
  <c r="U950" i="18"/>
  <c r="U951" i="18"/>
  <c r="U952" i="18"/>
  <c r="U953" i="18"/>
  <c r="U954" i="18"/>
  <c r="U955" i="18"/>
  <c r="U956" i="18"/>
  <c r="U957" i="18"/>
  <c r="U958" i="18"/>
  <c r="U959" i="18"/>
  <c r="U960" i="18"/>
  <c r="U961" i="18"/>
  <c r="U962" i="18"/>
  <c r="U963" i="18"/>
  <c r="U964" i="18"/>
  <c r="U965" i="18"/>
  <c r="U966" i="18"/>
  <c r="U967" i="18"/>
  <c r="U968" i="18"/>
  <c r="U969" i="18"/>
  <c r="U970" i="18"/>
  <c r="U971" i="18"/>
  <c r="U972" i="18"/>
  <c r="U973" i="18"/>
  <c r="U974" i="18"/>
  <c r="U975" i="18"/>
  <c r="U976" i="18"/>
  <c r="U977" i="18"/>
  <c r="U978" i="18"/>
  <c r="U979" i="18"/>
  <c r="U980" i="18"/>
  <c r="U981" i="18"/>
  <c r="U982" i="18"/>
  <c r="U983" i="18"/>
  <c r="U984" i="18"/>
  <c r="U985" i="18"/>
  <c r="U986" i="18"/>
  <c r="U987" i="18"/>
  <c r="U988" i="18"/>
  <c r="U989" i="18"/>
  <c r="U990" i="18"/>
  <c r="U991" i="18"/>
  <c r="U992" i="18"/>
  <c r="U993" i="18"/>
  <c r="U994" i="18"/>
  <c r="U996" i="18"/>
  <c r="U997" i="18"/>
  <c r="U998" i="18"/>
  <c r="U999" i="18"/>
  <c r="U1000" i="18"/>
  <c r="U1001" i="18"/>
  <c r="U1002" i="18"/>
  <c r="U1003" i="18"/>
  <c r="U1004" i="18"/>
  <c r="U1005" i="18"/>
  <c r="U1006" i="18"/>
  <c r="U1007" i="18"/>
  <c r="U1009" i="18"/>
  <c r="U1010" i="18"/>
  <c r="U1011" i="18"/>
  <c r="U1012" i="18"/>
  <c r="U1013" i="18"/>
  <c r="U1014" i="18"/>
  <c r="U1015" i="18"/>
  <c r="U1016" i="18"/>
  <c r="U1017" i="18"/>
  <c r="U1018" i="18"/>
  <c r="U1019" i="18"/>
  <c r="U1020" i="18"/>
  <c r="U1022" i="18"/>
  <c r="U1023" i="18"/>
  <c r="U1024" i="18"/>
  <c r="U1025" i="18"/>
  <c r="U1026" i="18"/>
  <c r="U1027" i="18"/>
  <c r="U1028" i="18"/>
  <c r="U1029" i="18"/>
  <c r="U1030" i="18"/>
  <c r="U1031" i="18"/>
  <c r="U1032" i="18"/>
  <c r="U1033" i="18"/>
  <c r="U1034" i="18"/>
  <c r="U1035" i="18"/>
  <c r="U1036" i="18"/>
  <c r="U1037" i="18"/>
  <c r="U1038" i="18"/>
  <c r="U1039" i="18"/>
  <c r="U1040" i="18"/>
  <c r="U1041" i="18"/>
  <c r="U1042" i="18"/>
  <c r="U1043" i="18"/>
  <c r="U1044" i="18"/>
  <c r="U1045" i="18"/>
  <c r="U1046" i="18"/>
  <c r="U1047" i="18"/>
  <c r="U1048" i="18"/>
  <c r="U1049" i="18"/>
  <c r="U1050" i="18"/>
  <c r="U1051" i="18"/>
  <c r="U1052" i="18"/>
  <c r="U1053" i="18"/>
  <c r="U1054" i="18"/>
  <c r="U1055" i="18"/>
  <c r="U1056" i="18"/>
  <c r="U1057" i="18"/>
  <c r="U1058" i="18"/>
  <c r="U1059" i="18"/>
  <c r="U1060" i="18"/>
  <c r="U1061" i="18"/>
  <c r="U1062" i="18"/>
  <c r="U1063" i="18"/>
  <c r="U1064" i="18"/>
  <c r="U1065" i="18"/>
  <c r="U1066" i="18"/>
  <c r="U1067" i="18"/>
  <c r="U1068" i="18"/>
  <c r="U1070" i="18"/>
  <c r="U1071" i="18"/>
  <c r="U1072" i="18"/>
  <c r="U1073" i="18"/>
  <c r="U1074" i="18"/>
  <c r="U1075" i="18"/>
  <c r="U1076" i="18"/>
  <c r="U1077" i="18"/>
  <c r="U1078" i="18"/>
  <c r="U1079" i="18"/>
  <c r="U1080" i="18"/>
  <c r="U1081" i="18"/>
  <c r="U1082" i="18"/>
  <c r="U1083" i="18"/>
  <c r="U1084" i="18"/>
  <c r="U1085" i="18"/>
  <c r="U1086" i="18"/>
  <c r="U1087" i="18"/>
  <c r="U1088" i="18"/>
  <c r="U1089" i="18"/>
  <c r="U1090" i="18"/>
  <c r="U1091" i="18"/>
  <c r="U1092" i="18"/>
  <c r="U1093" i="18"/>
  <c r="U1094" i="18"/>
  <c r="U1095" i="18"/>
  <c r="U1096" i="18"/>
  <c r="U1097" i="18"/>
  <c r="U1098" i="18"/>
  <c r="U1099" i="18"/>
  <c r="U1100" i="18"/>
  <c r="U1101" i="18"/>
  <c r="U1102" i="18"/>
  <c r="U1103" i="18"/>
  <c r="U1104" i="18"/>
  <c r="U1105" i="18"/>
  <c r="U1106" i="18"/>
  <c r="U1107" i="18"/>
  <c r="U1108" i="18"/>
  <c r="U1109" i="18"/>
  <c r="U1110" i="18"/>
  <c r="U1111" i="18"/>
  <c r="U1112" i="18"/>
  <c r="U1113" i="18"/>
  <c r="U1114" i="18"/>
  <c r="U1115" i="18"/>
  <c r="U1116" i="18"/>
  <c r="U1118" i="18"/>
  <c r="U1119" i="18"/>
  <c r="U1120" i="18"/>
  <c r="U1122" i="18"/>
  <c r="U1123" i="18"/>
  <c r="U1124" i="18"/>
  <c r="U1125" i="18"/>
  <c r="U1126" i="18"/>
  <c r="U1127" i="18"/>
  <c r="U1128" i="18"/>
  <c r="U1130" i="18"/>
  <c r="U1131" i="18"/>
  <c r="U1132" i="18"/>
  <c r="U1133" i="18"/>
  <c r="U1134" i="18"/>
  <c r="U1135" i="18"/>
  <c r="U1136" i="18"/>
  <c r="U1137" i="18"/>
  <c r="U1138" i="18"/>
  <c r="U1139" i="18"/>
  <c r="U1140" i="18"/>
  <c r="U1141" i="18"/>
  <c r="U1143" i="18"/>
  <c r="U1144" i="18"/>
  <c r="U1145" i="18"/>
  <c r="U1146" i="18"/>
  <c r="U1147" i="18"/>
  <c r="U1148" i="18"/>
  <c r="U1150" i="18"/>
  <c r="U1151" i="18"/>
  <c r="U1152" i="18"/>
  <c r="U1153" i="18"/>
  <c r="U1155" i="18"/>
  <c r="U1157" i="18"/>
  <c r="U1158" i="18"/>
  <c r="U1159" i="18"/>
  <c r="U1161" i="18"/>
  <c r="U1162" i="18"/>
  <c r="U1163" i="18"/>
  <c r="U1164" i="18"/>
  <c r="U1165" i="18"/>
  <c r="U1166" i="18"/>
  <c r="U1167" i="18"/>
  <c r="U1168" i="18"/>
  <c r="U1169" i="18"/>
  <c r="U1170" i="18"/>
  <c r="U1171" i="18"/>
  <c r="L2" i="17"/>
  <c r="L32" i="17"/>
  <c r="L62" i="17"/>
  <c r="L92" i="17"/>
  <c r="L122" i="17"/>
  <c r="L152" i="17"/>
  <c r="L182" i="17"/>
  <c r="L212" i="17"/>
  <c r="L242" i="17"/>
  <c r="L272" i="17"/>
  <c r="L302" i="17"/>
  <c r="L332" i="17"/>
  <c r="N332" i="17" s="1" a="1"/>
  <c r="N332" i="17" s="1"/>
  <c r="L333" i="17"/>
  <c r="L334" i="17"/>
  <c r="L335" i="17"/>
  <c r="L336" i="17"/>
  <c r="L337" i="17"/>
  <c r="L3" i="17"/>
  <c r="L33" i="17"/>
  <c r="L63" i="17"/>
  <c r="L93" i="17"/>
  <c r="L123" i="17"/>
  <c r="L153" i="17"/>
  <c r="L183" i="17"/>
  <c r="N183" i="17" s="1" a="1"/>
  <c r="N183" i="17" s="1"/>
  <c r="L213" i="17"/>
  <c r="L243" i="17"/>
  <c r="L273" i="17"/>
  <c r="L303" i="17"/>
  <c r="L338" i="17"/>
  <c r="L339" i="17"/>
  <c r="L340" i="17"/>
  <c r="L341" i="17"/>
  <c r="L342" i="17"/>
  <c r="L343" i="17"/>
  <c r="L4" i="17"/>
  <c r="L34" i="17"/>
  <c r="N34" i="17" s="1" a="1"/>
  <c r="N34" i="17" s="1"/>
  <c r="L64" i="17"/>
  <c r="L94" i="17"/>
  <c r="L124" i="17"/>
  <c r="L154" i="17"/>
  <c r="L184" i="17"/>
  <c r="L214" i="17"/>
  <c r="L244" i="17"/>
  <c r="L274" i="17"/>
  <c r="L304" i="17"/>
  <c r="L344" i="17"/>
  <c r="L345" i="17"/>
  <c r="L346" i="17"/>
  <c r="N346" i="17" s="1" a="1"/>
  <c r="N346" i="17" s="1"/>
  <c r="L347" i="17"/>
  <c r="L348" i="17"/>
  <c r="L349" i="17"/>
  <c r="L5" i="17"/>
  <c r="L35" i="17"/>
  <c r="L65" i="17"/>
  <c r="L95" i="17"/>
  <c r="L125" i="17"/>
  <c r="L155" i="17"/>
  <c r="L185" i="17"/>
  <c r="L215" i="17"/>
  <c r="L245" i="17"/>
  <c r="N245" i="17" s="1" a="1"/>
  <c r="N245" i="17" s="1"/>
  <c r="L275" i="17"/>
  <c r="L305" i="17"/>
  <c r="L350" i="17"/>
  <c r="L351" i="17"/>
  <c r="L352" i="17"/>
  <c r="L353" i="17"/>
  <c r="L354" i="17"/>
  <c r="L355" i="17"/>
  <c r="L6" i="17"/>
  <c r="L36" i="17"/>
  <c r="L66" i="17"/>
  <c r="L96" i="17"/>
  <c r="N96" i="17" s="1" a="1"/>
  <c r="N96" i="17" s="1"/>
  <c r="L126" i="17"/>
  <c r="L156" i="17"/>
  <c r="L186" i="17"/>
  <c r="L216" i="17"/>
  <c r="L246" i="17"/>
  <c r="L276" i="17"/>
  <c r="L306" i="17"/>
  <c r="L356" i="17"/>
  <c r="L357" i="17"/>
  <c r="L358" i="17"/>
  <c r="L359" i="17"/>
  <c r="L360" i="17"/>
  <c r="N360" i="17" s="1" a="1"/>
  <c r="N360" i="17" s="1"/>
  <c r="L361" i="17"/>
  <c r="L7" i="17"/>
  <c r="L37" i="17"/>
  <c r="L67" i="17"/>
  <c r="L97" i="17"/>
  <c r="L127" i="17"/>
  <c r="L157" i="17"/>
  <c r="L187" i="17"/>
  <c r="L217" i="17"/>
  <c r="L247" i="17"/>
  <c r="L277" i="17"/>
  <c r="L307" i="17"/>
  <c r="L362" i="17"/>
  <c r="L363" i="17"/>
  <c r="L364" i="17"/>
  <c r="L365" i="17"/>
  <c r="L366" i="17"/>
  <c r="L367" i="17"/>
  <c r="L8" i="17"/>
  <c r="L38" i="17"/>
  <c r="L68" i="17"/>
  <c r="L98" i="17"/>
  <c r="L128" i="17"/>
  <c r="L158" i="17"/>
  <c r="L188" i="17"/>
  <c r="L218" i="17"/>
  <c r="L248" i="17"/>
  <c r="L278" i="17"/>
  <c r="L308" i="17"/>
  <c r="L368" i="17"/>
  <c r="L369" i="17"/>
  <c r="L370" i="17"/>
  <c r="L371" i="17"/>
  <c r="L372" i="17"/>
  <c r="L373" i="17"/>
  <c r="L9" i="17"/>
  <c r="N302" i="17" s="1" a="1"/>
  <c r="N302" i="17" s="1"/>
  <c r="L39" i="17"/>
  <c r="L69" i="17"/>
  <c r="L99" i="17"/>
  <c r="L129" i="17"/>
  <c r="L159" i="17"/>
  <c r="L189" i="17"/>
  <c r="L219" i="17"/>
  <c r="L249" i="17"/>
  <c r="L279" i="17"/>
  <c r="L309" i="17"/>
  <c r="L374" i="17"/>
  <c r="L375" i="17"/>
  <c r="L376" i="17"/>
  <c r="L377" i="17"/>
  <c r="L378" i="17"/>
  <c r="L379" i="17"/>
  <c r="L10" i="17"/>
  <c r="L40" i="17"/>
  <c r="L70" i="17"/>
  <c r="L100" i="17"/>
  <c r="L130" i="17"/>
  <c r="L160" i="17"/>
  <c r="L190" i="17"/>
  <c r="L220" i="17"/>
  <c r="L250" i="17"/>
  <c r="L280" i="17"/>
  <c r="L310" i="17"/>
  <c r="L380" i="17"/>
  <c r="L381" i="17"/>
  <c r="L382" i="17"/>
  <c r="L383" i="17"/>
  <c r="L384" i="17"/>
  <c r="L385" i="17"/>
  <c r="L11" i="17"/>
  <c r="L41" i="17"/>
  <c r="L71" i="17"/>
  <c r="L101" i="17"/>
  <c r="L131" i="17"/>
  <c r="L161" i="17"/>
  <c r="L191" i="17"/>
  <c r="L221" i="17"/>
  <c r="L251" i="17"/>
  <c r="L281" i="17"/>
  <c r="L311" i="17"/>
  <c r="L386" i="17"/>
  <c r="L387" i="17"/>
  <c r="L388" i="17"/>
  <c r="L389" i="17"/>
  <c r="L390" i="17"/>
  <c r="L391" i="17"/>
  <c r="L12" i="17"/>
  <c r="L42" i="17"/>
  <c r="L72" i="17"/>
  <c r="L102" i="17"/>
  <c r="L132" i="17"/>
  <c r="L162" i="17"/>
  <c r="L192" i="17"/>
  <c r="L222" i="17"/>
  <c r="L252" i="17"/>
  <c r="L282" i="17"/>
  <c r="L312" i="17"/>
  <c r="L392" i="17"/>
  <c r="L393" i="17"/>
  <c r="L394" i="17"/>
  <c r="L395" i="17"/>
  <c r="L396" i="17"/>
  <c r="L397" i="17"/>
  <c r="L13" i="17"/>
  <c r="L43" i="17"/>
  <c r="L73" i="17"/>
  <c r="L103" i="17"/>
  <c r="L133" i="17"/>
  <c r="L163" i="17"/>
  <c r="L193" i="17"/>
  <c r="L223" i="17"/>
  <c r="L253" i="17"/>
  <c r="L283" i="17"/>
  <c r="L313" i="17"/>
  <c r="L398" i="17"/>
  <c r="L399" i="17"/>
  <c r="L400" i="17"/>
  <c r="L401" i="17"/>
  <c r="L402" i="17"/>
  <c r="L403" i="17"/>
  <c r="L14" i="17"/>
  <c r="L44" i="17"/>
  <c r="L74" i="17"/>
  <c r="L104" i="17"/>
  <c r="L134" i="17"/>
  <c r="L164" i="17"/>
  <c r="L194" i="17"/>
  <c r="L224" i="17"/>
  <c r="L254" i="17"/>
  <c r="L284" i="17"/>
  <c r="L314" i="17"/>
  <c r="L404" i="17"/>
  <c r="L405" i="17"/>
  <c r="L406" i="17"/>
  <c r="L407" i="17"/>
  <c r="L408" i="17"/>
  <c r="L409" i="17"/>
  <c r="L15" i="17"/>
  <c r="L45" i="17"/>
  <c r="L75" i="17"/>
  <c r="L105" i="17"/>
  <c r="L135" i="17"/>
  <c r="L165" i="17"/>
  <c r="L195" i="17"/>
  <c r="L225" i="17"/>
  <c r="L255" i="17"/>
  <c r="L285" i="17"/>
  <c r="L315" i="17"/>
  <c r="L410" i="17"/>
  <c r="L411" i="17"/>
  <c r="L412" i="17"/>
  <c r="L413" i="17"/>
  <c r="L414" i="17"/>
  <c r="L415" i="17"/>
  <c r="L16" i="17"/>
  <c r="L46" i="17"/>
  <c r="L76" i="17"/>
  <c r="L106" i="17"/>
  <c r="L136" i="17"/>
  <c r="L166" i="17"/>
  <c r="L196" i="17"/>
  <c r="L226" i="17"/>
  <c r="L256" i="17"/>
  <c r="L286" i="17"/>
  <c r="L316" i="17"/>
  <c r="L416" i="17"/>
  <c r="L417" i="17"/>
  <c r="L418" i="17"/>
  <c r="L419" i="17"/>
  <c r="L420" i="17"/>
  <c r="L421" i="17"/>
  <c r="L17" i="17"/>
  <c r="L47" i="17"/>
  <c r="L77" i="17"/>
  <c r="L107" i="17"/>
  <c r="L137" i="17"/>
  <c r="L167" i="17"/>
  <c r="L197" i="17"/>
  <c r="L227" i="17"/>
  <c r="L257" i="17"/>
  <c r="L287" i="17"/>
  <c r="L317" i="17"/>
  <c r="L422" i="17"/>
  <c r="L423" i="17"/>
  <c r="L424" i="17"/>
  <c r="L425" i="17"/>
  <c r="L426" i="17"/>
  <c r="L427" i="17"/>
  <c r="L18" i="17"/>
  <c r="L48" i="17"/>
  <c r="L78" i="17"/>
  <c r="L108" i="17"/>
  <c r="L138" i="17"/>
  <c r="L168" i="17"/>
  <c r="L198" i="17"/>
  <c r="L228" i="17"/>
  <c r="L258" i="17"/>
  <c r="L288" i="17"/>
  <c r="L318" i="17"/>
  <c r="L428" i="17"/>
  <c r="L429" i="17"/>
  <c r="L430" i="17"/>
  <c r="L431" i="17"/>
  <c r="L432" i="17"/>
  <c r="L433" i="17"/>
  <c r="L19" i="17"/>
  <c r="L49" i="17"/>
  <c r="L79" i="17"/>
  <c r="L109" i="17"/>
  <c r="L139" i="17"/>
  <c r="L169" i="17"/>
  <c r="L199" i="17"/>
  <c r="L229" i="17"/>
  <c r="L259" i="17"/>
  <c r="L289" i="17"/>
  <c r="L319" i="17"/>
  <c r="L434" i="17"/>
  <c r="L435" i="17"/>
  <c r="L436" i="17"/>
  <c r="L437" i="17"/>
  <c r="L438" i="17"/>
  <c r="L439" i="17"/>
  <c r="L20" i="17"/>
  <c r="L50" i="17"/>
  <c r="L80" i="17"/>
  <c r="L110" i="17"/>
  <c r="L140" i="17"/>
  <c r="L170" i="17"/>
  <c r="L200" i="17"/>
  <c r="L230" i="17"/>
  <c r="L260" i="17"/>
  <c r="L290" i="17"/>
  <c r="L320" i="17"/>
  <c r="L440" i="17"/>
  <c r="L441" i="17"/>
  <c r="L442" i="17"/>
  <c r="L443" i="17"/>
  <c r="L444" i="17"/>
  <c r="L445" i="17"/>
  <c r="L21" i="17"/>
  <c r="L51" i="17"/>
  <c r="L81" i="17"/>
  <c r="L111" i="17"/>
  <c r="L141" i="17"/>
  <c r="L171" i="17"/>
  <c r="L201" i="17"/>
  <c r="L231" i="17"/>
  <c r="L261" i="17"/>
  <c r="L291" i="17"/>
  <c r="L321" i="17"/>
  <c r="L446" i="17"/>
  <c r="L447" i="17"/>
  <c r="L448" i="17"/>
  <c r="L449" i="17"/>
  <c r="L450" i="17"/>
  <c r="L451" i="17"/>
  <c r="L22" i="17"/>
  <c r="L52" i="17"/>
  <c r="L82" i="17"/>
  <c r="L112" i="17"/>
  <c r="L142" i="17"/>
  <c r="L172" i="17"/>
  <c r="L202" i="17"/>
  <c r="L232" i="17"/>
  <c r="L262" i="17"/>
  <c r="L292" i="17"/>
  <c r="L322" i="17"/>
  <c r="L452" i="17"/>
  <c r="L453" i="17"/>
  <c r="L454" i="17"/>
  <c r="L455" i="17"/>
  <c r="L456" i="17"/>
  <c r="L457" i="17"/>
  <c r="L23" i="17"/>
  <c r="L53" i="17"/>
  <c r="L83" i="17"/>
  <c r="L113" i="17"/>
  <c r="L143" i="17"/>
  <c r="L173" i="17"/>
  <c r="L203" i="17"/>
  <c r="L233" i="17"/>
  <c r="L263" i="17"/>
  <c r="L293" i="17"/>
  <c r="L323" i="17"/>
  <c r="L458" i="17"/>
  <c r="L459" i="17"/>
  <c r="L460" i="17"/>
  <c r="L461" i="17"/>
  <c r="L462" i="17"/>
  <c r="L463" i="17"/>
  <c r="L24" i="17"/>
  <c r="L54" i="17"/>
  <c r="L84" i="17"/>
  <c r="L114" i="17"/>
  <c r="L144" i="17"/>
  <c r="L174" i="17"/>
  <c r="L204" i="17"/>
  <c r="L234" i="17"/>
  <c r="L264" i="17"/>
  <c r="L294" i="17"/>
  <c r="L324" i="17"/>
  <c r="L464" i="17"/>
  <c r="L465" i="17"/>
  <c r="L466" i="17"/>
  <c r="L467" i="17"/>
  <c r="L468" i="17"/>
  <c r="L469" i="17"/>
  <c r="L25" i="17"/>
  <c r="L55" i="17"/>
  <c r="L85" i="17"/>
  <c r="L115" i="17"/>
  <c r="L145" i="17"/>
  <c r="L175" i="17"/>
  <c r="L205" i="17"/>
  <c r="L235" i="17"/>
  <c r="L265" i="17"/>
  <c r="L295" i="17"/>
  <c r="L325" i="17"/>
  <c r="L470" i="17"/>
  <c r="L471" i="17"/>
  <c r="L472" i="17"/>
  <c r="L473" i="17"/>
  <c r="L474" i="17"/>
  <c r="L475" i="17"/>
  <c r="L26" i="17"/>
  <c r="L56" i="17"/>
  <c r="L86" i="17"/>
  <c r="L116" i="17"/>
  <c r="L146" i="17"/>
  <c r="L176" i="17"/>
  <c r="L206" i="17"/>
  <c r="L236" i="17"/>
  <c r="L266" i="17"/>
  <c r="L296" i="17"/>
  <c r="L326" i="17"/>
  <c r="L476" i="17"/>
  <c r="L477" i="17"/>
  <c r="L478" i="17"/>
  <c r="L479" i="17"/>
  <c r="L480" i="17"/>
  <c r="L481" i="17"/>
  <c r="L27" i="17"/>
  <c r="L57" i="17"/>
  <c r="L87" i="17"/>
  <c r="L117" i="17"/>
  <c r="L147" i="17"/>
  <c r="L177" i="17"/>
  <c r="L207" i="17"/>
  <c r="L237" i="17"/>
  <c r="L267" i="17"/>
  <c r="L297" i="17"/>
  <c r="L327" i="17"/>
  <c r="L482" i="17"/>
  <c r="L483" i="17"/>
  <c r="L484" i="17"/>
  <c r="L485" i="17"/>
  <c r="L486" i="17"/>
  <c r="L487" i="17"/>
  <c r="L28" i="17"/>
  <c r="L58" i="17"/>
  <c r="L88" i="17"/>
  <c r="L118" i="17"/>
  <c r="L148" i="17"/>
  <c r="L178" i="17"/>
  <c r="L208" i="17"/>
  <c r="L238" i="17"/>
  <c r="L268" i="17"/>
  <c r="L298" i="17"/>
  <c r="L328" i="17"/>
  <c r="L488" i="17"/>
  <c r="L489" i="17"/>
  <c r="L490" i="17"/>
  <c r="L491" i="17"/>
  <c r="L492" i="17"/>
  <c r="L493" i="17"/>
  <c r="L29" i="17"/>
  <c r="L59" i="17"/>
  <c r="L89" i="17"/>
  <c r="L119" i="17"/>
  <c r="L149" i="17"/>
  <c r="L179" i="17"/>
  <c r="L209" i="17"/>
  <c r="L239" i="17"/>
  <c r="L269" i="17"/>
  <c r="L299" i="17"/>
  <c r="L329" i="17"/>
  <c r="L494" i="17"/>
  <c r="L495" i="17"/>
  <c r="L496" i="17"/>
  <c r="L497" i="17"/>
  <c r="L498" i="17"/>
  <c r="L499" i="17"/>
  <c r="L30" i="17"/>
  <c r="L60" i="17"/>
  <c r="L90" i="17"/>
  <c r="L120" i="17"/>
  <c r="N278" i="17" s="1" a="1"/>
  <c r="N278" i="17" s="1"/>
  <c r="L150" i="17"/>
  <c r="L180" i="17"/>
  <c r="L210" i="17"/>
  <c r="L240" i="17"/>
  <c r="L270" i="17"/>
  <c r="L300" i="17"/>
  <c r="L330" i="17"/>
  <c r="L500" i="17"/>
  <c r="L501" i="17"/>
  <c r="L502" i="17"/>
  <c r="L503" i="17"/>
  <c r="L504" i="17"/>
  <c r="L505" i="17"/>
  <c r="L31" i="17"/>
  <c r="L61" i="17"/>
  <c r="L91" i="17"/>
  <c r="L121" i="17"/>
  <c r="L151" i="17"/>
  <c r="L181" i="17"/>
  <c r="L211" i="17"/>
  <c r="L241" i="17"/>
  <c r="L271" i="17"/>
  <c r="L301" i="17"/>
  <c r="L331" i="17"/>
  <c r="L506" i="17"/>
  <c r="L507" i="17"/>
  <c r="L508" i="17"/>
  <c r="L509" i="17"/>
  <c r="L510" i="17"/>
  <c r="L511" i="17"/>
  <c r="M2" i="17" a="1"/>
  <c r="M2" i="17" s="1"/>
  <c r="M32" i="17" a="1"/>
  <c r="M32" i="17" s="1"/>
  <c r="M62" i="17" a="1"/>
  <c r="M62" i="17" s="1"/>
  <c r="M92" i="17" a="1"/>
  <c r="M92" i="17" s="1"/>
  <c r="M122" i="17" a="1"/>
  <c r="M122" i="17" s="1"/>
  <c r="M152" i="17" a="1"/>
  <c r="M152" i="17" s="1"/>
  <c r="M182" i="17" a="1"/>
  <c r="M182" i="17" s="1"/>
  <c r="M212" i="17" a="1"/>
  <c r="M212" i="17" s="1"/>
  <c r="M242" i="17" a="1"/>
  <c r="M242" i="17" s="1"/>
  <c r="M272" i="17" a="1"/>
  <c r="M272" i="17" s="1"/>
  <c r="M302" i="17" a="1"/>
  <c r="M302" i="17" s="1"/>
  <c r="M332" i="17" a="1"/>
  <c r="M332" i="17" s="1"/>
  <c r="M333" i="17" a="1"/>
  <c r="M333" i="17" s="1"/>
  <c r="M334" i="17" a="1"/>
  <c r="M334" i="17" s="1"/>
  <c r="M335" i="17" a="1"/>
  <c r="M335" i="17" s="1"/>
  <c r="M336" i="17" a="1"/>
  <c r="M336" i="17" s="1"/>
  <c r="M337" i="17" a="1"/>
  <c r="M337" i="17" s="1"/>
  <c r="M3" i="17" a="1"/>
  <c r="M3" i="17" s="1"/>
  <c r="M33" i="17" a="1"/>
  <c r="M33" i="17" s="1"/>
  <c r="M63" i="17" a="1"/>
  <c r="M63" i="17" s="1"/>
  <c r="M93" i="17" a="1"/>
  <c r="M93" i="17" s="1"/>
  <c r="M123" i="17" a="1"/>
  <c r="M123" i="17" s="1"/>
  <c r="M153" i="17" a="1"/>
  <c r="M153" i="17" s="1"/>
  <c r="M183" i="17" a="1"/>
  <c r="M183" i="17" s="1"/>
  <c r="M213" i="17" a="1"/>
  <c r="M213" i="17" s="1"/>
  <c r="M243" i="17" a="1"/>
  <c r="M243" i="17" s="1"/>
  <c r="M273" i="17" a="1"/>
  <c r="M273" i="17" s="1"/>
  <c r="M303" i="17" a="1"/>
  <c r="M303" i="17" s="1"/>
  <c r="M338" i="17" a="1"/>
  <c r="M338" i="17" s="1"/>
  <c r="M339" i="17" a="1"/>
  <c r="M339" i="17" s="1"/>
  <c r="M340" i="17" a="1"/>
  <c r="M340" i="17" s="1"/>
  <c r="M341" i="17" a="1"/>
  <c r="M341" i="17" s="1"/>
  <c r="M342" i="17" a="1"/>
  <c r="M342" i="17" s="1"/>
  <c r="M343" i="17" a="1"/>
  <c r="M343" i="17" s="1"/>
  <c r="M4" i="17" a="1"/>
  <c r="M4" i="17" s="1"/>
  <c r="M34" i="17" a="1"/>
  <c r="M34" i="17" s="1"/>
  <c r="M64" i="17" a="1"/>
  <c r="M64" i="17" s="1"/>
  <c r="M94" i="17" a="1"/>
  <c r="M94" i="17" s="1"/>
  <c r="M124" i="17" a="1"/>
  <c r="M124" i="17" s="1"/>
  <c r="M154" i="17" a="1"/>
  <c r="M154" i="17" s="1"/>
  <c r="M184" i="17" a="1"/>
  <c r="M184" i="17" s="1"/>
  <c r="M214" i="17" a="1"/>
  <c r="M214" i="17" s="1"/>
  <c r="M244" i="17" a="1"/>
  <c r="M244" i="17" s="1"/>
  <c r="M274" i="17" a="1"/>
  <c r="M274" i="17" s="1"/>
  <c r="M304" i="17" a="1"/>
  <c r="M304" i="17" s="1"/>
  <c r="M344" i="17" a="1"/>
  <c r="M344" i="17" s="1"/>
  <c r="M345" i="17" a="1"/>
  <c r="M345" i="17" s="1"/>
  <c r="M346" i="17" a="1"/>
  <c r="M346" i="17" s="1"/>
  <c r="M347" i="17" a="1"/>
  <c r="M347" i="17" s="1"/>
  <c r="M348" i="17" a="1"/>
  <c r="M348" i="17" s="1"/>
  <c r="M349" i="17" a="1"/>
  <c r="M349" i="17" s="1"/>
  <c r="M5" i="17" a="1"/>
  <c r="M5" i="17" s="1"/>
  <c r="M35" i="17" a="1"/>
  <c r="M35" i="17"/>
  <c r="M65" i="17" a="1"/>
  <c r="M65" i="17" s="1"/>
  <c r="M95" i="17" a="1"/>
  <c r="M95" i="17" s="1"/>
  <c r="M125" i="17" a="1"/>
  <c r="M125" i="17" s="1"/>
  <c r="M155" i="17" a="1"/>
  <c r="M155" i="17" s="1"/>
  <c r="M185" i="17" a="1"/>
  <c r="M185" i="17" s="1"/>
  <c r="M215" i="17" a="1"/>
  <c r="M215" i="17" s="1"/>
  <c r="M245" i="17" a="1"/>
  <c r="M245" i="17" s="1"/>
  <c r="M275" i="17" a="1"/>
  <c r="M275" i="17" s="1"/>
  <c r="M305" i="17" a="1"/>
  <c r="M305" i="17" s="1"/>
  <c r="M350" i="17" a="1"/>
  <c r="M350" i="17" s="1"/>
  <c r="M351" i="17" a="1"/>
  <c r="M351" i="17" s="1"/>
  <c r="M352" i="17" a="1"/>
  <c r="M352" i="17" s="1"/>
  <c r="M353" i="17" a="1"/>
  <c r="M353" i="17" s="1"/>
  <c r="M354" i="17" a="1"/>
  <c r="M354" i="17" s="1"/>
  <c r="M355" i="17" a="1"/>
  <c r="M355" i="17" s="1"/>
  <c r="M6" i="17" a="1"/>
  <c r="M6" i="17" s="1"/>
  <c r="M36" i="17" a="1"/>
  <c r="M36" i="17" s="1"/>
  <c r="M66" i="17" a="1"/>
  <c r="M66" i="17" s="1"/>
  <c r="M96" i="17" a="1"/>
  <c r="M96" i="17" s="1"/>
  <c r="M126" i="17" a="1"/>
  <c r="M126" i="17" s="1"/>
  <c r="M156" i="17" a="1"/>
  <c r="M156" i="17" s="1"/>
  <c r="M186" i="17" a="1"/>
  <c r="M186" i="17" s="1"/>
  <c r="M216" i="17" a="1"/>
  <c r="M216" i="17" s="1"/>
  <c r="M246" i="17" a="1"/>
  <c r="M246" i="17" s="1"/>
  <c r="M276" i="17" a="1"/>
  <c r="M276" i="17" s="1"/>
  <c r="M306" i="17" a="1"/>
  <c r="M306" i="17" s="1"/>
  <c r="M356" i="17" a="1"/>
  <c r="M356" i="17" s="1"/>
  <c r="M357" i="17" a="1"/>
  <c r="M357" i="17" s="1"/>
  <c r="M358" i="17" a="1"/>
  <c r="M358" i="17" s="1"/>
  <c r="M359" i="17" a="1"/>
  <c r="M359" i="17" s="1"/>
  <c r="M360" i="17" a="1"/>
  <c r="M360" i="17" s="1"/>
  <c r="M361" i="17" a="1"/>
  <c r="M361" i="17" s="1"/>
  <c r="M7" i="17" a="1"/>
  <c r="M7" i="17" s="1"/>
  <c r="M37" i="17" a="1"/>
  <c r="M37" i="17" s="1"/>
  <c r="M67" i="17" a="1"/>
  <c r="M67" i="17" s="1"/>
  <c r="M97" i="17" a="1"/>
  <c r="M97" i="17" s="1"/>
  <c r="M127" i="17" a="1"/>
  <c r="M127" i="17" s="1"/>
  <c r="M157" i="17" a="1"/>
  <c r="M157" i="17" s="1"/>
  <c r="M187" i="17" a="1"/>
  <c r="M187" i="17" s="1"/>
  <c r="M217" i="17" a="1"/>
  <c r="M217" i="17" s="1"/>
  <c r="M247" i="17" a="1"/>
  <c r="M247" i="17" s="1"/>
  <c r="M277" i="17" a="1"/>
  <c r="M277" i="17" s="1"/>
  <c r="M307" i="17" a="1"/>
  <c r="M307" i="17" s="1"/>
  <c r="M362" i="17" a="1"/>
  <c r="M362" i="17" s="1"/>
  <c r="M363" i="17" a="1"/>
  <c r="M363" i="17" s="1"/>
  <c r="M364" i="17" a="1"/>
  <c r="M364" i="17" s="1"/>
  <c r="M365" i="17" a="1"/>
  <c r="M365" i="17"/>
  <c r="M366" i="17" a="1"/>
  <c r="M366" i="17" s="1"/>
  <c r="M367" i="17" a="1"/>
  <c r="M367" i="17" s="1"/>
  <c r="M8" i="17" a="1"/>
  <c r="M8" i="17" s="1"/>
  <c r="M38" i="17" a="1"/>
  <c r="M38" i="17" s="1"/>
  <c r="M68" i="17" a="1"/>
  <c r="M68" i="17" s="1"/>
  <c r="M98" i="17" a="1"/>
  <c r="M98" i="17" s="1"/>
  <c r="M128" i="17" a="1"/>
  <c r="M128" i="17" s="1"/>
  <c r="M158" i="17" a="1"/>
  <c r="M158" i="17" s="1"/>
  <c r="M188" i="17" a="1"/>
  <c r="M188" i="17" s="1"/>
  <c r="M218" i="17" a="1"/>
  <c r="M218" i="17" s="1"/>
  <c r="M248" i="17" a="1"/>
  <c r="M248" i="17" s="1"/>
  <c r="M278" i="17" a="1"/>
  <c r="M278" i="17" s="1"/>
  <c r="M308" i="17" a="1"/>
  <c r="M308" i="17" s="1"/>
  <c r="M368" i="17" a="1"/>
  <c r="M368" i="17" s="1"/>
  <c r="M369" i="17" a="1"/>
  <c r="M369" i="17" s="1"/>
  <c r="M370" i="17" a="1"/>
  <c r="M370" i="17"/>
  <c r="M371" i="17" a="1"/>
  <c r="M371" i="17" s="1"/>
  <c r="M372" i="17" a="1"/>
  <c r="M372" i="17" s="1"/>
  <c r="M373" i="17" a="1"/>
  <c r="M373" i="17" s="1"/>
  <c r="M9" i="17" a="1"/>
  <c r="M9" i="17" s="1"/>
  <c r="M39" i="17" a="1"/>
  <c r="M39" i="17" s="1"/>
  <c r="M69" i="17" a="1"/>
  <c r="M69" i="17" s="1"/>
  <c r="M99" i="17" a="1"/>
  <c r="M99" i="17" s="1"/>
  <c r="M129" i="17" a="1"/>
  <c r="M129" i="17" s="1"/>
  <c r="M159" i="17" a="1"/>
  <c r="M159" i="17" s="1"/>
  <c r="M189" i="17" a="1"/>
  <c r="M189" i="17" s="1"/>
  <c r="M219" i="17" a="1"/>
  <c r="M219" i="17" s="1"/>
  <c r="M249" i="17" a="1"/>
  <c r="M249" i="17" s="1"/>
  <c r="M279" i="17" a="1"/>
  <c r="M279" i="17" s="1"/>
  <c r="M309" i="17" a="1"/>
  <c r="M309" i="17" s="1"/>
  <c r="M374" i="17" a="1"/>
  <c r="M374" i="17" s="1"/>
  <c r="M375" i="17" a="1"/>
  <c r="M375" i="17" s="1"/>
  <c r="M376" i="17" a="1"/>
  <c r="M376" i="17" s="1"/>
  <c r="M377" i="17" a="1"/>
  <c r="M377" i="17" s="1"/>
  <c r="M378" i="17" a="1"/>
  <c r="M378" i="17" s="1"/>
  <c r="M379" i="17" a="1"/>
  <c r="M379" i="17" s="1"/>
  <c r="M10" i="17" a="1"/>
  <c r="M10" i="17" s="1"/>
  <c r="M40" i="17" a="1"/>
  <c r="M40" i="17" s="1"/>
  <c r="M70" i="17" a="1"/>
  <c r="M70" i="17" s="1"/>
  <c r="M100" i="17" a="1"/>
  <c r="M100" i="17"/>
  <c r="M130" i="17" a="1"/>
  <c r="M130" i="17" s="1"/>
  <c r="M160" i="17" a="1"/>
  <c r="M160" i="17" s="1"/>
  <c r="M190" i="17" a="1"/>
  <c r="M190" i="17" s="1"/>
  <c r="M220" i="17" a="1"/>
  <c r="M220" i="17" s="1"/>
  <c r="M250" i="17" a="1"/>
  <c r="M250" i="17" s="1"/>
  <c r="M280" i="17" a="1"/>
  <c r="M280" i="17" s="1"/>
  <c r="M310" i="17" a="1"/>
  <c r="M310" i="17" s="1"/>
  <c r="M380" i="17" a="1"/>
  <c r="M380" i="17" s="1"/>
  <c r="M381" i="17" a="1"/>
  <c r="M381" i="17" s="1"/>
  <c r="M382" i="17" a="1"/>
  <c r="M382" i="17" s="1"/>
  <c r="M383" i="17" a="1"/>
  <c r="M383" i="17" s="1"/>
  <c r="M384" i="17" a="1"/>
  <c r="M384" i="17" s="1"/>
  <c r="M385" i="17" a="1"/>
  <c r="M385" i="17" s="1"/>
  <c r="M11" i="17" a="1"/>
  <c r="M11" i="17" s="1"/>
  <c r="M41" i="17" a="1"/>
  <c r="M41" i="17" s="1"/>
  <c r="M71" i="17" a="1"/>
  <c r="M71" i="17" s="1"/>
  <c r="M101" i="17" a="1"/>
  <c r="M101" i="17" s="1"/>
  <c r="M131" i="17" a="1"/>
  <c r="M131" i="17" s="1"/>
  <c r="M161" i="17" a="1"/>
  <c r="M161" i="17" s="1"/>
  <c r="M191" i="17" a="1"/>
  <c r="M191" i="17" s="1"/>
  <c r="M221" i="17" a="1"/>
  <c r="M221" i="17" s="1"/>
  <c r="M251" i="17" a="1"/>
  <c r="M251" i="17" s="1"/>
  <c r="M281" i="17" a="1"/>
  <c r="M281" i="17" s="1"/>
  <c r="M311" i="17" a="1"/>
  <c r="M311" i="17"/>
  <c r="M386" i="17" a="1"/>
  <c r="M386" i="17" s="1"/>
  <c r="M387" i="17" a="1"/>
  <c r="M387" i="17" s="1"/>
  <c r="M388" i="17" a="1"/>
  <c r="M388" i="17" s="1"/>
  <c r="M389" i="17" a="1"/>
  <c r="M389" i="17" s="1"/>
  <c r="M390" i="17" a="1"/>
  <c r="M390" i="17" s="1"/>
  <c r="M391" i="17" a="1"/>
  <c r="M391" i="17" s="1"/>
  <c r="M12" i="17" a="1"/>
  <c r="M12" i="17" s="1"/>
  <c r="M42" i="17" a="1"/>
  <c r="M42" i="17" s="1"/>
  <c r="M72" i="17" a="1"/>
  <c r="M72" i="17" s="1"/>
  <c r="M102" i="17" a="1"/>
  <c r="M102" i="17" s="1"/>
  <c r="M132" i="17" a="1"/>
  <c r="M132" i="17" s="1"/>
  <c r="M162" i="17" a="1"/>
  <c r="M162" i="17" s="1"/>
  <c r="M192" i="17" a="1"/>
  <c r="M192" i="17" s="1"/>
  <c r="M222" i="17" a="1"/>
  <c r="M222" i="17" s="1"/>
  <c r="M252" i="17" a="1"/>
  <c r="M252" i="17" s="1"/>
  <c r="M282" i="17" a="1"/>
  <c r="M282" i="17" s="1"/>
  <c r="M312" i="17" a="1"/>
  <c r="M312" i="17" s="1"/>
  <c r="M392" i="17" a="1"/>
  <c r="M392" i="17" s="1"/>
  <c r="M393" i="17" a="1"/>
  <c r="M393" i="17" s="1"/>
  <c r="M394" i="17" a="1"/>
  <c r="M394" i="17" s="1"/>
  <c r="M395" i="17" a="1"/>
  <c r="M395" i="17" s="1"/>
  <c r="M396" i="17" a="1"/>
  <c r="M396" i="17" s="1"/>
  <c r="M397" i="17" a="1"/>
  <c r="M397" i="17" s="1"/>
  <c r="M13" i="17" a="1"/>
  <c r="M13" i="17" s="1"/>
  <c r="M43" i="17" a="1"/>
  <c r="M43" i="17" s="1"/>
  <c r="M73" i="17" a="1"/>
  <c r="M73" i="17" s="1"/>
  <c r="M103" i="17" a="1"/>
  <c r="M103" i="17" s="1"/>
  <c r="M133" i="17" a="1"/>
  <c r="M133" i="17" s="1"/>
  <c r="M163" i="17" a="1"/>
  <c r="M163" i="17" s="1"/>
  <c r="M193" i="17" a="1"/>
  <c r="M193" i="17" s="1"/>
  <c r="M223" i="17" a="1"/>
  <c r="M223" i="17" s="1"/>
  <c r="M253" i="17" a="1"/>
  <c r="M253" i="17" s="1"/>
  <c r="M283" i="17" a="1"/>
  <c r="M283" i="17" s="1"/>
  <c r="M313" i="17" a="1"/>
  <c r="M313" i="17" s="1"/>
  <c r="M398" i="17" a="1"/>
  <c r="M398" i="17" s="1"/>
  <c r="M399" i="17" a="1"/>
  <c r="M399" i="17" s="1"/>
  <c r="M400" i="17" a="1"/>
  <c r="M400" i="17" s="1"/>
  <c r="M401" i="17" a="1"/>
  <c r="M401" i="17" s="1"/>
  <c r="M402" i="17" a="1"/>
  <c r="M402" i="17" s="1"/>
  <c r="M403" i="17" a="1"/>
  <c r="M403" i="17" s="1"/>
  <c r="M14" i="17" a="1"/>
  <c r="M14" i="17" s="1"/>
  <c r="M44" i="17" a="1"/>
  <c r="M44" i="17"/>
  <c r="M74" i="17" a="1"/>
  <c r="M74" i="17" s="1"/>
  <c r="M104" i="17" a="1"/>
  <c r="M104" i="17" s="1"/>
  <c r="M134" i="17" a="1"/>
  <c r="M134" i="17" s="1"/>
  <c r="M164" i="17" a="1"/>
  <c r="M164" i="17" s="1"/>
  <c r="M194" i="17" a="1"/>
  <c r="M194" i="17" s="1"/>
  <c r="M224" i="17" a="1"/>
  <c r="M224" i="17" s="1"/>
  <c r="M254" i="17" a="1"/>
  <c r="M254" i="17" s="1"/>
  <c r="M284" i="17" a="1"/>
  <c r="M284" i="17" s="1"/>
  <c r="M314" i="17" a="1"/>
  <c r="M314" i="17" s="1"/>
  <c r="M404" i="17" a="1"/>
  <c r="M404" i="17" s="1"/>
  <c r="M405" i="17" a="1"/>
  <c r="M405" i="17" s="1"/>
  <c r="M406" i="17" a="1"/>
  <c r="M406" i="17" s="1"/>
  <c r="M407" i="17" a="1"/>
  <c r="M407" i="17" s="1"/>
  <c r="M408" i="17" a="1"/>
  <c r="M408" i="17" s="1"/>
  <c r="M409" i="17" a="1"/>
  <c r="M409" i="17" s="1"/>
  <c r="M15" i="17" a="1"/>
  <c r="M15" i="17" s="1"/>
  <c r="M45" i="17" a="1"/>
  <c r="M45" i="17" s="1"/>
  <c r="M75" i="17" a="1"/>
  <c r="M75" i="17"/>
  <c r="M105" i="17" a="1"/>
  <c r="M105" i="17" s="1"/>
  <c r="M135" i="17" a="1"/>
  <c r="M135" i="17" s="1"/>
  <c r="M165" i="17" a="1"/>
  <c r="M165" i="17" s="1"/>
  <c r="M195" i="17" a="1"/>
  <c r="M195" i="17" s="1"/>
  <c r="M225" i="17" a="1"/>
  <c r="M225" i="17" s="1"/>
  <c r="M255" i="17" a="1"/>
  <c r="M255" i="17" s="1"/>
  <c r="M285" i="17" a="1"/>
  <c r="M285" i="17" s="1"/>
  <c r="M315" i="17" a="1"/>
  <c r="M315" i="17" s="1"/>
  <c r="M410" i="17" a="1"/>
  <c r="M410" i="17" s="1"/>
  <c r="M411" i="17" a="1"/>
  <c r="M411" i="17" s="1"/>
  <c r="M412" i="17" a="1"/>
  <c r="M412" i="17" s="1"/>
  <c r="M413" i="17" a="1"/>
  <c r="M413" i="17" s="1"/>
  <c r="M414" i="17" a="1"/>
  <c r="M414" i="17" s="1"/>
  <c r="M415" i="17" a="1"/>
  <c r="M415" i="17" s="1"/>
  <c r="M16" i="17" a="1"/>
  <c r="M16" i="17" s="1"/>
  <c r="M46" i="17" a="1"/>
  <c r="M46" i="17" s="1"/>
  <c r="M76" i="17" a="1"/>
  <c r="M76" i="17" s="1"/>
  <c r="M106" i="17" a="1"/>
  <c r="M106" i="17" s="1"/>
  <c r="M136" i="17" a="1"/>
  <c r="M136" i="17" s="1"/>
  <c r="M166" i="17" a="1"/>
  <c r="M166" i="17" s="1"/>
  <c r="M196" i="17" a="1"/>
  <c r="M196" i="17" s="1"/>
  <c r="M226" i="17" a="1"/>
  <c r="M226" i="17" s="1"/>
  <c r="M256" i="17" a="1"/>
  <c r="M256" i="17" s="1"/>
  <c r="M286" i="17" a="1"/>
  <c r="M286" i="17"/>
  <c r="M316" i="17" a="1"/>
  <c r="M316" i="17" s="1"/>
  <c r="M416" i="17" a="1"/>
  <c r="M416" i="17" s="1"/>
  <c r="M417" i="17" a="1"/>
  <c r="M417" i="17" s="1"/>
  <c r="M418" i="17" a="1"/>
  <c r="M418" i="17" s="1"/>
  <c r="M419" i="17" a="1"/>
  <c r="M419" i="17" s="1"/>
  <c r="M420" i="17" a="1"/>
  <c r="M420" i="17"/>
  <c r="M421" i="17" a="1"/>
  <c r="M421" i="17" s="1"/>
  <c r="M17" i="17" a="1"/>
  <c r="M17" i="17" s="1"/>
  <c r="M47" i="17" a="1"/>
  <c r="M47" i="17" s="1"/>
  <c r="M77" i="17" a="1"/>
  <c r="M77" i="17" s="1"/>
  <c r="M107" i="17" a="1"/>
  <c r="M107" i="17" s="1"/>
  <c r="M137" i="17" a="1"/>
  <c r="M137" i="17"/>
  <c r="M167" i="17" a="1"/>
  <c r="M167" i="17" s="1"/>
  <c r="M197" i="17" a="1"/>
  <c r="M197" i="17" s="1"/>
  <c r="M227" i="17" a="1"/>
  <c r="M227" i="17" s="1"/>
  <c r="M257" i="17" a="1"/>
  <c r="M257" i="17" s="1"/>
  <c r="M287" i="17" a="1"/>
  <c r="M287" i="17" s="1"/>
  <c r="M317" i="17" a="1"/>
  <c r="M317" i="17"/>
  <c r="M422" i="17" a="1"/>
  <c r="M422" i="17" s="1"/>
  <c r="M423" i="17" a="1"/>
  <c r="M423" i="17" s="1"/>
  <c r="M424" i="17" a="1"/>
  <c r="M424" i="17" s="1"/>
  <c r="M425" i="17" a="1"/>
  <c r="M425" i="17" s="1"/>
  <c r="M426" i="17" a="1"/>
  <c r="M426" i="17" s="1"/>
  <c r="M427" i="17" a="1"/>
  <c r="M427" i="17" s="1"/>
  <c r="M18" i="17" a="1"/>
  <c r="M18" i="17" s="1"/>
  <c r="M48" i="17" a="1"/>
  <c r="M48" i="17" s="1"/>
  <c r="M78" i="17" a="1"/>
  <c r="M78" i="17" s="1"/>
  <c r="M108" i="17" a="1"/>
  <c r="M108" i="17" s="1"/>
  <c r="M138" i="17" a="1"/>
  <c r="M138" i="17" s="1"/>
  <c r="M168" i="17" a="1"/>
  <c r="M168" i="17" s="1"/>
  <c r="M198" i="17" a="1"/>
  <c r="M198" i="17" s="1"/>
  <c r="M228" i="17" a="1"/>
  <c r="M228" i="17" s="1"/>
  <c r="M258" i="17" a="1"/>
  <c r="M258" i="17" s="1"/>
  <c r="M288" i="17" a="1"/>
  <c r="M288" i="17" s="1"/>
  <c r="M318" i="17" a="1"/>
  <c r="M318" i="17" s="1"/>
  <c r="M428" i="17" a="1"/>
  <c r="M428" i="17" s="1"/>
  <c r="M429" i="17" a="1"/>
  <c r="M429" i="17" s="1"/>
  <c r="M430" i="17" a="1"/>
  <c r="M430" i="17" s="1"/>
  <c r="M431" i="17" a="1"/>
  <c r="M431" i="17" s="1"/>
  <c r="M432" i="17" a="1"/>
  <c r="M432" i="17" s="1"/>
  <c r="M433" i="17" a="1"/>
  <c r="M433" i="17" s="1"/>
  <c r="M19" i="17" a="1"/>
  <c r="M19" i="17" s="1"/>
  <c r="M49" i="17" a="1"/>
  <c r="M49" i="17" s="1"/>
  <c r="M79" i="17" a="1"/>
  <c r="M79" i="17" s="1"/>
  <c r="M109" i="17" a="1"/>
  <c r="M109" i="17" s="1"/>
  <c r="M139" i="17" a="1"/>
  <c r="M139" i="17" s="1"/>
  <c r="M169" i="17" a="1"/>
  <c r="M169" i="17" s="1"/>
  <c r="M199" i="17" a="1"/>
  <c r="M199" i="17"/>
  <c r="M229" i="17" a="1"/>
  <c r="M229" i="17" s="1"/>
  <c r="M259" i="17" a="1"/>
  <c r="M259" i="17" s="1"/>
  <c r="M289" i="17" a="1"/>
  <c r="M289" i="17" s="1"/>
  <c r="M319" i="17" a="1"/>
  <c r="M319" i="17" s="1"/>
  <c r="M434" i="17" a="1"/>
  <c r="M434" i="17" s="1"/>
  <c r="M435" i="17" a="1"/>
  <c r="M435" i="17" s="1"/>
  <c r="M436" i="17" a="1"/>
  <c r="M436" i="17" s="1"/>
  <c r="M437" i="17" a="1"/>
  <c r="M437" i="17" s="1"/>
  <c r="M438" i="17" a="1"/>
  <c r="M438" i="17" s="1"/>
  <c r="M439" i="17" a="1"/>
  <c r="M439" i="17" s="1"/>
  <c r="M20" i="17" a="1"/>
  <c r="M20" i="17" s="1"/>
  <c r="M50" i="17" a="1"/>
  <c r="M50" i="17" s="1"/>
  <c r="M80" i="17" a="1"/>
  <c r="M80" i="17" s="1"/>
  <c r="M110" i="17" a="1"/>
  <c r="M110" i="17" s="1"/>
  <c r="M140" i="17" a="1"/>
  <c r="M140" i="17" s="1"/>
  <c r="M170" i="17" a="1"/>
  <c r="M170" i="17" s="1"/>
  <c r="M200" i="17" a="1"/>
  <c r="M200" i="17" s="1"/>
  <c r="M230" i="17" a="1"/>
  <c r="M230" i="17" s="1"/>
  <c r="M260" i="17" a="1"/>
  <c r="M260" i="17" s="1"/>
  <c r="M290" i="17" a="1"/>
  <c r="M290" i="17" s="1"/>
  <c r="M320" i="17" a="1"/>
  <c r="M320" i="17" s="1"/>
  <c r="M440" i="17" a="1"/>
  <c r="M440" i="17" s="1"/>
  <c r="M441" i="17" a="1"/>
  <c r="M441" i="17" s="1"/>
  <c r="M442" i="17" a="1"/>
  <c r="M442" i="17" s="1"/>
  <c r="M443" i="17" a="1"/>
  <c r="M443" i="17" s="1"/>
  <c r="M444" i="17" a="1"/>
  <c r="M444" i="17" s="1"/>
  <c r="M445" i="17" a="1"/>
  <c r="M445" i="17" s="1"/>
  <c r="M21" i="17" a="1"/>
  <c r="M21" i="17" s="1"/>
  <c r="M51" i="17" a="1"/>
  <c r="M51" i="17" s="1"/>
  <c r="M81" i="17" a="1"/>
  <c r="M81" i="17" s="1"/>
  <c r="M111" i="17" a="1"/>
  <c r="M111" i="17" s="1"/>
  <c r="M141" i="17" a="1"/>
  <c r="M141" i="17" s="1"/>
  <c r="M171" i="17" a="1"/>
  <c r="M171" i="17" s="1"/>
  <c r="M201" i="17" a="1"/>
  <c r="M201" i="17" s="1"/>
  <c r="M231" i="17" a="1"/>
  <c r="M231" i="17" s="1"/>
  <c r="M261" i="17" a="1"/>
  <c r="M261" i="17" s="1"/>
  <c r="M291" i="17" a="1"/>
  <c r="M291" i="17" s="1"/>
  <c r="M321" i="17" a="1"/>
  <c r="M321" i="17" s="1"/>
  <c r="M446" i="17" a="1"/>
  <c r="M446" i="17" s="1"/>
  <c r="M447" i="17" a="1"/>
  <c r="M447" i="17" s="1"/>
  <c r="M448" i="17" a="1"/>
  <c r="M448" i="17" s="1"/>
  <c r="M449" i="17" a="1"/>
  <c r="M449" i="17" s="1"/>
  <c r="M450" i="17" a="1"/>
  <c r="M450" i="17" s="1"/>
  <c r="M451" i="17" a="1"/>
  <c r="M451" i="17" s="1"/>
  <c r="M22" i="17" a="1"/>
  <c r="M22" i="17" s="1"/>
  <c r="M52" i="17" a="1"/>
  <c r="M52" i="17" s="1"/>
  <c r="M82" i="17" a="1"/>
  <c r="M82" i="17" s="1"/>
  <c r="M112" i="17" a="1"/>
  <c r="M112" i="17" s="1"/>
  <c r="M142" i="17" a="1"/>
  <c r="M142" i="17" s="1"/>
  <c r="M172" i="17" a="1"/>
  <c r="M172" i="17" s="1"/>
  <c r="M202" i="17" a="1"/>
  <c r="M202" i="17" s="1"/>
  <c r="M232" i="17" a="1"/>
  <c r="M232" i="17" s="1"/>
  <c r="M262" i="17" a="1"/>
  <c r="M262" i="17" s="1"/>
  <c r="M292" i="17" a="1"/>
  <c r="M292" i="17"/>
  <c r="M322" i="17" a="1"/>
  <c r="M322" i="17" s="1"/>
  <c r="M452" i="17" a="1"/>
  <c r="M452" i="17" s="1"/>
  <c r="M453" i="17" a="1"/>
  <c r="M453" i="17" s="1"/>
  <c r="M454" i="17" a="1"/>
  <c r="M454" i="17" s="1"/>
  <c r="M455" i="17" a="1"/>
  <c r="M455" i="17" s="1"/>
  <c r="M456" i="17" a="1"/>
  <c r="M456" i="17" s="1"/>
  <c r="M457" i="17" a="1"/>
  <c r="M457" i="17" s="1"/>
  <c r="M23" i="17" a="1"/>
  <c r="M23" i="17" s="1"/>
  <c r="M53" i="17" a="1"/>
  <c r="M53" i="17" s="1"/>
  <c r="M83" i="17" a="1"/>
  <c r="M83" i="17" s="1"/>
  <c r="M113" i="17" a="1"/>
  <c r="M113" i="17" s="1"/>
  <c r="M143" i="17" a="1"/>
  <c r="M143" i="17" s="1"/>
  <c r="M173" i="17" a="1"/>
  <c r="M173" i="17" s="1"/>
  <c r="M203" i="17" a="1"/>
  <c r="M203" i="17" s="1"/>
  <c r="M233" i="17" a="1"/>
  <c r="M233" i="17" s="1"/>
  <c r="M263" i="17" a="1"/>
  <c r="M263" i="17" s="1"/>
  <c r="M293" i="17" a="1"/>
  <c r="M293" i="17" s="1"/>
  <c r="M323" i="17" a="1"/>
  <c r="M323" i="17"/>
  <c r="M458" i="17" a="1"/>
  <c r="M458" i="17" s="1"/>
  <c r="M459" i="17" a="1"/>
  <c r="M459" i="17" s="1"/>
  <c r="M460" i="17" a="1"/>
  <c r="M460" i="17" s="1"/>
  <c r="M461" i="17" a="1"/>
  <c r="M461" i="17" s="1"/>
  <c r="M462" i="17" a="1"/>
  <c r="M462" i="17" s="1"/>
  <c r="M463" i="17" a="1"/>
  <c r="M463" i="17" s="1"/>
  <c r="M24" i="17" a="1"/>
  <c r="M24" i="17" s="1"/>
  <c r="M54" i="17" a="1"/>
  <c r="M54" i="17" s="1"/>
  <c r="M84" i="17" a="1"/>
  <c r="M84" i="17" s="1"/>
  <c r="M114" i="17" a="1"/>
  <c r="M114" i="17" s="1"/>
  <c r="M144" i="17" a="1"/>
  <c r="M144" i="17" s="1"/>
  <c r="M174" i="17" a="1"/>
  <c r="M174" i="17" s="1"/>
  <c r="M204" i="17" a="1"/>
  <c r="M204" i="17"/>
  <c r="M234" i="17" a="1"/>
  <c r="M234" i="17"/>
  <c r="M264" i="17" a="1"/>
  <c r="M264" i="17" s="1"/>
  <c r="M294" i="17" a="1"/>
  <c r="M294" i="17" s="1"/>
  <c r="M324" i="17" a="1"/>
  <c r="M324" i="17" s="1"/>
  <c r="M464" i="17" a="1"/>
  <c r="M464" i="17" s="1"/>
  <c r="M465" i="17" a="1"/>
  <c r="M465" i="17" s="1"/>
  <c r="M466" i="17" a="1"/>
  <c r="M466" i="17" s="1"/>
  <c r="M467" i="17" a="1"/>
  <c r="M467" i="17" s="1"/>
  <c r="M468" i="17" a="1"/>
  <c r="M468" i="17" s="1"/>
  <c r="M469" i="17" a="1"/>
  <c r="M469" i="17" s="1"/>
  <c r="M25" i="17" a="1"/>
  <c r="M25" i="17" s="1"/>
  <c r="M55" i="17" a="1"/>
  <c r="M55" i="17" s="1"/>
  <c r="M85" i="17" a="1"/>
  <c r="M85" i="17" s="1"/>
  <c r="M115" i="17" a="1"/>
  <c r="M115" i="17" s="1"/>
  <c r="M145" i="17" a="1"/>
  <c r="M145" i="17" s="1"/>
  <c r="M175" i="17" a="1"/>
  <c r="M175" i="17" s="1"/>
  <c r="M205" i="17" a="1"/>
  <c r="M205" i="17" s="1"/>
  <c r="M235" i="17" a="1"/>
  <c r="M235" i="17" s="1"/>
  <c r="M265" i="17" a="1"/>
  <c r="M265" i="17" s="1"/>
  <c r="M295" i="17" a="1"/>
  <c r="M295" i="17" s="1"/>
  <c r="M325" i="17" a="1"/>
  <c r="M325" i="17" s="1"/>
  <c r="M470" i="17" a="1"/>
  <c r="M470" i="17" s="1"/>
  <c r="M471" i="17" a="1"/>
  <c r="M471" i="17"/>
  <c r="M472" i="17" a="1"/>
  <c r="M472" i="17" s="1"/>
  <c r="M473" i="17" a="1"/>
  <c r="M473" i="17" s="1"/>
  <c r="M474" i="17" a="1"/>
  <c r="M474" i="17"/>
  <c r="M475" i="17" a="1"/>
  <c r="M475" i="17" s="1"/>
  <c r="M26" i="17" a="1"/>
  <c r="M26" i="17" s="1"/>
  <c r="M56" i="17" a="1"/>
  <c r="M56" i="17" s="1"/>
  <c r="M86" i="17" a="1"/>
  <c r="M86" i="17" s="1"/>
  <c r="M116" i="17" a="1"/>
  <c r="M116" i="17" s="1"/>
  <c r="M146" i="17" a="1"/>
  <c r="M146" i="17" s="1"/>
  <c r="M176" i="17" a="1"/>
  <c r="M176" i="17" s="1"/>
  <c r="M206" i="17" a="1"/>
  <c r="M206" i="17" s="1"/>
  <c r="M236" i="17" a="1"/>
  <c r="M236" i="17" s="1"/>
  <c r="M266" i="17" a="1"/>
  <c r="M266" i="17"/>
  <c r="M296" i="17" a="1"/>
  <c r="M296" i="17" s="1"/>
  <c r="M326" i="17" a="1"/>
  <c r="M326" i="17"/>
  <c r="M476" i="17" a="1"/>
  <c r="M476" i="17"/>
  <c r="M477" i="17" a="1"/>
  <c r="M477" i="17" s="1"/>
  <c r="M478" i="17" a="1"/>
  <c r="M478" i="17" s="1"/>
  <c r="M479" i="17" a="1"/>
  <c r="M479" i="17" s="1"/>
  <c r="M480" i="17" a="1"/>
  <c r="M480" i="17" s="1"/>
  <c r="M481" i="17" a="1"/>
  <c r="M481" i="17" s="1"/>
  <c r="M27" i="17" a="1"/>
  <c r="M27" i="17" s="1"/>
  <c r="M57" i="17" a="1"/>
  <c r="M57" i="17" s="1"/>
  <c r="M87" i="17" a="1"/>
  <c r="M87" i="17" s="1"/>
  <c r="M117" i="17" a="1"/>
  <c r="M117" i="17"/>
  <c r="M147" i="17" a="1"/>
  <c r="M147" i="17" s="1"/>
  <c r="M177" i="17" a="1"/>
  <c r="M177" i="17"/>
  <c r="M207" i="17" a="1"/>
  <c r="M207" i="17"/>
  <c r="M237" i="17" a="1"/>
  <c r="M237" i="17" s="1"/>
  <c r="M267" i="17" a="1"/>
  <c r="M267" i="17" s="1"/>
  <c r="M297" i="17" a="1"/>
  <c r="M297" i="17" s="1"/>
  <c r="M327" i="17" a="1"/>
  <c r="M327" i="17" s="1"/>
  <c r="M482" i="17" a="1"/>
  <c r="M482" i="17" s="1"/>
  <c r="M483" i="17" a="1"/>
  <c r="M483" i="17" s="1"/>
  <c r="M484" i="17" a="1"/>
  <c r="M484" i="17" s="1"/>
  <c r="M485" i="17" a="1"/>
  <c r="M485" i="17"/>
  <c r="M486" i="17" a="1"/>
  <c r="M486" i="17" s="1"/>
  <c r="M487" i="17" a="1"/>
  <c r="M487" i="17"/>
  <c r="M28" i="17" a="1"/>
  <c r="M28" i="17" s="1"/>
  <c r="M58" i="17" a="1"/>
  <c r="M58" i="17" s="1"/>
  <c r="M88" i="17" a="1"/>
  <c r="M88" i="17" s="1"/>
  <c r="M118" i="17" a="1"/>
  <c r="M118" i="17" s="1"/>
  <c r="M148" i="17" a="1"/>
  <c r="M148" i="17" s="1"/>
  <c r="M178" i="17" a="1"/>
  <c r="M178" i="17" s="1"/>
  <c r="M208" i="17" a="1"/>
  <c r="M208" i="17" s="1"/>
  <c r="M238" i="17" a="1"/>
  <c r="M238" i="17" s="1"/>
  <c r="M268" i="17" a="1"/>
  <c r="M268" i="17" s="1"/>
  <c r="M298" i="17" a="1"/>
  <c r="M298" i="17" s="1"/>
  <c r="M328" i="17" a="1"/>
  <c r="M328" i="17" s="1"/>
  <c r="M488" i="17" a="1"/>
  <c r="M488" i="17"/>
  <c r="M489" i="17" a="1"/>
  <c r="M489" i="17" s="1"/>
  <c r="M490" i="17" a="1"/>
  <c r="M490" i="17"/>
  <c r="M491" i="17" a="1"/>
  <c r="M491" i="17" s="1"/>
  <c r="M492" i="17" a="1"/>
  <c r="M492" i="17" s="1"/>
  <c r="M493" i="17" a="1"/>
  <c r="M493" i="17" s="1"/>
  <c r="M29" i="17" a="1"/>
  <c r="M29" i="17" s="1"/>
  <c r="M59" i="17" a="1"/>
  <c r="M59" i="17" s="1"/>
  <c r="M89" i="17" a="1"/>
  <c r="M89" i="17" s="1"/>
  <c r="M119" i="17" a="1"/>
  <c r="M119" i="17" s="1"/>
  <c r="M149" i="17" a="1"/>
  <c r="M149" i="17" s="1"/>
  <c r="M179" i="17" a="1"/>
  <c r="M179" i="17" s="1"/>
  <c r="M209" i="17" a="1"/>
  <c r="M209" i="17"/>
  <c r="M239" i="17" a="1"/>
  <c r="M239" i="17" s="1"/>
  <c r="M269" i="17" a="1"/>
  <c r="M269" i="17" s="1"/>
  <c r="M299" i="17" a="1"/>
  <c r="M299" i="17" s="1"/>
  <c r="M329" i="17" a="1"/>
  <c r="M329" i="17" s="1"/>
  <c r="M494" i="17" a="1"/>
  <c r="M494" i="17" s="1"/>
  <c r="M495" i="17" a="1"/>
  <c r="M495" i="17" s="1"/>
  <c r="M496" i="17" a="1"/>
  <c r="M496" i="17" s="1"/>
  <c r="M497" i="17" a="1"/>
  <c r="M497" i="17"/>
  <c r="M498" i="17" a="1"/>
  <c r="M498" i="17" s="1"/>
  <c r="M499" i="17" a="1"/>
  <c r="M499" i="17"/>
  <c r="M30" i="17" a="1"/>
  <c r="M30" i="17" s="1"/>
  <c r="M60" i="17" a="1"/>
  <c r="M60" i="17" s="1"/>
  <c r="M90" i="17" a="1"/>
  <c r="M90" i="17"/>
  <c r="M120" i="17" a="1"/>
  <c r="M120" i="17" s="1"/>
  <c r="M150" i="17" a="1"/>
  <c r="M150" i="17" s="1"/>
  <c r="M180" i="17" a="1"/>
  <c r="M180" i="17" s="1"/>
  <c r="M210" i="17" a="1"/>
  <c r="M210" i="17" s="1"/>
  <c r="M240" i="17" a="1"/>
  <c r="M240" i="17" s="1"/>
  <c r="M270" i="17" a="1"/>
  <c r="M270" i="17" s="1"/>
  <c r="M300" i="17" a="1"/>
  <c r="M300" i="17" s="1"/>
  <c r="M330" i="17" a="1"/>
  <c r="M330" i="17" s="1"/>
  <c r="M500" i="17" a="1"/>
  <c r="M500" i="17" s="1"/>
  <c r="M501" i="17" a="1"/>
  <c r="M501" i="17" s="1"/>
  <c r="M502" i="17" a="1"/>
  <c r="M502" i="17" s="1"/>
  <c r="M503" i="17" a="1"/>
  <c r="M503" i="17" s="1"/>
  <c r="M504" i="17" a="1"/>
  <c r="M504" i="17" s="1"/>
  <c r="M505" i="17" a="1"/>
  <c r="M505" i="17" s="1"/>
  <c r="M31" i="17" a="1"/>
  <c r="M31" i="17"/>
  <c r="M61" i="17" a="1"/>
  <c r="M61" i="17" s="1"/>
  <c r="M91" i="17" a="1"/>
  <c r="M91" i="17" s="1"/>
  <c r="M121" i="17" a="1"/>
  <c r="M121" i="17"/>
  <c r="M151" i="17" a="1"/>
  <c r="M151" i="17" s="1"/>
  <c r="M181" i="17" a="1"/>
  <c r="M181" i="17" s="1"/>
  <c r="M211" i="17" a="1"/>
  <c r="M211" i="17" s="1"/>
  <c r="M241" i="17" a="1"/>
  <c r="M241" i="17" s="1"/>
  <c r="M271" i="17" a="1"/>
  <c r="M271" i="17" s="1"/>
  <c r="M301" i="17" a="1"/>
  <c r="M301" i="17"/>
  <c r="M331" i="17" a="1"/>
  <c r="M331" i="17" s="1"/>
  <c r="M506" i="17" a="1"/>
  <c r="M506" i="17" s="1"/>
  <c r="M507" i="17" a="1"/>
  <c r="M507" i="17" s="1"/>
  <c r="M508" i="17" a="1"/>
  <c r="M508" i="17" s="1"/>
  <c r="M509" i="17" a="1"/>
  <c r="M509" i="17" s="1"/>
  <c r="M510" i="17" a="1"/>
  <c r="M510" i="17" s="1"/>
  <c r="M511" i="17" a="1"/>
  <c r="M511" i="17" s="1"/>
  <c r="N272" i="17" a="1"/>
  <c r="N272" i="17" s="1"/>
  <c r="N123" i="17" a="1"/>
  <c r="N123" i="17" s="1"/>
  <c r="N342" i="17" a="1"/>
  <c r="N342" i="17" s="1"/>
  <c r="N304" i="17" a="1"/>
  <c r="N304" i="17" s="1"/>
  <c r="N355" i="17" a="1"/>
  <c r="N355" i="17" s="1"/>
  <c r="N306" i="17" a="1"/>
  <c r="N306" i="17" s="1"/>
  <c r="N127" i="17" a="1"/>
  <c r="N127" i="17" s="1"/>
  <c r="N367" i="17" a="1"/>
  <c r="N367" i="17" s="1"/>
  <c r="N98" i="17" a="1"/>
  <c r="N98" i="17" s="1"/>
  <c r="N128" i="17" a="1"/>
  <c r="N128" i="17" s="1"/>
  <c r="N158" i="17" a="1"/>
  <c r="N158" i="17" s="1"/>
  <c r="N188" i="17" a="1"/>
  <c r="N188" i="17" s="1"/>
  <c r="N248" i="17" a="1"/>
  <c r="N248" i="17" s="1"/>
  <c r="N371" i="17" a="1"/>
  <c r="N371" i="17" s="1"/>
  <c r="N372" i="17" a="1"/>
  <c r="N372" i="17" s="1"/>
  <c r="N373" i="17" a="1"/>
  <c r="N373" i="17" s="1"/>
  <c r="N9" i="17" a="1"/>
  <c r="N9" i="17" s="1"/>
  <c r="N39" i="17" a="1"/>
  <c r="N39" i="17" s="1"/>
  <c r="N69" i="17" a="1"/>
  <c r="N69" i="17" s="1"/>
  <c r="N99" i="17" a="1"/>
  <c r="N99" i="17" s="1"/>
  <c r="N129" i="17" a="1"/>
  <c r="N129" i="17" s="1"/>
  <c r="N219" i="17" a="1"/>
  <c r="N219" i="17" s="1"/>
  <c r="N279" i="17" a="1"/>
  <c r="N279" i="17" s="1"/>
  <c r="N309" i="17" a="1"/>
  <c r="N309" i="17" s="1"/>
  <c r="N374" i="17" a="1"/>
  <c r="N374" i="17" s="1"/>
  <c r="N375" i="17" a="1"/>
  <c r="N375" i="17" s="1"/>
  <c r="N376" i="17" a="1"/>
  <c r="N376" i="17" s="1"/>
  <c r="N377" i="17" a="1"/>
  <c r="N377" i="17" s="1"/>
  <c r="N379" i="17" a="1"/>
  <c r="N379" i="17" s="1"/>
  <c r="N10" i="17" a="1"/>
  <c r="N10" i="17" s="1"/>
  <c r="N40" i="17" a="1"/>
  <c r="N40" i="17" s="1"/>
  <c r="N70" i="17" a="1"/>
  <c r="N70" i="17" s="1"/>
  <c r="N100" i="17" a="1"/>
  <c r="N100" i="17" s="1"/>
  <c r="N130" i="17" a="1"/>
  <c r="N130" i="17" s="1"/>
  <c r="N160" i="17" a="1"/>
  <c r="N160" i="17" s="1"/>
  <c r="N190" i="17" a="1"/>
  <c r="N190" i="17" s="1"/>
  <c r="N220" i="17" a="1"/>
  <c r="N220" i="17" s="1"/>
  <c r="N250" i="17" a="1"/>
  <c r="N250" i="17" s="1"/>
  <c r="N280" i="17" a="1"/>
  <c r="N280" i="17" s="1"/>
  <c r="N310" i="17" a="1"/>
  <c r="N310" i="17" s="1"/>
  <c r="N381" i="17" a="1"/>
  <c r="N381" i="17" s="1"/>
  <c r="N382" i="17" a="1"/>
  <c r="N382" i="17" s="1"/>
  <c r="N383" i="17" a="1"/>
  <c r="N383" i="17" s="1"/>
  <c r="N384" i="17" a="1"/>
  <c r="N384" i="17" s="1"/>
  <c r="N385" i="17" a="1"/>
  <c r="N385" i="17" s="1"/>
  <c r="N11" i="17" a="1"/>
  <c r="N11" i="17" s="1"/>
  <c r="N41" i="17" a="1"/>
  <c r="N41" i="17" s="1"/>
  <c r="N71" i="17" a="1"/>
  <c r="N71" i="17" s="1"/>
  <c r="N101" i="17" a="1"/>
  <c r="N101" i="17" s="1"/>
  <c r="N131" i="17" a="1"/>
  <c r="N131" i="17" s="1"/>
  <c r="N161" i="17" a="1"/>
  <c r="N161" i="17" s="1"/>
  <c r="N191" i="17" a="1"/>
  <c r="N191" i="17" s="1"/>
  <c r="N221" i="17" a="1"/>
  <c r="N221" i="17" s="1"/>
  <c r="N251" i="17" a="1"/>
  <c r="N251" i="17" s="1"/>
  <c r="N281" i="17" a="1"/>
  <c r="N281" i="17" s="1"/>
  <c r="N311" i="17" a="1"/>
  <c r="N311" i="17" s="1"/>
  <c r="N386" i="17" a="1"/>
  <c r="N386" i="17" s="1"/>
  <c r="N387" i="17" a="1"/>
  <c r="N387" i="17" s="1"/>
  <c r="N388" i="17" a="1"/>
  <c r="N388" i="17" s="1"/>
  <c r="N389" i="17" a="1"/>
  <c r="N389" i="17" s="1"/>
  <c r="N390" i="17" a="1"/>
  <c r="N390" i="17" s="1"/>
  <c r="N391" i="17" a="1"/>
  <c r="N391" i="17" s="1"/>
  <c r="N12" i="17" a="1"/>
  <c r="N12" i="17" s="1"/>
  <c r="N42" i="17" a="1"/>
  <c r="N42" i="17" s="1"/>
  <c r="N72" i="17" a="1"/>
  <c r="N72" i="17" s="1"/>
  <c r="N102" i="17" a="1"/>
  <c r="N102" i="17" s="1"/>
  <c r="N132" i="17" a="1"/>
  <c r="N132" i="17" s="1"/>
  <c r="N162" i="17" a="1"/>
  <c r="N162" i="17" s="1"/>
  <c r="N192" i="17" a="1"/>
  <c r="N192" i="17" s="1"/>
  <c r="N222" i="17" a="1"/>
  <c r="N222" i="17" s="1"/>
  <c r="N252" i="17" a="1"/>
  <c r="N252" i="17" s="1"/>
  <c r="N282" i="17" a="1"/>
  <c r="N282" i="17" s="1"/>
  <c r="N312" i="17" a="1"/>
  <c r="N312" i="17" s="1"/>
  <c r="N392" i="17" a="1"/>
  <c r="N392" i="17" s="1"/>
  <c r="N393" i="17" a="1"/>
  <c r="N393" i="17" s="1"/>
  <c r="N394" i="17" a="1"/>
  <c r="N394" i="17" s="1"/>
  <c r="N395" i="17" a="1"/>
  <c r="N395" i="17" s="1"/>
  <c r="N396" i="17" a="1"/>
  <c r="N396" i="17" s="1"/>
  <c r="N397" i="17" a="1"/>
  <c r="N397" i="17" s="1"/>
  <c r="N13" i="17" a="1"/>
  <c r="N13" i="17" s="1"/>
  <c r="N43" i="17" a="1"/>
  <c r="N43" i="17" s="1"/>
  <c r="N73" i="17" a="1"/>
  <c r="N73" i="17" s="1"/>
  <c r="N103" i="17" a="1"/>
  <c r="N103" i="17" s="1"/>
  <c r="N133" i="17" a="1"/>
  <c r="N133" i="17" s="1"/>
  <c r="N163" i="17" a="1"/>
  <c r="N163" i="17" s="1"/>
  <c r="N193" i="17" a="1"/>
  <c r="N193" i="17" s="1"/>
  <c r="N223" i="17" a="1"/>
  <c r="N223" i="17" s="1"/>
  <c r="N253" i="17" a="1"/>
  <c r="N253" i="17" s="1"/>
  <c r="N283" i="17" a="1"/>
  <c r="N283" i="17" s="1"/>
  <c r="N313" i="17" a="1"/>
  <c r="N313" i="17" s="1"/>
  <c r="N398" i="17" a="1"/>
  <c r="N398" i="17" s="1"/>
  <c r="N399" i="17" a="1"/>
  <c r="N399" i="17" s="1"/>
  <c r="N400" i="17" a="1"/>
  <c r="N400" i="17" s="1"/>
  <c r="N401" i="17" a="1"/>
  <c r="N401" i="17" s="1"/>
  <c r="N402" i="17" a="1"/>
  <c r="N402" i="17" s="1"/>
  <c r="N403" i="17" a="1"/>
  <c r="N403" i="17"/>
  <c r="N14" i="17" a="1"/>
  <c r="N14" i="17" s="1"/>
  <c r="N44" i="17" a="1"/>
  <c r="N44" i="17" s="1"/>
  <c r="N74" i="17" a="1"/>
  <c r="N74" i="17" s="1"/>
  <c r="N104" i="17" a="1"/>
  <c r="N104" i="17" s="1"/>
  <c r="N134" i="17" a="1"/>
  <c r="N134" i="17" s="1"/>
  <c r="N164" i="17" a="1"/>
  <c r="N164" i="17" s="1"/>
  <c r="N194" i="17" a="1"/>
  <c r="N194" i="17" s="1"/>
  <c r="N224" i="17" a="1"/>
  <c r="N224" i="17" s="1"/>
  <c r="N254" i="17" a="1"/>
  <c r="N254" i="17" s="1"/>
  <c r="N284" i="17" a="1"/>
  <c r="N284" i="17" s="1"/>
  <c r="N314" i="17" a="1"/>
  <c r="N314" i="17" s="1"/>
  <c r="N404" i="17" a="1"/>
  <c r="N404" i="17" s="1"/>
  <c r="N405" i="17" a="1"/>
  <c r="N405" i="17" s="1"/>
  <c r="N406" i="17" a="1"/>
  <c r="N406" i="17" s="1"/>
  <c r="N407" i="17" a="1"/>
  <c r="N407" i="17" s="1"/>
  <c r="N408" i="17" a="1"/>
  <c r="N408" i="17" s="1"/>
  <c r="N409" i="17" a="1"/>
  <c r="N409" i="17" s="1"/>
  <c r="N15" i="17" a="1"/>
  <c r="N15" i="17" s="1"/>
  <c r="N45" i="17" a="1"/>
  <c r="N45" i="17" s="1"/>
  <c r="N75" i="17" a="1"/>
  <c r="N75" i="17" s="1"/>
  <c r="N105" i="17" a="1"/>
  <c r="N105" i="17" s="1"/>
  <c r="N135" i="17" a="1"/>
  <c r="N135" i="17" s="1"/>
  <c r="N165" i="17" a="1"/>
  <c r="N165" i="17" s="1"/>
  <c r="N195" i="17" a="1"/>
  <c r="N195" i="17" s="1"/>
  <c r="N225" i="17" a="1"/>
  <c r="N225" i="17" s="1"/>
  <c r="N255" i="17" a="1"/>
  <c r="N255" i="17" s="1"/>
  <c r="N285" i="17" a="1"/>
  <c r="N285" i="17" s="1"/>
  <c r="N315" i="17" a="1"/>
  <c r="N315" i="17" s="1"/>
  <c r="N410" i="17" a="1"/>
  <c r="N410" i="17" s="1"/>
  <c r="N411" i="17" a="1"/>
  <c r="N411" i="17" s="1"/>
  <c r="N412" i="17" a="1"/>
  <c r="N412" i="17" s="1"/>
  <c r="N413" i="17" a="1"/>
  <c r="N413" i="17" s="1"/>
  <c r="N414" i="17" a="1"/>
  <c r="N414" i="17" s="1"/>
  <c r="N415" i="17" a="1"/>
  <c r="N415" i="17" s="1"/>
  <c r="N16" i="17" a="1"/>
  <c r="N16" i="17" s="1"/>
  <c r="N46" i="17" a="1"/>
  <c r="N46" i="17" s="1"/>
  <c r="N76" i="17" a="1"/>
  <c r="N76" i="17" s="1"/>
  <c r="N106" i="17" a="1"/>
  <c r="N106" i="17" s="1"/>
  <c r="N136" i="17" a="1"/>
  <c r="N136" i="17" s="1"/>
  <c r="N166" i="17" a="1"/>
  <c r="N166" i="17" s="1"/>
  <c r="N196" i="17" a="1"/>
  <c r="N196" i="17" s="1"/>
  <c r="N226" i="17" a="1"/>
  <c r="N226" i="17" s="1"/>
  <c r="N256" i="17" a="1"/>
  <c r="N256" i="17" s="1"/>
  <c r="N286" i="17" a="1"/>
  <c r="N286" i="17" s="1"/>
  <c r="N316" i="17" a="1"/>
  <c r="N316" i="17" s="1"/>
  <c r="N416" i="17" a="1"/>
  <c r="N416" i="17" s="1"/>
  <c r="N417" i="17" a="1"/>
  <c r="N417" i="17" s="1"/>
  <c r="N418" i="17" a="1"/>
  <c r="N418" i="17" s="1"/>
  <c r="N419" i="17" a="1"/>
  <c r="N419" i="17" s="1"/>
  <c r="N420" i="17" a="1"/>
  <c r="N420" i="17" s="1"/>
  <c r="N421" i="17" a="1"/>
  <c r="N421" i="17" s="1"/>
  <c r="N17" i="17" a="1"/>
  <c r="N17" i="17" s="1"/>
  <c r="N47" i="17" a="1"/>
  <c r="N47" i="17" s="1"/>
  <c r="N77" i="17" a="1"/>
  <c r="N77" i="17"/>
  <c r="N107" i="17" a="1"/>
  <c r="N107" i="17" s="1"/>
  <c r="N137" i="17" a="1"/>
  <c r="N137" i="17" s="1"/>
  <c r="N167" i="17" a="1"/>
  <c r="N167" i="17" s="1"/>
  <c r="N197" i="17" a="1"/>
  <c r="N197" i="17" s="1"/>
  <c r="N227" i="17" a="1"/>
  <c r="N227" i="17" s="1"/>
  <c r="N257" i="17" a="1"/>
  <c r="N257" i="17" s="1"/>
  <c r="N287" i="17" a="1"/>
  <c r="N287" i="17" s="1"/>
  <c r="N317" i="17" a="1"/>
  <c r="N317" i="17" s="1"/>
  <c r="N422" i="17" a="1"/>
  <c r="N422" i="17" s="1"/>
  <c r="N423" i="17" a="1"/>
  <c r="N423" i="17" s="1"/>
  <c r="N424" i="17" a="1"/>
  <c r="N424" i="17" s="1"/>
  <c r="N425" i="17" a="1"/>
  <c r="N425" i="17" s="1"/>
  <c r="N426" i="17" a="1"/>
  <c r="N426" i="17" s="1"/>
  <c r="N427" i="17" a="1"/>
  <c r="N427" i="17" s="1"/>
  <c r="N18" i="17" a="1"/>
  <c r="N18" i="17" s="1"/>
  <c r="N48" i="17" a="1"/>
  <c r="N48" i="17" s="1"/>
  <c r="N78" i="17" a="1"/>
  <c r="N78" i="17" s="1"/>
  <c r="N108" i="17" a="1"/>
  <c r="N108" i="17"/>
  <c r="N138" i="17" a="1"/>
  <c r="N138" i="17" s="1"/>
  <c r="N168" i="17" a="1"/>
  <c r="N168" i="17" s="1"/>
  <c r="N198" i="17" a="1"/>
  <c r="N198" i="17" s="1"/>
  <c r="N228" i="17" a="1"/>
  <c r="N228" i="17" s="1"/>
  <c r="N258" i="17" a="1"/>
  <c r="N258" i="17" s="1"/>
  <c r="N288" i="17" a="1"/>
  <c r="N288" i="17" s="1"/>
  <c r="N318" i="17" a="1"/>
  <c r="N318" i="17" s="1"/>
  <c r="N428" i="17" a="1"/>
  <c r="N428" i="17" s="1"/>
  <c r="N429" i="17" a="1"/>
  <c r="N429" i="17" s="1"/>
  <c r="N430" i="17" a="1"/>
  <c r="N430" i="17" s="1"/>
  <c r="N431" i="17" a="1"/>
  <c r="N431" i="17" s="1"/>
  <c r="N432" i="17" a="1"/>
  <c r="N432" i="17" s="1"/>
  <c r="N433" i="17" a="1"/>
  <c r="N433" i="17" s="1"/>
  <c r="N19" i="17" a="1"/>
  <c r="N19" i="17" s="1"/>
  <c r="N49" i="17" a="1"/>
  <c r="N49" i="17"/>
  <c r="N79" i="17" a="1"/>
  <c r="N79" i="17" s="1"/>
  <c r="N109" i="17" a="1"/>
  <c r="N109" i="17" s="1"/>
  <c r="N139" i="17" a="1"/>
  <c r="N139" i="17" s="1"/>
  <c r="N169" i="17" a="1"/>
  <c r="N169" i="17" s="1"/>
  <c r="N199" i="17" a="1"/>
  <c r="N199" i="17" s="1"/>
  <c r="N229" i="17" a="1"/>
  <c r="N229" i="17" s="1"/>
  <c r="N259" i="17" a="1"/>
  <c r="N259" i="17" s="1"/>
  <c r="N289" i="17" a="1"/>
  <c r="N289" i="17" s="1"/>
  <c r="N319" i="17" a="1"/>
  <c r="N319" i="17" s="1"/>
  <c r="N434" i="17" a="1"/>
  <c r="N434" i="17" s="1"/>
  <c r="N435" i="17" a="1"/>
  <c r="N435" i="17" s="1"/>
  <c r="N436" i="17" a="1"/>
  <c r="N436" i="17" s="1"/>
  <c r="N437" i="17" a="1"/>
  <c r="N437" i="17" s="1"/>
  <c r="N438" i="17" a="1"/>
  <c r="N438" i="17" s="1"/>
  <c r="N439" i="17" a="1"/>
  <c r="N439" i="17" s="1"/>
  <c r="N20" i="17" a="1"/>
  <c r="N20" i="17" s="1"/>
  <c r="N50" i="17" a="1"/>
  <c r="N50" i="17" s="1"/>
  <c r="N80" i="17" a="1"/>
  <c r="N80" i="17" s="1"/>
  <c r="N110" i="17" a="1"/>
  <c r="N110" i="17" s="1"/>
  <c r="N140" i="17" a="1"/>
  <c r="N140" i="17" s="1"/>
  <c r="N170" i="17" a="1"/>
  <c r="N170" i="17" s="1"/>
  <c r="N200" i="17" a="1"/>
  <c r="N200" i="17" s="1"/>
  <c r="N230" i="17" a="1"/>
  <c r="N230" i="17" s="1"/>
  <c r="N260" i="17" a="1"/>
  <c r="N260" i="17" s="1"/>
  <c r="N290" i="17" a="1"/>
  <c r="N290" i="17" s="1"/>
  <c r="N320" i="17" a="1"/>
  <c r="N320" i="17" s="1"/>
  <c r="N440" i="17" a="1"/>
  <c r="N440" i="17" s="1"/>
  <c r="N441" i="17" a="1"/>
  <c r="N441" i="17" s="1"/>
  <c r="N442" i="17" a="1"/>
  <c r="N442" i="17" s="1"/>
  <c r="N443" i="17" a="1"/>
  <c r="N443" i="17" s="1"/>
  <c r="N444" i="17" a="1"/>
  <c r="N444" i="17" s="1"/>
  <c r="N445" i="17" a="1"/>
  <c r="N445" i="17" s="1"/>
  <c r="N21" i="17" a="1"/>
  <c r="N21" i="17" s="1"/>
  <c r="N51" i="17" a="1"/>
  <c r="N51" i="17" s="1"/>
  <c r="N81" i="17" a="1"/>
  <c r="N81" i="17" s="1"/>
  <c r="N111" i="17" a="1"/>
  <c r="N111" i="17" s="1"/>
  <c r="N141" i="17" a="1"/>
  <c r="N141" i="17" s="1"/>
  <c r="N171" i="17" a="1"/>
  <c r="N171" i="17" s="1"/>
  <c r="N201" i="17" a="1"/>
  <c r="N201" i="17" s="1"/>
  <c r="N231" i="17" a="1"/>
  <c r="N231" i="17" s="1"/>
  <c r="N261" i="17" a="1"/>
  <c r="N261" i="17" s="1"/>
  <c r="N291" i="17" a="1"/>
  <c r="N291" i="17" s="1"/>
  <c r="N321" i="17" a="1"/>
  <c r="N321" i="17" s="1"/>
  <c r="N446" i="17" a="1"/>
  <c r="N446" i="17" s="1"/>
  <c r="N447" i="17" a="1"/>
  <c r="N447" i="17" s="1"/>
  <c r="N448" i="17" a="1"/>
  <c r="N448" i="17" s="1"/>
  <c r="N449" i="17" a="1"/>
  <c r="N449" i="17" s="1"/>
  <c r="N450" i="17" a="1"/>
  <c r="N450" i="17" s="1"/>
  <c r="N451" i="17" a="1"/>
  <c r="N451" i="17" s="1"/>
  <c r="N22" i="17" a="1"/>
  <c r="N22" i="17" s="1"/>
  <c r="N52" i="17" a="1"/>
  <c r="N52" i="17" s="1"/>
  <c r="N82" i="17" a="1"/>
  <c r="N82" i="17" s="1"/>
  <c r="N112" i="17" a="1"/>
  <c r="N112" i="17" s="1"/>
  <c r="N142" i="17" a="1"/>
  <c r="N142" i="17" s="1"/>
  <c r="N172" i="17" a="1"/>
  <c r="N172" i="17" s="1"/>
  <c r="N202" i="17" a="1"/>
  <c r="N202" i="17" s="1"/>
  <c r="N232" i="17" a="1"/>
  <c r="N232" i="17" s="1"/>
  <c r="N262" i="17" a="1"/>
  <c r="N262" i="17" s="1"/>
  <c r="N292" i="17" a="1"/>
  <c r="N292" i="17" s="1"/>
  <c r="N322" i="17" a="1"/>
  <c r="N322" i="17" s="1"/>
  <c r="N452" i="17" a="1"/>
  <c r="N452" i="17" s="1"/>
  <c r="N453" i="17" a="1"/>
  <c r="N453" i="17" s="1"/>
  <c r="N454" i="17" a="1"/>
  <c r="N454" i="17" s="1"/>
  <c r="N455" i="17" a="1"/>
  <c r="N455" i="17" s="1"/>
  <c r="N456" i="17" a="1"/>
  <c r="N456" i="17" s="1"/>
  <c r="N457" i="17" a="1"/>
  <c r="N457" i="17" s="1"/>
  <c r="N23" i="17" a="1"/>
  <c r="N23" i="17" s="1"/>
  <c r="N53" i="17" a="1"/>
  <c r="N53" i="17" s="1"/>
  <c r="N83" i="17" a="1"/>
  <c r="N83" i="17" s="1"/>
  <c r="N113" i="17" a="1"/>
  <c r="N113" i="17" s="1"/>
  <c r="N143" i="17" a="1"/>
  <c r="N143" i="17" s="1"/>
  <c r="N173" i="17" a="1"/>
  <c r="N173" i="17" s="1"/>
  <c r="N203" i="17" a="1"/>
  <c r="N203" i="17" s="1"/>
  <c r="N233" i="17" a="1"/>
  <c r="N233" i="17" s="1"/>
  <c r="N263" i="17" a="1"/>
  <c r="N263" i="17" s="1"/>
  <c r="N293" i="17" a="1"/>
  <c r="N293" i="17" s="1"/>
  <c r="N323" i="17" a="1"/>
  <c r="N323" i="17" s="1"/>
  <c r="N458" i="17" a="1"/>
  <c r="N458" i="17" s="1"/>
  <c r="N459" i="17" a="1"/>
  <c r="N459" i="17" s="1"/>
  <c r="N460" i="17" a="1"/>
  <c r="N460" i="17" s="1"/>
  <c r="N461" i="17" a="1"/>
  <c r="N461" i="17" s="1"/>
  <c r="N462" i="17" a="1"/>
  <c r="N462" i="17" s="1"/>
  <c r="N463" i="17" a="1"/>
  <c r="N463" i="17" s="1"/>
  <c r="N24" i="17" a="1"/>
  <c r="N24" i="17" s="1"/>
  <c r="N54" i="17" a="1"/>
  <c r="N54" i="17" s="1"/>
  <c r="N84" i="17" a="1"/>
  <c r="N84" i="17" s="1"/>
  <c r="N114" i="17" a="1"/>
  <c r="N114" i="17" s="1"/>
  <c r="N144" i="17" a="1"/>
  <c r="N144" i="17" s="1"/>
  <c r="N174" i="17" a="1"/>
  <c r="N174" i="17" s="1"/>
  <c r="N204" i="17" a="1"/>
  <c r="N204" i="17" s="1"/>
  <c r="N234" i="17" a="1"/>
  <c r="N234" i="17" s="1"/>
  <c r="N264" i="17" a="1"/>
  <c r="N264" i="17" s="1"/>
  <c r="N294" i="17" a="1"/>
  <c r="N294" i="17" s="1"/>
  <c r="N324" i="17" a="1"/>
  <c r="N324" i="17" s="1"/>
  <c r="N464" i="17" a="1"/>
  <c r="N464" i="17" s="1"/>
  <c r="N465" i="17" a="1"/>
  <c r="N465" i="17" s="1"/>
  <c r="N466" i="17" a="1"/>
  <c r="N466" i="17" s="1"/>
  <c r="N467" i="17" a="1"/>
  <c r="N467" i="17" s="1"/>
  <c r="N468" i="17" a="1"/>
  <c r="N468" i="17" s="1"/>
  <c r="N469" i="17" a="1"/>
  <c r="N469" i="17" s="1"/>
  <c r="N25" i="17" a="1"/>
  <c r="N25" i="17" s="1"/>
  <c r="N55" i="17" a="1"/>
  <c r="N55" i="17" s="1"/>
  <c r="N85" i="17" a="1"/>
  <c r="N85" i="17" s="1"/>
  <c r="N115" i="17" a="1"/>
  <c r="N115" i="17" s="1"/>
  <c r="N145" i="17" a="1"/>
  <c r="N145" i="17" s="1"/>
  <c r="N175" i="17" a="1"/>
  <c r="N175" i="17" s="1"/>
  <c r="N205" i="17" a="1"/>
  <c r="N205" i="17" s="1"/>
  <c r="N235" i="17" a="1"/>
  <c r="N235" i="17" s="1"/>
  <c r="N265" i="17" a="1"/>
  <c r="N265" i="17" s="1"/>
  <c r="N295" i="17" a="1"/>
  <c r="N295" i="17" s="1"/>
  <c r="N325" i="17" a="1"/>
  <c r="N325" i="17" s="1"/>
  <c r="N470" i="17" a="1"/>
  <c r="N470" i="17" s="1"/>
  <c r="N471" i="17" a="1"/>
  <c r="N471" i="17" s="1"/>
  <c r="N472" i="17" a="1"/>
  <c r="N472" i="17" s="1"/>
  <c r="N473" i="17" a="1"/>
  <c r="N473" i="17" s="1"/>
  <c r="N474" i="17" a="1"/>
  <c r="N474" i="17" s="1"/>
  <c r="N475" i="17" a="1"/>
  <c r="N475" i="17" s="1"/>
  <c r="N26" i="17" a="1"/>
  <c r="N26" i="17" s="1"/>
  <c r="N56" i="17" a="1"/>
  <c r="N56" i="17" s="1"/>
  <c r="N86" i="17" a="1"/>
  <c r="N86" i="17" s="1"/>
  <c r="N116" i="17" a="1"/>
  <c r="N116" i="17" s="1"/>
  <c r="N146" i="17" a="1"/>
  <c r="N146" i="17" s="1"/>
  <c r="N176" i="17" a="1"/>
  <c r="N176" i="17" s="1"/>
  <c r="N206" i="17" a="1"/>
  <c r="N206" i="17" s="1"/>
  <c r="N236" i="17" a="1"/>
  <c r="N236" i="17" s="1"/>
  <c r="N266" i="17" a="1"/>
  <c r="N266" i="17" s="1"/>
  <c r="N296" i="17" a="1"/>
  <c r="N296" i="17" s="1"/>
  <c r="N326" i="17" a="1"/>
  <c r="N326" i="17" s="1"/>
  <c r="N476" i="17" a="1"/>
  <c r="N476" i="17" s="1"/>
  <c r="N477" i="17" a="1"/>
  <c r="N477" i="17" s="1"/>
  <c r="N478" i="17" a="1"/>
  <c r="N478" i="17" s="1"/>
  <c r="N479" i="17" a="1"/>
  <c r="N479" i="17" s="1"/>
  <c r="N480" i="17" a="1"/>
  <c r="N480" i="17" s="1"/>
  <c r="N481" i="17" a="1"/>
  <c r="N481" i="17" s="1"/>
  <c r="N27" i="17" a="1"/>
  <c r="N27" i="17" s="1"/>
  <c r="N57" i="17" a="1"/>
  <c r="N57" i="17" s="1"/>
  <c r="N87" i="17" a="1"/>
  <c r="N87" i="17" s="1"/>
  <c r="N117" i="17" a="1"/>
  <c r="N117" i="17" s="1"/>
  <c r="N147" i="17" a="1"/>
  <c r="N147" i="17" s="1"/>
  <c r="N177" i="17" a="1"/>
  <c r="N177" i="17" s="1"/>
  <c r="N207" i="17" a="1"/>
  <c r="N207" i="17" s="1"/>
  <c r="N237" i="17" a="1"/>
  <c r="N237" i="17" s="1"/>
  <c r="N267" i="17" a="1"/>
  <c r="N267" i="17" s="1"/>
  <c r="N297" i="17" a="1"/>
  <c r="N297" i="17" s="1"/>
  <c r="N327" i="17" a="1"/>
  <c r="N327" i="17" s="1"/>
  <c r="N482" i="17" a="1"/>
  <c r="N482" i="17" s="1"/>
  <c r="N483" i="17" a="1"/>
  <c r="N483" i="17" s="1"/>
  <c r="N484" i="17" a="1"/>
  <c r="N484" i="17" s="1"/>
  <c r="N485" i="17" a="1"/>
  <c r="N485" i="17" s="1"/>
  <c r="N486" i="17" a="1"/>
  <c r="N486" i="17" s="1"/>
  <c r="N487" i="17" a="1"/>
  <c r="N487" i="17" s="1"/>
  <c r="N28" i="17" a="1"/>
  <c r="N28" i="17" s="1"/>
  <c r="N58" i="17" a="1"/>
  <c r="N58" i="17" s="1"/>
  <c r="N88" i="17" a="1"/>
  <c r="N88" i="17" s="1"/>
  <c r="N118" i="17" a="1"/>
  <c r="N118" i="17" s="1"/>
  <c r="N148" i="17" a="1"/>
  <c r="N148" i="17" s="1"/>
  <c r="N178" i="17" a="1"/>
  <c r="N178" i="17" s="1"/>
  <c r="N208" i="17" a="1"/>
  <c r="N208" i="17" s="1"/>
  <c r="N238" i="17" a="1"/>
  <c r="N238" i="17" s="1"/>
  <c r="N268" i="17" a="1"/>
  <c r="N268" i="17" s="1"/>
  <c r="N298" i="17" a="1"/>
  <c r="N298" i="17" s="1"/>
  <c r="N328" i="17" a="1"/>
  <c r="N328" i="17" s="1"/>
  <c r="N488" i="17" a="1"/>
  <c r="N488" i="17" s="1"/>
  <c r="N489" i="17" a="1"/>
  <c r="N489" i="17" s="1"/>
  <c r="N490" i="17" a="1"/>
  <c r="N490" i="17" s="1"/>
  <c r="N491" i="17" a="1"/>
  <c r="N491" i="17" s="1"/>
  <c r="N492" i="17" a="1"/>
  <c r="N492" i="17" s="1"/>
  <c r="N493" i="17" a="1"/>
  <c r="N493" i="17" s="1"/>
  <c r="N29" i="17" a="1"/>
  <c r="N29" i="17" s="1"/>
  <c r="N59" i="17" a="1"/>
  <c r="N59" i="17" s="1"/>
  <c r="N89" i="17" a="1"/>
  <c r="N89" i="17" s="1"/>
  <c r="N119" i="17" a="1"/>
  <c r="N119" i="17" s="1"/>
  <c r="N149" i="17" a="1"/>
  <c r="N149" i="17" s="1"/>
  <c r="N179" i="17" a="1"/>
  <c r="N179" i="17" s="1"/>
  <c r="N209" i="17" a="1"/>
  <c r="N209" i="17" s="1"/>
  <c r="N239" i="17" a="1"/>
  <c r="N239" i="17" s="1"/>
  <c r="N269" i="17" a="1"/>
  <c r="N269" i="17" s="1"/>
  <c r="N299" i="17" a="1"/>
  <c r="N299" i="17" s="1"/>
  <c r="N329" i="17" a="1"/>
  <c r="N329" i="17" s="1"/>
  <c r="N494" i="17" a="1"/>
  <c r="N494" i="17" s="1"/>
  <c r="N495" i="17" a="1"/>
  <c r="N495" i="17" s="1"/>
  <c r="N496" i="17" a="1"/>
  <c r="N496" i="17" s="1"/>
  <c r="N497" i="17" a="1"/>
  <c r="N497" i="17" s="1"/>
  <c r="N498" i="17" a="1"/>
  <c r="N498" i="17" s="1"/>
  <c r="N499" i="17" a="1"/>
  <c r="N499" i="17" s="1"/>
  <c r="N30" i="17" a="1"/>
  <c r="N30" i="17" s="1"/>
  <c r="N60" i="17" a="1"/>
  <c r="N60" i="17" s="1"/>
  <c r="N90" i="17" a="1"/>
  <c r="N90" i="17" s="1"/>
  <c r="N120" i="17" a="1"/>
  <c r="N120" i="17" s="1"/>
  <c r="N150" i="17" a="1"/>
  <c r="N150" i="17" s="1"/>
  <c r="N180" i="17" a="1"/>
  <c r="N180" i="17" s="1"/>
  <c r="N210" i="17" a="1"/>
  <c r="N210" i="17" s="1"/>
  <c r="N240" i="17" a="1"/>
  <c r="N240" i="17" s="1"/>
  <c r="N270" i="17" a="1"/>
  <c r="N270" i="17" s="1"/>
  <c r="N300" i="17" a="1"/>
  <c r="N300" i="17" s="1"/>
  <c r="N330" i="17" a="1"/>
  <c r="N330" i="17" s="1"/>
  <c r="N500" i="17" a="1"/>
  <c r="N500" i="17" s="1"/>
  <c r="N501" i="17" a="1"/>
  <c r="N501" i="17" s="1"/>
  <c r="N502" i="17" a="1"/>
  <c r="N502" i="17" s="1"/>
  <c r="N503" i="17" a="1"/>
  <c r="N503" i="17" s="1"/>
  <c r="N504" i="17" a="1"/>
  <c r="N504" i="17" s="1"/>
  <c r="N505" i="17" a="1"/>
  <c r="N505" i="17" s="1"/>
  <c r="N31" i="17" a="1"/>
  <c r="N31" i="17" s="1"/>
  <c r="N61" i="17" a="1"/>
  <c r="N61" i="17" s="1"/>
  <c r="N91" i="17" a="1"/>
  <c r="N91" i="17" s="1"/>
  <c r="N121" i="17" a="1"/>
  <c r="N121" i="17" s="1"/>
  <c r="N151" i="17" a="1"/>
  <c r="N151" i="17" s="1"/>
  <c r="N181" i="17" a="1"/>
  <c r="N181" i="17"/>
  <c r="N211" i="17" a="1"/>
  <c r="N211" i="17" s="1"/>
  <c r="N241" i="17" a="1"/>
  <c r="N241" i="17"/>
  <c r="N271" i="17" a="1"/>
  <c r="N271" i="17" s="1"/>
  <c r="N301" i="17" a="1"/>
  <c r="N301" i="17" s="1"/>
  <c r="N331" i="17" a="1"/>
  <c r="N331" i="17" s="1"/>
  <c r="N506" i="17" a="1"/>
  <c r="N506" i="17" s="1"/>
  <c r="N507" i="17" a="1"/>
  <c r="N507" i="17" s="1"/>
  <c r="N508" i="17" a="1"/>
  <c r="N508" i="17" s="1"/>
  <c r="N509" i="17" a="1"/>
  <c r="N509" i="17" s="1"/>
  <c r="N510" i="17" a="1"/>
  <c r="N510" i="17" s="1"/>
  <c r="N511" i="17" a="1"/>
  <c r="N511" i="17" s="1"/>
  <c r="O2" i="17" a="1"/>
  <c r="O2" i="17" s="1"/>
  <c r="O32" i="17" a="1"/>
  <c r="O32" i="17" s="1"/>
  <c r="O62" i="17" a="1"/>
  <c r="O62" i="17" s="1"/>
  <c r="O92" i="17" a="1"/>
  <c r="O92" i="17" s="1"/>
  <c r="O122" i="17" a="1"/>
  <c r="O122" i="17" s="1"/>
  <c r="O152" i="17" a="1"/>
  <c r="O152" i="17" s="1"/>
  <c r="O182" i="17" a="1"/>
  <c r="O182" i="17" s="1"/>
  <c r="O212" i="17" a="1"/>
  <c r="O212" i="17" s="1"/>
  <c r="O242" i="17" a="1"/>
  <c r="O242" i="17" s="1"/>
  <c r="O272" i="17" a="1"/>
  <c r="O272" i="17" s="1"/>
  <c r="O302" i="17" a="1"/>
  <c r="O302" i="17" s="1"/>
  <c r="O332" i="17" a="1"/>
  <c r="O332" i="17"/>
  <c r="O333" i="17" a="1"/>
  <c r="O333" i="17" s="1"/>
  <c r="O334" i="17" a="1"/>
  <c r="O334" i="17"/>
  <c r="O335" i="17" a="1"/>
  <c r="O335" i="17" s="1"/>
  <c r="O336" i="17" a="1"/>
  <c r="O336" i="17" s="1"/>
  <c r="O337" i="17" a="1"/>
  <c r="O337" i="17" s="1"/>
  <c r="O3" i="17" a="1"/>
  <c r="O3" i="17" s="1"/>
  <c r="O33" i="17" a="1"/>
  <c r="O33" i="17" s="1"/>
  <c r="O63" i="17" a="1"/>
  <c r="O63" i="17" s="1"/>
  <c r="O93" i="17" a="1"/>
  <c r="O93" i="17" s="1"/>
  <c r="O123" i="17" a="1"/>
  <c r="O123" i="17" s="1"/>
  <c r="O153" i="17" a="1"/>
  <c r="O153" i="17" s="1"/>
  <c r="O183" i="17" a="1"/>
  <c r="O183" i="17"/>
  <c r="O213" i="17" a="1"/>
  <c r="O213" i="17" s="1"/>
  <c r="O243" i="17" a="1"/>
  <c r="O243" i="17" s="1"/>
  <c r="O273" i="17" a="1"/>
  <c r="O273" i="17" s="1"/>
  <c r="O303" i="17" a="1"/>
  <c r="O303" i="17" s="1"/>
  <c r="O338" i="17" a="1"/>
  <c r="O338" i="17" s="1"/>
  <c r="O339" i="17" a="1"/>
  <c r="O339" i="17" s="1"/>
  <c r="O340" i="17" a="1"/>
  <c r="O340" i="17" s="1"/>
  <c r="O341" i="17" a="1"/>
  <c r="O341" i="17" s="1"/>
  <c r="O342" i="17" a="1"/>
  <c r="O342" i="17" s="1"/>
  <c r="O343" i="17" a="1"/>
  <c r="O343" i="17" s="1"/>
  <c r="O4" i="17" a="1"/>
  <c r="O4" i="17" s="1"/>
  <c r="O34" i="17" a="1"/>
  <c r="O34" i="17" s="1"/>
  <c r="O64" i="17" a="1"/>
  <c r="O64" i="17"/>
  <c r="O94" i="17" a="1"/>
  <c r="O94" i="17" s="1"/>
  <c r="O124" i="17" a="1"/>
  <c r="O124" i="17" s="1"/>
  <c r="O154" i="17" a="1"/>
  <c r="O154" i="17" s="1"/>
  <c r="O184" i="17" a="1"/>
  <c r="O184" i="17" s="1"/>
  <c r="O214" i="17" a="1"/>
  <c r="O214" i="17" s="1"/>
  <c r="O244" i="17" a="1"/>
  <c r="O244" i="17" s="1"/>
  <c r="O274" i="17" a="1"/>
  <c r="O274" i="17" s="1"/>
  <c r="O304" i="17" a="1"/>
  <c r="O304" i="17" s="1"/>
  <c r="O344" i="17" a="1"/>
  <c r="O344" i="17" s="1"/>
  <c r="O345" i="17" a="1"/>
  <c r="O345" i="17" s="1"/>
  <c r="O346" i="17" a="1"/>
  <c r="O346" i="17" s="1"/>
  <c r="O347" i="17" a="1"/>
  <c r="O347" i="17" s="1"/>
  <c r="O348" i="17" a="1"/>
  <c r="O348" i="17"/>
  <c r="O349" i="17" a="1"/>
  <c r="O349" i="17" s="1"/>
  <c r="O5" i="17" a="1"/>
  <c r="O5" i="17" s="1"/>
  <c r="O35" i="17" a="1"/>
  <c r="O35" i="17" s="1"/>
  <c r="O65" i="17" a="1"/>
  <c r="O65" i="17" s="1"/>
  <c r="O95" i="17" a="1"/>
  <c r="O95" i="17" s="1"/>
  <c r="O125" i="17" a="1"/>
  <c r="O125" i="17" s="1"/>
  <c r="O155" i="17" a="1"/>
  <c r="O155" i="17" s="1"/>
  <c r="O185" i="17" a="1"/>
  <c r="O185" i="17" s="1"/>
  <c r="O215" i="17" a="1"/>
  <c r="O215" i="17" s="1"/>
  <c r="O245" i="17" a="1"/>
  <c r="O245" i="17" s="1"/>
  <c r="O275" i="17" a="1"/>
  <c r="O275" i="17" s="1"/>
  <c r="O305" i="17" a="1"/>
  <c r="O305" i="17"/>
  <c r="O350" i="17" a="1"/>
  <c r="O350" i="17" s="1"/>
  <c r="O351" i="17" a="1"/>
  <c r="O351" i="17" s="1"/>
  <c r="O352" i="17" a="1"/>
  <c r="O352" i="17" s="1"/>
  <c r="O353" i="17" a="1"/>
  <c r="O353" i="17" s="1"/>
  <c r="O354" i="17" a="1"/>
  <c r="O354" i="17" s="1"/>
  <c r="O355" i="17" a="1"/>
  <c r="O355" i="17" s="1"/>
  <c r="O6" i="17" a="1"/>
  <c r="O6" i="17" s="1"/>
  <c r="O36" i="17" a="1"/>
  <c r="O36" i="17" s="1"/>
  <c r="O66" i="17" a="1"/>
  <c r="O66" i="17" s="1"/>
  <c r="O96" i="17" a="1"/>
  <c r="O96" i="17" s="1"/>
  <c r="O126" i="17" a="1"/>
  <c r="O126" i="17" s="1"/>
  <c r="O156" i="17" a="1"/>
  <c r="O156" i="17" s="1"/>
  <c r="O186" i="17" a="1"/>
  <c r="O186" i="17"/>
  <c r="O216" i="17" a="1"/>
  <c r="O216" i="17" s="1"/>
  <c r="O246" i="17" a="1"/>
  <c r="O246" i="17" s="1"/>
  <c r="O276" i="17" a="1"/>
  <c r="O276" i="17" s="1"/>
  <c r="O306" i="17" a="1"/>
  <c r="O306" i="17" s="1"/>
  <c r="O356" i="17" a="1"/>
  <c r="O356" i="17" s="1"/>
  <c r="O357" i="17" a="1"/>
  <c r="O357" i="17" s="1"/>
  <c r="O358" i="17" a="1"/>
  <c r="O358" i="17" s="1"/>
  <c r="O359" i="17" a="1"/>
  <c r="O359" i="17" s="1"/>
  <c r="O360" i="17" a="1"/>
  <c r="O360" i="17" s="1"/>
  <c r="O361" i="17" a="1"/>
  <c r="O361" i="17"/>
  <c r="O7" i="17" a="1"/>
  <c r="O7" i="17" s="1"/>
  <c r="O37" i="17" a="1"/>
  <c r="O37" i="17" s="1"/>
  <c r="O67" i="17" a="1"/>
  <c r="O67" i="17"/>
  <c r="O97" i="17" a="1"/>
  <c r="O97" i="17" s="1"/>
  <c r="O127" i="17" a="1"/>
  <c r="O127" i="17" s="1"/>
  <c r="O157" i="17" a="1"/>
  <c r="O157" i="17" s="1"/>
  <c r="O187" i="17" a="1"/>
  <c r="O187" i="17" s="1"/>
  <c r="O217" i="17" a="1"/>
  <c r="O217" i="17" s="1"/>
  <c r="O247" i="17" a="1"/>
  <c r="O247" i="17" s="1"/>
  <c r="O277" i="17" a="1"/>
  <c r="O277" i="17" s="1"/>
  <c r="O307" i="17" a="1"/>
  <c r="O307" i="17" s="1"/>
  <c r="O362" i="17" a="1"/>
  <c r="O362" i="17" s="1"/>
  <c r="O363" i="17" a="1"/>
  <c r="O363" i="17" s="1"/>
  <c r="O364" i="17" a="1"/>
  <c r="O364" i="17" s="1"/>
  <c r="O365" i="17" a="1"/>
  <c r="O365" i="17" s="1"/>
  <c r="O366" i="17" a="1"/>
  <c r="O366" i="17" s="1"/>
  <c r="O367" i="17" a="1"/>
  <c r="O367" i="17" s="1"/>
  <c r="O8" i="17" a="1"/>
  <c r="O8" i="17" s="1"/>
  <c r="O38" i="17" a="1"/>
  <c r="O38" i="17" s="1"/>
  <c r="O68" i="17" a="1"/>
  <c r="O68" i="17" s="1"/>
  <c r="O98" i="17" a="1"/>
  <c r="O98" i="17" s="1"/>
  <c r="O128" i="17" a="1"/>
  <c r="O128" i="17" s="1"/>
  <c r="O158" i="17" a="1"/>
  <c r="O158" i="17"/>
  <c r="O188" i="17" a="1"/>
  <c r="O188" i="17" s="1"/>
  <c r="O218" i="17" a="1"/>
  <c r="O218" i="17" s="1"/>
  <c r="O248" i="17" a="1"/>
  <c r="O248" i="17" s="1"/>
  <c r="O278" i="17" a="1"/>
  <c r="O278" i="17" s="1"/>
  <c r="O308" i="17" a="1"/>
  <c r="O308" i="17" s="1"/>
  <c r="O368" i="17" a="1"/>
  <c r="O368" i="17" s="1"/>
  <c r="O369" i="17" a="1"/>
  <c r="O369" i="17" s="1"/>
  <c r="O370" i="17" a="1"/>
  <c r="O370" i="17" s="1"/>
  <c r="O371" i="17" a="1"/>
  <c r="O371" i="17" s="1"/>
  <c r="O372" i="17" a="1"/>
  <c r="O372" i="17" s="1"/>
  <c r="O373" i="17" a="1"/>
  <c r="O373" i="17" s="1"/>
  <c r="O9" i="17" a="1"/>
  <c r="O9" i="17" s="1"/>
  <c r="O39" i="17" a="1"/>
  <c r="O39" i="17" s="1"/>
  <c r="O69" i="17" a="1"/>
  <c r="O69" i="17" s="1"/>
  <c r="O99" i="17" a="1"/>
  <c r="O99" i="17" s="1"/>
  <c r="O129" i="17" a="1"/>
  <c r="O129" i="17"/>
  <c r="O159" i="17" a="1"/>
  <c r="O159" i="17" s="1"/>
  <c r="O189" i="17" a="1"/>
  <c r="O189" i="17" s="1"/>
  <c r="O219" i="17" a="1"/>
  <c r="O219" i="17" s="1"/>
  <c r="O249" i="17" a="1"/>
  <c r="O249" i="17" s="1"/>
  <c r="O279" i="17" a="1"/>
  <c r="O279" i="17" s="1"/>
  <c r="O309" i="17" a="1"/>
  <c r="O309" i="17" s="1"/>
  <c r="O374" i="17" a="1"/>
  <c r="O374" i="17" s="1"/>
  <c r="O375" i="17" a="1"/>
  <c r="O375" i="17" s="1"/>
  <c r="O376" i="17" a="1"/>
  <c r="O376" i="17"/>
  <c r="O377" i="17" a="1"/>
  <c r="O377" i="17" s="1"/>
  <c r="O378" i="17" a="1"/>
  <c r="O378" i="17" s="1"/>
  <c r="O379" i="17" a="1"/>
  <c r="O379" i="17" s="1"/>
  <c r="O10" i="17" a="1"/>
  <c r="O10" i="17" s="1"/>
  <c r="O40" i="17" a="1"/>
  <c r="O40" i="17" s="1"/>
  <c r="O70" i="17" a="1"/>
  <c r="O70" i="17" s="1"/>
  <c r="O100" i="17" a="1"/>
  <c r="O100" i="17" s="1"/>
  <c r="O130" i="17" a="1"/>
  <c r="O130" i="17" s="1"/>
  <c r="O160" i="17" a="1"/>
  <c r="O160" i="17" s="1"/>
  <c r="O190" i="17" a="1"/>
  <c r="O190" i="17" s="1"/>
  <c r="O220" i="17" a="1"/>
  <c r="O220" i="17"/>
  <c r="O250" i="17" a="1"/>
  <c r="O250" i="17" s="1"/>
  <c r="O280" i="17" a="1"/>
  <c r="O280" i="17" s="1"/>
  <c r="O310" i="17" a="1"/>
  <c r="O310" i="17"/>
  <c r="O380" i="17" a="1"/>
  <c r="O380" i="17" s="1"/>
  <c r="O381" i="17" a="1"/>
  <c r="O381" i="17" s="1"/>
  <c r="O382" i="17" a="1"/>
  <c r="O382" i="17" s="1"/>
  <c r="O383" i="17" a="1"/>
  <c r="O383" i="17" s="1"/>
  <c r="O384" i="17" a="1"/>
  <c r="O384" i="17" s="1"/>
  <c r="O385" i="17" a="1"/>
  <c r="O385" i="17" s="1"/>
  <c r="O11" i="17" a="1"/>
  <c r="O11" i="17" s="1"/>
  <c r="O41" i="17" a="1"/>
  <c r="O41" i="17" s="1"/>
  <c r="O71" i="17" a="1"/>
  <c r="O71" i="17" s="1"/>
  <c r="O101" i="17" a="1"/>
  <c r="O101" i="17"/>
  <c r="O131" i="17" a="1"/>
  <c r="O131" i="17"/>
  <c r="O161" i="17" a="1"/>
  <c r="O161" i="17" s="1"/>
  <c r="O191" i="17" a="1"/>
  <c r="O191" i="17" s="1"/>
  <c r="O221" i="17" a="1"/>
  <c r="O221" i="17" s="1"/>
  <c r="O251" i="17" a="1"/>
  <c r="O251" i="17" s="1"/>
  <c r="O281" i="17" a="1"/>
  <c r="O281" i="17" s="1"/>
  <c r="O311" i="17" a="1"/>
  <c r="O311" i="17" s="1"/>
  <c r="O386" i="17" a="1"/>
  <c r="O386" i="17" s="1"/>
  <c r="O387" i="17" a="1"/>
  <c r="O387" i="17" s="1"/>
  <c r="O388" i="17" a="1"/>
  <c r="O388" i="17" s="1"/>
  <c r="O389" i="17" a="1"/>
  <c r="O389" i="17"/>
  <c r="O390" i="17" a="1"/>
  <c r="O390" i="17" s="1"/>
  <c r="O391" i="17" a="1"/>
  <c r="O391" i="17" s="1"/>
  <c r="O12" i="17" a="1"/>
  <c r="O12" i="17" s="1"/>
  <c r="O42" i="17" a="1"/>
  <c r="O42" i="17"/>
  <c r="O72" i="17" a="1"/>
  <c r="O72" i="17" s="1"/>
  <c r="O102" i="17" a="1"/>
  <c r="O102" i="17" s="1"/>
  <c r="O132" i="17" a="1"/>
  <c r="O132" i="17" s="1"/>
  <c r="O162" i="17" a="1"/>
  <c r="O162" i="17" s="1"/>
  <c r="O192" i="17" a="1"/>
  <c r="O192" i="17" s="1"/>
  <c r="O222" i="17" a="1"/>
  <c r="O222" i="17" s="1"/>
  <c r="O252" i="17" a="1"/>
  <c r="O252" i="17" s="1"/>
  <c r="O282" i="17" a="1"/>
  <c r="O282" i="17" s="1"/>
  <c r="O312" i="17" a="1"/>
  <c r="O312" i="17" s="1"/>
  <c r="O392" i="17" a="1"/>
  <c r="O392" i="17"/>
  <c r="O393" i="17" a="1"/>
  <c r="O393" i="17" s="1"/>
  <c r="O394" i="17" a="1"/>
  <c r="O394" i="17" s="1"/>
  <c r="O395" i="17" a="1"/>
  <c r="O395" i="17" s="1"/>
  <c r="O396" i="17" a="1"/>
  <c r="O396" i="17" s="1"/>
  <c r="O397" i="17" a="1"/>
  <c r="O397" i="17" s="1"/>
  <c r="O13" i="17" a="1"/>
  <c r="O13" i="17" s="1"/>
  <c r="O43" i="17" a="1"/>
  <c r="O43" i="17" s="1"/>
  <c r="O73" i="17" a="1"/>
  <c r="O73" i="17" s="1"/>
  <c r="O103" i="17" a="1"/>
  <c r="O103" i="17" s="1"/>
  <c r="O133" i="17" a="1"/>
  <c r="O133" i="17" s="1"/>
  <c r="O163" i="17" a="1"/>
  <c r="O163" i="17" s="1"/>
  <c r="O193" i="17" a="1"/>
  <c r="O193" i="17"/>
  <c r="O223" i="17" a="1"/>
  <c r="O223" i="17" s="1"/>
  <c r="O253" i="17" a="1"/>
  <c r="O253" i="17" s="1"/>
  <c r="O283" i="17" a="1"/>
  <c r="O283" i="17" s="1"/>
  <c r="O313" i="17" a="1"/>
  <c r="O313" i="17" s="1"/>
  <c r="O398" i="17" a="1"/>
  <c r="O398" i="17" s="1"/>
  <c r="O399" i="17" a="1"/>
  <c r="O399" i="17" s="1"/>
  <c r="O400" i="17" a="1"/>
  <c r="O400" i="17" s="1"/>
  <c r="O401" i="17" a="1"/>
  <c r="O401" i="17" s="1"/>
  <c r="O402" i="17" a="1"/>
  <c r="O402" i="17" s="1"/>
  <c r="O403" i="17" a="1"/>
  <c r="O403" i="17" s="1"/>
  <c r="O14" i="17" a="1"/>
  <c r="O14" i="17" s="1"/>
  <c r="O44" i="17" a="1"/>
  <c r="O44" i="17" s="1"/>
  <c r="O74" i="17" a="1"/>
  <c r="O74" i="17"/>
  <c r="O104" i="17" a="1"/>
  <c r="O104" i="17" s="1"/>
  <c r="O134" i="17" a="1"/>
  <c r="O134" i="17" s="1"/>
  <c r="O164" i="17" a="1"/>
  <c r="O164" i="17" s="1"/>
  <c r="O194" i="17" a="1"/>
  <c r="O194" i="17" s="1"/>
  <c r="O224" i="17" a="1"/>
  <c r="O224" i="17" s="1"/>
  <c r="O254" i="17" a="1"/>
  <c r="O254" i="17" s="1"/>
  <c r="O284" i="17" a="1"/>
  <c r="O284" i="17" s="1"/>
  <c r="O314" i="17" a="1"/>
  <c r="O314" i="17" s="1"/>
  <c r="O404" i="17" a="1"/>
  <c r="O404" i="17"/>
  <c r="O405" i="17" a="1"/>
  <c r="O405" i="17" s="1"/>
  <c r="O406" i="17" a="1"/>
  <c r="O406" i="17" s="1"/>
  <c r="O407" i="17" a="1"/>
  <c r="O407" i="17" s="1"/>
  <c r="O408" i="17" a="1"/>
  <c r="O408" i="17" s="1"/>
  <c r="O409" i="17" a="1"/>
  <c r="O409" i="17" s="1"/>
  <c r="O15" i="17" a="1"/>
  <c r="O15" i="17" s="1"/>
  <c r="O45" i="17" a="1"/>
  <c r="O45" i="17" s="1"/>
  <c r="O75" i="17" a="1"/>
  <c r="O75" i="17" s="1"/>
  <c r="O105" i="17" a="1"/>
  <c r="O105" i="17" s="1"/>
  <c r="O135" i="17" a="1"/>
  <c r="O135" i="17" s="1"/>
  <c r="O165" i="17" a="1"/>
  <c r="O165" i="17" s="1"/>
  <c r="O195" i="17" a="1"/>
  <c r="O195" i="17" s="1"/>
  <c r="O225" i="17" a="1"/>
  <c r="O225" i="17" s="1"/>
  <c r="O255" i="17" a="1"/>
  <c r="O255" i="17" s="1"/>
  <c r="O285" i="17" a="1"/>
  <c r="O285" i="17" s="1"/>
  <c r="O315" i="17" a="1"/>
  <c r="O315" i="17" s="1"/>
  <c r="O410" i="17" a="1"/>
  <c r="O410" i="17"/>
  <c r="O411" i="17" a="1"/>
  <c r="O411" i="17" s="1"/>
  <c r="O412" i="17" a="1"/>
  <c r="O412" i="17" s="1"/>
  <c r="O413" i="17" a="1"/>
  <c r="O413" i="17" s="1"/>
  <c r="O414" i="17" a="1"/>
  <c r="O414" i="17"/>
  <c r="O415" i="17" a="1"/>
  <c r="O415" i="17" s="1"/>
  <c r="O16" i="17" a="1"/>
  <c r="O16" i="17" s="1"/>
  <c r="O46" i="17" a="1"/>
  <c r="O46" i="17" s="1"/>
  <c r="O76" i="17" a="1"/>
  <c r="O76" i="17" s="1"/>
  <c r="O106" i="17" a="1"/>
  <c r="O106" i="17" s="1"/>
  <c r="O136" i="17" a="1"/>
  <c r="O136" i="17" s="1"/>
  <c r="O166" i="17" a="1"/>
  <c r="O166" i="17" s="1"/>
  <c r="O196" i="17" a="1"/>
  <c r="O196" i="17"/>
  <c r="O226" i="17" a="1"/>
  <c r="O226" i="17" s="1"/>
  <c r="O256" i="17" a="1"/>
  <c r="O256" i="17" s="1"/>
  <c r="O286" i="17" a="1"/>
  <c r="O286" i="17" s="1"/>
  <c r="O316" i="17" a="1"/>
  <c r="O316" i="17" s="1"/>
  <c r="O416" i="17" a="1"/>
  <c r="O416" i="17" s="1"/>
  <c r="O417" i="17" a="1"/>
  <c r="O417" i="17" s="1"/>
  <c r="O418" i="17" a="1"/>
  <c r="O418" i="17" s="1"/>
  <c r="O419" i="17" a="1"/>
  <c r="O419" i="17" s="1"/>
  <c r="O420" i="17" a="1"/>
  <c r="O420" i="17" s="1"/>
  <c r="O421" i="17" a="1"/>
  <c r="O421" i="17" s="1"/>
  <c r="O17" i="17" a="1"/>
  <c r="O17" i="17" s="1"/>
  <c r="O47" i="17" a="1"/>
  <c r="O47" i="17" s="1"/>
  <c r="O77" i="17" a="1"/>
  <c r="O77" i="17" s="1"/>
  <c r="O107" i="17" a="1"/>
  <c r="O107" i="17" s="1"/>
  <c r="O137" i="17" a="1"/>
  <c r="O137" i="17" s="1"/>
  <c r="O167" i="17" a="1"/>
  <c r="O167" i="17" s="1"/>
  <c r="O197" i="17" a="1"/>
  <c r="O197" i="17" s="1"/>
  <c r="O227" i="17" a="1"/>
  <c r="O227" i="17" s="1"/>
  <c r="O257" i="17" a="1"/>
  <c r="O257" i="17" s="1"/>
  <c r="O287" i="17" a="1"/>
  <c r="O287" i="17" s="1"/>
  <c r="O317" i="17" a="1"/>
  <c r="O317" i="17" s="1"/>
  <c r="O422" i="17" a="1"/>
  <c r="O422" i="17" s="1"/>
  <c r="O423" i="17" a="1"/>
  <c r="O423" i="17" s="1"/>
  <c r="O424" i="17" a="1"/>
  <c r="O424" i="17" s="1"/>
  <c r="O425" i="17" a="1"/>
  <c r="O425" i="17" s="1"/>
  <c r="O426" i="17" a="1"/>
  <c r="O426" i="17" s="1"/>
  <c r="O427" i="17" a="1"/>
  <c r="O427" i="17" s="1"/>
  <c r="O18" i="17" a="1"/>
  <c r="O18" i="17" s="1"/>
  <c r="O48" i="17" a="1"/>
  <c r="O48" i="17"/>
  <c r="O78" i="17" a="1"/>
  <c r="O78" i="17" s="1"/>
  <c r="O108" i="17" a="1"/>
  <c r="O108" i="17" s="1"/>
  <c r="O138" i="17" a="1"/>
  <c r="O138" i="17" s="1"/>
  <c r="O168" i="17" a="1"/>
  <c r="O168" i="17" s="1"/>
  <c r="O198" i="17" a="1"/>
  <c r="O198" i="17"/>
  <c r="O228" i="17" a="1"/>
  <c r="O228" i="17" s="1"/>
  <c r="O258" i="17" a="1"/>
  <c r="O258" i="17" s="1"/>
  <c r="O288" i="17" a="1"/>
  <c r="O288" i="17" s="1"/>
  <c r="O318" i="17" a="1"/>
  <c r="O318" i="17" s="1"/>
  <c r="O428" i="17" a="1"/>
  <c r="O428" i="17" s="1"/>
  <c r="O429" i="17" a="1"/>
  <c r="O429" i="17" s="1"/>
  <c r="O430" i="17" a="1"/>
  <c r="O430" i="17" s="1"/>
  <c r="O431" i="17" a="1"/>
  <c r="O431" i="17" s="1"/>
  <c r="O432" i="17" a="1"/>
  <c r="O432" i="17" s="1"/>
  <c r="O433" i="17" a="1"/>
  <c r="O433" i="17" s="1"/>
  <c r="O19" i="17" a="1"/>
  <c r="O19" i="17" s="1"/>
  <c r="O49" i="17" a="1"/>
  <c r="O49" i="17" s="1"/>
  <c r="O79" i="17" a="1"/>
  <c r="O79" i="17" s="1"/>
  <c r="O109" i="17" a="1"/>
  <c r="O109" i="17" s="1"/>
  <c r="O139" i="17" a="1"/>
  <c r="O139" i="17" s="1"/>
  <c r="O169" i="17" a="1"/>
  <c r="O169" i="17" s="1"/>
  <c r="O199" i="17" a="1"/>
  <c r="O199" i="17" s="1"/>
  <c r="O229" i="17" a="1"/>
  <c r="O229" i="17" s="1"/>
  <c r="O259" i="17" a="1"/>
  <c r="O259" i="17" s="1"/>
  <c r="O289" i="17" a="1"/>
  <c r="O289" i="17" s="1"/>
  <c r="O319" i="17" a="1"/>
  <c r="O319" i="17"/>
  <c r="O434" i="17" a="1"/>
  <c r="O434" i="17" s="1"/>
  <c r="O435" i="17" a="1"/>
  <c r="O435" i="17" s="1"/>
  <c r="O436" i="17" a="1"/>
  <c r="O436" i="17" s="1"/>
  <c r="O437" i="17" a="1"/>
  <c r="O437" i="17"/>
  <c r="O438" i="17" a="1"/>
  <c r="O438" i="17" s="1"/>
  <c r="O439" i="17" a="1"/>
  <c r="O439" i="17" s="1"/>
  <c r="O20" i="17" a="1"/>
  <c r="O20" i="17" s="1"/>
  <c r="O50" i="17" a="1"/>
  <c r="O50" i="17" s="1"/>
  <c r="O80" i="17" a="1"/>
  <c r="O80" i="17"/>
  <c r="O110" i="17" a="1"/>
  <c r="O110" i="17" s="1"/>
  <c r="O140" i="17" a="1"/>
  <c r="O140" i="17" s="1"/>
  <c r="O170" i="17" a="1"/>
  <c r="O170" i="17" s="1"/>
  <c r="O200" i="17" a="1"/>
  <c r="O200" i="17" s="1"/>
  <c r="O230" i="17" a="1"/>
  <c r="O230" i="17" s="1"/>
  <c r="O260" i="17" a="1"/>
  <c r="O260" i="17" s="1"/>
  <c r="O290" i="17" a="1"/>
  <c r="O290" i="17" s="1"/>
  <c r="O320" i="17" a="1"/>
  <c r="O320" i="17"/>
  <c r="O440" i="17" a="1"/>
  <c r="O440" i="17" s="1"/>
  <c r="O441" i="17" a="1"/>
  <c r="O441" i="17" s="1"/>
  <c r="O442" i="17" a="1"/>
  <c r="O442" i="17" s="1"/>
  <c r="O443" i="17" a="1"/>
  <c r="O443" i="17" s="1"/>
  <c r="O444" i="17" a="1"/>
  <c r="O444" i="17"/>
  <c r="O445" i="17" a="1"/>
  <c r="O445" i="17" s="1"/>
  <c r="O21" i="17" a="1"/>
  <c r="O21" i="17" s="1"/>
  <c r="O51" i="17" a="1"/>
  <c r="O51" i="17" s="1"/>
  <c r="O81" i="17" a="1"/>
  <c r="O81" i="17" s="1"/>
  <c r="O111" i="17" a="1"/>
  <c r="O111" i="17" s="1"/>
  <c r="O141" i="17" a="1"/>
  <c r="O141" i="17" s="1"/>
  <c r="O171" i="17" a="1"/>
  <c r="O171" i="17" s="1"/>
  <c r="O201" i="17" a="1"/>
  <c r="O201" i="17" s="1"/>
  <c r="O231" i="17" a="1"/>
  <c r="O231" i="17" s="1"/>
  <c r="O261" i="17" a="1"/>
  <c r="O261" i="17" s="1"/>
  <c r="O291" i="17" a="1"/>
  <c r="O291" i="17" s="1"/>
  <c r="O321" i="17" a="1"/>
  <c r="O321" i="17"/>
  <c r="O446" i="17" a="1"/>
  <c r="O446" i="17" s="1"/>
  <c r="O447" i="17" a="1"/>
  <c r="O447" i="17" s="1"/>
  <c r="O448" i="17" a="1"/>
  <c r="O448" i="17" s="1"/>
  <c r="O449" i="17" a="1"/>
  <c r="O449" i="17" s="1"/>
  <c r="O450" i="17" a="1"/>
  <c r="O450" i="17" s="1"/>
  <c r="O451" i="17" a="1"/>
  <c r="O451" i="17" s="1"/>
  <c r="O22" i="17" a="1"/>
  <c r="O22" i="17" s="1"/>
  <c r="O52" i="17" a="1"/>
  <c r="O52" i="17" s="1"/>
  <c r="O82" i="17" a="1"/>
  <c r="O82" i="17" s="1"/>
  <c r="O112" i="17" a="1"/>
  <c r="O112" i="17" s="1"/>
  <c r="O142" i="17" a="1"/>
  <c r="O142" i="17" s="1"/>
  <c r="O172" i="17" a="1"/>
  <c r="O172" i="17" s="1"/>
  <c r="O202" i="17" a="1"/>
  <c r="O202" i="17" s="1"/>
  <c r="O232" i="17" a="1"/>
  <c r="O232" i="17" s="1"/>
  <c r="O262" i="17" a="1"/>
  <c r="O262" i="17" s="1"/>
  <c r="O292" i="17" a="1"/>
  <c r="O292" i="17" s="1"/>
  <c r="O322" i="17" a="1"/>
  <c r="O322" i="17" s="1"/>
  <c r="O452" i="17" a="1"/>
  <c r="O452" i="17" s="1"/>
  <c r="O453" i="17" a="1"/>
  <c r="O453" i="17" s="1"/>
  <c r="O454" i="17" a="1"/>
  <c r="O454" i="17" s="1"/>
  <c r="O455" i="17" a="1"/>
  <c r="O455" i="17" s="1"/>
  <c r="O456" i="17" a="1"/>
  <c r="O456" i="17" s="1"/>
  <c r="O457" i="17" a="1"/>
  <c r="O457" i="17" s="1"/>
  <c r="O23" i="17" a="1"/>
  <c r="O23" i="17" s="1"/>
  <c r="O53" i="17" a="1"/>
  <c r="O53" i="17"/>
  <c r="O83" i="17" a="1"/>
  <c r="O83" i="17" s="1"/>
  <c r="O113" i="17" a="1"/>
  <c r="O113" i="17" s="1"/>
  <c r="O143" i="17" a="1"/>
  <c r="O143" i="17" s="1"/>
  <c r="O173" i="17" a="1"/>
  <c r="O173" i="17"/>
  <c r="O203" i="17" a="1"/>
  <c r="O203" i="17" s="1"/>
  <c r="O233" i="17" a="1"/>
  <c r="O233" i="17" s="1"/>
  <c r="O263" i="17" a="1"/>
  <c r="O263" i="17" s="1"/>
  <c r="O293" i="17" a="1"/>
  <c r="O293" i="17" s="1"/>
  <c r="O323" i="17" a="1"/>
  <c r="O323" i="17" s="1"/>
  <c r="O458" i="17" a="1"/>
  <c r="O458" i="17" s="1"/>
  <c r="O459" i="17" a="1"/>
  <c r="O459" i="17" s="1"/>
  <c r="O460" i="17" a="1"/>
  <c r="O460" i="17" s="1"/>
  <c r="O461" i="17" a="1"/>
  <c r="O461" i="17" s="1"/>
  <c r="O462" i="17" a="1"/>
  <c r="O462" i="17" s="1"/>
  <c r="O463" i="17" a="1"/>
  <c r="O463" i="17" s="1"/>
  <c r="O24" i="17" a="1"/>
  <c r="O24" i="17" s="1"/>
  <c r="O54" i="17" a="1"/>
  <c r="O54" i="17"/>
  <c r="O84" i="17" a="1"/>
  <c r="O84" i="17" s="1"/>
  <c r="O114" i="17" a="1"/>
  <c r="O114" i="17" s="1"/>
  <c r="O144" i="17" a="1"/>
  <c r="O144" i="17" s="1"/>
  <c r="O174" i="17" a="1"/>
  <c r="O174" i="17" s="1"/>
  <c r="O204" i="17" a="1"/>
  <c r="O204" i="17" s="1"/>
  <c r="O234" i="17" a="1"/>
  <c r="O234" i="17" s="1"/>
  <c r="O264" i="17" a="1"/>
  <c r="O264" i="17" s="1"/>
  <c r="O294" i="17" a="1"/>
  <c r="O294" i="17" s="1"/>
  <c r="O324" i="17" a="1"/>
  <c r="O324" i="17" s="1"/>
  <c r="O464" i="17" a="1"/>
  <c r="O464" i="17" s="1"/>
  <c r="O465" i="17" a="1"/>
  <c r="O465" i="17" s="1"/>
  <c r="O466" i="17" a="1"/>
  <c r="O466" i="17" s="1"/>
  <c r="O467" i="17" a="1"/>
  <c r="O467" i="17" s="1"/>
  <c r="O468" i="17" a="1"/>
  <c r="O468" i="17" s="1"/>
  <c r="O469" i="17" a="1"/>
  <c r="O469" i="17" s="1"/>
  <c r="O25" i="17" a="1"/>
  <c r="O25" i="17" s="1"/>
  <c r="O55" i="17" a="1"/>
  <c r="O55" i="17"/>
  <c r="O85" i="17" a="1"/>
  <c r="O85" i="17" s="1"/>
  <c r="O115" i="17" a="1"/>
  <c r="O115" i="17" s="1"/>
  <c r="O145" i="17" a="1"/>
  <c r="O145" i="17" s="1"/>
  <c r="O175" i="17" a="1"/>
  <c r="O175" i="17" s="1"/>
  <c r="O205" i="17" a="1"/>
  <c r="O205" i="17" s="1"/>
  <c r="O235" i="17" a="1"/>
  <c r="O235" i="17" s="1"/>
  <c r="O265" i="17" a="1"/>
  <c r="O265" i="17" s="1"/>
  <c r="O295" i="17" a="1"/>
  <c r="O295" i="17" s="1"/>
  <c r="O325" i="17" a="1"/>
  <c r="O325" i="17" s="1"/>
  <c r="O470" i="17" a="1"/>
  <c r="O470" i="17" s="1"/>
  <c r="O471" i="17" a="1"/>
  <c r="O471" i="17" s="1"/>
  <c r="O472" i="17" a="1"/>
  <c r="O472" i="17" s="1"/>
  <c r="O473" i="17" a="1"/>
  <c r="O473" i="17" s="1"/>
  <c r="O474" i="17" a="1"/>
  <c r="O474" i="17"/>
  <c r="O475" i="17" a="1"/>
  <c r="O475" i="17" s="1"/>
  <c r="O26" i="17" a="1"/>
  <c r="O26" i="17" s="1"/>
  <c r="O56" i="17" a="1"/>
  <c r="O56" i="17" s="1"/>
  <c r="O86" i="17" a="1"/>
  <c r="O86" i="17" s="1"/>
  <c r="O116" i="17" a="1"/>
  <c r="O116" i="17" s="1"/>
  <c r="O146" i="17" a="1"/>
  <c r="O146" i="17" s="1"/>
  <c r="O176" i="17" a="1"/>
  <c r="O176" i="17" s="1"/>
  <c r="O206" i="17" a="1"/>
  <c r="O206" i="17" s="1"/>
  <c r="O236" i="17" a="1"/>
  <c r="O236" i="17" s="1"/>
  <c r="O266" i="17" a="1"/>
  <c r="O266" i="17" s="1"/>
  <c r="O296" i="17" a="1"/>
  <c r="O296" i="17" s="1"/>
  <c r="O326" i="17" a="1"/>
  <c r="O326" i="17" s="1"/>
  <c r="O476" i="17" a="1"/>
  <c r="O476" i="17" s="1"/>
  <c r="O477" i="17" a="1"/>
  <c r="O477" i="17" s="1"/>
  <c r="O478" i="17" a="1"/>
  <c r="O478" i="17" s="1"/>
  <c r="O479" i="17" a="1"/>
  <c r="O479" i="17" s="1"/>
  <c r="O480" i="17" a="1"/>
  <c r="O480" i="17" s="1"/>
  <c r="O481" i="17" a="1"/>
  <c r="O481" i="17" s="1"/>
  <c r="O27" i="17" a="1"/>
  <c r="O27" i="17" s="1"/>
  <c r="O57" i="17" a="1"/>
  <c r="O57" i="17" s="1"/>
  <c r="O87" i="17" a="1"/>
  <c r="O87" i="17" s="1"/>
  <c r="O117" i="17" a="1"/>
  <c r="O117" i="17" s="1"/>
  <c r="O147" i="17" a="1"/>
  <c r="O147" i="17" s="1"/>
  <c r="O177" i="17" a="1"/>
  <c r="O177" i="17" s="1"/>
  <c r="O207" i="17" a="1"/>
  <c r="O207" i="17" s="1"/>
  <c r="O237" i="17" a="1"/>
  <c r="O237" i="17" s="1"/>
  <c r="O267" i="17" a="1"/>
  <c r="O267" i="17" s="1"/>
  <c r="O297" i="17" a="1"/>
  <c r="O297" i="17" s="1"/>
  <c r="O327" i="17" a="1"/>
  <c r="O327" i="17" s="1"/>
  <c r="O482" i="17" a="1"/>
  <c r="O482" i="17" s="1"/>
  <c r="O483" i="17" a="1"/>
  <c r="O483" i="17" s="1"/>
  <c r="O484" i="17" a="1"/>
  <c r="O484" i="17" s="1"/>
  <c r="O485" i="17" a="1"/>
  <c r="O485" i="17"/>
  <c r="O486" i="17" a="1"/>
  <c r="O486" i="17" s="1"/>
  <c r="O487" i="17" a="1"/>
  <c r="O487" i="17" s="1"/>
  <c r="O28" i="17" a="1"/>
  <c r="O28" i="17" s="1"/>
  <c r="O58" i="17" a="1"/>
  <c r="O58" i="17" s="1"/>
  <c r="O88" i="17" a="1"/>
  <c r="O88" i="17" s="1"/>
  <c r="O118" i="17" a="1"/>
  <c r="O118" i="17" s="1"/>
  <c r="O148" i="17" a="1"/>
  <c r="O148" i="17" s="1"/>
  <c r="O178" i="17" a="1"/>
  <c r="O178" i="17"/>
  <c r="O208" i="17" a="1"/>
  <c r="O208" i="17" s="1"/>
  <c r="O238" i="17" a="1"/>
  <c r="O238" i="17" s="1"/>
  <c r="O268" i="17" a="1"/>
  <c r="O268" i="17" s="1"/>
  <c r="O298" i="17" a="1"/>
  <c r="O298" i="17" s="1"/>
  <c r="O328" i="17" a="1"/>
  <c r="O328" i="17" s="1"/>
  <c r="O488" i="17" a="1"/>
  <c r="O488" i="17" s="1"/>
  <c r="O489" i="17" a="1"/>
  <c r="O489" i="17" s="1"/>
  <c r="O490" i="17" a="1"/>
  <c r="O490" i="17" s="1"/>
  <c r="O491" i="17" a="1"/>
  <c r="O491" i="17" s="1"/>
  <c r="O492" i="17" a="1"/>
  <c r="O492" i="17" s="1"/>
  <c r="O493" i="17" a="1"/>
  <c r="O493" i="17" s="1"/>
  <c r="O29" i="17" a="1"/>
  <c r="O29" i="17" s="1"/>
  <c r="O59" i="17" a="1"/>
  <c r="O59" i="17" s="1"/>
  <c r="O89" i="17" a="1"/>
  <c r="O89" i="17" s="1"/>
  <c r="O119" i="17" a="1"/>
  <c r="O119" i="17" s="1"/>
  <c r="O149" i="17" a="1"/>
  <c r="O149" i="17"/>
  <c r="O179" i="17" a="1"/>
  <c r="O179" i="17" s="1"/>
  <c r="O209" i="17" a="1"/>
  <c r="O209" i="17"/>
  <c r="O239" i="17" a="1"/>
  <c r="O239" i="17" s="1"/>
  <c r="O269" i="17" a="1"/>
  <c r="O269" i="17" s="1"/>
  <c r="O299" i="17" a="1"/>
  <c r="O299" i="17" s="1"/>
  <c r="O329" i="17" a="1"/>
  <c r="O329" i="17" s="1"/>
  <c r="O494" i="17" a="1"/>
  <c r="O494" i="17" s="1"/>
  <c r="O495" i="17" a="1"/>
  <c r="O495" i="17" s="1"/>
  <c r="O496" i="17" a="1"/>
  <c r="O496" i="17"/>
  <c r="O497" i="17" a="1"/>
  <c r="O497" i="17" s="1"/>
  <c r="O498" i="17" a="1"/>
  <c r="O498" i="17" s="1"/>
  <c r="O499" i="17" a="1"/>
  <c r="O499" i="17" s="1"/>
  <c r="O30" i="17" a="1"/>
  <c r="O30" i="17" s="1"/>
  <c r="O60" i="17" a="1"/>
  <c r="O60" i="17"/>
  <c r="O90" i="17" a="1"/>
  <c r="O90" i="17" s="1"/>
  <c r="O120" i="17" a="1"/>
  <c r="O120" i="17" s="1"/>
  <c r="O150" i="17" a="1"/>
  <c r="O150" i="17" s="1"/>
  <c r="O180" i="17" a="1"/>
  <c r="O180" i="17"/>
  <c r="O210" i="17" a="1"/>
  <c r="O210" i="17" s="1"/>
  <c r="O240" i="17" a="1"/>
  <c r="O240" i="17" s="1"/>
  <c r="O270" i="17" a="1"/>
  <c r="O270" i="17" s="1"/>
  <c r="O300" i="17" a="1"/>
  <c r="O300" i="17" s="1"/>
  <c r="O330" i="17" a="1"/>
  <c r="O330" i="17" s="1"/>
  <c r="O500" i="17" a="1"/>
  <c r="O500" i="17" s="1"/>
  <c r="O501" i="17" a="1"/>
  <c r="O501" i="17" s="1"/>
  <c r="O502" i="17" a="1"/>
  <c r="O502" i="17" s="1"/>
  <c r="O503" i="17" a="1"/>
  <c r="O503" i="17" s="1"/>
  <c r="O504" i="17" a="1"/>
  <c r="O504" i="17" s="1"/>
  <c r="O505" i="17" a="1"/>
  <c r="O505" i="17" s="1"/>
  <c r="O31" i="17" a="1"/>
  <c r="O31" i="17" s="1"/>
  <c r="O61" i="17" a="1"/>
  <c r="O61" i="17"/>
  <c r="O91" i="17" a="1"/>
  <c r="O91" i="17" s="1"/>
  <c r="O121" i="17" a="1"/>
  <c r="O121" i="17" s="1"/>
  <c r="O151" i="17" a="1"/>
  <c r="O151" i="17" s="1"/>
  <c r="O181" i="17" a="1"/>
  <c r="O181" i="17" s="1"/>
  <c r="O211" i="17" a="1"/>
  <c r="O211" i="17" s="1"/>
  <c r="O241" i="17" a="1"/>
  <c r="O241" i="17"/>
  <c r="O271" i="17" a="1"/>
  <c r="O271" i="17" s="1"/>
  <c r="O301" i="17" a="1"/>
  <c r="O301" i="17" s="1"/>
  <c r="O331" i="17" a="1"/>
  <c r="O331" i="17" s="1"/>
  <c r="O506" i="17" a="1"/>
  <c r="O506" i="17" s="1"/>
  <c r="O507" i="17" a="1"/>
  <c r="O507" i="17" s="1"/>
  <c r="O508" i="17" a="1"/>
  <c r="O508" i="17" s="1"/>
  <c r="O509" i="17" a="1"/>
  <c r="O509" i="17" s="1"/>
  <c r="O510" i="17" a="1"/>
  <c r="O510" i="17" s="1"/>
  <c r="O511" i="17" a="1"/>
  <c r="O511" i="17" s="1"/>
  <c r="P2" i="17" a="1"/>
  <c r="P2" i="17"/>
  <c r="P32" i="17" a="1"/>
  <c r="P32" i="17" s="1"/>
  <c r="P62" i="17" a="1"/>
  <c r="P62" i="17" s="1"/>
  <c r="P92" i="17" a="1"/>
  <c r="P92" i="17"/>
  <c r="P122" i="17" a="1"/>
  <c r="P122" i="17" s="1"/>
  <c r="P152" i="17" a="1"/>
  <c r="P152" i="17" s="1"/>
  <c r="P182" i="17" a="1"/>
  <c r="P182" i="17" s="1"/>
  <c r="P212" i="17" a="1"/>
  <c r="P212" i="17" s="1"/>
  <c r="P242" i="17" a="1"/>
  <c r="P242" i="17" s="1"/>
  <c r="P272" i="17" a="1"/>
  <c r="P272" i="17" s="1"/>
  <c r="P302" i="17" a="1"/>
  <c r="P302" i="17" s="1"/>
  <c r="P332" i="17" a="1"/>
  <c r="P332" i="17" s="1"/>
  <c r="P333" i="17" a="1"/>
  <c r="P333" i="17" s="1"/>
  <c r="P334" i="17" a="1"/>
  <c r="P334" i="17"/>
  <c r="P335" i="17" a="1"/>
  <c r="P335" i="17" s="1"/>
  <c r="P336" i="17" a="1"/>
  <c r="P336" i="17" s="1"/>
  <c r="P337" i="17" a="1"/>
  <c r="P337" i="17" s="1"/>
  <c r="P3" i="17" a="1"/>
  <c r="P3" i="17" s="1"/>
  <c r="P33" i="17" a="1"/>
  <c r="P33" i="17" s="1"/>
  <c r="P63" i="17" a="1"/>
  <c r="P63" i="17" s="1"/>
  <c r="P93" i="17" a="1"/>
  <c r="P93" i="17" s="1"/>
  <c r="P123" i="17" a="1"/>
  <c r="P123" i="17" s="1"/>
  <c r="P153" i="17" a="1"/>
  <c r="P153" i="17" s="1"/>
  <c r="P183" i="17" a="1"/>
  <c r="P183" i="17"/>
  <c r="P213" i="17" a="1"/>
  <c r="P213" i="17" s="1"/>
  <c r="P243" i="17" a="1"/>
  <c r="P243" i="17" s="1"/>
  <c r="P273" i="17" a="1"/>
  <c r="P273" i="17" s="1"/>
  <c r="P303" i="17" a="1"/>
  <c r="P303" i="17" s="1"/>
  <c r="P338" i="17" a="1"/>
  <c r="P338" i="17" s="1"/>
  <c r="P339" i="17" a="1"/>
  <c r="P339" i="17" s="1"/>
  <c r="P340" i="17" a="1"/>
  <c r="P340" i="17" s="1"/>
  <c r="P341" i="17" a="1"/>
  <c r="P341" i="17"/>
  <c r="P342" i="17" a="1"/>
  <c r="P342" i="17" s="1"/>
  <c r="P343" i="17" a="1"/>
  <c r="P343" i="17" s="1"/>
  <c r="P4" i="17" a="1"/>
  <c r="P4" i="17" s="1"/>
  <c r="P34" i="17" a="1"/>
  <c r="P34" i="17" s="1"/>
  <c r="P64" i="17" a="1"/>
  <c r="P64" i="17" s="1"/>
  <c r="P94" i="17" a="1"/>
  <c r="P94" i="17" s="1"/>
  <c r="P124" i="17" a="1"/>
  <c r="P124" i="17" s="1"/>
  <c r="P154" i="17" a="1"/>
  <c r="P154" i="17" s="1"/>
  <c r="P184" i="17" a="1"/>
  <c r="P184" i="17" s="1"/>
  <c r="P214" i="17" a="1"/>
  <c r="P214" i="17" s="1"/>
  <c r="P244" i="17" a="1"/>
  <c r="P244" i="17" s="1"/>
  <c r="P274" i="17" a="1"/>
  <c r="P274" i="17" s="1"/>
  <c r="P304" i="17" a="1"/>
  <c r="P304" i="17" s="1"/>
  <c r="P344" i="17" a="1"/>
  <c r="P344" i="17" s="1"/>
  <c r="P345" i="17" a="1"/>
  <c r="P345" i="17" s="1"/>
  <c r="P346" i="17" a="1"/>
  <c r="P346" i="17" s="1"/>
  <c r="P347" i="17" a="1"/>
  <c r="P347" i="17" s="1"/>
  <c r="P348" i="17" a="1"/>
  <c r="P348" i="17" s="1"/>
  <c r="P349" i="17" a="1"/>
  <c r="P349" i="17" s="1"/>
  <c r="P5" i="17" a="1"/>
  <c r="P5" i="17" s="1"/>
  <c r="P35" i="17" a="1"/>
  <c r="P35" i="17" s="1"/>
  <c r="P65" i="17" a="1"/>
  <c r="P65" i="17" s="1"/>
  <c r="P95" i="17" a="1"/>
  <c r="P95" i="17" s="1"/>
  <c r="P125" i="17" a="1"/>
  <c r="P125" i="17" s="1"/>
  <c r="P155" i="17" a="1"/>
  <c r="P155" i="17"/>
  <c r="P185" i="17" a="1"/>
  <c r="P185" i="17" s="1"/>
  <c r="P215" i="17" a="1"/>
  <c r="P215" i="17" s="1"/>
  <c r="P245" i="17" a="1"/>
  <c r="P245" i="17"/>
  <c r="P275" i="17" a="1"/>
  <c r="P275" i="17" s="1"/>
  <c r="P305" i="17" a="1"/>
  <c r="P305" i="17" s="1"/>
  <c r="P350" i="17" a="1"/>
  <c r="P350" i="17" s="1"/>
  <c r="P351" i="17" a="1"/>
  <c r="P351" i="17" s="1"/>
  <c r="P352" i="17" a="1"/>
  <c r="P352" i="17" s="1"/>
  <c r="P353" i="17" a="1"/>
  <c r="P353" i="17" s="1"/>
  <c r="P354" i="17" a="1"/>
  <c r="P354" i="17" s="1"/>
  <c r="P355" i="17" a="1"/>
  <c r="P355" i="17" s="1"/>
  <c r="P6" i="17" a="1"/>
  <c r="P6" i="17" s="1"/>
  <c r="P36" i="17" a="1"/>
  <c r="P36" i="17" s="1"/>
  <c r="P66" i="17" a="1"/>
  <c r="P66" i="17" s="1"/>
  <c r="P96" i="17" a="1"/>
  <c r="P96" i="17" s="1"/>
  <c r="P126" i="17" a="1"/>
  <c r="P126" i="17" s="1"/>
  <c r="P156" i="17" a="1"/>
  <c r="P156" i="17" s="1"/>
  <c r="P186" i="17" a="1"/>
  <c r="P186" i="17" s="1"/>
  <c r="P216" i="17" a="1"/>
  <c r="P216" i="17" s="1"/>
  <c r="P246" i="17" a="1"/>
  <c r="P246" i="17" s="1"/>
  <c r="P276" i="17" a="1"/>
  <c r="P276" i="17" s="1"/>
  <c r="P306" i="17" a="1"/>
  <c r="P306" i="17" s="1"/>
  <c r="P356" i="17" a="1"/>
  <c r="P356" i="17" s="1"/>
  <c r="P357" i="17" a="1"/>
  <c r="P357" i="17" s="1"/>
  <c r="P358" i="17" a="1"/>
  <c r="P358" i="17" s="1"/>
  <c r="P359" i="17" a="1"/>
  <c r="P359" i="17" s="1"/>
  <c r="P360" i="17" a="1"/>
  <c r="P360" i="17" s="1"/>
  <c r="P361" i="17" a="1"/>
  <c r="P361" i="17" s="1"/>
  <c r="P7" i="17" a="1"/>
  <c r="P7" i="17" s="1"/>
  <c r="P37" i="17" a="1"/>
  <c r="P37" i="17" s="1"/>
  <c r="P67" i="17" a="1"/>
  <c r="P67" i="17" s="1"/>
  <c r="P97" i="17" a="1"/>
  <c r="P97" i="17" s="1"/>
  <c r="P127" i="17" a="1"/>
  <c r="P127" i="17" s="1"/>
  <c r="P157" i="17" a="1"/>
  <c r="P157" i="17" s="1"/>
  <c r="P187" i="17" a="1"/>
  <c r="P187" i="17" s="1"/>
  <c r="P217" i="17" a="1"/>
  <c r="P217" i="17" s="1"/>
  <c r="P247" i="17" a="1"/>
  <c r="P247" i="17" s="1"/>
  <c r="P277" i="17" a="1"/>
  <c r="P277" i="17" s="1"/>
  <c r="P307" i="17" a="1"/>
  <c r="P307" i="17" s="1"/>
  <c r="P362" i="17" a="1"/>
  <c r="P362" i="17" s="1"/>
  <c r="P363" i="17" a="1"/>
  <c r="P363" i="17" s="1"/>
  <c r="P364" i="17" a="1"/>
  <c r="P364" i="17" s="1"/>
  <c r="P365" i="17" a="1"/>
  <c r="P365" i="17" s="1"/>
  <c r="P366" i="17" a="1"/>
  <c r="P366" i="17" s="1"/>
  <c r="P367" i="17" a="1"/>
  <c r="P367" i="17" s="1"/>
  <c r="P8" i="17" a="1"/>
  <c r="P8" i="17" s="1"/>
  <c r="P38" i="17" a="1"/>
  <c r="P38" i="17" s="1"/>
  <c r="P68" i="17" a="1"/>
  <c r="P68" i="17" s="1"/>
  <c r="P98" i="17" a="1"/>
  <c r="P98" i="17" s="1"/>
  <c r="P128" i="17" a="1"/>
  <c r="P128" i="17" s="1"/>
  <c r="P158" i="17" a="1"/>
  <c r="P158" i="17" s="1"/>
  <c r="P188" i="17" a="1"/>
  <c r="P188" i="17" s="1"/>
  <c r="P218" i="17" a="1"/>
  <c r="P218" i="17" s="1"/>
  <c r="P248" i="17" a="1"/>
  <c r="P248" i="17"/>
  <c r="P278" i="17" a="1"/>
  <c r="P278" i="17" s="1"/>
  <c r="P308" i="17" a="1"/>
  <c r="P308" i="17" s="1"/>
  <c r="P368" i="17" a="1"/>
  <c r="P368" i="17" s="1"/>
  <c r="P369" i="17" a="1"/>
  <c r="P369" i="17" s="1"/>
  <c r="P370" i="17" a="1"/>
  <c r="P370" i="17" s="1"/>
  <c r="P371" i="17" a="1"/>
  <c r="P371" i="17" s="1"/>
  <c r="P372" i="17" a="1"/>
  <c r="P372" i="17" s="1"/>
  <c r="P373" i="17" a="1"/>
  <c r="P373" i="17" s="1"/>
  <c r="P9" i="17" a="1"/>
  <c r="P9" i="17" s="1"/>
  <c r="P39" i="17" a="1"/>
  <c r="P39" i="17" s="1"/>
  <c r="P69" i="17" a="1"/>
  <c r="P69" i="17" s="1"/>
  <c r="P99" i="17" a="1"/>
  <c r="P99" i="17" s="1"/>
  <c r="P129" i="17" a="1"/>
  <c r="P129" i="17" s="1"/>
  <c r="P159" i="17" a="1"/>
  <c r="P159" i="17" s="1"/>
  <c r="P189" i="17" a="1"/>
  <c r="P189" i="17" s="1"/>
  <c r="P219" i="17" a="1"/>
  <c r="P219" i="17" s="1"/>
  <c r="P249" i="17" a="1"/>
  <c r="P249" i="17" s="1"/>
  <c r="P279" i="17" a="1"/>
  <c r="P279" i="17" s="1"/>
  <c r="P309" i="17" a="1"/>
  <c r="P309" i="17" s="1"/>
  <c r="P374" i="17" a="1"/>
  <c r="P374" i="17" s="1"/>
  <c r="P375" i="17" a="1"/>
  <c r="P375" i="17" s="1"/>
  <c r="P376" i="17" a="1"/>
  <c r="P376" i="17"/>
  <c r="P377" i="17" a="1"/>
  <c r="P377" i="17" s="1"/>
  <c r="P378" i="17" a="1"/>
  <c r="P378" i="17" s="1"/>
  <c r="P379" i="17" a="1"/>
  <c r="P379" i="17" s="1"/>
  <c r="P10" i="17" a="1"/>
  <c r="P10" i="17" s="1"/>
  <c r="P40" i="17" a="1"/>
  <c r="P40" i="17" s="1"/>
  <c r="P70" i="17" a="1"/>
  <c r="P70" i="17" s="1"/>
  <c r="P100" i="17" a="1"/>
  <c r="P100" i="17" s="1"/>
  <c r="P130" i="17" a="1"/>
  <c r="P130" i="17" s="1"/>
  <c r="P160" i="17" a="1"/>
  <c r="P160" i="17" s="1"/>
  <c r="P190" i="17" a="1"/>
  <c r="P190" i="17" s="1"/>
  <c r="P220" i="17" a="1"/>
  <c r="P220" i="17" s="1"/>
  <c r="P250" i="17" a="1"/>
  <c r="P250" i="17" s="1"/>
  <c r="P280" i="17" a="1"/>
  <c r="P280" i="17" s="1"/>
  <c r="P310" i="17" a="1"/>
  <c r="P310" i="17" s="1"/>
  <c r="P380" i="17" a="1"/>
  <c r="P380" i="17" s="1"/>
  <c r="P381" i="17" a="1"/>
  <c r="P381" i="17" s="1"/>
  <c r="P382" i="17" a="1"/>
  <c r="P382" i="17" s="1"/>
  <c r="P383" i="17" a="1"/>
  <c r="P383" i="17" s="1"/>
  <c r="P384" i="17" a="1"/>
  <c r="P384" i="17" s="1"/>
  <c r="P385" i="17" a="1"/>
  <c r="P385" i="17" s="1"/>
  <c r="P11" i="17" a="1"/>
  <c r="P11" i="17" s="1"/>
  <c r="P41" i="17" a="1"/>
  <c r="P41" i="17" s="1"/>
  <c r="P71" i="17" a="1"/>
  <c r="P71" i="17" s="1"/>
  <c r="P101" i="17" a="1"/>
  <c r="P101" i="17" s="1"/>
  <c r="P131" i="17" a="1"/>
  <c r="P131" i="17" s="1"/>
  <c r="P161" i="17" a="1"/>
  <c r="P161" i="17" s="1"/>
  <c r="P191" i="17" a="1"/>
  <c r="P191" i="17" s="1"/>
  <c r="P221" i="17" a="1"/>
  <c r="P221" i="17" s="1"/>
  <c r="P251" i="17" a="1"/>
  <c r="P251" i="17" s="1"/>
  <c r="P281" i="17" a="1"/>
  <c r="P281" i="17" s="1"/>
  <c r="P311" i="17" a="1"/>
  <c r="P311" i="17" s="1"/>
  <c r="P386" i="17" a="1"/>
  <c r="P386" i="17" s="1"/>
  <c r="P387" i="17" a="1"/>
  <c r="P387" i="17" s="1"/>
  <c r="P388" i="17" a="1"/>
  <c r="P388" i="17" s="1"/>
  <c r="P389" i="17" a="1"/>
  <c r="P389" i="17" s="1"/>
  <c r="P390" i="17" a="1"/>
  <c r="P390" i="17" s="1"/>
  <c r="P391" i="17" a="1"/>
  <c r="P391" i="17" s="1"/>
  <c r="P12" i="17" a="1"/>
  <c r="P12" i="17" s="1"/>
  <c r="P42" i="17" a="1"/>
  <c r="P42" i="17" s="1"/>
  <c r="P72" i="17" a="1"/>
  <c r="P72" i="17" s="1"/>
  <c r="P102" i="17" a="1"/>
  <c r="P102" i="17" s="1"/>
  <c r="P132" i="17" a="1"/>
  <c r="P132" i="17"/>
  <c r="P162" i="17" a="1"/>
  <c r="P162" i="17" s="1"/>
  <c r="P192" i="17" a="1"/>
  <c r="P192" i="17" s="1"/>
  <c r="P222" i="17" a="1"/>
  <c r="P222" i="17" s="1"/>
  <c r="P252" i="17" a="1"/>
  <c r="P252" i="17" s="1"/>
  <c r="P282" i="17" a="1"/>
  <c r="P282" i="17"/>
  <c r="P312" i="17" a="1"/>
  <c r="P312" i="17" s="1"/>
  <c r="P392" i="17" a="1"/>
  <c r="P392" i="17"/>
  <c r="P393" i="17" a="1"/>
  <c r="P393" i="17" s="1"/>
  <c r="P394" i="17" a="1"/>
  <c r="P394" i="17"/>
  <c r="P395" i="17" a="1"/>
  <c r="P395" i="17" s="1"/>
  <c r="P396" i="17" a="1"/>
  <c r="P396" i="17" s="1"/>
  <c r="P397" i="17" a="1"/>
  <c r="P397" i="17" s="1"/>
  <c r="P13" i="17" a="1"/>
  <c r="P13" i="17"/>
  <c r="P43" i="17" a="1"/>
  <c r="P43" i="17" s="1"/>
  <c r="P73" i="17" a="1"/>
  <c r="P73" i="17" s="1"/>
  <c r="P103" i="17" a="1"/>
  <c r="P103" i="17" s="1"/>
  <c r="P133" i="17" a="1"/>
  <c r="P133" i="17" s="1"/>
  <c r="P163" i="17" a="1"/>
  <c r="P163" i="17" s="1"/>
  <c r="P193" i="17" a="1"/>
  <c r="P193" i="17" s="1"/>
  <c r="P223" i="17" a="1"/>
  <c r="P223" i="17" s="1"/>
  <c r="P253" i="17" a="1"/>
  <c r="P253" i="17" s="1"/>
  <c r="P283" i="17" a="1"/>
  <c r="P283" i="17" s="1"/>
  <c r="P313" i="17" a="1"/>
  <c r="P313" i="17" s="1"/>
  <c r="P398" i="17" a="1"/>
  <c r="P398" i="17" s="1"/>
  <c r="P399" i="17" a="1"/>
  <c r="P399" i="17" s="1"/>
  <c r="P400" i="17" a="1"/>
  <c r="P400" i="17" s="1"/>
  <c r="P401" i="17" a="1"/>
  <c r="P401" i="17" s="1"/>
  <c r="P402" i="17" a="1"/>
  <c r="P402" i="17" s="1"/>
  <c r="P403" i="17" a="1"/>
  <c r="P403" i="17" s="1"/>
  <c r="P14" i="17" a="1"/>
  <c r="P14" i="17" s="1"/>
  <c r="P44" i="17" a="1"/>
  <c r="P44" i="17" s="1"/>
  <c r="P74" i="17" a="1"/>
  <c r="P74" i="17" s="1"/>
  <c r="P104" i="17" a="1"/>
  <c r="P104" i="17" s="1"/>
  <c r="P134" i="17" a="1"/>
  <c r="P134" i="17" s="1"/>
  <c r="P164" i="17" a="1"/>
  <c r="P164" i="17" s="1"/>
  <c r="P194" i="17" a="1"/>
  <c r="P194" i="17"/>
  <c r="P224" i="17" a="1"/>
  <c r="P224" i="17" s="1"/>
  <c r="P254" i="17" a="1"/>
  <c r="P254" i="17" s="1"/>
  <c r="P284" i="17" a="1"/>
  <c r="P284" i="17"/>
  <c r="P314" i="17" a="1"/>
  <c r="P314" i="17" s="1"/>
  <c r="P404" i="17" a="1"/>
  <c r="P404" i="17" s="1"/>
  <c r="P405" i="17" a="1"/>
  <c r="P405" i="17" s="1"/>
  <c r="P406" i="17" a="1"/>
  <c r="P406" i="17" s="1"/>
  <c r="P407" i="17" a="1"/>
  <c r="P407" i="17" s="1"/>
  <c r="P408" i="17" a="1"/>
  <c r="P408" i="17" s="1"/>
  <c r="P409" i="17" a="1"/>
  <c r="P409" i="17" s="1"/>
  <c r="P15" i="17" a="1"/>
  <c r="P15" i="17" s="1"/>
  <c r="P45" i="17" a="1"/>
  <c r="P45" i="17" s="1"/>
  <c r="P75" i="17" a="1"/>
  <c r="P75" i="17" s="1"/>
  <c r="P105" i="17" a="1"/>
  <c r="P105" i="17" s="1"/>
  <c r="P135" i="17" a="1"/>
  <c r="P135" i="17" s="1"/>
  <c r="P165" i="17" a="1"/>
  <c r="P165" i="17" s="1"/>
  <c r="P195" i="17" a="1"/>
  <c r="P195" i="17" s="1"/>
  <c r="P225" i="17" a="1"/>
  <c r="P225" i="17" s="1"/>
  <c r="P255" i="17" a="1"/>
  <c r="P255" i="17" s="1"/>
  <c r="P285" i="17" a="1"/>
  <c r="P285" i="17" s="1"/>
  <c r="P315" i="17" a="1"/>
  <c r="P315" i="17" s="1"/>
  <c r="P410" i="17" a="1"/>
  <c r="P410" i="17" s="1"/>
  <c r="P411" i="17" a="1"/>
  <c r="P411" i="17" s="1"/>
  <c r="P412" i="17" a="1"/>
  <c r="P412" i="17" s="1"/>
  <c r="P413" i="17" a="1"/>
  <c r="P413" i="17" s="1"/>
  <c r="P414" i="17" a="1"/>
  <c r="P414" i="17" s="1"/>
  <c r="P415" i="17" a="1"/>
  <c r="P415" i="17" s="1"/>
  <c r="P16" i="17" a="1"/>
  <c r="P16" i="17" s="1"/>
  <c r="P46" i="17" a="1"/>
  <c r="P46" i="17" s="1"/>
  <c r="P76" i="17" a="1"/>
  <c r="P76" i="17" s="1"/>
  <c r="P106" i="17" a="1"/>
  <c r="P106" i="17" s="1"/>
  <c r="P136" i="17" a="1"/>
  <c r="P136" i="17" s="1"/>
  <c r="P166" i="17" a="1"/>
  <c r="P166" i="17"/>
  <c r="P196" i="17" a="1"/>
  <c r="P196" i="17" s="1"/>
  <c r="P226" i="17" a="1"/>
  <c r="P226" i="17" s="1"/>
  <c r="P256" i="17" a="1"/>
  <c r="P256" i="17" s="1"/>
  <c r="P286" i="17" a="1"/>
  <c r="P286" i="17" s="1"/>
  <c r="P316" i="17" a="1"/>
  <c r="P316" i="17" s="1"/>
  <c r="P416" i="17" a="1"/>
  <c r="P416" i="17" s="1"/>
  <c r="P417" i="17" a="1"/>
  <c r="P417" i="17" s="1"/>
  <c r="P418" i="17" a="1"/>
  <c r="P418" i="17" s="1"/>
  <c r="P419" i="17" a="1"/>
  <c r="P419" i="17" s="1"/>
  <c r="P420" i="17" a="1"/>
  <c r="P420" i="17" s="1"/>
  <c r="P421" i="17" a="1"/>
  <c r="P421" i="17" s="1"/>
  <c r="P17" i="17" a="1"/>
  <c r="P17" i="17" s="1"/>
  <c r="P47" i="17" a="1"/>
  <c r="P47" i="17" s="1"/>
  <c r="P77" i="17" a="1"/>
  <c r="P77" i="17" s="1"/>
  <c r="P107" i="17" a="1"/>
  <c r="P107" i="17" s="1"/>
  <c r="P137" i="17" a="1"/>
  <c r="P137" i="17"/>
  <c r="P167" i="17" a="1"/>
  <c r="P167" i="17" s="1"/>
  <c r="P197" i="17" a="1"/>
  <c r="P197" i="17" s="1"/>
  <c r="P227" i="17" a="1"/>
  <c r="P227" i="17" s="1"/>
  <c r="P257" i="17" a="1"/>
  <c r="P257" i="17" s="1"/>
  <c r="P287" i="17" a="1"/>
  <c r="P287" i="17" s="1"/>
  <c r="P317" i="17" a="1"/>
  <c r="P317" i="17"/>
  <c r="P422" i="17" a="1"/>
  <c r="P422" i="17" s="1"/>
  <c r="P423" i="17" a="1"/>
  <c r="P423" i="17" s="1"/>
  <c r="P424" i="17" a="1"/>
  <c r="P424" i="17" s="1"/>
  <c r="P425" i="17" a="1"/>
  <c r="P425" i="17" s="1"/>
  <c r="P426" i="17" a="1"/>
  <c r="P426" i="17" s="1"/>
  <c r="P427" i="17" a="1"/>
  <c r="P427" i="17" s="1"/>
  <c r="P18" i="17" a="1"/>
  <c r="P18" i="17" s="1"/>
  <c r="P48" i="17" a="1"/>
  <c r="P48" i="17"/>
  <c r="P78" i="17" a="1"/>
  <c r="P78" i="17" s="1"/>
  <c r="P108" i="17" a="1"/>
  <c r="P108" i="17" s="1"/>
  <c r="P138" i="17" a="1"/>
  <c r="P138" i="17" s="1"/>
  <c r="P168" i="17" a="1"/>
  <c r="P168" i="17" s="1"/>
  <c r="P198" i="17" a="1"/>
  <c r="P198" i="17" s="1"/>
  <c r="P228" i="17" a="1"/>
  <c r="P228" i="17" s="1"/>
  <c r="P258" i="17" a="1"/>
  <c r="P258" i="17" s="1"/>
  <c r="P288" i="17" a="1"/>
  <c r="P288" i="17" s="1"/>
  <c r="P318" i="17" a="1"/>
  <c r="P318" i="17" s="1"/>
  <c r="P428" i="17" a="1"/>
  <c r="P428" i="17" s="1"/>
  <c r="P429" i="17" a="1"/>
  <c r="P429" i="17" s="1"/>
  <c r="P430" i="17" a="1"/>
  <c r="P430" i="17" s="1"/>
  <c r="P431" i="17" a="1"/>
  <c r="P431" i="17" s="1"/>
  <c r="P432" i="17" a="1"/>
  <c r="P432" i="17" s="1"/>
  <c r="P433" i="17" a="1"/>
  <c r="P433" i="17"/>
  <c r="P19" i="17" a="1"/>
  <c r="P19" i="17" s="1"/>
  <c r="P49" i="17" a="1"/>
  <c r="P49" i="17" s="1"/>
  <c r="P79" i="17" a="1"/>
  <c r="P79" i="17"/>
  <c r="P109" i="17" a="1"/>
  <c r="P109" i="17" s="1"/>
  <c r="P139" i="17" a="1"/>
  <c r="P139" i="17" s="1"/>
  <c r="P169" i="17" a="1"/>
  <c r="P169" i="17" s="1"/>
  <c r="P199" i="17" a="1"/>
  <c r="P199" i="17" s="1"/>
  <c r="P229" i="17" a="1"/>
  <c r="P229" i="17"/>
  <c r="P259" i="17" a="1"/>
  <c r="P259" i="17" s="1"/>
  <c r="P289" i="17" a="1"/>
  <c r="P289" i="17" s="1"/>
  <c r="P319" i="17" a="1"/>
  <c r="P319" i="17" s="1"/>
  <c r="P434" i="17" a="1"/>
  <c r="P434" i="17" s="1"/>
  <c r="P435" i="17" a="1"/>
  <c r="P435" i="17"/>
  <c r="P436" i="17" a="1"/>
  <c r="P436" i="17" s="1"/>
  <c r="P437" i="17" a="1"/>
  <c r="P437" i="17" s="1"/>
  <c r="P438" i="17" a="1"/>
  <c r="P438" i="17" s="1"/>
  <c r="P439" i="17" a="1"/>
  <c r="P439" i="17" s="1"/>
  <c r="P20" i="17" a="1"/>
  <c r="P20" i="17" s="1"/>
  <c r="P50" i="17" a="1"/>
  <c r="P50" i="17" s="1"/>
  <c r="P80" i="17" a="1"/>
  <c r="P80" i="17" s="1"/>
  <c r="P110" i="17" a="1"/>
  <c r="P110" i="17"/>
  <c r="P140" i="17" a="1"/>
  <c r="P140" i="17" s="1"/>
  <c r="P170" i="17" a="1"/>
  <c r="P170" i="17" s="1"/>
  <c r="P200" i="17" a="1"/>
  <c r="P200" i="17"/>
  <c r="P230" i="17" a="1"/>
  <c r="P230" i="17" s="1"/>
  <c r="P260" i="17" a="1"/>
  <c r="P260" i="17"/>
  <c r="P290" i="17" a="1"/>
  <c r="P290" i="17" s="1"/>
  <c r="P320" i="17" a="1"/>
  <c r="P320" i="17" s="1"/>
  <c r="P440" i="17" a="1"/>
  <c r="P440" i="17" s="1"/>
  <c r="P441" i="17" a="1"/>
  <c r="P441" i="17" s="1"/>
  <c r="P442" i="17" a="1"/>
  <c r="P442" i="17" s="1"/>
  <c r="P443" i="17" a="1"/>
  <c r="P443" i="17" s="1"/>
  <c r="P444" i="17" a="1"/>
  <c r="P444" i="17" s="1"/>
  <c r="P445" i="17" a="1"/>
  <c r="P445" i="17" s="1"/>
  <c r="P21" i="17" a="1"/>
  <c r="P21" i="17"/>
  <c r="P51" i="17" a="1"/>
  <c r="P51" i="17" s="1"/>
  <c r="P81" i="17" a="1"/>
  <c r="P81" i="17" s="1"/>
  <c r="P111" i="17" a="1"/>
  <c r="P111" i="17" s="1"/>
  <c r="P141" i="17" a="1"/>
  <c r="P141" i="17"/>
  <c r="P171" i="17" a="1"/>
  <c r="P171" i="17" s="1"/>
  <c r="P201" i="17" a="1"/>
  <c r="P201" i="17" s="1"/>
  <c r="P231" i="17" a="1"/>
  <c r="P231" i="17" s="1"/>
  <c r="P261" i="17" a="1"/>
  <c r="P261" i="17" s="1"/>
  <c r="P291" i="17" a="1"/>
  <c r="P291" i="17" s="1"/>
  <c r="P321" i="17" a="1"/>
  <c r="P321" i="17" s="1"/>
  <c r="P446" i="17" a="1"/>
  <c r="P446" i="17" s="1"/>
  <c r="P447" i="17" a="1"/>
  <c r="P447" i="17" s="1"/>
  <c r="P448" i="17" a="1"/>
  <c r="P448" i="17" s="1"/>
  <c r="P449" i="17" a="1"/>
  <c r="P449" i="17"/>
  <c r="P450" i="17" a="1"/>
  <c r="P450" i="17" s="1"/>
  <c r="P451" i="17" a="1"/>
  <c r="P451" i="17" s="1"/>
  <c r="P22" i="17" a="1"/>
  <c r="P22" i="17" s="1"/>
  <c r="P52" i="17" a="1"/>
  <c r="P52" i="17" s="1"/>
  <c r="P82" i="17" a="1"/>
  <c r="P82" i="17" s="1"/>
  <c r="P112" i="17" a="1"/>
  <c r="P112" i="17" s="1"/>
  <c r="P142" i="17" a="1"/>
  <c r="P142" i="17" s="1"/>
  <c r="P172" i="17" a="1"/>
  <c r="P172" i="17" s="1"/>
  <c r="P202" i="17" a="1"/>
  <c r="P202" i="17" s="1"/>
  <c r="P232" i="17" a="1"/>
  <c r="P232" i="17" s="1"/>
  <c r="P262" i="17" a="1"/>
  <c r="P262" i="17" s="1"/>
  <c r="P292" i="17" a="1"/>
  <c r="P292" i="17" s="1"/>
  <c r="P322" i="17" a="1"/>
  <c r="P322" i="17" s="1"/>
  <c r="P452" i="17" a="1"/>
  <c r="P452" i="17"/>
  <c r="P453" i="17" a="1"/>
  <c r="P453" i="17" s="1"/>
  <c r="P454" i="17" a="1"/>
  <c r="P454" i="17" s="1"/>
  <c r="P455" i="17" a="1"/>
  <c r="P455" i="17" s="1"/>
  <c r="P456" i="17" a="1"/>
  <c r="P456" i="17" s="1"/>
  <c r="P457" i="17" a="1"/>
  <c r="P457" i="17" s="1"/>
  <c r="P23" i="17" a="1"/>
  <c r="P23" i="17"/>
  <c r="P53" i="17" a="1"/>
  <c r="P53" i="17" s="1"/>
  <c r="P83" i="17" a="1"/>
  <c r="P83" i="17" s="1"/>
  <c r="P113" i="17" a="1"/>
  <c r="P113" i="17"/>
  <c r="P143" i="17" a="1"/>
  <c r="P143" i="17" s="1"/>
  <c r="P173" i="17" a="1"/>
  <c r="P173" i="17" s="1"/>
  <c r="P203" i="17" a="1"/>
  <c r="P203" i="17" s="1"/>
  <c r="P233" i="17" a="1"/>
  <c r="P233" i="17" s="1"/>
  <c r="P263" i="17" a="1"/>
  <c r="P263" i="17" s="1"/>
  <c r="P293" i="17" a="1"/>
  <c r="P293" i="17" s="1"/>
  <c r="P323" i="17" a="1"/>
  <c r="P323" i="17" s="1"/>
  <c r="P458" i="17" a="1"/>
  <c r="P458" i="17" s="1"/>
  <c r="P459" i="17" a="1"/>
  <c r="P459" i="17" s="1"/>
  <c r="P460" i="17" a="1"/>
  <c r="P460" i="17" s="1"/>
  <c r="P461" i="17" a="1"/>
  <c r="P461" i="17" s="1"/>
  <c r="P462" i="17" a="1"/>
  <c r="P462" i="17" s="1"/>
  <c r="P463" i="17" a="1"/>
  <c r="P463" i="17" s="1"/>
  <c r="P24" i="17" a="1"/>
  <c r="P24" i="17" s="1"/>
  <c r="P54" i="17" a="1"/>
  <c r="P54" i="17" s="1"/>
  <c r="P84" i="17" a="1"/>
  <c r="P84" i="17" s="1"/>
  <c r="P114" i="17" a="1"/>
  <c r="P114" i="17" s="1"/>
  <c r="P144" i="17" a="1"/>
  <c r="P144" i="17"/>
  <c r="P174" i="17" a="1"/>
  <c r="P174" i="17" s="1"/>
  <c r="P204" i="17" a="1"/>
  <c r="P204" i="17" s="1"/>
  <c r="P234" i="17" a="1"/>
  <c r="P234" i="17" s="1"/>
  <c r="P264" i="17" a="1"/>
  <c r="P264" i="17" s="1"/>
  <c r="P294" i="17" a="1"/>
  <c r="P294" i="17" s="1"/>
  <c r="P324" i="17" a="1"/>
  <c r="P324" i="17" s="1"/>
  <c r="P464" i="17" a="1"/>
  <c r="P464" i="17" s="1"/>
  <c r="P465" i="17" a="1"/>
  <c r="P465" i="17" s="1"/>
  <c r="P466" i="17" a="1"/>
  <c r="P466" i="17" s="1"/>
  <c r="P467" i="17" a="1"/>
  <c r="P467" i="17" s="1"/>
  <c r="P468" i="17" a="1"/>
  <c r="P468" i="17" s="1"/>
  <c r="P469" i="17" a="1"/>
  <c r="P469" i="17"/>
  <c r="P25" i="17" a="1"/>
  <c r="P25" i="17" s="1"/>
  <c r="P55" i="17" a="1"/>
  <c r="P55" i="17" s="1"/>
  <c r="P85" i="17" a="1"/>
  <c r="P85" i="17" s="1"/>
  <c r="P115" i="17" a="1"/>
  <c r="P115" i="17" s="1"/>
  <c r="P145" i="17" a="1"/>
  <c r="P145" i="17" s="1"/>
  <c r="P175" i="17" a="1"/>
  <c r="P175" i="17" s="1"/>
  <c r="P205" i="17" a="1"/>
  <c r="P205" i="17" s="1"/>
  <c r="P235" i="17" a="1"/>
  <c r="P235" i="17" s="1"/>
  <c r="P265" i="17" a="1"/>
  <c r="P265" i="17" s="1"/>
  <c r="P295" i="17" a="1"/>
  <c r="P295" i="17" s="1"/>
  <c r="P325" i="17" a="1"/>
  <c r="P325" i="17"/>
  <c r="P470" i="17" a="1"/>
  <c r="P470" i="17" s="1"/>
  <c r="P471" i="17" a="1"/>
  <c r="P471" i="17" s="1"/>
  <c r="P472" i="17" a="1"/>
  <c r="P472" i="17" s="1"/>
  <c r="P473" i="17" a="1"/>
  <c r="P473" i="17" s="1"/>
  <c r="P474" i="17" a="1"/>
  <c r="P474" i="17" s="1"/>
  <c r="P475" i="17" a="1"/>
  <c r="P475" i="17" s="1"/>
  <c r="P26" i="17" a="1"/>
  <c r="P26" i="17" s="1"/>
  <c r="P56" i="17" a="1"/>
  <c r="P56" i="17" s="1"/>
  <c r="P86" i="17" a="1"/>
  <c r="P86" i="17"/>
  <c r="P116" i="17" a="1"/>
  <c r="P116" i="17" s="1"/>
  <c r="P146" i="17" a="1"/>
  <c r="P146" i="17" s="1"/>
  <c r="P176" i="17" a="1"/>
  <c r="P176" i="17" s="1"/>
  <c r="P206" i="17" a="1"/>
  <c r="P206" i="17" s="1"/>
  <c r="P236" i="17" a="1"/>
  <c r="P236" i="17" s="1"/>
  <c r="P266" i="17" a="1"/>
  <c r="P266" i="17" s="1"/>
  <c r="P296" i="17" a="1"/>
  <c r="P296" i="17" s="1"/>
  <c r="P326" i="17" a="1"/>
  <c r="P326" i="17" s="1"/>
  <c r="P476" i="17" a="1"/>
  <c r="P476" i="17"/>
  <c r="P477" i="17" a="1"/>
  <c r="P477" i="17" s="1"/>
  <c r="P478" i="17" a="1"/>
  <c r="P478" i="17" s="1"/>
  <c r="P479" i="17" a="1"/>
  <c r="P479" i="17" s="1"/>
  <c r="P480" i="17" a="1"/>
  <c r="P480" i="17" s="1"/>
  <c r="P481" i="17" a="1"/>
  <c r="P481" i="17" s="1"/>
  <c r="P27" i="17" a="1"/>
  <c r="P27" i="17" s="1"/>
  <c r="P57" i="17" a="1"/>
  <c r="P57" i="17"/>
  <c r="P87" i="17" a="1"/>
  <c r="P87" i="17" s="1"/>
  <c r="P117" i="17" a="1"/>
  <c r="P117" i="17" s="1"/>
  <c r="P147" i="17" a="1"/>
  <c r="P147" i="17" s="1"/>
  <c r="P177" i="17" a="1"/>
  <c r="P177" i="17" s="1"/>
  <c r="P207" i="17" a="1"/>
  <c r="P207" i="17" s="1"/>
  <c r="P237" i="17" a="1"/>
  <c r="P237" i="17" s="1"/>
  <c r="P267" i="17" a="1"/>
  <c r="P267" i="17" s="1"/>
  <c r="P297" i="17" a="1"/>
  <c r="P297" i="17" s="1"/>
  <c r="P327" i="17" a="1"/>
  <c r="P327" i="17" s="1"/>
  <c r="P482" i="17" a="1"/>
  <c r="P482" i="17" s="1"/>
  <c r="P483" i="17" a="1"/>
  <c r="P483" i="17"/>
  <c r="P484" i="17" a="1"/>
  <c r="P484" i="17" s="1"/>
  <c r="P485" i="17" a="1"/>
  <c r="P485" i="17" s="1"/>
  <c r="P486" i="17" a="1"/>
  <c r="P486" i="17" s="1"/>
  <c r="P487" i="17" a="1"/>
  <c r="P487" i="17" s="1"/>
  <c r="P28" i="17" a="1"/>
  <c r="P28" i="17" s="1"/>
  <c r="P58" i="17" a="1"/>
  <c r="P58" i="17" s="1"/>
  <c r="P88" i="17" a="1"/>
  <c r="P88" i="17" s="1"/>
  <c r="P118" i="17" a="1"/>
  <c r="P118" i="17" s="1"/>
  <c r="P148" i="17" a="1"/>
  <c r="P148" i="17" s="1"/>
  <c r="P178" i="17" a="1"/>
  <c r="P178" i="17" s="1"/>
  <c r="P208" i="17" a="1"/>
  <c r="P208" i="17" s="1"/>
  <c r="P238" i="17" a="1"/>
  <c r="P238" i="17" s="1"/>
  <c r="P268" i="17" a="1"/>
  <c r="P268" i="17"/>
  <c r="P298" i="17" a="1"/>
  <c r="P298" i="17" s="1"/>
  <c r="P328" i="17" a="1"/>
  <c r="P328" i="17" s="1"/>
  <c r="P488" i="17" a="1"/>
  <c r="P488" i="17" s="1"/>
  <c r="P489" i="17" a="1"/>
  <c r="P489" i="17" s="1"/>
  <c r="P490" i="17" a="1"/>
  <c r="P490" i="17" s="1"/>
  <c r="P491" i="17" a="1"/>
  <c r="P491" i="17" s="1"/>
  <c r="P492" i="17" a="1"/>
  <c r="P492" i="17" s="1"/>
  <c r="P493" i="17" a="1"/>
  <c r="P493" i="17" s="1"/>
  <c r="P29" i="17" a="1"/>
  <c r="P29" i="17" s="1"/>
  <c r="P59" i="17" a="1"/>
  <c r="P59" i="17" s="1"/>
  <c r="P89" i="17" a="1"/>
  <c r="P89" i="17" s="1"/>
  <c r="P119" i="17" a="1"/>
  <c r="P119" i="17"/>
  <c r="P149" i="17" a="1"/>
  <c r="P149" i="17" s="1"/>
  <c r="P179" i="17" a="1"/>
  <c r="P179" i="17" s="1"/>
  <c r="P209" i="17" a="1"/>
  <c r="P209" i="17" s="1"/>
  <c r="P239" i="17" a="1"/>
  <c r="P239" i="17" s="1"/>
  <c r="P269" i="17" a="1"/>
  <c r="P269" i="17" s="1"/>
  <c r="P299" i="17" a="1"/>
  <c r="P299" i="17" s="1"/>
  <c r="P329" i="17" a="1"/>
  <c r="P329" i="17" s="1"/>
  <c r="P494" i="17" a="1"/>
  <c r="P494" i="17" s="1"/>
  <c r="P495" i="17" a="1"/>
  <c r="P495" i="17" s="1"/>
  <c r="P496" i="17" a="1"/>
  <c r="P496" i="17" s="1"/>
  <c r="P497" i="17" a="1"/>
  <c r="P497" i="17"/>
  <c r="P498" i="17" a="1"/>
  <c r="P498" i="17" s="1"/>
  <c r="P499" i="17" a="1"/>
  <c r="P499" i="17" s="1"/>
  <c r="P30" i="17" a="1"/>
  <c r="P30" i="17" s="1"/>
  <c r="P60" i="17" a="1"/>
  <c r="P60" i="17" s="1"/>
  <c r="P90" i="17" a="1"/>
  <c r="P90" i="17" s="1"/>
  <c r="P120" i="17" a="1"/>
  <c r="P120" i="17" s="1"/>
  <c r="P150" i="17" a="1"/>
  <c r="P150" i="17" s="1"/>
  <c r="P180" i="17" a="1"/>
  <c r="P180" i="17" s="1"/>
  <c r="P210" i="17" a="1"/>
  <c r="P210" i="17"/>
  <c r="P240" i="17" a="1"/>
  <c r="P240" i="17" s="1"/>
  <c r="P270" i="17" a="1"/>
  <c r="P270" i="17" s="1"/>
  <c r="P300" i="17" a="1"/>
  <c r="P300" i="17" s="1"/>
  <c r="P330" i="17" a="1"/>
  <c r="P330" i="17" s="1"/>
  <c r="P500" i="17" a="1"/>
  <c r="P500" i="17" s="1"/>
  <c r="P501" i="17" a="1"/>
  <c r="P501" i="17" s="1"/>
  <c r="P502" i="17" a="1"/>
  <c r="P502" i="17" s="1"/>
  <c r="P503" i="17" a="1"/>
  <c r="P503" i="17" s="1"/>
  <c r="P504" i="17" a="1"/>
  <c r="P504" i="17"/>
  <c r="P505" i="17" a="1"/>
  <c r="P505" i="17" s="1"/>
  <c r="P31" i="17" a="1"/>
  <c r="P31" i="17" s="1"/>
  <c r="P61" i="17" a="1"/>
  <c r="P61" i="17" s="1"/>
  <c r="P91" i="17" a="1"/>
  <c r="P91" i="17" s="1"/>
  <c r="P121" i="17" a="1"/>
  <c r="P121" i="17" s="1"/>
  <c r="P151" i="17" a="1"/>
  <c r="P151" i="17" s="1"/>
  <c r="P181" i="17" a="1"/>
  <c r="P181" i="17"/>
  <c r="P211" i="17" a="1"/>
  <c r="P211" i="17" s="1"/>
  <c r="P241" i="17" a="1"/>
  <c r="P241" i="17" s="1"/>
  <c r="P271" i="17" a="1"/>
  <c r="P271" i="17" s="1"/>
  <c r="P301" i="17" a="1"/>
  <c r="P301" i="17" s="1"/>
  <c r="P331" i="17" a="1"/>
  <c r="P331" i="17" s="1"/>
  <c r="P506" i="17" a="1"/>
  <c r="P506" i="17" s="1"/>
  <c r="P507" i="17" a="1"/>
  <c r="P507" i="17" s="1"/>
  <c r="P508" i="17" a="1"/>
  <c r="P508" i="17" s="1"/>
  <c r="P509" i="17" a="1"/>
  <c r="P509" i="17" s="1"/>
  <c r="P510" i="17" a="1"/>
  <c r="P510" i="17" s="1"/>
  <c r="P511" i="17" a="1"/>
  <c r="P511" i="17"/>
  <c r="R2" i="17" a="1"/>
  <c r="R2" i="17" s="1"/>
  <c r="R32" i="17" a="1"/>
  <c r="R32" i="17"/>
  <c r="R62" i="17" a="1"/>
  <c r="R62" i="17" s="1"/>
  <c r="R92" i="17" a="1"/>
  <c r="R92" i="17" s="1"/>
  <c r="R122" i="17" a="1"/>
  <c r="R122" i="17" s="1"/>
  <c r="R152" i="17" a="1"/>
  <c r="R152" i="17" s="1"/>
  <c r="R182" i="17" a="1"/>
  <c r="R182" i="17" s="1"/>
  <c r="R212" i="17" a="1"/>
  <c r="R212" i="17" s="1"/>
  <c r="R242" i="17" a="1"/>
  <c r="R242" i="17" s="1"/>
  <c r="R272" i="17" a="1"/>
  <c r="R272" i="17" s="1"/>
  <c r="R302" i="17" a="1"/>
  <c r="R302" i="17" s="1"/>
  <c r="R332" i="17" a="1"/>
  <c r="R332" i="17" s="1"/>
  <c r="R333" i="17" a="1"/>
  <c r="R333" i="17" s="1"/>
  <c r="R334" i="17" a="1"/>
  <c r="R334" i="17" s="1"/>
  <c r="R335" i="17" a="1"/>
  <c r="R335" i="17" s="1"/>
  <c r="R336" i="17" a="1"/>
  <c r="R336" i="17" s="1"/>
  <c r="R337" i="17" a="1"/>
  <c r="R337" i="17" s="1"/>
  <c r="R3" i="17" a="1"/>
  <c r="R3" i="17" s="1"/>
  <c r="R33" i="17" a="1"/>
  <c r="R33" i="17" s="1"/>
  <c r="R63" i="17" a="1"/>
  <c r="R63" i="17" s="1"/>
  <c r="R93" i="17" a="1"/>
  <c r="R93" i="17" s="1"/>
  <c r="R123" i="17" a="1"/>
  <c r="R123" i="17" s="1"/>
  <c r="R153" i="17" a="1"/>
  <c r="R153" i="17" s="1"/>
  <c r="R183" i="17" a="1"/>
  <c r="R183" i="17" s="1"/>
  <c r="R213" i="17" a="1"/>
  <c r="R213" i="17" s="1"/>
  <c r="R243" i="17" a="1"/>
  <c r="R243" i="17" s="1"/>
  <c r="R273" i="17" a="1"/>
  <c r="R273" i="17" s="1"/>
  <c r="R303" i="17" a="1"/>
  <c r="R303" i="17" s="1"/>
  <c r="R338" i="17" a="1"/>
  <c r="R338" i="17" s="1"/>
  <c r="R339" i="17" a="1"/>
  <c r="R339" i="17" s="1"/>
  <c r="R340" i="17" a="1"/>
  <c r="R340" i="17" s="1"/>
  <c r="R341" i="17" a="1"/>
  <c r="R341" i="17" s="1"/>
  <c r="R342" i="17" a="1"/>
  <c r="R342" i="17" s="1"/>
  <c r="R343" i="17" a="1"/>
  <c r="R343" i="17" s="1"/>
  <c r="R4" i="17" a="1"/>
  <c r="R4" i="17" s="1"/>
  <c r="R34" i="17" a="1"/>
  <c r="R34" i="17" s="1"/>
  <c r="R64" i="17" a="1"/>
  <c r="R64" i="17" s="1"/>
  <c r="R94" i="17" a="1"/>
  <c r="R94" i="17" s="1"/>
  <c r="R124" i="17" a="1"/>
  <c r="R124" i="17" s="1"/>
  <c r="R154" i="17" a="1"/>
  <c r="R154" i="17" s="1"/>
  <c r="R184" i="17" a="1"/>
  <c r="R184" i="17" s="1"/>
  <c r="R214" i="17" a="1"/>
  <c r="R214" i="17" s="1"/>
  <c r="R244" i="17" a="1"/>
  <c r="R244" i="17" s="1"/>
  <c r="R274" i="17" a="1"/>
  <c r="R274" i="17" s="1"/>
  <c r="R304" i="17" a="1"/>
  <c r="R304" i="17" s="1"/>
  <c r="R344" i="17" a="1"/>
  <c r="R344" i="17" s="1"/>
  <c r="R345" i="17" a="1"/>
  <c r="R345" i="17" s="1"/>
  <c r="R346" i="17" a="1"/>
  <c r="R346" i="17" s="1"/>
  <c r="R347" i="17" a="1"/>
  <c r="R347" i="17" s="1"/>
  <c r="R348" i="17" a="1"/>
  <c r="R348" i="17" s="1"/>
  <c r="R349" i="17" a="1"/>
  <c r="R349" i="17" s="1"/>
  <c r="R5" i="17" a="1"/>
  <c r="R5" i="17" s="1"/>
  <c r="R35" i="17" a="1"/>
  <c r="R35" i="17" s="1"/>
  <c r="R65" i="17" a="1"/>
  <c r="R65" i="17" s="1"/>
  <c r="R95" i="17" a="1"/>
  <c r="R95" i="17" s="1"/>
  <c r="R125" i="17" a="1"/>
  <c r="R125" i="17" s="1"/>
  <c r="R155" i="17" a="1"/>
  <c r="R155" i="17" s="1"/>
  <c r="R185" i="17" a="1"/>
  <c r="R185" i="17" s="1"/>
  <c r="R215" i="17" a="1"/>
  <c r="R215" i="17" s="1"/>
  <c r="R245" i="17" a="1"/>
  <c r="R245" i="17" s="1"/>
  <c r="R275" i="17" a="1"/>
  <c r="R275" i="17" s="1"/>
  <c r="R305" i="17" a="1"/>
  <c r="R305" i="17" s="1"/>
  <c r="R350" i="17" a="1"/>
  <c r="R350" i="17" s="1"/>
  <c r="R351" i="17" a="1"/>
  <c r="R351" i="17" s="1"/>
  <c r="R352" i="17" a="1"/>
  <c r="R352" i="17" s="1"/>
  <c r="R353" i="17" a="1"/>
  <c r="R353" i="17" s="1"/>
  <c r="R354" i="17" a="1"/>
  <c r="R354" i="17" s="1"/>
  <c r="R355" i="17" a="1"/>
  <c r="R355" i="17" s="1"/>
  <c r="R6" i="17" a="1"/>
  <c r="R6" i="17" s="1"/>
  <c r="R36" i="17" a="1"/>
  <c r="R36" i="17" s="1"/>
  <c r="R66" i="17" a="1"/>
  <c r="R66" i="17" s="1"/>
  <c r="R96" i="17" a="1"/>
  <c r="R96" i="17" s="1"/>
  <c r="R126" i="17" a="1"/>
  <c r="R126" i="17" s="1"/>
  <c r="R156" i="17" a="1"/>
  <c r="R156" i="17" s="1"/>
  <c r="R186" i="17" a="1"/>
  <c r="R186" i="17" s="1"/>
  <c r="R216" i="17" a="1"/>
  <c r="R216" i="17" s="1"/>
  <c r="R246" i="17" a="1"/>
  <c r="R246" i="17" s="1"/>
  <c r="R276" i="17" a="1"/>
  <c r="R276" i="17" s="1"/>
  <c r="R306" i="17" a="1"/>
  <c r="R306" i="17" s="1"/>
  <c r="R356" i="17" a="1"/>
  <c r="R356" i="17" s="1"/>
  <c r="R357" i="17" a="1"/>
  <c r="R357" i="17" s="1"/>
  <c r="R358" i="17" a="1"/>
  <c r="R358" i="17" s="1"/>
  <c r="R359" i="17" a="1"/>
  <c r="R359" i="17" s="1"/>
  <c r="R360" i="17" a="1"/>
  <c r="R360" i="17" s="1"/>
  <c r="R361" i="17" a="1"/>
  <c r="R361" i="17" s="1"/>
  <c r="R7" i="17" a="1"/>
  <c r="R7" i="17" s="1"/>
  <c r="R37" i="17" a="1"/>
  <c r="R37" i="17" s="1"/>
  <c r="R67" i="17" a="1"/>
  <c r="R67" i="17" s="1"/>
  <c r="R97" i="17" a="1"/>
  <c r="R97" i="17" s="1"/>
  <c r="R127" i="17" a="1"/>
  <c r="R127" i="17" s="1"/>
  <c r="R157" i="17" a="1"/>
  <c r="R157" i="17" s="1"/>
  <c r="R187" i="17" a="1"/>
  <c r="R187" i="17" s="1"/>
  <c r="R217" i="17" a="1"/>
  <c r="R217" i="17" s="1"/>
  <c r="R247" i="17" a="1"/>
  <c r="R247" i="17" s="1"/>
  <c r="R277" i="17" a="1"/>
  <c r="R277" i="17" s="1"/>
  <c r="R307" i="17" a="1"/>
  <c r="R307" i="17" s="1"/>
  <c r="R362" i="17" a="1"/>
  <c r="R362" i="17" s="1"/>
  <c r="R363" i="17" a="1"/>
  <c r="R363" i="17" s="1"/>
  <c r="R364" i="17" a="1"/>
  <c r="R364" i="17" s="1"/>
  <c r="R365" i="17" a="1"/>
  <c r="R365" i="17" s="1"/>
  <c r="R366" i="17" a="1"/>
  <c r="R366" i="17" s="1"/>
  <c r="R367" i="17" a="1"/>
  <c r="R367" i="17" s="1"/>
  <c r="R8" i="17" a="1"/>
  <c r="R8" i="17" s="1"/>
  <c r="R38" i="17" a="1"/>
  <c r="R38" i="17" s="1"/>
  <c r="R68" i="17" a="1"/>
  <c r="R68" i="17" s="1"/>
  <c r="R98" i="17" a="1"/>
  <c r="R98" i="17" s="1"/>
  <c r="R128" i="17" a="1"/>
  <c r="R128" i="17" s="1"/>
  <c r="R158" i="17" a="1"/>
  <c r="R158" i="17" s="1"/>
  <c r="R188" i="17" a="1"/>
  <c r="R188" i="17" s="1"/>
  <c r="R218" i="17" a="1"/>
  <c r="R218" i="17" s="1"/>
  <c r="R248" i="17" a="1"/>
  <c r="R248" i="17" s="1"/>
  <c r="R278" i="17" a="1"/>
  <c r="R278" i="17" s="1"/>
  <c r="R308" i="17" a="1"/>
  <c r="R308" i="17" s="1"/>
  <c r="R368" i="17" a="1"/>
  <c r="R368" i="17" s="1"/>
  <c r="R369" i="17" a="1"/>
  <c r="R369" i="17" s="1"/>
  <c r="R370" i="17" a="1"/>
  <c r="R370" i="17" s="1"/>
  <c r="R371" i="17" a="1"/>
  <c r="R371" i="17" s="1"/>
  <c r="R372" i="17" a="1"/>
  <c r="R372" i="17" s="1"/>
  <c r="R373" i="17" a="1"/>
  <c r="R373" i="17" s="1"/>
  <c r="R9" i="17" a="1"/>
  <c r="R9" i="17" s="1"/>
  <c r="R39" i="17" a="1"/>
  <c r="R39" i="17" s="1"/>
  <c r="R69" i="17" a="1"/>
  <c r="R69" i="17" s="1"/>
  <c r="R99" i="17" a="1"/>
  <c r="R99" i="17" s="1"/>
  <c r="R129" i="17" a="1"/>
  <c r="R129" i="17" s="1"/>
  <c r="R159" i="17" a="1"/>
  <c r="R159" i="17" s="1"/>
  <c r="R189" i="17" a="1"/>
  <c r="R189" i="17" s="1"/>
  <c r="R219" i="17" a="1"/>
  <c r="R219" i="17" s="1"/>
  <c r="R249" i="17" a="1"/>
  <c r="R249" i="17" s="1"/>
  <c r="R279" i="17" a="1"/>
  <c r="R279" i="17" s="1"/>
  <c r="R309" i="17" a="1"/>
  <c r="R309" i="17" s="1"/>
  <c r="R374" i="17" a="1"/>
  <c r="R374" i="17" s="1"/>
  <c r="R375" i="17" a="1"/>
  <c r="R375" i="17" s="1"/>
  <c r="R376" i="17" a="1"/>
  <c r="R376" i="17" s="1"/>
  <c r="R377" i="17" a="1"/>
  <c r="R377" i="17" s="1"/>
  <c r="R378" i="17" a="1"/>
  <c r="R378" i="17" s="1"/>
  <c r="R379" i="17" a="1"/>
  <c r="R379" i="17" s="1"/>
  <c r="R10" i="17" a="1"/>
  <c r="R10" i="17" s="1"/>
  <c r="R40" i="17" a="1"/>
  <c r="R40" i="17" s="1"/>
  <c r="R70" i="17" a="1"/>
  <c r="R70" i="17" s="1"/>
  <c r="R100" i="17" a="1"/>
  <c r="R100" i="17" s="1"/>
  <c r="R130" i="17" a="1"/>
  <c r="R130" i="17" s="1"/>
  <c r="R160" i="17" a="1"/>
  <c r="R160" i="17" s="1"/>
  <c r="R190" i="17" a="1"/>
  <c r="R190" i="17" s="1"/>
  <c r="R220" i="17" a="1"/>
  <c r="R220" i="17" s="1"/>
  <c r="R250" i="17" a="1"/>
  <c r="R250" i="17" s="1"/>
  <c r="R280" i="17" a="1"/>
  <c r="R280" i="17" s="1"/>
  <c r="R310" i="17" a="1"/>
  <c r="R310" i="17" s="1"/>
  <c r="R380" i="17" a="1"/>
  <c r="R380" i="17" s="1"/>
  <c r="R381" i="17" a="1"/>
  <c r="R381" i="17" s="1"/>
  <c r="R382" i="17" a="1"/>
  <c r="R382" i="17" s="1"/>
  <c r="R383" i="17" a="1"/>
  <c r="R383" i="17" s="1"/>
  <c r="R384" i="17" a="1"/>
  <c r="R384" i="17" s="1"/>
  <c r="R385" i="17" a="1"/>
  <c r="R385" i="17" s="1"/>
  <c r="R11" i="17" a="1"/>
  <c r="R11" i="17" s="1"/>
  <c r="R41" i="17" a="1"/>
  <c r="R41" i="17" s="1"/>
  <c r="R71" i="17" a="1"/>
  <c r="R71" i="17" s="1"/>
  <c r="R101" i="17" a="1"/>
  <c r="R101" i="17" s="1"/>
  <c r="R131" i="17" a="1"/>
  <c r="R131" i="17" s="1"/>
  <c r="R161" i="17" a="1"/>
  <c r="R161" i="17" s="1"/>
  <c r="R191" i="17" a="1"/>
  <c r="R191" i="17" s="1"/>
  <c r="R221" i="17" a="1"/>
  <c r="R221" i="17" s="1"/>
  <c r="R251" i="17" a="1"/>
  <c r="R251" i="17" s="1"/>
  <c r="R281" i="17" a="1"/>
  <c r="R281" i="17" s="1"/>
  <c r="R311" i="17" a="1"/>
  <c r="R311" i="17" s="1"/>
  <c r="R386" i="17" a="1"/>
  <c r="R386" i="17" s="1"/>
  <c r="R387" i="17" a="1"/>
  <c r="R387" i="17" s="1"/>
  <c r="R388" i="17" a="1"/>
  <c r="R388" i="17" s="1"/>
  <c r="R389" i="17" a="1"/>
  <c r="R389" i="17" s="1"/>
  <c r="R390" i="17" a="1"/>
  <c r="R390" i="17" s="1"/>
  <c r="R391" i="17" a="1"/>
  <c r="R391" i="17" s="1"/>
  <c r="R12" i="17" a="1"/>
  <c r="R12" i="17" s="1"/>
  <c r="R42" i="17" a="1"/>
  <c r="R42" i="17" s="1"/>
  <c r="R72" i="17" a="1"/>
  <c r="R72" i="17" s="1"/>
  <c r="R102" i="17" a="1"/>
  <c r="R102" i="17" s="1"/>
  <c r="R132" i="17" a="1"/>
  <c r="R132" i="17" s="1"/>
  <c r="R162" i="17" a="1"/>
  <c r="R162" i="17" s="1"/>
  <c r="R192" i="17" a="1"/>
  <c r="R192" i="17" s="1"/>
  <c r="R222" i="17" a="1"/>
  <c r="R222" i="17" s="1"/>
  <c r="R252" i="17" a="1"/>
  <c r="R252" i="17" s="1"/>
  <c r="R282" i="17" a="1"/>
  <c r="R282" i="17" s="1"/>
  <c r="R312" i="17" a="1"/>
  <c r="R312" i="17" s="1"/>
  <c r="R392" i="17" a="1"/>
  <c r="R392" i="17" s="1"/>
  <c r="R393" i="17" a="1"/>
  <c r="R393" i="17" s="1"/>
  <c r="R394" i="17" a="1"/>
  <c r="R394" i="17" s="1"/>
  <c r="R395" i="17" a="1"/>
  <c r="R395" i="17" s="1"/>
  <c r="R396" i="17" a="1"/>
  <c r="R396" i="17" s="1"/>
  <c r="R397" i="17" a="1"/>
  <c r="R397" i="17" s="1"/>
  <c r="R13" i="17" a="1"/>
  <c r="R13" i="17" s="1"/>
  <c r="R43" i="17" a="1"/>
  <c r="R43" i="17" s="1"/>
  <c r="R73" i="17" a="1"/>
  <c r="R73" i="17" s="1"/>
  <c r="R103" i="17" a="1"/>
  <c r="R103" i="17" s="1"/>
  <c r="R133" i="17" a="1"/>
  <c r="R133" i="17" s="1"/>
  <c r="R163" i="17" a="1"/>
  <c r="R163" i="17" s="1"/>
  <c r="R193" i="17" a="1"/>
  <c r="R193" i="17" s="1"/>
  <c r="R223" i="17" a="1"/>
  <c r="R223" i="17" s="1"/>
  <c r="R253" i="17" a="1"/>
  <c r="R253" i="17" s="1"/>
  <c r="R283" i="17" a="1"/>
  <c r="R283" i="17" s="1"/>
  <c r="R313" i="17" a="1"/>
  <c r="R313" i="17" s="1"/>
  <c r="R398" i="17" a="1"/>
  <c r="R398" i="17" s="1"/>
  <c r="R399" i="17" a="1"/>
  <c r="R399" i="17" s="1"/>
  <c r="R400" i="17" a="1"/>
  <c r="R400" i="17" s="1"/>
  <c r="R401" i="17" a="1"/>
  <c r="R401" i="17" s="1"/>
  <c r="R402" i="17" a="1"/>
  <c r="R402" i="17" s="1"/>
  <c r="R403" i="17" a="1"/>
  <c r="R403" i="17" s="1"/>
  <c r="R14" i="17" a="1"/>
  <c r="R14" i="17" s="1"/>
  <c r="R44" i="17" a="1"/>
  <c r="R44" i="17" s="1"/>
  <c r="R74" i="17" a="1"/>
  <c r="R74" i="17" s="1"/>
  <c r="R104" i="17" a="1"/>
  <c r="R104" i="17" s="1"/>
  <c r="R134" i="17" a="1"/>
  <c r="R134" i="17" s="1"/>
  <c r="R164" i="17" a="1"/>
  <c r="R164" i="17" s="1"/>
  <c r="R194" i="17" a="1"/>
  <c r="R194" i="17" s="1"/>
  <c r="R224" i="17" a="1"/>
  <c r="R224" i="17" s="1"/>
  <c r="R254" i="17" a="1"/>
  <c r="R254" i="17" s="1"/>
  <c r="R284" i="17" a="1"/>
  <c r="R284" i="17" s="1"/>
  <c r="R314" i="17" a="1"/>
  <c r="R314" i="17" s="1"/>
  <c r="R404" i="17" a="1"/>
  <c r="R404" i="17" s="1"/>
  <c r="R405" i="17" a="1"/>
  <c r="R405" i="17" s="1"/>
  <c r="R406" i="17" a="1"/>
  <c r="R406" i="17" s="1"/>
  <c r="R407" i="17" a="1"/>
  <c r="R407" i="17" s="1"/>
  <c r="R408" i="17" a="1"/>
  <c r="R408" i="17" s="1"/>
  <c r="R409" i="17" a="1"/>
  <c r="R409" i="17" s="1"/>
  <c r="R15" i="17" a="1"/>
  <c r="R15" i="17" s="1"/>
  <c r="R45" i="17" a="1"/>
  <c r="R45" i="17" s="1"/>
  <c r="R75" i="17" a="1"/>
  <c r="R75" i="17" s="1"/>
  <c r="R105" i="17" a="1"/>
  <c r="R105" i="17" s="1"/>
  <c r="R135" i="17" a="1"/>
  <c r="R135" i="17" s="1"/>
  <c r="R165" i="17" a="1"/>
  <c r="R165" i="17" s="1"/>
  <c r="R195" i="17" a="1"/>
  <c r="R195" i="17" s="1"/>
  <c r="R225" i="17" a="1"/>
  <c r="R225" i="17" s="1"/>
  <c r="R255" i="17" a="1"/>
  <c r="R255" i="17" s="1"/>
  <c r="R285" i="17" a="1"/>
  <c r="R285" i="17" s="1"/>
  <c r="R315" i="17" a="1"/>
  <c r="R315" i="17" s="1"/>
  <c r="R410" i="17" a="1"/>
  <c r="R410" i="17" s="1"/>
  <c r="R411" i="17" a="1"/>
  <c r="R411" i="17" s="1"/>
  <c r="R412" i="17" a="1"/>
  <c r="R412" i="17" s="1"/>
  <c r="R413" i="17" a="1"/>
  <c r="R413" i="17" s="1"/>
  <c r="R414" i="17" a="1"/>
  <c r="R414" i="17" s="1"/>
  <c r="R415" i="17" a="1"/>
  <c r="R415" i="17" s="1"/>
  <c r="R16" i="17" a="1"/>
  <c r="R16" i="17" s="1"/>
  <c r="R46" i="17" a="1"/>
  <c r="R46" i="17" s="1"/>
  <c r="R76" i="17" a="1"/>
  <c r="R76" i="17" s="1"/>
  <c r="R106" i="17" a="1"/>
  <c r="R106" i="17" s="1"/>
  <c r="R136" i="17" a="1"/>
  <c r="R136" i="17" s="1"/>
  <c r="R166" i="17" a="1"/>
  <c r="R166" i="17" s="1"/>
  <c r="R196" i="17" a="1"/>
  <c r="R196" i="17" s="1"/>
  <c r="R226" i="17" a="1"/>
  <c r="R226" i="17" s="1"/>
  <c r="R256" i="17" a="1"/>
  <c r="R256" i="17" s="1"/>
  <c r="R286" i="17" a="1"/>
  <c r="R286" i="17" s="1"/>
  <c r="R316" i="17" a="1"/>
  <c r="R316" i="17" s="1"/>
  <c r="R416" i="17" a="1"/>
  <c r="R416" i="17" s="1"/>
  <c r="R417" i="17" a="1"/>
  <c r="R417" i="17" s="1"/>
  <c r="R418" i="17" a="1"/>
  <c r="R418" i="17" s="1"/>
  <c r="R419" i="17" a="1"/>
  <c r="R419" i="17" s="1"/>
  <c r="R420" i="17" a="1"/>
  <c r="R420" i="17" s="1"/>
  <c r="R421" i="17" a="1"/>
  <c r="R421" i="17" s="1"/>
  <c r="R17" i="17" a="1"/>
  <c r="R17" i="17" s="1"/>
  <c r="R47" i="17" a="1"/>
  <c r="R47" i="17" s="1"/>
  <c r="R77" i="17" a="1"/>
  <c r="R77" i="17" s="1"/>
  <c r="R107" i="17" a="1"/>
  <c r="R107" i="17" s="1"/>
  <c r="R137" i="17" a="1"/>
  <c r="R137" i="17" s="1"/>
  <c r="R167" i="17" a="1"/>
  <c r="R167" i="17" s="1"/>
  <c r="R197" i="17" a="1"/>
  <c r="R197" i="17" s="1"/>
  <c r="R227" i="17" a="1"/>
  <c r="R227" i="17" s="1"/>
  <c r="R257" i="17" a="1"/>
  <c r="R257" i="17" s="1"/>
  <c r="R287" i="17" a="1"/>
  <c r="R287" i="17" s="1"/>
  <c r="R317" i="17" a="1"/>
  <c r="R317" i="17" s="1"/>
  <c r="R422" i="17" a="1"/>
  <c r="R422" i="17" s="1"/>
  <c r="R423" i="17" a="1"/>
  <c r="R423" i="17" s="1"/>
  <c r="R424" i="17" a="1"/>
  <c r="R424" i="17" s="1"/>
  <c r="R425" i="17" a="1"/>
  <c r="R425" i="17" s="1"/>
  <c r="R426" i="17" a="1"/>
  <c r="R426" i="17" s="1"/>
  <c r="R427" i="17" a="1"/>
  <c r="R427" i="17" s="1"/>
  <c r="R18" i="17" a="1"/>
  <c r="R18" i="17" s="1"/>
  <c r="R48" i="17" a="1"/>
  <c r="R48" i="17" s="1"/>
  <c r="R78" i="17" a="1"/>
  <c r="R78" i="17" s="1"/>
  <c r="R108" i="17" a="1"/>
  <c r="R108" i="17" s="1"/>
  <c r="R138" i="17" a="1"/>
  <c r="R138" i="17" s="1"/>
  <c r="R168" i="17" a="1"/>
  <c r="R168" i="17" s="1"/>
  <c r="R198" i="17" a="1"/>
  <c r="R198" i="17" s="1"/>
  <c r="R228" i="17" a="1"/>
  <c r="R228" i="17" s="1"/>
  <c r="R258" i="17" a="1"/>
  <c r="R258" i="17" s="1"/>
  <c r="R288" i="17" a="1"/>
  <c r="R288" i="17" s="1"/>
  <c r="R318" i="17" a="1"/>
  <c r="R318" i="17" s="1"/>
  <c r="R428" i="17" a="1"/>
  <c r="R428" i="17" s="1"/>
  <c r="R429" i="17" a="1"/>
  <c r="R429" i="17" s="1"/>
  <c r="R430" i="17" a="1"/>
  <c r="R430" i="17" s="1"/>
  <c r="R431" i="17" a="1"/>
  <c r="R431" i="17" s="1"/>
  <c r="R432" i="17" a="1"/>
  <c r="R432" i="17" s="1"/>
  <c r="R433" i="17" a="1"/>
  <c r="R433" i="17" s="1"/>
  <c r="R19" i="17" a="1"/>
  <c r="R19" i="17" s="1"/>
  <c r="R49" i="17" a="1"/>
  <c r="R49" i="17" s="1"/>
  <c r="R79" i="17" a="1"/>
  <c r="R79" i="17" s="1"/>
  <c r="R109" i="17" a="1"/>
  <c r="R109" i="17" s="1"/>
  <c r="R139" i="17" a="1"/>
  <c r="R139" i="17" s="1"/>
  <c r="R169" i="17" a="1"/>
  <c r="R169" i="17" s="1"/>
  <c r="R199" i="17" a="1"/>
  <c r="R199" i="17" s="1"/>
  <c r="R229" i="17" a="1"/>
  <c r="R229" i="17" s="1"/>
  <c r="R259" i="17" a="1"/>
  <c r="R259" i="17" s="1"/>
  <c r="R289" i="17" a="1"/>
  <c r="R289" i="17" s="1"/>
  <c r="R319" i="17" a="1"/>
  <c r="R319" i="17" s="1"/>
  <c r="R434" i="17" a="1"/>
  <c r="R434" i="17" s="1"/>
  <c r="R435" i="17" a="1"/>
  <c r="R435" i="17" s="1"/>
  <c r="R436" i="17" a="1"/>
  <c r="R436" i="17" s="1"/>
  <c r="R437" i="17" a="1"/>
  <c r="R437" i="17" s="1"/>
  <c r="R438" i="17" a="1"/>
  <c r="R438" i="17" s="1"/>
  <c r="R439" i="17" a="1"/>
  <c r="R439" i="17" s="1"/>
  <c r="R20" i="17" a="1"/>
  <c r="R20" i="17" s="1"/>
  <c r="R50" i="17" a="1"/>
  <c r="R50" i="17" s="1"/>
  <c r="R80" i="17" a="1"/>
  <c r="R80" i="17" s="1"/>
  <c r="R110" i="17" a="1"/>
  <c r="R110" i="17" s="1"/>
  <c r="R140" i="17" a="1"/>
  <c r="R140" i="17" s="1"/>
  <c r="R170" i="17" a="1"/>
  <c r="R170" i="17" s="1"/>
  <c r="R200" i="17" a="1"/>
  <c r="R200" i="17" s="1"/>
  <c r="R230" i="17" a="1"/>
  <c r="R230" i="17" s="1"/>
  <c r="R260" i="17" a="1"/>
  <c r="R260" i="17" s="1"/>
  <c r="R290" i="17" a="1"/>
  <c r="R290" i="17" s="1"/>
  <c r="R320" i="17" a="1"/>
  <c r="R320" i="17" s="1"/>
  <c r="R440" i="17" a="1"/>
  <c r="R440" i="17" s="1"/>
  <c r="R441" i="17" a="1"/>
  <c r="R441" i="17" s="1"/>
  <c r="R442" i="17" a="1"/>
  <c r="R442" i="17" s="1"/>
  <c r="R443" i="17" a="1"/>
  <c r="R443" i="17" s="1"/>
  <c r="R444" i="17" a="1"/>
  <c r="R444" i="17" s="1"/>
  <c r="R445" i="17" a="1"/>
  <c r="R445" i="17" s="1"/>
  <c r="R21" i="17" a="1"/>
  <c r="R21" i="17" s="1"/>
  <c r="R51" i="17" a="1"/>
  <c r="R51" i="17" s="1"/>
  <c r="R81" i="17" a="1"/>
  <c r="R81" i="17" s="1"/>
  <c r="R111" i="17" a="1"/>
  <c r="R111" i="17" s="1"/>
  <c r="R141" i="17" a="1"/>
  <c r="R141" i="17" s="1"/>
  <c r="R171" i="17" a="1"/>
  <c r="R171" i="17" s="1"/>
  <c r="R201" i="17" a="1"/>
  <c r="R201" i="17" s="1"/>
  <c r="R231" i="17" a="1"/>
  <c r="R231" i="17" s="1"/>
  <c r="R261" i="17" a="1"/>
  <c r="R261" i="17" s="1"/>
  <c r="R291" i="17" a="1"/>
  <c r="R291" i="17" s="1"/>
  <c r="R321" i="17" a="1"/>
  <c r="R321" i="17" s="1"/>
  <c r="R446" i="17" a="1"/>
  <c r="R446" i="17" s="1"/>
  <c r="R447" i="17" a="1"/>
  <c r="R447" i="17" s="1"/>
  <c r="R448" i="17" a="1"/>
  <c r="R448" i="17" s="1"/>
  <c r="R449" i="17" a="1"/>
  <c r="R449" i="17" s="1"/>
  <c r="R450" i="17" a="1"/>
  <c r="R450" i="17" s="1"/>
  <c r="R451" i="17" a="1"/>
  <c r="R451" i="17" s="1"/>
  <c r="R22" i="17" a="1"/>
  <c r="R22" i="17" s="1"/>
  <c r="R52" i="17" a="1"/>
  <c r="R52" i="17" s="1"/>
  <c r="R82" i="17" a="1"/>
  <c r="R82" i="17" s="1"/>
  <c r="R112" i="17" a="1"/>
  <c r="R112" i="17" s="1"/>
  <c r="R142" i="17" a="1"/>
  <c r="R142" i="17" s="1"/>
  <c r="R172" i="17" a="1"/>
  <c r="R172" i="17" s="1"/>
  <c r="R202" i="17" a="1"/>
  <c r="R202" i="17" s="1"/>
  <c r="R232" i="17" a="1"/>
  <c r="R232" i="17" s="1"/>
  <c r="R262" i="17" a="1"/>
  <c r="R262" i="17" s="1"/>
  <c r="R292" i="17" a="1"/>
  <c r="R292" i="17" s="1"/>
  <c r="R322" i="17" a="1"/>
  <c r="R322" i="17" s="1"/>
  <c r="R452" i="17" a="1"/>
  <c r="R452" i="17" s="1"/>
  <c r="R453" i="17" a="1"/>
  <c r="R453" i="17" s="1"/>
  <c r="R454" i="17" a="1"/>
  <c r="R454" i="17" s="1"/>
  <c r="R455" i="17" a="1"/>
  <c r="R455" i="17" s="1"/>
  <c r="R456" i="17" a="1"/>
  <c r="R456" i="17" s="1"/>
  <c r="R457" i="17" a="1"/>
  <c r="R457" i="17" s="1"/>
  <c r="R23" i="17" a="1"/>
  <c r="R23" i="17" s="1"/>
  <c r="R53" i="17" a="1"/>
  <c r="R53" i="17" s="1"/>
  <c r="R83" i="17" a="1"/>
  <c r="R83" i="17" s="1"/>
  <c r="R113" i="17" a="1"/>
  <c r="R113" i="17" s="1"/>
  <c r="R143" i="17" a="1"/>
  <c r="R143" i="17" s="1"/>
  <c r="R173" i="17" a="1"/>
  <c r="R173" i="17" s="1"/>
  <c r="R203" i="17" a="1"/>
  <c r="R203" i="17" s="1"/>
  <c r="R233" i="17" a="1"/>
  <c r="R233" i="17" s="1"/>
  <c r="R263" i="17" a="1"/>
  <c r="R263" i="17" s="1"/>
  <c r="R293" i="17" a="1"/>
  <c r="R293" i="17" s="1"/>
  <c r="R323" i="17" a="1"/>
  <c r="R323" i="17" s="1"/>
  <c r="R458" i="17" a="1"/>
  <c r="R458" i="17" s="1"/>
  <c r="R459" i="17" a="1"/>
  <c r="R459" i="17" s="1"/>
  <c r="R460" i="17" a="1"/>
  <c r="R460" i="17" s="1"/>
  <c r="R461" i="17" a="1"/>
  <c r="R461" i="17" s="1"/>
  <c r="R462" i="17" a="1"/>
  <c r="R462" i="17" s="1"/>
  <c r="R463" i="17" a="1"/>
  <c r="R463" i="17" s="1"/>
  <c r="R24" i="17" a="1"/>
  <c r="R24" i="17" s="1"/>
  <c r="R54" i="17" a="1"/>
  <c r="R54" i="17" s="1"/>
  <c r="R84" i="17" a="1"/>
  <c r="R84" i="17" s="1"/>
  <c r="R114" i="17" a="1"/>
  <c r="R114" i="17" s="1"/>
  <c r="R144" i="17" a="1"/>
  <c r="R144" i="17" s="1"/>
  <c r="R174" i="17" a="1"/>
  <c r="R174" i="17" s="1"/>
  <c r="R204" i="17" a="1"/>
  <c r="R204" i="17" s="1"/>
  <c r="R234" i="17" a="1"/>
  <c r="R234" i="17" s="1"/>
  <c r="R264" i="17" a="1"/>
  <c r="R264" i="17" s="1"/>
  <c r="R294" i="17" a="1"/>
  <c r="R294" i="17" s="1"/>
  <c r="R324" i="17" a="1"/>
  <c r="R324" i="17" s="1"/>
  <c r="R464" i="17" a="1"/>
  <c r="R464" i="17" s="1"/>
  <c r="R465" i="17" a="1"/>
  <c r="R465" i="17" s="1"/>
  <c r="R466" i="17" a="1"/>
  <c r="R466" i="17" s="1"/>
  <c r="R467" i="17" a="1"/>
  <c r="R467" i="17" s="1"/>
  <c r="R468" i="17" a="1"/>
  <c r="R468" i="17" s="1"/>
  <c r="R469" i="17" a="1"/>
  <c r="R469" i="17" s="1"/>
  <c r="R25" i="17" a="1"/>
  <c r="R25" i="17" s="1"/>
  <c r="R55" i="17" a="1"/>
  <c r="R55" i="17" s="1"/>
  <c r="R85" i="17" a="1"/>
  <c r="R85" i="17" s="1"/>
  <c r="R115" i="17" a="1"/>
  <c r="R115" i="17" s="1"/>
  <c r="R145" i="17" a="1"/>
  <c r="R145" i="17" s="1"/>
  <c r="R175" i="17" a="1"/>
  <c r="R175" i="17" s="1"/>
  <c r="R205" i="17" a="1"/>
  <c r="R205" i="17" s="1"/>
  <c r="R235" i="17" a="1"/>
  <c r="R235" i="17" s="1"/>
  <c r="R265" i="17" a="1"/>
  <c r="R265" i="17" s="1"/>
  <c r="R295" i="17" a="1"/>
  <c r="R295" i="17" s="1"/>
  <c r="R325" i="17" a="1"/>
  <c r="R325" i="17" s="1"/>
  <c r="R470" i="17" a="1"/>
  <c r="R470" i="17" s="1"/>
  <c r="R471" i="17" a="1"/>
  <c r="R471" i="17" s="1"/>
  <c r="R472" i="17" a="1"/>
  <c r="R472" i="17" s="1"/>
  <c r="R473" i="17" a="1"/>
  <c r="R473" i="17" s="1"/>
  <c r="R474" i="17" a="1"/>
  <c r="R474" i="17" s="1"/>
  <c r="R475" i="17" a="1"/>
  <c r="R475" i="17" s="1"/>
  <c r="R26" i="17" a="1"/>
  <c r="R26" i="17" s="1"/>
  <c r="R56" i="17" a="1"/>
  <c r="R56" i="17" s="1"/>
  <c r="R86" i="17" a="1"/>
  <c r="R86" i="17" s="1"/>
  <c r="R116" i="17" a="1"/>
  <c r="R116" i="17" s="1"/>
  <c r="R146" i="17" a="1"/>
  <c r="R146" i="17" s="1"/>
  <c r="R176" i="17" a="1"/>
  <c r="R176" i="17" s="1"/>
  <c r="R206" i="17" a="1"/>
  <c r="R206" i="17" s="1"/>
  <c r="R236" i="17" a="1"/>
  <c r="R236" i="17" s="1"/>
  <c r="R266" i="17" a="1"/>
  <c r="R266" i="17" s="1"/>
  <c r="R296" i="17" a="1"/>
  <c r="R296" i="17" s="1"/>
  <c r="R326" i="17" a="1"/>
  <c r="R326" i="17" s="1"/>
  <c r="R476" i="17" a="1"/>
  <c r="R476" i="17" s="1"/>
  <c r="R477" i="17" a="1"/>
  <c r="R477" i="17" s="1"/>
  <c r="R478" i="17" a="1"/>
  <c r="R478" i="17" s="1"/>
  <c r="R479" i="17" a="1"/>
  <c r="R479" i="17" s="1"/>
  <c r="R480" i="17" a="1"/>
  <c r="R480" i="17" s="1"/>
  <c r="R481" i="17" a="1"/>
  <c r="R481" i="17" s="1"/>
  <c r="R27" i="17" a="1"/>
  <c r="R27" i="17" s="1"/>
  <c r="R57" i="17" a="1"/>
  <c r="R57" i="17" s="1"/>
  <c r="R87" i="17" a="1"/>
  <c r="R87" i="17" s="1"/>
  <c r="R117" i="17" a="1"/>
  <c r="R117" i="17" s="1"/>
  <c r="R147" i="17" a="1"/>
  <c r="R147" i="17" s="1"/>
  <c r="R177" i="17" a="1"/>
  <c r="R177" i="17" s="1"/>
  <c r="R207" i="17" a="1"/>
  <c r="R207" i="17" s="1"/>
  <c r="R237" i="17" a="1"/>
  <c r="R237" i="17" s="1"/>
  <c r="R267" i="17" a="1"/>
  <c r="R267" i="17" s="1"/>
  <c r="R297" i="17" a="1"/>
  <c r="R297" i="17" s="1"/>
  <c r="R327" i="17" a="1"/>
  <c r="R327" i="17" s="1"/>
  <c r="R482" i="17" a="1"/>
  <c r="R482" i="17" s="1"/>
  <c r="R483" i="17" a="1"/>
  <c r="R483" i="17" s="1"/>
  <c r="R484" i="17" a="1"/>
  <c r="R484" i="17" s="1"/>
  <c r="R485" i="17" a="1"/>
  <c r="R485" i="17" s="1"/>
  <c r="R486" i="17" a="1"/>
  <c r="R486" i="17" s="1"/>
  <c r="R487" i="17" a="1"/>
  <c r="R487" i="17" s="1"/>
  <c r="R28" i="17" a="1"/>
  <c r="R28" i="17" s="1"/>
  <c r="R58" i="17" a="1"/>
  <c r="R58" i="17" s="1"/>
  <c r="R88" i="17" a="1"/>
  <c r="R88" i="17"/>
  <c r="R118" i="17" a="1"/>
  <c r="R118" i="17" s="1"/>
  <c r="R148" i="17" a="1"/>
  <c r="R148" i="17" s="1"/>
  <c r="R178" i="17" a="1"/>
  <c r="R178" i="17" s="1"/>
  <c r="R208" i="17" a="1"/>
  <c r="R208" i="17" s="1"/>
  <c r="R238" i="17" a="1"/>
  <c r="R238" i="17" s="1"/>
  <c r="R268" i="17" a="1"/>
  <c r="R268" i="17" s="1"/>
  <c r="R298" i="17" a="1"/>
  <c r="R298" i="17" s="1"/>
  <c r="R328" i="17" a="1"/>
  <c r="R328" i="17" s="1"/>
  <c r="R488" i="17" a="1"/>
  <c r="R488" i="17" s="1"/>
  <c r="R489" i="17" a="1"/>
  <c r="R489" i="17" s="1"/>
  <c r="R490" i="17" a="1"/>
  <c r="R490" i="17" s="1"/>
  <c r="R491" i="17" a="1"/>
  <c r="R491" i="17" s="1"/>
  <c r="R492" i="17" a="1"/>
  <c r="R492" i="17" s="1"/>
  <c r="R493" i="17" a="1"/>
  <c r="R493" i="17"/>
  <c r="R29" i="17" a="1"/>
  <c r="R29" i="17" s="1"/>
  <c r="R59" i="17" a="1"/>
  <c r="R59" i="17" s="1"/>
  <c r="R89" i="17" a="1"/>
  <c r="R89" i="17" s="1"/>
  <c r="R119" i="17" a="1"/>
  <c r="R119" i="17" s="1"/>
  <c r="R149" i="17" a="1"/>
  <c r="R149" i="17" s="1"/>
  <c r="R179" i="17" a="1"/>
  <c r="R179" i="17" s="1"/>
  <c r="R209" i="17" a="1"/>
  <c r="R209" i="17" s="1"/>
  <c r="R239" i="17" a="1"/>
  <c r="R239" i="17" s="1"/>
  <c r="R269" i="17" a="1"/>
  <c r="R269" i="17" s="1"/>
  <c r="R299" i="17" a="1"/>
  <c r="R299" i="17" s="1"/>
  <c r="R329" i="17" a="1"/>
  <c r="R329" i="17"/>
  <c r="R494" i="17" a="1"/>
  <c r="R494" i="17" s="1"/>
  <c r="R495" i="17" a="1"/>
  <c r="R495" i="17" s="1"/>
  <c r="R496" i="17" a="1"/>
  <c r="R496" i="17" s="1"/>
  <c r="R497" i="17" a="1"/>
  <c r="R497" i="17" s="1"/>
  <c r="R498" i="17" a="1"/>
  <c r="R498" i="17" s="1"/>
  <c r="R499" i="17" a="1"/>
  <c r="R499" i="17" s="1"/>
  <c r="R30" i="17" a="1"/>
  <c r="R30" i="17" s="1"/>
  <c r="R60" i="17" a="1"/>
  <c r="R60" i="17" s="1"/>
  <c r="R90" i="17" a="1"/>
  <c r="R90" i="17" s="1"/>
  <c r="R120" i="17" a="1"/>
  <c r="R120" i="17" s="1"/>
  <c r="R150" i="17" a="1"/>
  <c r="R150" i="17" s="1"/>
  <c r="R180" i="17" a="1"/>
  <c r="R180" i="17" s="1"/>
  <c r="R210" i="17" a="1"/>
  <c r="R210" i="17" s="1"/>
  <c r="R240" i="17" a="1"/>
  <c r="R240" i="17" s="1"/>
  <c r="R270" i="17" a="1"/>
  <c r="R270" i="17" s="1"/>
  <c r="R300" i="17" a="1"/>
  <c r="R300" i="17" s="1"/>
  <c r="R330" i="17" a="1"/>
  <c r="R330" i="17" s="1"/>
  <c r="R500" i="17" a="1"/>
  <c r="R500" i="17" s="1"/>
  <c r="R501" i="17" a="1"/>
  <c r="R501" i="17" s="1"/>
  <c r="R502" i="17" a="1"/>
  <c r="R502" i="17" s="1"/>
  <c r="R503" i="17" a="1"/>
  <c r="R503" i="17" s="1"/>
  <c r="R504" i="17" a="1"/>
  <c r="R504" i="17" s="1"/>
  <c r="R505" i="17" a="1"/>
  <c r="R505" i="17" s="1"/>
  <c r="R31" i="17" a="1"/>
  <c r="R31" i="17" s="1"/>
  <c r="R61" i="17" a="1"/>
  <c r="R61" i="17" s="1"/>
  <c r="R91" i="17" a="1"/>
  <c r="R91" i="17" s="1"/>
  <c r="R121" i="17" a="1"/>
  <c r="R121" i="17" s="1"/>
  <c r="R151" i="17" a="1"/>
  <c r="R151" i="17" s="1"/>
  <c r="R181" i="17" a="1"/>
  <c r="R181" i="17" s="1"/>
  <c r="R211" i="17" a="1"/>
  <c r="R211" i="17" s="1"/>
  <c r="R241" i="17" a="1"/>
  <c r="R241" i="17" s="1"/>
  <c r="R271" i="17" a="1"/>
  <c r="R271" i="17" s="1"/>
  <c r="R301" i="17" a="1"/>
  <c r="R301" i="17" s="1"/>
  <c r="R331" i="17" a="1"/>
  <c r="R331" i="17" s="1"/>
  <c r="R506" i="17" a="1"/>
  <c r="R506" i="17" s="1"/>
  <c r="R507" i="17" a="1"/>
  <c r="R507" i="17" s="1"/>
  <c r="R508" i="17" a="1"/>
  <c r="R508" i="17" s="1"/>
  <c r="R509" i="17" a="1"/>
  <c r="R509" i="17" s="1"/>
  <c r="R510" i="17" a="1"/>
  <c r="R510" i="17" s="1"/>
  <c r="R511" i="17" a="1"/>
  <c r="R511" i="17" s="1"/>
  <c r="S2" i="17" a="1"/>
  <c r="S2" i="17" s="1"/>
  <c r="S32" i="17" a="1"/>
  <c r="S32" i="17" s="1"/>
  <c r="S62" i="17" a="1"/>
  <c r="S62" i="17" s="1"/>
  <c r="S92" i="17" a="1"/>
  <c r="S92" i="17" s="1"/>
  <c r="S122" i="17" a="1"/>
  <c r="S122" i="17" s="1"/>
  <c r="S152" i="17" a="1"/>
  <c r="S152" i="17" s="1"/>
  <c r="S182" i="17" a="1"/>
  <c r="S182" i="17" s="1"/>
  <c r="S212" i="17" a="1"/>
  <c r="S212" i="17" s="1"/>
  <c r="S242" i="17" a="1"/>
  <c r="S242" i="17" s="1"/>
  <c r="S272" i="17" a="1"/>
  <c r="S272" i="17" s="1"/>
  <c r="S302" i="17" a="1"/>
  <c r="S302" i="17" s="1"/>
  <c r="S332" i="17" a="1"/>
  <c r="S332" i="17" s="1"/>
  <c r="S333" i="17" a="1"/>
  <c r="S333" i="17" s="1"/>
  <c r="S334" i="17" a="1"/>
  <c r="S334" i="17" s="1"/>
  <c r="S335" i="17" a="1"/>
  <c r="S335" i="17" s="1"/>
  <c r="S336" i="17" a="1"/>
  <c r="S336" i="17" s="1"/>
  <c r="S337" i="17" a="1"/>
  <c r="S337" i="17" s="1"/>
  <c r="S3" i="17" a="1"/>
  <c r="S3" i="17" s="1"/>
  <c r="S33" i="17" a="1"/>
  <c r="S33" i="17" s="1"/>
  <c r="S63" i="17" a="1"/>
  <c r="S63" i="17" s="1"/>
  <c r="S93" i="17" a="1"/>
  <c r="S93" i="17" s="1"/>
  <c r="S123" i="17" a="1"/>
  <c r="S123" i="17" s="1"/>
  <c r="S153" i="17" a="1"/>
  <c r="S153" i="17" s="1"/>
  <c r="S183" i="17" a="1"/>
  <c r="S183" i="17" s="1"/>
  <c r="S213" i="17" a="1"/>
  <c r="S213" i="17" s="1"/>
  <c r="S243" i="17" a="1"/>
  <c r="S243" i="17" s="1"/>
  <c r="S273" i="17" a="1"/>
  <c r="S273" i="17" s="1"/>
  <c r="S303" i="17" a="1"/>
  <c r="S303" i="17" s="1"/>
  <c r="S338" i="17" a="1"/>
  <c r="S338" i="17" s="1"/>
  <c r="S339" i="17" a="1"/>
  <c r="S339" i="17" s="1"/>
  <c r="S340" i="17" a="1"/>
  <c r="S340" i="17" s="1"/>
  <c r="S341" i="17" a="1"/>
  <c r="S341" i="17" s="1"/>
  <c r="S342" i="17" a="1"/>
  <c r="S342" i="17"/>
  <c r="S343" i="17" a="1"/>
  <c r="S343" i="17" s="1"/>
  <c r="S4" i="17" a="1"/>
  <c r="S4" i="17" s="1"/>
  <c r="S34" i="17" a="1"/>
  <c r="S34" i="17" s="1"/>
  <c r="S64" i="17" a="1"/>
  <c r="S64" i="17" s="1"/>
  <c r="S94" i="17" a="1"/>
  <c r="S94" i="17" s="1"/>
  <c r="S124" i="17" a="1"/>
  <c r="S124" i="17" s="1"/>
  <c r="S154" i="17" a="1"/>
  <c r="S154" i="17" s="1"/>
  <c r="S184" i="17" a="1"/>
  <c r="S184" i="17" s="1"/>
  <c r="S214" i="17" a="1"/>
  <c r="S214" i="17" s="1"/>
  <c r="S244" i="17" a="1"/>
  <c r="S244" i="17" s="1"/>
  <c r="S274" i="17" a="1"/>
  <c r="S274" i="17"/>
  <c r="S304" i="17" a="1"/>
  <c r="S304" i="17" s="1"/>
  <c r="S344" i="17" a="1"/>
  <c r="S344" i="17" s="1"/>
  <c r="S345" i="17" a="1"/>
  <c r="S345" i="17" s="1"/>
  <c r="S346" i="17" a="1"/>
  <c r="S346" i="17" s="1"/>
  <c r="S347" i="17" a="1"/>
  <c r="S347" i="17" s="1"/>
  <c r="S348" i="17" a="1"/>
  <c r="S348" i="17" s="1"/>
  <c r="S349" i="17" a="1"/>
  <c r="S349" i="17" s="1"/>
  <c r="S5" i="17" a="1"/>
  <c r="S5" i="17" s="1"/>
  <c r="S35" i="17" a="1"/>
  <c r="S35" i="17" s="1"/>
  <c r="S65" i="17" a="1"/>
  <c r="S65" i="17" s="1"/>
  <c r="S95" i="17" a="1"/>
  <c r="S95" i="17" s="1"/>
  <c r="S125" i="17" a="1"/>
  <c r="S125" i="17" s="1"/>
  <c r="S155" i="17" a="1"/>
  <c r="S155" i="17" s="1"/>
  <c r="S185" i="17" a="1"/>
  <c r="S185" i="17" s="1"/>
  <c r="S215" i="17" a="1"/>
  <c r="S215" i="17" s="1"/>
  <c r="S245" i="17" a="1"/>
  <c r="S245" i="17" s="1"/>
  <c r="S275" i="17" a="1"/>
  <c r="S275" i="17" s="1"/>
  <c r="S305" i="17" a="1"/>
  <c r="S305" i="17" s="1"/>
  <c r="S350" i="17" a="1"/>
  <c r="S350" i="17" s="1"/>
  <c r="S351" i="17" a="1"/>
  <c r="S351" i="17" s="1"/>
  <c r="S352" i="17" a="1"/>
  <c r="S352" i="17" s="1"/>
  <c r="S353" i="17" a="1"/>
  <c r="S353" i="17" s="1"/>
  <c r="S354" i="17" a="1"/>
  <c r="S354" i="17" s="1"/>
  <c r="S355" i="17" a="1"/>
  <c r="S355" i="17" s="1"/>
  <c r="S6" i="17" a="1"/>
  <c r="S6" i="17"/>
  <c r="S36" i="17" a="1"/>
  <c r="S36" i="17" s="1"/>
  <c r="S66" i="17" a="1"/>
  <c r="S66" i="17" s="1"/>
  <c r="S96" i="17" a="1"/>
  <c r="S96" i="17" s="1"/>
  <c r="S126" i="17" a="1"/>
  <c r="S126" i="17" s="1"/>
  <c r="S156" i="17" a="1"/>
  <c r="S156" i="17" s="1"/>
  <c r="S186" i="17" a="1"/>
  <c r="S186" i="17" s="1"/>
  <c r="S216" i="17" a="1"/>
  <c r="S216" i="17" s="1"/>
  <c r="S246" i="17" a="1"/>
  <c r="S246" i="17" s="1"/>
  <c r="S276" i="17" a="1"/>
  <c r="S276" i="17" s="1"/>
  <c r="S306" i="17" a="1"/>
  <c r="S306" i="17"/>
  <c r="S356" i="17" a="1"/>
  <c r="S356" i="17" s="1"/>
  <c r="S357" i="17" a="1"/>
  <c r="S357" i="17" s="1"/>
  <c r="S358" i="17" a="1"/>
  <c r="S358" i="17" s="1"/>
  <c r="S359" i="17" a="1"/>
  <c r="S359" i="17" s="1"/>
  <c r="S360" i="17" a="1"/>
  <c r="S360" i="17" s="1"/>
  <c r="S361" i="17" a="1"/>
  <c r="S361" i="17" s="1"/>
  <c r="S7" i="17" a="1"/>
  <c r="S7" i="17" s="1"/>
  <c r="S37" i="17" a="1"/>
  <c r="S37" i="17" s="1"/>
  <c r="S67" i="17" a="1"/>
  <c r="S67" i="17" s="1"/>
  <c r="S97" i="17" a="1"/>
  <c r="S97" i="17" s="1"/>
  <c r="S127" i="17" a="1"/>
  <c r="S127" i="17" s="1"/>
  <c r="S157" i="17" a="1"/>
  <c r="S157" i="17" s="1"/>
  <c r="S187" i="17" a="1"/>
  <c r="S187" i="17" s="1"/>
  <c r="S217" i="17" a="1"/>
  <c r="S217" i="17" s="1"/>
  <c r="S247" i="17" a="1"/>
  <c r="S247" i="17" s="1"/>
  <c r="S277" i="17" a="1"/>
  <c r="S277" i="17" s="1"/>
  <c r="S307" i="17" a="1"/>
  <c r="S307" i="17" s="1"/>
  <c r="S362" i="17" a="1"/>
  <c r="S362" i="17" s="1"/>
  <c r="S363" i="17" a="1"/>
  <c r="S363" i="17" s="1"/>
  <c r="S364" i="17" a="1"/>
  <c r="S364" i="17" s="1"/>
  <c r="S365" i="17" a="1"/>
  <c r="S365" i="17" s="1"/>
  <c r="S366" i="17" a="1"/>
  <c r="S366" i="17" s="1"/>
  <c r="S367" i="17" a="1"/>
  <c r="S367" i="17" s="1"/>
  <c r="S8" i="17" a="1"/>
  <c r="S8" i="17" s="1"/>
  <c r="S38" i="17" a="1"/>
  <c r="S38" i="17" s="1"/>
  <c r="S68" i="17" a="1"/>
  <c r="S68" i="17" s="1"/>
  <c r="S98" i="17" a="1"/>
  <c r="S98" i="17" s="1"/>
  <c r="S128" i="17" a="1"/>
  <c r="S128" i="17" s="1"/>
  <c r="S158" i="17" a="1"/>
  <c r="S158" i="17" s="1"/>
  <c r="S188" i="17" a="1"/>
  <c r="S188" i="17" s="1"/>
  <c r="S218" i="17" a="1"/>
  <c r="S218" i="17" s="1"/>
  <c r="S248" i="17" a="1"/>
  <c r="S248" i="17" s="1"/>
  <c r="S278" i="17" a="1"/>
  <c r="S278" i="17" s="1"/>
  <c r="S308" i="17" a="1"/>
  <c r="S308" i="17" s="1"/>
  <c r="S368" i="17" a="1"/>
  <c r="S368" i="17" s="1"/>
  <c r="S369" i="17" a="1"/>
  <c r="S369" i="17" s="1"/>
  <c r="S370" i="17" a="1"/>
  <c r="S370" i="17" s="1"/>
  <c r="S371" i="17" a="1"/>
  <c r="S371" i="17"/>
  <c r="S372" i="17" a="1"/>
  <c r="S372" i="17" s="1"/>
  <c r="S373" i="17" a="1"/>
  <c r="S373" i="17" s="1"/>
  <c r="S9" i="17" a="1"/>
  <c r="S9" i="17" s="1"/>
  <c r="S39" i="17" a="1"/>
  <c r="S39" i="17" s="1"/>
  <c r="S69" i="17" a="1"/>
  <c r="S69" i="17" s="1"/>
  <c r="S99" i="17" a="1"/>
  <c r="S99" i="17" s="1"/>
  <c r="S129" i="17" a="1"/>
  <c r="S129" i="17" s="1"/>
  <c r="S159" i="17" a="1"/>
  <c r="S159" i="17" s="1"/>
  <c r="S189" i="17" a="1"/>
  <c r="S189" i="17" s="1"/>
  <c r="S219" i="17" a="1"/>
  <c r="S219" i="17" s="1"/>
  <c r="S249" i="17" a="1"/>
  <c r="S249" i="17"/>
  <c r="S279" i="17" a="1"/>
  <c r="S279" i="17" s="1"/>
  <c r="S309" i="17" a="1"/>
  <c r="S309" i="17" s="1"/>
  <c r="S374" i="17" a="1"/>
  <c r="S374" i="17" s="1"/>
  <c r="S375" i="17" a="1"/>
  <c r="S375" i="17" s="1"/>
  <c r="S376" i="17" a="1"/>
  <c r="S376" i="17" s="1"/>
  <c r="S377" i="17" a="1"/>
  <c r="S377" i="17" s="1"/>
  <c r="S378" i="17" a="1"/>
  <c r="S378" i="17" s="1"/>
  <c r="S379" i="17" a="1"/>
  <c r="S379" i="17" s="1"/>
  <c r="S10" i="17" a="1"/>
  <c r="S10" i="17" s="1"/>
  <c r="S40" i="17" a="1"/>
  <c r="S40" i="17" s="1"/>
  <c r="S70" i="17" a="1"/>
  <c r="S70" i="17" s="1"/>
  <c r="S100" i="17" a="1"/>
  <c r="S100" i="17" s="1"/>
  <c r="S130" i="17" a="1"/>
  <c r="S130" i="17"/>
  <c r="S160" i="17" a="1"/>
  <c r="S160" i="17" s="1"/>
  <c r="S190" i="17" a="1"/>
  <c r="S190" i="17" s="1"/>
  <c r="S220" i="17" a="1"/>
  <c r="S220" i="17" s="1"/>
  <c r="S250" i="17" a="1"/>
  <c r="S250" i="17" s="1"/>
  <c r="S280" i="17" a="1"/>
  <c r="S280" i="17" s="1"/>
  <c r="S310" i="17" a="1"/>
  <c r="S310" i="17" s="1"/>
  <c r="S380" i="17" a="1"/>
  <c r="S380" i="17" s="1"/>
  <c r="S381" i="17" a="1"/>
  <c r="S381" i="17" s="1"/>
  <c r="S382" i="17" a="1"/>
  <c r="S382" i="17" s="1"/>
  <c r="S383" i="17" a="1"/>
  <c r="S383" i="17" s="1"/>
  <c r="S384" i="17" a="1"/>
  <c r="S384" i="17" s="1"/>
  <c r="S385" i="17" a="1"/>
  <c r="S385" i="17" s="1"/>
  <c r="S11" i="17" a="1"/>
  <c r="S11" i="17" s="1"/>
  <c r="S41" i="17" a="1"/>
  <c r="S41" i="17" s="1"/>
  <c r="S71" i="17" a="1"/>
  <c r="S71" i="17" s="1"/>
  <c r="S101" i="17" a="1"/>
  <c r="S101" i="17" s="1"/>
  <c r="S131" i="17" a="1"/>
  <c r="S131" i="17" s="1"/>
  <c r="S161" i="17" a="1"/>
  <c r="S161" i="17" s="1"/>
  <c r="S191" i="17" a="1"/>
  <c r="S191" i="17" s="1"/>
  <c r="S221" i="17" a="1"/>
  <c r="S221" i="17" s="1"/>
  <c r="S251" i="17" a="1"/>
  <c r="S251" i="17" s="1"/>
  <c r="S281" i="17" a="1"/>
  <c r="S281" i="17" s="1"/>
  <c r="S311" i="17" a="1"/>
  <c r="S311" i="17"/>
  <c r="S386" i="17" a="1"/>
  <c r="S386" i="17" s="1"/>
  <c r="S387" i="17" a="1"/>
  <c r="S387" i="17" s="1"/>
  <c r="S388" i="17" a="1"/>
  <c r="S388" i="17" s="1"/>
  <c r="S389" i="17" a="1"/>
  <c r="S389" i="17" s="1"/>
  <c r="S390" i="17" a="1"/>
  <c r="S390" i="17" s="1"/>
  <c r="S391" i="17" a="1"/>
  <c r="S391" i="17" s="1"/>
  <c r="S12" i="17" a="1"/>
  <c r="S12" i="17" s="1"/>
  <c r="S42" i="17" a="1"/>
  <c r="S42" i="17" s="1"/>
  <c r="S72" i="17" a="1"/>
  <c r="S72" i="17" s="1"/>
  <c r="S102" i="17" a="1"/>
  <c r="S102" i="17" s="1"/>
  <c r="S132" i="17" a="1"/>
  <c r="S132" i="17" s="1"/>
  <c r="S162" i="17" a="1"/>
  <c r="S162" i="17" s="1"/>
  <c r="S192" i="17" a="1"/>
  <c r="S192" i="17" s="1"/>
  <c r="S222" i="17" a="1"/>
  <c r="S222" i="17" s="1"/>
  <c r="S252" i="17" a="1"/>
  <c r="S252" i="17" s="1"/>
  <c r="S282" i="17" a="1"/>
  <c r="S282" i="17" s="1"/>
  <c r="S312" i="17" a="1"/>
  <c r="S312" i="17" s="1"/>
  <c r="S392" i="17" a="1"/>
  <c r="S392" i="17" s="1"/>
  <c r="S393" i="17" a="1"/>
  <c r="S393" i="17" s="1"/>
  <c r="S394" i="17" a="1"/>
  <c r="S394" i="17" s="1"/>
  <c r="S395" i="17" a="1"/>
  <c r="S395" i="17" s="1"/>
  <c r="S396" i="17" a="1"/>
  <c r="S396" i="17" s="1"/>
  <c r="S397" i="17" a="1"/>
  <c r="S397" i="17" s="1"/>
  <c r="S13" i="17" a="1"/>
  <c r="S13" i="17" s="1"/>
  <c r="S43" i="17" a="1"/>
  <c r="S43" i="17" s="1"/>
  <c r="S73" i="17" a="1"/>
  <c r="S73" i="17" s="1"/>
  <c r="S103" i="17" a="1"/>
  <c r="S103" i="17" s="1"/>
  <c r="S133" i="17" a="1"/>
  <c r="S133" i="17" s="1"/>
  <c r="S163" i="17" a="1"/>
  <c r="S163" i="17" s="1"/>
  <c r="S193" i="17" a="1"/>
  <c r="S193" i="17" s="1"/>
  <c r="S223" i="17" a="1"/>
  <c r="S223" i="17" s="1"/>
  <c r="S253" i="17" a="1"/>
  <c r="S253" i="17" s="1"/>
  <c r="S283" i="17" a="1"/>
  <c r="S283" i="17" s="1"/>
  <c r="S313" i="17" a="1"/>
  <c r="S313" i="17" s="1"/>
  <c r="S398" i="17" a="1"/>
  <c r="S398" i="17" s="1"/>
  <c r="S399" i="17" a="1"/>
  <c r="S399" i="17" s="1"/>
  <c r="S400" i="17" a="1"/>
  <c r="S400" i="17" s="1"/>
  <c r="S401" i="17" a="1"/>
  <c r="S401" i="17" s="1"/>
  <c r="S402" i="17" a="1"/>
  <c r="S402" i="17" s="1"/>
  <c r="S403" i="17" a="1"/>
  <c r="S403" i="17" s="1"/>
  <c r="S14" i="17" a="1"/>
  <c r="S14" i="17" s="1"/>
  <c r="S44" i="17" a="1"/>
  <c r="S44" i="17" s="1"/>
  <c r="S74" i="17" a="1"/>
  <c r="S74" i="17" s="1"/>
  <c r="S104" i="17" a="1"/>
  <c r="S104" i="17" s="1"/>
  <c r="S134" i="17" a="1"/>
  <c r="S134" i="17" s="1"/>
  <c r="S164" i="17" a="1"/>
  <c r="S164" i="17" s="1"/>
  <c r="S194" i="17" a="1"/>
  <c r="S194" i="17" s="1"/>
  <c r="S224" i="17" a="1"/>
  <c r="S224" i="17" s="1"/>
  <c r="S254" i="17" a="1"/>
  <c r="S254" i="17" s="1"/>
  <c r="S284" i="17" a="1"/>
  <c r="S284" i="17" s="1"/>
  <c r="S314" i="17" a="1"/>
  <c r="S314" i="17" s="1"/>
  <c r="S404" i="17" a="1"/>
  <c r="S404" i="17" s="1"/>
  <c r="S405" i="17" a="1"/>
  <c r="S405" i="17" s="1"/>
  <c r="S406" i="17" a="1"/>
  <c r="S406" i="17" s="1"/>
  <c r="S407" i="17" a="1"/>
  <c r="S407" i="17" s="1"/>
  <c r="S408" i="17" a="1"/>
  <c r="S408" i="17" s="1"/>
  <c r="S409" i="17" a="1"/>
  <c r="S409" i="17" s="1"/>
  <c r="S15" i="17" a="1"/>
  <c r="S15" i="17" s="1"/>
  <c r="S45" i="17" a="1"/>
  <c r="S45" i="17" s="1"/>
  <c r="S75" i="17" a="1"/>
  <c r="S75" i="17" s="1"/>
  <c r="S105" i="17" a="1"/>
  <c r="S105" i="17" s="1"/>
  <c r="S135" i="17" a="1"/>
  <c r="S135" i="17" s="1"/>
  <c r="S165" i="17" a="1"/>
  <c r="S165" i="17" s="1"/>
  <c r="S195" i="17" a="1"/>
  <c r="S195" i="17" s="1"/>
  <c r="S225" i="17" a="1"/>
  <c r="S225" i="17" s="1"/>
  <c r="S255" i="17" a="1"/>
  <c r="S255" i="17" s="1"/>
  <c r="S285" i="17" a="1"/>
  <c r="S285" i="17" s="1"/>
  <c r="S315" i="17" a="1"/>
  <c r="S315" i="17" s="1"/>
  <c r="S410" i="17" a="1"/>
  <c r="S410" i="17" s="1"/>
  <c r="S411" i="17" a="1"/>
  <c r="S411" i="17" s="1"/>
  <c r="S412" i="17" a="1"/>
  <c r="S412" i="17" s="1"/>
  <c r="S413" i="17" a="1"/>
  <c r="S413" i="17" s="1"/>
  <c r="S414" i="17" a="1"/>
  <c r="S414" i="17" s="1"/>
  <c r="S415" i="17" a="1"/>
  <c r="S415" i="17" s="1"/>
  <c r="S16" i="17" a="1"/>
  <c r="S16" i="17" s="1"/>
  <c r="S46" i="17" a="1"/>
  <c r="S46" i="17" s="1"/>
  <c r="S76" i="17" a="1"/>
  <c r="S76" i="17" s="1"/>
  <c r="S106" i="17" a="1"/>
  <c r="S106" i="17" s="1"/>
  <c r="S136" i="17" a="1"/>
  <c r="S136" i="17" s="1"/>
  <c r="S166" i="17" a="1"/>
  <c r="S166" i="17" s="1"/>
  <c r="S196" i="17" a="1"/>
  <c r="S196" i="17" s="1"/>
  <c r="S226" i="17" a="1"/>
  <c r="S226" i="17" s="1"/>
  <c r="S256" i="17" a="1"/>
  <c r="S256" i="17" s="1"/>
  <c r="S286" i="17" a="1"/>
  <c r="S286" i="17" s="1"/>
  <c r="S316" i="17" a="1"/>
  <c r="S316" i="17" s="1"/>
  <c r="S416" i="17" a="1"/>
  <c r="S416" i="17" s="1"/>
  <c r="S417" i="17" a="1"/>
  <c r="S417" i="17" s="1"/>
  <c r="S418" i="17" a="1"/>
  <c r="S418" i="17" s="1"/>
  <c r="S419" i="17" a="1"/>
  <c r="S419" i="17" s="1"/>
  <c r="S420" i="17" a="1"/>
  <c r="S420" i="17" s="1"/>
  <c r="S421" i="17" a="1"/>
  <c r="S421" i="17" s="1"/>
  <c r="S17" i="17" a="1"/>
  <c r="S17" i="17" s="1"/>
  <c r="S47" i="17" a="1"/>
  <c r="S47" i="17" s="1"/>
  <c r="S77" i="17" a="1"/>
  <c r="S77" i="17" s="1"/>
  <c r="S107" i="17" a="1"/>
  <c r="S107" i="17" s="1"/>
  <c r="S137" i="17" a="1"/>
  <c r="S137" i="17" s="1"/>
  <c r="S167" i="17" a="1"/>
  <c r="S167" i="17" s="1"/>
  <c r="S197" i="17" a="1"/>
  <c r="S197" i="17" s="1"/>
  <c r="S227" i="17" a="1"/>
  <c r="S227" i="17" s="1"/>
  <c r="S257" i="17" a="1"/>
  <c r="S257" i="17" s="1"/>
  <c r="S287" i="17" a="1"/>
  <c r="S287" i="17" s="1"/>
  <c r="S317" i="17" a="1"/>
  <c r="S317" i="17" s="1"/>
  <c r="S422" i="17" a="1"/>
  <c r="S422" i="17" s="1"/>
  <c r="S423" i="17" a="1"/>
  <c r="S423" i="17" s="1"/>
  <c r="S424" i="17" a="1"/>
  <c r="S424" i="17" s="1"/>
  <c r="S425" i="17" a="1"/>
  <c r="S425" i="17" s="1"/>
  <c r="S426" i="17" a="1"/>
  <c r="S426" i="17" s="1"/>
  <c r="S427" i="17" a="1"/>
  <c r="S427" i="17" s="1"/>
  <c r="S18" i="17" a="1"/>
  <c r="S18" i="17" s="1"/>
  <c r="S48" i="17" a="1"/>
  <c r="S48" i="17" s="1"/>
  <c r="S78" i="17" a="1"/>
  <c r="S78" i="17" s="1"/>
  <c r="S108" i="17" a="1"/>
  <c r="S108" i="17" s="1"/>
  <c r="S138" i="17" a="1"/>
  <c r="S138" i="17" s="1"/>
  <c r="S168" i="17" a="1"/>
  <c r="S168" i="17" s="1"/>
  <c r="S198" i="17" a="1"/>
  <c r="S198" i="17" s="1"/>
  <c r="S228" i="17" a="1"/>
  <c r="S228" i="17" s="1"/>
  <c r="S258" i="17" a="1"/>
  <c r="S258" i="17" s="1"/>
  <c r="S288" i="17" a="1"/>
  <c r="S288" i="17" s="1"/>
  <c r="S318" i="17" a="1"/>
  <c r="S318" i="17" s="1"/>
  <c r="S428" i="17" a="1"/>
  <c r="S428" i="17" s="1"/>
  <c r="S429" i="17" a="1"/>
  <c r="S429" i="17" s="1"/>
  <c r="S430" i="17" a="1"/>
  <c r="S430" i="17" s="1"/>
  <c r="S431" i="17" a="1"/>
  <c r="S431" i="17" s="1"/>
  <c r="S432" i="17" a="1"/>
  <c r="S432" i="17" s="1"/>
  <c r="S433" i="17" a="1"/>
  <c r="S433" i="17" s="1"/>
  <c r="S19" i="17" a="1"/>
  <c r="S19" i="17" s="1"/>
  <c r="S49" i="17" a="1"/>
  <c r="S49" i="17" s="1"/>
  <c r="S79" i="17" a="1"/>
  <c r="S79" i="17" s="1"/>
  <c r="S109" i="17" a="1"/>
  <c r="S109" i="17" s="1"/>
  <c r="S139" i="17" a="1"/>
  <c r="S139" i="17" s="1"/>
  <c r="S169" i="17" a="1"/>
  <c r="S169" i="17" s="1"/>
  <c r="S199" i="17" a="1"/>
  <c r="S199" i="17" s="1"/>
  <c r="S229" i="17" a="1"/>
  <c r="S229" i="17" s="1"/>
  <c r="S259" i="17" a="1"/>
  <c r="S259" i="17" s="1"/>
  <c r="S289" i="17" a="1"/>
  <c r="S289" i="17" s="1"/>
  <c r="S319" i="17" a="1"/>
  <c r="S319" i="17" s="1"/>
  <c r="S434" i="17" a="1"/>
  <c r="S434" i="17" s="1"/>
  <c r="S435" i="17" a="1"/>
  <c r="S435" i="17" s="1"/>
  <c r="S436" i="17" a="1"/>
  <c r="S436" i="17" s="1"/>
  <c r="S437" i="17" a="1"/>
  <c r="S437" i="17" s="1"/>
  <c r="S438" i="17" a="1"/>
  <c r="S438" i="17" s="1"/>
  <c r="S439" i="17" a="1"/>
  <c r="S439" i="17" s="1"/>
  <c r="S20" i="17" a="1"/>
  <c r="S20" i="17" s="1"/>
  <c r="S50" i="17" a="1"/>
  <c r="S50" i="17" s="1"/>
  <c r="S80" i="17" a="1"/>
  <c r="S80" i="17" s="1"/>
  <c r="S110" i="17" a="1"/>
  <c r="S110" i="17" s="1"/>
  <c r="S140" i="17" a="1"/>
  <c r="S140" i="17" s="1"/>
  <c r="S170" i="17" a="1"/>
  <c r="S170" i="17" s="1"/>
  <c r="S200" i="17" a="1"/>
  <c r="S200" i="17" s="1"/>
  <c r="S230" i="17" a="1"/>
  <c r="S230" i="17" s="1"/>
  <c r="S260" i="17" a="1"/>
  <c r="S260" i="17" s="1"/>
  <c r="S290" i="17" a="1"/>
  <c r="S290" i="17"/>
  <c r="S320" i="17" a="1"/>
  <c r="S320" i="17" s="1"/>
  <c r="S440" i="17" a="1"/>
  <c r="S440" i="17" s="1"/>
  <c r="S441" i="17" a="1"/>
  <c r="S441" i="17" s="1"/>
  <c r="S442" i="17" a="1"/>
  <c r="S442" i="17" s="1"/>
  <c r="S443" i="17" a="1"/>
  <c r="S443" i="17" s="1"/>
  <c r="S444" i="17" a="1"/>
  <c r="S444" i="17" s="1"/>
  <c r="S445" i="17" a="1"/>
  <c r="S445" i="17" s="1"/>
  <c r="S21" i="17" a="1"/>
  <c r="S21" i="17" s="1"/>
  <c r="S51" i="17" a="1"/>
  <c r="S51" i="17" s="1"/>
  <c r="S81" i="17" a="1"/>
  <c r="S81" i="17" s="1"/>
  <c r="S111" i="17" a="1"/>
  <c r="S111" i="17" s="1"/>
  <c r="S141" i="17" a="1"/>
  <c r="S141" i="17" s="1"/>
  <c r="S171" i="17" a="1"/>
  <c r="S171" i="17" s="1"/>
  <c r="S201" i="17" a="1"/>
  <c r="S201" i="17" s="1"/>
  <c r="S231" i="17" a="1"/>
  <c r="S231" i="17" s="1"/>
  <c r="S261" i="17" a="1"/>
  <c r="S261" i="17" s="1"/>
  <c r="S291" i="17" a="1"/>
  <c r="S291" i="17" s="1"/>
  <c r="S321" i="17" a="1"/>
  <c r="S321" i="17" s="1"/>
  <c r="S446" i="17" a="1"/>
  <c r="S446" i="17" s="1"/>
  <c r="S447" i="17" a="1"/>
  <c r="S447" i="17" s="1"/>
  <c r="S448" i="17" a="1"/>
  <c r="S448" i="17" s="1"/>
  <c r="S449" i="17" a="1"/>
  <c r="S449" i="17" s="1"/>
  <c r="S450" i="17" a="1"/>
  <c r="S450" i="17" s="1"/>
  <c r="S451" i="17" a="1"/>
  <c r="S451" i="17" s="1"/>
  <c r="S22" i="17" a="1"/>
  <c r="S22" i="17" s="1"/>
  <c r="S52" i="17" a="1"/>
  <c r="S52" i="17" s="1"/>
  <c r="S82" i="17" a="1"/>
  <c r="S82" i="17" s="1"/>
  <c r="S112" i="17" a="1"/>
  <c r="S112" i="17" s="1"/>
  <c r="S142" i="17" a="1"/>
  <c r="S142" i="17" s="1"/>
  <c r="S172" i="17" a="1"/>
  <c r="S172" i="17" s="1"/>
  <c r="S202" i="17" a="1"/>
  <c r="S202" i="17" s="1"/>
  <c r="S232" i="17" a="1"/>
  <c r="S232" i="17" s="1"/>
  <c r="S262" i="17" a="1"/>
  <c r="S262" i="17" s="1"/>
  <c r="S292" i="17" a="1"/>
  <c r="S292" i="17"/>
  <c r="S322" i="17" a="1"/>
  <c r="S322" i="17" s="1"/>
  <c r="S452" i="17" a="1"/>
  <c r="S452" i="17" s="1"/>
  <c r="S453" i="17" a="1"/>
  <c r="S453" i="17"/>
  <c r="S454" i="17" a="1"/>
  <c r="S454" i="17" s="1"/>
  <c r="S455" i="17" a="1"/>
  <c r="S455" i="17" s="1"/>
  <c r="S456" i="17" a="1"/>
  <c r="S456" i="17" s="1"/>
  <c r="S457" i="17" a="1"/>
  <c r="S457" i="17" s="1"/>
  <c r="S23" i="17" a="1"/>
  <c r="S23" i="17" s="1"/>
  <c r="S53" i="17" a="1"/>
  <c r="S53" i="17" s="1"/>
  <c r="S83" i="17" a="1"/>
  <c r="S83" i="17" s="1"/>
  <c r="S113" i="17" a="1"/>
  <c r="S113" i="17" s="1"/>
  <c r="S143" i="17" a="1"/>
  <c r="S143" i="17" s="1"/>
  <c r="S173" i="17" a="1"/>
  <c r="S173" i="17"/>
  <c r="S203" i="17" a="1"/>
  <c r="S203" i="17" s="1"/>
  <c r="S233" i="17" a="1"/>
  <c r="S233" i="17" s="1"/>
  <c r="S263" i="17" a="1"/>
  <c r="S263" i="17" s="1"/>
  <c r="S293" i="17" a="1"/>
  <c r="S293" i="17" s="1"/>
  <c r="S323" i="17" a="1"/>
  <c r="S323" i="17" s="1"/>
  <c r="S458" i="17" a="1"/>
  <c r="S458" i="17" s="1"/>
  <c r="S459" i="17" a="1"/>
  <c r="S459" i="17" s="1"/>
  <c r="S460" i="17" a="1"/>
  <c r="S460" i="17" s="1"/>
  <c r="S461" i="17" a="1"/>
  <c r="S461" i="17" s="1"/>
  <c r="S462" i="17" a="1"/>
  <c r="S462" i="17" s="1"/>
  <c r="S463" i="17" a="1"/>
  <c r="S463" i="17" s="1"/>
  <c r="S24" i="17" a="1"/>
  <c r="S24" i="17" s="1"/>
  <c r="S54" i="17" a="1"/>
  <c r="S54" i="17" s="1"/>
  <c r="S84" i="17" a="1"/>
  <c r="S84" i="17" s="1"/>
  <c r="S114" i="17" a="1"/>
  <c r="S114" i="17" s="1"/>
  <c r="S144" i="17" a="1"/>
  <c r="S144" i="17" s="1"/>
  <c r="S174" i="17" a="1"/>
  <c r="S174" i="17" s="1"/>
  <c r="S204" i="17" a="1"/>
  <c r="S204" i="17" s="1"/>
  <c r="S234" i="17" a="1"/>
  <c r="S234" i="17" s="1"/>
  <c r="S264" i="17" a="1"/>
  <c r="S264" i="17" s="1"/>
  <c r="S294" i="17" a="1"/>
  <c r="S294" i="17" s="1"/>
  <c r="S324" i="17" a="1"/>
  <c r="S324" i="17" s="1"/>
  <c r="S464" i="17" a="1"/>
  <c r="S464" i="17" s="1"/>
  <c r="S465" i="17" a="1"/>
  <c r="S465" i="17" s="1"/>
  <c r="S466" i="17" a="1"/>
  <c r="S466" i="17" s="1"/>
  <c r="S467" i="17" a="1"/>
  <c r="S467" i="17" s="1"/>
  <c r="S468" i="17" a="1"/>
  <c r="S468" i="17" s="1"/>
  <c r="S469" i="17" a="1"/>
  <c r="S469" i="17" s="1"/>
  <c r="S25" i="17" a="1"/>
  <c r="S25" i="17" s="1"/>
  <c r="S55" i="17" a="1"/>
  <c r="S55" i="17" s="1"/>
  <c r="S85" i="17" a="1"/>
  <c r="S85" i="17" s="1"/>
  <c r="S115" i="17" a="1"/>
  <c r="S115" i="17" s="1"/>
  <c r="S145" i="17" a="1"/>
  <c r="S145" i="17" s="1"/>
  <c r="S175" i="17" a="1"/>
  <c r="S175" i="17" s="1"/>
  <c r="S205" i="17" a="1"/>
  <c r="S205" i="17" s="1"/>
  <c r="S235" i="17" a="1"/>
  <c r="S235" i="17" s="1"/>
  <c r="S265" i="17" a="1"/>
  <c r="S265" i="17"/>
  <c r="S295" i="17" a="1"/>
  <c r="S295" i="17" s="1"/>
  <c r="S325" i="17" a="1"/>
  <c r="S325" i="17" s="1"/>
  <c r="S470" i="17" a="1"/>
  <c r="S470" i="17" s="1"/>
  <c r="S471" i="17" a="1"/>
  <c r="S471" i="17" s="1"/>
  <c r="S472" i="17" a="1"/>
  <c r="S472" i="17" s="1"/>
  <c r="S473" i="17" a="1"/>
  <c r="S473" i="17" s="1"/>
  <c r="S474" i="17" a="1"/>
  <c r="S474" i="17" s="1"/>
  <c r="S475" i="17" a="1"/>
  <c r="S475" i="17" s="1"/>
  <c r="S26" i="17" a="1"/>
  <c r="S26" i="17" s="1"/>
  <c r="S56" i="17" a="1"/>
  <c r="S56" i="17"/>
  <c r="S86" i="17" a="1"/>
  <c r="S86" i="17" s="1"/>
  <c r="S116" i="17" a="1"/>
  <c r="S116" i="17" s="1"/>
  <c r="S146" i="17" a="1"/>
  <c r="S146" i="17"/>
  <c r="S176" i="17" a="1"/>
  <c r="S176" i="17" s="1"/>
  <c r="S206" i="17" a="1"/>
  <c r="S206" i="17" s="1"/>
  <c r="S236" i="17" a="1"/>
  <c r="S236" i="17" s="1"/>
  <c r="S266" i="17" a="1"/>
  <c r="S266" i="17" s="1"/>
  <c r="S296" i="17" a="1"/>
  <c r="S296" i="17" s="1"/>
  <c r="S326" i="17" a="1"/>
  <c r="S326" i="17" s="1"/>
  <c r="S476" i="17" a="1"/>
  <c r="S476" i="17" s="1"/>
  <c r="S477" i="17" a="1"/>
  <c r="S477" i="17" s="1"/>
  <c r="S478" i="17" a="1"/>
  <c r="S478" i="17"/>
  <c r="S479" i="17" a="1"/>
  <c r="S479" i="17" s="1"/>
  <c r="S480" i="17" a="1"/>
  <c r="S480" i="17" s="1"/>
  <c r="S481" i="17" a="1"/>
  <c r="S481" i="17" s="1"/>
  <c r="S27" i="17" a="1"/>
  <c r="S27" i="17" s="1"/>
  <c r="S57" i="17" a="1"/>
  <c r="S57" i="17" s="1"/>
  <c r="S87" i="17" a="1"/>
  <c r="S87" i="17" s="1"/>
  <c r="S117" i="17" a="1"/>
  <c r="S117" i="17" s="1"/>
  <c r="S147" i="17" a="1"/>
  <c r="S147" i="17" s="1"/>
  <c r="S177" i="17" a="1"/>
  <c r="S177" i="17" s="1"/>
  <c r="S207" i="17" a="1"/>
  <c r="S207" i="17" s="1"/>
  <c r="S237" i="17" a="1"/>
  <c r="S237" i="17" s="1"/>
  <c r="S267" i="17" a="1"/>
  <c r="S267" i="17" s="1"/>
  <c r="S297" i="17" a="1"/>
  <c r="S297" i="17"/>
  <c r="S327" i="17" a="1"/>
  <c r="S327" i="17" s="1"/>
  <c r="S482" i="17" a="1"/>
  <c r="S482" i="17" s="1"/>
  <c r="S483" i="17" a="1"/>
  <c r="S483" i="17" s="1"/>
  <c r="S484" i="17" a="1"/>
  <c r="S484" i="17" s="1"/>
  <c r="S485" i="17" a="1"/>
  <c r="S485" i="17" s="1"/>
  <c r="S486" i="17" a="1"/>
  <c r="S486" i="17" s="1"/>
  <c r="S487" i="17" a="1"/>
  <c r="S487" i="17" s="1"/>
  <c r="S28" i="17" a="1"/>
  <c r="S28" i="17" s="1"/>
  <c r="S58" i="17" a="1"/>
  <c r="S58" i="17" s="1"/>
  <c r="S88" i="17" a="1"/>
  <c r="S88" i="17" s="1"/>
  <c r="S118" i="17" a="1"/>
  <c r="S118" i="17" s="1"/>
  <c r="S148" i="17" a="1"/>
  <c r="S148" i="17" s="1"/>
  <c r="S178" i="17" a="1"/>
  <c r="S178" i="17" s="1"/>
  <c r="S208" i="17" a="1"/>
  <c r="S208" i="17" s="1"/>
  <c r="S238" i="17" a="1"/>
  <c r="S238" i="17" s="1"/>
  <c r="S268" i="17" a="1"/>
  <c r="S268" i="17" s="1"/>
  <c r="S298" i="17" a="1"/>
  <c r="S298" i="17" s="1"/>
  <c r="S328" i="17" a="1"/>
  <c r="S328" i="17" s="1"/>
  <c r="S488" i="17" a="1"/>
  <c r="S488" i="17" s="1"/>
  <c r="S489" i="17" a="1"/>
  <c r="S489" i="17" s="1"/>
  <c r="S490" i="17" a="1"/>
  <c r="S490" i="17" s="1"/>
  <c r="S491" i="17" a="1"/>
  <c r="S491" i="17" s="1"/>
  <c r="S492" i="17" a="1"/>
  <c r="S492" i="17" s="1"/>
  <c r="S493" i="17" a="1"/>
  <c r="S493" i="17" s="1"/>
  <c r="S29" i="17" a="1"/>
  <c r="S29" i="17"/>
  <c r="S59" i="17" a="1"/>
  <c r="S59" i="17" s="1"/>
  <c r="S89" i="17" a="1"/>
  <c r="S89" i="17" s="1"/>
  <c r="S119" i="17" a="1"/>
  <c r="S119" i="17" s="1"/>
  <c r="S149" i="17" a="1"/>
  <c r="S149" i="17" s="1"/>
  <c r="S179" i="17" a="1"/>
  <c r="S179" i="17" s="1"/>
  <c r="S209" i="17" a="1"/>
  <c r="S209" i="17" s="1"/>
  <c r="S239" i="17" a="1"/>
  <c r="S239" i="17" s="1"/>
  <c r="S269" i="17" a="1"/>
  <c r="S269" i="17" s="1"/>
  <c r="S299" i="17" a="1"/>
  <c r="S299" i="17"/>
  <c r="S329" i="17" a="1"/>
  <c r="S329" i="17" s="1"/>
  <c r="S494" i="17" a="1"/>
  <c r="S494" i="17" s="1"/>
  <c r="S495" i="17" a="1"/>
  <c r="S495" i="17"/>
  <c r="S496" i="17" a="1"/>
  <c r="S496" i="17" s="1"/>
  <c r="S497" i="17" a="1"/>
  <c r="S497" i="17" s="1"/>
  <c r="S498" i="17" a="1"/>
  <c r="S498" i="17" s="1"/>
  <c r="S499" i="17" a="1"/>
  <c r="S499" i="17" s="1"/>
  <c r="S30" i="17" a="1"/>
  <c r="S30" i="17" s="1"/>
  <c r="S60" i="17" a="1"/>
  <c r="S60" i="17" s="1"/>
  <c r="S90" i="17" a="1"/>
  <c r="S90" i="17" s="1"/>
  <c r="S120" i="17" a="1"/>
  <c r="S120" i="17" s="1"/>
  <c r="S150" i="17" a="1"/>
  <c r="S150" i="17" s="1"/>
  <c r="S180" i="17" a="1"/>
  <c r="S180" i="17"/>
  <c r="S210" i="17" a="1"/>
  <c r="S210" i="17" s="1"/>
  <c r="S240" i="17" a="1"/>
  <c r="S240" i="17" s="1"/>
  <c r="S270" i="17" a="1"/>
  <c r="S270" i="17" s="1"/>
  <c r="S300" i="17" a="1"/>
  <c r="S300" i="17" s="1"/>
  <c r="S330" i="17" a="1"/>
  <c r="S330" i="17" s="1"/>
  <c r="S500" i="17" a="1"/>
  <c r="S500" i="17" s="1"/>
  <c r="S501" i="17" a="1"/>
  <c r="S501" i="17" s="1"/>
  <c r="S502" i="17" a="1"/>
  <c r="S502" i="17" s="1"/>
  <c r="S503" i="17" a="1"/>
  <c r="S503" i="17" s="1"/>
  <c r="S504" i="17" a="1"/>
  <c r="S504" i="17" s="1"/>
  <c r="S505" i="17" a="1"/>
  <c r="S505" i="17" s="1"/>
  <c r="S31" i="17" a="1"/>
  <c r="S31" i="17" s="1"/>
  <c r="S61" i="17" a="1"/>
  <c r="S61" i="17" s="1"/>
  <c r="S91" i="17" a="1"/>
  <c r="S91" i="17" s="1"/>
  <c r="S121" i="17" a="1"/>
  <c r="S121" i="17" s="1"/>
  <c r="S151" i="17" a="1"/>
  <c r="S151" i="17" s="1"/>
  <c r="S181" i="17" a="1"/>
  <c r="S181" i="17" s="1"/>
  <c r="S211" i="17" a="1"/>
  <c r="S211" i="17" s="1"/>
  <c r="S241" i="17" a="1"/>
  <c r="S241" i="17" s="1"/>
  <c r="S271" i="17" a="1"/>
  <c r="S271" i="17" s="1"/>
  <c r="S301" i="17" a="1"/>
  <c r="S301" i="17" s="1"/>
  <c r="S331" i="17" a="1"/>
  <c r="S331" i="17" s="1"/>
  <c r="S506" i="17" a="1"/>
  <c r="S506" i="17" s="1"/>
  <c r="S507" i="17" a="1"/>
  <c r="S507" i="17" s="1"/>
  <c r="S508" i="17" a="1"/>
  <c r="S508" i="17" s="1"/>
  <c r="S509" i="17" a="1"/>
  <c r="S509" i="17" s="1"/>
  <c r="S510" i="17" a="1"/>
  <c r="S510" i="17" s="1"/>
  <c r="S511" i="17" a="1"/>
  <c r="S511" i="17" s="1"/>
  <c r="T2" i="17" a="1"/>
  <c r="T2" i="17" s="1"/>
  <c r="T32" i="17" a="1"/>
  <c r="T32" i="17" s="1"/>
  <c r="T62" i="17" a="1"/>
  <c r="T62" i="17" s="1"/>
  <c r="T92" i="17" a="1"/>
  <c r="T92" i="17" s="1"/>
  <c r="T122" i="17" a="1"/>
  <c r="T122" i="17" s="1"/>
  <c r="T152" i="17" a="1"/>
  <c r="T152" i="17" s="1"/>
  <c r="T182" i="17" a="1"/>
  <c r="T182" i="17" s="1"/>
  <c r="T212" i="17" a="1"/>
  <c r="T212" i="17" s="1"/>
  <c r="T242" i="17" a="1"/>
  <c r="T242" i="17"/>
  <c r="T272" i="17" a="1"/>
  <c r="T272" i="17" s="1"/>
  <c r="T302" i="17" a="1"/>
  <c r="T302" i="17" s="1"/>
  <c r="T332" i="17" a="1"/>
  <c r="T332" i="17" s="1"/>
  <c r="T333" i="17" a="1"/>
  <c r="T333" i="17" s="1"/>
  <c r="T334" i="17" a="1"/>
  <c r="T334" i="17" s="1"/>
  <c r="T335" i="17" a="1"/>
  <c r="T335" i="17" s="1"/>
  <c r="T336" i="17" a="1"/>
  <c r="T336" i="17" s="1"/>
  <c r="T337" i="17" a="1"/>
  <c r="T337" i="17" s="1"/>
  <c r="T3" i="17" a="1"/>
  <c r="T3" i="17" s="1"/>
  <c r="T33" i="17" a="1"/>
  <c r="T33" i="17"/>
  <c r="T63" i="17" a="1"/>
  <c r="T63" i="17" s="1"/>
  <c r="T93" i="17" a="1"/>
  <c r="T93" i="17" s="1"/>
  <c r="T123" i="17" a="1"/>
  <c r="T123" i="17"/>
  <c r="T153" i="17" a="1"/>
  <c r="T153" i="17" s="1"/>
  <c r="T183" i="17" a="1"/>
  <c r="T183" i="17" s="1"/>
  <c r="T213" i="17" a="1"/>
  <c r="T213" i="17" s="1"/>
  <c r="T243" i="17" a="1"/>
  <c r="T243" i="17" s="1"/>
  <c r="T273" i="17" a="1"/>
  <c r="T273" i="17" s="1"/>
  <c r="T303" i="17" a="1"/>
  <c r="T303" i="17" s="1"/>
  <c r="T338" i="17" a="1"/>
  <c r="T338" i="17" s="1"/>
  <c r="T339" i="17" a="1"/>
  <c r="T339" i="17" s="1"/>
  <c r="T340" i="17" a="1"/>
  <c r="T340" i="17" s="1"/>
  <c r="T341" i="17" a="1"/>
  <c r="T341" i="17" s="1"/>
  <c r="T342" i="17" a="1"/>
  <c r="T342" i="17" s="1"/>
  <c r="T343" i="17" a="1"/>
  <c r="T343" i="17"/>
  <c r="T4" i="17" a="1"/>
  <c r="T4" i="17" s="1"/>
  <c r="T34" i="17" a="1"/>
  <c r="T34" i="17" s="1"/>
  <c r="T64" i="17" a="1"/>
  <c r="T64" i="17" s="1"/>
  <c r="T94" i="17" a="1"/>
  <c r="T94" i="17" s="1"/>
  <c r="T124" i="17" a="1"/>
  <c r="T124" i="17" s="1"/>
  <c r="T154" i="17" a="1"/>
  <c r="T154" i="17" s="1"/>
  <c r="T184" i="17" a="1"/>
  <c r="T184" i="17" s="1"/>
  <c r="T214" i="17" a="1"/>
  <c r="T214" i="17" s="1"/>
  <c r="T244" i="17" a="1"/>
  <c r="T244" i="17" s="1"/>
  <c r="T274" i="17" a="1"/>
  <c r="T274" i="17" s="1"/>
  <c r="T304" i="17" a="1"/>
  <c r="T304" i="17" s="1"/>
  <c r="T344" i="17" a="1"/>
  <c r="T344" i="17" s="1"/>
  <c r="T345" i="17" a="1"/>
  <c r="T345" i="17" s="1"/>
  <c r="T346" i="17" a="1"/>
  <c r="T346" i="17" s="1"/>
  <c r="T347" i="17" a="1"/>
  <c r="T347" i="17" s="1"/>
  <c r="T348" i="17" a="1"/>
  <c r="T348" i="17" s="1"/>
  <c r="T349" i="17" a="1"/>
  <c r="T349" i="17" s="1"/>
  <c r="T5" i="17" a="1"/>
  <c r="T5" i="17" s="1"/>
  <c r="T35" i="17" a="1"/>
  <c r="T35" i="17" s="1"/>
  <c r="T65" i="17" a="1"/>
  <c r="T65" i="17" s="1"/>
  <c r="T95" i="17" a="1"/>
  <c r="T95" i="17" s="1"/>
  <c r="T125" i="17" a="1"/>
  <c r="T125" i="17" s="1"/>
  <c r="T155" i="17" a="1"/>
  <c r="T155" i="17" s="1"/>
  <c r="T185" i="17" a="1"/>
  <c r="T185" i="17" s="1"/>
  <c r="T215" i="17" a="1"/>
  <c r="T215" i="17" s="1"/>
  <c r="T245" i="17" a="1"/>
  <c r="T245" i="17" s="1"/>
  <c r="T275" i="17" a="1"/>
  <c r="T275" i="17" s="1"/>
  <c r="T305" i="17" a="1"/>
  <c r="T305" i="17" s="1"/>
  <c r="T350" i="17" a="1"/>
  <c r="T350" i="17" s="1"/>
  <c r="T351" i="17" a="1"/>
  <c r="T351" i="17" s="1"/>
  <c r="T352" i="17" a="1"/>
  <c r="T352" i="17" s="1"/>
  <c r="T353" i="17" a="1"/>
  <c r="T353" i="17" s="1"/>
  <c r="T354" i="17" a="1"/>
  <c r="T354" i="17" s="1"/>
  <c r="T355" i="17" a="1"/>
  <c r="T355" i="17" s="1"/>
  <c r="T6" i="17" a="1"/>
  <c r="T6" i="17"/>
  <c r="T36" i="17" a="1"/>
  <c r="T36" i="17" s="1"/>
  <c r="T66" i="17" a="1"/>
  <c r="T66" i="17" s="1"/>
  <c r="T96" i="17" a="1"/>
  <c r="T96" i="17" s="1"/>
  <c r="T126" i="17" a="1"/>
  <c r="T126" i="17" s="1"/>
  <c r="T156" i="17" a="1"/>
  <c r="T156" i="17" s="1"/>
  <c r="T186" i="17" a="1"/>
  <c r="T186" i="17" s="1"/>
  <c r="T216" i="17" a="1"/>
  <c r="T216" i="17" s="1"/>
  <c r="T246" i="17" a="1"/>
  <c r="T246" i="17" s="1"/>
  <c r="T276" i="17" a="1"/>
  <c r="T276" i="17" s="1"/>
  <c r="T306" i="17" a="1"/>
  <c r="T306" i="17" s="1"/>
  <c r="T356" i="17" a="1"/>
  <c r="T356" i="17" s="1"/>
  <c r="T357" i="17" a="1"/>
  <c r="T357" i="17"/>
  <c r="T358" i="17" a="1"/>
  <c r="T358" i="17" s="1"/>
  <c r="T359" i="17" a="1"/>
  <c r="T359" i="17" s="1"/>
  <c r="T360" i="17" a="1"/>
  <c r="T360" i="17" s="1"/>
  <c r="T361" i="17" a="1"/>
  <c r="T361" i="17" s="1"/>
  <c r="T7" i="17" a="1"/>
  <c r="T7" i="17" s="1"/>
  <c r="T37" i="17" a="1"/>
  <c r="T37" i="17" s="1"/>
  <c r="T67" i="17" a="1"/>
  <c r="T67" i="17" s="1"/>
  <c r="T97" i="17" a="1"/>
  <c r="T97" i="17" s="1"/>
  <c r="T127" i="17" a="1"/>
  <c r="T127" i="17" s="1"/>
  <c r="T157" i="17" a="1"/>
  <c r="T157" i="17" s="1"/>
  <c r="T187" i="17" a="1"/>
  <c r="T187" i="17" s="1"/>
  <c r="T217" i="17" a="1"/>
  <c r="T217" i="17" s="1"/>
  <c r="T247" i="17" a="1"/>
  <c r="T247" i="17"/>
  <c r="T277" i="17" a="1"/>
  <c r="T277" i="17" s="1"/>
  <c r="T307" i="17" a="1"/>
  <c r="T307" i="17" s="1"/>
  <c r="T362" i="17" a="1"/>
  <c r="T362" i="17" s="1"/>
  <c r="T363" i="17" a="1"/>
  <c r="T363" i="17" s="1"/>
  <c r="T364" i="17" a="1"/>
  <c r="T364" i="17" s="1"/>
  <c r="T365" i="17" a="1"/>
  <c r="T365" i="17" s="1"/>
  <c r="T366" i="17" a="1"/>
  <c r="T366" i="17" s="1"/>
  <c r="T367" i="17" a="1"/>
  <c r="T367" i="17" s="1"/>
  <c r="T8" i="17" a="1"/>
  <c r="T8" i="17" s="1"/>
  <c r="T38" i="17" a="1"/>
  <c r="T38" i="17" s="1"/>
  <c r="T68" i="17" a="1"/>
  <c r="T68" i="17" s="1"/>
  <c r="T98" i="17" a="1"/>
  <c r="T98" i="17" s="1"/>
  <c r="T128" i="17" a="1"/>
  <c r="T128" i="17" s="1"/>
  <c r="T158" i="17" a="1"/>
  <c r="T158" i="17" s="1"/>
  <c r="T188" i="17" a="1"/>
  <c r="T188" i="17" s="1"/>
  <c r="T218" i="17" a="1"/>
  <c r="T218" i="17" s="1"/>
  <c r="T248" i="17" a="1"/>
  <c r="T248" i="17" s="1"/>
  <c r="T278" i="17" a="1"/>
  <c r="T278" i="17" s="1"/>
  <c r="T308" i="17" a="1"/>
  <c r="T308" i="17" s="1"/>
  <c r="T368" i="17" a="1"/>
  <c r="T368" i="17" s="1"/>
  <c r="T369" i="17" a="1"/>
  <c r="T369" i="17" s="1"/>
  <c r="T370" i="17" a="1"/>
  <c r="T370" i="17" s="1"/>
  <c r="T371" i="17" a="1"/>
  <c r="T371" i="17" s="1"/>
  <c r="T372" i="17" a="1"/>
  <c r="T372" i="17" s="1"/>
  <c r="T373" i="17" a="1"/>
  <c r="T373" i="17" s="1"/>
  <c r="T9" i="17" a="1"/>
  <c r="T9" i="17" s="1"/>
  <c r="T39" i="17" a="1"/>
  <c r="T39" i="17" s="1"/>
  <c r="T69" i="17" a="1"/>
  <c r="T69" i="17" s="1"/>
  <c r="T99" i="17" a="1"/>
  <c r="T99" i="17" s="1"/>
  <c r="T129" i="17" a="1"/>
  <c r="T129" i="17" s="1"/>
  <c r="T159" i="17" a="1"/>
  <c r="T159" i="17" s="1"/>
  <c r="T189" i="17" a="1"/>
  <c r="T189" i="17" s="1"/>
  <c r="T219" i="17" a="1"/>
  <c r="T219" i="17" s="1"/>
  <c r="T249" i="17" a="1"/>
  <c r="T249" i="17"/>
  <c r="T279" i="17" a="1"/>
  <c r="T279" i="17" s="1"/>
  <c r="T309" i="17" a="1"/>
  <c r="T309" i="17" s="1"/>
  <c r="T374" i="17" a="1"/>
  <c r="T374" i="17"/>
  <c r="T375" i="17" a="1"/>
  <c r="T375" i="17" s="1"/>
  <c r="T376" i="17" a="1"/>
  <c r="T376" i="17" s="1"/>
  <c r="T377" i="17" a="1"/>
  <c r="T377" i="17" s="1"/>
  <c r="T378" i="17" a="1"/>
  <c r="T378" i="17" s="1"/>
  <c r="T379" i="17" a="1"/>
  <c r="T379" i="17" s="1"/>
  <c r="T10" i="17" a="1"/>
  <c r="T10" i="17" s="1"/>
  <c r="T40" i="17" a="1"/>
  <c r="T40" i="17" s="1"/>
  <c r="T70" i="17" a="1"/>
  <c r="T70" i="17" s="1"/>
  <c r="T100" i="17" a="1"/>
  <c r="T100" i="17" s="1"/>
  <c r="T130" i="17" a="1"/>
  <c r="T130" i="17"/>
  <c r="T160" i="17" a="1"/>
  <c r="T160" i="17" s="1"/>
  <c r="T190" i="17" a="1"/>
  <c r="T190" i="17" s="1"/>
  <c r="T220" i="17" a="1"/>
  <c r="T220" i="17" s="1"/>
  <c r="T250" i="17" a="1"/>
  <c r="T250" i="17" s="1"/>
  <c r="T280" i="17" a="1"/>
  <c r="T280" i="17" s="1"/>
  <c r="T310" i="17" a="1"/>
  <c r="T310" i="17" s="1"/>
  <c r="T380" i="17" a="1"/>
  <c r="T380" i="17" s="1"/>
  <c r="T381" i="17" a="1"/>
  <c r="T381" i="17" s="1"/>
  <c r="T382" i="17" a="1"/>
  <c r="T382" i="17" s="1"/>
  <c r="T383" i="17" a="1"/>
  <c r="T383" i="17"/>
  <c r="T384" i="17" a="1"/>
  <c r="T384" i="17" s="1"/>
  <c r="T385" i="17" a="1"/>
  <c r="T385" i="17"/>
  <c r="T11" i="17" a="1"/>
  <c r="T11" i="17" s="1"/>
  <c r="T41" i="17" a="1"/>
  <c r="T41" i="17" s="1"/>
  <c r="T71" i="17" a="1"/>
  <c r="T71" i="17" s="1"/>
  <c r="T101" i="17" a="1"/>
  <c r="T101" i="17" s="1"/>
  <c r="T131" i="17" a="1"/>
  <c r="T131" i="17" s="1"/>
  <c r="T161" i="17" a="1"/>
  <c r="T161" i="17" s="1"/>
  <c r="T191" i="17" a="1"/>
  <c r="T191" i="17" s="1"/>
  <c r="T221" i="17" a="1"/>
  <c r="T221" i="17" s="1"/>
  <c r="T251" i="17" a="1"/>
  <c r="T251" i="17" s="1"/>
  <c r="T281" i="17" a="1"/>
  <c r="T281" i="17"/>
  <c r="T311" i="17" a="1"/>
  <c r="T311" i="17" s="1"/>
  <c r="T386" i="17" a="1"/>
  <c r="T386" i="17" s="1"/>
  <c r="T387" i="17" a="1"/>
  <c r="T387" i="17"/>
  <c r="T388" i="17" a="1"/>
  <c r="T388" i="17" s="1"/>
  <c r="T389" i="17" a="1"/>
  <c r="T389" i="17" s="1"/>
  <c r="T390" i="17" a="1"/>
  <c r="T390" i="17" s="1"/>
  <c r="T391" i="17" a="1"/>
  <c r="T391" i="17" s="1"/>
  <c r="T12" i="17" a="1"/>
  <c r="T12" i="17" s="1"/>
  <c r="T42" i="17" a="1"/>
  <c r="T42" i="17" s="1"/>
  <c r="T72" i="17" a="1"/>
  <c r="T72" i="17" s="1"/>
  <c r="T102" i="17" a="1"/>
  <c r="T102" i="17" s="1"/>
  <c r="T132" i="17" a="1"/>
  <c r="T132" i="17" s="1"/>
  <c r="T162" i="17" a="1"/>
  <c r="T162" i="17"/>
  <c r="T192" i="17" a="1"/>
  <c r="T192" i="17" s="1"/>
  <c r="T222" i="17" a="1"/>
  <c r="T222" i="17" s="1"/>
  <c r="T252" i="17" a="1"/>
  <c r="T252" i="17" s="1"/>
  <c r="T282" i="17" a="1"/>
  <c r="T282" i="17" s="1"/>
  <c r="T312" i="17" a="1"/>
  <c r="T312" i="17" s="1"/>
  <c r="T392" i="17" a="1"/>
  <c r="T392" i="17" s="1"/>
  <c r="T393" i="17" a="1"/>
  <c r="T393" i="17" s="1"/>
  <c r="T394" i="17" a="1"/>
  <c r="T394" i="17" s="1"/>
  <c r="T395" i="17" a="1"/>
  <c r="T395" i="17" s="1"/>
  <c r="T396" i="17" a="1"/>
  <c r="T396" i="17" s="1"/>
  <c r="T397" i="17" a="1"/>
  <c r="T397" i="17" s="1"/>
  <c r="T13" i="17" a="1"/>
  <c r="T13" i="17" s="1"/>
  <c r="T43" i="17" a="1"/>
  <c r="T43" i="17"/>
  <c r="T73" i="17" a="1"/>
  <c r="T73" i="17" s="1"/>
  <c r="T103" i="17" a="1"/>
  <c r="T103" i="17"/>
  <c r="T133" i="17" a="1"/>
  <c r="T133" i="17" s="1"/>
  <c r="T163" i="17" a="1"/>
  <c r="T163" i="17" s="1"/>
  <c r="T193" i="17" a="1"/>
  <c r="T193" i="17" s="1"/>
  <c r="T223" i="17" a="1"/>
  <c r="T223" i="17" s="1"/>
  <c r="T253" i="17" a="1"/>
  <c r="T253" i="17" s="1"/>
  <c r="T283" i="17" a="1"/>
  <c r="T283" i="17" s="1"/>
  <c r="T313" i="17" a="1"/>
  <c r="T313" i="17" s="1"/>
  <c r="T398" i="17" a="1"/>
  <c r="T398" i="17"/>
  <c r="T399" i="17" a="1"/>
  <c r="T399" i="17" s="1"/>
  <c r="T400" i="17" a="1"/>
  <c r="T400" i="17" s="1"/>
  <c r="T401" i="17" a="1"/>
  <c r="T401" i="17" s="1"/>
  <c r="T402" i="17" a="1"/>
  <c r="T402" i="17" s="1"/>
  <c r="T403" i="17" a="1"/>
  <c r="T403" i="17" s="1"/>
  <c r="T14" i="17" a="1"/>
  <c r="T14" i="17" s="1"/>
  <c r="T44" i="17" a="1"/>
  <c r="T44" i="17" s="1"/>
  <c r="T74" i="17" a="1"/>
  <c r="T74" i="17" s="1"/>
  <c r="T104" i="17" a="1"/>
  <c r="T104" i="17" s="1"/>
  <c r="T134" i="17" a="1"/>
  <c r="T134" i="17" s="1"/>
  <c r="T164" i="17" a="1"/>
  <c r="T164" i="17" s="1"/>
  <c r="T194" i="17" a="1"/>
  <c r="T194" i="17" s="1"/>
  <c r="T224" i="17" a="1"/>
  <c r="T224" i="17" s="1"/>
  <c r="T254" i="17" a="1"/>
  <c r="T254" i="17" s="1"/>
  <c r="T284" i="17" a="1"/>
  <c r="T284" i="17"/>
  <c r="T314" i="17" a="1"/>
  <c r="T314" i="17" s="1"/>
  <c r="T404" i="17" a="1"/>
  <c r="T404" i="17" s="1"/>
  <c r="T405" i="17" a="1"/>
  <c r="T405" i="17" s="1"/>
  <c r="T406" i="17" a="1"/>
  <c r="T406" i="17" s="1"/>
  <c r="T407" i="17" a="1"/>
  <c r="T407" i="17" s="1"/>
  <c r="T408" i="17" a="1"/>
  <c r="T408" i="17" s="1"/>
  <c r="T409" i="17" a="1"/>
  <c r="T409" i="17" s="1"/>
  <c r="T15" i="17" a="1"/>
  <c r="T15" i="17" s="1"/>
  <c r="T45" i="17" a="1"/>
  <c r="T45" i="17" s="1"/>
  <c r="T75" i="17" a="1"/>
  <c r="T75" i="17" s="1"/>
  <c r="T105" i="17" a="1"/>
  <c r="T105" i="17"/>
  <c r="T135" i="17" a="1"/>
  <c r="T135" i="17" s="1"/>
  <c r="T165" i="17" a="1"/>
  <c r="T165" i="17" s="1"/>
  <c r="T195" i="17" a="1"/>
  <c r="T195" i="17" s="1"/>
  <c r="T225" i="17" a="1"/>
  <c r="T225" i="17" s="1"/>
  <c r="T255" i="17" a="1"/>
  <c r="T255" i="17" s="1"/>
  <c r="T285" i="17" a="1"/>
  <c r="T285" i="17" s="1"/>
  <c r="T315" i="17" a="1"/>
  <c r="T315" i="17" s="1"/>
  <c r="T410" i="17" a="1"/>
  <c r="T410" i="17" s="1"/>
  <c r="T411" i="17" a="1"/>
  <c r="T411" i="17" s="1"/>
  <c r="T412" i="17" a="1"/>
  <c r="T412" i="17" s="1"/>
  <c r="T413" i="17" a="1"/>
  <c r="T413" i="17" s="1"/>
  <c r="T414" i="17" a="1"/>
  <c r="T414" i="17" s="1"/>
  <c r="T415" i="17" a="1"/>
  <c r="T415" i="17" s="1"/>
  <c r="T16" i="17" a="1"/>
  <c r="T16" i="17"/>
  <c r="T46" i="17" a="1"/>
  <c r="T46" i="17" s="1"/>
  <c r="T76" i="17" a="1"/>
  <c r="T76" i="17" s="1"/>
  <c r="T106" i="17" a="1"/>
  <c r="T106" i="17" s="1"/>
  <c r="T136" i="17" a="1"/>
  <c r="T136" i="17" s="1"/>
  <c r="T166" i="17" a="1"/>
  <c r="T166" i="17" s="1"/>
  <c r="T196" i="17" a="1"/>
  <c r="T196" i="17" s="1"/>
  <c r="T226" i="17" a="1"/>
  <c r="T226" i="17" s="1"/>
  <c r="T256" i="17" a="1"/>
  <c r="T256" i="17" s="1"/>
  <c r="T286" i="17" a="1"/>
  <c r="T286" i="17" s="1"/>
  <c r="T316" i="17" a="1"/>
  <c r="T316" i="17" s="1"/>
  <c r="T416" i="17" a="1"/>
  <c r="T416" i="17" s="1"/>
  <c r="T417" i="17" a="1"/>
  <c r="T417" i="17" s="1"/>
  <c r="T418" i="17" a="1"/>
  <c r="T418" i="17" s="1"/>
  <c r="T419" i="17" a="1"/>
  <c r="T419" i="17" s="1"/>
  <c r="T420" i="17" a="1"/>
  <c r="T420" i="17" s="1"/>
  <c r="T421" i="17" a="1"/>
  <c r="T421" i="17" s="1"/>
  <c r="T17" i="17" a="1"/>
  <c r="T17" i="17" s="1"/>
  <c r="T47" i="17" a="1"/>
  <c r="T47" i="17" s="1"/>
  <c r="T77" i="17" a="1"/>
  <c r="T77" i="17" s="1"/>
  <c r="T107" i="17" a="1"/>
  <c r="T107" i="17" s="1"/>
  <c r="T137" i="17" a="1"/>
  <c r="T137" i="17" s="1"/>
  <c r="T167" i="17" a="1"/>
  <c r="T167" i="17"/>
  <c r="T197" i="17" a="1"/>
  <c r="T197" i="17" s="1"/>
  <c r="T227" i="17" a="1"/>
  <c r="T227" i="17" s="1"/>
  <c r="T257" i="17" a="1"/>
  <c r="T257" i="17" s="1"/>
  <c r="T287" i="17" a="1"/>
  <c r="T287" i="17" s="1"/>
  <c r="T317" i="17" a="1"/>
  <c r="T317" i="17" s="1"/>
  <c r="T422" i="17" a="1"/>
  <c r="T422" i="17" s="1"/>
  <c r="T423" i="17" a="1"/>
  <c r="T423" i="17" s="1"/>
  <c r="T424" i="17" a="1"/>
  <c r="T424" i="17" s="1"/>
  <c r="T425" i="17" a="1"/>
  <c r="T425" i="17" s="1"/>
  <c r="T426" i="17" a="1"/>
  <c r="T426" i="17" s="1"/>
  <c r="T427" i="17" a="1"/>
  <c r="T427" i="17"/>
  <c r="T18" i="17" a="1"/>
  <c r="T18" i="17" s="1"/>
  <c r="T48" i="17" a="1"/>
  <c r="T48" i="17" s="1"/>
  <c r="T78" i="17" a="1"/>
  <c r="T78" i="17"/>
  <c r="T108" i="17" a="1"/>
  <c r="T108" i="17" s="1"/>
  <c r="T138" i="17" a="1"/>
  <c r="T138" i="17" s="1"/>
  <c r="T168" i="17" a="1"/>
  <c r="T168" i="17" s="1"/>
  <c r="T198" i="17" a="1"/>
  <c r="T198" i="17" s="1"/>
  <c r="T228" i="17" a="1"/>
  <c r="T228" i="17" s="1"/>
  <c r="T258" i="17" a="1"/>
  <c r="T258" i="17" s="1"/>
  <c r="T288" i="17" a="1"/>
  <c r="T288" i="17" s="1"/>
  <c r="T318" i="17" a="1"/>
  <c r="T318" i="17" s="1"/>
  <c r="T428" i="17" a="1"/>
  <c r="T428" i="17" s="1"/>
  <c r="T429" i="17" a="1"/>
  <c r="T429" i="17"/>
  <c r="T430" i="17" a="1"/>
  <c r="T430" i="17" s="1"/>
  <c r="T431" i="17" a="1"/>
  <c r="T431" i="17" s="1"/>
  <c r="T432" i="17" a="1"/>
  <c r="T432" i="17" s="1"/>
  <c r="T433" i="17" a="1"/>
  <c r="T433" i="17" s="1"/>
  <c r="T19" i="17" a="1"/>
  <c r="T19" i="17" s="1"/>
  <c r="T49" i="17" a="1"/>
  <c r="T49" i="17" s="1"/>
  <c r="T79" i="17" a="1"/>
  <c r="T79" i="17" s="1"/>
  <c r="T109" i="17" a="1"/>
  <c r="T109" i="17" s="1"/>
  <c r="T139" i="17" a="1"/>
  <c r="T139" i="17" s="1"/>
  <c r="T169" i="17" a="1"/>
  <c r="T169" i="17" s="1"/>
  <c r="T199" i="17" a="1"/>
  <c r="T199" i="17" s="1"/>
  <c r="T229" i="17" a="1"/>
  <c r="T229" i="17" s="1"/>
  <c r="T259" i="17" a="1"/>
  <c r="T259" i="17" s="1"/>
  <c r="T289" i="17" a="1"/>
  <c r="T289" i="17"/>
  <c r="T319" i="17" a="1"/>
  <c r="T319" i="17" s="1"/>
  <c r="T434" i="17" a="1"/>
  <c r="T434" i="17" s="1"/>
  <c r="T435" i="17" a="1"/>
  <c r="T435" i="17" s="1"/>
  <c r="T436" i="17" a="1"/>
  <c r="T436" i="17" s="1"/>
  <c r="T437" i="17" a="1"/>
  <c r="T437" i="17" s="1"/>
  <c r="T438" i="17" a="1"/>
  <c r="T438" i="17" s="1"/>
  <c r="T439" i="17" a="1"/>
  <c r="T439" i="17" s="1"/>
  <c r="T20" i="17" a="1"/>
  <c r="T20" i="17" s="1"/>
  <c r="T50" i="17" a="1"/>
  <c r="T50" i="17"/>
  <c r="T80" i="17" a="1"/>
  <c r="T80" i="17" s="1"/>
  <c r="T110" i="17" a="1"/>
  <c r="T110" i="17" s="1"/>
  <c r="T140" i="17" a="1"/>
  <c r="T140" i="17" s="1"/>
  <c r="T170" i="17" a="1"/>
  <c r="T170" i="17" s="1"/>
  <c r="T200" i="17" a="1"/>
  <c r="T200" i="17" s="1"/>
  <c r="T230" i="17" a="1"/>
  <c r="T230" i="17" s="1"/>
  <c r="T260" i="17" a="1"/>
  <c r="T260" i="17" s="1"/>
  <c r="T290" i="17" a="1"/>
  <c r="T290" i="17" s="1"/>
  <c r="T320" i="17" a="1"/>
  <c r="T320" i="17" s="1"/>
  <c r="T440" i="17" a="1"/>
  <c r="T440" i="17" s="1"/>
  <c r="T441" i="17" a="1"/>
  <c r="T441" i="17"/>
  <c r="T442" i="17" a="1"/>
  <c r="T442" i="17" s="1"/>
  <c r="T443" i="17" a="1"/>
  <c r="T443" i="17" s="1"/>
  <c r="T444" i="17" a="1"/>
  <c r="T444" i="17" s="1"/>
  <c r="T445" i="17" a="1"/>
  <c r="T445" i="17" s="1"/>
  <c r="T21" i="17" a="1"/>
  <c r="T21" i="17" s="1"/>
  <c r="T51" i="17" a="1"/>
  <c r="T51" i="17" s="1"/>
  <c r="T81" i="17" a="1"/>
  <c r="T81" i="17" s="1"/>
  <c r="T111" i="17" a="1"/>
  <c r="T111" i="17" s="1"/>
  <c r="T141" i="17" a="1"/>
  <c r="T141" i="17" s="1"/>
  <c r="T171" i="17" a="1"/>
  <c r="T171" i="17" s="1"/>
  <c r="T201" i="17" a="1"/>
  <c r="T201" i="17" s="1"/>
  <c r="T231" i="17" a="1"/>
  <c r="T231" i="17" s="1"/>
  <c r="T261" i="17" a="1"/>
  <c r="T261" i="17" s="1"/>
  <c r="T291" i="17" a="1"/>
  <c r="T291" i="17" s="1"/>
  <c r="T321" i="17" a="1"/>
  <c r="T321" i="17" s="1"/>
  <c r="T446" i="17" a="1"/>
  <c r="T446" i="17"/>
  <c r="T447" i="17" a="1"/>
  <c r="T447" i="17" s="1"/>
  <c r="T448" i="17" a="1"/>
  <c r="T448" i="17" s="1"/>
  <c r="T449" i="17" a="1"/>
  <c r="T449" i="17" s="1"/>
  <c r="T450" i="17" a="1"/>
  <c r="T450" i="17" s="1"/>
  <c r="T451" i="17" a="1"/>
  <c r="T451" i="17" s="1"/>
  <c r="T22" i="17" a="1"/>
  <c r="T22" i="17" s="1"/>
  <c r="T52" i="17" a="1"/>
  <c r="T52" i="17" s="1"/>
  <c r="T82" i="17" a="1"/>
  <c r="T82" i="17" s="1"/>
  <c r="T112" i="17" a="1"/>
  <c r="T112" i="17"/>
  <c r="T142" i="17" a="1"/>
  <c r="T142" i="17" s="1"/>
  <c r="T172" i="17" a="1"/>
  <c r="T172" i="17"/>
  <c r="T202" i="17" a="1"/>
  <c r="T202" i="17" s="1"/>
  <c r="T232" i="17" a="1"/>
  <c r="T232" i="17" s="1"/>
  <c r="T262" i="17" a="1"/>
  <c r="T262" i="17" s="1"/>
  <c r="T292" i="17" a="1"/>
  <c r="T292" i="17" s="1"/>
  <c r="T322" i="17" a="1"/>
  <c r="T322" i="17" s="1"/>
  <c r="T452" i="17" a="1"/>
  <c r="T452" i="17" s="1"/>
  <c r="T453" i="17" a="1"/>
  <c r="T453" i="17" s="1"/>
  <c r="T454" i="17" a="1"/>
  <c r="T454" i="17" s="1"/>
  <c r="T455" i="17" a="1"/>
  <c r="T455" i="17" s="1"/>
  <c r="T456" i="17" a="1"/>
  <c r="T456" i="17" s="1"/>
  <c r="T457" i="17" a="1"/>
  <c r="T457" i="17" s="1"/>
  <c r="T23" i="17" a="1"/>
  <c r="T23" i="17" s="1"/>
  <c r="T53" i="17" a="1"/>
  <c r="T53" i="17" s="1"/>
  <c r="T83" i="17" a="1"/>
  <c r="T83" i="17" s="1"/>
  <c r="T113" i="17" a="1"/>
  <c r="T113" i="17" s="1"/>
  <c r="T143" i="17" a="1"/>
  <c r="T143" i="17" s="1"/>
  <c r="T173" i="17" a="1"/>
  <c r="T173" i="17" s="1"/>
  <c r="T203" i="17" a="1"/>
  <c r="T203" i="17" s="1"/>
  <c r="T233" i="17" a="1"/>
  <c r="T233" i="17" s="1"/>
  <c r="T263" i="17" a="1"/>
  <c r="T263" i="17" s="1"/>
  <c r="T293" i="17" a="1"/>
  <c r="T293" i="17" s="1"/>
  <c r="T323" i="17" a="1"/>
  <c r="T323" i="17" s="1"/>
  <c r="T458" i="17" a="1"/>
  <c r="T458" i="17" s="1"/>
  <c r="T459" i="17" a="1"/>
  <c r="T459" i="17"/>
  <c r="T460" i="17" a="1"/>
  <c r="T460" i="17" s="1"/>
  <c r="T461" i="17" a="1"/>
  <c r="T461" i="17" s="1"/>
  <c r="T462" i="17" a="1"/>
  <c r="T462" i="17" s="1"/>
  <c r="T463" i="17" a="1"/>
  <c r="T463" i="17" s="1"/>
  <c r="T24" i="17" a="1"/>
  <c r="T24" i="17" s="1"/>
  <c r="T54" i="17" a="1"/>
  <c r="T54" i="17" s="1"/>
  <c r="T84" i="17" a="1"/>
  <c r="T84" i="17" s="1"/>
  <c r="T114" i="17" a="1"/>
  <c r="T114" i="17" s="1"/>
  <c r="T144" i="17" a="1"/>
  <c r="T144" i="17" s="1"/>
  <c r="T174" i="17" a="1"/>
  <c r="T174" i="17" s="1"/>
  <c r="T204" i="17" a="1"/>
  <c r="T204" i="17" s="1"/>
  <c r="T234" i="17" a="1"/>
  <c r="T234" i="17" s="1"/>
  <c r="T264" i="17" a="1"/>
  <c r="T264" i="17" s="1"/>
  <c r="T294" i="17" a="1"/>
  <c r="T294" i="17" s="1"/>
  <c r="T324" i="17" a="1"/>
  <c r="T324" i="17" s="1"/>
  <c r="T464" i="17" a="1"/>
  <c r="T464" i="17" s="1"/>
  <c r="T465" i="17" a="1"/>
  <c r="T465" i="17"/>
  <c r="T466" i="17" a="1"/>
  <c r="T466" i="17" s="1"/>
  <c r="T467" i="17" a="1"/>
  <c r="T467" i="17" s="1"/>
  <c r="T468" i="17" a="1"/>
  <c r="T468" i="17" s="1"/>
  <c r="T469" i="17" a="1"/>
  <c r="T469" i="17" s="1"/>
  <c r="T25" i="17" a="1"/>
  <c r="T25" i="17"/>
  <c r="T55" i="17" a="1"/>
  <c r="T55" i="17" s="1"/>
  <c r="T85" i="17" a="1"/>
  <c r="T85" i="17" s="1"/>
  <c r="T115" i="17" a="1"/>
  <c r="T115" i="17" s="1"/>
  <c r="T145" i="17" a="1"/>
  <c r="T145" i="17" s="1"/>
  <c r="T175" i="17" a="1"/>
  <c r="T175" i="17"/>
  <c r="T205" i="17" a="1"/>
  <c r="T205" i="17" s="1"/>
  <c r="T235" i="17" a="1"/>
  <c r="T235" i="17"/>
  <c r="T265" i="17" a="1"/>
  <c r="T265" i="17" s="1"/>
  <c r="T295" i="17" a="1"/>
  <c r="T295" i="17" s="1"/>
  <c r="T325" i="17" a="1"/>
  <c r="T325" i="17" s="1"/>
  <c r="T470" i="17" a="1"/>
  <c r="T470" i="17" s="1"/>
  <c r="T471" i="17" a="1"/>
  <c r="T471" i="17" s="1"/>
  <c r="T472" i="17" a="1"/>
  <c r="T472" i="17" s="1"/>
  <c r="T473" i="17" a="1"/>
  <c r="T473" i="17" s="1"/>
  <c r="T474" i="17" a="1"/>
  <c r="T474" i="17" s="1"/>
  <c r="T475" i="17" a="1"/>
  <c r="T475" i="17" s="1"/>
  <c r="T26" i="17" a="1"/>
  <c r="T26" i="17" s="1"/>
  <c r="T56" i="17" a="1"/>
  <c r="T56" i="17" s="1"/>
  <c r="T86" i="17" a="1"/>
  <c r="T86" i="17" s="1"/>
  <c r="T116" i="17" a="1"/>
  <c r="T116" i="17" s="1"/>
  <c r="T146" i="17" a="1"/>
  <c r="T146" i="17" s="1"/>
  <c r="T176" i="17" a="1"/>
  <c r="T176" i="17" s="1"/>
  <c r="T206" i="17" a="1"/>
  <c r="T206" i="17" s="1"/>
  <c r="T236" i="17" a="1"/>
  <c r="T236" i="17" s="1"/>
  <c r="T266" i="17" a="1"/>
  <c r="T266" i="17"/>
  <c r="T296" i="17" a="1"/>
  <c r="T296" i="17" s="1"/>
  <c r="T326" i="17" a="1"/>
  <c r="T326" i="17" s="1"/>
  <c r="T476" i="17" a="1"/>
  <c r="T476" i="17" s="1"/>
  <c r="T477" i="17" a="1"/>
  <c r="T477" i="17" s="1"/>
  <c r="T478" i="17" a="1"/>
  <c r="T478" i="17" s="1"/>
  <c r="T479" i="17" a="1"/>
  <c r="T479" i="17" s="1"/>
  <c r="T480" i="17" a="1"/>
  <c r="T480" i="17" s="1"/>
  <c r="T481" i="17" a="1"/>
  <c r="T481" i="17" s="1"/>
  <c r="T27" i="17" a="1"/>
  <c r="T27" i="17" s="1"/>
  <c r="T57" i="17" a="1"/>
  <c r="T57" i="17" s="1"/>
  <c r="T87" i="17" a="1"/>
  <c r="T87" i="17" s="1"/>
  <c r="T117" i="17" a="1"/>
  <c r="T117" i="17" s="1"/>
  <c r="T147" i="17" a="1"/>
  <c r="T147" i="17" s="1"/>
  <c r="T177" i="17" a="1"/>
  <c r="T177" i="17" s="1"/>
  <c r="T207" i="17" a="1"/>
  <c r="T207" i="17" s="1"/>
  <c r="T237" i="17" a="1"/>
  <c r="T237" i="17" s="1"/>
  <c r="T267" i="17" a="1"/>
  <c r="T267" i="17" s="1"/>
  <c r="T297" i="17" a="1"/>
  <c r="T297" i="17" s="1"/>
  <c r="T327" i="17" a="1"/>
  <c r="T327" i="17" s="1"/>
  <c r="T482" i="17" a="1"/>
  <c r="T482" i="17" s="1"/>
  <c r="T483" i="17" a="1"/>
  <c r="T483" i="17" s="1"/>
  <c r="T484" i="17" a="1"/>
  <c r="T484" i="17" s="1"/>
  <c r="T485" i="17" a="1"/>
  <c r="T485" i="17" s="1"/>
  <c r="T486" i="17" a="1"/>
  <c r="T486" i="17" s="1"/>
  <c r="T487" i="17" a="1"/>
  <c r="T487" i="17" s="1"/>
  <c r="T28" i="17" a="1"/>
  <c r="T28" i="17" s="1"/>
  <c r="T58" i="17" a="1"/>
  <c r="T58" i="17" s="1"/>
  <c r="T88" i="17" a="1"/>
  <c r="T88" i="17" s="1"/>
  <c r="T118" i="17" a="1"/>
  <c r="T118" i="17" s="1"/>
  <c r="T148" i="17" a="1"/>
  <c r="T148" i="17" s="1"/>
  <c r="T178" i="17" a="1"/>
  <c r="T178" i="17" s="1"/>
  <c r="T208" i="17" a="1"/>
  <c r="T208" i="17" s="1"/>
  <c r="T238" i="17" a="1"/>
  <c r="T238" i="17" s="1"/>
  <c r="T268" i="17" a="1"/>
  <c r="T268" i="17" s="1"/>
  <c r="T298" i="17" a="1"/>
  <c r="T298" i="17" s="1"/>
  <c r="T328" i="17" a="1"/>
  <c r="T328" i="17" s="1"/>
  <c r="T488" i="17" a="1"/>
  <c r="T488" i="17" s="1"/>
  <c r="T489" i="17" a="1"/>
  <c r="T489" i="17"/>
  <c r="T490" i="17" a="1"/>
  <c r="T490" i="17" s="1"/>
  <c r="T491" i="17" a="1"/>
  <c r="T491" i="17" s="1"/>
  <c r="T492" i="17" a="1"/>
  <c r="T492" i="17" s="1"/>
  <c r="T493" i="17" a="1"/>
  <c r="T493" i="17" s="1"/>
  <c r="T29" i="17" a="1"/>
  <c r="T29" i="17" s="1"/>
  <c r="T59" i="17" a="1"/>
  <c r="T59" i="17" s="1"/>
  <c r="T89" i="17" a="1"/>
  <c r="T89" i="17" s="1"/>
  <c r="T119" i="17" a="1"/>
  <c r="T119" i="17" s="1"/>
  <c r="T149" i="17" a="1"/>
  <c r="T149" i="17" s="1"/>
  <c r="T179" i="17" a="1"/>
  <c r="T179" i="17" s="1"/>
  <c r="T209" i="17" a="1"/>
  <c r="T209" i="17" s="1"/>
  <c r="T239" i="17" a="1"/>
  <c r="T239" i="17" s="1"/>
  <c r="T269" i="17" a="1"/>
  <c r="T269" i="17" s="1"/>
  <c r="T299" i="17" a="1"/>
  <c r="T299" i="17" s="1"/>
  <c r="T329" i="17" a="1"/>
  <c r="T329" i="17" s="1"/>
  <c r="T494" i="17" a="1"/>
  <c r="T494" i="17" s="1"/>
  <c r="T495" i="17" a="1"/>
  <c r="T495" i="17" s="1"/>
  <c r="T496" i="17" a="1"/>
  <c r="T496" i="17" s="1"/>
  <c r="T497" i="17" a="1"/>
  <c r="T497" i="17"/>
  <c r="T498" i="17" a="1"/>
  <c r="T498" i="17" s="1"/>
  <c r="T499" i="17" a="1"/>
  <c r="T499" i="17" s="1"/>
  <c r="T30" i="17" a="1"/>
  <c r="T30" i="17" s="1"/>
  <c r="T60" i="17" a="1"/>
  <c r="T60" i="17" s="1"/>
  <c r="T90" i="17" a="1"/>
  <c r="T90" i="17" s="1"/>
  <c r="T120" i="17" a="1"/>
  <c r="T120" i="17" s="1"/>
  <c r="T150" i="17" a="1"/>
  <c r="T150" i="17" s="1"/>
  <c r="T180" i="17" a="1"/>
  <c r="T180" i="17" s="1"/>
  <c r="T210" i="17" a="1"/>
  <c r="T210" i="17" s="1"/>
  <c r="T240" i="17" a="1"/>
  <c r="T240" i="17" s="1"/>
  <c r="T270" i="17" a="1"/>
  <c r="T270" i="17" s="1"/>
  <c r="T300" i="17" a="1"/>
  <c r="T300" i="17" s="1"/>
  <c r="T330" i="17" a="1"/>
  <c r="T330" i="17" s="1"/>
  <c r="T500" i="17" a="1"/>
  <c r="T500" i="17" s="1"/>
  <c r="T501" i="17" a="1"/>
  <c r="T501" i="17" s="1"/>
  <c r="T502" i="17" a="1"/>
  <c r="T502" i="17" s="1"/>
  <c r="T503" i="17" a="1"/>
  <c r="T503" i="17"/>
  <c r="T504" i="17" a="1"/>
  <c r="T504" i="17" s="1"/>
  <c r="T505" i="17" a="1"/>
  <c r="T505" i="17" s="1"/>
  <c r="T31" i="17" a="1"/>
  <c r="T31" i="17" s="1"/>
  <c r="T61" i="17" a="1"/>
  <c r="T61" i="17" s="1"/>
  <c r="T91" i="17" a="1"/>
  <c r="T91" i="17" s="1"/>
  <c r="T121" i="17" a="1"/>
  <c r="T121" i="17" s="1"/>
  <c r="T151" i="17" a="1"/>
  <c r="T151" i="17" s="1"/>
  <c r="T181" i="17" a="1"/>
  <c r="T181" i="17" s="1"/>
  <c r="T211" i="17" a="1"/>
  <c r="T211" i="17" s="1"/>
  <c r="T241" i="17" a="1"/>
  <c r="T241" i="17" s="1"/>
  <c r="T271" i="17" a="1"/>
  <c r="T271" i="17" s="1"/>
  <c r="T301" i="17" a="1"/>
  <c r="T301" i="17" s="1"/>
  <c r="T331" i="17" a="1"/>
  <c r="T331" i="17"/>
  <c r="T506" i="17" a="1"/>
  <c r="T506" i="17" s="1"/>
  <c r="T507" i="17" a="1"/>
  <c r="T507" i="17" s="1"/>
  <c r="T508" i="17" a="1"/>
  <c r="T508" i="17" s="1"/>
  <c r="T509" i="17" a="1"/>
  <c r="T509" i="17" s="1"/>
  <c r="T510" i="17" a="1"/>
  <c r="T510" i="17" s="1"/>
  <c r="T511" i="17" a="1"/>
  <c r="T511" i="17" s="1"/>
  <c r="U2" i="17" a="1"/>
  <c r="U2" i="17" s="1"/>
  <c r="U32" i="17" a="1"/>
  <c r="U32" i="17" s="1"/>
  <c r="U62" i="17" a="1"/>
  <c r="U62" i="17" s="1"/>
  <c r="U92" i="17" a="1"/>
  <c r="U92" i="17"/>
  <c r="U122" i="17" a="1"/>
  <c r="U122" i="17" s="1"/>
  <c r="U152" i="17" a="1"/>
  <c r="U152" i="17"/>
  <c r="U182" i="17" a="1"/>
  <c r="U182" i="17" s="1"/>
  <c r="U212" i="17" a="1"/>
  <c r="U212" i="17" s="1"/>
  <c r="U242" i="17" a="1"/>
  <c r="U242" i="17" s="1"/>
  <c r="U272" i="17" a="1"/>
  <c r="U272" i="17" s="1"/>
  <c r="U302" i="17" a="1"/>
  <c r="U302" i="17" s="1"/>
  <c r="U332" i="17" a="1"/>
  <c r="U332" i="17" s="1"/>
  <c r="U333" i="17" a="1"/>
  <c r="U333" i="17" s="1"/>
  <c r="U334" i="17" a="1"/>
  <c r="U334" i="17" s="1"/>
  <c r="U335" i="17" a="1"/>
  <c r="U335" i="17" s="1"/>
  <c r="U336" i="17" a="1"/>
  <c r="U336" i="17" s="1"/>
  <c r="U337" i="17" a="1"/>
  <c r="U337" i="17" s="1"/>
  <c r="U3" i="17" a="1"/>
  <c r="U3" i="17" s="1"/>
  <c r="U33" i="17" a="1"/>
  <c r="U33" i="17" s="1"/>
  <c r="U63" i="17" a="1"/>
  <c r="U63" i="17" s="1"/>
  <c r="U93" i="17" a="1"/>
  <c r="U93" i="17" s="1"/>
  <c r="U123" i="17" a="1"/>
  <c r="U123" i="17" s="1"/>
  <c r="U153" i="17" a="1"/>
  <c r="U153" i="17"/>
  <c r="U183" i="17" a="1"/>
  <c r="U183" i="17" s="1"/>
  <c r="U213" i="17" a="1"/>
  <c r="U213" i="17" s="1"/>
  <c r="U243" i="17" a="1"/>
  <c r="U243" i="17"/>
  <c r="U273" i="17" a="1"/>
  <c r="U273" i="17" s="1"/>
  <c r="U303" i="17" a="1"/>
  <c r="U303" i="17" s="1"/>
  <c r="U338" i="17" a="1"/>
  <c r="U338" i="17" s="1"/>
  <c r="U339" i="17" a="1"/>
  <c r="U339" i="17" s="1"/>
  <c r="U340" i="17" a="1"/>
  <c r="U340" i="17" s="1"/>
  <c r="U341" i="17" a="1"/>
  <c r="U341" i="17" s="1"/>
  <c r="U342" i="17" a="1"/>
  <c r="U342" i="17" s="1"/>
  <c r="U343" i="17" a="1"/>
  <c r="U343" i="17" s="1"/>
  <c r="U4" i="17" a="1"/>
  <c r="U4" i="17" s="1"/>
  <c r="U34" i="17" a="1"/>
  <c r="U34" i="17" s="1"/>
  <c r="U64" i="17" a="1"/>
  <c r="U64" i="17" s="1"/>
  <c r="U94" i="17" a="1"/>
  <c r="U94" i="17" s="1"/>
  <c r="U124" i="17" a="1"/>
  <c r="U124" i="17" s="1"/>
  <c r="U154" i="17" a="1"/>
  <c r="U154" i="17" s="1"/>
  <c r="U184" i="17" a="1"/>
  <c r="U184" i="17" s="1"/>
  <c r="U214" i="17" a="1"/>
  <c r="U214" i="17" s="1"/>
  <c r="U244" i="17" a="1"/>
  <c r="U244" i="17" s="1"/>
  <c r="U274" i="17" a="1"/>
  <c r="U274" i="17" s="1"/>
  <c r="U304" i="17" a="1"/>
  <c r="U304" i="17" s="1"/>
  <c r="U344" i="17" a="1"/>
  <c r="U344" i="17" s="1"/>
  <c r="U345" i="17" a="1"/>
  <c r="U345" i="17" s="1"/>
  <c r="U346" i="17" a="1"/>
  <c r="U346" i="17" s="1"/>
  <c r="U347" i="17" a="1"/>
  <c r="U347" i="17" s="1"/>
  <c r="U348" i="17" a="1"/>
  <c r="U348" i="17" s="1"/>
  <c r="U349" i="17" a="1"/>
  <c r="U349" i="17" s="1"/>
  <c r="U5" i="17" a="1"/>
  <c r="U5" i="17" s="1"/>
  <c r="U35" i="17" a="1"/>
  <c r="U35" i="17" s="1"/>
  <c r="U65" i="17" a="1"/>
  <c r="U65" i="17" s="1"/>
  <c r="U95" i="17" a="1"/>
  <c r="U95" i="17" s="1"/>
  <c r="U125" i="17" a="1"/>
  <c r="U125" i="17" s="1"/>
  <c r="U155" i="17" a="1"/>
  <c r="U155" i="17" s="1"/>
  <c r="U185" i="17" a="1"/>
  <c r="U185" i="17" s="1"/>
  <c r="U215" i="17" a="1"/>
  <c r="U215" i="17"/>
  <c r="U245" i="17" a="1"/>
  <c r="U245" i="17" s="1"/>
  <c r="U275" i="17" a="1"/>
  <c r="U275" i="17" s="1"/>
  <c r="U305" i="17" a="1"/>
  <c r="U305" i="17" s="1"/>
  <c r="U350" i="17" a="1"/>
  <c r="U350" i="17" s="1"/>
  <c r="U351" i="17" a="1"/>
  <c r="U351" i="17" s="1"/>
  <c r="U352" i="17" a="1"/>
  <c r="U352" i="17" s="1"/>
  <c r="U353" i="17" a="1"/>
  <c r="U353" i="17" s="1"/>
  <c r="U354" i="17" a="1"/>
  <c r="U354" i="17" s="1"/>
  <c r="U355" i="17" a="1"/>
  <c r="U355" i="17" s="1"/>
  <c r="U6" i="17" a="1"/>
  <c r="U6" i="17" s="1"/>
  <c r="U36" i="17" a="1"/>
  <c r="U36" i="17" s="1"/>
  <c r="U66" i="17" a="1"/>
  <c r="U66" i="17" s="1"/>
  <c r="U96" i="17" a="1"/>
  <c r="U96" i="17" s="1"/>
  <c r="U126" i="17" a="1"/>
  <c r="U126" i="17" s="1"/>
  <c r="U156" i="17" a="1"/>
  <c r="U156" i="17" s="1"/>
  <c r="U186" i="17" a="1"/>
  <c r="U186" i="17" s="1"/>
  <c r="U216" i="17" a="1"/>
  <c r="U216" i="17" s="1"/>
  <c r="U246" i="17" a="1"/>
  <c r="U246" i="17" s="1"/>
  <c r="U276" i="17" a="1"/>
  <c r="U276" i="17" s="1"/>
  <c r="U306" i="17" a="1"/>
  <c r="U306" i="17" s="1"/>
  <c r="U356" i="17" a="1"/>
  <c r="U356" i="17" s="1"/>
  <c r="U357" i="17" a="1"/>
  <c r="U357" i="17" s="1"/>
  <c r="U358" i="17" a="1"/>
  <c r="U358" i="17" s="1"/>
  <c r="U359" i="17" a="1"/>
  <c r="U359" i="17" s="1"/>
  <c r="U360" i="17" a="1"/>
  <c r="U360" i="17" s="1"/>
  <c r="U361" i="17" a="1"/>
  <c r="U361" i="17" s="1"/>
  <c r="U7" i="17" a="1"/>
  <c r="U7" i="17" s="1"/>
  <c r="U37" i="17" a="1"/>
  <c r="U37" i="17" s="1"/>
  <c r="U67" i="17" a="1"/>
  <c r="U67" i="17" s="1"/>
  <c r="U97" i="17" a="1"/>
  <c r="U97" i="17" s="1"/>
  <c r="U127" i="17" a="1"/>
  <c r="U127" i="17" s="1"/>
  <c r="U157" i="17" a="1"/>
  <c r="U157" i="17" s="1"/>
  <c r="U187" i="17" a="1"/>
  <c r="U187" i="17" s="1"/>
  <c r="U217" i="17" a="1"/>
  <c r="U217" i="17" s="1"/>
  <c r="U247" i="17" a="1"/>
  <c r="U247" i="17" s="1"/>
  <c r="U277" i="17" a="1"/>
  <c r="U277" i="17" s="1"/>
  <c r="U307" i="17" a="1"/>
  <c r="U307" i="17" s="1"/>
  <c r="U362" i="17" a="1"/>
  <c r="U362" i="17" s="1"/>
  <c r="U363" i="17" a="1"/>
  <c r="U363" i="17" s="1"/>
  <c r="U364" i="17" a="1"/>
  <c r="U364" i="17" s="1"/>
  <c r="U365" i="17" a="1"/>
  <c r="U365" i="17" s="1"/>
  <c r="U366" i="17" a="1"/>
  <c r="U366" i="17" s="1"/>
  <c r="U367" i="17" a="1"/>
  <c r="U367" i="17" s="1"/>
  <c r="U8" i="17" a="1"/>
  <c r="U8" i="17"/>
  <c r="U38" i="17" a="1"/>
  <c r="U38" i="17" s="1"/>
  <c r="U68" i="17" a="1"/>
  <c r="U68" i="17" s="1"/>
  <c r="U98" i="17" a="1"/>
  <c r="U98" i="17" s="1"/>
  <c r="U128" i="17" a="1"/>
  <c r="U128" i="17" s="1"/>
  <c r="U158" i="17" a="1"/>
  <c r="U158" i="17" s="1"/>
  <c r="U188" i="17" a="1"/>
  <c r="U188" i="17" s="1"/>
  <c r="U218" i="17" a="1"/>
  <c r="U218" i="17" s="1"/>
  <c r="U248" i="17" a="1"/>
  <c r="U248" i="17" s="1"/>
  <c r="U278" i="17" a="1"/>
  <c r="U278" i="17" s="1"/>
  <c r="U308" i="17" a="1"/>
  <c r="U308" i="17" s="1"/>
  <c r="U368" i="17" a="1"/>
  <c r="U368" i="17" s="1"/>
  <c r="U369" i="17" a="1"/>
  <c r="U369" i="17" s="1"/>
  <c r="U370" i="17" a="1"/>
  <c r="U370" i="17" s="1"/>
  <c r="U371" i="17" a="1"/>
  <c r="U371" i="17" s="1"/>
  <c r="U372" i="17" a="1"/>
  <c r="U372" i="17" s="1"/>
  <c r="U373" i="17" a="1"/>
  <c r="U373" i="17" s="1"/>
  <c r="U9" i="17" a="1"/>
  <c r="U9" i="17" s="1"/>
  <c r="U39" i="17" a="1"/>
  <c r="U39" i="17"/>
  <c r="U69" i="17" a="1"/>
  <c r="U69" i="17" s="1"/>
  <c r="U99" i="17" a="1"/>
  <c r="U99" i="17" s="1"/>
  <c r="U129" i="17" a="1"/>
  <c r="U129" i="17" s="1"/>
  <c r="U159" i="17" a="1"/>
  <c r="U159" i="17" s="1"/>
  <c r="U189" i="17" a="1"/>
  <c r="U189" i="17" s="1"/>
  <c r="U219" i="17" a="1"/>
  <c r="U219" i="17" s="1"/>
  <c r="U249" i="17" a="1"/>
  <c r="U249" i="17" s="1"/>
  <c r="U279" i="17" a="1"/>
  <c r="U279" i="17" s="1"/>
  <c r="U309" i="17" a="1"/>
  <c r="U309" i="17" s="1"/>
  <c r="U374" i="17" a="1"/>
  <c r="U374" i="17" s="1"/>
  <c r="U375" i="17" a="1"/>
  <c r="U375" i="17" s="1"/>
  <c r="U376" i="17" a="1"/>
  <c r="U376" i="17" s="1"/>
  <c r="U377" i="17" a="1"/>
  <c r="U377" i="17"/>
  <c r="U378" i="17" a="1"/>
  <c r="U378" i="17" s="1"/>
  <c r="U379" i="17" a="1"/>
  <c r="U379" i="17" s="1"/>
  <c r="U10" i="17" a="1"/>
  <c r="U10" i="17" s="1"/>
  <c r="U40" i="17" a="1"/>
  <c r="U40" i="17" s="1"/>
  <c r="U70" i="17" a="1"/>
  <c r="U70" i="17" s="1"/>
  <c r="U100" i="17" a="1"/>
  <c r="U100" i="17" s="1"/>
  <c r="U130" i="17" a="1"/>
  <c r="U130" i="17" s="1"/>
  <c r="U160" i="17" a="1"/>
  <c r="U160" i="17" s="1"/>
  <c r="U190" i="17" a="1"/>
  <c r="U190" i="17" s="1"/>
  <c r="U220" i="17" a="1"/>
  <c r="U220" i="17" s="1"/>
  <c r="U250" i="17" a="1"/>
  <c r="U250" i="17" s="1"/>
  <c r="U280" i="17" a="1"/>
  <c r="U280" i="17" s="1"/>
  <c r="U310" i="17" a="1"/>
  <c r="U310" i="17" s="1"/>
  <c r="U380" i="17" a="1"/>
  <c r="U380" i="17" s="1"/>
  <c r="U381" i="17" a="1"/>
  <c r="U381" i="17" s="1"/>
  <c r="U382" i="17" a="1"/>
  <c r="U382" i="17" s="1"/>
  <c r="U383" i="17" a="1"/>
  <c r="U383" i="17" s="1"/>
  <c r="U384" i="17" a="1"/>
  <c r="U384" i="17" s="1"/>
  <c r="U385" i="17" a="1"/>
  <c r="U385" i="17" s="1"/>
  <c r="U11" i="17" a="1"/>
  <c r="U11" i="17" s="1"/>
  <c r="U41" i="17" a="1"/>
  <c r="U41" i="17" s="1"/>
  <c r="U71" i="17" a="1"/>
  <c r="U71" i="17" s="1"/>
  <c r="U101" i="17" a="1"/>
  <c r="U101" i="17" s="1"/>
  <c r="U131" i="17" a="1"/>
  <c r="U131" i="17" s="1"/>
  <c r="U161" i="17" a="1"/>
  <c r="U161" i="17" s="1"/>
  <c r="U191" i="17" a="1"/>
  <c r="U191" i="17" s="1"/>
  <c r="U221" i="17" a="1"/>
  <c r="U221" i="17" s="1"/>
  <c r="U251" i="17" a="1"/>
  <c r="U251" i="17" s="1"/>
  <c r="U281" i="17" a="1"/>
  <c r="U281" i="17"/>
  <c r="U311" i="17" a="1"/>
  <c r="U311" i="17" s="1"/>
  <c r="U386" i="17" a="1"/>
  <c r="U386" i="17" s="1"/>
  <c r="U387" i="17" a="1"/>
  <c r="U387" i="17" s="1"/>
  <c r="U388" i="17" a="1"/>
  <c r="U388" i="17" s="1"/>
  <c r="U389" i="17" a="1"/>
  <c r="U389" i="17" s="1"/>
  <c r="U390" i="17" a="1"/>
  <c r="U390" i="17" s="1"/>
  <c r="U391" i="17" a="1"/>
  <c r="U391" i="17" s="1"/>
  <c r="U12" i="17" a="1"/>
  <c r="U12" i="17" s="1"/>
  <c r="U42" i="17" a="1"/>
  <c r="U42" i="17" s="1"/>
  <c r="U72" i="17" a="1"/>
  <c r="U72" i="17" s="1"/>
  <c r="U102" i="17" a="1"/>
  <c r="U102" i="17" s="1"/>
  <c r="U132" i="17" a="1"/>
  <c r="U132" i="17" s="1"/>
  <c r="U162" i="17" a="1"/>
  <c r="U162" i="17" s="1"/>
  <c r="U192" i="17" a="1"/>
  <c r="U192" i="17" s="1"/>
  <c r="U222" i="17" a="1"/>
  <c r="U222" i="17" s="1"/>
  <c r="U252" i="17" a="1"/>
  <c r="U252" i="17" s="1"/>
  <c r="U282" i="17" a="1"/>
  <c r="U282" i="17" s="1"/>
  <c r="U312" i="17" a="1"/>
  <c r="U312" i="17" s="1"/>
  <c r="U392" i="17" a="1"/>
  <c r="U392" i="17" s="1"/>
  <c r="U393" i="17" a="1"/>
  <c r="U393" i="17" s="1"/>
  <c r="U394" i="17" a="1"/>
  <c r="U394" i="17" s="1"/>
  <c r="U395" i="17" a="1"/>
  <c r="U395" i="17" s="1"/>
  <c r="U396" i="17" a="1"/>
  <c r="U396" i="17" s="1"/>
  <c r="U397" i="17" a="1"/>
  <c r="U397" i="17" s="1"/>
  <c r="U13" i="17" a="1"/>
  <c r="U13" i="17" s="1"/>
  <c r="U43" i="17" a="1"/>
  <c r="U43" i="17" s="1"/>
  <c r="U73" i="17" a="1"/>
  <c r="U73" i="17" s="1"/>
  <c r="U103" i="17" a="1"/>
  <c r="U103" i="17" s="1"/>
  <c r="U133" i="17" a="1"/>
  <c r="U133" i="17" s="1"/>
  <c r="U163" i="17" a="1"/>
  <c r="U163" i="17" s="1"/>
  <c r="U193" i="17" a="1"/>
  <c r="U193" i="17" s="1"/>
  <c r="U223" i="17" a="1"/>
  <c r="U223" i="17" s="1"/>
  <c r="U253" i="17" a="1"/>
  <c r="U253" i="17" s="1"/>
  <c r="U283" i="17" a="1"/>
  <c r="U283" i="17" s="1"/>
  <c r="U313" i="17" a="1"/>
  <c r="U313" i="17" s="1"/>
  <c r="U398" i="17" a="1"/>
  <c r="U398" i="17" s="1"/>
  <c r="U399" i="17" a="1"/>
  <c r="U399" i="17" s="1"/>
  <c r="U400" i="17" a="1"/>
  <c r="U400" i="17"/>
  <c r="U401" i="17" a="1"/>
  <c r="U401" i="17" s="1"/>
  <c r="U402" i="17" a="1"/>
  <c r="U402" i="17" s="1"/>
  <c r="U403" i="17" a="1"/>
  <c r="U403" i="17" s="1"/>
  <c r="U14" i="17" a="1"/>
  <c r="U14" i="17" s="1"/>
  <c r="U44" i="17" a="1"/>
  <c r="U44" i="17" s="1"/>
  <c r="U74" i="17" a="1"/>
  <c r="U74" i="17" s="1"/>
  <c r="U104" i="17" a="1"/>
  <c r="U104" i="17" s="1"/>
  <c r="U134" i="17" a="1"/>
  <c r="U134" i="17" s="1"/>
  <c r="U164" i="17" a="1"/>
  <c r="U164" i="17" s="1"/>
  <c r="U194" i="17" a="1"/>
  <c r="U194" i="17" s="1"/>
  <c r="U224" i="17" a="1"/>
  <c r="U224" i="17" s="1"/>
  <c r="U254" i="17" a="1"/>
  <c r="U254" i="17" s="1"/>
  <c r="U284" i="17" a="1"/>
  <c r="U284" i="17" s="1"/>
  <c r="U314" i="17" a="1"/>
  <c r="U314" i="17" s="1"/>
  <c r="U404" i="17" a="1"/>
  <c r="U404" i="17" s="1"/>
  <c r="U405" i="17" a="1"/>
  <c r="U405" i="17" s="1"/>
  <c r="U406" i="17" a="1"/>
  <c r="U406" i="17" s="1"/>
  <c r="U407" i="17" a="1"/>
  <c r="U407" i="17" s="1"/>
  <c r="U408" i="17" a="1"/>
  <c r="U408" i="17" s="1"/>
  <c r="U409" i="17" a="1"/>
  <c r="U409" i="17" s="1"/>
  <c r="U15" i="17" a="1"/>
  <c r="U15" i="17" s="1"/>
  <c r="U45" i="17" a="1"/>
  <c r="U45" i="17" s="1"/>
  <c r="U75" i="17" a="1"/>
  <c r="U75" i="17" s="1"/>
  <c r="U105" i="17" a="1"/>
  <c r="U105" i="17" s="1"/>
  <c r="U135" i="17" a="1"/>
  <c r="U135" i="17" s="1"/>
  <c r="U165" i="17" a="1"/>
  <c r="U165" i="17" s="1"/>
  <c r="U195" i="17" a="1"/>
  <c r="U195" i="17" s="1"/>
  <c r="U225" i="17" a="1"/>
  <c r="U225" i="17" s="1"/>
  <c r="U255" i="17" a="1"/>
  <c r="U255" i="17" s="1"/>
  <c r="U285" i="17" a="1"/>
  <c r="U285" i="17" s="1"/>
  <c r="U315" i="17" a="1"/>
  <c r="U315" i="17" s="1"/>
  <c r="U410" i="17" a="1"/>
  <c r="U410" i="17" s="1"/>
  <c r="U411" i="17" a="1"/>
  <c r="U411" i="17" s="1"/>
  <c r="U412" i="17" a="1"/>
  <c r="U412" i="17" s="1"/>
  <c r="U413" i="17" a="1"/>
  <c r="U413" i="17" s="1"/>
  <c r="U414" i="17" a="1"/>
  <c r="U414" i="17" s="1"/>
  <c r="U415" i="17" a="1"/>
  <c r="U415" i="17" s="1"/>
  <c r="U16" i="17" a="1"/>
  <c r="U16" i="17"/>
  <c r="U46" i="17" a="1"/>
  <c r="U46" i="17" s="1"/>
  <c r="U76" i="17" a="1"/>
  <c r="U76" i="17" s="1"/>
  <c r="U106" i="17" a="1"/>
  <c r="U106" i="17" s="1"/>
  <c r="U136" i="17" a="1"/>
  <c r="U136" i="17" s="1"/>
  <c r="U166" i="17" a="1"/>
  <c r="U166" i="17" s="1"/>
  <c r="U196" i="17" a="1"/>
  <c r="U196" i="17" s="1"/>
  <c r="U226" i="17" a="1"/>
  <c r="U226" i="17" s="1"/>
  <c r="U256" i="17" a="1"/>
  <c r="U256" i="17" s="1"/>
  <c r="U286" i="17" a="1"/>
  <c r="U286" i="17" s="1"/>
  <c r="U316" i="17" a="1"/>
  <c r="U316" i="17" s="1"/>
  <c r="U416" i="17" a="1"/>
  <c r="U416" i="17" s="1"/>
  <c r="U417" i="17" a="1"/>
  <c r="U417" i="17" s="1"/>
  <c r="U418" i="17" a="1"/>
  <c r="U418" i="17" s="1"/>
  <c r="U419" i="17" a="1"/>
  <c r="U419" i="17" s="1"/>
  <c r="U420" i="17" a="1"/>
  <c r="U420" i="17" s="1"/>
  <c r="U421" i="17" a="1"/>
  <c r="U421" i="17" s="1"/>
  <c r="U17" i="17" a="1"/>
  <c r="U17" i="17" s="1"/>
  <c r="U47" i="17" a="1"/>
  <c r="U47" i="17" s="1"/>
  <c r="U77" i="17" a="1"/>
  <c r="U77" i="17" s="1"/>
  <c r="U107" i="17" a="1"/>
  <c r="U107" i="17" s="1"/>
  <c r="U137" i="17" a="1"/>
  <c r="U137" i="17" s="1"/>
  <c r="U167" i="17" a="1"/>
  <c r="U167" i="17"/>
  <c r="U197" i="17" a="1"/>
  <c r="U197" i="17" s="1"/>
  <c r="U227" i="17" a="1"/>
  <c r="U227" i="17" s="1"/>
  <c r="U257" i="17" a="1"/>
  <c r="U257" i="17" s="1"/>
  <c r="U287" i="17" a="1"/>
  <c r="U287" i="17" s="1"/>
  <c r="U317" i="17" a="1"/>
  <c r="U317" i="17" s="1"/>
  <c r="U422" i="17" a="1"/>
  <c r="U422" i="17" s="1"/>
  <c r="U423" i="17" a="1"/>
  <c r="U423" i="17" s="1"/>
  <c r="U424" i="17" a="1"/>
  <c r="U424" i="17" s="1"/>
  <c r="U425" i="17" a="1"/>
  <c r="U425" i="17" s="1"/>
  <c r="U426" i="17" a="1"/>
  <c r="U426" i="17" s="1"/>
  <c r="U427" i="17" a="1"/>
  <c r="U427" i="17" s="1"/>
  <c r="U18" i="17" a="1"/>
  <c r="U18" i="17" s="1"/>
  <c r="U48" i="17" a="1"/>
  <c r="U48" i="17" s="1"/>
  <c r="U78" i="17" a="1"/>
  <c r="U78" i="17" s="1"/>
  <c r="U108" i="17" a="1"/>
  <c r="U108" i="17" s="1"/>
  <c r="U138" i="17" a="1"/>
  <c r="U138" i="17" s="1"/>
  <c r="U168" i="17" a="1"/>
  <c r="U168" i="17"/>
  <c r="U198" i="17" a="1"/>
  <c r="U198" i="17" s="1"/>
  <c r="U228" i="17" a="1"/>
  <c r="U228" i="17" s="1"/>
  <c r="U258" i="17" a="1"/>
  <c r="U258" i="17" s="1"/>
  <c r="U288" i="17" a="1"/>
  <c r="U288" i="17" s="1"/>
  <c r="U318" i="17" a="1"/>
  <c r="U318" i="17" s="1"/>
  <c r="U428" i="17" a="1"/>
  <c r="U428" i="17" s="1"/>
  <c r="U429" i="17" a="1"/>
  <c r="U429" i="17" s="1"/>
  <c r="U430" i="17" a="1"/>
  <c r="U430" i="17" s="1"/>
  <c r="U431" i="17" a="1"/>
  <c r="U431" i="17" s="1"/>
  <c r="U432" i="17" a="1"/>
  <c r="U432" i="17" s="1"/>
  <c r="U433" i="17" a="1"/>
  <c r="U433" i="17" s="1"/>
  <c r="U19" i="17" a="1"/>
  <c r="U19" i="17" s="1"/>
  <c r="U49" i="17" a="1"/>
  <c r="U49" i="17" s="1"/>
  <c r="U79" i="17" a="1"/>
  <c r="U79" i="17" s="1"/>
  <c r="U109" i="17" a="1"/>
  <c r="U109" i="17" s="1"/>
  <c r="U139" i="17" a="1"/>
  <c r="U139" i="17" s="1"/>
  <c r="U169" i="17" a="1"/>
  <c r="U169" i="17" s="1"/>
  <c r="U199" i="17" a="1"/>
  <c r="U199" i="17" s="1"/>
  <c r="U229" i="17" a="1"/>
  <c r="U229" i="17" s="1"/>
  <c r="U259" i="17" a="1"/>
  <c r="U259" i="17" s="1"/>
  <c r="U289" i="17" a="1"/>
  <c r="U289" i="17"/>
  <c r="U319" i="17" a="1"/>
  <c r="U319" i="17" s="1"/>
  <c r="U434" i="17" a="1"/>
  <c r="U434" i="17" s="1"/>
  <c r="U435" i="17" a="1"/>
  <c r="U435" i="17" s="1"/>
  <c r="U436" i="17" a="1"/>
  <c r="U436" i="17" s="1"/>
  <c r="U437" i="17" a="1"/>
  <c r="U437" i="17" s="1"/>
  <c r="U438" i="17" a="1"/>
  <c r="U438" i="17" s="1"/>
  <c r="U439" i="17" a="1"/>
  <c r="U439" i="17" s="1"/>
  <c r="U20" i="17" a="1"/>
  <c r="U20" i="17" s="1"/>
  <c r="U50" i="17" a="1"/>
  <c r="U50" i="17" s="1"/>
  <c r="U80" i="17" a="1"/>
  <c r="U80" i="17" s="1"/>
  <c r="U110" i="17" a="1"/>
  <c r="U110" i="17" s="1"/>
  <c r="U140" i="17" a="1"/>
  <c r="U140" i="17" s="1"/>
  <c r="U170" i="17" a="1"/>
  <c r="U170" i="17" s="1"/>
  <c r="U200" i="17" a="1"/>
  <c r="U200" i="17" s="1"/>
  <c r="U230" i="17" a="1"/>
  <c r="U230" i="17" s="1"/>
  <c r="U260" i="17" a="1"/>
  <c r="U260" i="17" s="1"/>
  <c r="U290" i="17" a="1"/>
  <c r="U290" i="17" s="1"/>
  <c r="U320" i="17" a="1"/>
  <c r="U320" i="17" s="1"/>
  <c r="U440" i="17" a="1"/>
  <c r="U440" i="17" s="1"/>
  <c r="U441" i="17" a="1"/>
  <c r="U441" i="17" s="1"/>
  <c r="U442" i="17" a="1"/>
  <c r="U442" i="17" s="1"/>
  <c r="U443" i="17" a="1"/>
  <c r="U443" i="17" s="1"/>
  <c r="U444" i="17" a="1"/>
  <c r="U444" i="17" s="1"/>
  <c r="U445" i="17" a="1"/>
  <c r="U445" i="17" s="1"/>
  <c r="U21" i="17" a="1"/>
  <c r="U21" i="17" s="1"/>
  <c r="U51" i="17" a="1"/>
  <c r="U51" i="17" s="1"/>
  <c r="U81" i="17" a="1"/>
  <c r="U81" i="17" s="1"/>
  <c r="U111" i="17" a="1"/>
  <c r="U111" i="17" s="1"/>
  <c r="U141" i="17" a="1"/>
  <c r="U141" i="17" s="1"/>
  <c r="U171" i="17" a="1"/>
  <c r="U171" i="17" s="1"/>
  <c r="U201" i="17" a="1"/>
  <c r="U201" i="17" s="1"/>
  <c r="U231" i="17" a="1"/>
  <c r="U231" i="17" s="1"/>
  <c r="U261" i="17" a="1"/>
  <c r="U261" i="17" s="1"/>
  <c r="U291" i="17" a="1"/>
  <c r="U291" i="17" s="1"/>
  <c r="U321" i="17" a="1"/>
  <c r="U321" i="17" s="1"/>
  <c r="U446" i="17" a="1"/>
  <c r="U446" i="17" s="1"/>
  <c r="U447" i="17" a="1"/>
  <c r="U447" i="17" s="1"/>
  <c r="U448" i="17" a="1"/>
  <c r="U448" i="17" s="1"/>
  <c r="U449" i="17" a="1"/>
  <c r="U449" i="17" s="1"/>
  <c r="U450" i="17" a="1"/>
  <c r="U450" i="17" s="1"/>
  <c r="U451" i="17" a="1"/>
  <c r="U451" i="17" s="1"/>
  <c r="U22" i="17" a="1"/>
  <c r="U22" i="17" s="1"/>
  <c r="U52" i="17" a="1"/>
  <c r="U52" i="17" s="1"/>
  <c r="U82" i="17" a="1"/>
  <c r="U82" i="17" s="1"/>
  <c r="U112" i="17" a="1"/>
  <c r="U112" i="17" s="1"/>
  <c r="U142" i="17" a="1"/>
  <c r="U142" i="17" s="1"/>
  <c r="U172" i="17" a="1"/>
  <c r="U172" i="17" s="1"/>
  <c r="U202" i="17" a="1"/>
  <c r="U202" i="17" s="1"/>
  <c r="U232" i="17" a="1"/>
  <c r="U232" i="17" s="1"/>
  <c r="U262" i="17" a="1"/>
  <c r="U262" i="17" s="1"/>
  <c r="U292" i="17" a="1"/>
  <c r="U292" i="17" s="1"/>
  <c r="U322" i="17" a="1"/>
  <c r="U322" i="17" s="1"/>
  <c r="U452" i="17" a="1"/>
  <c r="U452" i="17" s="1"/>
  <c r="U453" i="17" a="1"/>
  <c r="U453" i="17" s="1"/>
  <c r="U454" i="17" a="1"/>
  <c r="U454" i="17" s="1"/>
  <c r="U455" i="17" a="1"/>
  <c r="U455" i="17" s="1"/>
  <c r="U456" i="17" a="1"/>
  <c r="U456" i="17" s="1"/>
  <c r="U457" i="17" a="1"/>
  <c r="U457" i="17" s="1"/>
  <c r="U23" i="17" a="1"/>
  <c r="U23" i="17" s="1"/>
  <c r="U53" i="17" a="1"/>
  <c r="U53" i="17" s="1"/>
  <c r="U83" i="17" a="1"/>
  <c r="U83" i="17"/>
  <c r="U113" i="17" a="1"/>
  <c r="U113" i="17" s="1"/>
  <c r="U143" i="17" a="1"/>
  <c r="U143" i="17" s="1"/>
  <c r="U173" i="17" a="1"/>
  <c r="U173" i="17" s="1"/>
  <c r="U203" i="17" a="1"/>
  <c r="U203" i="17" s="1"/>
  <c r="U233" i="17" a="1"/>
  <c r="U233" i="17" s="1"/>
  <c r="U263" i="17" a="1"/>
  <c r="U263" i="17" s="1"/>
  <c r="U293" i="17" a="1"/>
  <c r="U293" i="17" s="1"/>
  <c r="U323" i="17" a="1"/>
  <c r="U323" i="17" s="1"/>
  <c r="U458" i="17" a="1"/>
  <c r="U458" i="17" s="1"/>
  <c r="U459" i="17" a="1"/>
  <c r="U459" i="17" s="1"/>
  <c r="U460" i="17" a="1"/>
  <c r="U460" i="17" s="1"/>
  <c r="U461" i="17" a="1"/>
  <c r="U461" i="17" s="1"/>
  <c r="U462" i="17" a="1"/>
  <c r="U462" i="17" s="1"/>
  <c r="U463" i="17" a="1"/>
  <c r="U463" i="17" s="1"/>
  <c r="U24" i="17" a="1"/>
  <c r="U24" i="17" s="1"/>
  <c r="U54" i="17" a="1"/>
  <c r="U54" i="17" s="1"/>
  <c r="U84" i="17" a="1"/>
  <c r="U84" i="17" s="1"/>
  <c r="U114" i="17" a="1"/>
  <c r="U114" i="17" s="1"/>
  <c r="U144" i="17" a="1"/>
  <c r="U144" i="17" s="1"/>
  <c r="U174" i="17" a="1"/>
  <c r="U174" i="17" s="1"/>
  <c r="U204" i="17" a="1"/>
  <c r="U204" i="17" s="1"/>
  <c r="U234" i="17" a="1"/>
  <c r="U234" i="17" s="1"/>
  <c r="U264" i="17" a="1"/>
  <c r="U264" i="17" s="1"/>
  <c r="U294" i="17" a="1"/>
  <c r="U294" i="17"/>
  <c r="U324" i="17" a="1"/>
  <c r="U324" i="17" s="1"/>
  <c r="U464" i="17" a="1"/>
  <c r="U464" i="17" s="1"/>
  <c r="U465" i="17" a="1"/>
  <c r="U465" i="17" s="1"/>
  <c r="U466" i="17" a="1"/>
  <c r="U466" i="17" s="1"/>
  <c r="U467" i="17" a="1"/>
  <c r="U467" i="17" s="1"/>
  <c r="U468" i="17" a="1"/>
  <c r="U468" i="17" s="1"/>
  <c r="U469" i="17" a="1"/>
  <c r="U469" i="17" s="1"/>
  <c r="U25" i="17" a="1"/>
  <c r="U25" i="17" s="1"/>
  <c r="U55" i="17" a="1"/>
  <c r="U55" i="17" s="1"/>
  <c r="U85" i="17" a="1"/>
  <c r="U85" i="17" s="1"/>
  <c r="U115" i="17" a="1"/>
  <c r="U115" i="17" s="1"/>
  <c r="U145" i="17" a="1"/>
  <c r="U145" i="17"/>
  <c r="U175" i="17" a="1"/>
  <c r="U175" i="17" s="1"/>
  <c r="U205" i="17" a="1"/>
  <c r="U205" i="17" s="1"/>
  <c r="U235" i="17" a="1"/>
  <c r="U235" i="17" s="1"/>
  <c r="U265" i="17" a="1"/>
  <c r="U265" i="17" s="1"/>
  <c r="U295" i="17" a="1"/>
  <c r="U295" i="17" s="1"/>
  <c r="U325" i="17" a="1"/>
  <c r="U325" i="17" s="1"/>
  <c r="U470" i="17" a="1"/>
  <c r="U470" i="17" s="1"/>
  <c r="U471" i="17" a="1"/>
  <c r="U471" i="17"/>
  <c r="U472" i="17" a="1"/>
  <c r="U472" i="17" s="1"/>
  <c r="U473" i="17" a="1"/>
  <c r="U473" i="17" s="1"/>
  <c r="U474" i="17" a="1"/>
  <c r="U474" i="17" s="1"/>
  <c r="U475" i="17" a="1"/>
  <c r="U475" i="17" s="1"/>
  <c r="U26" i="17" a="1"/>
  <c r="U26" i="17" s="1"/>
  <c r="U56" i="17" a="1"/>
  <c r="U56" i="17" s="1"/>
  <c r="U86" i="17" a="1"/>
  <c r="U86" i="17" s="1"/>
  <c r="U116" i="17" a="1"/>
  <c r="U116" i="17" s="1"/>
  <c r="U146" i="17" a="1"/>
  <c r="U146" i="17" s="1"/>
  <c r="U176" i="17" a="1"/>
  <c r="U176" i="17" s="1"/>
  <c r="U206" i="17" a="1"/>
  <c r="U206" i="17" s="1"/>
  <c r="U236" i="17" a="1"/>
  <c r="U236" i="17" s="1"/>
  <c r="U266" i="17" a="1"/>
  <c r="U266" i="17" s="1"/>
  <c r="U296" i="17" a="1"/>
  <c r="U296" i="17" s="1"/>
  <c r="U326" i="17" a="1"/>
  <c r="U326" i="17" s="1"/>
  <c r="U476" i="17" a="1"/>
  <c r="U476" i="17" s="1"/>
  <c r="U477" i="17" a="1"/>
  <c r="U477" i="17" s="1"/>
  <c r="U478" i="17" a="1"/>
  <c r="U478" i="17" s="1"/>
  <c r="U479" i="17" a="1"/>
  <c r="U479" i="17" s="1"/>
  <c r="U480" i="17" a="1"/>
  <c r="U480" i="17" s="1"/>
  <c r="U481" i="17" a="1"/>
  <c r="U481" i="17" s="1"/>
  <c r="U27" i="17" a="1"/>
  <c r="U27" i="17" s="1"/>
  <c r="U57" i="17" a="1"/>
  <c r="U57" i="17" s="1"/>
  <c r="U87" i="17" a="1"/>
  <c r="U87" i="17" s="1"/>
  <c r="U117" i="17" a="1"/>
  <c r="U117" i="17" s="1"/>
  <c r="U147" i="17" a="1"/>
  <c r="U147" i="17" s="1"/>
  <c r="U177" i="17" a="1"/>
  <c r="U177" i="17" s="1"/>
  <c r="U207" i="17" a="1"/>
  <c r="U207" i="17" s="1"/>
  <c r="U237" i="17" a="1"/>
  <c r="U237" i="17" s="1"/>
  <c r="U267" i="17" a="1"/>
  <c r="U267" i="17" s="1"/>
  <c r="U297" i="17" a="1"/>
  <c r="U297" i="17" s="1"/>
  <c r="U327" i="17" a="1"/>
  <c r="U327" i="17" s="1"/>
  <c r="U482" i="17" a="1"/>
  <c r="U482" i="17" s="1"/>
  <c r="U483" i="17" a="1"/>
  <c r="U483" i="17" s="1"/>
  <c r="U484" i="17" a="1"/>
  <c r="U484" i="17" s="1"/>
  <c r="U485" i="17" a="1"/>
  <c r="U485" i="17" s="1"/>
  <c r="U486" i="17" a="1"/>
  <c r="U486" i="17" s="1"/>
  <c r="U487" i="17" a="1"/>
  <c r="U487" i="17" s="1"/>
  <c r="U28" i="17" a="1"/>
  <c r="U28" i="17" s="1"/>
  <c r="U58" i="17" a="1"/>
  <c r="U58" i="17" s="1"/>
  <c r="U88" i="17" a="1"/>
  <c r="U88" i="17"/>
  <c r="U118" i="17" a="1"/>
  <c r="U118" i="17" s="1"/>
  <c r="U148" i="17" a="1"/>
  <c r="U148" i="17" s="1"/>
  <c r="U178" i="17" a="1"/>
  <c r="U178" i="17" s="1"/>
  <c r="U208" i="17" a="1"/>
  <c r="U208" i="17" s="1"/>
  <c r="U238" i="17" a="1"/>
  <c r="U238" i="17" s="1"/>
  <c r="U268" i="17" a="1"/>
  <c r="U268" i="17" s="1"/>
  <c r="U298" i="17" a="1"/>
  <c r="U298" i="17" s="1"/>
  <c r="U328" i="17" a="1"/>
  <c r="U328" i="17" s="1"/>
  <c r="U488" i="17" a="1"/>
  <c r="U488" i="17" s="1"/>
  <c r="U489" i="17" a="1"/>
  <c r="U489" i="17" s="1"/>
  <c r="U490" i="17" a="1"/>
  <c r="U490" i="17" s="1"/>
  <c r="U491" i="17" a="1"/>
  <c r="U491" i="17" s="1"/>
  <c r="U492" i="17" a="1"/>
  <c r="U492" i="17" s="1"/>
  <c r="U493" i="17" a="1"/>
  <c r="U493" i="17" s="1"/>
  <c r="U29" i="17" a="1"/>
  <c r="U29" i="17" s="1"/>
  <c r="U59" i="17" a="1"/>
  <c r="U59" i="17" s="1"/>
  <c r="U89" i="17" a="1"/>
  <c r="U89" i="17" s="1"/>
  <c r="U119" i="17" a="1"/>
  <c r="U119" i="17" s="1"/>
  <c r="U149" i="17" a="1"/>
  <c r="U149" i="17" s="1"/>
  <c r="U179" i="17" a="1"/>
  <c r="U179" i="17" s="1"/>
  <c r="U209" i="17" a="1"/>
  <c r="U209" i="17" s="1"/>
  <c r="U239" i="17" a="1"/>
  <c r="U239" i="17" s="1"/>
  <c r="U269" i="17" a="1"/>
  <c r="U269" i="17" s="1"/>
  <c r="U299" i="17" a="1"/>
  <c r="U299" i="17" s="1"/>
  <c r="U329" i="17" a="1"/>
  <c r="U329" i="17" s="1"/>
  <c r="U494" i="17" a="1"/>
  <c r="U494" i="17" s="1"/>
  <c r="U495" i="17" a="1"/>
  <c r="U495" i="17" s="1"/>
  <c r="U496" i="17" a="1"/>
  <c r="U496" i="17" s="1"/>
  <c r="U497" i="17" a="1"/>
  <c r="U497" i="17" s="1"/>
  <c r="U498" i="17" a="1"/>
  <c r="U498" i="17" s="1"/>
  <c r="U499" i="17" a="1"/>
  <c r="U499" i="17"/>
  <c r="U30" i="17" a="1"/>
  <c r="U30" i="17" s="1"/>
  <c r="U60" i="17" a="1"/>
  <c r="U60" i="17" s="1"/>
  <c r="U90" i="17" a="1"/>
  <c r="U90" i="17" s="1"/>
  <c r="U120" i="17" a="1"/>
  <c r="U120" i="17" s="1"/>
  <c r="U150" i="17" a="1"/>
  <c r="U150" i="17"/>
  <c r="U180" i="17" a="1"/>
  <c r="U180" i="17" s="1"/>
  <c r="U210" i="17" a="1"/>
  <c r="U210" i="17" s="1"/>
  <c r="U240" i="17" a="1"/>
  <c r="U240" i="17" s="1"/>
  <c r="U270" i="17" a="1"/>
  <c r="U270" i="17" s="1"/>
  <c r="U300" i="17" a="1"/>
  <c r="U300" i="17" s="1"/>
  <c r="U330" i="17" a="1"/>
  <c r="U330" i="17" s="1"/>
  <c r="U500" i="17" a="1"/>
  <c r="U500" i="17" s="1"/>
  <c r="U501" i="17" a="1"/>
  <c r="U501" i="17" s="1"/>
  <c r="U502" i="17" a="1"/>
  <c r="U502" i="17" s="1"/>
  <c r="U503" i="17" a="1"/>
  <c r="U503" i="17" s="1"/>
  <c r="U504" i="17" a="1"/>
  <c r="U504" i="17" s="1"/>
  <c r="U505" i="17" a="1"/>
  <c r="U505" i="17" s="1"/>
  <c r="U31" i="17" a="1"/>
  <c r="U31" i="17" s="1"/>
  <c r="U61" i="17" a="1"/>
  <c r="U61" i="17" s="1"/>
  <c r="U91" i="17" a="1"/>
  <c r="U91" i="17" s="1"/>
  <c r="U121" i="17" a="1"/>
  <c r="U121" i="17" s="1"/>
  <c r="U151" i="17" a="1"/>
  <c r="U151" i="17" s="1"/>
  <c r="U181" i="17" a="1"/>
  <c r="U181" i="17" s="1"/>
  <c r="U211" i="17" a="1"/>
  <c r="U211" i="17" s="1"/>
  <c r="U241" i="17" a="1"/>
  <c r="U241" i="17" s="1"/>
  <c r="U271" i="17" a="1"/>
  <c r="U271" i="17" s="1"/>
  <c r="U301" i="17" a="1"/>
  <c r="U301" i="17" s="1"/>
  <c r="U331" i="17" a="1"/>
  <c r="U331" i="17" s="1"/>
  <c r="U506" i="17" a="1"/>
  <c r="U506" i="17" s="1"/>
  <c r="U507" i="17" a="1"/>
  <c r="U507" i="17" s="1"/>
  <c r="U508" i="17" a="1"/>
  <c r="U508" i="17" s="1"/>
  <c r="U509" i="17" a="1"/>
  <c r="U509" i="17" s="1"/>
  <c r="U510" i="17" a="1"/>
  <c r="U510" i="17" s="1"/>
  <c r="U511" i="17" a="1"/>
  <c r="U511" i="17"/>
  <c r="V2" i="17" a="1"/>
  <c r="V2" i="17" s="1"/>
  <c r="V32" i="17" a="1"/>
  <c r="V32" i="17" s="1"/>
  <c r="V62" i="17" a="1"/>
  <c r="V62" i="17" s="1"/>
  <c r="V92" i="17" a="1"/>
  <c r="V92" i="17" s="1"/>
  <c r="V122" i="17" a="1"/>
  <c r="V122" i="17" s="1"/>
  <c r="V152" i="17" a="1"/>
  <c r="V152" i="17" s="1"/>
  <c r="V182" i="17" a="1"/>
  <c r="V182" i="17" s="1"/>
  <c r="V212" i="17" a="1"/>
  <c r="V212" i="17" s="1"/>
  <c r="V242" i="17" a="1"/>
  <c r="V242" i="17" s="1"/>
  <c r="V272" i="17" a="1"/>
  <c r="V272" i="17" s="1"/>
  <c r="V302" i="17" a="1"/>
  <c r="V302" i="17" s="1"/>
  <c r="V332" i="17" a="1"/>
  <c r="V332" i="17" s="1"/>
  <c r="V333" i="17" a="1"/>
  <c r="V333" i="17" s="1"/>
  <c r="V334" i="17" a="1"/>
  <c r="V334" i="17" s="1"/>
  <c r="V335" i="17" a="1"/>
  <c r="V335" i="17" s="1"/>
  <c r="V336" i="17" a="1"/>
  <c r="V336" i="17" s="1"/>
  <c r="V337" i="17" a="1"/>
  <c r="V337" i="17" s="1"/>
  <c r="V3" i="17" a="1"/>
  <c r="V3" i="17" s="1"/>
  <c r="V33" i="17" a="1"/>
  <c r="V33" i="17" s="1"/>
  <c r="V63" i="17" a="1"/>
  <c r="V63" i="17" s="1"/>
  <c r="V93" i="17" a="1"/>
  <c r="V93" i="17" s="1"/>
  <c r="V123" i="17" a="1"/>
  <c r="V123" i="17" s="1"/>
  <c r="V153" i="17" a="1"/>
  <c r="V153" i="17" s="1"/>
  <c r="V183" i="17" a="1"/>
  <c r="V183" i="17" s="1"/>
  <c r="V213" i="17" a="1"/>
  <c r="V213" i="17" s="1"/>
  <c r="V243" i="17" a="1"/>
  <c r="V243" i="17" s="1"/>
  <c r="V273" i="17" a="1"/>
  <c r="V273" i="17" s="1"/>
  <c r="V303" i="17" a="1"/>
  <c r="V303" i="17" s="1"/>
  <c r="V338" i="17" a="1"/>
  <c r="V338" i="17" s="1"/>
  <c r="V339" i="17" a="1"/>
  <c r="V339" i="17" s="1"/>
  <c r="V340" i="17" a="1"/>
  <c r="V340" i="17" s="1"/>
  <c r="V341" i="17" a="1"/>
  <c r="V341" i="17" s="1"/>
  <c r="V342" i="17" a="1"/>
  <c r="V342" i="17" s="1"/>
  <c r="V343" i="17" a="1"/>
  <c r="V343" i="17" s="1"/>
  <c r="V4" i="17" a="1"/>
  <c r="V4" i="17" s="1"/>
  <c r="V34" i="17" a="1"/>
  <c r="V34" i="17" s="1"/>
  <c r="V64" i="17" a="1"/>
  <c r="V64" i="17" s="1"/>
  <c r="V94" i="17" a="1"/>
  <c r="V94" i="17" s="1"/>
  <c r="V124" i="17" a="1"/>
  <c r="V124" i="17" s="1"/>
  <c r="V154" i="17" a="1"/>
  <c r="V154" i="17" s="1"/>
  <c r="V184" i="17" a="1"/>
  <c r="V184" i="17" s="1"/>
  <c r="V214" i="17" a="1"/>
  <c r="V214" i="17" s="1"/>
  <c r="V244" i="17" a="1"/>
  <c r="V244" i="17" s="1"/>
  <c r="V274" i="17" a="1"/>
  <c r="V274" i="17" s="1"/>
  <c r="V304" i="17" a="1"/>
  <c r="V304" i="17" s="1"/>
  <c r="V344" i="17" a="1"/>
  <c r="V344" i="17" s="1"/>
  <c r="V345" i="17" a="1"/>
  <c r="V345" i="17" s="1"/>
  <c r="V346" i="17" a="1"/>
  <c r="V346" i="17" s="1"/>
  <c r="V347" i="17" a="1"/>
  <c r="V347" i="17" s="1"/>
  <c r="V348" i="17" a="1"/>
  <c r="V348" i="17" s="1"/>
  <c r="V349" i="17" a="1"/>
  <c r="V349" i="17" s="1"/>
  <c r="V5" i="17" a="1"/>
  <c r="V5" i="17" s="1"/>
  <c r="V35" i="17" a="1"/>
  <c r="V35" i="17"/>
  <c r="V65" i="17" a="1"/>
  <c r="V65" i="17" s="1"/>
  <c r="V95" i="17" a="1"/>
  <c r="V95" i="17" s="1"/>
  <c r="V125" i="17" a="1"/>
  <c r="V125" i="17" s="1"/>
  <c r="V155" i="17" a="1"/>
  <c r="V155" i="17" s="1"/>
  <c r="V185" i="17" a="1"/>
  <c r="V185" i="17" s="1"/>
  <c r="V215" i="17" a="1"/>
  <c r="V215" i="17" s="1"/>
  <c r="V245" i="17" a="1"/>
  <c r="V245" i="17" s="1"/>
  <c r="V275" i="17" a="1"/>
  <c r="V275" i="17" s="1"/>
  <c r="V305" i="17" a="1"/>
  <c r="V305" i="17" s="1"/>
  <c r="V350" i="17" a="1"/>
  <c r="V350" i="17" s="1"/>
  <c r="V351" i="17" a="1"/>
  <c r="V351" i="17" s="1"/>
  <c r="V352" i="17" a="1"/>
  <c r="V352" i="17" s="1"/>
  <c r="V353" i="17" a="1"/>
  <c r="V353" i="17" s="1"/>
  <c r="V354" i="17" a="1"/>
  <c r="V354" i="17" s="1"/>
  <c r="V355" i="17" a="1"/>
  <c r="V355" i="17" s="1"/>
  <c r="V6" i="17" a="1"/>
  <c r="V6" i="17" s="1"/>
  <c r="V36" i="17" a="1"/>
  <c r="V36" i="17" s="1"/>
  <c r="V66" i="17" a="1"/>
  <c r="V66" i="17" s="1"/>
  <c r="V96" i="17" a="1"/>
  <c r="V96" i="17" s="1"/>
  <c r="V126" i="17" a="1"/>
  <c r="V126" i="17" s="1"/>
  <c r="V156" i="17" a="1"/>
  <c r="V156" i="17" s="1"/>
  <c r="V186" i="17" a="1"/>
  <c r="V186" i="17" s="1"/>
  <c r="V216" i="17" a="1"/>
  <c r="V216" i="17" s="1"/>
  <c r="V246" i="17" a="1"/>
  <c r="V246" i="17" s="1"/>
  <c r="V276" i="17" a="1"/>
  <c r="V276" i="17" s="1"/>
  <c r="V306" i="17" a="1"/>
  <c r="V306" i="17" s="1"/>
  <c r="V356" i="17" a="1"/>
  <c r="V356" i="17" s="1"/>
  <c r="V357" i="17" a="1"/>
  <c r="V357" i="17" s="1"/>
  <c r="V358" i="17" a="1"/>
  <c r="V358" i="17" s="1"/>
  <c r="V359" i="17" a="1"/>
  <c r="V359" i="17" s="1"/>
  <c r="V360" i="17" a="1"/>
  <c r="V360" i="17" s="1"/>
  <c r="V361" i="17" a="1"/>
  <c r="V361" i="17" s="1"/>
  <c r="V7" i="17" a="1"/>
  <c r="V7" i="17" s="1"/>
  <c r="V37" i="17" a="1"/>
  <c r="V37" i="17" s="1"/>
  <c r="V67" i="17" a="1"/>
  <c r="V67" i="17" s="1"/>
  <c r="V97" i="17" a="1"/>
  <c r="V97" i="17" s="1"/>
  <c r="V127" i="17" a="1"/>
  <c r="V127" i="17" s="1"/>
  <c r="V157" i="17" a="1"/>
  <c r="V157" i="17" s="1"/>
  <c r="V187" i="17" a="1"/>
  <c r="V187" i="17" s="1"/>
  <c r="V217" i="17" a="1"/>
  <c r="V217" i="17" s="1"/>
  <c r="V247" i="17" a="1"/>
  <c r="V247" i="17" s="1"/>
  <c r="V277" i="17" a="1"/>
  <c r="V277" i="17" s="1"/>
  <c r="V307" i="17" a="1"/>
  <c r="V307" i="17" s="1"/>
  <c r="V362" i="17" a="1"/>
  <c r="V362" i="17"/>
  <c r="V363" i="17" a="1"/>
  <c r="V363" i="17" s="1"/>
  <c r="V364" i="17" a="1"/>
  <c r="V364" i="17"/>
  <c r="V365" i="17" a="1"/>
  <c r="V365" i="17" s="1"/>
  <c r="V366" i="17" a="1"/>
  <c r="V366" i="17" s="1"/>
  <c r="V367" i="17" a="1"/>
  <c r="V367" i="17" s="1"/>
  <c r="V8" i="17" a="1"/>
  <c r="V8" i="17" s="1"/>
  <c r="V38" i="17" a="1"/>
  <c r="V38" i="17" s="1"/>
  <c r="V68" i="17" a="1"/>
  <c r="V68" i="17" s="1"/>
  <c r="V98" i="17" a="1"/>
  <c r="V98" i="17" s="1"/>
  <c r="V128" i="17" a="1"/>
  <c r="V128" i="17"/>
  <c r="V158" i="17" a="1"/>
  <c r="V158" i="17" s="1"/>
  <c r="V188" i="17" a="1"/>
  <c r="V188" i="17" s="1"/>
  <c r="V218" i="17" a="1"/>
  <c r="V218" i="17" s="1"/>
  <c r="V248" i="17" a="1"/>
  <c r="V248" i="17" s="1"/>
  <c r="V278" i="17" a="1"/>
  <c r="V278" i="17" s="1"/>
  <c r="V308" i="17" a="1"/>
  <c r="V308" i="17" s="1"/>
  <c r="V368" i="17" a="1"/>
  <c r="V368" i="17" s="1"/>
  <c r="V369" i="17" a="1"/>
  <c r="V369" i="17" s="1"/>
  <c r="V370" i="17" a="1"/>
  <c r="V370" i="17" s="1"/>
  <c r="V371" i="17" a="1"/>
  <c r="V371" i="17" s="1"/>
  <c r="V372" i="17" a="1"/>
  <c r="V372" i="17" s="1"/>
  <c r="V373" i="17" a="1"/>
  <c r="V373" i="17" s="1"/>
  <c r="V9" i="17" a="1"/>
  <c r="V9" i="17" s="1"/>
  <c r="V39" i="17" a="1"/>
  <c r="V39" i="17" s="1"/>
  <c r="V69" i="17" a="1"/>
  <c r="V69" i="17" s="1"/>
  <c r="V99" i="17" a="1"/>
  <c r="V99" i="17" s="1"/>
  <c r="V129" i="17" a="1"/>
  <c r="V129" i="17" s="1"/>
  <c r="V159" i="17" a="1"/>
  <c r="V159" i="17" s="1"/>
  <c r="V189" i="17" a="1"/>
  <c r="V189" i="17" s="1"/>
  <c r="V219" i="17" a="1"/>
  <c r="V219" i="17" s="1"/>
  <c r="V249" i="17" a="1"/>
  <c r="V249" i="17" s="1"/>
  <c r="V279" i="17" a="1"/>
  <c r="V279" i="17" s="1"/>
  <c r="V309" i="17" a="1"/>
  <c r="V309" i="17" s="1"/>
  <c r="V374" i="17" a="1"/>
  <c r="V374" i="17" s="1"/>
  <c r="V375" i="17" a="1"/>
  <c r="V375" i="17" s="1"/>
  <c r="V376" i="17" a="1"/>
  <c r="V376" i="17" s="1"/>
  <c r="V377" i="17" a="1"/>
  <c r="V377" i="17" s="1"/>
  <c r="V378" i="17" a="1"/>
  <c r="V378" i="17" s="1"/>
  <c r="V379" i="17" a="1"/>
  <c r="V379" i="17" s="1"/>
  <c r="V10" i="17" a="1"/>
  <c r="V10" i="17" s="1"/>
  <c r="V40" i="17" a="1"/>
  <c r="V40" i="17" s="1"/>
  <c r="V70" i="17" a="1"/>
  <c r="V70" i="17" s="1"/>
  <c r="V100" i="17" a="1"/>
  <c r="V100" i="17" s="1"/>
  <c r="V130" i="17" a="1"/>
  <c r="V130" i="17" s="1"/>
  <c r="V160" i="17" a="1"/>
  <c r="V160" i="17" s="1"/>
  <c r="V190" i="17" a="1"/>
  <c r="V190" i="17" s="1"/>
  <c r="V220" i="17" a="1"/>
  <c r="V220" i="17" s="1"/>
  <c r="V250" i="17" a="1"/>
  <c r="V250" i="17" s="1"/>
  <c r="V280" i="17" a="1"/>
  <c r="V280" i="17" s="1"/>
  <c r="V310" i="17" a="1"/>
  <c r="V310" i="17" s="1"/>
  <c r="V380" i="17" a="1"/>
  <c r="V380" i="17" s="1"/>
  <c r="V381" i="17" a="1"/>
  <c r="V381" i="17" s="1"/>
  <c r="V382" i="17" a="1"/>
  <c r="V382" i="17" s="1"/>
  <c r="V383" i="17" a="1"/>
  <c r="V383" i="17" s="1"/>
  <c r="V384" i="17" a="1"/>
  <c r="V384" i="17" s="1"/>
  <c r="V385" i="17" a="1"/>
  <c r="V385" i="17" s="1"/>
  <c r="V11" i="17" a="1"/>
  <c r="V11" i="17" s="1"/>
  <c r="V41" i="17" a="1"/>
  <c r="V41" i="17" s="1"/>
  <c r="V71" i="17" a="1"/>
  <c r="V71" i="17" s="1"/>
  <c r="V101" i="17" a="1"/>
  <c r="V101" i="17" s="1"/>
  <c r="V131" i="17" a="1"/>
  <c r="V131" i="17" s="1"/>
  <c r="V161" i="17" a="1"/>
  <c r="V161" i="17" s="1"/>
  <c r="V191" i="17" a="1"/>
  <c r="V191" i="17" s="1"/>
  <c r="V221" i="17" a="1"/>
  <c r="V221" i="17" s="1"/>
  <c r="V251" i="17" a="1"/>
  <c r="V251" i="17" s="1"/>
  <c r="V281" i="17" a="1"/>
  <c r="V281" i="17" s="1"/>
  <c r="V311" i="17" a="1"/>
  <c r="V311" i="17" s="1"/>
  <c r="V386" i="17" a="1"/>
  <c r="V386" i="17" s="1"/>
  <c r="V387" i="17" a="1"/>
  <c r="V387" i="17" s="1"/>
  <c r="V388" i="17" a="1"/>
  <c r="V388" i="17" s="1"/>
  <c r="V389" i="17" a="1"/>
  <c r="V389" i="17" s="1"/>
  <c r="V390" i="17" a="1"/>
  <c r="V390" i="17" s="1"/>
  <c r="V391" i="17" a="1"/>
  <c r="V391" i="17" s="1"/>
  <c r="V12" i="17" a="1"/>
  <c r="V12" i="17" s="1"/>
  <c r="V42" i="17" a="1"/>
  <c r="V42" i="17" s="1"/>
  <c r="V72" i="17" a="1"/>
  <c r="V72" i="17" s="1"/>
  <c r="V102" i="17" a="1"/>
  <c r="V102" i="17" s="1"/>
  <c r="V132" i="17" a="1"/>
  <c r="V132" i="17" s="1"/>
  <c r="V162" i="17" a="1"/>
  <c r="V162" i="17" s="1"/>
  <c r="V192" i="17" a="1"/>
  <c r="V192" i="17" s="1"/>
  <c r="V222" i="17" a="1"/>
  <c r="V222" i="17" s="1"/>
  <c r="V252" i="17" a="1"/>
  <c r="V252" i="17" s="1"/>
  <c r="V282" i="17" a="1"/>
  <c r="V282" i="17" s="1"/>
  <c r="V312" i="17" a="1"/>
  <c r="V312" i="17" s="1"/>
  <c r="V392" i="17" a="1"/>
  <c r="V392" i="17" s="1"/>
  <c r="V393" i="17" a="1"/>
  <c r="V393" i="17" s="1"/>
  <c r="V394" i="17" a="1"/>
  <c r="V394" i="17" s="1"/>
  <c r="V395" i="17" a="1"/>
  <c r="V395" i="17" s="1"/>
  <c r="V396" i="17" a="1"/>
  <c r="V396" i="17" s="1"/>
  <c r="V397" i="17" a="1"/>
  <c r="V397" i="17" s="1"/>
  <c r="V13" i="17" a="1"/>
  <c r="V13" i="17" s="1"/>
  <c r="V43" i="17" a="1"/>
  <c r="V43" i="17"/>
  <c r="V73" i="17" a="1"/>
  <c r="V73" i="17" s="1"/>
  <c r="V103" i="17" a="1"/>
  <c r="V103" i="17" s="1"/>
  <c r="V133" i="17" a="1"/>
  <c r="V133" i="17" s="1"/>
  <c r="V163" i="17" a="1"/>
  <c r="V163" i="17" s="1"/>
  <c r="V193" i="17" a="1"/>
  <c r="V193" i="17" s="1"/>
  <c r="V223" i="17" a="1"/>
  <c r="V223" i="17" s="1"/>
  <c r="V253" i="17" a="1"/>
  <c r="V253" i="17" s="1"/>
  <c r="V283" i="17" a="1"/>
  <c r="V283" i="17" s="1"/>
  <c r="V313" i="17" a="1"/>
  <c r="V313" i="17" s="1"/>
  <c r="V398" i="17" a="1"/>
  <c r="V398" i="17" s="1"/>
  <c r="V399" i="17" a="1"/>
  <c r="V399" i="17" s="1"/>
  <c r="V400" i="17" a="1"/>
  <c r="V400" i="17" s="1"/>
  <c r="V401" i="17" a="1"/>
  <c r="V401" i="17" s="1"/>
  <c r="V402" i="17" a="1"/>
  <c r="V402" i="17" s="1"/>
  <c r="V403" i="17" a="1"/>
  <c r="V403" i="17" s="1"/>
  <c r="V14" i="17" a="1"/>
  <c r="V14" i="17" s="1"/>
  <c r="V44" i="17" a="1"/>
  <c r="V44" i="17" s="1"/>
  <c r="V74" i="17" a="1"/>
  <c r="V74" i="17" s="1"/>
  <c r="V104" i="17" a="1"/>
  <c r="V104" i="17" s="1"/>
  <c r="V134" i="17" a="1"/>
  <c r="V134" i="17" s="1"/>
  <c r="V164" i="17" a="1"/>
  <c r="V164" i="17"/>
  <c r="V194" i="17" a="1"/>
  <c r="V194" i="17"/>
  <c r="V224" i="17" a="1"/>
  <c r="V224" i="17" s="1"/>
  <c r="V254" i="17" a="1"/>
  <c r="V254" i="17" s="1"/>
  <c r="V284" i="17" a="1"/>
  <c r="V284" i="17" s="1"/>
  <c r="V314" i="17" a="1"/>
  <c r="V314" i="17" s="1"/>
  <c r="V404" i="17" a="1"/>
  <c r="V404" i="17" s="1"/>
  <c r="V405" i="17" a="1"/>
  <c r="V405" i="17" s="1"/>
  <c r="V406" i="17" a="1"/>
  <c r="V406" i="17" s="1"/>
  <c r="V407" i="17" a="1"/>
  <c r="V407" i="17" s="1"/>
  <c r="V408" i="17" a="1"/>
  <c r="V408" i="17" s="1"/>
  <c r="V409" i="17" a="1"/>
  <c r="V409" i="17" s="1"/>
  <c r="V15" i="17" a="1"/>
  <c r="V15" i="17" s="1"/>
  <c r="V45" i="17" a="1"/>
  <c r="V45" i="17" s="1"/>
  <c r="V75" i="17" a="1"/>
  <c r="V75" i="17" s="1"/>
  <c r="V105" i="17" a="1"/>
  <c r="V105" i="17" s="1"/>
  <c r="V135" i="17" a="1"/>
  <c r="V135" i="17" s="1"/>
  <c r="V165" i="17" a="1"/>
  <c r="V165" i="17" s="1"/>
  <c r="V195" i="17" a="1"/>
  <c r="V195" i="17" s="1"/>
  <c r="V225" i="17" a="1"/>
  <c r="V225" i="17" s="1"/>
  <c r="V255" i="17" a="1"/>
  <c r="V255" i="17" s="1"/>
  <c r="V285" i="17" a="1"/>
  <c r="V285" i="17" s="1"/>
  <c r="V315" i="17" a="1"/>
  <c r="V315" i="17" s="1"/>
  <c r="V410" i="17" a="1"/>
  <c r="V410" i="17" s="1"/>
  <c r="V411" i="17" a="1"/>
  <c r="V411" i="17" s="1"/>
  <c r="V412" i="17" a="1"/>
  <c r="V412" i="17" s="1"/>
  <c r="V413" i="17" a="1"/>
  <c r="V413" i="17" s="1"/>
  <c r="V414" i="17" a="1"/>
  <c r="V414" i="17" s="1"/>
  <c r="V415" i="17" a="1"/>
  <c r="V415" i="17" s="1"/>
  <c r="V16" i="17" a="1"/>
  <c r="V16" i="17" s="1"/>
  <c r="V46" i="17" a="1"/>
  <c r="V46" i="17" s="1"/>
  <c r="V76" i="17" a="1"/>
  <c r="V76" i="17" s="1"/>
  <c r="V106" i="17" a="1"/>
  <c r="V106" i="17" s="1"/>
  <c r="V136" i="17" a="1"/>
  <c r="V136" i="17" s="1"/>
  <c r="V166" i="17" a="1"/>
  <c r="V166" i="17" s="1"/>
  <c r="V196" i="17" a="1"/>
  <c r="V196" i="17" s="1"/>
  <c r="V226" i="17" a="1"/>
  <c r="V226" i="17" s="1"/>
  <c r="V256" i="17" a="1"/>
  <c r="V256" i="17" s="1"/>
  <c r="V286" i="17" a="1"/>
  <c r="V286" i="17" s="1"/>
  <c r="V316" i="17" a="1"/>
  <c r="V316" i="17" s="1"/>
  <c r="V416" i="17" a="1"/>
  <c r="V416" i="17" s="1"/>
  <c r="V417" i="17" a="1"/>
  <c r="V417" i="17" s="1"/>
  <c r="V418" i="17" a="1"/>
  <c r="V418" i="17" s="1"/>
  <c r="V419" i="17" a="1"/>
  <c r="V419" i="17" s="1"/>
  <c r="V420" i="17" a="1"/>
  <c r="V420" i="17" s="1"/>
  <c r="V421" i="17" a="1"/>
  <c r="V421" i="17" s="1"/>
  <c r="V17" i="17" a="1"/>
  <c r="V17" i="17" s="1"/>
  <c r="V47" i="17" a="1"/>
  <c r="V47" i="17" s="1"/>
  <c r="V77" i="17" a="1"/>
  <c r="V77" i="17" s="1"/>
  <c r="V107" i="17" a="1"/>
  <c r="V107" i="17" s="1"/>
  <c r="V137" i="17" a="1"/>
  <c r="V137" i="17" s="1"/>
  <c r="V167" i="17" a="1"/>
  <c r="V167" i="17" s="1"/>
  <c r="V197" i="17" a="1"/>
  <c r="V197" i="17" s="1"/>
  <c r="V227" i="17" a="1"/>
  <c r="V227" i="17" s="1"/>
  <c r="V257" i="17" a="1"/>
  <c r="V257" i="17" s="1"/>
  <c r="V287" i="17" a="1"/>
  <c r="V287" i="17"/>
  <c r="V317" i="17" a="1"/>
  <c r="V317" i="17" s="1"/>
  <c r="V422" i="17" a="1"/>
  <c r="V422" i="17" s="1"/>
  <c r="V423" i="17" a="1"/>
  <c r="V423" i="17" s="1"/>
  <c r="V424" i="17" a="1"/>
  <c r="V424" i="17" s="1"/>
  <c r="V425" i="17" a="1"/>
  <c r="V425" i="17"/>
  <c r="V426" i="17" a="1"/>
  <c r="V426" i="17" s="1"/>
  <c r="V427" i="17" a="1"/>
  <c r="V427" i="17" s="1"/>
  <c r="V18" i="17" a="1"/>
  <c r="V18" i="17" s="1"/>
  <c r="V48" i="17" a="1"/>
  <c r="V48" i="17" s="1"/>
  <c r="V78" i="17" a="1"/>
  <c r="V78" i="17" s="1"/>
  <c r="V108" i="17" a="1"/>
  <c r="V108" i="17" s="1"/>
  <c r="V138" i="17" a="1"/>
  <c r="V138" i="17" s="1"/>
  <c r="V168" i="17" a="1"/>
  <c r="V168" i="17" s="1"/>
  <c r="V198" i="17" a="1"/>
  <c r="V198" i="17" s="1"/>
  <c r="V228" i="17" a="1"/>
  <c r="V228" i="17" s="1"/>
  <c r="V258" i="17" a="1"/>
  <c r="V258" i="17" s="1"/>
  <c r="V288" i="17" a="1"/>
  <c r="V288" i="17" s="1"/>
  <c r="V318" i="17" a="1"/>
  <c r="V318" i="17" s="1"/>
  <c r="V428" i="17" a="1"/>
  <c r="V428" i="17" s="1"/>
  <c r="V429" i="17" a="1"/>
  <c r="V429" i="17" s="1"/>
  <c r="V430" i="17" a="1"/>
  <c r="V430" i="17" s="1"/>
  <c r="V431" i="17" a="1"/>
  <c r="V431" i="17" s="1"/>
  <c r="V432" i="17" a="1"/>
  <c r="V432" i="17" s="1"/>
  <c r="V433" i="17" a="1"/>
  <c r="V433" i="17" s="1"/>
  <c r="V19" i="17" a="1"/>
  <c r="V19" i="17" s="1"/>
  <c r="V49" i="17" a="1"/>
  <c r="V49" i="17" s="1"/>
  <c r="V79" i="17" a="1"/>
  <c r="V79" i="17" s="1"/>
  <c r="V109" i="17" a="1"/>
  <c r="V109" i="17" s="1"/>
  <c r="V139" i="17" a="1"/>
  <c r="V139" i="17" s="1"/>
  <c r="V169" i="17" a="1"/>
  <c r="V169" i="17" s="1"/>
  <c r="V199" i="17" a="1"/>
  <c r="V199" i="17" s="1"/>
  <c r="V229" i="17" a="1"/>
  <c r="V229" i="17" s="1"/>
  <c r="V259" i="17" a="1"/>
  <c r="V259" i="17" s="1"/>
  <c r="V289" i="17" a="1"/>
  <c r="V289" i="17" s="1"/>
  <c r="V319" i="17" a="1"/>
  <c r="V319" i="17" s="1"/>
  <c r="V434" i="17" a="1"/>
  <c r="V434" i="17" s="1"/>
  <c r="V435" i="17" a="1"/>
  <c r="V435" i="17" s="1"/>
  <c r="V436" i="17" a="1"/>
  <c r="V436" i="17"/>
  <c r="V437" i="17" a="1"/>
  <c r="V437" i="17" s="1"/>
  <c r="V438" i="17" a="1"/>
  <c r="V438" i="17" s="1"/>
  <c r="V439" i="17" a="1"/>
  <c r="V439" i="17" s="1"/>
  <c r="V20" i="17" a="1"/>
  <c r="V20" i="17" s="1"/>
  <c r="V50" i="17" a="1"/>
  <c r="V50" i="17" s="1"/>
  <c r="V80" i="17" a="1"/>
  <c r="V80" i="17" s="1"/>
  <c r="V110" i="17" a="1"/>
  <c r="V110" i="17" s="1"/>
  <c r="V140" i="17" a="1"/>
  <c r="V140" i="17" s="1"/>
  <c r="V170" i="17" a="1"/>
  <c r="V170" i="17" s="1"/>
  <c r="V200" i="17" a="1"/>
  <c r="V200" i="17"/>
  <c r="V230" i="17" a="1"/>
  <c r="V230" i="17" s="1"/>
  <c r="V260" i="17" a="1"/>
  <c r="V260" i="17"/>
  <c r="V290" i="17" a="1"/>
  <c r="V290" i="17" s="1"/>
  <c r="V320" i="17" a="1"/>
  <c r="V320" i="17" s="1"/>
  <c r="V440" i="17" a="1"/>
  <c r="V440" i="17" s="1"/>
  <c r="V441" i="17" a="1"/>
  <c r="V441" i="17" s="1"/>
  <c r="V442" i="17" a="1"/>
  <c r="V442" i="17" s="1"/>
  <c r="V443" i="17" a="1"/>
  <c r="V443" i="17" s="1"/>
  <c r="V444" i="17" a="1"/>
  <c r="V444" i="17" s="1"/>
  <c r="V445" i="17" a="1"/>
  <c r="V445" i="17" s="1"/>
  <c r="V21" i="17" a="1"/>
  <c r="V21" i="17" s="1"/>
  <c r="V51" i="17" a="1"/>
  <c r="V51" i="17" s="1"/>
  <c r="V81" i="17" a="1"/>
  <c r="V81" i="17" s="1"/>
  <c r="V111" i="17" a="1"/>
  <c r="V111" i="17" s="1"/>
  <c r="V141" i="17" a="1"/>
  <c r="V141" i="17" s="1"/>
  <c r="V171" i="17" a="1"/>
  <c r="V171" i="17" s="1"/>
  <c r="V201" i="17" a="1"/>
  <c r="V201" i="17" s="1"/>
  <c r="V231" i="17" a="1"/>
  <c r="V231" i="17" s="1"/>
  <c r="V261" i="17" a="1"/>
  <c r="V261" i="17" s="1"/>
  <c r="V291" i="17" a="1"/>
  <c r="V291" i="17" s="1"/>
  <c r="V321" i="17" a="1"/>
  <c r="V321" i="17" s="1"/>
  <c r="V446" i="17" a="1"/>
  <c r="V446" i="17" s="1"/>
  <c r="V447" i="17" a="1"/>
  <c r="V447" i="17" s="1"/>
  <c r="V448" i="17" a="1"/>
  <c r="V448" i="17"/>
  <c r="V449" i="17" a="1"/>
  <c r="V449" i="17" s="1"/>
  <c r="V450" i="17" a="1"/>
  <c r="V450" i="17" s="1"/>
  <c r="V451" i="17" a="1"/>
  <c r="V451" i="17" s="1"/>
  <c r="V22" i="17" a="1"/>
  <c r="V22" i="17" s="1"/>
  <c r="V52" i="17" a="1"/>
  <c r="V52" i="17" s="1"/>
  <c r="V82" i="17" a="1"/>
  <c r="V82" i="17" s="1"/>
  <c r="V112" i="17" a="1"/>
  <c r="V112" i="17" s="1"/>
  <c r="V142" i="17" a="1"/>
  <c r="V142" i="17" s="1"/>
  <c r="V172" i="17" a="1"/>
  <c r="V172" i="17"/>
  <c r="V202" i="17" a="1"/>
  <c r="V202" i="17" s="1"/>
  <c r="V232" i="17" a="1"/>
  <c r="V232" i="17" s="1"/>
  <c r="V262" i="17" a="1"/>
  <c r="V262" i="17" s="1"/>
  <c r="V292" i="17" a="1"/>
  <c r="V292" i="17" s="1"/>
  <c r="V322" i="17" a="1"/>
  <c r="V322" i="17" s="1"/>
  <c r="V452" i="17" a="1"/>
  <c r="V452" i="17" s="1"/>
  <c r="V453" i="17" a="1"/>
  <c r="V453" i="17" s="1"/>
  <c r="V454" i="17" a="1"/>
  <c r="V454" i="17" s="1"/>
  <c r="V455" i="17" a="1"/>
  <c r="V455" i="17" s="1"/>
  <c r="V456" i="17" a="1"/>
  <c r="V456" i="17" s="1"/>
  <c r="V457" i="17" a="1"/>
  <c r="V457" i="17" s="1"/>
  <c r="V23" i="17" a="1"/>
  <c r="V23" i="17" s="1"/>
  <c r="V53" i="17" a="1"/>
  <c r="V53" i="17" s="1"/>
  <c r="V83" i="17" a="1"/>
  <c r="V83" i="17" s="1"/>
  <c r="V113" i="17" a="1"/>
  <c r="V113" i="17" s="1"/>
  <c r="V143" i="17" a="1"/>
  <c r="V143" i="17" s="1"/>
  <c r="V173" i="17" a="1"/>
  <c r="V173" i="17" s="1"/>
  <c r="V203" i="17" a="1"/>
  <c r="V203" i="17" s="1"/>
  <c r="V233" i="17" a="1"/>
  <c r="V233" i="17" s="1"/>
  <c r="V263" i="17" a="1"/>
  <c r="V263" i="17" s="1"/>
  <c r="V293" i="17" a="1"/>
  <c r="V293" i="17" s="1"/>
  <c r="V323" i="17" a="1"/>
  <c r="V323" i="17" s="1"/>
  <c r="V458" i="17" a="1"/>
  <c r="V458" i="17" s="1"/>
  <c r="V459" i="17" a="1"/>
  <c r="V459" i="17" s="1"/>
  <c r="V460" i="17" a="1"/>
  <c r="V460" i="17" s="1"/>
  <c r="V461" i="17" a="1"/>
  <c r="V461" i="17" s="1"/>
  <c r="V462" i="17" a="1"/>
  <c r="V462" i="17" s="1"/>
  <c r="V463" i="17" a="1"/>
  <c r="V463" i="17" s="1"/>
  <c r="V24" i="17" a="1"/>
  <c r="V24" i="17" s="1"/>
  <c r="V54" i="17" a="1"/>
  <c r="V54" i="17" s="1"/>
  <c r="V84" i="17" a="1"/>
  <c r="V84" i="17" s="1"/>
  <c r="V114" i="17" a="1"/>
  <c r="V114" i="17" s="1"/>
  <c r="V144" i="17" a="1"/>
  <c r="V144" i="17" s="1"/>
  <c r="V174" i="17" a="1"/>
  <c r="V174" i="17" s="1"/>
  <c r="V204" i="17" a="1"/>
  <c r="V204" i="17" s="1"/>
  <c r="V234" i="17" a="1"/>
  <c r="V234" i="17" s="1"/>
  <c r="V264" i="17" a="1"/>
  <c r="V264" i="17" s="1"/>
  <c r="V294" i="17" a="1"/>
  <c r="V294" i="17" s="1"/>
  <c r="V324" i="17" a="1"/>
  <c r="V324" i="17" s="1"/>
  <c r="V464" i="17" a="1"/>
  <c r="V464" i="17" s="1"/>
  <c r="V465" i="17" a="1"/>
  <c r="V465" i="17" s="1"/>
  <c r="V466" i="17" a="1"/>
  <c r="V466" i="17" s="1"/>
  <c r="V467" i="17" a="1"/>
  <c r="V467" i="17" s="1"/>
  <c r="V468" i="17" a="1"/>
  <c r="V468" i="17" s="1"/>
  <c r="V469" i="17" a="1"/>
  <c r="V469" i="17" s="1"/>
  <c r="V25" i="17" a="1"/>
  <c r="V25" i="17" s="1"/>
  <c r="V55" i="17" a="1"/>
  <c r="V55" i="17" s="1"/>
  <c r="V85" i="17" a="1"/>
  <c r="V85" i="17" s="1"/>
  <c r="V115" i="17" a="1"/>
  <c r="V115" i="17" s="1"/>
  <c r="V145" i="17" a="1"/>
  <c r="V145" i="17" s="1"/>
  <c r="V175" i="17" a="1"/>
  <c r="V175" i="17" s="1"/>
  <c r="V205" i="17" a="1"/>
  <c r="V205" i="17" s="1"/>
  <c r="V235" i="17" a="1"/>
  <c r="V235" i="17" s="1"/>
  <c r="V265" i="17" a="1"/>
  <c r="V265" i="17" s="1"/>
  <c r="V295" i="17" a="1"/>
  <c r="V295" i="17" s="1"/>
  <c r="V325" i="17" a="1"/>
  <c r="V325" i="17" s="1"/>
  <c r="V470" i="17" a="1"/>
  <c r="V470" i="17" s="1"/>
  <c r="V471" i="17" a="1"/>
  <c r="V471" i="17" s="1"/>
  <c r="V472" i="17" a="1"/>
  <c r="V472" i="17"/>
  <c r="V473" i="17" a="1"/>
  <c r="V473" i="17" s="1"/>
  <c r="V474" i="17" a="1"/>
  <c r="V474" i="17" s="1"/>
  <c r="V475" i="17" a="1"/>
  <c r="V475" i="17" s="1"/>
  <c r="V26" i="17" a="1"/>
  <c r="V26" i="17" s="1"/>
  <c r="V56" i="17" a="1"/>
  <c r="V56" i="17" s="1"/>
  <c r="V86" i="17" a="1"/>
  <c r="V86" i="17" s="1"/>
  <c r="V116" i="17" a="1"/>
  <c r="V116" i="17" s="1"/>
  <c r="V146" i="17" a="1"/>
  <c r="V146" i="17" s="1"/>
  <c r="V176" i="17" a="1"/>
  <c r="V176" i="17" s="1"/>
  <c r="V206" i="17" a="1"/>
  <c r="V206" i="17" s="1"/>
  <c r="V236" i="17" a="1"/>
  <c r="V236" i="17" s="1"/>
  <c r="V266" i="17" a="1"/>
  <c r="V266" i="17" s="1"/>
  <c r="V296" i="17" a="1"/>
  <c r="V296" i="17" s="1"/>
  <c r="V326" i="17" a="1"/>
  <c r="V326" i="17" s="1"/>
  <c r="V476" i="17" a="1"/>
  <c r="V476" i="17" s="1"/>
  <c r="V477" i="17" a="1"/>
  <c r="V477" i="17" s="1"/>
  <c r="V478" i="17" a="1"/>
  <c r="V478" i="17" s="1"/>
  <c r="V479" i="17" a="1"/>
  <c r="V479" i="17" s="1"/>
  <c r="V480" i="17" a="1"/>
  <c r="V480" i="17" s="1"/>
  <c r="V481" i="17" a="1"/>
  <c r="V481" i="17" s="1"/>
  <c r="V27" i="17" a="1"/>
  <c r="V27" i="17" s="1"/>
  <c r="V57" i="17" a="1"/>
  <c r="V57" i="17" s="1"/>
  <c r="V87" i="17" a="1"/>
  <c r="V87" i="17" s="1"/>
  <c r="V117" i="17" a="1"/>
  <c r="V117" i="17" s="1"/>
  <c r="V147" i="17" a="1"/>
  <c r="V147" i="17" s="1"/>
  <c r="V177" i="17" a="1"/>
  <c r="V177" i="17" s="1"/>
  <c r="V207" i="17" a="1"/>
  <c r="V207" i="17" s="1"/>
  <c r="V237" i="17" a="1"/>
  <c r="V237" i="17" s="1"/>
  <c r="V267" i="17" a="1"/>
  <c r="V267" i="17" s="1"/>
  <c r="V297" i="17" a="1"/>
  <c r="V297" i="17" s="1"/>
  <c r="V327" i="17" a="1"/>
  <c r="V327" i="17" s="1"/>
  <c r="V482" i="17" a="1"/>
  <c r="V482" i="17" s="1"/>
  <c r="V483" i="17" a="1"/>
  <c r="V483" i="17" s="1"/>
  <c r="V484" i="17" a="1"/>
  <c r="V484" i="17"/>
  <c r="V485" i="17" a="1"/>
  <c r="V485" i="17" s="1"/>
  <c r="V486" i="17" a="1"/>
  <c r="V486" i="17" s="1"/>
  <c r="V487" i="17" a="1"/>
  <c r="V487" i="17" s="1"/>
  <c r="V28" i="17" a="1"/>
  <c r="V28" i="17" s="1"/>
  <c r="V58" i="17" a="1"/>
  <c r="V58" i="17" s="1"/>
  <c r="V88" i="17" a="1"/>
  <c r="V88" i="17" s="1"/>
  <c r="V118" i="17" a="1"/>
  <c r="V118" i="17" s="1"/>
  <c r="V148" i="17" a="1"/>
  <c r="V148" i="17" s="1"/>
  <c r="V178" i="17" a="1"/>
  <c r="V178" i="17" s="1"/>
  <c r="V208" i="17" a="1"/>
  <c r="V208" i="17" s="1"/>
  <c r="V238" i="17" a="1"/>
  <c r="V238" i="17" s="1"/>
  <c r="V268" i="17" a="1"/>
  <c r="V268" i="17" s="1"/>
  <c r="V298" i="17" a="1"/>
  <c r="V298" i="17" s="1"/>
  <c r="V328" i="17" a="1"/>
  <c r="V328" i="17" s="1"/>
  <c r="V488" i="17" a="1"/>
  <c r="V488" i="17" s="1"/>
  <c r="V489" i="17" a="1"/>
  <c r="V489" i="17" s="1"/>
  <c r="V490" i="17" a="1"/>
  <c r="V490" i="17" s="1"/>
  <c r="V491" i="17" a="1"/>
  <c r="V491" i="17"/>
  <c r="V492" i="17" a="1"/>
  <c r="V492" i="17" s="1"/>
  <c r="V493" i="17" a="1"/>
  <c r="V493" i="17" s="1"/>
  <c r="V29" i="17" a="1"/>
  <c r="V29" i="17" s="1"/>
  <c r="V59" i="17" a="1"/>
  <c r="V59" i="17" s="1"/>
  <c r="V89" i="17" a="1"/>
  <c r="V89" i="17" s="1"/>
  <c r="V119" i="17" a="1"/>
  <c r="V119" i="17" s="1"/>
  <c r="V149" i="17" a="1"/>
  <c r="V149" i="17" s="1"/>
  <c r="V179" i="17" a="1"/>
  <c r="V179" i="17" s="1"/>
  <c r="V209" i="17" a="1"/>
  <c r="V209" i="17" s="1"/>
  <c r="V239" i="17" a="1"/>
  <c r="V239" i="17" s="1"/>
  <c r="V269" i="17" a="1"/>
  <c r="V269" i="17" s="1"/>
  <c r="V299" i="17" a="1"/>
  <c r="V299" i="17" s="1"/>
  <c r="V329" i="17" a="1"/>
  <c r="V329" i="17" s="1"/>
  <c r="V494" i="17" a="1"/>
  <c r="V494" i="17" s="1"/>
  <c r="V495" i="17" a="1"/>
  <c r="V495" i="17"/>
  <c r="V496" i="17" a="1"/>
  <c r="V496" i="17" s="1"/>
  <c r="V497" i="17" a="1"/>
  <c r="V497" i="17" s="1"/>
  <c r="V498" i="17" a="1"/>
  <c r="V498" i="17" s="1"/>
  <c r="V499" i="17" a="1"/>
  <c r="V499" i="17" s="1"/>
  <c r="V30" i="17" a="1"/>
  <c r="V30" i="17" s="1"/>
  <c r="V60" i="17" a="1"/>
  <c r="V60" i="17" s="1"/>
  <c r="V90" i="17" a="1"/>
  <c r="V90" i="17" s="1"/>
  <c r="V120" i="17" a="1"/>
  <c r="V120" i="17" s="1"/>
  <c r="V150" i="17" a="1"/>
  <c r="V150" i="17" s="1"/>
  <c r="V180" i="17" a="1"/>
  <c r="V180" i="17" s="1"/>
  <c r="V210" i="17" a="1"/>
  <c r="V210" i="17" s="1"/>
  <c r="V240" i="17" a="1"/>
  <c r="V240" i="17" s="1"/>
  <c r="V270" i="17" a="1"/>
  <c r="V270" i="17" s="1"/>
  <c r="V300" i="17" a="1"/>
  <c r="V300" i="17" s="1"/>
  <c r="V330" i="17" a="1"/>
  <c r="V330" i="17" s="1"/>
  <c r="V500" i="17" a="1"/>
  <c r="V500" i="17" s="1"/>
  <c r="V501" i="17" a="1"/>
  <c r="V501" i="17" s="1"/>
  <c r="V502" i="17" a="1"/>
  <c r="V502" i="17" s="1"/>
  <c r="V503" i="17" a="1"/>
  <c r="V503" i="17" s="1"/>
  <c r="V504" i="17" a="1"/>
  <c r="V504" i="17" s="1"/>
  <c r="V505" i="17" a="1"/>
  <c r="V505" i="17" s="1"/>
  <c r="V31" i="17" a="1"/>
  <c r="V31" i="17" s="1"/>
  <c r="V61" i="17" a="1"/>
  <c r="V61" i="17" s="1"/>
  <c r="V91" i="17" a="1"/>
  <c r="V91" i="17" s="1"/>
  <c r="V121" i="17" a="1"/>
  <c r="V121" i="17" s="1"/>
  <c r="V151" i="17" a="1"/>
  <c r="V151" i="17" s="1"/>
  <c r="V181" i="17" a="1"/>
  <c r="V181" i="17" s="1"/>
  <c r="V211" i="17" a="1"/>
  <c r="V211" i="17" s="1"/>
  <c r="V241" i="17" a="1"/>
  <c r="V241" i="17" s="1"/>
  <c r="V271" i="17" a="1"/>
  <c r="V271" i="17" s="1"/>
  <c r="V301" i="17" a="1"/>
  <c r="V301" i="17" s="1"/>
  <c r="V331" i="17" a="1"/>
  <c r="V331" i="17"/>
  <c r="V506" i="17" a="1"/>
  <c r="V506" i="17" s="1"/>
  <c r="V507" i="17" a="1"/>
  <c r="V507" i="17" s="1"/>
  <c r="V508" i="17" a="1"/>
  <c r="V508" i="17" s="1"/>
  <c r="V509" i="17" a="1"/>
  <c r="V509" i="17" s="1"/>
  <c r="V510" i="17" a="1"/>
  <c r="V510" i="17" s="1"/>
  <c r="V511" i="17" a="1"/>
  <c r="V511" i="17" s="1"/>
  <c r="X2" i="17" a="1"/>
  <c r="X2" i="17" s="1"/>
  <c r="X32" i="17" a="1"/>
  <c r="X32" i="17" s="1"/>
  <c r="Y32" i="17" s="1"/>
  <c r="Q32" i="17" s="1"/>
  <c r="W32" i="17" s="1"/>
  <c r="X62" i="17" a="1"/>
  <c r="X62" i="17" s="1"/>
  <c r="X92" i="17" a="1"/>
  <c r="X92" i="17" s="1"/>
  <c r="X122" i="17" a="1"/>
  <c r="X122" i="17" s="1"/>
  <c r="X152" i="17" a="1"/>
  <c r="X152" i="17" s="1"/>
  <c r="X182" i="17" a="1"/>
  <c r="X182" i="17" s="1"/>
  <c r="X212" i="17" a="1"/>
  <c r="X212" i="17" s="1"/>
  <c r="Y212" i="17" s="1"/>
  <c r="Q212" i="17" s="1"/>
  <c r="W212" i="17" s="1"/>
  <c r="X242" i="17" a="1"/>
  <c r="X242" i="17" s="1"/>
  <c r="X272" i="17" a="1"/>
  <c r="X272" i="17" s="1"/>
  <c r="X302" i="17" a="1"/>
  <c r="X302" i="17" s="1"/>
  <c r="Y302" i="17" s="1"/>
  <c r="Q302" i="17" s="1"/>
  <c r="W302" i="17" s="1"/>
  <c r="X332" i="17" a="1"/>
  <c r="X332" i="17" s="1"/>
  <c r="Y332" i="17" s="1"/>
  <c r="Q332" i="17" s="1"/>
  <c r="W332" i="17" s="1"/>
  <c r="X333" i="17" a="1"/>
  <c r="X333" i="17" s="1"/>
  <c r="Y333" i="17" s="1"/>
  <c r="Q333" i="17" s="1"/>
  <c r="W333" i="17" s="1"/>
  <c r="X334" i="17" a="1"/>
  <c r="X334" i="17" s="1"/>
  <c r="Y334" i="17" s="1"/>
  <c r="Q334" i="17" s="1"/>
  <c r="W334" i="17" s="1"/>
  <c r="X335" i="17" a="1"/>
  <c r="X335" i="17" s="1"/>
  <c r="X336" i="17" a="1"/>
  <c r="X336" i="17" s="1"/>
  <c r="X337" i="17" a="1"/>
  <c r="X337" i="17" s="1"/>
  <c r="X3" i="17" a="1"/>
  <c r="X3" i="17" s="1"/>
  <c r="X33" i="17" a="1"/>
  <c r="X33" i="17" s="1"/>
  <c r="Y33" i="17" s="1"/>
  <c r="Q33" i="17" s="1"/>
  <c r="W33" i="17" s="1"/>
  <c r="X63" i="17" a="1"/>
  <c r="X63" i="17" s="1"/>
  <c r="X93" i="17" a="1"/>
  <c r="X93" i="17" s="1"/>
  <c r="Y93" i="17" s="1"/>
  <c r="Q93" i="17" s="1"/>
  <c r="W93" i="17" s="1"/>
  <c r="X123" i="17" a="1"/>
  <c r="X123" i="17" s="1"/>
  <c r="Y123" i="17" s="1"/>
  <c r="Q123" i="17" s="1"/>
  <c r="W123" i="17" s="1"/>
  <c r="X153" i="17" a="1"/>
  <c r="X153" i="17" s="1"/>
  <c r="X183" i="17" a="1"/>
  <c r="X183" i="17" s="1"/>
  <c r="Y183" i="17" s="1"/>
  <c r="Q183" i="17" s="1"/>
  <c r="W183" i="17" s="1"/>
  <c r="X213" i="17" a="1"/>
  <c r="X213" i="17" s="1"/>
  <c r="X243" i="17" a="1"/>
  <c r="X243" i="17" s="1"/>
  <c r="Y243" i="17" s="1"/>
  <c r="X273" i="17" a="1"/>
  <c r="X273" i="17" s="1"/>
  <c r="X303" i="17" a="1"/>
  <c r="X303" i="17" s="1"/>
  <c r="X338" i="17" a="1"/>
  <c r="X338" i="17" s="1"/>
  <c r="X339" i="17" a="1"/>
  <c r="X339" i="17" s="1"/>
  <c r="Y339" i="17" s="1"/>
  <c r="Q339" i="17" s="1"/>
  <c r="W339" i="17" s="1"/>
  <c r="X340" i="17" a="1"/>
  <c r="X340" i="17" s="1"/>
  <c r="Y340" i="17" s="1"/>
  <c r="Q340" i="17" s="1"/>
  <c r="W340" i="17" s="1"/>
  <c r="X341" i="17" a="1"/>
  <c r="X341" i="17" s="1"/>
  <c r="X342" i="17" a="1"/>
  <c r="X342" i="17" s="1"/>
  <c r="X343" i="17" a="1"/>
  <c r="X343" i="17" s="1"/>
  <c r="Y343" i="17" s="1"/>
  <c r="X4" i="17" a="1"/>
  <c r="X4" i="17" s="1"/>
  <c r="X34" i="17" a="1"/>
  <c r="X34" i="17" s="1"/>
  <c r="X64" i="17" a="1"/>
  <c r="X64" i="17" s="1"/>
  <c r="X94" i="17" a="1"/>
  <c r="X94" i="17" s="1"/>
  <c r="X124" i="17" a="1"/>
  <c r="X124" i="17" s="1"/>
  <c r="Y124" i="17" s="1"/>
  <c r="Q124" i="17" s="1"/>
  <c r="W124" i="17" s="1"/>
  <c r="X154" i="17" a="1"/>
  <c r="X154" i="17" s="1"/>
  <c r="X184" i="17" a="1"/>
  <c r="X184" i="17" s="1"/>
  <c r="Y184" i="17" s="1"/>
  <c r="Q184" i="17" s="1"/>
  <c r="W184" i="17" s="1"/>
  <c r="X214" i="17" a="1"/>
  <c r="X214" i="17" s="1"/>
  <c r="X244" i="17" a="1"/>
  <c r="X244" i="17" s="1"/>
  <c r="X274" i="17" a="1"/>
  <c r="X274" i="17" s="1"/>
  <c r="X304" i="17" a="1"/>
  <c r="X304" i="17" s="1"/>
  <c r="X344" i="17" a="1"/>
  <c r="X344" i="17" s="1"/>
  <c r="X345" i="17" a="1"/>
  <c r="X345" i="17" s="1"/>
  <c r="X346" i="17" a="1"/>
  <c r="X346" i="17" s="1"/>
  <c r="X347" i="17" a="1"/>
  <c r="X347" i="17" s="1"/>
  <c r="X348" i="17" a="1"/>
  <c r="X348" i="17" s="1"/>
  <c r="Y348" i="17" s="1"/>
  <c r="X349" i="17" a="1"/>
  <c r="X349" i="17" s="1"/>
  <c r="X5" i="17" a="1"/>
  <c r="X5" i="17" s="1"/>
  <c r="X35" i="17" a="1"/>
  <c r="X35" i="17" s="1"/>
  <c r="X65" i="17" a="1"/>
  <c r="X65" i="17" s="1"/>
  <c r="Y65" i="17" s="1"/>
  <c r="X95" i="17" a="1"/>
  <c r="X95" i="17"/>
  <c r="Y95" i="17" s="1"/>
  <c r="Q95" i="17" s="1"/>
  <c r="W95" i="17" s="1"/>
  <c r="X125" i="17" a="1"/>
  <c r="X125" i="17" s="1"/>
  <c r="X155" i="17" a="1"/>
  <c r="X155" i="17" s="1"/>
  <c r="X185" i="17" a="1"/>
  <c r="X185" i="17" s="1"/>
  <c r="X215" i="17" a="1"/>
  <c r="X215" i="17" s="1"/>
  <c r="Y215" i="17" s="1"/>
  <c r="Q215" i="17" s="1"/>
  <c r="W215" i="17" s="1"/>
  <c r="X245" i="17" a="1"/>
  <c r="X245" i="17" s="1"/>
  <c r="X275" i="17" a="1"/>
  <c r="X275" i="17" s="1"/>
  <c r="Y275" i="17" s="1"/>
  <c r="Q275" i="17" s="1"/>
  <c r="W275" i="17" s="1"/>
  <c r="X305" i="17" a="1"/>
  <c r="X305" i="17" s="1"/>
  <c r="X350" i="17" a="1"/>
  <c r="X350" i="17" s="1"/>
  <c r="X351" i="17" a="1"/>
  <c r="X351" i="17" s="1"/>
  <c r="X352" i="17" a="1"/>
  <c r="X352" i="17" s="1"/>
  <c r="X353" i="17" a="1"/>
  <c r="X353" i="17" s="1"/>
  <c r="X354" i="17" a="1"/>
  <c r="X354" i="17" s="1"/>
  <c r="Y354" i="17" s="1"/>
  <c r="Q354" i="17" s="1"/>
  <c r="W354" i="17" s="1"/>
  <c r="X355" i="17" a="1"/>
  <c r="X355" i="17" s="1"/>
  <c r="Y355" i="17" s="1"/>
  <c r="X6" i="17" a="1"/>
  <c r="X6" i="17" s="1"/>
  <c r="X36" i="17" a="1"/>
  <c r="X36" i="17" s="1"/>
  <c r="X66" i="17" a="1"/>
  <c r="X66" i="17" s="1"/>
  <c r="X96" i="17" a="1"/>
  <c r="X96" i="17"/>
  <c r="X126" i="17" a="1"/>
  <c r="X126" i="17" s="1"/>
  <c r="X156" i="17" a="1"/>
  <c r="X156" i="17" s="1"/>
  <c r="X186" i="17" a="1"/>
  <c r="X186" i="17" s="1"/>
  <c r="X216" i="17" a="1"/>
  <c r="X216" i="17" s="1"/>
  <c r="Y216" i="17" s="1"/>
  <c r="Q216" i="17" s="1"/>
  <c r="W216" i="17" s="1"/>
  <c r="X246" i="17" a="1"/>
  <c r="X246" i="17" s="1"/>
  <c r="Y246" i="17" s="1"/>
  <c r="Q246" i="17" s="1"/>
  <c r="W246" i="17" s="1"/>
  <c r="X276" i="17" a="1"/>
  <c r="X276" i="17" s="1"/>
  <c r="X306" i="17" a="1"/>
  <c r="X306" i="17" s="1"/>
  <c r="X356" i="17" a="1"/>
  <c r="X356" i="17"/>
  <c r="X357" i="17" a="1"/>
  <c r="X357" i="17"/>
  <c r="X358" i="17" a="1"/>
  <c r="X358" i="17" s="1"/>
  <c r="X359" i="17" a="1"/>
  <c r="X359" i="17" s="1"/>
  <c r="X360" i="17" a="1"/>
  <c r="X360" i="17" s="1"/>
  <c r="X361" i="17" a="1"/>
  <c r="X361" i="17" s="1"/>
  <c r="Y361" i="17" s="1"/>
  <c r="X7" i="17" a="1"/>
  <c r="X7" i="17" s="1"/>
  <c r="Y7" i="17" s="1"/>
  <c r="Q7" i="17" s="1"/>
  <c r="W7" i="17" s="1"/>
  <c r="X37" i="17" a="1"/>
  <c r="X37" i="17" s="1"/>
  <c r="Y37" i="17" s="1"/>
  <c r="Q37" i="17" s="1"/>
  <c r="W37" i="17" s="1"/>
  <c r="X67" i="17" a="1"/>
  <c r="X67" i="17" s="1"/>
  <c r="X97" i="17" a="1"/>
  <c r="X97" i="17" s="1"/>
  <c r="X127" i="17" a="1"/>
  <c r="X127" i="17" s="1"/>
  <c r="Y127" i="17" s="1"/>
  <c r="Q127" i="17" s="1"/>
  <c r="W127" i="17" s="1"/>
  <c r="X157" i="17" a="1"/>
  <c r="X157" i="17" s="1"/>
  <c r="X187" i="17" a="1"/>
  <c r="X187" i="17" s="1"/>
  <c r="X217" i="17" a="1"/>
  <c r="X217" i="17"/>
  <c r="X247" i="17" a="1"/>
  <c r="X247" i="17" s="1"/>
  <c r="X277" i="17" a="1"/>
  <c r="X277" i="17" s="1"/>
  <c r="Y277" i="17" s="1"/>
  <c r="Q277" i="17" s="1"/>
  <c r="W277" i="17" s="1"/>
  <c r="X307" i="17" a="1"/>
  <c r="X307" i="17" s="1"/>
  <c r="X362" i="17" a="1"/>
  <c r="X362" i="17" s="1"/>
  <c r="X363" i="17" a="1"/>
  <c r="X363" i="17" s="1"/>
  <c r="X364" i="17" a="1"/>
  <c r="X364" i="17" s="1"/>
  <c r="X365" i="17" a="1"/>
  <c r="X365" i="17" s="1"/>
  <c r="X366" i="17" a="1"/>
  <c r="X366" i="17" s="1"/>
  <c r="X367" i="17" a="1"/>
  <c r="X367" i="17" s="1"/>
  <c r="X8" i="17" a="1"/>
  <c r="X8" i="17"/>
  <c r="X38" i="17" a="1"/>
  <c r="X38" i="17" s="1"/>
  <c r="X68" i="17" a="1"/>
  <c r="X68" i="17" s="1"/>
  <c r="Y68" i="17" s="1"/>
  <c r="Q68" i="17" s="1"/>
  <c r="W68" i="17" s="1"/>
  <c r="X98" i="17" a="1"/>
  <c r="X98" i="17" s="1"/>
  <c r="Y98" i="17" s="1"/>
  <c r="Q98" i="17" s="1"/>
  <c r="W98" i="17" s="1"/>
  <c r="X128" i="17" a="1"/>
  <c r="X128" i="17" s="1"/>
  <c r="X158" i="17" a="1"/>
  <c r="X158" i="17" s="1"/>
  <c r="X188" i="17" a="1"/>
  <c r="X188" i="17" s="1"/>
  <c r="X218" i="17" a="1"/>
  <c r="X218" i="17" s="1"/>
  <c r="X248" i="17" a="1"/>
  <c r="X248" i="17"/>
  <c r="X278" i="17" a="1"/>
  <c r="X278" i="17" s="1"/>
  <c r="X308" i="17" a="1"/>
  <c r="X308" i="17" s="1"/>
  <c r="X368" i="17" a="1"/>
  <c r="X368" i="17" s="1"/>
  <c r="Y368" i="17" s="1"/>
  <c r="Q368" i="17" s="1"/>
  <c r="W368" i="17" s="1"/>
  <c r="X369" i="17" a="1"/>
  <c r="X369" i="17" s="1"/>
  <c r="X370" i="17" a="1"/>
  <c r="X370" i="17" s="1"/>
  <c r="X371" i="17" a="1"/>
  <c r="X371" i="17" s="1"/>
  <c r="X372" i="17" a="1"/>
  <c r="X372" i="17" s="1"/>
  <c r="Y372" i="17" s="1"/>
  <c r="Q372" i="17" s="1"/>
  <c r="W372" i="17" s="1"/>
  <c r="X373" i="17" a="1"/>
  <c r="X373" i="17" s="1"/>
  <c r="X9" i="17" a="1"/>
  <c r="X9" i="17" s="1"/>
  <c r="X39" i="17" a="1"/>
  <c r="X39" i="17" s="1"/>
  <c r="X69" i="17" a="1"/>
  <c r="X69" i="17" s="1"/>
  <c r="X99" i="17" a="1"/>
  <c r="X99" i="17" s="1"/>
  <c r="Y99" i="17" s="1"/>
  <c r="X129" i="17" a="1"/>
  <c r="X129" i="17" s="1"/>
  <c r="Y129" i="17" s="1"/>
  <c r="Q129" i="17" s="1"/>
  <c r="W129" i="17" s="1"/>
  <c r="X159" i="17" a="1"/>
  <c r="X159" i="17" s="1"/>
  <c r="X189" i="17" a="1"/>
  <c r="X189" i="17" s="1"/>
  <c r="Y189" i="17" s="1"/>
  <c r="X219" i="17" a="1"/>
  <c r="X219" i="17" s="1"/>
  <c r="Y219" i="17" s="1"/>
  <c r="Q219" i="17" s="1"/>
  <c r="W219" i="17" s="1"/>
  <c r="X249" i="17" a="1"/>
  <c r="X249" i="17" s="1"/>
  <c r="X279" i="17" a="1"/>
  <c r="X279" i="17"/>
  <c r="X309" i="17" a="1"/>
  <c r="X309" i="17" s="1"/>
  <c r="X374" i="17" a="1"/>
  <c r="X374" i="17" s="1"/>
  <c r="Y374" i="17" s="1"/>
  <c r="Q374" i="17" s="1"/>
  <c r="W374" i="17" s="1"/>
  <c r="X375" i="17" a="1"/>
  <c r="X375" i="17" s="1"/>
  <c r="X376" i="17" a="1"/>
  <c r="X376" i="17" s="1"/>
  <c r="X377" i="17" a="1"/>
  <c r="X377" i="17" s="1"/>
  <c r="Y377" i="17" s="1"/>
  <c r="Q377" i="17" s="1"/>
  <c r="W377" i="17" s="1"/>
  <c r="X378" i="17" a="1"/>
  <c r="X378" i="17" s="1"/>
  <c r="Y378" i="17" s="1"/>
  <c r="Q378" i="17" s="1"/>
  <c r="W378" i="17" s="1"/>
  <c r="X379" i="17" a="1"/>
  <c r="X379" i="17" s="1"/>
  <c r="Y379" i="17" s="1"/>
  <c r="Q379" i="17" s="1"/>
  <c r="W379" i="17" s="1"/>
  <c r="X10" i="17" a="1"/>
  <c r="X10" i="17" s="1"/>
  <c r="Y10" i="17" s="1"/>
  <c r="Q10" i="17" s="1"/>
  <c r="W10" i="17" s="1"/>
  <c r="X40" i="17" a="1"/>
  <c r="X40" i="17" s="1"/>
  <c r="X70" i="17" a="1"/>
  <c r="X70" i="17" s="1"/>
  <c r="X100" i="17" a="1"/>
  <c r="X100" i="17" s="1"/>
  <c r="Y100" i="17" s="1"/>
  <c r="Q100" i="17" s="1"/>
  <c r="W100" i="17" s="1"/>
  <c r="X130" i="17" a="1"/>
  <c r="X130" i="17" s="1"/>
  <c r="X160" i="17" a="1"/>
  <c r="X160" i="17" s="1"/>
  <c r="Y160" i="17" s="1"/>
  <c r="Q160" i="17" s="1"/>
  <c r="W160" i="17" s="1"/>
  <c r="X190" i="17" a="1"/>
  <c r="X190" i="17" s="1"/>
  <c r="Y190" i="17" s="1"/>
  <c r="Q190" i="17" s="1"/>
  <c r="W190" i="17" s="1"/>
  <c r="X220" i="17" a="1"/>
  <c r="X220" i="17" s="1"/>
  <c r="X250" i="17" a="1"/>
  <c r="X250" i="17" s="1"/>
  <c r="X280" i="17" a="1"/>
  <c r="X280" i="17"/>
  <c r="X310" i="17" a="1"/>
  <c r="X310" i="17" s="1"/>
  <c r="Y310" i="17" s="1"/>
  <c r="Q310" i="17" s="1"/>
  <c r="W310" i="17" s="1"/>
  <c r="X380" i="17" a="1"/>
  <c r="X380" i="17" s="1"/>
  <c r="Y380" i="17" s="1"/>
  <c r="Q380" i="17" s="1"/>
  <c r="W380" i="17" s="1"/>
  <c r="X381" i="17" a="1"/>
  <c r="X381" i="17" s="1"/>
  <c r="Y381" i="17" s="1"/>
  <c r="Q381" i="17" s="1"/>
  <c r="W381" i="17" s="1"/>
  <c r="X382" i="17" a="1"/>
  <c r="X382" i="17" s="1"/>
  <c r="X383" i="17" a="1"/>
  <c r="X383" i="17" s="1"/>
  <c r="X384" i="17" a="1"/>
  <c r="X384" i="17" s="1"/>
  <c r="Y384" i="17" s="1"/>
  <c r="Q384" i="17" s="1"/>
  <c r="W384" i="17" s="1"/>
  <c r="X385" i="17" a="1"/>
  <c r="X385" i="17" s="1"/>
  <c r="X11" i="17" a="1"/>
  <c r="X11" i="17" s="1"/>
  <c r="Y11" i="17" s="1"/>
  <c r="Q11" i="17" s="1"/>
  <c r="W11" i="17" s="1"/>
  <c r="X41" i="17" a="1"/>
  <c r="X41" i="17" s="1"/>
  <c r="Y41" i="17" s="1"/>
  <c r="Q41" i="17" s="1"/>
  <c r="W41" i="17" s="1"/>
  <c r="X71" i="17" a="1"/>
  <c r="X71" i="17" s="1"/>
  <c r="X101" i="17" a="1"/>
  <c r="X101" i="17" s="1"/>
  <c r="X131" i="17" a="1"/>
  <c r="X131" i="17" s="1"/>
  <c r="Y131" i="17" s="1"/>
  <c r="Q131" i="17" s="1"/>
  <c r="W131" i="17" s="1"/>
  <c r="X161" i="17" a="1"/>
  <c r="X161" i="17" s="1"/>
  <c r="Y161" i="17" s="1"/>
  <c r="Q161" i="17" s="1"/>
  <c r="W161" i="17" s="1"/>
  <c r="X191" i="17" a="1"/>
  <c r="X191" i="17" s="1"/>
  <c r="Y191" i="17" s="1"/>
  <c r="X221" i="17" a="1"/>
  <c r="X221" i="17" s="1"/>
  <c r="Y221" i="17" s="1"/>
  <c r="Q221" i="17" s="1"/>
  <c r="W221" i="17" s="1"/>
  <c r="X251" i="17" a="1"/>
  <c r="X251" i="17" s="1"/>
  <c r="X281" i="17" a="1"/>
  <c r="X281" i="17" s="1"/>
  <c r="X311" i="17" a="1"/>
  <c r="X311" i="17" s="1"/>
  <c r="Y311" i="17" s="1"/>
  <c r="Q311" i="17" s="1"/>
  <c r="W311" i="17" s="1"/>
  <c r="X386" i="17" a="1"/>
  <c r="X386" i="17" s="1"/>
  <c r="X387" i="17" a="1"/>
  <c r="X387" i="17" s="1"/>
  <c r="Y387" i="17" s="1"/>
  <c r="Q387" i="17" s="1"/>
  <c r="W387" i="17" s="1"/>
  <c r="X388" i="17" a="1"/>
  <c r="X388" i="17" s="1"/>
  <c r="Y388" i="17" s="1"/>
  <c r="Q388" i="17" s="1"/>
  <c r="W388" i="17" s="1"/>
  <c r="X389" i="17" a="1"/>
  <c r="X389" i="17" s="1"/>
  <c r="X390" i="17" a="1"/>
  <c r="X390" i="17" s="1"/>
  <c r="X391" i="17" a="1"/>
  <c r="X391" i="17" s="1"/>
  <c r="Y391" i="17" s="1"/>
  <c r="Q391" i="17" s="1"/>
  <c r="W391" i="17" s="1"/>
  <c r="X12" i="17" a="1"/>
  <c r="X12" i="17" s="1"/>
  <c r="Y12" i="17" s="1"/>
  <c r="Q12" i="17" s="1"/>
  <c r="W12" i="17" s="1"/>
  <c r="X42" i="17" a="1"/>
  <c r="X42" i="17" s="1"/>
  <c r="Y42" i="17" s="1"/>
  <c r="Q42" i="17" s="1"/>
  <c r="W42" i="17" s="1"/>
  <c r="X72" i="17" a="1"/>
  <c r="X72" i="17" s="1"/>
  <c r="Y72" i="17" s="1"/>
  <c r="Q72" i="17" s="1"/>
  <c r="W72" i="17" s="1"/>
  <c r="X102" i="17" a="1"/>
  <c r="X102" i="17" s="1"/>
  <c r="Y102" i="17" s="1"/>
  <c r="Q102" i="17" s="1"/>
  <c r="W102" i="17" s="1"/>
  <c r="X132" i="17" a="1"/>
  <c r="X132" i="17" s="1"/>
  <c r="X162" i="17" a="1"/>
  <c r="X162" i="17" s="1"/>
  <c r="Y162" i="17" s="1"/>
  <c r="Q162" i="17" s="1"/>
  <c r="W162" i="17" s="1"/>
  <c r="X192" i="17" a="1"/>
  <c r="X192" i="17" s="1"/>
  <c r="X222" i="17" a="1"/>
  <c r="X222" i="17" s="1"/>
  <c r="Y222" i="17" s="1"/>
  <c r="Q222" i="17" s="1"/>
  <c r="W222" i="17" s="1"/>
  <c r="X252" i="17" a="1"/>
  <c r="X252" i="17" s="1"/>
  <c r="Y252" i="17" s="1"/>
  <c r="Q252" i="17" s="1"/>
  <c r="W252" i="17" s="1"/>
  <c r="X282" i="17" a="1"/>
  <c r="X282" i="17" s="1"/>
  <c r="X312" i="17" a="1"/>
  <c r="X312" i="17" s="1"/>
  <c r="X392" i="17" a="1"/>
  <c r="X392" i="17" s="1"/>
  <c r="Y392" i="17" s="1"/>
  <c r="Q392" i="17" s="1"/>
  <c r="W392" i="17" s="1"/>
  <c r="X393" i="17" a="1"/>
  <c r="X393" i="17" s="1"/>
  <c r="Y393" i="17" s="1"/>
  <c r="Q393" i="17" s="1"/>
  <c r="W393" i="17" s="1"/>
  <c r="X394" i="17" a="1"/>
  <c r="X394" i="17" s="1"/>
  <c r="Y394" i="17" s="1"/>
  <c r="Q394" i="17" s="1"/>
  <c r="W394" i="17" s="1"/>
  <c r="X395" i="17" a="1"/>
  <c r="X395" i="17" s="1"/>
  <c r="Y395" i="17" s="1"/>
  <c r="Q395" i="17" s="1"/>
  <c r="W395" i="17" s="1"/>
  <c r="X396" i="17" a="1"/>
  <c r="X396" i="17" s="1"/>
  <c r="X397" i="17" a="1"/>
  <c r="X397" i="17" s="1"/>
  <c r="X13" i="17" a="1"/>
  <c r="X13" i="17" s="1"/>
  <c r="Y13" i="17" s="1"/>
  <c r="Q13" i="17" s="1"/>
  <c r="W13" i="17" s="1"/>
  <c r="X43" i="17" a="1"/>
  <c r="X43" i="17" s="1"/>
  <c r="X73" i="17" a="1"/>
  <c r="X73" i="17" s="1"/>
  <c r="Y73" i="17" s="1"/>
  <c r="Q73" i="17" s="1"/>
  <c r="W73" i="17" s="1"/>
  <c r="X103" i="17" a="1"/>
  <c r="X103" i="17" s="1"/>
  <c r="Y103" i="17" s="1"/>
  <c r="Q103" i="17" s="1"/>
  <c r="W103" i="17" s="1"/>
  <c r="X133" i="17" a="1"/>
  <c r="X133" i="17" s="1"/>
  <c r="X163" i="17" a="1"/>
  <c r="X163" i="17" s="1"/>
  <c r="X193" i="17" a="1"/>
  <c r="X193" i="17" s="1"/>
  <c r="Y193" i="17" s="1"/>
  <c r="Q193" i="17" s="1"/>
  <c r="W193" i="17" s="1"/>
  <c r="X223" i="17" a="1"/>
  <c r="X223" i="17" s="1"/>
  <c r="Y223" i="17" s="1"/>
  <c r="Q223" i="17" s="1"/>
  <c r="W223" i="17" s="1"/>
  <c r="X253" i="17" a="1"/>
  <c r="X253" i="17" s="1"/>
  <c r="Y253" i="17" s="1"/>
  <c r="X283" i="17" a="1"/>
  <c r="X283" i="17" s="1"/>
  <c r="Y283" i="17" s="1"/>
  <c r="Q283" i="17" s="1"/>
  <c r="W283" i="17" s="1"/>
  <c r="X313" i="17" a="1"/>
  <c r="X313" i="17" s="1"/>
  <c r="X398" i="17" a="1"/>
  <c r="X398" i="17" s="1"/>
  <c r="X399" i="17" a="1"/>
  <c r="X399" i="17" s="1"/>
  <c r="Y399" i="17" s="1"/>
  <c r="Q399" i="17" s="1"/>
  <c r="W399" i="17" s="1"/>
  <c r="X400" i="17" a="1"/>
  <c r="X400" i="17" s="1"/>
  <c r="X401" i="17" a="1"/>
  <c r="X401" i="17" s="1"/>
  <c r="Y401" i="17" s="1"/>
  <c r="Q401" i="17" s="1"/>
  <c r="W401" i="17" s="1"/>
  <c r="X402" i="17" a="1"/>
  <c r="X402" i="17" s="1"/>
  <c r="Y402" i="17" s="1"/>
  <c r="Q402" i="17" s="1"/>
  <c r="W402" i="17" s="1"/>
  <c r="X403" i="17" a="1"/>
  <c r="X403" i="17" s="1"/>
  <c r="X14" i="17" a="1"/>
  <c r="X14" i="17" s="1"/>
  <c r="X44" i="17" a="1"/>
  <c r="X44" i="17" s="1"/>
  <c r="Y44" i="17" s="1"/>
  <c r="Q44" i="17" s="1"/>
  <c r="W44" i="17" s="1"/>
  <c r="X74" i="17" a="1"/>
  <c r="X74" i="17" s="1"/>
  <c r="Y74" i="17" s="1"/>
  <c r="Q74" i="17" s="1"/>
  <c r="W74" i="17" s="1"/>
  <c r="X104" i="17" a="1"/>
  <c r="X104" i="17" s="1"/>
  <c r="Y104" i="17" s="1"/>
  <c r="Q104" i="17" s="1"/>
  <c r="W104" i="17" s="1"/>
  <c r="X134" i="17" a="1"/>
  <c r="X134" i="17" s="1"/>
  <c r="Y134" i="17" s="1"/>
  <c r="Q134" i="17" s="1"/>
  <c r="W134" i="17" s="1"/>
  <c r="X164" i="17" a="1"/>
  <c r="X164" i="17" s="1"/>
  <c r="X194" i="17" a="1"/>
  <c r="X194" i="17" s="1"/>
  <c r="X224" i="17" a="1"/>
  <c r="X224" i="17" s="1"/>
  <c r="Y224" i="17" s="1"/>
  <c r="Q224" i="17" s="1"/>
  <c r="W224" i="17" s="1"/>
  <c r="X254" i="17" a="1"/>
  <c r="X254" i="17" s="1"/>
  <c r="X284" i="17" a="1"/>
  <c r="X284" i="17" s="1"/>
  <c r="Y284" i="17" s="1"/>
  <c r="Q284" i="17" s="1"/>
  <c r="W284" i="17" s="1"/>
  <c r="X314" i="17" a="1"/>
  <c r="X314" i="17" s="1"/>
  <c r="Y314" i="17" s="1"/>
  <c r="Q314" i="17" s="1"/>
  <c r="W314" i="17" s="1"/>
  <c r="X404" i="17" a="1"/>
  <c r="X404" i="17" s="1"/>
  <c r="Y404" i="17" s="1"/>
  <c r="Q404" i="17" s="1"/>
  <c r="W404" i="17" s="1"/>
  <c r="X405" i="17" a="1"/>
  <c r="X405" i="17" s="1"/>
  <c r="X406" i="17" a="1"/>
  <c r="X406" i="17" s="1"/>
  <c r="Y406" i="17" s="1"/>
  <c r="Q406" i="17" s="1"/>
  <c r="W406" i="17" s="1"/>
  <c r="X407" i="17" a="1"/>
  <c r="X407" i="17" s="1"/>
  <c r="Y407" i="17" s="1"/>
  <c r="Q407" i="17" s="1"/>
  <c r="W407" i="17" s="1"/>
  <c r="X408" i="17" a="1"/>
  <c r="X408" i="17" s="1"/>
  <c r="Y408" i="17" s="1"/>
  <c r="X409" i="17" a="1"/>
  <c r="X409" i="17" s="1"/>
  <c r="Y409" i="17" s="1"/>
  <c r="Q409" i="17" s="1"/>
  <c r="W409" i="17" s="1"/>
  <c r="X15" i="17" a="1"/>
  <c r="X15" i="17" s="1"/>
  <c r="X45" i="17" a="1"/>
  <c r="X45" i="17" s="1"/>
  <c r="X75" i="17" a="1"/>
  <c r="X75" i="17" s="1"/>
  <c r="Y75" i="17" s="1"/>
  <c r="Q75" i="17" s="1"/>
  <c r="W75" i="17" s="1"/>
  <c r="X105" i="17" a="1"/>
  <c r="X105" i="17" s="1"/>
  <c r="X135" i="17" a="1"/>
  <c r="X135" i="17" s="1"/>
  <c r="Y135" i="17" s="1"/>
  <c r="Q135" i="17" s="1"/>
  <c r="W135" i="17" s="1"/>
  <c r="X165" i="17" a="1"/>
  <c r="X165" i="17" s="1"/>
  <c r="Y165" i="17" s="1"/>
  <c r="Q165" i="17" s="1"/>
  <c r="W165" i="17" s="1"/>
  <c r="X195" i="17" a="1"/>
  <c r="X195" i="17" s="1"/>
  <c r="Y195" i="17" s="1"/>
  <c r="Q195" i="17" s="1"/>
  <c r="W195" i="17" s="1"/>
  <c r="X225" i="17" a="1"/>
  <c r="X225" i="17" s="1"/>
  <c r="X255" i="17" a="1"/>
  <c r="X255" i="17" s="1"/>
  <c r="Y255" i="17" s="1"/>
  <c r="Q255" i="17" s="1"/>
  <c r="W255" i="17" s="1"/>
  <c r="X285" i="17" a="1"/>
  <c r="X285" i="17" s="1"/>
  <c r="Y285" i="17" s="1"/>
  <c r="Q285" i="17" s="1"/>
  <c r="W285" i="17" s="1"/>
  <c r="X315" i="17" a="1"/>
  <c r="X315" i="17" s="1"/>
  <c r="Y315" i="17" s="1"/>
  <c r="X410" i="17" a="1"/>
  <c r="X410" i="17" s="1"/>
  <c r="Y410" i="17" s="1"/>
  <c r="Q410" i="17" s="1"/>
  <c r="W410" i="17" s="1"/>
  <c r="X411" i="17" a="1"/>
  <c r="X411" i="17" s="1"/>
  <c r="Y411" i="17" s="1"/>
  <c r="Q411" i="17" s="1"/>
  <c r="W411" i="17" s="1"/>
  <c r="X412" i="17" a="1"/>
  <c r="X412" i="17" s="1"/>
  <c r="X413" i="17" a="1"/>
  <c r="X413" i="17" s="1"/>
  <c r="Y413" i="17" s="1"/>
  <c r="Q413" i="17" s="1"/>
  <c r="W413" i="17" s="1"/>
  <c r="X414" i="17" a="1"/>
  <c r="X414" i="17" s="1"/>
  <c r="X415" i="17" a="1"/>
  <c r="X415" i="17" s="1"/>
  <c r="Y415" i="17" s="1"/>
  <c r="Q415" i="17" s="1"/>
  <c r="W415" i="17" s="1"/>
  <c r="X16" i="17" a="1"/>
  <c r="X16" i="17" s="1"/>
  <c r="Y16" i="17" s="1"/>
  <c r="Q16" i="17" s="1"/>
  <c r="W16" i="17" s="1"/>
  <c r="X46" i="17" a="1"/>
  <c r="X46" i="17" s="1"/>
  <c r="Y46" i="17" s="1"/>
  <c r="Q46" i="17" s="1"/>
  <c r="W46" i="17" s="1"/>
  <c r="X76" i="17" a="1"/>
  <c r="X76" i="17" s="1"/>
  <c r="X106" i="17" a="1"/>
  <c r="X106" i="17" s="1"/>
  <c r="Y106" i="17" s="1"/>
  <c r="Q106" i="17" s="1"/>
  <c r="W106" i="17" s="1"/>
  <c r="X136" i="17" a="1"/>
  <c r="X136" i="17" s="1"/>
  <c r="Y136" i="17" s="1"/>
  <c r="Q136" i="17" s="1"/>
  <c r="W136" i="17" s="1"/>
  <c r="X166" i="17" a="1"/>
  <c r="X166" i="17" s="1"/>
  <c r="Y166" i="17" s="1"/>
  <c r="Q166" i="17" s="1"/>
  <c r="W166" i="17" s="1"/>
  <c r="X196" i="17" a="1"/>
  <c r="X196" i="17" s="1"/>
  <c r="Y196" i="17" s="1"/>
  <c r="Q196" i="17" s="1"/>
  <c r="W196" i="17" s="1"/>
  <c r="X226" i="17" a="1"/>
  <c r="X226" i="17" s="1"/>
  <c r="Y226" i="17" s="1"/>
  <c r="Q226" i="17" s="1"/>
  <c r="W226" i="17" s="1"/>
  <c r="X256" i="17" a="1"/>
  <c r="X256" i="17" s="1"/>
  <c r="X286" i="17" a="1"/>
  <c r="X286" i="17" s="1"/>
  <c r="Y286" i="17" s="1"/>
  <c r="Q286" i="17" s="1"/>
  <c r="W286" i="17" s="1"/>
  <c r="X316" i="17" a="1"/>
  <c r="X316" i="17" s="1"/>
  <c r="X416" i="17" a="1"/>
  <c r="X416" i="17" s="1"/>
  <c r="Y416" i="17" s="1"/>
  <c r="Q416" i="17" s="1"/>
  <c r="W416" i="17" s="1"/>
  <c r="X417" i="17" a="1"/>
  <c r="X417" i="17" s="1"/>
  <c r="Y417" i="17" s="1"/>
  <c r="Q417" i="17" s="1"/>
  <c r="W417" i="17" s="1"/>
  <c r="X418" i="17" a="1"/>
  <c r="X418" i="17" s="1"/>
  <c r="Y418" i="17" s="1"/>
  <c r="Q418" i="17" s="1"/>
  <c r="W418" i="17" s="1"/>
  <c r="X419" i="17" a="1"/>
  <c r="X419" i="17" s="1"/>
  <c r="X420" i="17" a="1"/>
  <c r="X420" i="17" s="1"/>
  <c r="Y420" i="17" s="1"/>
  <c r="Q420" i="17" s="1"/>
  <c r="W420" i="17" s="1"/>
  <c r="X421" i="17" a="1"/>
  <c r="X421" i="17" s="1"/>
  <c r="Y421" i="17" s="1"/>
  <c r="Q421" i="17" s="1"/>
  <c r="W421" i="17" s="1"/>
  <c r="X17" i="17" a="1"/>
  <c r="X17" i="17" s="1"/>
  <c r="Y17" i="17" s="1"/>
  <c r="Q17" i="17" s="1"/>
  <c r="W17" i="17" s="1"/>
  <c r="X47" i="17" a="1"/>
  <c r="X47" i="17" s="1"/>
  <c r="Y47" i="17" s="1"/>
  <c r="Q47" i="17" s="1"/>
  <c r="W47" i="17" s="1"/>
  <c r="X77" i="17" a="1"/>
  <c r="X77" i="17" s="1"/>
  <c r="Y77" i="17" s="1"/>
  <c r="Q77" i="17" s="1"/>
  <c r="W77" i="17" s="1"/>
  <c r="X107" i="17" a="1"/>
  <c r="X107" i="17" s="1"/>
  <c r="X137" i="17" a="1"/>
  <c r="X137" i="17" s="1"/>
  <c r="Y137" i="17" s="1"/>
  <c r="Q137" i="17" s="1"/>
  <c r="W137" i="17" s="1"/>
  <c r="X167" i="17" a="1"/>
  <c r="X167" i="17" s="1"/>
  <c r="X197" i="17" a="1"/>
  <c r="X197" i="17" s="1"/>
  <c r="Y197" i="17" s="1"/>
  <c r="X227" i="17" a="1"/>
  <c r="X227" i="17" s="1"/>
  <c r="Y227" i="17" s="1"/>
  <c r="Q227" i="17" s="1"/>
  <c r="W227" i="17" s="1"/>
  <c r="X257" i="17" a="1"/>
  <c r="X257" i="17" s="1"/>
  <c r="Y257" i="17" s="1"/>
  <c r="Q257" i="17" s="1"/>
  <c r="W257" i="17" s="1"/>
  <c r="X287" i="17" a="1"/>
  <c r="X287" i="17" s="1"/>
  <c r="X317" i="17" a="1"/>
  <c r="X317" i="17" s="1"/>
  <c r="Y317" i="17" s="1"/>
  <c r="Q317" i="17" s="1"/>
  <c r="W317" i="17" s="1"/>
  <c r="X422" i="17" a="1"/>
  <c r="X422" i="17" s="1"/>
  <c r="Y422" i="17" s="1"/>
  <c r="Q422" i="17" s="1"/>
  <c r="W422" i="17" s="1"/>
  <c r="X423" i="17" a="1"/>
  <c r="X423" i="17" s="1"/>
  <c r="Y423" i="17" s="1"/>
  <c r="Q423" i="17" s="1"/>
  <c r="W423" i="17" s="1"/>
  <c r="X424" i="17" a="1"/>
  <c r="X424" i="17" s="1"/>
  <c r="Y424" i="17" s="1"/>
  <c r="Q424" i="17" s="1"/>
  <c r="W424" i="17" s="1"/>
  <c r="X425" i="17" a="1"/>
  <c r="X425" i="17" s="1"/>
  <c r="Y425" i="17" s="1"/>
  <c r="Q425" i="17" s="1"/>
  <c r="W425" i="17" s="1"/>
  <c r="X426" i="17" a="1"/>
  <c r="X426" i="17" s="1"/>
  <c r="X427" i="17" a="1"/>
  <c r="X427" i="17" s="1"/>
  <c r="Y427" i="17" s="1"/>
  <c r="Q427" i="17" s="1"/>
  <c r="W427" i="17" s="1"/>
  <c r="X18" i="17" a="1"/>
  <c r="X18" i="17" s="1"/>
  <c r="X48" i="17" a="1"/>
  <c r="X48" i="17" s="1"/>
  <c r="Y48" i="17" s="1"/>
  <c r="Q48" i="17" s="1"/>
  <c r="W48" i="17" s="1"/>
  <c r="X78" i="17" a="1"/>
  <c r="X78" i="17" s="1"/>
  <c r="Y78" i="17" s="1"/>
  <c r="Q78" i="17" s="1"/>
  <c r="W78" i="17" s="1"/>
  <c r="X108" i="17" a="1"/>
  <c r="X108" i="17" s="1"/>
  <c r="Y108" i="17" s="1"/>
  <c r="Q108" i="17" s="1"/>
  <c r="W108" i="17" s="1"/>
  <c r="X138" i="17" a="1"/>
  <c r="X138" i="17" s="1"/>
  <c r="X168" i="17" a="1"/>
  <c r="X168" i="17" s="1"/>
  <c r="Y168" i="17" s="1"/>
  <c r="Q168" i="17" s="1"/>
  <c r="W168" i="17" s="1"/>
  <c r="X198" i="17" a="1"/>
  <c r="X198" i="17" s="1"/>
  <c r="Y198" i="17" s="1"/>
  <c r="Q198" i="17" s="1"/>
  <c r="W198" i="17" s="1"/>
  <c r="X228" i="17" a="1"/>
  <c r="X228" i="17" s="1"/>
  <c r="Y228" i="17" s="1"/>
  <c r="Q228" i="17" s="1"/>
  <c r="W228" i="17" s="1"/>
  <c r="X258" i="17" a="1"/>
  <c r="X258" i="17" s="1"/>
  <c r="Y258" i="17" s="1"/>
  <c r="Q258" i="17" s="1"/>
  <c r="W258" i="17" s="1"/>
  <c r="X288" i="17" a="1"/>
  <c r="X288" i="17" s="1"/>
  <c r="Y288" i="17" s="1"/>
  <c r="Q288" i="17" s="1"/>
  <c r="W288" i="17" s="1"/>
  <c r="X318" i="17" a="1"/>
  <c r="X318" i="17" s="1"/>
  <c r="X428" i="17" a="1"/>
  <c r="X428" i="17" s="1"/>
  <c r="Y428" i="17" s="1"/>
  <c r="Q428" i="17" s="1"/>
  <c r="W428" i="17" s="1"/>
  <c r="X429" i="17" a="1"/>
  <c r="X429" i="17" s="1"/>
  <c r="X430" i="17" a="1"/>
  <c r="X430" i="17" s="1"/>
  <c r="Y430" i="17" s="1"/>
  <c r="X431" i="17" a="1"/>
  <c r="X431" i="17" s="1"/>
  <c r="Y431" i="17" s="1"/>
  <c r="Q431" i="17" s="1"/>
  <c r="W431" i="17" s="1"/>
  <c r="X432" i="17" a="1"/>
  <c r="X432" i="17" s="1"/>
  <c r="Y432" i="17" s="1"/>
  <c r="Q432" i="17" s="1"/>
  <c r="W432" i="17" s="1"/>
  <c r="X433" i="17" a="1"/>
  <c r="X433" i="17" s="1"/>
  <c r="X19" i="17" a="1"/>
  <c r="X19" i="17" s="1"/>
  <c r="Y19" i="17" s="1"/>
  <c r="Q19" i="17" s="1"/>
  <c r="W19" i="17" s="1"/>
  <c r="X49" i="17" a="1"/>
  <c r="X49" i="17" s="1"/>
  <c r="Y49" i="17" s="1"/>
  <c r="Q49" i="17" s="1"/>
  <c r="W49" i="17" s="1"/>
  <c r="X79" i="17" a="1"/>
  <c r="X79" i="17" s="1"/>
  <c r="Y79" i="17" s="1"/>
  <c r="Q79" i="17" s="1"/>
  <c r="W79" i="17" s="1"/>
  <c r="X109" i="17" a="1"/>
  <c r="X109" i="17" s="1"/>
  <c r="Y109" i="17" s="1"/>
  <c r="Q109" i="17" s="1"/>
  <c r="W109" i="17" s="1"/>
  <c r="X139" i="17" a="1"/>
  <c r="X139" i="17" s="1"/>
  <c r="Y139" i="17" s="1"/>
  <c r="X169" i="17" a="1"/>
  <c r="X169" i="17" s="1"/>
  <c r="X199" i="17" a="1"/>
  <c r="X199" i="17" s="1"/>
  <c r="Y199" i="17" s="1"/>
  <c r="Q199" i="17" s="1"/>
  <c r="W199" i="17" s="1"/>
  <c r="X229" i="17" a="1"/>
  <c r="X229" i="17" s="1"/>
  <c r="X259" i="17" a="1"/>
  <c r="X259" i="17" s="1"/>
  <c r="Y259" i="17" s="1"/>
  <c r="Q259" i="17" s="1"/>
  <c r="W259" i="17" s="1"/>
  <c r="X289" i="17" a="1"/>
  <c r="X289" i="17" s="1"/>
  <c r="X319" i="17" a="1"/>
  <c r="X319" i="17" s="1"/>
  <c r="Y319" i="17" s="1"/>
  <c r="Q319" i="17" s="1"/>
  <c r="W319" i="17" s="1"/>
  <c r="X434" i="17" a="1"/>
  <c r="X434" i="17" s="1"/>
  <c r="X435" i="17" a="1"/>
  <c r="X435" i="17" s="1"/>
  <c r="Y435" i="17" s="1"/>
  <c r="Q435" i="17" s="1"/>
  <c r="W435" i="17" s="1"/>
  <c r="X436" i="17" a="1"/>
  <c r="X436" i="17" s="1"/>
  <c r="Y436" i="17" s="1"/>
  <c r="Q436" i="17" s="1"/>
  <c r="W436" i="17" s="1"/>
  <c r="X437" i="17" a="1"/>
  <c r="X437" i="17" s="1"/>
  <c r="Y437" i="17" s="1"/>
  <c r="Q437" i="17" s="1"/>
  <c r="W437" i="17" s="1"/>
  <c r="X438" i="17" a="1"/>
  <c r="X438" i="17" s="1"/>
  <c r="Y438" i="17" s="1"/>
  <c r="X439" i="17" a="1"/>
  <c r="X439" i="17" s="1"/>
  <c r="Y439" i="17" s="1"/>
  <c r="X20" i="17" a="1"/>
  <c r="X20" i="17" s="1"/>
  <c r="X50" i="17" a="1"/>
  <c r="X50" i="17" s="1"/>
  <c r="Y50" i="17" s="1"/>
  <c r="Q50" i="17" s="1"/>
  <c r="W50" i="17" s="1"/>
  <c r="X80" i="17" a="1"/>
  <c r="X80" i="17" s="1"/>
  <c r="X110" i="17" a="1"/>
  <c r="X110" i="17" s="1"/>
  <c r="Y110" i="17" s="1"/>
  <c r="Q110" i="17" s="1"/>
  <c r="W110" i="17" s="1"/>
  <c r="X140" i="17" a="1"/>
  <c r="X140" i="17" s="1"/>
  <c r="Y140" i="17" s="1"/>
  <c r="Q140" i="17" s="1"/>
  <c r="W140" i="17" s="1"/>
  <c r="X170" i="17" a="1"/>
  <c r="X170" i="17" s="1"/>
  <c r="Y170" i="17" s="1"/>
  <c r="Q170" i="17" s="1"/>
  <c r="W170" i="17" s="1"/>
  <c r="X200" i="17" a="1"/>
  <c r="X200" i="17" s="1"/>
  <c r="X230" i="17" a="1"/>
  <c r="X230" i="17" s="1"/>
  <c r="Y230" i="17" s="1"/>
  <c r="Q230" i="17" s="1"/>
  <c r="W230" i="17" s="1"/>
  <c r="X260" i="17" a="1"/>
  <c r="X260" i="17" s="1"/>
  <c r="Y260" i="17" s="1"/>
  <c r="Q260" i="17" s="1"/>
  <c r="W260" i="17" s="1"/>
  <c r="X290" i="17" a="1"/>
  <c r="X290" i="17" s="1"/>
  <c r="Y290" i="17" s="1"/>
  <c r="X320" i="17" a="1"/>
  <c r="X320" i="17" s="1"/>
  <c r="Y320" i="17" s="1"/>
  <c r="Q320" i="17" s="1"/>
  <c r="W320" i="17" s="1"/>
  <c r="X440" i="17" a="1"/>
  <c r="X440" i="17" s="1"/>
  <c r="Y440" i="17" s="1"/>
  <c r="X441" i="17" a="1"/>
  <c r="X441" i="17" s="1"/>
  <c r="X442" i="17" a="1"/>
  <c r="X442" i="17" s="1"/>
  <c r="Y442" i="17" s="1"/>
  <c r="Q442" i="17" s="1"/>
  <c r="W442" i="17" s="1"/>
  <c r="X443" i="17" a="1"/>
  <c r="X443" i="17" s="1"/>
  <c r="X444" i="17" a="1"/>
  <c r="X444" i="17" s="1"/>
  <c r="Y444" i="17" s="1"/>
  <c r="Q444" i="17" s="1"/>
  <c r="W444" i="17" s="1"/>
  <c r="X445" i="17" a="1"/>
  <c r="X445" i="17" s="1"/>
  <c r="X21" i="17" a="1"/>
  <c r="X21" i="17" s="1"/>
  <c r="Y21" i="17" s="1"/>
  <c r="Q21" i="17" s="1"/>
  <c r="W21" i="17" s="1"/>
  <c r="X51" i="17" a="1"/>
  <c r="X51" i="17" s="1"/>
  <c r="X81" i="17" a="1"/>
  <c r="X81" i="17" s="1"/>
  <c r="Y81" i="17" s="1"/>
  <c r="Q81" i="17" s="1"/>
  <c r="W81" i="17" s="1"/>
  <c r="X111" i="17" a="1"/>
  <c r="X111" i="17" s="1"/>
  <c r="Y111" i="17" s="1"/>
  <c r="Q111" i="17" s="1"/>
  <c r="W111" i="17" s="1"/>
  <c r="X141" i="17" a="1"/>
  <c r="X141" i="17" s="1"/>
  <c r="Y141" i="17" s="1"/>
  <c r="Q141" i="17" s="1"/>
  <c r="W141" i="17" s="1"/>
  <c r="X171" i="17" a="1"/>
  <c r="X171" i="17" s="1"/>
  <c r="Y171" i="17" s="1"/>
  <c r="Q171" i="17" s="1"/>
  <c r="W171" i="17" s="1"/>
  <c r="X201" i="17" a="1"/>
  <c r="X201" i="17" s="1"/>
  <c r="Y201" i="17" s="1"/>
  <c r="Q201" i="17" s="1"/>
  <c r="W201" i="17" s="1"/>
  <c r="X231" i="17" a="1"/>
  <c r="X231" i="17" s="1"/>
  <c r="X261" i="17" a="1"/>
  <c r="X261" i="17" s="1"/>
  <c r="Y261" i="17" s="1"/>
  <c r="Q261" i="17" s="1"/>
  <c r="W261" i="17" s="1"/>
  <c r="X291" i="17" a="1"/>
  <c r="X291" i="17" s="1"/>
  <c r="Y291" i="17" s="1"/>
  <c r="Q291" i="17" s="1"/>
  <c r="W291" i="17" s="1"/>
  <c r="X321" i="17" a="1"/>
  <c r="X321" i="17" s="1"/>
  <c r="Y321" i="17" s="1"/>
  <c r="Q321" i="17" s="1"/>
  <c r="W321" i="17" s="1"/>
  <c r="X446" i="17" a="1"/>
  <c r="X446" i="17" s="1"/>
  <c r="X447" i="17" a="1"/>
  <c r="X447" i="17" s="1"/>
  <c r="Y447" i="17" s="1"/>
  <c r="Q447" i="17" s="1"/>
  <c r="W447" i="17" s="1"/>
  <c r="X448" i="17" a="1"/>
  <c r="X448" i="17" s="1"/>
  <c r="X449" i="17" a="1"/>
  <c r="X449" i="17" s="1"/>
  <c r="Y449" i="17" s="1"/>
  <c r="Q449" i="17" s="1"/>
  <c r="W449" i="17" s="1"/>
  <c r="X450" i="17" a="1"/>
  <c r="X450" i="17" s="1"/>
  <c r="Y450" i="17" s="1"/>
  <c r="Q450" i="17" s="1"/>
  <c r="W450" i="17" s="1"/>
  <c r="X451" i="17" a="1"/>
  <c r="X451" i="17" s="1"/>
  <c r="Y451" i="17" s="1"/>
  <c r="Q451" i="17" s="1"/>
  <c r="W451" i="17" s="1"/>
  <c r="X22" i="17" a="1"/>
  <c r="X22" i="17" s="1"/>
  <c r="Y22" i="17" s="1"/>
  <c r="Q22" i="17" s="1"/>
  <c r="W22" i="17" s="1"/>
  <c r="X52" i="17" a="1"/>
  <c r="X52" i="17" s="1"/>
  <c r="Y52" i="17" s="1"/>
  <c r="Q52" i="17" s="1"/>
  <c r="W52" i="17" s="1"/>
  <c r="X82" i="17" a="1"/>
  <c r="X82" i="17" s="1"/>
  <c r="X112" i="17" a="1"/>
  <c r="X112" i="17" s="1"/>
  <c r="Y112" i="17" s="1"/>
  <c r="Q112" i="17" s="1"/>
  <c r="W112" i="17" s="1"/>
  <c r="X142" i="17" a="1"/>
  <c r="X142" i="17" s="1"/>
  <c r="Y142" i="17" s="1"/>
  <c r="Q142" i="17" s="1"/>
  <c r="W142" i="17" s="1"/>
  <c r="X172" i="17" a="1"/>
  <c r="X172" i="17" s="1"/>
  <c r="Y172" i="17" s="1"/>
  <c r="X202" i="17" a="1"/>
  <c r="X202" i="17" s="1"/>
  <c r="Y202" i="17" s="1"/>
  <c r="Q202" i="17" s="1"/>
  <c r="W202" i="17" s="1"/>
  <c r="X232" i="17" a="1"/>
  <c r="X232" i="17" s="1"/>
  <c r="Y232" i="17" s="1"/>
  <c r="Q232" i="17" s="1"/>
  <c r="W232" i="17" s="1"/>
  <c r="X262" i="17" a="1"/>
  <c r="X262" i="17" s="1"/>
  <c r="X292" i="17" a="1"/>
  <c r="X292" i="17" s="1"/>
  <c r="Y292" i="17" s="1"/>
  <c r="Q292" i="17" s="1"/>
  <c r="W292" i="17" s="1"/>
  <c r="X322" i="17" a="1"/>
  <c r="X322" i="17" s="1"/>
  <c r="Y322" i="17" s="1"/>
  <c r="Q322" i="17" s="1"/>
  <c r="W322" i="17" s="1"/>
  <c r="X452" i="17" a="1"/>
  <c r="X452" i="17" s="1"/>
  <c r="Y452" i="17" s="1"/>
  <c r="Q452" i="17" s="1"/>
  <c r="W452" i="17" s="1"/>
  <c r="X453" i="17" a="1"/>
  <c r="X453" i="17" s="1"/>
  <c r="Y453" i="17" s="1"/>
  <c r="Q453" i="17" s="1"/>
  <c r="W453" i="17" s="1"/>
  <c r="X454" i="17" a="1"/>
  <c r="X454" i="17" s="1"/>
  <c r="Y454" i="17" s="1"/>
  <c r="Q454" i="17" s="1"/>
  <c r="W454" i="17" s="1"/>
  <c r="X455" i="17" a="1"/>
  <c r="X455" i="17" s="1"/>
  <c r="X456" i="17" a="1"/>
  <c r="X456" i="17" s="1"/>
  <c r="Y456" i="17" s="1"/>
  <c r="Q456" i="17" s="1"/>
  <c r="W456" i="17" s="1"/>
  <c r="X457" i="17" a="1"/>
  <c r="X457" i="17" s="1"/>
  <c r="Y457" i="17" s="1"/>
  <c r="Q457" i="17" s="1"/>
  <c r="W457" i="17" s="1"/>
  <c r="X23" i="17" a="1"/>
  <c r="X23" i="17" s="1"/>
  <c r="Y23" i="17" s="1"/>
  <c r="Q23" i="17" s="1"/>
  <c r="W23" i="17" s="1"/>
  <c r="X53" i="17" a="1"/>
  <c r="X53" i="17" s="1"/>
  <c r="X83" i="17" a="1"/>
  <c r="X83" i="17" s="1"/>
  <c r="Y83" i="17" s="1"/>
  <c r="Q83" i="17" s="1"/>
  <c r="W83" i="17" s="1"/>
  <c r="X113" i="17" a="1"/>
  <c r="X113" i="17" s="1"/>
  <c r="X143" i="17" a="1"/>
  <c r="X143" i="17" s="1"/>
  <c r="Y143" i="17" s="1"/>
  <c r="Q143" i="17" s="1"/>
  <c r="W143" i="17" s="1"/>
  <c r="X173" i="17" a="1"/>
  <c r="X173" i="17" s="1"/>
  <c r="Y173" i="17" s="1"/>
  <c r="Q173" i="17" s="1"/>
  <c r="W173" i="17" s="1"/>
  <c r="X203" i="17" a="1"/>
  <c r="X203" i="17" s="1"/>
  <c r="Y203" i="17" s="1"/>
  <c r="Q203" i="17" s="1"/>
  <c r="W203" i="17" s="1"/>
  <c r="X233" i="17" a="1"/>
  <c r="X233" i="17" s="1"/>
  <c r="Y233" i="17" s="1"/>
  <c r="Q233" i="17" s="1"/>
  <c r="W233" i="17" s="1"/>
  <c r="X263" i="17" a="1"/>
  <c r="X263" i="17" s="1"/>
  <c r="Y263" i="17" s="1"/>
  <c r="X293" i="17" a="1"/>
  <c r="X293" i="17" s="1"/>
  <c r="X323" i="17" a="1"/>
  <c r="X323" i="17" s="1"/>
  <c r="Y323" i="17" s="1"/>
  <c r="Q323" i="17" s="1"/>
  <c r="W323" i="17" s="1"/>
  <c r="X458" i="17" a="1"/>
  <c r="X458" i="17" s="1"/>
  <c r="Y458" i="17" s="1"/>
  <c r="Q458" i="17" s="1"/>
  <c r="W458" i="17" s="1"/>
  <c r="X459" i="17" a="1"/>
  <c r="X459" i="17" s="1"/>
  <c r="Y459" i="17" s="1"/>
  <c r="Q459" i="17" s="1"/>
  <c r="W459" i="17" s="1"/>
  <c r="X460" i="17" a="1"/>
  <c r="X460" i="17" s="1"/>
  <c r="X461" i="17" a="1"/>
  <c r="X461" i="17" s="1"/>
  <c r="Y461" i="17" s="1"/>
  <c r="Q461" i="17" s="1"/>
  <c r="W461" i="17" s="1"/>
  <c r="X462" i="17" a="1"/>
  <c r="X462" i="17" s="1"/>
  <c r="X463" i="17" a="1"/>
  <c r="X463" i="17" s="1"/>
  <c r="Y463" i="17" s="1"/>
  <c r="Q463" i="17" s="1"/>
  <c r="W463" i="17" s="1"/>
  <c r="X24" i="17" a="1"/>
  <c r="X24" i="17" s="1"/>
  <c r="Y24" i="17" s="1"/>
  <c r="Q24" i="17" s="1"/>
  <c r="W24" i="17" s="1"/>
  <c r="X54" i="17" a="1"/>
  <c r="X54" i="17" s="1"/>
  <c r="Y54" i="17" s="1"/>
  <c r="Q54" i="17" s="1"/>
  <c r="W54" i="17" s="1"/>
  <c r="X84" i="17" a="1"/>
  <c r="X84" i="17" s="1"/>
  <c r="Y84" i="17" s="1"/>
  <c r="Q84" i="17" s="1"/>
  <c r="W84" i="17" s="1"/>
  <c r="X114" i="17" a="1"/>
  <c r="X114" i="17" s="1"/>
  <c r="Y114" i="17" s="1"/>
  <c r="Q114" i="17" s="1"/>
  <c r="W114" i="17" s="1"/>
  <c r="X144" i="17" a="1"/>
  <c r="X144" i="17" s="1"/>
  <c r="X174" i="17" a="1"/>
  <c r="X174" i="17" s="1"/>
  <c r="Y174" i="17" s="1"/>
  <c r="Q174" i="17" s="1"/>
  <c r="W174" i="17" s="1"/>
  <c r="X204" i="17" a="1"/>
  <c r="X204" i="17" s="1"/>
  <c r="Y204" i="17" s="1"/>
  <c r="Q204" i="17" s="1"/>
  <c r="W204" i="17" s="1"/>
  <c r="X234" i="17" a="1"/>
  <c r="X234" i="17" s="1"/>
  <c r="Y234" i="17" s="1"/>
  <c r="X264" i="17" a="1"/>
  <c r="X264" i="17" s="1"/>
  <c r="Y264" i="17" s="1"/>
  <c r="Q264" i="17" s="1"/>
  <c r="W264" i="17" s="1"/>
  <c r="X294" i="17" a="1"/>
  <c r="X294" i="17" s="1"/>
  <c r="Y294" i="17" s="1"/>
  <c r="Q294" i="17" s="1"/>
  <c r="W294" i="17" s="1"/>
  <c r="X324" i="17" a="1"/>
  <c r="X324" i="17" s="1"/>
  <c r="X464" i="17" a="1"/>
  <c r="X464" i="17" s="1"/>
  <c r="Y464" i="17" s="1"/>
  <c r="Q464" i="17" s="1"/>
  <c r="W464" i="17" s="1"/>
  <c r="X465" i="17" a="1"/>
  <c r="X465" i="17" s="1"/>
  <c r="Y465" i="17" s="1"/>
  <c r="Q465" i="17" s="1"/>
  <c r="W465" i="17" s="1"/>
  <c r="X466" i="17" a="1"/>
  <c r="X466" i="17" s="1"/>
  <c r="Y466" i="17" s="1"/>
  <c r="Q466" i="17" s="1"/>
  <c r="W466" i="17" s="1"/>
  <c r="X467" i="17" a="1"/>
  <c r="X467" i="17" s="1"/>
  <c r="Y467" i="17" s="1"/>
  <c r="Q467" i="17" s="1"/>
  <c r="W467" i="17" s="1"/>
  <c r="X468" i="17" a="1"/>
  <c r="X468" i="17" s="1"/>
  <c r="Y468" i="17" s="1"/>
  <c r="X469" i="17" a="1"/>
  <c r="X469" i="17" s="1"/>
  <c r="X25" i="17" a="1"/>
  <c r="X25" i="17" s="1"/>
  <c r="Y25" i="17" s="1"/>
  <c r="Q25" i="17" s="1"/>
  <c r="W25" i="17" s="1"/>
  <c r="X55" i="17" a="1"/>
  <c r="X55" i="17" s="1"/>
  <c r="Y55" i="17" s="1"/>
  <c r="Q55" i="17" s="1"/>
  <c r="W55" i="17" s="1"/>
  <c r="X85" i="17" a="1"/>
  <c r="X85" i="17" s="1"/>
  <c r="X115" i="17" a="1"/>
  <c r="X115" i="17" s="1"/>
  <c r="X145" i="17" a="1"/>
  <c r="X145" i="17" s="1"/>
  <c r="Y145" i="17" s="1"/>
  <c r="Q145" i="17" s="1"/>
  <c r="W145" i="17" s="1"/>
  <c r="X175" i="17" a="1"/>
  <c r="X175" i="17" s="1"/>
  <c r="X205" i="17" a="1"/>
  <c r="X205" i="17" s="1"/>
  <c r="Y205" i="17" s="1"/>
  <c r="Q205" i="17" s="1"/>
  <c r="W205" i="17" s="1"/>
  <c r="X235" i="17" a="1"/>
  <c r="X235" i="17" s="1"/>
  <c r="Y235" i="17" s="1"/>
  <c r="Q235" i="17" s="1"/>
  <c r="W235" i="17" s="1"/>
  <c r="X265" i="17" a="1"/>
  <c r="X265" i="17" s="1"/>
  <c r="Y265" i="17" s="1"/>
  <c r="Q265" i="17" s="1"/>
  <c r="W265" i="17" s="1"/>
  <c r="X295" i="17" a="1"/>
  <c r="X295" i="17" s="1"/>
  <c r="Y295" i="17" s="1"/>
  <c r="Q295" i="17" s="1"/>
  <c r="W295" i="17" s="1"/>
  <c r="X325" i="17" a="1"/>
  <c r="X325" i="17" s="1"/>
  <c r="Y325" i="17" s="1"/>
  <c r="X470" i="17" a="1"/>
  <c r="X470" i="17" s="1"/>
  <c r="X471" i="17" a="1"/>
  <c r="X471" i="17" s="1"/>
  <c r="Y471" i="17" s="1"/>
  <c r="Q471" i="17" s="1"/>
  <c r="W471" i="17" s="1"/>
  <c r="X472" i="17" a="1"/>
  <c r="X472" i="17" s="1"/>
  <c r="Y472" i="17" s="1"/>
  <c r="X473" i="17" a="1"/>
  <c r="X473" i="17" s="1"/>
  <c r="X474" i="17" a="1"/>
  <c r="X474" i="17" s="1"/>
  <c r="X475" i="17" a="1"/>
  <c r="X475" i="17" s="1"/>
  <c r="Y475" i="17" s="1"/>
  <c r="Q475" i="17" s="1"/>
  <c r="W475" i="17" s="1"/>
  <c r="X26" i="17" a="1"/>
  <c r="X26" i="17" s="1"/>
  <c r="X56" i="17" a="1"/>
  <c r="X56" i="17" s="1"/>
  <c r="Y56" i="17" s="1"/>
  <c r="Q56" i="17" s="1"/>
  <c r="W56" i="17" s="1"/>
  <c r="X86" i="17" a="1"/>
  <c r="X86" i="17" s="1"/>
  <c r="Y86" i="17" s="1"/>
  <c r="Q86" i="17" s="1"/>
  <c r="W86" i="17" s="1"/>
  <c r="X116" i="17" a="1"/>
  <c r="X116" i="17" s="1"/>
  <c r="Y116" i="17" s="1"/>
  <c r="Q116" i="17" s="1"/>
  <c r="W116" i="17" s="1"/>
  <c r="X146" i="17" a="1"/>
  <c r="X146" i="17" s="1"/>
  <c r="Y146" i="17" s="1"/>
  <c r="Q146" i="17" s="1"/>
  <c r="W146" i="17" s="1"/>
  <c r="X176" i="17" a="1"/>
  <c r="X176" i="17" s="1"/>
  <c r="Y176" i="17" s="1"/>
  <c r="Q176" i="17" s="1"/>
  <c r="W176" i="17" s="1"/>
  <c r="X206" i="17" a="1"/>
  <c r="X206" i="17" s="1"/>
  <c r="X236" i="17" a="1"/>
  <c r="X236" i="17" s="1"/>
  <c r="Y236" i="17" s="1"/>
  <c r="Q236" i="17" s="1"/>
  <c r="W236" i="17" s="1"/>
  <c r="X266" i="17" a="1"/>
  <c r="X266" i="17" s="1"/>
  <c r="Y266" i="17" s="1"/>
  <c r="Q266" i="17" s="1"/>
  <c r="W266" i="17" s="1"/>
  <c r="X296" i="17" a="1"/>
  <c r="X296" i="17" s="1"/>
  <c r="Y296" i="17" s="1"/>
  <c r="X326" i="17" a="1"/>
  <c r="X326" i="17" s="1"/>
  <c r="Y326" i="17" s="1"/>
  <c r="Q326" i="17" s="1"/>
  <c r="W326" i="17" s="1"/>
  <c r="X476" i="17" a="1"/>
  <c r="X476" i="17" s="1"/>
  <c r="Y476" i="17" s="1"/>
  <c r="Q476" i="17" s="1"/>
  <c r="W476" i="17" s="1"/>
  <c r="X477" i="17" a="1"/>
  <c r="X477" i="17" s="1"/>
  <c r="X478" i="17" a="1"/>
  <c r="X478" i="17" s="1"/>
  <c r="Y478" i="17" s="1"/>
  <c r="Q478" i="17" s="1"/>
  <c r="W478" i="17" s="1"/>
  <c r="X479" i="17" a="1"/>
  <c r="X479" i="17" s="1"/>
  <c r="Y479" i="17" s="1"/>
  <c r="Q479" i="17" s="1"/>
  <c r="W479" i="17" s="1"/>
  <c r="X480" i="17" a="1"/>
  <c r="X480" i="17" s="1"/>
  <c r="Y480" i="17" s="1"/>
  <c r="Q480" i="17" s="1"/>
  <c r="W480" i="17" s="1"/>
  <c r="X481" i="17" a="1"/>
  <c r="X481" i="17" s="1"/>
  <c r="Y481" i="17" s="1"/>
  <c r="Q481" i="17" s="1"/>
  <c r="W481" i="17" s="1"/>
  <c r="X27" i="17" a="1"/>
  <c r="X27" i="17" s="1"/>
  <c r="Y27" i="17" s="1"/>
  <c r="Q27" i="17" s="1"/>
  <c r="W27" i="17" s="1"/>
  <c r="X57" i="17" a="1"/>
  <c r="X57" i="17" s="1"/>
  <c r="X87" i="17" a="1"/>
  <c r="X87" i="17" s="1"/>
  <c r="Y87" i="17" s="1"/>
  <c r="Q87" i="17" s="1"/>
  <c r="W87" i="17" s="1"/>
  <c r="X117" i="17" a="1"/>
  <c r="X117" i="17" s="1"/>
  <c r="Y117" i="17" s="1"/>
  <c r="Q117" i="17" s="1"/>
  <c r="W117" i="17" s="1"/>
  <c r="X147" i="17" a="1"/>
  <c r="X147" i="17" s="1"/>
  <c r="Y147" i="17" s="1"/>
  <c r="Q147" i="17" s="1"/>
  <c r="W147" i="17" s="1"/>
  <c r="X177" i="17" a="1"/>
  <c r="X177" i="17" s="1"/>
  <c r="X207" i="17" a="1"/>
  <c r="X207" i="17" s="1"/>
  <c r="Y207" i="17" s="1"/>
  <c r="Q207" i="17" s="1"/>
  <c r="W207" i="17" s="1"/>
  <c r="X237" i="17" a="1"/>
  <c r="X237" i="17" s="1"/>
  <c r="X267" i="17" a="1"/>
  <c r="X267" i="17" s="1"/>
  <c r="Y267" i="17" s="1"/>
  <c r="Q267" i="17" s="1"/>
  <c r="W267" i="17" s="1"/>
  <c r="X297" i="17" a="1"/>
  <c r="X297" i="17" s="1"/>
  <c r="Y297" i="17" s="1"/>
  <c r="Q297" i="17" s="1"/>
  <c r="W297" i="17" s="1"/>
  <c r="X327" i="17" a="1"/>
  <c r="X327" i="17" s="1"/>
  <c r="Y327" i="17" s="1"/>
  <c r="Q327" i="17" s="1"/>
  <c r="W327" i="17" s="1"/>
  <c r="X482" i="17" a="1"/>
  <c r="X482" i="17" s="1"/>
  <c r="Y482" i="17" s="1"/>
  <c r="Q482" i="17" s="1"/>
  <c r="W482" i="17" s="1"/>
  <c r="X483" i="17" a="1"/>
  <c r="X483" i="17" s="1"/>
  <c r="Y483" i="17" s="1"/>
  <c r="Q483" i="17" s="1"/>
  <c r="W483" i="17" s="1"/>
  <c r="X484" i="17" a="1"/>
  <c r="X484" i="17" s="1"/>
  <c r="X485" i="17" a="1"/>
  <c r="X485" i="17" s="1"/>
  <c r="Y485" i="17" s="1"/>
  <c r="Q485" i="17" s="1"/>
  <c r="W485" i="17" s="1"/>
  <c r="X486" i="17" a="1"/>
  <c r="X486" i="17" s="1"/>
  <c r="Y486" i="17" s="1"/>
  <c r="Q486" i="17" s="1"/>
  <c r="W486" i="17" s="1"/>
  <c r="X487" i="17" a="1"/>
  <c r="X487" i="17" s="1"/>
  <c r="Y487" i="17" s="1"/>
  <c r="Q487" i="17" s="1"/>
  <c r="W487" i="17" s="1"/>
  <c r="X28" i="17" a="1"/>
  <c r="X28" i="17" s="1"/>
  <c r="X58" i="17" a="1"/>
  <c r="X58" i="17" s="1"/>
  <c r="Y58" i="17" s="1"/>
  <c r="Q58" i="17" s="1"/>
  <c r="W58" i="17" s="1"/>
  <c r="X88" i="17" a="1"/>
  <c r="X88" i="17" s="1"/>
  <c r="X118" i="17" a="1"/>
  <c r="X118" i="17" s="1"/>
  <c r="Y118" i="17" s="1"/>
  <c r="Q118" i="17" s="1"/>
  <c r="W118" i="17" s="1"/>
  <c r="X148" i="17" a="1"/>
  <c r="X148" i="17" s="1"/>
  <c r="Y148" i="17" s="1"/>
  <c r="Q148" i="17" s="1"/>
  <c r="W148" i="17" s="1"/>
  <c r="X178" i="17" a="1"/>
  <c r="X178" i="17" s="1"/>
  <c r="Y178" i="17" s="1"/>
  <c r="Q178" i="17" s="1"/>
  <c r="W178" i="17" s="1"/>
  <c r="X208" i="17" a="1"/>
  <c r="X208" i="17" s="1"/>
  <c r="Y208" i="17" s="1"/>
  <c r="X238" i="17" a="1"/>
  <c r="X238" i="17" s="1"/>
  <c r="Y238" i="17" s="1"/>
  <c r="Q238" i="17" s="1"/>
  <c r="W238" i="17" s="1"/>
  <c r="X268" i="17" a="1"/>
  <c r="X268" i="17" s="1"/>
  <c r="X298" i="17" a="1"/>
  <c r="X298" i="17" s="1"/>
  <c r="Y298" i="17" s="1"/>
  <c r="Q298" i="17" s="1"/>
  <c r="W298" i="17" s="1"/>
  <c r="X328" i="17" a="1"/>
  <c r="X328" i="17" s="1"/>
  <c r="Y328" i="17" s="1"/>
  <c r="Q328" i="17" s="1"/>
  <c r="W328" i="17" s="1"/>
  <c r="X488" i="17" a="1"/>
  <c r="X488" i="17" s="1"/>
  <c r="Y488" i="17" s="1"/>
  <c r="X489" i="17" a="1"/>
  <c r="X489" i="17" s="1"/>
  <c r="Y489" i="17" s="1"/>
  <c r="Q489" i="17" s="1"/>
  <c r="W489" i="17" s="1"/>
  <c r="X490" i="17" a="1"/>
  <c r="X490" i="17" s="1"/>
  <c r="Y490" i="17" s="1"/>
  <c r="Q490" i="17" s="1"/>
  <c r="W490" i="17" s="1"/>
  <c r="X491" i="17" a="1"/>
  <c r="X491" i="17" s="1"/>
  <c r="X492" i="17" a="1"/>
  <c r="X492" i="17" s="1"/>
  <c r="Y492" i="17" s="1"/>
  <c r="Q492" i="17" s="1"/>
  <c r="W492" i="17" s="1"/>
  <c r="X493" i="17" a="1"/>
  <c r="X493" i="17" s="1"/>
  <c r="Y493" i="17" s="1"/>
  <c r="Q493" i="17" s="1"/>
  <c r="W493" i="17" s="1"/>
  <c r="X29" i="17" a="1"/>
  <c r="X29" i="17" s="1"/>
  <c r="Y29" i="17" s="1"/>
  <c r="Q29" i="17" s="1"/>
  <c r="W29" i="17" s="1"/>
  <c r="X59" i="17" a="1"/>
  <c r="X59" i="17" s="1"/>
  <c r="Y59" i="17" s="1"/>
  <c r="X89" i="17" a="1"/>
  <c r="X89" i="17" s="1"/>
  <c r="Y89" i="17" s="1"/>
  <c r="Q89" i="17" s="1"/>
  <c r="W89" i="17" s="1"/>
  <c r="X119" i="17" a="1"/>
  <c r="X119" i="17" s="1"/>
  <c r="X149" i="17" a="1"/>
  <c r="X149" i="17" s="1"/>
  <c r="Y149" i="17" s="1"/>
  <c r="Q149" i="17" s="1"/>
  <c r="W149" i="17" s="1"/>
  <c r="X179" i="17" a="1"/>
  <c r="X179" i="17" s="1"/>
  <c r="Y179" i="17" s="1"/>
  <c r="Q179" i="17" s="1"/>
  <c r="W179" i="17" s="1"/>
  <c r="X209" i="17" a="1"/>
  <c r="X209" i="17" s="1"/>
  <c r="Y209" i="17" s="1"/>
  <c r="Q209" i="17" s="1"/>
  <c r="W209" i="17" s="1"/>
  <c r="X239" i="17" a="1"/>
  <c r="X239" i="17" s="1"/>
  <c r="X269" i="17" a="1"/>
  <c r="X269" i="17" s="1"/>
  <c r="Y269" i="17" s="1"/>
  <c r="Q269" i="17" s="1"/>
  <c r="W269" i="17" s="1"/>
  <c r="X299" i="17" a="1"/>
  <c r="X299" i="17" s="1"/>
  <c r="X329" i="17" a="1"/>
  <c r="X329" i="17" s="1"/>
  <c r="Y329" i="17" s="1"/>
  <c r="Q329" i="17" s="1"/>
  <c r="W329" i="17" s="1"/>
  <c r="X494" i="17" a="1"/>
  <c r="X494" i="17" s="1"/>
  <c r="Y494" i="17" s="1"/>
  <c r="Q494" i="17" s="1"/>
  <c r="W494" i="17" s="1"/>
  <c r="X495" i="17" a="1"/>
  <c r="X495" i="17" s="1"/>
  <c r="Y495" i="17" s="1"/>
  <c r="Q495" i="17" s="1"/>
  <c r="W495" i="17" s="1"/>
  <c r="X496" i="17" a="1"/>
  <c r="X496" i="17" s="1"/>
  <c r="Y496" i="17" s="1"/>
  <c r="Q496" i="17" s="1"/>
  <c r="W496" i="17" s="1"/>
  <c r="X497" i="17" a="1"/>
  <c r="X497" i="17" s="1"/>
  <c r="Y497" i="17" s="1"/>
  <c r="X498" i="17" a="1"/>
  <c r="X498" i="17" s="1"/>
  <c r="X499" i="17" a="1"/>
  <c r="X499" i="17" s="1"/>
  <c r="Y499" i="17" s="1"/>
  <c r="Q499" i="17" s="1"/>
  <c r="W499" i="17" s="1"/>
  <c r="X30" i="17" a="1"/>
  <c r="X30" i="17" s="1"/>
  <c r="Y30" i="17" s="1"/>
  <c r="Q30" i="17" s="1"/>
  <c r="W30" i="17" s="1"/>
  <c r="X60" i="17" a="1"/>
  <c r="X60" i="17" s="1"/>
  <c r="X90" i="17" a="1"/>
  <c r="X90" i="17" s="1"/>
  <c r="X120" i="17" a="1"/>
  <c r="X120" i="17" s="1"/>
  <c r="Y120" i="17" s="1"/>
  <c r="Q120" i="17" s="1"/>
  <c r="W120" i="17" s="1"/>
  <c r="X150" i="17" a="1"/>
  <c r="X150" i="17" s="1"/>
  <c r="Y150" i="17" s="1"/>
  <c r="Q150" i="17" s="1"/>
  <c r="W150" i="17" s="1"/>
  <c r="X180" i="17" a="1"/>
  <c r="X180" i="17" s="1"/>
  <c r="Y180" i="17" s="1"/>
  <c r="Q180" i="17" s="1"/>
  <c r="W180" i="17" s="1"/>
  <c r="X210" i="17" a="1"/>
  <c r="X210" i="17" s="1"/>
  <c r="Y210" i="17" s="1"/>
  <c r="Q210" i="17" s="1"/>
  <c r="W210" i="17" s="1"/>
  <c r="X240" i="17" a="1"/>
  <c r="X240" i="17" s="1"/>
  <c r="Y240" i="17" s="1"/>
  <c r="Q240" i="17" s="1"/>
  <c r="W240" i="17" s="1"/>
  <c r="X270" i="17" a="1"/>
  <c r="X270" i="17" s="1"/>
  <c r="Y270" i="17" s="1"/>
  <c r="Q270" i="17" s="1"/>
  <c r="W270" i="17" s="1"/>
  <c r="X300" i="17" a="1"/>
  <c r="X300" i="17" s="1"/>
  <c r="Y300" i="17" s="1"/>
  <c r="Q300" i="17" s="1"/>
  <c r="W300" i="17" s="1"/>
  <c r="X330" i="17" a="1"/>
  <c r="X330" i="17" s="1"/>
  <c r="Y330" i="17" s="1"/>
  <c r="Q330" i="17" s="1"/>
  <c r="W330" i="17" s="1"/>
  <c r="X500" i="17" a="1"/>
  <c r="X500" i="17" s="1"/>
  <c r="Y500" i="17" s="1"/>
  <c r="Q500" i="17" s="1"/>
  <c r="W500" i="17" s="1"/>
  <c r="X501" i="17" a="1"/>
  <c r="X501" i="17" s="1"/>
  <c r="Y501" i="17" s="1"/>
  <c r="Q501" i="17" s="1"/>
  <c r="W501" i="17" s="1"/>
  <c r="X502" i="17" a="1"/>
  <c r="X502" i="17" s="1"/>
  <c r="X503" i="17" a="1"/>
  <c r="X503" i="17" s="1"/>
  <c r="X504" i="17" a="1"/>
  <c r="X504" i="17" s="1"/>
  <c r="Y504" i="17" s="1"/>
  <c r="Q504" i="17" s="1"/>
  <c r="W504" i="17" s="1"/>
  <c r="X505" i="17" a="1"/>
  <c r="X505" i="17" s="1"/>
  <c r="X31" i="17" a="1"/>
  <c r="X31" i="17" s="1"/>
  <c r="Y31" i="17" s="1"/>
  <c r="Q31" i="17" s="1"/>
  <c r="W31" i="17" s="1"/>
  <c r="X61" i="17" a="1"/>
  <c r="X61" i="17" s="1"/>
  <c r="Y61" i="17" s="1"/>
  <c r="Q61" i="17" s="1"/>
  <c r="W61" i="17" s="1"/>
  <c r="X91" i="17" a="1"/>
  <c r="X91" i="17" s="1"/>
  <c r="Y91" i="17" s="1"/>
  <c r="Q91" i="17" s="1"/>
  <c r="W91" i="17" s="1"/>
  <c r="X121" i="17" a="1"/>
  <c r="X121" i="17" s="1"/>
  <c r="Y121" i="17" s="1"/>
  <c r="Q121" i="17" s="1"/>
  <c r="W121" i="17" s="1"/>
  <c r="X151" i="17" a="1"/>
  <c r="X151" i="17" s="1"/>
  <c r="Y151" i="17" s="1"/>
  <c r="Q151" i="17" s="1"/>
  <c r="W151" i="17" s="1"/>
  <c r="X181" i="17" a="1"/>
  <c r="X181" i="17" s="1"/>
  <c r="Y181" i="17" s="1"/>
  <c r="Q181" i="17" s="1"/>
  <c r="W181" i="17" s="1"/>
  <c r="X211" i="17" a="1"/>
  <c r="X211" i="17" s="1"/>
  <c r="Y211" i="17" s="1"/>
  <c r="Q211" i="17" s="1"/>
  <c r="W211" i="17" s="1"/>
  <c r="X241" i="17" a="1"/>
  <c r="X241" i="17" s="1"/>
  <c r="Y241" i="17" s="1"/>
  <c r="Q241" i="17" s="1"/>
  <c r="W241" i="17" s="1"/>
  <c r="X271" i="17" a="1"/>
  <c r="X271" i="17" s="1"/>
  <c r="Y271" i="17" s="1"/>
  <c r="Q271" i="17" s="1"/>
  <c r="W271" i="17" s="1"/>
  <c r="X301" i="17" a="1"/>
  <c r="X301" i="17" s="1"/>
  <c r="X331" i="17" a="1"/>
  <c r="X331" i="17" s="1"/>
  <c r="Y331" i="17" s="1"/>
  <c r="Q331" i="17" s="1"/>
  <c r="W331" i="17" s="1"/>
  <c r="X506" i="17" a="1"/>
  <c r="X506" i="17" s="1"/>
  <c r="X507" i="17" a="1"/>
  <c r="X507" i="17" s="1"/>
  <c r="Y507" i="17" s="1"/>
  <c r="Q507" i="17" s="1"/>
  <c r="W507" i="17" s="1"/>
  <c r="X508" i="17" a="1"/>
  <c r="X508" i="17" s="1"/>
  <c r="Y508" i="17" s="1"/>
  <c r="Q508" i="17" s="1"/>
  <c r="W508" i="17" s="1"/>
  <c r="X509" i="17" a="1"/>
  <c r="X509" i="17" s="1"/>
  <c r="Y509" i="17" s="1"/>
  <c r="Q509" i="17" s="1"/>
  <c r="W509" i="17" s="1"/>
  <c r="X510" i="17" a="1"/>
  <c r="X510" i="17" s="1"/>
  <c r="Y510" i="17" s="1"/>
  <c r="Q510" i="17" s="1"/>
  <c r="W510" i="17" s="1"/>
  <c r="X511" i="17" a="1"/>
  <c r="X511" i="17" s="1"/>
  <c r="Y511" i="17" s="1"/>
  <c r="Q511" i="17" s="1"/>
  <c r="W511" i="17" s="1"/>
  <c r="Y2" i="17"/>
  <c r="Q2" i="17" s="1"/>
  <c r="W2" i="17" s="1"/>
  <c r="Y62" i="17"/>
  <c r="Q62" i="17" s="1"/>
  <c r="W62" i="17" s="1"/>
  <c r="Y122" i="17"/>
  <c r="Q122" i="17" s="1"/>
  <c r="W122" i="17" s="1"/>
  <c r="Y152" i="17"/>
  <c r="Q152" i="17" s="1"/>
  <c r="W152" i="17" s="1"/>
  <c r="Y182" i="17"/>
  <c r="Q182" i="17" s="1"/>
  <c r="W182" i="17" s="1"/>
  <c r="Y242" i="17"/>
  <c r="Q242" i="17" s="1"/>
  <c r="W242" i="17" s="1"/>
  <c r="Y272" i="17"/>
  <c r="Q272" i="17" s="1"/>
  <c r="W272" i="17" s="1"/>
  <c r="Y335" i="17"/>
  <c r="Q335" i="17" s="1"/>
  <c r="W335" i="17" s="1"/>
  <c r="Y336" i="17"/>
  <c r="Q336" i="17" s="1"/>
  <c r="W336" i="17" s="1"/>
  <c r="Y337" i="17"/>
  <c r="Q337" i="17" s="1"/>
  <c r="W337" i="17" s="1"/>
  <c r="Y3" i="17"/>
  <c r="Q3" i="17" s="1"/>
  <c r="W3" i="17" s="1"/>
  <c r="Y63" i="17"/>
  <c r="Q63" i="17" s="1"/>
  <c r="W63" i="17" s="1"/>
  <c r="Y153" i="17"/>
  <c r="Q153" i="17" s="1"/>
  <c r="W153" i="17" s="1"/>
  <c r="Y213" i="17"/>
  <c r="Q213" i="17" s="1"/>
  <c r="W213" i="17" s="1"/>
  <c r="Y273" i="17"/>
  <c r="Y303" i="17"/>
  <c r="Q303" i="17" s="1"/>
  <c r="W303" i="17" s="1"/>
  <c r="Y338" i="17"/>
  <c r="Q338" i="17" s="1"/>
  <c r="W338" i="17" s="1"/>
  <c r="Y341" i="17"/>
  <c r="Q341" i="17" s="1"/>
  <c r="W341" i="17" s="1"/>
  <c r="Y342" i="17"/>
  <c r="Q342" i="17" s="1"/>
  <c r="W342" i="17" s="1"/>
  <c r="Y4" i="17"/>
  <c r="Q4" i="17" s="1"/>
  <c r="W4" i="17" s="1"/>
  <c r="Y34" i="17"/>
  <c r="Q34" i="17" s="1"/>
  <c r="W34" i="17" s="1"/>
  <c r="Y64" i="17"/>
  <c r="Q64" i="17" s="1"/>
  <c r="W64" i="17" s="1"/>
  <c r="Y94" i="17"/>
  <c r="Q94" i="17" s="1"/>
  <c r="W94" i="17" s="1"/>
  <c r="Y154" i="17"/>
  <c r="Q154" i="17" s="1"/>
  <c r="W154" i="17" s="1"/>
  <c r="Y214" i="17"/>
  <c r="Q214" i="17" s="1"/>
  <c r="W214" i="17" s="1"/>
  <c r="Y244" i="17"/>
  <c r="Q244" i="17" s="1"/>
  <c r="W244" i="17" s="1"/>
  <c r="Y274" i="17"/>
  <c r="Q274" i="17" s="1"/>
  <c r="W274" i="17" s="1"/>
  <c r="Y304" i="17"/>
  <c r="Q304" i="17" s="1"/>
  <c r="W304" i="17" s="1"/>
  <c r="Y344" i="17"/>
  <c r="Q344" i="17" s="1"/>
  <c r="W344" i="17" s="1"/>
  <c r="Y345" i="17"/>
  <c r="Q345" i="17" s="1"/>
  <c r="W345" i="17" s="1"/>
  <c r="Y346" i="17"/>
  <c r="Q346" i="17" s="1"/>
  <c r="W346" i="17" s="1"/>
  <c r="Y347" i="17"/>
  <c r="Q347" i="17" s="1"/>
  <c r="W347" i="17" s="1"/>
  <c r="Y349" i="17"/>
  <c r="Q349" i="17" s="1"/>
  <c r="W349" i="17" s="1"/>
  <c r="Y5" i="17"/>
  <c r="Q5" i="17" s="1"/>
  <c r="W5" i="17" s="1"/>
  <c r="Y35" i="17"/>
  <c r="Q35" i="17" s="1"/>
  <c r="W35" i="17" s="1"/>
  <c r="Y125" i="17"/>
  <c r="Q125" i="17" s="1"/>
  <c r="W125" i="17" s="1"/>
  <c r="Y155" i="17"/>
  <c r="Q155" i="17" s="1"/>
  <c r="W155" i="17" s="1"/>
  <c r="Y245" i="17"/>
  <c r="Q245" i="17" s="1"/>
  <c r="W245" i="17" s="1"/>
  <c r="Y305" i="17"/>
  <c r="Q305" i="17" s="1"/>
  <c r="W305" i="17" s="1"/>
  <c r="Y350" i="17"/>
  <c r="Q350" i="17" s="1"/>
  <c r="W350" i="17" s="1"/>
  <c r="Y351" i="17"/>
  <c r="Q351" i="17" s="1"/>
  <c r="W351" i="17" s="1"/>
  <c r="Y352" i="17"/>
  <c r="Q352" i="17" s="1"/>
  <c r="W352" i="17" s="1"/>
  <c r="Y353" i="17"/>
  <c r="Q353" i="17" s="1"/>
  <c r="W353" i="17" s="1"/>
  <c r="Y6" i="17"/>
  <c r="Q6" i="17" s="1"/>
  <c r="W6" i="17" s="1"/>
  <c r="Y36" i="17"/>
  <c r="Q36" i="17" s="1"/>
  <c r="W36" i="17" s="1"/>
  <c r="Y66" i="17"/>
  <c r="Q66" i="17" s="1"/>
  <c r="W66" i="17" s="1"/>
  <c r="Y96" i="17"/>
  <c r="Q96" i="17" s="1"/>
  <c r="W96" i="17" s="1"/>
  <c r="Y126" i="17"/>
  <c r="Q126" i="17" s="1"/>
  <c r="W126" i="17" s="1"/>
  <c r="Y156" i="17"/>
  <c r="Q156" i="17" s="1"/>
  <c r="W156" i="17" s="1"/>
  <c r="Y186" i="17"/>
  <c r="Q186" i="17" s="1"/>
  <c r="W186" i="17" s="1"/>
  <c r="Y276" i="17"/>
  <c r="Q276" i="17" s="1"/>
  <c r="W276" i="17" s="1"/>
  <c r="Y306" i="17"/>
  <c r="Q306" i="17" s="1"/>
  <c r="W306" i="17" s="1"/>
  <c r="Y356" i="17"/>
  <c r="Q356" i="17" s="1"/>
  <c r="W356" i="17" s="1"/>
  <c r="Y357" i="17"/>
  <c r="Q357" i="17" s="1"/>
  <c r="W357" i="17" s="1"/>
  <c r="Y358" i="17"/>
  <c r="Q358" i="17" s="1"/>
  <c r="W358" i="17" s="1"/>
  <c r="Y359" i="17"/>
  <c r="Q359" i="17" s="1"/>
  <c r="W359" i="17" s="1"/>
  <c r="Y360" i="17"/>
  <c r="Y67" i="17"/>
  <c r="Q67" i="17" s="1"/>
  <c r="W67" i="17" s="1"/>
  <c r="Y97" i="17"/>
  <c r="Q97" i="17" s="1"/>
  <c r="W97" i="17" s="1"/>
  <c r="Y157" i="17"/>
  <c r="Q157" i="17" s="1"/>
  <c r="W157" i="17" s="1"/>
  <c r="Y187" i="17"/>
  <c r="Q187" i="17" s="1"/>
  <c r="W187" i="17" s="1"/>
  <c r="Y217" i="17"/>
  <c r="Q217" i="17" s="1"/>
  <c r="W217" i="17" s="1"/>
  <c r="Y307" i="17"/>
  <c r="Q307" i="17" s="1"/>
  <c r="W307" i="17" s="1"/>
  <c r="Y362" i="17"/>
  <c r="Q362" i="17" s="1"/>
  <c r="W362" i="17" s="1"/>
  <c r="Y363" i="17"/>
  <c r="Q363" i="17" s="1"/>
  <c r="W363" i="17" s="1"/>
  <c r="Y364" i="17"/>
  <c r="Q364" i="17" s="1"/>
  <c r="W364" i="17" s="1"/>
  <c r="Y365" i="17"/>
  <c r="Q365" i="17" s="1"/>
  <c r="W365" i="17" s="1"/>
  <c r="Y366" i="17"/>
  <c r="Q366" i="17" s="1"/>
  <c r="W366" i="17" s="1"/>
  <c r="Y367" i="17"/>
  <c r="Q367" i="17" s="1"/>
  <c r="W367" i="17" s="1"/>
  <c r="Y8" i="17"/>
  <c r="Q8" i="17" s="1"/>
  <c r="W8" i="17" s="1"/>
  <c r="Y38" i="17"/>
  <c r="Q38" i="17" s="1"/>
  <c r="W38" i="17" s="1"/>
  <c r="Y128" i="17"/>
  <c r="Q128" i="17" s="1"/>
  <c r="W128" i="17" s="1"/>
  <c r="Y158" i="17"/>
  <c r="Q158" i="17" s="1"/>
  <c r="W158" i="17" s="1"/>
  <c r="Y188" i="17"/>
  <c r="Q188" i="17" s="1"/>
  <c r="W188" i="17" s="1"/>
  <c r="Y218" i="17"/>
  <c r="Q218" i="17" s="1"/>
  <c r="W218" i="17" s="1"/>
  <c r="Y248" i="17"/>
  <c r="Q248" i="17" s="1"/>
  <c r="W248" i="17" s="1"/>
  <c r="Y278" i="17"/>
  <c r="Q278" i="17" s="1"/>
  <c r="W278" i="17" s="1"/>
  <c r="Y308" i="17"/>
  <c r="Q308" i="17" s="1"/>
  <c r="W308" i="17" s="1"/>
  <c r="Y369" i="17"/>
  <c r="Q369" i="17" s="1"/>
  <c r="W369" i="17" s="1"/>
  <c r="Y370" i="17"/>
  <c r="Q370" i="17" s="1"/>
  <c r="W370" i="17" s="1"/>
  <c r="Y371" i="17"/>
  <c r="Q371" i="17" s="1"/>
  <c r="W371" i="17" s="1"/>
  <c r="Y373" i="17"/>
  <c r="Q373" i="17" s="1"/>
  <c r="W373" i="17" s="1"/>
  <c r="Y9" i="17"/>
  <c r="Q9" i="17" s="1"/>
  <c r="W9" i="17" s="1"/>
  <c r="Y39" i="17"/>
  <c r="Q39" i="17" s="1"/>
  <c r="W39" i="17" s="1"/>
  <c r="Y69" i="17"/>
  <c r="Q69" i="17" s="1"/>
  <c r="W69" i="17" s="1"/>
  <c r="Y159" i="17"/>
  <c r="Q159" i="17" s="1"/>
  <c r="W159" i="17" s="1"/>
  <c r="Y249" i="17"/>
  <c r="Q249" i="17" s="1"/>
  <c r="W249" i="17" s="1"/>
  <c r="Y279" i="17"/>
  <c r="Q279" i="17" s="1"/>
  <c r="W279" i="17" s="1"/>
  <c r="Y309" i="17"/>
  <c r="Q309" i="17" s="1"/>
  <c r="W309" i="17" s="1"/>
  <c r="Y375" i="17"/>
  <c r="Q375" i="17" s="1"/>
  <c r="W375" i="17" s="1"/>
  <c r="Y376" i="17"/>
  <c r="Q376" i="17" s="1"/>
  <c r="W376" i="17" s="1"/>
  <c r="Y40" i="17"/>
  <c r="Q40" i="17" s="1"/>
  <c r="W40" i="17" s="1"/>
  <c r="Y70" i="17"/>
  <c r="Q70" i="17" s="1"/>
  <c r="W70" i="17" s="1"/>
  <c r="Y130" i="17"/>
  <c r="Q130" i="17" s="1"/>
  <c r="W130" i="17" s="1"/>
  <c r="Y220" i="17"/>
  <c r="Q220" i="17" s="1"/>
  <c r="W220" i="17" s="1"/>
  <c r="Y250" i="17"/>
  <c r="Q250" i="17" s="1"/>
  <c r="W250" i="17" s="1"/>
  <c r="Y280" i="17"/>
  <c r="Q280" i="17" s="1"/>
  <c r="W280" i="17" s="1"/>
  <c r="Y382" i="17"/>
  <c r="Q382" i="17" s="1"/>
  <c r="W382" i="17" s="1"/>
  <c r="Y383" i="17"/>
  <c r="Q383" i="17" s="1"/>
  <c r="W383" i="17" s="1"/>
  <c r="Y385" i="17"/>
  <c r="Q385" i="17" s="1"/>
  <c r="W385" i="17" s="1"/>
  <c r="Y71" i="17"/>
  <c r="Q71" i="17" s="1"/>
  <c r="W71" i="17" s="1"/>
  <c r="Y101" i="17"/>
  <c r="Q101" i="17" s="1"/>
  <c r="W101" i="17" s="1"/>
  <c r="Y251" i="17"/>
  <c r="Q251" i="17" s="1"/>
  <c r="W251" i="17" s="1"/>
  <c r="Y281" i="17"/>
  <c r="Q281" i="17" s="1"/>
  <c r="W281" i="17" s="1"/>
  <c r="Y386" i="17"/>
  <c r="Q386" i="17" s="1"/>
  <c r="W386" i="17" s="1"/>
  <c r="Y389" i="17"/>
  <c r="Q389" i="17" s="1"/>
  <c r="W389" i="17" s="1"/>
  <c r="Y390" i="17"/>
  <c r="Y132" i="17"/>
  <c r="Q132" i="17" s="1"/>
  <c r="W132" i="17" s="1"/>
  <c r="Y192" i="17"/>
  <c r="Q192" i="17" s="1"/>
  <c r="W192" i="17" s="1"/>
  <c r="Y282" i="17"/>
  <c r="Q282" i="17" s="1"/>
  <c r="W282" i="17" s="1"/>
  <c r="Y312" i="17"/>
  <c r="Q312" i="17" s="1"/>
  <c r="W312" i="17" s="1"/>
  <c r="Y396" i="17"/>
  <c r="Q396" i="17" s="1"/>
  <c r="W396" i="17" s="1"/>
  <c r="Y397" i="17"/>
  <c r="Q397" i="17" s="1"/>
  <c r="W397" i="17" s="1"/>
  <c r="Y43" i="17"/>
  <c r="Q43" i="17" s="1"/>
  <c r="W43" i="17" s="1"/>
  <c r="Y133" i="17"/>
  <c r="Q133" i="17" s="1"/>
  <c r="W133" i="17" s="1"/>
  <c r="Y163" i="17"/>
  <c r="Q163" i="17" s="1"/>
  <c r="W163" i="17" s="1"/>
  <c r="Y313" i="17"/>
  <c r="Y398" i="17"/>
  <c r="Q398" i="17" s="1"/>
  <c r="W398" i="17" s="1"/>
  <c r="Y400" i="17"/>
  <c r="Q400" i="17" s="1"/>
  <c r="W400" i="17" s="1"/>
  <c r="Y403" i="17"/>
  <c r="Q403" i="17" s="1"/>
  <c r="W403" i="17" s="1"/>
  <c r="Y14" i="17"/>
  <c r="Q14" i="17" s="1"/>
  <c r="W14" i="17" s="1"/>
  <c r="Y164" i="17"/>
  <c r="Q164" i="17" s="1"/>
  <c r="W164" i="17" s="1"/>
  <c r="Y194" i="17"/>
  <c r="Q194" i="17" s="1"/>
  <c r="W194" i="17" s="1"/>
  <c r="Y254" i="17"/>
  <c r="Q254" i="17" s="1"/>
  <c r="W254" i="17" s="1"/>
  <c r="Y405" i="17"/>
  <c r="Q405" i="17" s="1"/>
  <c r="W405" i="17" s="1"/>
  <c r="Y15" i="17"/>
  <c r="Q15" i="17" s="1"/>
  <c r="W15" i="17" s="1"/>
  <c r="Y45" i="17"/>
  <c r="Q45" i="17" s="1"/>
  <c r="W45" i="17" s="1"/>
  <c r="Y105" i="17"/>
  <c r="Q105" i="17" s="1"/>
  <c r="W105" i="17" s="1"/>
  <c r="Y225" i="17"/>
  <c r="Q225" i="17" s="1"/>
  <c r="W225" i="17" s="1"/>
  <c r="Y412" i="17"/>
  <c r="Q412" i="17" s="1"/>
  <c r="W412" i="17" s="1"/>
  <c r="Y414" i="17"/>
  <c r="Q414" i="17" s="1"/>
  <c r="W414" i="17" s="1"/>
  <c r="Y76" i="17"/>
  <c r="Q76" i="17" s="1"/>
  <c r="W76" i="17" s="1"/>
  <c r="Y256" i="17"/>
  <c r="Q256" i="17" s="1"/>
  <c r="W256" i="17" s="1"/>
  <c r="Y316" i="17"/>
  <c r="Q316" i="17" s="1"/>
  <c r="W316" i="17" s="1"/>
  <c r="Y419" i="17"/>
  <c r="Q419" i="17" s="1"/>
  <c r="W419" i="17" s="1"/>
  <c r="Y107" i="17"/>
  <c r="Q107" i="17" s="1"/>
  <c r="W107" i="17" s="1"/>
  <c r="Y167" i="17"/>
  <c r="Q167" i="17" s="1"/>
  <c r="W167" i="17" s="1"/>
  <c r="Y287" i="17"/>
  <c r="Q287" i="17" s="1"/>
  <c r="W287" i="17" s="1"/>
  <c r="Y426" i="17"/>
  <c r="Q426" i="17" s="1"/>
  <c r="W426" i="17" s="1"/>
  <c r="Y18" i="17"/>
  <c r="Q18" i="17" s="1"/>
  <c r="W18" i="17" s="1"/>
  <c r="Y138" i="17"/>
  <c r="Q138" i="17" s="1"/>
  <c r="W138" i="17" s="1"/>
  <c r="Y318" i="17"/>
  <c r="Q318" i="17" s="1"/>
  <c r="W318" i="17" s="1"/>
  <c r="Y429" i="17"/>
  <c r="Q429" i="17" s="1"/>
  <c r="W429" i="17" s="1"/>
  <c r="Y433" i="17"/>
  <c r="Q433" i="17" s="1"/>
  <c r="W433" i="17" s="1"/>
  <c r="Y169" i="17"/>
  <c r="Q169" i="17" s="1"/>
  <c r="W169" i="17" s="1"/>
  <c r="Y229" i="17"/>
  <c r="Q229" i="17" s="1"/>
  <c r="W229" i="17" s="1"/>
  <c r="Y289" i="17"/>
  <c r="Q289" i="17" s="1"/>
  <c r="W289" i="17" s="1"/>
  <c r="Y434" i="17"/>
  <c r="Q434" i="17" s="1"/>
  <c r="W434" i="17" s="1"/>
  <c r="Y20" i="17"/>
  <c r="Q20" i="17" s="1"/>
  <c r="W20" i="17" s="1"/>
  <c r="Y80" i="17"/>
  <c r="Q80" i="17" s="1"/>
  <c r="W80" i="17" s="1"/>
  <c r="Y200" i="17"/>
  <c r="Q200" i="17" s="1"/>
  <c r="W200" i="17" s="1"/>
  <c r="Y441" i="17"/>
  <c r="Q441" i="17" s="1"/>
  <c r="W441" i="17" s="1"/>
  <c r="Y443" i="17"/>
  <c r="Q443" i="17" s="1"/>
  <c r="W443" i="17" s="1"/>
  <c r="Y445" i="17"/>
  <c r="Q445" i="17" s="1"/>
  <c r="W445" i="17" s="1"/>
  <c r="Y51" i="17"/>
  <c r="Y231" i="17"/>
  <c r="Q231" i="17" s="1"/>
  <c r="W231" i="17" s="1"/>
  <c r="Y446" i="17"/>
  <c r="Q446" i="17" s="1"/>
  <c r="W446" i="17" s="1"/>
  <c r="Y448" i="17"/>
  <c r="Q448" i="17" s="1"/>
  <c r="W448" i="17" s="1"/>
  <c r="Y82" i="17"/>
  <c r="Q82" i="17" s="1"/>
  <c r="W82" i="17" s="1"/>
  <c r="Y262" i="17"/>
  <c r="Q262" i="17" s="1"/>
  <c r="W262" i="17" s="1"/>
  <c r="Y455" i="17"/>
  <c r="Q455" i="17" s="1"/>
  <c r="W455" i="17" s="1"/>
  <c r="Y53" i="17"/>
  <c r="Q53" i="17" s="1"/>
  <c r="W53" i="17" s="1"/>
  <c r="Y113" i="17"/>
  <c r="Q113" i="17" s="1"/>
  <c r="W113" i="17" s="1"/>
  <c r="Y293" i="17"/>
  <c r="Q293" i="17" s="1"/>
  <c r="W293" i="17" s="1"/>
  <c r="Y460" i="17"/>
  <c r="Q460" i="17" s="1"/>
  <c r="W460" i="17" s="1"/>
  <c r="Y462" i="17"/>
  <c r="Q462" i="17" s="1"/>
  <c r="W462" i="17" s="1"/>
  <c r="Y144" i="17"/>
  <c r="Q144" i="17" s="1"/>
  <c r="W144" i="17" s="1"/>
  <c r="Y324" i="17"/>
  <c r="Q324" i="17" s="1"/>
  <c r="W324" i="17" s="1"/>
  <c r="Y469" i="17"/>
  <c r="Q469" i="17" s="1"/>
  <c r="W469" i="17" s="1"/>
  <c r="Y115" i="17"/>
  <c r="Q115" i="17" s="1"/>
  <c r="W115" i="17" s="1"/>
  <c r="Y175" i="17"/>
  <c r="Q175" i="17" s="1"/>
  <c r="W175" i="17" s="1"/>
  <c r="Y470" i="17"/>
  <c r="Q470" i="17" s="1"/>
  <c r="W470" i="17" s="1"/>
  <c r="Y474" i="17"/>
  <c r="Q474" i="17" s="1"/>
  <c r="W474" i="17" s="1"/>
  <c r="Y26" i="17"/>
  <c r="Q26" i="17" s="1"/>
  <c r="W26" i="17" s="1"/>
  <c r="Y206" i="17"/>
  <c r="Q206" i="17" s="1"/>
  <c r="W206" i="17" s="1"/>
  <c r="Y477" i="17"/>
  <c r="Q477" i="17" s="1"/>
  <c r="W477" i="17" s="1"/>
  <c r="Y57" i="17"/>
  <c r="Q57" i="17" s="1"/>
  <c r="W57" i="17" s="1"/>
  <c r="Y177" i="17"/>
  <c r="Q177" i="17" s="1"/>
  <c r="W177" i="17" s="1"/>
  <c r="Y237" i="17"/>
  <c r="Q237" i="17" s="1"/>
  <c r="W237" i="17" s="1"/>
  <c r="Y484" i="17"/>
  <c r="Q484" i="17" s="1"/>
  <c r="W484" i="17" s="1"/>
  <c r="Y28" i="17"/>
  <c r="Q28" i="17" s="1"/>
  <c r="W28" i="17" s="1"/>
  <c r="Y88" i="17"/>
  <c r="Q88" i="17" s="1"/>
  <c r="W88" i="17" s="1"/>
  <c r="Y268" i="17"/>
  <c r="Q268" i="17" s="1"/>
  <c r="W268" i="17" s="1"/>
  <c r="Y491" i="17"/>
  <c r="Q491" i="17" s="1"/>
  <c r="W491" i="17" s="1"/>
  <c r="Y119" i="17"/>
  <c r="Q119" i="17" s="1"/>
  <c r="W119" i="17" s="1"/>
  <c r="Y239" i="17"/>
  <c r="Q239" i="17" s="1"/>
  <c r="W239" i="17" s="1"/>
  <c r="Y299" i="17"/>
  <c r="Q299" i="17" s="1"/>
  <c r="W299" i="17" s="1"/>
  <c r="Y498" i="17"/>
  <c r="Q498" i="17" s="1"/>
  <c r="W498" i="17" s="1"/>
  <c r="Y90" i="17"/>
  <c r="Q90" i="17" s="1"/>
  <c r="W90" i="17" s="1"/>
  <c r="Y505" i="17"/>
  <c r="Q505" i="17" s="1"/>
  <c r="W505" i="17" s="1"/>
  <c r="Y301" i="17"/>
  <c r="Q301" i="17" s="1"/>
  <c r="W301" i="17" s="1"/>
  <c r="Y506" i="17"/>
  <c r="Q506" i="17" s="1"/>
  <c r="W506" i="17" s="1"/>
  <c r="G2" i="16"/>
  <c r="N681" i="20" l="1"/>
  <c r="K7" i="20" a="1"/>
  <c r="K7" i="20" s="1"/>
  <c r="N361" i="20"/>
  <c r="N18" i="20"/>
  <c r="K6" i="20" a="1"/>
  <c r="K6" i="20" s="1"/>
  <c r="K15" i="20" a="1"/>
  <c r="K15" i="20" s="1"/>
  <c r="K5" i="20" a="1"/>
  <c r="K5" i="20" s="1"/>
  <c r="K4" i="20" a="1"/>
  <c r="K4" i="20" s="1"/>
  <c r="K22" i="20" a="1"/>
  <c r="K22" i="20" s="1"/>
  <c r="K12" i="20" a="1"/>
  <c r="K12" i="20" s="1"/>
  <c r="N51" i="20"/>
  <c r="K3" i="20" a="1"/>
  <c r="K3" i="20" s="1"/>
  <c r="N373" i="20"/>
  <c r="N120" i="20"/>
  <c r="K10" i="20" a="1"/>
  <c r="K10" i="20" s="1"/>
  <c r="K2" i="20" a="1"/>
  <c r="K2" i="20" s="1"/>
  <c r="K8" i="20" a="1"/>
  <c r="K8" i="20" s="1"/>
  <c r="R1156" i="18"/>
  <c r="U1156" i="18" s="1"/>
  <c r="R1129" i="18"/>
  <c r="U1129" i="18" s="1"/>
  <c r="R1154" i="18"/>
  <c r="U1154" i="18" s="1"/>
  <c r="R1160" i="18"/>
  <c r="U1160" i="18" s="1"/>
  <c r="R1149" i="18"/>
  <c r="U1149" i="18" s="1"/>
  <c r="R1142" i="18"/>
  <c r="U1142" i="18" s="1"/>
  <c r="R1117" i="18"/>
  <c r="U1117" i="18" s="1"/>
  <c r="R1021" i="18"/>
  <c r="U1021" i="18" s="1"/>
  <c r="R995" i="18"/>
  <c r="U995" i="18" s="1"/>
  <c r="R1121" i="18"/>
  <c r="U1121" i="18" s="1"/>
  <c r="R1069" i="18"/>
  <c r="U1069" i="18" s="1"/>
  <c r="R1008" i="18"/>
  <c r="U1008" i="18" s="1"/>
  <c r="Q313" i="17"/>
  <c r="W313" i="17" s="1"/>
  <c r="N122" i="17" a="1"/>
  <c r="N122" i="17" s="1"/>
  <c r="N218" i="17" a="1"/>
  <c r="N218" i="17" s="1"/>
  <c r="N366" i="17" a="1"/>
  <c r="N366" i="17" s="1"/>
  <c r="N276" i="17" a="1"/>
  <c r="N276" i="17" s="1"/>
  <c r="N354" i="17" a="1"/>
  <c r="N354" i="17" s="1"/>
  <c r="N125" i="17" a="1"/>
  <c r="N125" i="17" s="1"/>
  <c r="N274" i="17" a="1"/>
  <c r="N274" i="17" s="1"/>
  <c r="N341" i="17" a="1"/>
  <c r="N341" i="17" s="1"/>
  <c r="N93" i="17" a="1"/>
  <c r="N93" i="17" s="1"/>
  <c r="N242" i="17" a="1"/>
  <c r="N242" i="17" s="1"/>
  <c r="Q497" i="17"/>
  <c r="W497" i="17" s="1"/>
  <c r="Q325" i="17"/>
  <c r="W325" i="17" s="1"/>
  <c r="Q468" i="17"/>
  <c r="W468" i="17" s="1"/>
  <c r="Q263" i="17"/>
  <c r="W263" i="17" s="1"/>
  <c r="Q440" i="17"/>
  <c r="W440" i="17" s="1"/>
  <c r="Q439" i="17"/>
  <c r="W439" i="17" s="1"/>
  <c r="Q139" i="17"/>
  <c r="W139" i="17" s="1"/>
  <c r="Q361" i="17"/>
  <c r="W361" i="17" s="1"/>
  <c r="Q65" i="17"/>
  <c r="W65" i="17" s="1"/>
  <c r="Q343" i="17"/>
  <c r="W343" i="17" s="1"/>
  <c r="N365" i="17" a="1"/>
  <c r="N365" i="17" s="1"/>
  <c r="N97" i="17" a="1"/>
  <c r="N97" i="17" s="1"/>
  <c r="N246" i="17" a="1"/>
  <c r="N246" i="17" s="1"/>
  <c r="N353" i="17" a="1"/>
  <c r="N353" i="17" s="1"/>
  <c r="N95" i="17" a="1"/>
  <c r="N95" i="17" s="1"/>
  <c r="N244" i="17" a="1"/>
  <c r="N244" i="17" s="1"/>
  <c r="N340" i="17" a="1"/>
  <c r="N340" i="17" s="1"/>
  <c r="N63" i="17" a="1"/>
  <c r="N63" i="17" s="1"/>
  <c r="N212" i="17" a="1"/>
  <c r="N212" i="17" s="1"/>
  <c r="Q59" i="17"/>
  <c r="W59" i="17" s="1"/>
  <c r="Q208" i="17"/>
  <c r="W208" i="17" s="1"/>
  <c r="Q438" i="17"/>
  <c r="W438" i="17" s="1"/>
  <c r="N364" i="17" a="1"/>
  <c r="N364" i="17" s="1"/>
  <c r="N67" i="17" a="1"/>
  <c r="N67" i="17" s="1"/>
  <c r="N216" i="17" a="1"/>
  <c r="N216" i="17" s="1"/>
  <c r="N352" i="17" a="1"/>
  <c r="N352" i="17" s="1"/>
  <c r="N65" i="17" a="1"/>
  <c r="N65" i="17" s="1"/>
  <c r="N214" i="17" a="1"/>
  <c r="N214" i="17" s="1"/>
  <c r="N339" i="17" a="1"/>
  <c r="N339" i="17" s="1"/>
  <c r="N33" i="17" a="1"/>
  <c r="N33" i="17" s="1"/>
  <c r="N182" i="17" a="1"/>
  <c r="N182" i="17" s="1"/>
  <c r="Q290" i="17"/>
  <c r="W290" i="17" s="1"/>
  <c r="Q315" i="17"/>
  <c r="W315" i="17" s="1"/>
  <c r="Q408" i="17"/>
  <c r="W408" i="17" s="1"/>
  <c r="Q253" i="17"/>
  <c r="W253" i="17" s="1"/>
  <c r="Q191" i="17"/>
  <c r="W191" i="17" s="1"/>
  <c r="Q189" i="17"/>
  <c r="W189" i="17" s="1"/>
  <c r="Y247" i="17"/>
  <c r="Q247" i="17" s="1"/>
  <c r="W247" i="17" s="1"/>
  <c r="N363" i="17" a="1"/>
  <c r="N363" i="17" s="1"/>
  <c r="N37" i="17" a="1"/>
  <c r="N37" i="17" s="1"/>
  <c r="N186" i="17" a="1"/>
  <c r="N186" i="17" s="1"/>
  <c r="N351" i="17" a="1"/>
  <c r="N351" i="17" s="1"/>
  <c r="N35" i="17" a="1"/>
  <c r="N35" i="17" s="1"/>
  <c r="N184" i="17" a="1"/>
  <c r="N184" i="17" s="1"/>
  <c r="N338" i="17" a="1"/>
  <c r="N338" i="17" s="1"/>
  <c r="N3" i="17" a="1"/>
  <c r="N3" i="17" s="1"/>
  <c r="N152" i="17" a="1"/>
  <c r="N152" i="17" s="1"/>
  <c r="N362" i="17" a="1"/>
  <c r="N362" i="17" s="1"/>
  <c r="N7" i="17" a="1"/>
  <c r="N7" i="17" s="1"/>
  <c r="N156" i="17" a="1"/>
  <c r="N156" i="17" s="1"/>
  <c r="N350" i="17" a="1"/>
  <c r="N350" i="17" s="1"/>
  <c r="N5" i="17" a="1"/>
  <c r="N5" i="17" s="1"/>
  <c r="N154" i="17" a="1"/>
  <c r="N154" i="17" s="1"/>
  <c r="N303" i="17" a="1"/>
  <c r="N303" i="17" s="1"/>
  <c r="N337" i="17" a="1"/>
  <c r="N337" i="17" s="1"/>
  <c r="N92" i="17" a="1"/>
  <c r="N92" i="17" s="1"/>
  <c r="N307" i="17" a="1"/>
  <c r="N307" i="17" s="1"/>
  <c r="N361" i="17" a="1"/>
  <c r="N361" i="17" s="1"/>
  <c r="N126" i="17" a="1"/>
  <c r="N126" i="17" s="1"/>
  <c r="N305" i="17" a="1"/>
  <c r="N305" i="17" s="1"/>
  <c r="N349" i="17" a="1"/>
  <c r="N349" i="17" s="1"/>
  <c r="N124" i="17" a="1"/>
  <c r="N124" i="17" s="1"/>
  <c r="N273" i="17" a="1"/>
  <c r="N273" i="17" s="1"/>
  <c r="N336" i="17" a="1"/>
  <c r="N336" i="17" s="1"/>
  <c r="N62" i="17" a="1"/>
  <c r="N62" i="17" s="1"/>
  <c r="Q51" i="17"/>
  <c r="W51" i="17" s="1"/>
  <c r="Q390" i="17"/>
  <c r="W390" i="17" s="1"/>
  <c r="Q99" i="17"/>
  <c r="W99" i="17" s="1"/>
  <c r="Q348" i="17"/>
  <c r="W348" i="17" s="1"/>
  <c r="N380" i="17" a="1"/>
  <c r="N380" i="17" s="1"/>
  <c r="N249" i="17" a="1"/>
  <c r="N249" i="17" s="1"/>
  <c r="N370" i="17" a="1"/>
  <c r="N370" i="17" s="1"/>
  <c r="N277" i="17" a="1"/>
  <c r="N277" i="17" s="1"/>
  <c r="N275" i="17" a="1"/>
  <c r="N275" i="17" s="1"/>
  <c r="N348" i="17" a="1"/>
  <c r="N348" i="17" s="1"/>
  <c r="N94" i="17" a="1"/>
  <c r="N94" i="17" s="1"/>
  <c r="N335" i="17" a="1"/>
  <c r="N335" i="17" s="1"/>
  <c r="N32" i="17" a="1"/>
  <c r="N32" i="17" s="1"/>
  <c r="N369" i="17" a="1"/>
  <c r="N369" i="17" s="1"/>
  <c r="N68" i="17" a="1"/>
  <c r="N68" i="17" s="1"/>
  <c r="N247" i="17" a="1"/>
  <c r="N247" i="17" s="1"/>
  <c r="N359" i="17" a="1"/>
  <c r="N359" i="17" s="1"/>
  <c r="N66" i="17" a="1"/>
  <c r="N66" i="17" s="1"/>
  <c r="N347" i="17" a="1"/>
  <c r="N347" i="17" s="1"/>
  <c r="N64" i="17" a="1"/>
  <c r="N64" i="17" s="1"/>
  <c r="N243" i="17" a="1"/>
  <c r="N243" i="17" s="1"/>
  <c r="N334" i="17" a="1"/>
  <c r="N334" i="17" s="1"/>
  <c r="Y503" i="17"/>
  <c r="Q503" i="17" s="1"/>
  <c r="W503" i="17" s="1"/>
  <c r="Y185" i="17"/>
  <c r="Q185" i="17" s="1"/>
  <c r="W185" i="17" s="1"/>
  <c r="N189" i="17" a="1"/>
  <c r="N189" i="17" s="1"/>
  <c r="N368" i="17" a="1"/>
  <c r="N368" i="17" s="1"/>
  <c r="N38" i="17" a="1"/>
  <c r="N38" i="17" s="1"/>
  <c r="N217" i="17" a="1"/>
  <c r="N217" i="17" s="1"/>
  <c r="N358" i="17" a="1"/>
  <c r="N358" i="17" s="1"/>
  <c r="N36" i="17" a="1"/>
  <c r="N36" i="17" s="1"/>
  <c r="N215" i="17" a="1"/>
  <c r="N215" i="17" s="1"/>
  <c r="N213" i="17" a="1"/>
  <c r="N213" i="17" s="1"/>
  <c r="N333" i="17" a="1"/>
  <c r="N333" i="17" s="1"/>
  <c r="Q360" i="17"/>
  <c r="W360" i="17" s="1"/>
  <c r="Q273" i="17"/>
  <c r="W273" i="17" s="1"/>
  <c r="Y502" i="17"/>
  <c r="Q502" i="17" s="1"/>
  <c r="W502" i="17" s="1"/>
  <c r="Y60" i="17"/>
  <c r="Q60" i="17" s="1"/>
  <c r="W60" i="17" s="1"/>
  <c r="Q488" i="17"/>
  <c r="W488" i="17" s="1"/>
  <c r="Q296" i="17"/>
  <c r="W296" i="17" s="1"/>
  <c r="Y473" i="17"/>
  <c r="Q473" i="17" s="1"/>
  <c r="W473" i="17" s="1"/>
  <c r="Y85" i="17"/>
  <c r="Q85" i="17" s="1"/>
  <c r="W85" i="17" s="1"/>
  <c r="Q234" i="17"/>
  <c r="W234" i="17" s="1"/>
  <c r="Q172" i="17"/>
  <c r="W172" i="17" s="1"/>
  <c r="Q430" i="17"/>
  <c r="W430" i="17" s="1"/>
  <c r="Q197" i="17"/>
  <c r="W197" i="17" s="1"/>
  <c r="Q355" i="17"/>
  <c r="W355" i="17" s="1"/>
  <c r="Q243" i="17"/>
  <c r="W243" i="17" s="1"/>
  <c r="Y92" i="17"/>
  <c r="Q92" i="17" s="1"/>
  <c r="W92" i="17" s="1"/>
  <c r="N378" i="17" a="1"/>
  <c r="N378" i="17" s="1"/>
  <c r="N159" i="17" a="1"/>
  <c r="N159" i="17" s="1"/>
  <c r="N308" i="17" a="1"/>
  <c r="N308" i="17" s="1"/>
  <c r="N8" i="17" a="1"/>
  <c r="N8" i="17" s="1"/>
  <c r="N187" i="17" a="1"/>
  <c r="N187" i="17" s="1"/>
  <c r="N357" i="17" a="1"/>
  <c r="N357" i="17" s="1"/>
  <c r="N185" i="17" a="1"/>
  <c r="N185" i="17" s="1"/>
  <c r="N345" i="17" a="1"/>
  <c r="N345" i="17" s="1"/>
  <c r="N4" i="17" a="1"/>
  <c r="N4" i="17" s="1"/>
  <c r="Q472" i="17"/>
  <c r="W472" i="17" s="1"/>
  <c r="N157" i="17" a="1"/>
  <c r="N157" i="17" s="1"/>
  <c r="N356" i="17" a="1"/>
  <c r="N356" i="17" s="1"/>
  <c r="N6" i="17" a="1"/>
  <c r="N6" i="17" s="1"/>
  <c r="N155" i="17" a="1"/>
  <c r="N155" i="17" s="1"/>
  <c r="N344" i="17" a="1"/>
  <c r="N344" i="17" s="1"/>
  <c r="N343" i="17" a="1"/>
  <c r="N343" i="17" s="1"/>
  <c r="N153" i="17" a="1"/>
  <c r="N153" i="17" s="1"/>
  <c r="N2" i="17" a="1"/>
  <c r="N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adrub\desktop\ruben\uma\optativas\modelado y simulación de sistemas\modelado mio\arena\pruebas\museo\museo2-ahoraespersonal\museo2e2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adrub\desktop\ruben\uma\optativas\modelado y simulación de sistemas\modelado mio\arena\pruebas\museo\museo2-ahoraespersonal\museo2e2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adrub\desktop\ruben\uma\optativas\modelado y simulación de sistemas\modelado mio\arena\pruebas\museo\museo2-ahoraespersonal\museo2e2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adrub\desktop\ruben\uma\optativas\modelado y simulación de sistemas\modelado mio\arena\pruebas\museo\museo2-ahoraespersonal\museo2e2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adrub\desktop\ruben\uma\optativas\modelado y simulación de sistemas\modelado mio\arena\pruebas\museo\museo2-ahoraespersonal\museo2e2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adrub\desktop\ruben\uma\optativas\modelado y simulación de sistemas\modelado mio\arena\pruebas\museo\museo2-ahoraespersonal\museo2e2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<sst xmlns="http://schemas.openxmlformats.org/spreadsheetml/2006/main" count="12229" uniqueCount="137">
  <si>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</si>
  <si>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</si>
  <si>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</si>
  <si>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</si>
  <si>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</si>
  <si>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</si>
  <si>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</si>
  <si>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</si>
  <si>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</si>
  <si>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</si>
  <si>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</si>
  <si>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</si>
  <si>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</si>
  <si>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</si>
  <si>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</si>
  <si>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</si>
  <si>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</si>
  <si>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</si>
  <si>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</si>
  <si>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</si>
  <si>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</si>
  <si>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</si>
  <si>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</si>
  <si>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</si>
  <si>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</si>
  <si>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</si>
  <si>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</si>
  <si>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</si>
  <si>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</si>
  <si>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</si>
  <si>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</si>
  <si>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</si>
  <si>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</si>
  <si>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</si>
  <si>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</si>
  <si>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</si>
  <si>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</si>
  <si>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</si>
  <si>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</si>
  <si>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</si>
  <si>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</si>
  <si>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</si>
  <si>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</si>
  <si>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</si>
  <si>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</si>
  <si>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</si>
  <si>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</si>
  <si>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</si>
  <si>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</si>
  <si>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</si>
  <si>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</si>
  <si>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</si>
  <si>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</si>
  <si>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</si>
  <si>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</si>
  <si>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</si>
  <si>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</si>
  <si>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</si>
  <si>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</si>
  <si>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</si>
  <si>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</si>
  <si>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</si>
  <si>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</si>
  <si>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</si>
  <si>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</si>
  <si>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</si>
  <si>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</si>
  <si>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C:\Users\adrub\Desktop\Ruben\UMA\Optativas\Modelado y Simulación de Sistemas\Modelado mio\Arena\Pruebas\museo\MUSEO2-AHORAESPERSONAL\MUSEO2e2.p</t>
  </si>
  <si>
    <t>2023-05-22 19:49:23</t>
  </si>
  <si>
    <t>LeaveTornoEntrada.Queue</t>
  </si>
  <si>
    <t>Waiting Time</t>
  </si>
  <si>
    <t>Queue</t>
  </si>
  <si>
    <t>LeaveTornoSalida.Queue</t>
  </si>
  <si>
    <t>Mostrador.Queue</t>
  </si>
  <si>
    <t>PArte.Queue</t>
  </si>
  <si>
    <t>PAstro.Queue</t>
  </si>
  <si>
    <t>PFisica.Queue</t>
  </si>
  <si>
    <t>PHall.Queue</t>
  </si>
  <si>
    <t>PHistoria.Queue</t>
  </si>
  <si>
    <t>Tally Ciclo1</t>
  </si>
  <si>
    <t>None</t>
  </si>
  <si>
    <t>User Specified</t>
  </si>
  <si>
    <t>Tally Ciclo2</t>
  </si>
  <si>
    <t>Tally Ciclo3</t>
  </si>
  <si>
    <t>Visitantes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</si>
  <si>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</si>
  <si>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</si>
  <si>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</si>
  <si>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</si>
  <si>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</si>
  <si>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</si>
  <si>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</si>
  <si>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</si>
  <si>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RArte</t>
  </si>
  <si>
    <t>Instantaneous Utilization</t>
  </si>
  <si>
    <t>Resource</t>
  </si>
  <si>
    <t>Number Busy</t>
  </si>
  <si>
    <t>Number Scheduled</t>
  </si>
  <si>
    <t>RAstro</t>
  </si>
  <si>
    <t>RFisica</t>
  </si>
  <si>
    <t>RHall</t>
  </si>
  <si>
    <t>RHistoria</t>
  </si>
  <si>
    <t>TornoEntrada</t>
  </si>
  <si>
    <t>WIP</t>
  </si>
  <si>
    <t>cajero</t>
  </si>
  <si>
    <t>ticketsa</t>
  </si>
  <si>
    <t>ticketsb</t>
  </si>
  <si>
    <t>ticketsc</t>
  </si>
  <si>
    <t>RArte.NumberSeized</t>
  </si>
  <si>
    <t>Total Number Seized</t>
  </si>
  <si>
    <t>RArte.ScheduledUtilization</t>
  </si>
  <si>
    <t>Scheduled Utilization</t>
  </si>
  <si>
    <t>RAstro.NumberSeized</t>
  </si>
  <si>
    <t>RAstro.ScheduledUtilization</t>
  </si>
  <si>
    <t>RFisica.NumberSeized</t>
  </si>
  <si>
    <t>RFisica.ScheduledUtilization</t>
  </si>
  <si>
    <t>RHall.NumberSeized</t>
  </si>
  <si>
    <t>RHall.ScheduledUtilization</t>
  </si>
  <si>
    <t>RHistoria.NumberSeized</t>
  </si>
  <si>
    <t>RHistoria.ScheduledUtilization</t>
  </si>
  <si>
    <t>System.NumberOut</t>
  </si>
  <si>
    <t>Number Out</t>
  </si>
  <si>
    <t>System</t>
  </si>
  <si>
    <t>TornoEntrada.NumberSeized</t>
  </si>
  <si>
    <t>TornoEntrada.ScheduledUtilization</t>
  </si>
  <si>
    <t>Visitantes.NumberIn</t>
  </si>
  <si>
    <t>Number In</t>
  </si>
  <si>
    <t>Visitantes.NumberOut</t>
  </si>
  <si>
    <t>cajero.NumberSeized</t>
  </si>
  <si>
    <t>cajero.ScheduledUtilization</t>
  </si>
  <si>
    <t>ticketsa.NumberSeized</t>
  </si>
  <si>
    <t>ticketsa.ScheduledUtilization</t>
  </si>
  <si>
    <t>ticketsb.NumberSeized</t>
  </si>
  <si>
    <t>ticketsb.ScheduledUtilization</t>
  </si>
  <si>
    <t>ticketsc.NumberSeized</t>
  </si>
  <si>
    <t>ticketsc.ScheduledUtilization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</si>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</sst>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68.826224537035" createdVersion="7" refreshedVersion="8" minRefreshableVersion="3" recordCount="117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43">
        <s v="LeaveTornoEntrada.Queue"/>
        <s v="LeaveTornoSalida.Queue"/>
        <s v="Mostrador.Queue"/>
        <s v="PArte.Queue"/>
        <s v="PAstro.Queue"/>
        <s v="PFisica.Queue"/>
        <s v="PHall.Queue"/>
        <s v="PHistoria.Queue"/>
        <s v="RArte"/>
        <s v="RAstro"/>
        <s v="RFisica"/>
        <s v="RHall"/>
        <s v="RHistoria"/>
        <s v="TornoEntrada"/>
        <s v="Visitantes"/>
        <s v="cajero"/>
        <s v="ticketsa"/>
        <s v="ticketsb"/>
        <s v="ticketsc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Instantaneous Utilization"/>
        <s v="Number Busy"/>
        <s v="Number Scheduled"/>
        <s v="WIP"/>
        <m u="1"/>
        <s v="Levels" u="1"/>
      </sharedItems>
    </cacheField>
    <cacheField name="Source" numFmtId="0">
      <sharedItems containsBlank="1" count="5">
        <s v="Queue"/>
        <s v="Resource"/>
        <s v="Entity"/>
        <m u="1"/>
        <s v="User Specified" u="1"/>
      </sharedItems>
    </cacheField>
    <cacheField name="Average" numFmtId="0">
      <sharedItems containsSemiMixedTypes="0" containsString="0" containsNumber="1" minValue="0" maxValue="84.5949519967084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50"/>
    </cacheField>
    <cacheField name="Maximum" numFmtId="0">
      <sharedItems containsSemiMixedTypes="0" containsString="0" containsNumber="1" minValue="0" maxValue="126"/>
    </cacheField>
    <cacheField name="LastRecordedValue" numFmtId="0">
      <sharedItems containsSemiMixedTypes="0" containsString="0" containsNumber="1" minValue="0" maxValue="1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52.654075020020599"/>
    </cacheField>
    <cacheField name="StDevOfAverage" numFmtId="0">
      <sharedItems containsSemiMixedTypes="0" containsString="0" containsNumber="1" minValue="0" maxValue="10.81528384024214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0384933567271259"/>
    </cacheField>
    <cacheField name="MinimumAverage" numFmtId="0">
      <sharedItems containsSemiMixedTypes="0" containsString="0" containsNumber="1" minValue="0" maxValue="50"/>
    </cacheField>
    <cacheField name="MaximumAverage" numFmtId="0">
      <sharedItems containsSemiMixedTypes="0" containsString="0" containsNumber="1" minValue="0" maxValue="84.594951996708403"/>
    </cacheField>
    <cacheField name="SummaryHalfWidth" numFmtId="0">
      <sharedItems containsSemiMixedTypes="0" containsString="0" containsNumber="1" minValue="0" maxValue="4.03849335672712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68.826225115743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68.826225810182" createdVersion="7" refreshedVersion="8" minRefreshableVersion="3" recordCount="5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11">
        <s v="LeaveTornoEntrada.Queue"/>
        <s v="LeaveTornoSalida.Queue"/>
        <s v="Mostrador.Queue"/>
        <s v="PArte.Queue"/>
        <s v="PAstro.Queue"/>
        <s v="PFisica.Queue"/>
        <s v="PHall.Queue"/>
        <s v="PHistoria.Queue"/>
        <s v="Tally Ciclo1"/>
        <s v="Tally Ciclo2"/>
        <s v="Tally Ciclo3"/>
        <s v="Visitantes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3">
        <s v="Waiting Time"/>
        <s v="Non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User Specified"/>
        <s v="Entity"/>
        <m u="1"/>
        <s v="Process" u="1"/>
      </sharedItems>
    </cacheField>
    <cacheField name="Average" numFmtId="0">
      <sharedItems containsSemiMixedTypes="0" containsString="0" containsNumber="1" minValue="0" maxValue="1.75730099844484"/>
    </cacheField>
    <cacheField name="BatchMeansHalfWidth" numFmtId="0">
      <sharedItems containsSemiMixedTypes="0" containsString="0" containsNumber="1" containsInteger="1" minValue="0" maxValue="2E+20"/>
    </cacheField>
    <cacheField name="Minimum" numFmtId="0">
      <sharedItems containsSemiMixedTypes="0" containsString="0" containsNumber="1" minValue="0" maxValue="1.27166937524826"/>
    </cacheField>
    <cacheField name="Maximum" numFmtId="0">
      <sharedItems containsSemiMixedTypes="0" containsString="0" containsNumber="1" minValue="0" maxValue="2.7561776708620398"/>
    </cacheField>
    <cacheField name="NumberObservations" numFmtId="0">
      <sharedItems containsSemiMixedTypes="0" containsString="0" containsNumber="1" containsInteger="1" minValue="13" maxValue="415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1.3545308843713129"/>
    </cacheField>
    <cacheField name="StDevOfAverage" numFmtId="0">
      <sharedItems containsSemiMixedTypes="0" containsString="0" containsNumber="1" minValue="0" maxValue="0.1692363780491483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6.3193902126265786E-2"/>
    </cacheField>
    <cacheField name="MinimumAverage" numFmtId="0">
      <sharedItems containsSemiMixedTypes="0" containsString="0" containsNumber="1" minValue="0" maxValue="1.12561675843568"/>
    </cacheField>
    <cacheField name="MaximumAverage" numFmtId="0">
      <sharedItems containsSemiMixedTypes="0" containsString="0" containsNumber="1" minValue="0" maxValue="1.75730099844484"/>
    </cacheField>
    <cacheField name="OverallMinimum" numFmtId="0">
      <sharedItems containsSemiMixedTypes="0" containsString="0" containsNumber="1" minValue="0" maxValue="0.75544023446239805"/>
    </cacheField>
    <cacheField name="OverallMaximum" numFmtId="0">
      <sharedItems containsSemiMixedTypes="0" containsString="0" containsNumber="1" minValue="0" maxValue="2.7561776708620398"/>
    </cacheField>
    <cacheField name="AverageNumberObservations" numFmtId="0">
      <sharedItems containsSemiMixedTypes="0" containsString="0" containsNumber="1" minValue="27.4" maxValue="366.5"/>
    </cacheField>
    <cacheField name="SummaryHalfWidth" numFmtId="0">
      <sharedItems containsSemiMixedTypes="0" containsString="0" containsNumber="1" minValue="0" maxValue="6.3193902126265786E-2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68.82622638889" createdVersion="7" refreshedVersion="8" minRefreshableVersion="3" recordCount="69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RArte.NumberSeized"/>
        <s v="RArte.ScheduledUtilization"/>
        <s v="RAstro.NumberSeized"/>
        <s v="RAstro.ScheduledUtilization"/>
        <s v="RFisica.NumberSeized"/>
        <s v="RFisica.ScheduledUtilization"/>
        <s v="RHall.NumberSeized"/>
        <s v="RHall.ScheduledUtilization"/>
        <s v="RHistoria.NumberSeized"/>
        <s v="RHistoria.ScheduledUtilization"/>
        <s v="System.NumberOut"/>
        <s v="TornoEntrada.NumberSeized"/>
        <s v="TornoEntrada.ScheduledUtilization"/>
        <s v="Visitantes.NumberIn"/>
        <s v="Visitantes.NumberOut"/>
        <s v="cajero.NumberSeized"/>
        <s v="cajero.ScheduledUtilization"/>
        <s v="ticketsa.NumberSeized"/>
        <s v="ticketsa.ScheduledUtilization"/>
        <s v="ticketsb.NumberSeized"/>
        <s v="ticketsb.ScheduledUtilization"/>
        <s v="ticketsc.NumberSeized"/>
        <s v="ticketsc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Out"/>
        <s v="Number In"/>
        <m u="1"/>
        <s v="Accum VA Time" u="1"/>
        <s v="Accum Wait Time" u="1"/>
      </sharedItems>
    </cacheField>
    <cacheField name="Source" numFmtId="0">
      <sharedItems containsBlank="1" count="5">
        <s v="Resource"/>
        <s v="System"/>
        <s v="Entity"/>
        <m u="1"/>
        <s v="Process" u="1"/>
      </sharedItems>
    </cacheField>
    <cacheField name="RecordedValue" numFmtId="0">
      <sharedItems containsSemiMixedTypes="0" containsString="0" containsNumber="1" minValue="0" maxValue="41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" maxValue="366.5"/>
    </cacheField>
    <cacheField name="StandardDeviation" numFmtId="0">
      <sharedItems containsSemiMixedTypes="0" containsString="0" containsNumber="1" minValue="0" maxValue="27.99846054881318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0.454796988706404"/>
    </cacheField>
    <cacheField name="Minimum" numFmtId="0">
      <sharedItems containsSemiMixedTypes="0" containsString="0" containsNumber="1" minValue="0" maxValue="308"/>
    </cacheField>
    <cacheField name="Maximum" numFmtId="0">
      <sharedItems containsSemiMixedTypes="0" containsString="0" containsNumber="1" minValue="0" maxValue="4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68.82622685185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0">
  <r>
    <x v="0"/>
    <s v="2023-05-22 19:49:23"/>
    <n v="1"/>
    <x v="0"/>
    <x v="0"/>
    <x v="0"/>
    <n v="4.48407268276266"/>
    <n v="2E+20"/>
    <n v="0"/>
    <n v="21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"/>
    <x v="1"/>
    <x v="0"/>
    <x v="0"/>
    <n v="2.2009446862503301"/>
    <n v="2E+20"/>
    <n v="0"/>
    <n v="15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"/>
    <x v="2"/>
    <x v="0"/>
    <x v="0"/>
    <n v="4.0100457953335704"/>
    <n v="2E+20"/>
    <n v="0"/>
    <n v="18"/>
    <n v="1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"/>
    <x v="5"/>
    <x v="0"/>
    <x v="0"/>
    <n v="1.04939044833559"/>
    <n v="2E+20"/>
    <n v="0"/>
    <n v="9"/>
    <n v="2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"/>
    <x v="8"/>
    <x v="1"/>
    <x v="1"/>
    <n v="2.81222721054891E-2"/>
    <n v="2E+20"/>
    <n v="0"/>
    <n v="0.15"/>
    <n v="0.1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"/>
    <x v="8"/>
    <x v="2"/>
    <x v="1"/>
    <n v="0.56244544210978298"/>
    <n v="2E+20"/>
    <n v="0"/>
    <n v="3"/>
    <n v="2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"/>
    <x v="9"/>
    <x v="1"/>
    <x v="1"/>
    <n v="0.21309577097801799"/>
    <n v="2E+20"/>
    <n v="0"/>
    <n v="0.6"/>
    <n v="0.2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"/>
    <x v="9"/>
    <x v="2"/>
    <x v="1"/>
    <n v="4.2619154195603599"/>
    <n v="2E+20"/>
    <n v="0"/>
    <n v="12"/>
    <n v="5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"/>
    <x v="10"/>
    <x v="1"/>
    <x v="1"/>
    <n v="0.59070684422967801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"/>
    <x v="10"/>
    <x v="2"/>
    <x v="1"/>
    <n v="5.9070684422967803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"/>
    <x v="11"/>
    <x v="1"/>
    <x v="1"/>
    <n v="0.16446573665407899"/>
    <n v="2E+20"/>
    <n v="0"/>
    <n v="0.4"/>
    <n v="0.24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"/>
    <x v="11"/>
    <x v="2"/>
    <x v="1"/>
    <n v="8.2232868327039697"/>
    <n v="2E+20"/>
    <n v="0"/>
    <n v="20"/>
    <n v="12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"/>
    <x v="12"/>
    <x v="1"/>
    <x v="1"/>
    <n v="9.6605552921482304E-2"/>
    <n v="2E+20"/>
    <n v="0"/>
    <n v="0.33333333333333298"/>
    <n v="0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"/>
    <x v="12"/>
    <x v="2"/>
    <x v="1"/>
    <n v="1.44908329382223"/>
    <n v="2E+20"/>
    <n v="0"/>
    <n v="5"/>
    <n v="0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"/>
    <x v="13"/>
    <x v="1"/>
    <x v="1"/>
    <n v="0.747854945604429"/>
    <n v="2E+20"/>
    <n v="0"/>
    <n v="1"/>
    <n v="0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"/>
    <x v="13"/>
    <x v="2"/>
    <x v="1"/>
    <n v="1.5075726570233401"/>
    <n v="2E+20"/>
    <n v="0"/>
    <n v="3"/>
    <n v="0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"/>
    <x v="14"/>
    <x v="4"/>
    <x v="2"/>
    <n v="45.360172440774903"/>
    <n v="2E+20"/>
    <n v="0"/>
    <n v="80"/>
    <n v="49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"/>
    <x v="16"/>
    <x v="1"/>
    <x v="1"/>
    <n v="0.79972424005424603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"/>
    <x v="16"/>
    <x v="2"/>
    <x v="1"/>
    <n v="0.79972424005424603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"/>
    <x v="17"/>
    <x v="1"/>
    <x v="1"/>
    <n v="0.84932132364788404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"/>
    <x v="17"/>
    <x v="2"/>
    <x v="1"/>
    <n v="0.84932132364788404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"/>
    <x v="18"/>
    <x v="1"/>
    <x v="1"/>
    <n v="0.83589421484019499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"/>
    <x v="18"/>
    <x v="2"/>
    <x v="1"/>
    <n v="0.83589421484019499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"/>
    <x v="0"/>
    <x v="0"/>
    <x v="0"/>
    <n v="4.7759679244851903"/>
    <n v="2E+20"/>
    <n v="0"/>
    <n v="25"/>
    <n v="1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"/>
    <x v="1"/>
    <x v="0"/>
    <x v="0"/>
    <n v="4.2389430637458299"/>
    <n v="2E+20"/>
    <n v="0"/>
    <n v="20"/>
    <n v="1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"/>
    <x v="2"/>
    <x v="0"/>
    <x v="0"/>
    <n v="1.8318013133154301"/>
    <n v="2E+20"/>
    <n v="0"/>
    <n v="9"/>
    <n v="0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"/>
    <x v="5"/>
    <x v="0"/>
    <x v="0"/>
    <n v="1.839588370929"/>
    <n v="2E+20"/>
    <n v="0"/>
    <n v="12"/>
    <n v="3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"/>
    <x v="8"/>
    <x v="1"/>
    <x v="1"/>
    <n v="3.1644266456003101E-2"/>
    <n v="2E+20"/>
    <n v="0"/>
    <n v="0.25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"/>
    <x v="8"/>
    <x v="2"/>
    <x v="1"/>
    <n v="0.63288532912006201"/>
    <n v="2E+20"/>
    <n v="0"/>
    <n v="5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"/>
    <x v="9"/>
    <x v="1"/>
    <x v="1"/>
    <n v="0.25549170878254701"/>
    <n v="2E+20"/>
    <n v="0"/>
    <n v="0.65"/>
    <n v="0.2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"/>
    <x v="9"/>
    <x v="2"/>
    <x v="1"/>
    <n v="5.1098341756509402"/>
    <n v="2E+20"/>
    <n v="0"/>
    <n v="13"/>
    <n v="5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"/>
    <x v="10"/>
    <x v="1"/>
    <x v="1"/>
    <n v="0.64733714125893704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"/>
    <x v="10"/>
    <x v="2"/>
    <x v="1"/>
    <n v="6.47337141258937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"/>
    <x v="11"/>
    <x v="1"/>
    <x v="1"/>
    <n v="0.16461650215295101"/>
    <n v="2E+20"/>
    <n v="0"/>
    <n v="0.34"/>
    <n v="0.2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"/>
    <x v="11"/>
    <x v="2"/>
    <x v="1"/>
    <n v="8.2308251076475294"/>
    <n v="2E+20"/>
    <n v="0"/>
    <n v="17"/>
    <n v="11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"/>
    <x v="12"/>
    <x v="1"/>
    <x v="1"/>
    <n v="8.3026697671413505E-2"/>
    <n v="2E+20"/>
    <n v="0"/>
    <n v="0.33333333333333298"/>
    <n v="0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"/>
    <x v="12"/>
    <x v="2"/>
    <x v="1"/>
    <n v="1.2454004650712001"/>
    <n v="2E+20"/>
    <n v="0"/>
    <n v="5"/>
    <n v="0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"/>
    <x v="13"/>
    <x v="1"/>
    <x v="1"/>
    <n v="0.81774315094533401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"/>
    <x v="13"/>
    <x v="2"/>
    <x v="1"/>
    <n v="1.5317553403128199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"/>
    <x v="14"/>
    <x v="4"/>
    <x v="2"/>
    <n v="47.774703944709699"/>
    <n v="2E+20"/>
    <n v="0"/>
    <n v="67"/>
    <n v="44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"/>
    <x v="16"/>
    <x v="1"/>
    <x v="1"/>
    <n v="0.71520550213035405"/>
    <n v="2E+20"/>
    <n v="0"/>
    <n v="1"/>
    <n v="0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"/>
    <x v="16"/>
    <x v="2"/>
    <x v="1"/>
    <n v="0.71520550213035405"/>
    <n v="2E+20"/>
    <n v="0"/>
    <n v="1"/>
    <n v="0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"/>
    <x v="17"/>
    <x v="1"/>
    <x v="1"/>
    <n v="0.84553205540298404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"/>
    <x v="17"/>
    <x v="2"/>
    <x v="1"/>
    <n v="0.84553205540298404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"/>
    <x v="18"/>
    <x v="1"/>
    <x v="1"/>
    <n v="0.82933186101531098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"/>
    <x v="18"/>
    <x v="2"/>
    <x v="1"/>
    <n v="0.82933186101531098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3"/>
    <x v="0"/>
    <x v="0"/>
    <x v="0"/>
    <n v="6.6559035805396896"/>
    <n v="2E+20"/>
    <n v="0"/>
    <n v="29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3"/>
    <x v="1"/>
    <x v="0"/>
    <x v="0"/>
    <n v="4.6740067832938799"/>
    <n v="2E+20"/>
    <n v="0"/>
    <n v="20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3"/>
    <x v="2"/>
    <x v="0"/>
    <x v="0"/>
    <n v="1.3305593103954101"/>
    <n v="2E+20"/>
    <n v="0"/>
    <n v="8"/>
    <n v="0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3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3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3"/>
    <x v="5"/>
    <x v="0"/>
    <x v="0"/>
    <n v="3.5982629927804601"/>
    <n v="2E+20"/>
    <n v="0"/>
    <n v="15"/>
    <n v="5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3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3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3"/>
    <x v="8"/>
    <x v="1"/>
    <x v="1"/>
    <n v="4.2250301377172401E-2"/>
    <n v="2E+20"/>
    <n v="0"/>
    <n v="0.2"/>
    <n v="0.1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3"/>
    <x v="8"/>
    <x v="2"/>
    <x v="1"/>
    <n v="0.845006027543448"/>
    <n v="2E+20"/>
    <n v="0"/>
    <n v="4"/>
    <n v="2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3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3"/>
    <x v="9"/>
    <x v="1"/>
    <x v="1"/>
    <n v="0.230838690267714"/>
    <n v="2E+20"/>
    <n v="0"/>
    <n v="0.65"/>
    <n v="0.2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3"/>
    <x v="9"/>
    <x v="2"/>
    <x v="1"/>
    <n v="4.6167738053542804"/>
    <n v="2E+20"/>
    <n v="0"/>
    <n v="13"/>
    <n v="4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3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3"/>
    <x v="10"/>
    <x v="1"/>
    <x v="1"/>
    <n v="0.604726885596782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3"/>
    <x v="10"/>
    <x v="2"/>
    <x v="1"/>
    <n v="6.04726885596782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3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3"/>
    <x v="11"/>
    <x v="1"/>
    <x v="1"/>
    <n v="0.17683466225159"/>
    <n v="2E+20"/>
    <n v="0"/>
    <n v="0.38"/>
    <n v="0.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3"/>
    <x v="11"/>
    <x v="2"/>
    <x v="1"/>
    <n v="8.8417331125795098"/>
    <n v="2E+20"/>
    <n v="0"/>
    <n v="19"/>
    <n v="10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3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3"/>
    <x v="12"/>
    <x v="1"/>
    <x v="1"/>
    <n v="0.111025455742452"/>
    <n v="2E+20"/>
    <n v="0"/>
    <n v="0.4"/>
    <n v="0.133333333333333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3"/>
    <x v="12"/>
    <x v="2"/>
    <x v="1"/>
    <n v="1.66538183613678"/>
    <n v="2E+20"/>
    <n v="0"/>
    <n v="6"/>
    <n v="2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3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3"/>
    <x v="13"/>
    <x v="1"/>
    <x v="1"/>
    <n v="0.84441868836399203"/>
    <n v="2E+20"/>
    <n v="0"/>
    <n v="1"/>
    <n v="0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3"/>
    <x v="13"/>
    <x v="2"/>
    <x v="1"/>
    <n v="1.5904048492046601"/>
    <n v="2E+20"/>
    <n v="0"/>
    <n v="3"/>
    <n v="0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3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3"/>
    <x v="14"/>
    <x v="4"/>
    <x v="2"/>
    <n v="52.3011364846273"/>
    <n v="2E+20"/>
    <n v="0"/>
    <n v="73"/>
    <n v="47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3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3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3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3"/>
    <x v="16"/>
    <x v="1"/>
    <x v="1"/>
    <n v="0.64622591858609302"/>
    <n v="2E+20"/>
    <n v="0"/>
    <n v="1"/>
    <n v="0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3"/>
    <x v="16"/>
    <x v="2"/>
    <x v="1"/>
    <n v="0.64622591858609302"/>
    <n v="2E+20"/>
    <n v="0"/>
    <n v="1"/>
    <n v="0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3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3"/>
    <x v="17"/>
    <x v="1"/>
    <x v="1"/>
    <n v="0.76739170261446499"/>
    <n v="2E+20"/>
    <n v="0"/>
    <n v="1"/>
    <n v="0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3"/>
    <x v="17"/>
    <x v="2"/>
    <x v="1"/>
    <n v="0.76739170261446499"/>
    <n v="2E+20"/>
    <n v="0"/>
    <n v="1"/>
    <n v="0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3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3"/>
    <x v="18"/>
    <x v="1"/>
    <x v="1"/>
    <n v="0.80616303072059503"/>
    <n v="2E+20"/>
    <n v="0"/>
    <n v="1"/>
    <n v="0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3"/>
    <x v="18"/>
    <x v="2"/>
    <x v="1"/>
    <n v="0.80616303072059503"/>
    <n v="2E+20"/>
    <n v="0"/>
    <n v="1"/>
    <n v="0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3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4"/>
    <x v="0"/>
    <x v="0"/>
    <x v="0"/>
    <n v="6.0901200357913803"/>
    <n v="2E+20"/>
    <n v="0"/>
    <n v="23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4"/>
    <x v="1"/>
    <x v="0"/>
    <x v="0"/>
    <n v="4.7834018470984798"/>
    <n v="2E+20"/>
    <n v="0"/>
    <n v="24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4"/>
    <x v="2"/>
    <x v="0"/>
    <x v="0"/>
    <n v="7.5162620910234699"/>
    <n v="2E+20"/>
    <n v="0"/>
    <n v="28"/>
    <n v="20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4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4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4"/>
    <x v="5"/>
    <x v="0"/>
    <x v="0"/>
    <n v="1.8076153021263199"/>
    <n v="2E+20"/>
    <n v="0"/>
    <n v="12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4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4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4"/>
    <x v="8"/>
    <x v="1"/>
    <x v="1"/>
    <n v="3.6446279088106097E-2"/>
    <n v="2E+20"/>
    <n v="0"/>
    <n v="0.2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4"/>
    <x v="8"/>
    <x v="2"/>
    <x v="1"/>
    <n v="0.72892558176212097"/>
    <n v="2E+20"/>
    <n v="0"/>
    <n v="4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4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4"/>
    <x v="9"/>
    <x v="1"/>
    <x v="1"/>
    <n v="0.245229931678109"/>
    <n v="2E+20"/>
    <n v="0"/>
    <n v="0.7"/>
    <n v="0.1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4"/>
    <x v="9"/>
    <x v="2"/>
    <x v="1"/>
    <n v="4.9045986335621699"/>
    <n v="2E+20"/>
    <n v="0"/>
    <n v="14"/>
    <n v="3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4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4"/>
    <x v="10"/>
    <x v="1"/>
    <x v="1"/>
    <n v="0.65846113222333702"/>
    <n v="2E+20"/>
    <n v="0"/>
    <n v="1"/>
    <n v="0.9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4"/>
    <x v="10"/>
    <x v="2"/>
    <x v="1"/>
    <n v="6.5846113222333704"/>
    <n v="2E+20"/>
    <n v="0"/>
    <n v="10"/>
    <n v="9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4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4"/>
    <x v="11"/>
    <x v="1"/>
    <x v="1"/>
    <n v="0.17459217930915699"/>
    <n v="2E+20"/>
    <n v="0"/>
    <n v="0.42"/>
    <n v="0.2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4"/>
    <x v="11"/>
    <x v="2"/>
    <x v="1"/>
    <n v="8.7296089654578406"/>
    <n v="2E+20"/>
    <n v="0"/>
    <n v="21"/>
    <n v="11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4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4"/>
    <x v="12"/>
    <x v="1"/>
    <x v="1"/>
    <n v="9.7637339496751796E-2"/>
    <n v="2E+20"/>
    <n v="0"/>
    <n v="0.33333333333333298"/>
    <n v="6.6666666666666693E-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4"/>
    <x v="12"/>
    <x v="2"/>
    <x v="1"/>
    <n v="1.46456009245128"/>
    <n v="2E+20"/>
    <n v="0"/>
    <n v="5"/>
    <n v="1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4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4"/>
    <x v="13"/>
    <x v="1"/>
    <x v="1"/>
    <n v="0.82631443691188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4"/>
    <x v="13"/>
    <x v="2"/>
    <x v="1"/>
    <n v="1.59791023101998"/>
    <n v="2E+20"/>
    <n v="0"/>
    <n v="3"/>
    <n v="2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4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4"/>
    <x v="14"/>
    <x v="4"/>
    <x v="2"/>
    <n v="57.024803619676597"/>
    <n v="2E+20"/>
    <n v="0"/>
    <n v="89"/>
    <n v="62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4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4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4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4"/>
    <x v="16"/>
    <x v="1"/>
    <x v="1"/>
    <n v="0.81746613194190698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4"/>
    <x v="16"/>
    <x v="2"/>
    <x v="1"/>
    <n v="0.81746613194190698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4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4"/>
    <x v="17"/>
    <x v="1"/>
    <x v="1"/>
    <n v="0.89600129938766304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4"/>
    <x v="17"/>
    <x v="2"/>
    <x v="1"/>
    <n v="0.89600129938766304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4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4"/>
    <x v="18"/>
    <x v="1"/>
    <x v="1"/>
    <n v="0.92722724423202596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4"/>
    <x v="18"/>
    <x v="2"/>
    <x v="1"/>
    <n v="0.92722724423202596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4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5"/>
    <x v="0"/>
    <x v="0"/>
    <x v="0"/>
    <n v="3.3688879448146198"/>
    <n v="2E+20"/>
    <n v="0"/>
    <n v="17"/>
    <n v="1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5"/>
    <x v="1"/>
    <x v="0"/>
    <x v="0"/>
    <n v="2.6833114706650099"/>
    <n v="2E+20"/>
    <n v="0"/>
    <n v="13"/>
    <n v="1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5"/>
    <x v="2"/>
    <x v="0"/>
    <x v="0"/>
    <n v="2.6862686561707401"/>
    <n v="2E+20"/>
    <n v="0"/>
    <n v="17"/>
    <n v="4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5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5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5"/>
    <x v="5"/>
    <x v="0"/>
    <x v="0"/>
    <n v="0.102536201698247"/>
    <n v="2E+20"/>
    <n v="0"/>
    <n v="4"/>
    <n v="2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5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5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5"/>
    <x v="8"/>
    <x v="1"/>
    <x v="1"/>
    <n v="3.1058814808150401E-2"/>
    <n v="2E+20"/>
    <n v="0"/>
    <n v="0.2"/>
    <n v="0.1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5"/>
    <x v="8"/>
    <x v="2"/>
    <x v="1"/>
    <n v="0.62117629616300796"/>
    <n v="2E+20"/>
    <n v="0"/>
    <n v="4"/>
    <n v="2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5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5"/>
    <x v="9"/>
    <x v="1"/>
    <x v="1"/>
    <n v="0.23077095315059301"/>
    <n v="2E+20"/>
    <n v="0"/>
    <n v="0.8"/>
    <n v="0.4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5"/>
    <x v="9"/>
    <x v="2"/>
    <x v="1"/>
    <n v="4.6154190630118599"/>
    <n v="2E+20"/>
    <n v="0"/>
    <n v="16"/>
    <n v="9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5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5"/>
    <x v="10"/>
    <x v="1"/>
    <x v="1"/>
    <n v="0.517215348442703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5"/>
    <x v="10"/>
    <x v="2"/>
    <x v="1"/>
    <n v="5.1721534844270298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5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5"/>
    <x v="11"/>
    <x v="1"/>
    <x v="1"/>
    <n v="0.15393301977749099"/>
    <n v="2E+20"/>
    <n v="0"/>
    <n v="0.32"/>
    <n v="0.1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5"/>
    <x v="11"/>
    <x v="2"/>
    <x v="1"/>
    <n v="7.6966509888745396"/>
    <n v="2E+20"/>
    <n v="0"/>
    <n v="16"/>
    <n v="5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5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5"/>
    <x v="12"/>
    <x v="1"/>
    <x v="1"/>
    <n v="8.6372494314967199E-2"/>
    <n v="2E+20"/>
    <n v="0"/>
    <n v="0.4"/>
    <n v="6.6666666666666693E-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5"/>
    <x v="12"/>
    <x v="2"/>
    <x v="1"/>
    <n v="1.2955874147245099"/>
    <n v="2E+20"/>
    <n v="0"/>
    <n v="6"/>
    <n v="1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5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5"/>
    <x v="13"/>
    <x v="1"/>
    <x v="1"/>
    <n v="0.79073777826139502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5"/>
    <x v="13"/>
    <x v="2"/>
    <x v="1"/>
    <n v="1.47959740437836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5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5"/>
    <x v="14"/>
    <x v="4"/>
    <x v="2"/>
    <n v="40.8463834456009"/>
    <n v="2E+20"/>
    <n v="0"/>
    <n v="61"/>
    <n v="58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5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5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5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5"/>
    <x v="16"/>
    <x v="1"/>
    <x v="1"/>
    <n v="0.68101151474133004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5"/>
    <x v="16"/>
    <x v="2"/>
    <x v="1"/>
    <n v="0.68101151474133004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5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5"/>
    <x v="17"/>
    <x v="1"/>
    <x v="1"/>
    <n v="0.74061105631083801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5"/>
    <x v="17"/>
    <x v="2"/>
    <x v="1"/>
    <n v="0.74061105631083801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5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5"/>
    <x v="18"/>
    <x v="1"/>
    <x v="1"/>
    <n v="0.77153842336211698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5"/>
    <x v="18"/>
    <x v="2"/>
    <x v="1"/>
    <n v="0.77153842336211698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5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6"/>
    <x v="0"/>
    <x v="0"/>
    <x v="0"/>
    <n v="5.42025503062301"/>
    <n v="2E+20"/>
    <n v="0"/>
    <n v="27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6"/>
    <x v="1"/>
    <x v="0"/>
    <x v="0"/>
    <n v="3.4436733526075498"/>
    <n v="2E+20"/>
    <n v="0"/>
    <n v="15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6"/>
    <x v="2"/>
    <x v="0"/>
    <x v="0"/>
    <n v="3.4609540291409102"/>
    <n v="2E+20"/>
    <n v="0"/>
    <n v="18"/>
    <n v="11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6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6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6"/>
    <x v="5"/>
    <x v="0"/>
    <x v="0"/>
    <n v="0.96023379604104697"/>
    <n v="2E+20"/>
    <n v="0"/>
    <n v="10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6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6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6"/>
    <x v="8"/>
    <x v="1"/>
    <x v="1"/>
    <n v="3.8309903990688898E-2"/>
    <n v="2E+20"/>
    <n v="0"/>
    <n v="0.15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6"/>
    <x v="8"/>
    <x v="2"/>
    <x v="1"/>
    <n v="0.76619807981377797"/>
    <n v="2E+20"/>
    <n v="0"/>
    <n v="3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6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6"/>
    <x v="9"/>
    <x v="1"/>
    <x v="1"/>
    <n v="0.25199689966710198"/>
    <n v="2E+20"/>
    <n v="0"/>
    <n v="0.75"/>
    <n v="0.2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6"/>
    <x v="9"/>
    <x v="2"/>
    <x v="1"/>
    <n v="5.0399379933420496"/>
    <n v="2E+20"/>
    <n v="0"/>
    <n v="15"/>
    <n v="4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6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6"/>
    <x v="10"/>
    <x v="1"/>
    <x v="1"/>
    <n v="0.57034814605345796"/>
    <n v="2E+20"/>
    <n v="0"/>
    <n v="1"/>
    <n v="0.9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6"/>
    <x v="10"/>
    <x v="2"/>
    <x v="1"/>
    <n v="5.7034814605345803"/>
    <n v="2E+20"/>
    <n v="0"/>
    <n v="10"/>
    <n v="9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6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6"/>
    <x v="11"/>
    <x v="1"/>
    <x v="1"/>
    <n v="0.157945734363475"/>
    <n v="2E+20"/>
    <n v="0"/>
    <n v="0.36"/>
    <n v="0.18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6"/>
    <x v="11"/>
    <x v="2"/>
    <x v="1"/>
    <n v="7.8972867181737199"/>
    <n v="2E+20"/>
    <n v="0"/>
    <n v="18"/>
    <n v="9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6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6"/>
    <x v="12"/>
    <x v="1"/>
    <x v="1"/>
    <n v="9.6023643193360098E-2"/>
    <n v="2E+20"/>
    <n v="0"/>
    <n v="0.33333333333333298"/>
    <n v="0.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6"/>
    <x v="12"/>
    <x v="2"/>
    <x v="1"/>
    <n v="1.4403546479003999"/>
    <n v="2E+20"/>
    <n v="0"/>
    <n v="5"/>
    <n v="3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6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6"/>
    <x v="13"/>
    <x v="1"/>
    <x v="1"/>
    <n v="0.79935200205997203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6"/>
    <x v="13"/>
    <x v="2"/>
    <x v="1"/>
    <n v="1.5323848597612799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6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6"/>
    <x v="14"/>
    <x v="4"/>
    <x v="2"/>
    <n v="47.476856255164101"/>
    <n v="2E+20"/>
    <n v="0"/>
    <n v="68"/>
    <n v="51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6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6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6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6"/>
    <x v="16"/>
    <x v="1"/>
    <x v="1"/>
    <n v="0.73885214121423304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6"/>
    <x v="16"/>
    <x v="2"/>
    <x v="1"/>
    <n v="0.73885214121423304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6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6"/>
    <x v="17"/>
    <x v="1"/>
    <x v="1"/>
    <n v="0.78122037467546601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6"/>
    <x v="17"/>
    <x v="2"/>
    <x v="1"/>
    <n v="0.78122037467546601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6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6"/>
    <x v="18"/>
    <x v="1"/>
    <x v="1"/>
    <n v="0.89951220908042195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6"/>
    <x v="18"/>
    <x v="2"/>
    <x v="1"/>
    <n v="0.89951220908042195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6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7"/>
    <x v="0"/>
    <x v="0"/>
    <x v="0"/>
    <n v="7.4470321118533001"/>
    <n v="2E+20"/>
    <n v="0"/>
    <n v="26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7"/>
    <x v="1"/>
    <x v="0"/>
    <x v="0"/>
    <n v="5.5077349962673701"/>
    <n v="2E+20"/>
    <n v="0"/>
    <n v="22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7"/>
    <x v="2"/>
    <x v="0"/>
    <x v="0"/>
    <n v="3.6953503360428801"/>
    <n v="2E+20"/>
    <n v="0"/>
    <n v="17"/>
    <n v="0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7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7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7"/>
    <x v="5"/>
    <x v="0"/>
    <x v="0"/>
    <n v="1.7069170013528201"/>
    <n v="2E+20"/>
    <n v="0"/>
    <n v="14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7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7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7"/>
    <x v="8"/>
    <x v="1"/>
    <x v="1"/>
    <n v="4.2390596261205601E-2"/>
    <n v="2E+20"/>
    <n v="0"/>
    <n v="0.2"/>
    <n v="0.1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7"/>
    <x v="8"/>
    <x v="2"/>
    <x v="1"/>
    <n v="0.84781192522411297"/>
    <n v="2E+20"/>
    <n v="0"/>
    <n v="4"/>
    <n v="3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7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7"/>
    <x v="9"/>
    <x v="1"/>
    <x v="1"/>
    <n v="0.245853772157101"/>
    <n v="2E+20"/>
    <n v="0"/>
    <n v="0.95"/>
    <n v="0.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7"/>
    <x v="9"/>
    <x v="2"/>
    <x v="1"/>
    <n v="4.9170754431420303"/>
    <n v="2E+20"/>
    <n v="0"/>
    <n v="19"/>
    <n v="10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7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7"/>
    <x v="10"/>
    <x v="1"/>
    <x v="1"/>
    <n v="0.64834188804173898"/>
    <n v="2E+20"/>
    <n v="0"/>
    <n v="1"/>
    <n v="0.8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7"/>
    <x v="10"/>
    <x v="2"/>
    <x v="1"/>
    <n v="6.48341888041739"/>
    <n v="2E+20"/>
    <n v="0"/>
    <n v="10"/>
    <n v="8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7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7"/>
    <x v="11"/>
    <x v="1"/>
    <x v="1"/>
    <n v="0.170962037766936"/>
    <n v="2E+20"/>
    <n v="0"/>
    <n v="0.38"/>
    <n v="0.24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7"/>
    <x v="11"/>
    <x v="2"/>
    <x v="1"/>
    <n v="8.5481018883467907"/>
    <n v="2E+20"/>
    <n v="0"/>
    <n v="19"/>
    <n v="12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7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7"/>
    <x v="12"/>
    <x v="1"/>
    <x v="1"/>
    <n v="9.8781048970964902E-2"/>
    <n v="2E+20"/>
    <n v="0"/>
    <n v="0.4"/>
    <n v="0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7"/>
    <x v="12"/>
    <x v="2"/>
    <x v="1"/>
    <n v="1.48171573456447"/>
    <n v="2E+20"/>
    <n v="0"/>
    <n v="6"/>
    <n v="0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7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7"/>
    <x v="13"/>
    <x v="1"/>
    <x v="1"/>
    <n v="0.85328830270807698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7"/>
    <x v="13"/>
    <x v="2"/>
    <x v="1"/>
    <n v="1.5902425918116601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7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7"/>
    <x v="14"/>
    <x v="4"/>
    <x v="2"/>
    <n v="54.785998362307403"/>
    <n v="2E+20"/>
    <n v="0"/>
    <n v="81"/>
    <n v="55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7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7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7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7"/>
    <x v="16"/>
    <x v="1"/>
    <x v="1"/>
    <n v="0.87558796078330503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7"/>
    <x v="16"/>
    <x v="2"/>
    <x v="1"/>
    <n v="0.87558796078330503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7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7"/>
    <x v="17"/>
    <x v="1"/>
    <x v="1"/>
    <n v="0.81925656722940299"/>
    <n v="2E+20"/>
    <n v="0"/>
    <n v="1"/>
    <n v="0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7"/>
    <x v="17"/>
    <x v="2"/>
    <x v="1"/>
    <n v="0.81925656722940299"/>
    <n v="2E+20"/>
    <n v="0"/>
    <n v="1"/>
    <n v="0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7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7"/>
    <x v="18"/>
    <x v="1"/>
    <x v="1"/>
    <n v="0.89702580167172297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7"/>
    <x v="18"/>
    <x v="2"/>
    <x v="1"/>
    <n v="0.89702580167172297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7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8"/>
    <x v="0"/>
    <x v="0"/>
    <x v="0"/>
    <n v="6.6261789405965699"/>
    <n v="2E+20"/>
    <n v="0"/>
    <n v="21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8"/>
    <x v="1"/>
    <x v="0"/>
    <x v="0"/>
    <n v="5.0841401649150404"/>
    <n v="2E+20"/>
    <n v="0"/>
    <n v="27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8"/>
    <x v="2"/>
    <x v="0"/>
    <x v="0"/>
    <n v="5.9773563342760996"/>
    <n v="2E+20"/>
    <n v="0"/>
    <n v="23"/>
    <n v="3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8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8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8"/>
    <x v="5"/>
    <x v="0"/>
    <x v="0"/>
    <n v="2.4336568959657998"/>
    <n v="2E+20"/>
    <n v="0"/>
    <n v="16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8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8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8"/>
    <x v="8"/>
    <x v="1"/>
    <x v="1"/>
    <n v="3.36326834653402E-2"/>
    <n v="2E+20"/>
    <n v="0"/>
    <n v="0.15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8"/>
    <x v="8"/>
    <x v="2"/>
    <x v="1"/>
    <n v="0.67265366930680404"/>
    <n v="2E+20"/>
    <n v="0"/>
    <n v="3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8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8"/>
    <x v="9"/>
    <x v="1"/>
    <x v="1"/>
    <n v="0.234236882354284"/>
    <n v="2E+20"/>
    <n v="0"/>
    <n v="0.75"/>
    <n v="0.1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8"/>
    <x v="9"/>
    <x v="2"/>
    <x v="1"/>
    <n v="4.6847376470856696"/>
    <n v="2E+20"/>
    <n v="0"/>
    <n v="15"/>
    <n v="2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8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8"/>
    <x v="10"/>
    <x v="1"/>
    <x v="1"/>
    <n v="0.65997051406998897"/>
    <n v="2E+20"/>
    <n v="0"/>
    <n v="1"/>
    <n v="0.3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8"/>
    <x v="10"/>
    <x v="2"/>
    <x v="1"/>
    <n v="6.5997051406998999"/>
    <n v="2E+20"/>
    <n v="0"/>
    <n v="10"/>
    <n v="3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8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8"/>
    <x v="11"/>
    <x v="1"/>
    <x v="1"/>
    <n v="0.17449546305163599"/>
    <n v="2E+20"/>
    <n v="0"/>
    <n v="0.4"/>
    <n v="0.16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8"/>
    <x v="11"/>
    <x v="2"/>
    <x v="1"/>
    <n v="8.72477315258182"/>
    <n v="2E+20"/>
    <n v="0"/>
    <n v="20"/>
    <n v="8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8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8"/>
    <x v="12"/>
    <x v="1"/>
    <x v="1"/>
    <n v="9.3675128784135905E-2"/>
    <n v="2E+20"/>
    <n v="0"/>
    <n v="0.4"/>
    <n v="0.133333333333333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8"/>
    <x v="12"/>
    <x v="2"/>
    <x v="1"/>
    <n v="1.4051269317620401"/>
    <n v="2E+20"/>
    <n v="0"/>
    <n v="6"/>
    <n v="2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8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8"/>
    <x v="13"/>
    <x v="1"/>
    <x v="1"/>
    <n v="0.82347130139268299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8"/>
    <x v="13"/>
    <x v="2"/>
    <x v="1"/>
    <n v="1.6127702095006"/>
    <n v="2E+20"/>
    <n v="0"/>
    <n v="3"/>
    <n v="1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8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8"/>
    <x v="14"/>
    <x v="4"/>
    <x v="2"/>
    <n v="56.543628695919899"/>
    <n v="2E+20"/>
    <n v="0"/>
    <n v="98"/>
    <n v="38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8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8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8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8"/>
    <x v="16"/>
    <x v="1"/>
    <x v="1"/>
    <n v="0.85504992561347204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8"/>
    <x v="16"/>
    <x v="2"/>
    <x v="1"/>
    <n v="0.85504992561347204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8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8"/>
    <x v="17"/>
    <x v="1"/>
    <x v="1"/>
    <n v="0.85719230705826099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8"/>
    <x v="17"/>
    <x v="2"/>
    <x v="1"/>
    <n v="0.85719230705826099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8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8"/>
    <x v="18"/>
    <x v="1"/>
    <x v="1"/>
    <n v="0.91658316619310198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8"/>
    <x v="18"/>
    <x v="2"/>
    <x v="1"/>
    <n v="0.91658316619310198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8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9"/>
    <x v="0"/>
    <x v="0"/>
    <x v="0"/>
    <n v="7.3139462832397504"/>
    <n v="2E+20"/>
    <n v="0"/>
    <n v="28"/>
    <n v="2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9"/>
    <x v="1"/>
    <x v="0"/>
    <x v="0"/>
    <n v="6.6011366875362896"/>
    <n v="2E+20"/>
    <n v="0"/>
    <n v="27"/>
    <n v="3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9"/>
    <x v="2"/>
    <x v="0"/>
    <x v="0"/>
    <n v="4.1139573615335001"/>
    <n v="2E+20"/>
    <n v="0"/>
    <n v="18"/>
    <n v="1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9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9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9"/>
    <x v="5"/>
    <x v="0"/>
    <x v="0"/>
    <n v="1.2679145581062099"/>
    <n v="2E+20"/>
    <n v="0"/>
    <n v="10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9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9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9"/>
    <x v="8"/>
    <x v="1"/>
    <x v="1"/>
    <n v="2.8335636718683398E-2"/>
    <n v="2E+20"/>
    <n v="0"/>
    <n v="0.35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9"/>
    <x v="8"/>
    <x v="2"/>
    <x v="1"/>
    <n v="0.56671273437366798"/>
    <n v="2E+20"/>
    <n v="0"/>
    <n v="7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9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9"/>
    <x v="9"/>
    <x v="1"/>
    <x v="1"/>
    <n v="0.28501162927715501"/>
    <n v="2E+20"/>
    <n v="0"/>
    <n v="0.8"/>
    <n v="0.55000000000000004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9"/>
    <x v="9"/>
    <x v="2"/>
    <x v="1"/>
    <n v="5.7002325855431097"/>
    <n v="2E+20"/>
    <n v="0"/>
    <n v="16"/>
    <n v="11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9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9"/>
    <x v="10"/>
    <x v="1"/>
    <x v="1"/>
    <n v="0.64432488968538404"/>
    <n v="2E+20"/>
    <n v="0"/>
    <n v="1"/>
    <n v="0.6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9"/>
    <x v="10"/>
    <x v="2"/>
    <x v="1"/>
    <n v="6.4432488968538504"/>
    <n v="2E+20"/>
    <n v="0"/>
    <n v="10"/>
    <n v="6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9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9"/>
    <x v="11"/>
    <x v="1"/>
    <x v="1"/>
    <n v="0.171633185515042"/>
    <n v="2E+20"/>
    <n v="0"/>
    <n v="0.36"/>
    <n v="0.2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9"/>
    <x v="11"/>
    <x v="2"/>
    <x v="1"/>
    <n v="8.58165927575212"/>
    <n v="2E+20"/>
    <n v="0"/>
    <n v="18"/>
    <n v="11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9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9"/>
    <x v="12"/>
    <x v="1"/>
    <x v="1"/>
    <n v="7.5307466052223798E-2"/>
    <n v="2E+20"/>
    <n v="0"/>
    <n v="0.46666666666666701"/>
    <n v="0.133333333333333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9"/>
    <x v="12"/>
    <x v="2"/>
    <x v="1"/>
    <n v="1.1296119907833599"/>
    <n v="2E+20"/>
    <n v="0"/>
    <n v="7"/>
    <n v="2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9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9"/>
    <x v="13"/>
    <x v="1"/>
    <x v="1"/>
    <n v="0.83685097466666303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9"/>
    <x v="13"/>
    <x v="2"/>
    <x v="1"/>
    <n v="1.5841369800493601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9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9"/>
    <x v="14"/>
    <x v="4"/>
    <x v="2"/>
    <n v="55.500802665722397"/>
    <n v="2E+20"/>
    <n v="0"/>
    <n v="78"/>
    <n v="58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9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9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9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9"/>
    <x v="16"/>
    <x v="1"/>
    <x v="1"/>
    <n v="0.76550090061679799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9"/>
    <x v="16"/>
    <x v="2"/>
    <x v="1"/>
    <n v="0.76550090061679799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9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9"/>
    <x v="17"/>
    <x v="1"/>
    <x v="1"/>
    <n v="0.85434139310061796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9"/>
    <x v="17"/>
    <x v="2"/>
    <x v="1"/>
    <n v="0.85434139310061796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9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9"/>
    <x v="18"/>
    <x v="1"/>
    <x v="1"/>
    <n v="0.88251459474826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9"/>
    <x v="18"/>
    <x v="2"/>
    <x v="1"/>
    <n v="0.88251459474826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9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10"/>
    <x v="0"/>
    <x v="0"/>
    <x v="0"/>
    <n v="7.0879052715564201"/>
    <n v="2E+20"/>
    <n v="0"/>
    <n v="28"/>
    <n v="2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0"/>
    <x v="1"/>
    <x v="0"/>
    <x v="0"/>
    <n v="5.5061623350406403"/>
    <n v="2E+20"/>
    <n v="0"/>
    <n v="26"/>
    <n v="1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0"/>
    <x v="2"/>
    <x v="0"/>
    <x v="0"/>
    <n v="29.356614544212601"/>
    <n v="2E+20"/>
    <n v="0"/>
    <n v="50"/>
    <n v="36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0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0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0"/>
    <x v="5"/>
    <x v="0"/>
    <x v="0"/>
    <n v="2.5310746608187502"/>
    <n v="2E+20"/>
    <n v="0"/>
    <n v="17"/>
    <n v="4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0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0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0"/>
    <x v="8"/>
    <x v="1"/>
    <x v="1"/>
    <n v="4.3017010240736599E-2"/>
    <n v="2E+20"/>
    <n v="0"/>
    <n v="0.25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0"/>
    <x v="8"/>
    <x v="2"/>
    <x v="1"/>
    <n v="0.86034020481473195"/>
    <n v="2E+20"/>
    <n v="0"/>
    <n v="5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0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0"/>
    <x v="9"/>
    <x v="1"/>
    <x v="1"/>
    <n v="0.27666209107690698"/>
    <n v="2E+20"/>
    <n v="0"/>
    <n v="0.8"/>
    <n v="0.3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0"/>
    <x v="9"/>
    <x v="2"/>
    <x v="1"/>
    <n v="5.5332418215381498"/>
    <n v="2E+20"/>
    <n v="0"/>
    <n v="16"/>
    <n v="6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0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0"/>
    <x v="10"/>
    <x v="1"/>
    <x v="1"/>
    <n v="0.66863306738199402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0"/>
    <x v="10"/>
    <x v="2"/>
    <x v="1"/>
    <n v="6.6863306738199304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0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0"/>
    <x v="11"/>
    <x v="1"/>
    <x v="1"/>
    <n v="0.19586315465507301"/>
    <n v="2E+20"/>
    <n v="0"/>
    <n v="0.46"/>
    <n v="0.26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0"/>
    <x v="11"/>
    <x v="2"/>
    <x v="1"/>
    <n v="9.7931577327536594"/>
    <n v="2E+20"/>
    <n v="0"/>
    <n v="23"/>
    <n v="13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0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0"/>
    <x v="12"/>
    <x v="1"/>
    <x v="1"/>
    <n v="0.105961263892736"/>
    <n v="2E+20"/>
    <n v="0"/>
    <n v="0.4"/>
    <n v="0.133333333333333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0"/>
    <x v="12"/>
    <x v="2"/>
    <x v="1"/>
    <n v="1.5894189583910401"/>
    <n v="2E+20"/>
    <n v="0"/>
    <n v="6"/>
    <n v="2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0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0"/>
    <x v="13"/>
    <x v="1"/>
    <x v="1"/>
    <n v="0.89322835502019504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0"/>
    <x v="13"/>
    <x v="2"/>
    <x v="1"/>
    <n v="1.7968913949876599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0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0"/>
    <x v="14"/>
    <x v="4"/>
    <x v="2"/>
    <n v="84.594951996708403"/>
    <n v="2E+20"/>
    <n v="0"/>
    <n v="126"/>
    <n v="100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0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0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0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0"/>
    <x v="16"/>
    <x v="1"/>
    <x v="1"/>
    <n v="0.98690384340996296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0"/>
    <x v="16"/>
    <x v="2"/>
    <x v="1"/>
    <n v="0.98690384340996296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0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0"/>
    <x v="17"/>
    <x v="1"/>
    <x v="1"/>
    <n v="0.98313807304046597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0"/>
    <x v="17"/>
    <x v="2"/>
    <x v="1"/>
    <n v="0.98313807304046597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0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0"/>
    <x v="18"/>
    <x v="1"/>
    <x v="1"/>
    <n v="0.98361198881928302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0"/>
    <x v="18"/>
    <x v="2"/>
    <x v="1"/>
    <n v="0.98361198881928302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0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11"/>
    <x v="0"/>
    <x v="0"/>
    <x v="0"/>
    <n v="6.2550245587323401"/>
    <n v="2E+20"/>
    <n v="0"/>
    <n v="31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1"/>
    <x v="1"/>
    <x v="0"/>
    <x v="0"/>
    <n v="3.75080621044052"/>
    <n v="2E+20"/>
    <n v="0"/>
    <n v="18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1"/>
    <x v="2"/>
    <x v="0"/>
    <x v="0"/>
    <n v="3.3533385609948301"/>
    <n v="2E+20"/>
    <n v="0"/>
    <n v="13"/>
    <n v="5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1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1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1"/>
    <x v="5"/>
    <x v="0"/>
    <x v="0"/>
    <n v="1.15189013557857"/>
    <n v="2E+20"/>
    <n v="0"/>
    <n v="9"/>
    <n v="6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1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1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1"/>
    <x v="8"/>
    <x v="1"/>
    <x v="1"/>
    <n v="3.5523138114882301E-2"/>
    <n v="2E+20"/>
    <n v="0"/>
    <n v="0.2"/>
    <n v="0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1"/>
    <x v="8"/>
    <x v="2"/>
    <x v="1"/>
    <n v="0.71046276229764704"/>
    <n v="2E+20"/>
    <n v="0"/>
    <n v="4"/>
    <n v="0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1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1"/>
    <x v="9"/>
    <x v="1"/>
    <x v="1"/>
    <n v="0.27496885846621"/>
    <n v="2E+20"/>
    <n v="0"/>
    <n v="0.7"/>
    <n v="0.2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1"/>
    <x v="9"/>
    <x v="2"/>
    <x v="1"/>
    <n v="5.4993771693242"/>
    <n v="2E+20"/>
    <n v="0"/>
    <n v="14"/>
    <n v="4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1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1"/>
    <x v="10"/>
    <x v="1"/>
    <x v="1"/>
    <n v="0.66772673585284703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1"/>
    <x v="10"/>
    <x v="2"/>
    <x v="1"/>
    <n v="6.6772673585284696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1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1"/>
    <x v="11"/>
    <x v="1"/>
    <x v="1"/>
    <n v="0.181186689002104"/>
    <n v="2E+20"/>
    <n v="0"/>
    <n v="0.42"/>
    <n v="0.14000000000000001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1"/>
    <x v="11"/>
    <x v="2"/>
    <x v="1"/>
    <n v="9.0593344501051902"/>
    <n v="2E+20"/>
    <n v="0"/>
    <n v="21"/>
    <n v="7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1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1"/>
    <x v="12"/>
    <x v="1"/>
    <x v="1"/>
    <n v="0.100802419981702"/>
    <n v="2E+20"/>
    <n v="0"/>
    <n v="0.46666666666666701"/>
    <n v="0.133333333333333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1"/>
    <x v="12"/>
    <x v="2"/>
    <x v="1"/>
    <n v="1.5120362997255199"/>
    <n v="2E+20"/>
    <n v="0"/>
    <n v="7"/>
    <n v="2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1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1"/>
    <x v="13"/>
    <x v="1"/>
    <x v="1"/>
    <n v="0.859353529309685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1"/>
    <x v="13"/>
    <x v="2"/>
    <x v="1"/>
    <n v="1.6952634947713301"/>
    <n v="2E+20"/>
    <n v="0"/>
    <n v="3"/>
    <n v="1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1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1"/>
    <x v="14"/>
    <x v="4"/>
    <x v="2"/>
    <n v="52.730732006888204"/>
    <n v="2E+20"/>
    <n v="0"/>
    <n v="82"/>
    <n v="49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1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1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1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1"/>
    <x v="16"/>
    <x v="1"/>
    <x v="1"/>
    <n v="0.75077130981181806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1"/>
    <x v="16"/>
    <x v="2"/>
    <x v="1"/>
    <n v="0.75077130981181806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1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1"/>
    <x v="17"/>
    <x v="1"/>
    <x v="1"/>
    <n v="0.81599937008005397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1"/>
    <x v="17"/>
    <x v="2"/>
    <x v="1"/>
    <n v="0.81599937008005397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1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1"/>
    <x v="18"/>
    <x v="1"/>
    <x v="1"/>
    <n v="0.87145477591520804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1"/>
    <x v="18"/>
    <x v="2"/>
    <x v="1"/>
    <n v="0.87145477591520804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1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12"/>
    <x v="0"/>
    <x v="0"/>
    <x v="0"/>
    <n v="5.0390704921782401"/>
    <n v="2E+20"/>
    <n v="0"/>
    <n v="21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2"/>
    <x v="1"/>
    <x v="0"/>
    <x v="0"/>
    <n v="3.6356366836184399"/>
    <n v="2E+20"/>
    <n v="0"/>
    <n v="16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2"/>
    <x v="2"/>
    <x v="0"/>
    <x v="0"/>
    <n v="6.2514956573035203"/>
    <n v="2E+20"/>
    <n v="0"/>
    <n v="18"/>
    <n v="2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2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2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2"/>
    <x v="5"/>
    <x v="0"/>
    <x v="0"/>
    <n v="0.663527741450048"/>
    <n v="2E+20"/>
    <n v="0"/>
    <n v="7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2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2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2"/>
    <x v="8"/>
    <x v="1"/>
    <x v="1"/>
    <n v="2.9507417656767201E-2"/>
    <n v="2E+20"/>
    <n v="0"/>
    <n v="0.2"/>
    <n v="0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2"/>
    <x v="8"/>
    <x v="2"/>
    <x v="1"/>
    <n v="0.59014835313534397"/>
    <n v="2E+20"/>
    <n v="0"/>
    <n v="4"/>
    <n v="0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2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2"/>
    <x v="9"/>
    <x v="1"/>
    <x v="1"/>
    <n v="0.21491141235396499"/>
    <n v="2E+20"/>
    <n v="0"/>
    <n v="0.65"/>
    <n v="0.1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2"/>
    <x v="9"/>
    <x v="2"/>
    <x v="1"/>
    <n v="4.2982282470793001"/>
    <n v="2E+20"/>
    <n v="0"/>
    <n v="13"/>
    <n v="3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2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2"/>
    <x v="10"/>
    <x v="1"/>
    <x v="1"/>
    <n v="0.60252520259327202"/>
    <n v="2E+20"/>
    <n v="0"/>
    <n v="1"/>
    <n v="0.8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2"/>
    <x v="10"/>
    <x v="2"/>
    <x v="1"/>
    <n v="6.02525202593272"/>
    <n v="2E+20"/>
    <n v="0"/>
    <n v="10"/>
    <n v="8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2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2"/>
    <x v="11"/>
    <x v="1"/>
    <x v="1"/>
    <n v="0.16551692449424399"/>
    <n v="2E+20"/>
    <n v="0"/>
    <n v="0.4"/>
    <n v="0.16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2"/>
    <x v="11"/>
    <x v="2"/>
    <x v="1"/>
    <n v="8.2758462247121791"/>
    <n v="2E+20"/>
    <n v="0"/>
    <n v="20"/>
    <n v="8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2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2"/>
    <x v="12"/>
    <x v="1"/>
    <x v="1"/>
    <n v="9.6372163840602001E-2"/>
    <n v="2E+20"/>
    <n v="0"/>
    <n v="0.33333333333333298"/>
    <n v="6.6666666666666693E-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2"/>
    <x v="12"/>
    <x v="2"/>
    <x v="1"/>
    <n v="1.4455824576090299"/>
    <n v="2E+20"/>
    <n v="0"/>
    <n v="5"/>
    <n v="1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2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2"/>
    <x v="13"/>
    <x v="1"/>
    <x v="1"/>
    <n v="0.80702828669744398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2"/>
    <x v="13"/>
    <x v="2"/>
    <x v="1"/>
    <n v="1.55386041153988"/>
    <n v="2E+20"/>
    <n v="0"/>
    <n v="3"/>
    <n v="1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2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2"/>
    <x v="14"/>
    <x v="4"/>
    <x v="2"/>
    <n v="50.008434931141899"/>
    <n v="2E+20"/>
    <n v="0"/>
    <n v="82"/>
    <n v="41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2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2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2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2"/>
    <x v="16"/>
    <x v="1"/>
    <x v="1"/>
    <n v="0.86267190035330898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2"/>
    <x v="16"/>
    <x v="2"/>
    <x v="1"/>
    <n v="0.86267190035330898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2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2"/>
    <x v="17"/>
    <x v="1"/>
    <x v="1"/>
    <n v="0.92215993565851195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2"/>
    <x v="17"/>
    <x v="2"/>
    <x v="1"/>
    <n v="0.92215993565851195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2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2"/>
    <x v="18"/>
    <x v="1"/>
    <x v="1"/>
    <n v="0.92801019582311495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2"/>
    <x v="18"/>
    <x v="2"/>
    <x v="1"/>
    <n v="0.92801019582311495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2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13"/>
    <x v="0"/>
    <x v="0"/>
    <x v="0"/>
    <n v="7.3756219403609498"/>
    <n v="2E+20"/>
    <n v="0"/>
    <n v="35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3"/>
    <x v="1"/>
    <x v="0"/>
    <x v="0"/>
    <n v="5.3428755488959396"/>
    <n v="2E+20"/>
    <n v="0"/>
    <n v="26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3"/>
    <x v="2"/>
    <x v="0"/>
    <x v="0"/>
    <n v="5.0729948843121599"/>
    <n v="2E+20"/>
    <n v="0"/>
    <n v="18"/>
    <n v="0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3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3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3"/>
    <x v="5"/>
    <x v="0"/>
    <x v="0"/>
    <n v="0.25569152916708399"/>
    <n v="2E+20"/>
    <n v="0"/>
    <n v="5"/>
    <n v="3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3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3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3"/>
    <x v="8"/>
    <x v="1"/>
    <x v="1"/>
    <n v="3.6206108576948497E-2"/>
    <n v="2E+20"/>
    <n v="0"/>
    <n v="0.2"/>
    <n v="0.1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3"/>
    <x v="8"/>
    <x v="2"/>
    <x v="1"/>
    <n v="0.72412217153896996"/>
    <n v="2E+20"/>
    <n v="0"/>
    <n v="4"/>
    <n v="2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3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3"/>
    <x v="9"/>
    <x v="1"/>
    <x v="1"/>
    <n v="0.25194145829438302"/>
    <n v="2E+20"/>
    <n v="0"/>
    <n v="0.65"/>
    <n v="0.6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3"/>
    <x v="9"/>
    <x v="2"/>
    <x v="1"/>
    <n v="5.0388291658876598"/>
    <n v="2E+20"/>
    <n v="0"/>
    <n v="13"/>
    <n v="12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3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3"/>
    <x v="10"/>
    <x v="1"/>
    <x v="1"/>
    <n v="0.56227626351082505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3"/>
    <x v="10"/>
    <x v="2"/>
    <x v="1"/>
    <n v="5.6227626351082503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3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3"/>
    <x v="11"/>
    <x v="1"/>
    <x v="1"/>
    <n v="0.16392696373210799"/>
    <n v="2E+20"/>
    <n v="0"/>
    <n v="0.38"/>
    <n v="0.26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3"/>
    <x v="11"/>
    <x v="2"/>
    <x v="1"/>
    <n v="8.1963481866054195"/>
    <n v="2E+20"/>
    <n v="0"/>
    <n v="19"/>
    <n v="13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3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3"/>
    <x v="12"/>
    <x v="1"/>
    <x v="1"/>
    <n v="8.97347872480459E-2"/>
    <n v="2E+20"/>
    <n v="0"/>
    <n v="0.4"/>
    <n v="6.6666666666666693E-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3"/>
    <x v="12"/>
    <x v="2"/>
    <x v="1"/>
    <n v="1.3460218087206901"/>
    <n v="2E+20"/>
    <n v="0"/>
    <n v="6"/>
    <n v="1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3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3"/>
    <x v="13"/>
    <x v="1"/>
    <x v="1"/>
    <n v="0.80667500828455596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3"/>
    <x v="13"/>
    <x v="2"/>
    <x v="1"/>
    <n v="1.56944532617069"/>
    <n v="2E+20"/>
    <n v="0"/>
    <n v="3"/>
    <n v="1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3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3"/>
    <x v="14"/>
    <x v="4"/>
    <x v="2"/>
    <n v="52.237657207398001"/>
    <n v="2E+20"/>
    <n v="0"/>
    <n v="85"/>
    <n v="56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3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3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3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3"/>
    <x v="16"/>
    <x v="1"/>
    <x v="1"/>
    <n v="0.77915105395295903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3"/>
    <x v="16"/>
    <x v="2"/>
    <x v="1"/>
    <n v="0.77915105395295903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3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3"/>
    <x v="17"/>
    <x v="1"/>
    <x v="1"/>
    <n v="0.86787309610032204"/>
    <n v="2E+20"/>
    <n v="0"/>
    <n v="1"/>
    <n v="0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3"/>
    <x v="17"/>
    <x v="2"/>
    <x v="1"/>
    <n v="0.86787309610032204"/>
    <n v="2E+20"/>
    <n v="0"/>
    <n v="1"/>
    <n v="0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3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3"/>
    <x v="18"/>
    <x v="1"/>
    <x v="1"/>
    <n v="0.84014877554720702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3"/>
    <x v="18"/>
    <x v="2"/>
    <x v="1"/>
    <n v="0.84014877554720702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3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14"/>
    <x v="0"/>
    <x v="0"/>
    <x v="0"/>
    <n v="2.54942036426712"/>
    <n v="2E+20"/>
    <n v="0"/>
    <n v="15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4"/>
    <x v="1"/>
    <x v="0"/>
    <x v="0"/>
    <n v="1.89194307371314"/>
    <n v="2E+20"/>
    <n v="0"/>
    <n v="10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4"/>
    <x v="2"/>
    <x v="0"/>
    <x v="0"/>
    <n v="2.86189791014713"/>
    <n v="2E+20"/>
    <n v="0"/>
    <n v="16"/>
    <n v="0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4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4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4"/>
    <x v="5"/>
    <x v="0"/>
    <x v="0"/>
    <n v="0.38313136676056397"/>
    <n v="2E+20"/>
    <n v="0"/>
    <n v="7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4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4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4"/>
    <x v="8"/>
    <x v="1"/>
    <x v="1"/>
    <n v="2.5059628381973599E-2"/>
    <n v="2E+20"/>
    <n v="0"/>
    <n v="0.15"/>
    <n v="0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4"/>
    <x v="8"/>
    <x v="2"/>
    <x v="1"/>
    <n v="0.50119256763947195"/>
    <n v="2E+20"/>
    <n v="0"/>
    <n v="3"/>
    <n v="0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4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4"/>
    <x v="9"/>
    <x v="1"/>
    <x v="1"/>
    <n v="0.23134390421608"/>
    <n v="2E+20"/>
    <n v="0"/>
    <n v="0.75"/>
    <n v="0.4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4"/>
    <x v="9"/>
    <x v="2"/>
    <x v="1"/>
    <n v="4.6268780843215902"/>
    <n v="2E+20"/>
    <n v="0"/>
    <n v="15"/>
    <n v="8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4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4"/>
    <x v="10"/>
    <x v="1"/>
    <x v="1"/>
    <n v="0.56693105671297805"/>
    <n v="2E+20"/>
    <n v="0"/>
    <n v="1"/>
    <n v="0.7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4"/>
    <x v="10"/>
    <x v="2"/>
    <x v="1"/>
    <n v="5.6693105671297799"/>
    <n v="2E+20"/>
    <n v="0"/>
    <n v="10"/>
    <n v="7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4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4"/>
    <x v="11"/>
    <x v="1"/>
    <x v="1"/>
    <n v="0.156339285259783"/>
    <n v="2E+20"/>
    <n v="0"/>
    <n v="0.4"/>
    <n v="0.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4"/>
    <x v="11"/>
    <x v="2"/>
    <x v="1"/>
    <n v="7.8169642629891403"/>
    <n v="2E+20"/>
    <n v="0"/>
    <n v="20"/>
    <n v="10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4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4"/>
    <x v="12"/>
    <x v="1"/>
    <x v="1"/>
    <n v="7.4778736536586704E-2"/>
    <n v="2E+20"/>
    <n v="0"/>
    <n v="0.33333333333333298"/>
    <n v="6.6666666666666693E-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4"/>
    <x v="12"/>
    <x v="2"/>
    <x v="1"/>
    <n v="1.1216810480488"/>
    <n v="2E+20"/>
    <n v="0"/>
    <n v="5"/>
    <n v="1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4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4"/>
    <x v="13"/>
    <x v="1"/>
    <x v="1"/>
    <n v="0.75621814082838001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4"/>
    <x v="13"/>
    <x v="2"/>
    <x v="1"/>
    <n v="1.40258481250358"/>
    <n v="2E+20"/>
    <n v="0"/>
    <n v="3"/>
    <n v="2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4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4"/>
    <x v="14"/>
    <x v="4"/>
    <x v="2"/>
    <n v="40.185573116726303"/>
    <n v="2E+20"/>
    <n v="0"/>
    <n v="61"/>
    <n v="39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4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4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4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4"/>
    <x v="16"/>
    <x v="1"/>
    <x v="1"/>
    <n v="0.68750849306624195"/>
    <n v="2E+20"/>
    <n v="0"/>
    <n v="1"/>
    <n v="0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4"/>
    <x v="16"/>
    <x v="2"/>
    <x v="1"/>
    <n v="0.68750849306624195"/>
    <n v="2E+20"/>
    <n v="0"/>
    <n v="1"/>
    <n v="0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4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4"/>
    <x v="17"/>
    <x v="1"/>
    <x v="1"/>
    <n v="0.80634608379679995"/>
    <n v="2E+20"/>
    <n v="0"/>
    <n v="1"/>
    <n v="0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4"/>
    <x v="17"/>
    <x v="2"/>
    <x v="1"/>
    <n v="0.80634608379679995"/>
    <n v="2E+20"/>
    <n v="0"/>
    <n v="1"/>
    <n v="0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4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4"/>
    <x v="18"/>
    <x v="1"/>
    <x v="1"/>
    <n v="0.856554999150001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4"/>
    <x v="18"/>
    <x v="2"/>
    <x v="1"/>
    <n v="0.856554999150001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4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15"/>
    <x v="0"/>
    <x v="0"/>
    <x v="0"/>
    <n v="3.2560507552233999"/>
    <n v="2E+20"/>
    <n v="0"/>
    <n v="17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5"/>
    <x v="1"/>
    <x v="0"/>
    <x v="0"/>
    <n v="2.5713843445080999"/>
    <n v="2E+20"/>
    <n v="0"/>
    <n v="13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5"/>
    <x v="2"/>
    <x v="0"/>
    <x v="0"/>
    <n v="1.7981274225500701"/>
    <n v="2E+20"/>
    <n v="0"/>
    <n v="12"/>
    <n v="3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5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5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5"/>
    <x v="5"/>
    <x v="0"/>
    <x v="0"/>
    <n v="0.51080784033707405"/>
    <n v="2E+20"/>
    <n v="0"/>
    <n v="8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5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5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5"/>
    <x v="8"/>
    <x v="1"/>
    <x v="1"/>
    <n v="4.18742270562142E-2"/>
    <n v="2E+20"/>
    <n v="0"/>
    <n v="0.2"/>
    <n v="0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5"/>
    <x v="8"/>
    <x v="2"/>
    <x v="1"/>
    <n v="0.83748454112428505"/>
    <n v="2E+20"/>
    <n v="0"/>
    <n v="4"/>
    <n v="0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5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5"/>
    <x v="9"/>
    <x v="1"/>
    <x v="1"/>
    <n v="0.23700520774289599"/>
    <n v="2E+20"/>
    <n v="0"/>
    <n v="0.95"/>
    <n v="0.0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5"/>
    <x v="9"/>
    <x v="2"/>
    <x v="1"/>
    <n v="4.7401041548579101"/>
    <n v="2E+20"/>
    <n v="0"/>
    <n v="19"/>
    <n v="1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5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5"/>
    <x v="10"/>
    <x v="1"/>
    <x v="1"/>
    <n v="0.54289788173472797"/>
    <n v="2E+20"/>
    <n v="0"/>
    <n v="1"/>
    <n v="0.4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5"/>
    <x v="10"/>
    <x v="2"/>
    <x v="1"/>
    <n v="5.4289788173472902"/>
    <n v="2E+20"/>
    <n v="0"/>
    <n v="10"/>
    <n v="4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5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5"/>
    <x v="11"/>
    <x v="1"/>
    <x v="1"/>
    <n v="0.155305459764535"/>
    <n v="2E+20"/>
    <n v="0"/>
    <n v="0.38"/>
    <n v="0.16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5"/>
    <x v="11"/>
    <x v="2"/>
    <x v="1"/>
    <n v="7.7652729882267497"/>
    <n v="2E+20"/>
    <n v="0"/>
    <n v="19"/>
    <n v="8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5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5"/>
    <x v="12"/>
    <x v="1"/>
    <x v="1"/>
    <n v="8.4563850577011296E-2"/>
    <n v="2E+20"/>
    <n v="0"/>
    <n v="0.46666666666666701"/>
    <n v="0.133333333333333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5"/>
    <x v="12"/>
    <x v="2"/>
    <x v="1"/>
    <n v="1.26845775865517"/>
    <n v="2E+20"/>
    <n v="0"/>
    <n v="7"/>
    <n v="2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5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5"/>
    <x v="13"/>
    <x v="1"/>
    <x v="1"/>
    <n v="0.76047485553931604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5"/>
    <x v="13"/>
    <x v="2"/>
    <x v="1"/>
    <n v="1.49647791670823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5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5"/>
    <x v="14"/>
    <x v="4"/>
    <x v="2"/>
    <n v="40.980019509100799"/>
    <n v="2E+20"/>
    <n v="0"/>
    <n v="74"/>
    <n v="39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5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5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5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5"/>
    <x v="16"/>
    <x v="1"/>
    <x v="1"/>
    <n v="0.634589476164233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5"/>
    <x v="16"/>
    <x v="2"/>
    <x v="1"/>
    <n v="0.634589476164233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5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5"/>
    <x v="17"/>
    <x v="1"/>
    <x v="1"/>
    <n v="0.74546776871926002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5"/>
    <x v="17"/>
    <x v="2"/>
    <x v="1"/>
    <n v="0.74546776871926002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5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5"/>
    <x v="18"/>
    <x v="1"/>
    <x v="1"/>
    <n v="0.75085394188093801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5"/>
    <x v="18"/>
    <x v="2"/>
    <x v="1"/>
    <n v="0.75085394188093801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5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16"/>
    <x v="0"/>
    <x v="0"/>
    <x v="0"/>
    <n v="8.4577257056892101"/>
    <n v="2E+20"/>
    <n v="0"/>
    <n v="31"/>
    <n v="1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6"/>
    <x v="1"/>
    <x v="0"/>
    <x v="0"/>
    <n v="5.5890741816803002"/>
    <n v="2E+20"/>
    <n v="0"/>
    <n v="25"/>
    <n v="1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6"/>
    <x v="2"/>
    <x v="0"/>
    <x v="0"/>
    <n v="11.0450708325964"/>
    <n v="2E+20"/>
    <n v="0"/>
    <n v="22"/>
    <n v="11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6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6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6"/>
    <x v="5"/>
    <x v="0"/>
    <x v="0"/>
    <n v="4.01923244362745"/>
    <n v="2E+20"/>
    <n v="0"/>
    <n v="19"/>
    <n v="13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6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6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6"/>
    <x v="8"/>
    <x v="1"/>
    <x v="1"/>
    <n v="4.09263044510004E-2"/>
    <n v="2E+20"/>
    <n v="0"/>
    <n v="0.25"/>
    <n v="0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6"/>
    <x v="8"/>
    <x v="2"/>
    <x v="1"/>
    <n v="0.81852608902000901"/>
    <n v="2E+20"/>
    <n v="0"/>
    <n v="5"/>
    <n v="0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6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6"/>
    <x v="9"/>
    <x v="1"/>
    <x v="1"/>
    <n v="0.27570611278698198"/>
    <n v="2E+20"/>
    <n v="0"/>
    <n v="0.65"/>
    <n v="0.2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6"/>
    <x v="9"/>
    <x v="2"/>
    <x v="1"/>
    <n v="5.5141222557396503"/>
    <n v="2E+20"/>
    <n v="0"/>
    <n v="13"/>
    <n v="5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6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6"/>
    <x v="10"/>
    <x v="1"/>
    <x v="1"/>
    <n v="0.67565522846140302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6"/>
    <x v="10"/>
    <x v="2"/>
    <x v="1"/>
    <n v="6.75655228461404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6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6"/>
    <x v="11"/>
    <x v="1"/>
    <x v="1"/>
    <n v="0.184187205555569"/>
    <n v="2E+20"/>
    <n v="0"/>
    <n v="0.46"/>
    <n v="0.2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6"/>
    <x v="11"/>
    <x v="2"/>
    <x v="1"/>
    <n v="9.2093602777784707"/>
    <n v="2E+20"/>
    <n v="0"/>
    <n v="23"/>
    <n v="11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6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6"/>
    <x v="12"/>
    <x v="1"/>
    <x v="1"/>
    <n v="0.10415783013028999"/>
    <n v="2E+20"/>
    <n v="0"/>
    <n v="0.46666666666666701"/>
    <n v="0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6"/>
    <x v="12"/>
    <x v="2"/>
    <x v="1"/>
    <n v="1.56236745195435"/>
    <n v="2E+20"/>
    <n v="0"/>
    <n v="7"/>
    <n v="0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6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6"/>
    <x v="13"/>
    <x v="1"/>
    <x v="1"/>
    <n v="0.88953428917371002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6"/>
    <x v="13"/>
    <x v="2"/>
    <x v="1"/>
    <n v="1.7235363551532501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6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6"/>
    <x v="14"/>
    <x v="4"/>
    <x v="2"/>
    <n v="68.573409144623795"/>
    <n v="2E+20"/>
    <n v="0"/>
    <n v="92"/>
    <n v="73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6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6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6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6"/>
    <x v="16"/>
    <x v="1"/>
    <x v="1"/>
    <n v="0.99383259650362799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6"/>
    <x v="16"/>
    <x v="2"/>
    <x v="1"/>
    <n v="0.99383259650362799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6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6"/>
    <x v="17"/>
    <x v="1"/>
    <x v="1"/>
    <n v="0.99245161744166299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6"/>
    <x v="17"/>
    <x v="2"/>
    <x v="1"/>
    <n v="0.99245161744166299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6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6"/>
    <x v="18"/>
    <x v="1"/>
    <x v="1"/>
    <n v="0.99245161744166299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6"/>
    <x v="18"/>
    <x v="2"/>
    <x v="1"/>
    <n v="0.99245161744166299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6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17"/>
    <x v="0"/>
    <x v="0"/>
    <x v="0"/>
    <n v="3.8594592768438201"/>
    <n v="2E+20"/>
    <n v="0"/>
    <n v="19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7"/>
    <x v="1"/>
    <x v="0"/>
    <x v="0"/>
    <n v="3.1187056673039302"/>
    <n v="2E+20"/>
    <n v="0"/>
    <n v="23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7"/>
    <x v="2"/>
    <x v="0"/>
    <x v="0"/>
    <n v="8.9959326283147103"/>
    <n v="2E+20"/>
    <n v="0"/>
    <n v="33"/>
    <n v="13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7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7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7"/>
    <x v="5"/>
    <x v="0"/>
    <x v="0"/>
    <n v="0.68954101400313395"/>
    <n v="2E+20"/>
    <n v="0"/>
    <n v="8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7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7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7"/>
    <x v="8"/>
    <x v="1"/>
    <x v="1"/>
    <n v="2.5652071136109799E-2"/>
    <n v="2E+20"/>
    <n v="0"/>
    <n v="0.1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7"/>
    <x v="8"/>
    <x v="2"/>
    <x v="1"/>
    <n v="0.513041422722195"/>
    <n v="2E+20"/>
    <n v="0"/>
    <n v="2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7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7"/>
    <x v="9"/>
    <x v="1"/>
    <x v="1"/>
    <n v="0.20767736113278101"/>
    <n v="2E+20"/>
    <n v="0"/>
    <n v="0.6"/>
    <n v="0.3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7"/>
    <x v="9"/>
    <x v="2"/>
    <x v="1"/>
    <n v="4.15354722265561"/>
    <n v="2E+20"/>
    <n v="0"/>
    <n v="12"/>
    <n v="6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7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7"/>
    <x v="10"/>
    <x v="1"/>
    <x v="1"/>
    <n v="0.61213580890595198"/>
    <n v="2E+20"/>
    <n v="0"/>
    <n v="1"/>
    <n v="0.8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7"/>
    <x v="10"/>
    <x v="2"/>
    <x v="1"/>
    <n v="6.1213580890595098"/>
    <n v="2E+20"/>
    <n v="0"/>
    <n v="10"/>
    <n v="8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7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7"/>
    <x v="11"/>
    <x v="1"/>
    <x v="1"/>
    <n v="0.16596339133478299"/>
    <n v="2E+20"/>
    <n v="0"/>
    <n v="0.38"/>
    <n v="0.34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7"/>
    <x v="11"/>
    <x v="2"/>
    <x v="1"/>
    <n v="8.2981695667391406"/>
    <n v="2E+20"/>
    <n v="0"/>
    <n v="19"/>
    <n v="17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7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7"/>
    <x v="12"/>
    <x v="1"/>
    <x v="1"/>
    <n v="9.0406323384256804E-2"/>
    <n v="2E+20"/>
    <n v="0"/>
    <n v="0.4"/>
    <n v="0.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7"/>
    <x v="12"/>
    <x v="2"/>
    <x v="1"/>
    <n v="1.3560948507638499"/>
    <n v="2E+20"/>
    <n v="0"/>
    <n v="6"/>
    <n v="3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7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7"/>
    <x v="13"/>
    <x v="1"/>
    <x v="1"/>
    <n v="0.76012885575129596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7"/>
    <x v="13"/>
    <x v="2"/>
    <x v="1"/>
    <n v="1.4427534164898601"/>
    <n v="2E+20"/>
    <n v="0"/>
    <n v="3"/>
    <n v="2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7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7"/>
    <x v="14"/>
    <x v="4"/>
    <x v="2"/>
    <n v="50.270974381564898"/>
    <n v="2E+20"/>
    <n v="0"/>
    <n v="76"/>
    <n v="71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7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7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7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7"/>
    <x v="16"/>
    <x v="1"/>
    <x v="1"/>
    <n v="0.87322022190649395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7"/>
    <x v="16"/>
    <x v="2"/>
    <x v="1"/>
    <n v="0.87322022190649395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7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7"/>
    <x v="17"/>
    <x v="1"/>
    <x v="1"/>
    <n v="0.937181093881019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7"/>
    <x v="17"/>
    <x v="2"/>
    <x v="1"/>
    <n v="0.937181093881019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7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7"/>
    <x v="18"/>
    <x v="1"/>
    <x v="1"/>
    <n v="0.89960924614834004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7"/>
    <x v="18"/>
    <x v="2"/>
    <x v="1"/>
    <n v="0.89960924614834004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7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18"/>
    <x v="0"/>
    <x v="0"/>
    <x v="0"/>
    <n v="4.4228958782776999"/>
    <n v="2E+20"/>
    <n v="0"/>
    <n v="19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8"/>
    <x v="1"/>
    <x v="0"/>
    <x v="0"/>
    <n v="3.4440524621951001"/>
    <n v="2E+20"/>
    <n v="0"/>
    <n v="20"/>
    <n v="1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8"/>
    <x v="2"/>
    <x v="0"/>
    <x v="0"/>
    <n v="7.33731752460446"/>
    <n v="2E+20"/>
    <n v="0"/>
    <n v="20"/>
    <n v="0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8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8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8"/>
    <x v="5"/>
    <x v="0"/>
    <x v="0"/>
    <n v="2.4906298676745799"/>
    <n v="2E+20"/>
    <n v="0"/>
    <n v="17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8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8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8"/>
    <x v="8"/>
    <x v="1"/>
    <x v="1"/>
    <n v="3.9472888791699398E-2"/>
    <n v="2E+20"/>
    <n v="0"/>
    <n v="0.25"/>
    <n v="0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8"/>
    <x v="8"/>
    <x v="2"/>
    <x v="1"/>
    <n v="0.78945777583398802"/>
    <n v="2E+20"/>
    <n v="0"/>
    <n v="5"/>
    <n v="0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8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8"/>
    <x v="9"/>
    <x v="1"/>
    <x v="1"/>
    <n v="0.26676102918900901"/>
    <n v="2E+20"/>
    <n v="0"/>
    <n v="0.85"/>
    <n v="0.8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8"/>
    <x v="9"/>
    <x v="2"/>
    <x v="1"/>
    <n v="5.33522058378019"/>
    <n v="2E+20"/>
    <n v="0"/>
    <n v="17"/>
    <n v="16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8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8"/>
    <x v="10"/>
    <x v="1"/>
    <x v="1"/>
    <n v="0.589626278609925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8"/>
    <x v="10"/>
    <x v="2"/>
    <x v="1"/>
    <n v="5.89626278609924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8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8"/>
    <x v="11"/>
    <x v="1"/>
    <x v="1"/>
    <n v="0.182841433157057"/>
    <n v="2E+20"/>
    <n v="0"/>
    <n v="0.44"/>
    <n v="0.3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8"/>
    <x v="11"/>
    <x v="2"/>
    <x v="1"/>
    <n v="9.1420716578528207"/>
    <n v="2E+20"/>
    <n v="0"/>
    <n v="22"/>
    <n v="16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8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8"/>
    <x v="12"/>
    <x v="1"/>
    <x v="1"/>
    <n v="9.6424634621743902E-2"/>
    <n v="2E+20"/>
    <n v="0"/>
    <n v="0.33333333333333298"/>
    <n v="0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8"/>
    <x v="12"/>
    <x v="2"/>
    <x v="1"/>
    <n v="1.4463695193261601"/>
    <n v="2E+20"/>
    <n v="0"/>
    <n v="5"/>
    <n v="0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8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8"/>
    <x v="13"/>
    <x v="1"/>
    <x v="1"/>
    <n v="0.85305663719444302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8"/>
    <x v="13"/>
    <x v="2"/>
    <x v="1"/>
    <n v="1.69657234509463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8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8"/>
    <x v="14"/>
    <x v="4"/>
    <x v="2"/>
    <n v="54.928629070356401"/>
    <n v="2E+20"/>
    <n v="0"/>
    <n v="80"/>
    <n v="66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8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8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8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8"/>
    <x v="16"/>
    <x v="1"/>
    <x v="1"/>
    <n v="0.90438981604937696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8"/>
    <x v="16"/>
    <x v="2"/>
    <x v="1"/>
    <n v="0.90438981604937696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8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8"/>
    <x v="17"/>
    <x v="1"/>
    <x v="1"/>
    <n v="0.91226802298649101"/>
    <n v="2E+20"/>
    <n v="0"/>
    <n v="1"/>
    <n v="0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8"/>
    <x v="17"/>
    <x v="2"/>
    <x v="1"/>
    <n v="0.91226802298649101"/>
    <n v="2E+20"/>
    <n v="0"/>
    <n v="1"/>
    <n v="0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8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8"/>
    <x v="18"/>
    <x v="1"/>
    <x v="1"/>
    <n v="0.913895490507594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8"/>
    <x v="18"/>
    <x v="2"/>
    <x v="1"/>
    <n v="0.913895490507594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8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19"/>
    <x v="0"/>
    <x v="0"/>
    <x v="0"/>
    <n v="4.3656885011500703"/>
    <n v="2E+20"/>
    <n v="0"/>
    <n v="24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19"/>
    <x v="1"/>
    <x v="0"/>
    <x v="0"/>
    <n v="2.7477672975056202"/>
    <n v="2E+20"/>
    <n v="0"/>
    <n v="17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19"/>
    <x v="2"/>
    <x v="0"/>
    <x v="0"/>
    <n v="4.2093572044884997"/>
    <n v="2E+20"/>
    <n v="0"/>
    <n v="19"/>
    <n v="5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19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19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19"/>
    <x v="5"/>
    <x v="0"/>
    <x v="0"/>
    <n v="0.59805843463733099"/>
    <n v="2E+20"/>
    <n v="0"/>
    <n v="8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19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19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19"/>
    <x v="8"/>
    <x v="1"/>
    <x v="1"/>
    <n v="3.5552247824865102E-2"/>
    <n v="2E+20"/>
    <n v="0"/>
    <n v="0.2"/>
    <n v="0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19"/>
    <x v="8"/>
    <x v="2"/>
    <x v="1"/>
    <n v="0.71104495649730304"/>
    <n v="2E+20"/>
    <n v="0"/>
    <n v="4"/>
    <n v="0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19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19"/>
    <x v="9"/>
    <x v="1"/>
    <x v="1"/>
    <n v="0.220856071251576"/>
    <n v="2E+20"/>
    <n v="0"/>
    <n v="0.5"/>
    <n v="0.4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19"/>
    <x v="9"/>
    <x v="2"/>
    <x v="1"/>
    <n v="4.4171214250315201"/>
    <n v="2E+20"/>
    <n v="0"/>
    <n v="10"/>
    <n v="8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19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19"/>
    <x v="10"/>
    <x v="1"/>
    <x v="1"/>
    <n v="0.62420848062589296"/>
    <n v="2E+20"/>
    <n v="0"/>
    <n v="1"/>
    <n v="0.7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19"/>
    <x v="10"/>
    <x v="2"/>
    <x v="1"/>
    <n v="6.2420848062589398"/>
    <n v="2E+20"/>
    <n v="0"/>
    <n v="10"/>
    <n v="7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19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19"/>
    <x v="11"/>
    <x v="1"/>
    <x v="1"/>
    <n v="0.181158017537523"/>
    <n v="2E+20"/>
    <n v="0"/>
    <n v="0.42"/>
    <n v="0.2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19"/>
    <x v="11"/>
    <x v="2"/>
    <x v="1"/>
    <n v="9.0579008768761504"/>
    <n v="2E+20"/>
    <n v="0"/>
    <n v="21"/>
    <n v="11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19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19"/>
    <x v="12"/>
    <x v="1"/>
    <x v="1"/>
    <n v="0.108791637869777"/>
    <n v="2E+20"/>
    <n v="0"/>
    <n v="0.4"/>
    <n v="0.33333333333333298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19"/>
    <x v="12"/>
    <x v="2"/>
    <x v="1"/>
    <n v="1.63187456804665"/>
    <n v="2E+20"/>
    <n v="0"/>
    <n v="6"/>
    <n v="5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19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19"/>
    <x v="13"/>
    <x v="1"/>
    <x v="1"/>
    <n v="0.81180560519537504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19"/>
    <x v="13"/>
    <x v="2"/>
    <x v="1"/>
    <n v="1.6008182257274299"/>
    <n v="2E+20"/>
    <n v="0"/>
    <n v="3"/>
    <n v="2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19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19"/>
    <x v="14"/>
    <x v="4"/>
    <x v="2"/>
    <n v="48.193002085840803"/>
    <n v="2E+20"/>
    <n v="0"/>
    <n v="81"/>
    <n v="58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19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19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19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19"/>
    <x v="16"/>
    <x v="1"/>
    <x v="1"/>
    <n v="0.82661481805995896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9"/>
    <x v="16"/>
    <x v="2"/>
    <x v="1"/>
    <n v="0.82661481805995896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19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19"/>
    <x v="17"/>
    <x v="1"/>
    <x v="1"/>
    <n v="0.83593383929965304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9"/>
    <x v="17"/>
    <x v="2"/>
    <x v="1"/>
    <n v="0.83593383929965304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19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19"/>
    <x v="18"/>
    <x v="1"/>
    <x v="1"/>
    <n v="0.89578446286764302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9"/>
    <x v="18"/>
    <x v="2"/>
    <x v="1"/>
    <n v="0.89578446286764302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19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0"/>
    <x v="0"/>
    <x v="0"/>
    <x v="0"/>
    <n v="6.6536388194253302"/>
    <n v="2E+20"/>
    <n v="0"/>
    <n v="24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0"/>
    <x v="1"/>
    <x v="0"/>
    <x v="0"/>
    <n v="5.4627946301772603"/>
    <n v="2E+20"/>
    <n v="0"/>
    <n v="25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0"/>
    <x v="2"/>
    <x v="0"/>
    <x v="0"/>
    <n v="15.6228291466876"/>
    <n v="2E+20"/>
    <n v="0"/>
    <n v="34"/>
    <n v="17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0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0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0"/>
    <x v="5"/>
    <x v="0"/>
    <x v="0"/>
    <n v="4.1119263103435699"/>
    <n v="2E+20"/>
    <n v="0"/>
    <n v="20"/>
    <n v="7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0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0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0"/>
    <x v="8"/>
    <x v="1"/>
    <x v="1"/>
    <n v="4.4659738635868598E-2"/>
    <n v="2E+20"/>
    <n v="0"/>
    <n v="0.25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0"/>
    <x v="8"/>
    <x v="2"/>
    <x v="1"/>
    <n v="0.89319477271737202"/>
    <n v="2E+20"/>
    <n v="0"/>
    <n v="5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0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0"/>
    <x v="9"/>
    <x v="1"/>
    <x v="1"/>
    <n v="0.283824198675041"/>
    <n v="2E+20"/>
    <n v="0"/>
    <n v="0.85"/>
    <n v="0.3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0"/>
    <x v="9"/>
    <x v="2"/>
    <x v="1"/>
    <n v="5.6764839735008303"/>
    <n v="2E+20"/>
    <n v="0"/>
    <n v="17"/>
    <n v="6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0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0"/>
    <x v="10"/>
    <x v="1"/>
    <x v="1"/>
    <n v="0.65467684903063195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0"/>
    <x v="10"/>
    <x v="2"/>
    <x v="1"/>
    <n v="6.5467684903063201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0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0"/>
    <x v="11"/>
    <x v="1"/>
    <x v="1"/>
    <n v="0.18742276074689301"/>
    <n v="2E+20"/>
    <n v="0"/>
    <n v="0.42"/>
    <n v="0.18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0"/>
    <x v="11"/>
    <x v="2"/>
    <x v="1"/>
    <n v="9.3711380373446307"/>
    <n v="2E+20"/>
    <n v="0"/>
    <n v="21"/>
    <n v="9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0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0"/>
    <x v="12"/>
    <x v="1"/>
    <x v="1"/>
    <n v="0.10618494100836499"/>
    <n v="2E+20"/>
    <n v="0"/>
    <n v="0.4"/>
    <n v="6.6666666666666693E-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0"/>
    <x v="12"/>
    <x v="2"/>
    <x v="1"/>
    <n v="1.59277411512547"/>
    <n v="2E+20"/>
    <n v="0"/>
    <n v="6"/>
    <n v="1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0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0"/>
    <x v="13"/>
    <x v="1"/>
    <x v="1"/>
    <n v="0.90592850818388704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0"/>
    <x v="13"/>
    <x v="2"/>
    <x v="1"/>
    <n v="1.76415266727598"/>
    <n v="2E+20"/>
    <n v="0"/>
    <n v="3"/>
    <n v="1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0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0"/>
    <x v="14"/>
    <x v="4"/>
    <x v="2"/>
    <n v="71.530584085693306"/>
    <n v="2E+20"/>
    <n v="0"/>
    <n v="97"/>
    <n v="65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0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0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0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0"/>
    <x v="16"/>
    <x v="1"/>
    <x v="1"/>
    <n v="0.97148290656343195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0"/>
    <x v="16"/>
    <x v="2"/>
    <x v="1"/>
    <n v="0.97148290656343195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0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0"/>
    <x v="17"/>
    <x v="1"/>
    <x v="1"/>
    <n v="0.97759293220517096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0"/>
    <x v="17"/>
    <x v="2"/>
    <x v="1"/>
    <n v="0.97759293220517096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0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0"/>
    <x v="18"/>
    <x v="1"/>
    <x v="1"/>
    <n v="0.96346898910953505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0"/>
    <x v="18"/>
    <x v="2"/>
    <x v="1"/>
    <n v="0.96346898910953505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0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1"/>
    <x v="0"/>
    <x v="0"/>
    <x v="0"/>
    <n v="9.3827575078214593"/>
    <n v="2E+20"/>
    <n v="0"/>
    <n v="26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1"/>
    <x v="1"/>
    <x v="0"/>
    <x v="0"/>
    <n v="8.0603747791942499"/>
    <n v="2E+20"/>
    <n v="0"/>
    <n v="33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1"/>
    <x v="2"/>
    <x v="0"/>
    <x v="0"/>
    <n v="11.954142270337201"/>
    <n v="2E+20"/>
    <n v="0"/>
    <n v="30"/>
    <n v="6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1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1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1"/>
    <x v="5"/>
    <x v="0"/>
    <x v="0"/>
    <n v="0.85423743724636503"/>
    <n v="2E+20"/>
    <n v="0"/>
    <n v="7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1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1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1"/>
    <x v="8"/>
    <x v="1"/>
    <x v="1"/>
    <n v="3.9989315384591002E-2"/>
    <n v="2E+20"/>
    <n v="0"/>
    <n v="0.2"/>
    <n v="0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1"/>
    <x v="8"/>
    <x v="2"/>
    <x v="1"/>
    <n v="0.79978630769181902"/>
    <n v="2E+20"/>
    <n v="0"/>
    <n v="4"/>
    <n v="0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1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1"/>
    <x v="9"/>
    <x v="1"/>
    <x v="1"/>
    <n v="0.24792793572589999"/>
    <n v="2E+20"/>
    <n v="0"/>
    <n v="0.6"/>
    <n v="0.4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1"/>
    <x v="9"/>
    <x v="2"/>
    <x v="1"/>
    <n v="4.9585587145180003"/>
    <n v="2E+20"/>
    <n v="0"/>
    <n v="12"/>
    <n v="8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1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1"/>
    <x v="10"/>
    <x v="1"/>
    <x v="1"/>
    <n v="0.64554233462512001"/>
    <n v="2E+20"/>
    <n v="0"/>
    <n v="1"/>
    <n v="0.4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1"/>
    <x v="10"/>
    <x v="2"/>
    <x v="1"/>
    <n v="6.4554233462511901"/>
    <n v="2E+20"/>
    <n v="0"/>
    <n v="10"/>
    <n v="4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1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1"/>
    <x v="11"/>
    <x v="1"/>
    <x v="1"/>
    <n v="0.18740662422347301"/>
    <n v="2E+20"/>
    <n v="0"/>
    <n v="0.38"/>
    <n v="0.24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1"/>
    <x v="11"/>
    <x v="2"/>
    <x v="1"/>
    <n v="9.3703312111736405"/>
    <n v="2E+20"/>
    <n v="0"/>
    <n v="19"/>
    <n v="12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1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1"/>
    <x v="12"/>
    <x v="1"/>
    <x v="1"/>
    <n v="0.10701158519601001"/>
    <n v="2E+20"/>
    <n v="0"/>
    <n v="0.4"/>
    <n v="0.133333333333333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1"/>
    <x v="12"/>
    <x v="2"/>
    <x v="1"/>
    <n v="1.60517377794016"/>
    <n v="2E+20"/>
    <n v="0"/>
    <n v="6"/>
    <n v="2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1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1"/>
    <x v="13"/>
    <x v="1"/>
    <x v="1"/>
    <n v="0.89185005725050803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1"/>
    <x v="13"/>
    <x v="2"/>
    <x v="1"/>
    <n v="1.74941182233519"/>
    <n v="2E+20"/>
    <n v="0"/>
    <n v="3"/>
    <n v="1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1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1"/>
    <x v="14"/>
    <x v="4"/>
    <x v="2"/>
    <n v="68.606697509327304"/>
    <n v="2E+20"/>
    <n v="0"/>
    <n v="102"/>
    <n v="50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1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1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1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1"/>
    <x v="16"/>
    <x v="1"/>
    <x v="1"/>
    <n v="0.916463621510891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1"/>
    <x v="16"/>
    <x v="2"/>
    <x v="1"/>
    <n v="0.916463621510891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1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1"/>
    <x v="17"/>
    <x v="1"/>
    <x v="1"/>
    <n v="0.92905906561244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1"/>
    <x v="17"/>
    <x v="2"/>
    <x v="1"/>
    <n v="0.92905906561244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1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1"/>
    <x v="18"/>
    <x v="1"/>
    <x v="1"/>
    <n v="0.91741321983720503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1"/>
    <x v="18"/>
    <x v="2"/>
    <x v="1"/>
    <n v="0.91741321983720503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1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2"/>
    <x v="0"/>
    <x v="0"/>
    <x v="0"/>
    <n v="4.6099938299685199"/>
    <n v="2E+20"/>
    <n v="0"/>
    <n v="20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2"/>
    <x v="1"/>
    <x v="0"/>
    <x v="0"/>
    <n v="3.8562811802852801"/>
    <n v="2E+20"/>
    <n v="0"/>
    <n v="21"/>
    <n v="1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2"/>
    <x v="2"/>
    <x v="0"/>
    <x v="0"/>
    <n v="2.3181834919325199"/>
    <n v="2E+20"/>
    <n v="0"/>
    <n v="11"/>
    <n v="6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2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2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2"/>
    <x v="5"/>
    <x v="0"/>
    <x v="0"/>
    <n v="4.5869485136026601E-2"/>
    <n v="2E+20"/>
    <n v="0"/>
    <n v="3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2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2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2"/>
    <x v="8"/>
    <x v="1"/>
    <x v="1"/>
    <n v="3.3227469149237902E-2"/>
    <n v="2E+20"/>
    <n v="0"/>
    <n v="0.2"/>
    <n v="0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2"/>
    <x v="8"/>
    <x v="2"/>
    <x v="1"/>
    <n v="0.66454938298475796"/>
    <n v="2E+20"/>
    <n v="0"/>
    <n v="4"/>
    <n v="0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2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2"/>
    <x v="9"/>
    <x v="1"/>
    <x v="1"/>
    <n v="0.23102303195412999"/>
    <n v="2E+20"/>
    <n v="0"/>
    <n v="0.5"/>
    <n v="0.1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2"/>
    <x v="9"/>
    <x v="2"/>
    <x v="1"/>
    <n v="4.6204606390825997"/>
    <n v="2E+20"/>
    <n v="0"/>
    <n v="10"/>
    <n v="3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2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2"/>
    <x v="10"/>
    <x v="1"/>
    <x v="1"/>
    <n v="0.56346421215110598"/>
    <n v="2E+20"/>
    <n v="0"/>
    <n v="1"/>
    <n v="0.9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2"/>
    <x v="10"/>
    <x v="2"/>
    <x v="1"/>
    <n v="5.63464212151107"/>
    <n v="2E+20"/>
    <n v="0"/>
    <n v="10"/>
    <n v="9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2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2"/>
    <x v="11"/>
    <x v="1"/>
    <x v="1"/>
    <n v="0.15878629061452401"/>
    <n v="2E+20"/>
    <n v="0"/>
    <n v="0.34"/>
    <n v="0.14000000000000001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2"/>
    <x v="11"/>
    <x v="2"/>
    <x v="1"/>
    <n v="7.9393145307262101"/>
    <n v="2E+20"/>
    <n v="0"/>
    <n v="17"/>
    <n v="7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2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2"/>
    <x v="12"/>
    <x v="1"/>
    <x v="1"/>
    <n v="8.1293560247452296E-2"/>
    <n v="2E+20"/>
    <n v="0"/>
    <n v="0.33333333333333298"/>
    <n v="0.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2"/>
    <x v="12"/>
    <x v="2"/>
    <x v="1"/>
    <n v="1.21940340371179"/>
    <n v="2E+20"/>
    <n v="0"/>
    <n v="5"/>
    <n v="3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2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2"/>
    <x v="13"/>
    <x v="1"/>
    <x v="1"/>
    <n v="0.77871377307874301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2"/>
    <x v="13"/>
    <x v="2"/>
    <x v="1"/>
    <n v="1.4810204642861899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2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2"/>
    <x v="14"/>
    <x v="4"/>
    <x v="2"/>
    <n v="44.016459980665999"/>
    <n v="2E+20"/>
    <n v="0"/>
    <n v="70"/>
    <n v="49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2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2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2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2"/>
    <x v="16"/>
    <x v="1"/>
    <x v="1"/>
    <n v="0.720732463961128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2"/>
    <x v="16"/>
    <x v="2"/>
    <x v="1"/>
    <n v="0.720732463961128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2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2"/>
    <x v="17"/>
    <x v="1"/>
    <x v="1"/>
    <n v="0.76175647530327495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2"/>
    <x v="17"/>
    <x v="2"/>
    <x v="1"/>
    <n v="0.76175647530327495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2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2"/>
    <x v="18"/>
    <x v="1"/>
    <x v="1"/>
    <n v="0.86406011243746295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2"/>
    <x v="18"/>
    <x v="2"/>
    <x v="1"/>
    <n v="0.86406011243746295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2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3"/>
    <x v="0"/>
    <x v="0"/>
    <x v="0"/>
    <n v="2.2853775994771"/>
    <n v="2E+20"/>
    <n v="0"/>
    <n v="15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3"/>
    <x v="1"/>
    <x v="0"/>
    <x v="0"/>
    <n v="1.4754093813695901"/>
    <n v="2E+20"/>
    <n v="0"/>
    <n v="9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3"/>
    <x v="2"/>
    <x v="0"/>
    <x v="0"/>
    <n v="2.2223721659289901"/>
    <n v="2E+20"/>
    <n v="0"/>
    <n v="10"/>
    <n v="1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3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3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3"/>
    <x v="5"/>
    <x v="0"/>
    <x v="0"/>
    <n v="0.17968420900453799"/>
    <n v="2E+20"/>
    <n v="0"/>
    <n v="5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3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3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3"/>
    <x v="8"/>
    <x v="1"/>
    <x v="1"/>
    <n v="3.0451088583282802E-2"/>
    <n v="2E+20"/>
    <n v="0"/>
    <n v="0.25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3"/>
    <x v="8"/>
    <x v="2"/>
    <x v="1"/>
    <n v="0.60902177166565596"/>
    <n v="2E+20"/>
    <n v="0"/>
    <n v="5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3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3"/>
    <x v="9"/>
    <x v="1"/>
    <x v="1"/>
    <n v="0.21763471517820801"/>
    <n v="2E+20"/>
    <n v="0"/>
    <n v="0.6"/>
    <n v="0.3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3"/>
    <x v="9"/>
    <x v="2"/>
    <x v="1"/>
    <n v="4.3526943035641503"/>
    <n v="2E+20"/>
    <n v="0"/>
    <n v="12"/>
    <n v="6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3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3"/>
    <x v="10"/>
    <x v="1"/>
    <x v="1"/>
    <n v="0.53156390183434898"/>
    <n v="2E+20"/>
    <n v="0"/>
    <n v="1"/>
    <n v="0.7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3"/>
    <x v="10"/>
    <x v="2"/>
    <x v="1"/>
    <n v="5.3156390183434903"/>
    <n v="2E+20"/>
    <n v="0"/>
    <n v="10"/>
    <n v="7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3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3"/>
    <x v="11"/>
    <x v="1"/>
    <x v="1"/>
    <n v="0.14484829778125299"/>
    <n v="2E+20"/>
    <n v="0"/>
    <n v="0.44"/>
    <n v="0.06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3"/>
    <x v="11"/>
    <x v="2"/>
    <x v="1"/>
    <n v="7.2424148890626396"/>
    <n v="2E+20"/>
    <n v="0"/>
    <n v="22"/>
    <n v="3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3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3"/>
    <x v="12"/>
    <x v="1"/>
    <x v="1"/>
    <n v="7.7329206101059894E-2"/>
    <n v="2E+20"/>
    <n v="0"/>
    <n v="0.4"/>
    <n v="0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3"/>
    <x v="12"/>
    <x v="2"/>
    <x v="1"/>
    <n v="1.1599380915159001"/>
    <n v="2E+20"/>
    <n v="0"/>
    <n v="6"/>
    <n v="0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3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3"/>
    <x v="13"/>
    <x v="1"/>
    <x v="1"/>
    <n v="0.74287797206966599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3"/>
    <x v="13"/>
    <x v="2"/>
    <x v="1"/>
    <n v="1.3726163545041801"/>
    <n v="2E+20"/>
    <n v="0"/>
    <n v="3"/>
    <n v="2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3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3"/>
    <x v="14"/>
    <x v="4"/>
    <x v="2"/>
    <n v="36.709886237305"/>
    <n v="2E+20"/>
    <n v="0"/>
    <n v="59"/>
    <n v="36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3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3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3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3"/>
    <x v="16"/>
    <x v="1"/>
    <x v="1"/>
    <n v="0.68623908393770205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3"/>
    <x v="16"/>
    <x v="2"/>
    <x v="1"/>
    <n v="0.68623908393770205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3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3"/>
    <x v="17"/>
    <x v="1"/>
    <x v="1"/>
    <n v="0.765483147292917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3"/>
    <x v="17"/>
    <x v="2"/>
    <x v="1"/>
    <n v="0.765483147292917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3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3"/>
    <x v="18"/>
    <x v="1"/>
    <x v="1"/>
    <n v="0.75560671418055303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3"/>
    <x v="18"/>
    <x v="2"/>
    <x v="1"/>
    <n v="0.75560671418055303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3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4"/>
    <x v="0"/>
    <x v="0"/>
    <x v="0"/>
    <n v="2.5783095314464699"/>
    <n v="2E+20"/>
    <n v="0"/>
    <n v="17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4"/>
    <x v="1"/>
    <x v="0"/>
    <x v="0"/>
    <n v="1.57397312007254"/>
    <n v="2E+20"/>
    <n v="0"/>
    <n v="13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4"/>
    <x v="2"/>
    <x v="0"/>
    <x v="0"/>
    <n v="11.5039779052666"/>
    <n v="2E+20"/>
    <n v="0"/>
    <n v="27"/>
    <n v="23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4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4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4"/>
    <x v="5"/>
    <x v="0"/>
    <x v="0"/>
    <n v="0.49317317875764399"/>
    <n v="2E+20"/>
    <n v="0"/>
    <n v="6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4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4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4"/>
    <x v="8"/>
    <x v="1"/>
    <x v="1"/>
    <n v="2.3718114155243601E-2"/>
    <n v="2E+20"/>
    <n v="0"/>
    <n v="0.15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4"/>
    <x v="8"/>
    <x v="2"/>
    <x v="1"/>
    <n v="0.47436228310487299"/>
    <n v="2E+20"/>
    <n v="0"/>
    <n v="3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4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4"/>
    <x v="9"/>
    <x v="1"/>
    <x v="1"/>
    <n v="0.22562670141869701"/>
    <n v="2E+20"/>
    <n v="0"/>
    <n v="0.6"/>
    <n v="0.2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4"/>
    <x v="9"/>
    <x v="2"/>
    <x v="1"/>
    <n v="4.5125340283739401"/>
    <n v="2E+20"/>
    <n v="0"/>
    <n v="12"/>
    <n v="5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4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4"/>
    <x v="10"/>
    <x v="1"/>
    <x v="1"/>
    <n v="0.59696568518832804"/>
    <n v="2E+20"/>
    <n v="0"/>
    <n v="1"/>
    <n v="0.6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4"/>
    <x v="10"/>
    <x v="2"/>
    <x v="1"/>
    <n v="5.96965685188328"/>
    <n v="2E+20"/>
    <n v="0"/>
    <n v="10"/>
    <n v="6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4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4"/>
    <x v="11"/>
    <x v="1"/>
    <x v="1"/>
    <n v="0.160142422616219"/>
    <n v="2E+20"/>
    <n v="0"/>
    <n v="0.4"/>
    <n v="0.28000000000000003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4"/>
    <x v="11"/>
    <x v="2"/>
    <x v="1"/>
    <n v="8.00712113081096"/>
    <n v="2E+20"/>
    <n v="0"/>
    <n v="20"/>
    <n v="14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4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4"/>
    <x v="12"/>
    <x v="1"/>
    <x v="1"/>
    <n v="8.1143797382031299E-2"/>
    <n v="2E+20"/>
    <n v="0"/>
    <n v="0.33333333333333298"/>
    <n v="0.266666666666667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4"/>
    <x v="12"/>
    <x v="2"/>
    <x v="1"/>
    <n v="1.21715696073047"/>
    <n v="2E+20"/>
    <n v="0"/>
    <n v="5"/>
    <n v="4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4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4"/>
    <x v="13"/>
    <x v="1"/>
    <x v="1"/>
    <n v="0.73673947391417804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4"/>
    <x v="13"/>
    <x v="2"/>
    <x v="1"/>
    <n v="1.47086268837774"/>
    <n v="2E+20"/>
    <n v="0"/>
    <n v="3"/>
    <n v="2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4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4"/>
    <x v="14"/>
    <x v="4"/>
    <x v="2"/>
    <n v="49.579375642514997"/>
    <n v="2E+20"/>
    <n v="0"/>
    <n v="79"/>
    <n v="76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4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4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4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4"/>
    <x v="16"/>
    <x v="1"/>
    <x v="1"/>
    <n v="0.911001933301818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4"/>
    <x v="16"/>
    <x v="2"/>
    <x v="1"/>
    <n v="0.911001933301818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4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4"/>
    <x v="17"/>
    <x v="1"/>
    <x v="1"/>
    <n v="0.95890374566069803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4"/>
    <x v="17"/>
    <x v="2"/>
    <x v="1"/>
    <n v="0.95890374566069803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4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4"/>
    <x v="18"/>
    <x v="1"/>
    <x v="1"/>
    <n v="0.92569165943714105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4"/>
    <x v="18"/>
    <x v="2"/>
    <x v="1"/>
    <n v="0.92569165943714105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4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5"/>
    <x v="0"/>
    <x v="0"/>
    <x v="0"/>
    <n v="4.7500330860325404"/>
    <n v="2E+20"/>
    <n v="0"/>
    <n v="21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5"/>
    <x v="1"/>
    <x v="0"/>
    <x v="0"/>
    <n v="3.7989381704347398"/>
    <n v="2E+20"/>
    <n v="0"/>
    <n v="20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5"/>
    <x v="2"/>
    <x v="0"/>
    <x v="0"/>
    <n v="3.1911973661833599"/>
    <n v="2E+20"/>
    <n v="0"/>
    <n v="20"/>
    <n v="0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5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5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5"/>
    <x v="5"/>
    <x v="0"/>
    <x v="0"/>
    <n v="0.50812971092078596"/>
    <n v="2E+20"/>
    <n v="0"/>
    <n v="7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5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5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5"/>
    <x v="8"/>
    <x v="1"/>
    <x v="1"/>
    <n v="3.7359407874086301E-2"/>
    <n v="2E+20"/>
    <n v="0"/>
    <n v="0.25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5"/>
    <x v="8"/>
    <x v="2"/>
    <x v="1"/>
    <n v="0.74718815748172596"/>
    <n v="2E+20"/>
    <n v="0"/>
    <n v="5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5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5"/>
    <x v="9"/>
    <x v="1"/>
    <x v="1"/>
    <n v="0.23177057137797399"/>
    <n v="2E+20"/>
    <n v="0"/>
    <n v="0.65"/>
    <n v="0.4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5"/>
    <x v="9"/>
    <x v="2"/>
    <x v="1"/>
    <n v="4.6354114275594904"/>
    <n v="2E+20"/>
    <n v="0"/>
    <n v="13"/>
    <n v="9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5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5"/>
    <x v="10"/>
    <x v="1"/>
    <x v="1"/>
    <n v="0.61200575653800104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5"/>
    <x v="10"/>
    <x v="2"/>
    <x v="1"/>
    <n v="6.1200575653800096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5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5"/>
    <x v="11"/>
    <x v="1"/>
    <x v="1"/>
    <n v="0.160911278179313"/>
    <n v="2E+20"/>
    <n v="0"/>
    <n v="0.4"/>
    <n v="0.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5"/>
    <x v="11"/>
    <x v="2"/>
    <x v="1"/>
    <n v="8.0455639089656295"/>
    <n v="2E+20"/>
    <n v="0"/>
    <n v="20"/>
    <n v="10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5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5"/>
    <x v="12"/>
    <x v="1"/>
    <x v="1"/>
    <n v="8.6095066958714106E-2"/>
    <n v="2E+20"/>
    <n v="0"/>
    <n v="0.33333333333333298"/>
    <n v="0.133333333333333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5"/>
    <x v="12"/>
    <x v="2"/>
    <x v="1"/>
    <n v="1.29142600438071"/>
    <n v="2E+20"/>
    <n v="0"/>
    <n v="5"/>
    <n v="2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5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5"/>
    <x v="13"/>
    <x v="1"/>
    <x v="1"/>
    <n v="0.80923425271381799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5"/>
    <x v="13"/>
    <x v="2"/>
    <x v="1"/>
    <n v="1.5208219437325701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5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5"/>
    <x v="14"/>
    <x v="4"/>
    <x v="2"/>
    <n v="46.739459662082503"/>
    <n v="2E+20"/>
    <n v="0"/>
    <n v="71"/>
    <n v="52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5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5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5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5"/>
    <x v="16"/>
    <x v="1"/>
    <x v="1"/>
    <n v="0.78667152568139198"/>
    <n v="2E+20"/>
    <n v="0"/>
    <n v="1"/>
    <n v="0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5"/>
    <x v="16"/>
    <x v="2"/>
    <x v="1"/>
    <n v="0.78667152568139198"/>
    <n v="2E+20"/>
    <n v="0"/>
    <n v="1"/>
    <n v="0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5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5"/>
    <x v="17"/>
    <x v="1"/>
    <x v="1"/>
    <n v="0.85274105820123502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5"/>
    <x v="17"/>
    <x v="2"/>
    <x v="1"/>
    <n v="0.85274105820123502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5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5"/>
    <x v="18"/>
    <x v="1"/>
    <x v="1"/>
    <n v="0.90400263344126597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5"/>
    <x v="18"/>
    <x v="2"/>
    <x v="1"/>
    <n v="0.90400263344126597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5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6"/>
    <x v="0"/>
    <x v="0"/>
    <x v="0"/>
    <n v="2.9131501049235502"/>
    <n v="2E+20"/>
    <n v="0"/>
    <n v="20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6"/>
    <x v="1"/>
    <x v="0"/>
    <x v="0"/>
    <n v="1.9021963606218999"/>
    <n v="2E+20"/>
    <n v="0"/>
    <n v="13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6"/>
    <x v="2"/>
    <x v="0"/>
    <x v="0"/>
    <n v="1.84842569081291"/>
    <n v="2E+20"/>
    <n v="0"/>
    <n v="13"/>
    <n v="6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6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6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6"/>
    <x v="5"/>
    <x v="0"/>
    <x v="0"/>
    <n v="0.133594497271773"/>
    <n v="2E+20"/>
    <n v="0"/>
    <n v="4"/>
    <n v="0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6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6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6"/>
    <x v="8"/>
    <x v="1"/>
    <x v="1"/>
    <n v="3.2178136375918903E-2"/>
    <n v="2E+20"/>
    <n v="0"/>
    <n v="0.2"/>
    <n v="0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6"/>
    <x v="8"/>
    <x v="2"/>
    <x v="1"/>
    <n v="0.64356272751837895"/>
    <n v="2E+20"/>
    <n v="0"/>
    <n v="4"/>
    <n v="0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6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6"/>
    <x v="9"/>
    <x v="1"/>
    <x v="1"/>
    <n v="0.226531024246099"/>
    <n v="2E+20"/>
    <n v="0"/>
    <n v="0.8"/>
    <n v="0.4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6"/>
    <x v="9"/>
    <x v="2"/>
    <x v="1"/>
    <n v="4.53062048492197"/>
    <n v="2E+20"/>
    <n v="0"/>
    <n v="16"/>
    <n v="8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6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6"/>
    <x v="10"/>
    <x v="1"/>
    <x v="1"/>
    <n v="0.53893987213746497"/>
    <n v="2E+20"/>
    <n v="0"/>
    <n v="1"/>
    <n v="0.2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6"/>
    <x v="10"/>
    <x v="2"/>
    <x v="1"/>
    <n v="5.3893987213746497"/>
    <n v="2E+20"/>
    <n v="0"/>
    <n v="10"/>
    <n v="2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6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6"/>
    <x v="11"/>
    <x v="1"/>
    <x v="1"/>
    <n v="0.149324872924091"/>
    <n v="2E+20"/>
    <n v="0"/>
    <n v="0.36"/>
    <n v="0.26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6"/>
    <x v="11"/>
    <x v="2"/>
    <x v="1"/>
    <n v="7.4662436462045303"/>
    <n v="2E+20"/>
    <n v="0"/>
    <n v="18"/>
    <n v="13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6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6"/>
    <x v="12"/>
    <x v="1"/>
    <x v="1"/>
    <n v="7.6614897455845807E-2"/>
    <n v="2E+20"/>
    <n v="0"/>
    <n v="0.4"/>
    <n v="0.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6"/>
    <x v="12"/>
    <x v="2"/>
    <x v="1"/>
    <n v="1.14922346183769"/>
    <n v="2E+20"/>
    <n v="0"/>
    <n v="6"/>
    <n v="3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6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6"/>
    <x v="13"/>
    <x v="1"/>
    <x v="1"/>
    <n v="0.73750024749077403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6"/>
    <x v="13"/>
    <x v="2"/>
    <x v="1"/>
    <n v="1.3806360526983801"/>
    <n v="2E+20"/>
    <n v="0"/>
    <n v="3"/>
    <n v="1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6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6"/>
    <x v="14"/>
    <x v="4"/>
    <x v="2"/>
    <n v="38.07950623987"/>
    <n v="2E+20"/>
    <n v="0"/>
    <n v="59"/>
    <n v="48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6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6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6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6"/>
    <x v="16"/>
    <x v="1"/>
    <x v="1"/>
    <n v="0.64763492298344505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6"/>
    <x v="16"/>
    <x v="2"/>
    <x v="1"/>
    <n v="0.64763492298344505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6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6"/>
    <x v="17"/>
    <x v="1"/>
    <x v="1"/>
    <n v="0.760896733409826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6"/>
    <x v="17"/>
    <x v="2"/>
    <x v="1"/>
    <n v="0.760896733409826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6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6"/>
    <x v="18"/>
    <x v="1"/>
    <x v="1"/>
    <n v="0.73843386001690303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6"/>
    <x v="18"/>
    <x v="2"/>
    <x v="1"/>
    <n v="0.73843386001690303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6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7"/>
    <x v="0"/>
    <x v="0"/>
    <x v="0"/>
    <n v="6.5516597206482796"/>
    <n v="2E+20"/>
    <n v="0"/>
    <n v="24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7"/>
    <x v="1"/>
    <x v="0"/>
    <x v="0"/>
    <n v="5.5613134650246501"/>
    <n v="2E+20"/>
    <n v="0"/>
    <n v="26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7"/>
    <x v="2"/>
    <x v="0"/>
    <x v="0"/>
    <n v="14.5777002526023"/>
    <n v="2E+20"/>
    <n v="0"/>
    <n v="32"/>
    <n v="9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7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7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7"/>
    <x v="5"/>
    <x v="0"/>
    <x v="0"/>
    <n v="1.32941460638228"/>
    <n v="2E+20"/>
    <n v="0"/>
    <n v="10"/>
    <n v="6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7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7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7"/>
    <x v="8"/>
    <x v="1"/>
    <x v="1"/>
    <n v="4.5610452339436502E-2"/>
    <n v="2E+20"/>
    <n v="0"/>
    <n v="0.25"/>
    <n v="0.1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7"/>
    <x v="8"/>
    <x v="2"/>
    <x v="1"/>
    <n v="0.91220904678873105"/>
    <n v="2E+20"/>
    <n v="0"/>
    <n v="5"/>
    <n v="2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7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7"/>
    <x v="9"/>
    <x v="1"/>
    <x v="1"/>
    <n v="0.26392205007722902"/>
    <n v="2E+20"/>
    <n v="0"/>
    <n v="0.6"/>
    <n v="0.45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7"/>
    <x v="9"/>
    <x v="2"/>
    <x v="1"/>
    <n v="5.2784410015445804"/>
    <n v="2E+20"/>
    <n v="0"/>
    <n v="12"/>
    <n v="9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7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7"/>
    <x v="10"/>
    <x v="1"/>
    <x v="1"/>
    <n v="0.65573694712684405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7"/>
    <x v="10"/>
    <x v="2"/>
    <x v="1"/>
    <n v="6.5573694712684398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7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7"/>
    <x v="11"/>
    <x v="1"/>
    <x v="1"/>
    <n v="0.18234603870129501"/>
    <n v="2E+20"/>
    <n v="0"/>
    <n v="0.44"/>
    <n v="0.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7"/>
    <x v="11"/>
    <x v="2"/>
    <x v="1"/>
    <n v="9.1173019350647593"/>
    <n v="2E+20"/>
    <n v="0"/>
    <n v="22"/>
    <n v="10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7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7"/>
    <x v="12"/>
    <x v="1"/>
    <x v="1"/>
    <n v="0.104671191198974"/>
    <n v="2E+20"/>
    <n v="0"/>
    <n v="0.4"/>
    <n v="6.6666666666666693E-2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7"/>
    <x v="12"/>
    <x v="2"/>
    <x v="1"/>
    <n v="1.5700678679846101"/>
    <n v="2E+20"/>
    <n v="0"/>
    <n v="6"/>
    <n v="1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7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7"/>
    <x v="13"/>
    <x v="1"/>
    <x v="1"/>
    <n v="0.84020090638987999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7"/>
    <x v="13"/>
    <x v="2"/>
    <x v="1"/>
    <n v="1.66987783068021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7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7"/>
    <x v="14"/>
    <x v="4"/>
    <x v="2"/>
    <n v="66.529862083020902"/>
    <n v="2E+20"/>
    <n v="0"/>
    <n v="106"/>
    <n v="68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7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7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7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7"/>
    <x v="16"/>
    <x v="1"/>
    <x v="1"/>
    <n v="0.93778302737253005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7"/>
    <x v="16"/>
    <x v="2"/>
    <x v="1"/>
    <n v="0.93778302737253005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7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7"/>
    <x v="17"/>
    <x v="1"/>
    <x v="1"/>
    <n v="0.950058265209486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7"/>
    <x v="17"/>
    <x v="2"/>
    <x v="1"/>
    <n v="0.950058265209486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7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7"/>
    <x v="18"/>
    <x v="1"/>
    <x v="1"/>
    <n v="0.96245182322941003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7"/>
    <x v="18"/>
    <x v="2"/>
    <x v="1"/>
    <n v="0.96245182322941003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7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8"/>
    <x v="0"/>
    <x v="0"/>
    <x v="0"/>
    <n v="4.1843669625687498"/>
    <n v="2E+20"/>
    <n v="0"/>
    <n v="16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8"/>
    <x v="1"/>
    <x v="0"/>
    <x v="0"/>
    <n v="3.4283861373051199"/>
    <n v="2E+20"/>
    <n v="0"/>
    <n v="18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8"/>
    <x v="2"/>
    <x v="0"/>
    <x v="0"/>
    <n v="6.5817885295243101"/>
    <n v="2E+20"/>
    <n v="0"/>
    <n v="26"/>
    <n v="0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8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8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8"/>
    <x v="5"/>
    <x v="0"/>
    <x v="0"/>
    <n v="0.76850231714193196"/>
    <n v="2E+20"/>
    <n v="0"/>
    <n v="9"/>
    <n v="2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8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8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8"/>
    <x v="8"/>
    <x v="1"/>
    <x v="1"/>
    <n v="4.8583931724403701E-2"/>
    <n v="2E+20"/>
    <n v="0"/>
    <n v="0.25"/>
    <n v="0.1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8"/>
    <x v="8"/>
    <x v="2"/>
    <x v="1"/>
    <n v="0.97167863448807401"/>
    <n v="2E+20"/>
    <n v="0"/>
    <n v="5"/>
    <n v="2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8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8"/>
    <x v="9"/>
    <x v="1"/>
    <x v="1"/>
    <n v="0.26763887253718999"/>
    <n v="2E+20"/>
    <n v="0"/>
    <n v="0.6"/>
    <n v="0.55000000000000004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8"/>
    <x v="9"/>
    <x v="2"/>
    <x v="1"/>
    <n v="5.35277745074381"/>
    <n v="2E+20"/>
    <n v="0"/>
    <n v="12"/>
    <n v="11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8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8"/>
    <x v="10"/>
    <x v="1"/>
    <x v="1"/>
    <n v="0.55023809050779005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8"/>
    <x v="10"/>
    <x v="2"/>
    <x v="1"/>
    <n v="5.5023809050779002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8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8"/>
    <x v="11"/>
    <x v="1"/>
    <x v="1"/>
    <n v="0.170613284397786"/>
    <n v="2E+20"/>
    <n v="0"/>
    <n v="0.4"/>
    <n v="0.14000000000000001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8"/>
    <x v="11"/>
    <x v="2"/>
    <x v="1"/>
    <n v="8.5306642198892906"/>
    <n v="2E+20"/>
    <n v="0"/>
    <n v="20"/>
    <n v="7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8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8"/>
    <x v="12"/>
    <x v="1"/>
    <x v="1"/>
    <n v="8.9197885994901596E-2"/>
    <n v="2E+20"/>
    <n v="0"/>
    <n v="0.46666666666666701"/>
    <n v="0.33333333333333298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8"/>
    <x v="12"/>
    <x v="2"/>
    <x v="1"/>
    <n v="1.3379682899235199"/>
    <n v="2E+20"/>
    <n v="0"/>
    <n v="7"/>
    <n v="5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8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8"/>
    <x v="13"/>
    <x v="1"/>
    <x v="1"/>
    <n v="0.83718447314915601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8"/>
    <x v="13"/>
    <x v="2"/>
    <x v="1"/>
    <n v="1.62978172194434"/>
    <n v="2E+20"/>
    <n v="0"/>
    <n v="3"/>
    <n v="2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8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8"/>
    <x v="14"/>
    <x v="4"/>
    <x v="2"/>
    <n v="50.906387892618199"/>
    <n v="2E+20"/>
    <n v="0"/>
    <n v="81"/>
    <n v="53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8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8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8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8"/>
    <x v="16"/>
    <x v="1"/>
    <x v="1"/>
    <n v="0.86317545980286203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8"/>
    <x v="16"/>
    <x v="2"/>
    <x v="1"/>
    <n v="0.86317545980286203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8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8"/>
    <x v="17"/>
    <x v="1"/>
    <x v="1"/>
    <n v="0.91454956284788003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8"/>
    <x v="17"/>
    <x v="2"/>
    <x v="1"/>
    <n v="0.91454956284788003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8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8"/>
    <x v="18"/>
    <x v="1"/>
    <x v="1"/>
    <n v="0.88959332070951402"/>
    <n v="2E+20"/>
    <n v="0"/>
    <n v="1"/>
    <n v="0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8"/>
    <x v="18"/>
    <x v="2"/>
    <x v="1"/>
    <n v="0.88959332070951402"/>
    <n v="2E+20"/>
    <n v="0"/>
    <n v="1"/>
    <n v="0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8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29"/>
    <x v="0"/>
    <x v="0"/>
    <x v="0"/>
    <n v="6.19312776028959"/>
    <n v="2E+20"/>
    <n v="0"/>
    <n v="32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29"/>
    <x v="1"/>
    <x v="0"/>
    <x v="0"/>
    <n v="3.6401047156512298"/>
    <n v="2E+20"/>
    <n v="0"/>
    <n v="15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29"/>
    <x v="2"/>
    <x v="0"/>
    <x v="0"/>
    <n v="8.1690163742621902"/>
    <n v="2E+20"/>
    <n v="0"/>
    <n v="20"/>
    <n v="12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29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29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29"/>
    <x v="5"/>
    <x v="0"/>
    <x v="0"/>
    <n v="2.5948562473246399"/>
    <n v="2E+20"/>
    <n v="0"/>
    <n v="13"/>
    <n v="4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29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29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29"/>
    <x v="8"/>
    <x v="1"/>
    <x v="1"/>
    <n v="3.4010270879095E-2"/>
    <n v="2E+20"/>
    <n v="0"/>
    <n v="0.25"/>
    <n v="0.1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29"/>
    <x v="8"/>
    <x v="2"/>
    <x v="1"/>
    <n v="0.68020541758190001"/>
    <n v="2E+20"/>
    <n v="0"/>
    <n v="5"/>
    <n v="3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29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29"/>
    <x v="9"/>
    <x v="1"/>
    <x v="1"/>
    <n v="0.27886186969291799"/>
    <n v="2E+20"/>
    <n v="0"/>
    <n v="0.7"/>
    <n v="0.3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29"/>
    <x v="9"/>
    <x v="2"/>
    <x v="1"/>
    <n v="5.5772373938583604"/>
    <n v="2E+20"/>
    <n v="0"/>
    <n v="14"/>
    <n v="6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29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29"/>
    <x v="10"/>
    <x v="1"/>
    <x v="1"/>
    <n v="0.67770389283754395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29"/>
    <x v="10"/>
    <x v="2"/>
    <x v="1"/>
    <n v="6.7770389283754398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29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29"/>
    <x v="11"/>
    <x v="1"/>
    <x v="1"/>
    <n v="0.19609322315655101"/>
    <n v="2E+20"/>
    <n v="0"/>
    <n v="0.42"/>
    <n v="0.26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29"/>
    <x v="11"/>
    <x v="2"/>
    <x v="1"/>
    <n v="9.8046611578275602"/>
    <n v="2E+20"/>
    <n v="0"/>
    <n v="21"/>
    <n v="13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29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29"/>
    <x v="12"/>
    <x v="1"/>
    <x v="1"/>
    <n v="0.102703645067248"/>
    <n v="2E+20"/>
    <n v="0"/>
    <n v="0.46666666666666701"/>
    <n v="0.266666666666667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29"/>
    <x v="12"/>
    <x v="2"/>
    <x v="1"/>
    <n v="1.5405546760087201"/>
    <n v="2E+20"/>
    <n v="0"/>
    <n v="7"/>
    <n v="4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29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29"/>
    <x v="13"/>
    <x v="1"/>
    <x v="1"/>
    <n v="0.88608279984970695"/>
    <n v="2E+20"/>
    <n v="0"/>
    <n v="1"/>
    <n v="0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29"/>
    <x v="13"/>
    <x v="2"/>
    <x v="1"/>
    <n v="1.75169066912833"/>
    <n v="2E+20"/>
    <n v="0"/>
    <n v="3"/>
    <n v="0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29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29"/>
    <x v="14"/>
    <x v="4"/>
    <x v="2"/>
    <n v="60.571266192406"/>
    <n v="2E+20"/>
    <n v="0"/>
    <n v="83"/>
    <n v="67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29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29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29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29"/>
    <x v="16"/>
    <x v="1"/>
    <x v="1"/>
    <n v="0.933324532054981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9"/>
    <x v="16"/>
    <x v="2"/>
    <x v="1"/>
    <n v="0.933324532054981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29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29"/>
    <x v="17"/>
    <x v="1"/>
    <x v="1"/>
    <n v="0.96118893255582005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9"/>
    <x v="17"/>
    <x v="2"/>
    <x v="1"/>
    <n v="0.96118893255582005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29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29"/>
    <x v="18"/>
    <x v="1"/>
    <x v="1"/>
    <n v="0.98878963151184796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9"/>
    <x v="18"/>
    <x v="2"/>
    <x v="1"/>
    <n v="0.98878963151184796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29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  <r>
    <x v="0"/>
    <s v="2023-05-22 19:49:23"/>
    <n v="30"/>
    <x v="0"/>
    <x v="0"/>
    <x v="0"/>
    <n v="2.7523574133667901"/>
    <n v="2E+20"/>
    <n v="0"/>
    <n v="13"/>
    <n v="0"/>
    <n v="0"/>
    <s v="Unnamed ProjectLeaveTornoEntrada.QueueNumber WaitingQueue"/>
    <n v="30"/>
    <n v="5.2568666538317945"/>
    <n v="1.8846413728615501"/>
    <n v="0.95"/>
    <n v="0.70373665421471332"/>
    <n v="2.2853775994771"/>
    <n v="9.3827575078214593"/>
    <n v="0.70373665421471332"/>
  </r>
  <r>
    <x v="0"/>
    <s v="2023-05-22 19:49:23"/>
    <n v="30"/>
    <x v="1"/>
    <x v="0"/>
    <x v="0"/>
    <n v="2.3754410072984702"/>
    <n v="2E+20"/>
    <n v="0"/>
    <n v="12"/>
    <n v="0"/>
    <n v="0"/>
    <s v="Unnamed ProjectLeaveTornoSalida.QueueNumber WaitingQueue"/>
    <n v="30"/>
    <n v="3.9316971268238849"/>
    <n v="1.5897363110976395"/>
    <n v="0.95"/>
    <n v="0.5936172943910426"/>
    <n v="1.4754093813695901"/>
    <n v="8.0603747791942499"/>
    <n v="0.5936172943910426"/>
  </r>
  <r>
    <x v="0"/>
    <s v="2023-05-22 19:49:23"/>
    <n v="30"/>
    <x v="2"/>
    <x v="0"/>
    <x v="0"/>
    <n v="5.0067661880434002"/>
    <n v="2E+20"/>
    <n v="0"/>
    <n v="18"/>
    <n v="2"/>
    <n v="0"/>
    <s v="Unnamed ProjectMostrador.QueueNumber WaitingQueue"/>
    <n v="30"/>
    <n v="6.5967033926112597"/>
    <n v="5.7904175879942628"/>
    <n v="0.95"/>
    <n v="2.162177461749093"/>
    <n v="1.3305593103954101"/>
    <n v="29.356614544212601"/>
    <n v="2.162177461749093"/>
  </r>
  <r>
    <x v="0"/>
    <s v="2023-05-22 19:49:23"/>
    <n v="30"/>
    <x v="3"/>
    <x v="0"/>
    <x v="0"/>
    <n v="0"/>
    <n v="2E+20"/>
    <n v="0"/>
    <n v="0"/>
    <n v="0"/>
    <n v="0"/>
    <s v="Unnamed ProjectPArte.QueueNumber WaitingQueue"/>
    <n v="30"/>
    <n v="0"/>
    <n v="0"/>
    <n v="0.95"/>
    <n v="0"/>
    <n v="0"/>
    <n v="0"/>
    <n v="0"/>
  </r>
  <r>
    <x v="0"/>
    <s v="2023-05-22 19:49:23"/>
    <n v="30"/>
    <x v="4"/>
    <x v="0"/>
    <x v="0"/>
    <n v="0"/>
    <n v="2E+20"/>
    <n v="0"/>
    <n v="0"/>
    <n v="0"/>
    <n v="0"/>
    <s v="Unnamed ProjectPAstro.QueueNumber WaitingQueue"/>
    <n v="30"/>
    <n v="0"/>
    <n v="0"/>
    <n v="0.95"/>
    <n v="0"/>
    <n v="0"/>
    <n v="0"/>
    <n v="0"/>
  </r>
  <r>
    <x v="0"/>
    <s v="2023-05-22 19:49:23"/>
    <n v="30"/>
    <x v="5"/>
    <x v="0"/>
    <x v="0"/>
    <n v="0.72443520150632801"/>
    <n v="2E+20"/>
    <n v="0"/>
    <n v="7"/>
    <n v="1"/>
    <n v="0"/>
    <s v="Unnamed ProjectPFisica.QueueNumber WaitingQueue"/>
    <n v="30"/>
    <n v="1.3267841267475322"/>
    <n v="1.1583357450796299"/>
    <n v="0.95"/>
    <n v="0.43252967563899991"/>
    <n v="4.5869485136026601E-2"/>
    <n v="4.1119263103435699"/>
    <n v="0.43252967563899991"/>
  </r>
  <r>
    <x v="0"/>
    <s v="2023-05-22 19:49:23"/>
    <n v="30"/>
    <x v="6"/>
    <x v="0"/>
    <x v="0"/>
    <n v="0"/>
    <n v="2E+20"/>
    <n v="0"/>
    <n v="0"/>
    <n v="0"/>
    <n v="0"/>
    <s v="Unnamed ProjectPHall.QueueNumber WaitingQueue"/>
    <n v="30"/>
    <n v="0"/>
    <n v="0"/>
    <n v="0.95"/>
    <n v="0"/>
    <n v="0"/>
    <n v="0"/>
    <n v="0"/>
  </r>
  <r>
    <x v="0"/>
    <s v="2023-05-22 19:49:23"/>
    <n v="30"/>
    <x v="7"/>
    <x v="0"/>
    <x v="0"/>
    <n v="0"/>
    <n v="2E+20"/>
    <n v="0"/>
    <n v="0"/>
    <n v="0"/>
    <n v="0"/>
    <s v="Unnamed ProjectPHistoria.QueueNumber WaitingQueue"/>
    <n v="30"/>
    <n v="0"/>
    <n v="0"/>
    <n v="0.95"/>
    <n v="0"/>
    <n v="0"/>
    <n v="0"/>
    <n v="0"/>
  </r>
  <r>
    <x v="0"/>
    <s v="2023-05-22 19:49:23"/>
    <n v="30"/>
    <x v="8"/>
    <x v="1"/>
    <x v="1"/>
    <n v="2.6023961231830001E-2"/>
    <n v="2E+20"/>
    <n v="0"/>
    <n v="0.15"/>
    <n v="0.05"/>
    <n v="0"/>
    <s v="Unnamed ProjectRArteInstantaneous UtilizationResource"/>
    <n v="30"/>
    <n v="3.5359789427834361E-2"/>
    <n v="6.6521615975834569E-3"/>
    <n v="0.95"/>
    <n v="2.4839579632442289E-3"/>
    <n v="2.3718114155243601E-2"/>
    <n v="4.8583931724403701E-2"/>
    <n v="2.4839579632442289E-3"/>
  </r>
  <r>
    <x v="0"/>
    <s v="2023-05-22 19:49:23"/>
    <n v="30"/>
    <x v="8"/>
    <x v="2"/>
    <x v="1"/>
    <n v="0.52047922463660001"/>
    <n v="2E+20"/>
    <n v="0"/>
    <n v="3"/>
    <n v="1"/>
    <n v="0"/>
    <s v="Unnamed ProjectRArteNumber BusyResource"/>
    <n v="30"/>
    <n v="0.7071957885566873"/>
    <n v="0.133043231951671"/>
    <n v="0.95"/>
    <n v="4.9679159264885281E-2"/>
    <n v="0.47436228310487299"/>
    <n v="0.97167863448807401"/>
    <n v="4.9679159264885281E-2"/>
  </r>
  <r>
    <x v="0"/>
    <s v="2023-05-22 19:49:23"/>
    <n v="30"/>
    <x v="8"/>
    <x v="3"/>
    <x v="1"/>
    <n v="20"/>
    <n v="2E+20"/>
    <n v="20"/>
    <n v="20"/>
    <n v="20"/>
    <n v="0"/>
    <s v="Unnamed ProjectRArteNumber ScheduledResource"/>
    <n v="30"/>
    <n v="20"/>
    <n v="0"/>
    <n v="0.95"/>
    <n v="0"/>
    <n v="20"/>
    <n v="20"/>
    <n v="0"/>
  </r>
  <r>
    <x v="0"/>
    <s v="2023-05-22 19:49:23"/>
    <n v="30"/>
    <x v="9"/>
    <x v="1"/>
    <x v="1"/>
    <n v="0.27245872005987998"/>
    <n v="2E+20"/>
    <n v="0"/>
    <n v="0.65"/>
    <n v="0.3"/>
    <n v="0"/>
    <s v="Unnamed ProjectRAstroInstantaneous UtilizationResource"/>
    <n v="30"/>
    <n v="0.24658598119222255"/>
    <n v="2.3372241503878167E-2"/>
    <n v="0.95"/>
    <n v="8.7273384073404715E-3"/>
    <n v="0.20767736113278101"/>
    <n v="0.28501162927715501"/>
    <n v="8.7273384073404715E-3"/>
  </r>
  <r>
    <x v="0"/>
    <s v="2023-05-22 19:49:23"/>
    <n v="30"/>
    <x v="9"/>
    <x v="2"/>
    <x v="1"/>
    <n v="5.4491744011975802"/>
    <n v="2E+20"/>
    <n v="0"/>
    <n v="13"/>
    <n v="6"/>
    <n v="0"/>
    <s v="Unnamed ProjectRAstroNumber BusyResource"/>
    <n v="30"/>
    <n v="4.9317196238444527"/>
    <n v="0.46744483007756693"/>
    <n v="0.95"/>
    <n v="0.17454676814681078"/>
    <n v="4.15354722265561"/>
    <n v="5.7002325855431097"/>
    <n v="0.17454676814681078"/>
  </r>
  <r>
    <x v="0"/>
    <s v="2023-05-22 19:49:23"/>
    <n v="30"/>
    <x v="9"/>
    <x v="3"/>
    <x v="1"/>
    <n v="20"/>
    <n v="2E+20"/>
    <n v="20"/>
    <n v="20"/>
    <n v="20"/>
    <n v="0"/>
    <s v="Unnamed ProjectRAstroNumber ScheduledResource"/>
    <n v="30"/>
    <n v="20"/>
    <n v="0"/>
    <n v="0.95"/>
    <n v="0"/>
    <n v="20"/>
    <n v="20"/>
    <n v="0"/>
  </r>
  <r>
    <x v="0"/>
    <s v="2023-05-22 19:49:23"/>
    <n v="30"/>
    <x v="10"/>
    <x v="1"/>
    <x v="1"/>
    <n v="0.64060465816298495"/>
    <n v="2E+20"/>
    <n v="0"/>
    <n v="1"/>
    <n v="1"/>
    <n v="0"/>
    <s v="Unnamed ProjectRFisicaInstantaneous UtilizationResource"/>
    <n v="30"/>
    <n v="0.61071636647106631"/>
    <n v="4.8363406640152984E-2"/>
    <n v="0.95"/>
    <n v="1.8059192833960565E-2"/>
    <n v="0.517215348442703"/>
    <n v="0.67770389283754395"/>
    <n v="1.8059192833960565E-2"/>
  </r>
  <r>
    <x v="0"/>
    <s v="2023-05-22 19:49:23"/>
    <n v="30"/>
    <x v="10"/>
    <x v="2"/>
    <x v="1"/>
    <n v="6.40604658162985"/>
    <n v="2E+20"/>
    <n v="0"/>
    <n v="10"/>
    <n v="10"/>
    <n v="0"/>
    <s v="Unnamed ProjectRFisicaNumber BusyResource"/>
    <n v="30"/>
    <n v="6.1071636647106642"/>
    <n v="0.48363406640152962"/>
    <n v="0.95"/>
    <n v="0.18059192833960558"/>
    <n v="5.1721534844270298"/>
    <n v="6.7770389283754398"/>
    <n v="0.18059192833960558"/>
  </r>
  <r>
    <x v="0"/>
    <s v="2023-05-22 19:49:23"/>
    <n v="30"/>
    <x v="10"/>
    <x v="3"/>
    <x v="1"/>
    <n v="10"/>
    <n v="2E+20"/>
    <n v="10"/>
    <n v="10"/>
    <n v="10"/>
    <n v="0"/>
    <s v="Unnamed ProjectRFisicaNumber ScheduledResource"/>
    <n v="30"/>
    <n v="10"/>
    <n v="0"/>
    <n v="0.95"/>
    <n v="0"/>
    <n v="10"/>
    <n v="10"/>
    <n v="0"/>
  </r>
  <r>
    <x v="0"/>
    <s v="2023-05-22 19:49:23"/>
    <n v="30"/>
    <x v="11"/>
    <x v="1"/>
    <x v="1"/>
    <n v="0.165499308594004"/>
    <n v="2E+20"/>
    <n v="0"/>
    <n v="0.46"/>
    <n v="0.22"/>
    <n v="0"/>
    <s v="Unnamed ProjectRHallInstantaneous UtilizationResource"/>
    <n v="30"/>
    <n v="0.1701720482423513"/>
    <n v="1.3313684126308522E-2"/>
    <n v="0.95"/>
    <n v="4.9714113556225048E-3"/>
    <n v="0.14484829778125299"/>
    <n v="0.19609322315655101"/>
    <n v="4.9714113556225048E-3"/>
  </r>
  <r>
    <x v="0"/>
    <s v="2023-05-22 19:49:23"/>
    <n v="30"/>
    <x v="11"/>
    <x v="2"/>
    <x v="1"/>
    <n v="8.2749654297001793"/>
    <n v="2E+20"/>
    <n v="0"/>
    <n v="23"/>
    <n v="11"/>
    <n v="0"/>
    <s v="Unnamed ProjectRHallNumber BusyResource"/>
    <n v="30"/>
    <n v="8.5086024121175594"/>
    <n v="0.66568420631542979"/>
    <n v="0.95"/>
    <n v="0.24857056778112663"/>
    <n v="7.2424148890626396"/>
    <n v="9.8046611578275602"/>
    <n v="0.24857056778112663"/>
  </r>
  <r>
    <x v="0"/>
    <s v="2023-05-22 19:49:23"/>
    <n v="30"/>
    <x v="11"/>
    <x v="3"/>
    <x v="1"/>
    <n v="50"/>
    <n v="2E+20"/>
    <n v="50"/>
    <n v="50"/>
    <n v="50"/>
    <n v="0"/>
    <s v="Unnamed ProjectRHallNumber ScheduledResource"/>
    <n v="30"/>
    <n v="50"/>
    <n v="0"/>
    <n v="0.95"/>
    <n v="0"/>
    <n v="50"/>
    <n v="50"/>
    <n v="0"/>
  </r>
  <r>
    <x v="0"/>
    <s v="2023-05-22 19:49:23"/>
    <n v="30"/>
    <x v="12"/>
    <x v="1"/>
    <x v="1"/>
    <n v="7.6199424822911893E-2"/>
    <n v="2E+20"/>
    <n v="0"/>
    <n v="0.266666666666667"/>
    <n v="0.133333333333333"/>
    <n v="0"/>
    <s v="Unnamed ProjectRHistoriaInstantaneous UtilizationResource"/>
    <n v="30"/>
    <n v="9.2629789222133913E-2"/>
    <n v="1.1199993404883861E-2"/>
    <n v="0.95"/>
    <n v="4.1821462690338805E-3"/>
    <n v="7.4778736536586704E-2"/>
    <n v="0.111025455742452"/>
    <n v="4.1821462690338805E-3"/>
  </r>
  <r>
    <x v="0"/>
    <s v="2023-05-22 19:49:23"/>
    <n v="30"/>
    <x v="12"/>
    <x v="2"/>
    <x v="1"/>
    <n v="1.14299137234368"/>
    <n v="2E+20"/>
    <n v="0"/>
    <n v="4"/>
    <n v="2"/>
    <n v="0"/>
    <s v="Unnamed ProjectRHistoriaNumber BusyResource"/>
    <n v="30"/>
    <n v="1.3894468383320084"/>
    <n v="0.16799990107325727"/>
    <n v="0.95"/>
    <n v="6.2732194035507963E-2"/>
    <n v="1.1216810480488"/>
    <n v="1.66538183613678"/>
    <n v="6.2732194035507963E-2"/>
  </r>
  <r>
    <x v="0"/>
    <s v="2023-05-22 19:49:23"/>
    <n v="30"/>
    <x v="12"/>
    <x v="3"/>
    <x v="1"/>
    <n v="15"/>
    <n v="2E+20"/>
    <n v="15"/>
    <n v="15"/>
    <n v="15"/>
    <n v="0"/>
    <s v="Unnamed ProjectRHistoriaNumber ScheduledResource"/>
    <n v="30"/>
    <n v="15"/>
    <n v="0"/>
    <n v="0.95"/>
    <n v="0"/>
    <n v="15"/>
    <n v="15"/>
    <n v="0"/>
  </r>
  <r>
    <x v="0"/>
    <s v="2023-05-22 19:49:23"/>
    <n v="30"/>
    <x v="13"/>
    <x v="1"/>
    <x v="1"/>
    <n v="0.79884766694181297"/>
    <n v="2E+20"/>
    <n v="0"/>
    <n v="1"/>
    <n v="1"/>
    <n v="0"/>
    <s v="Unnamed ProjectTornoEntradaInstantaneous UtilizationResource"/>
    <n v="30"/>
    <n v="0.81675650916469844"/>
    <n v="4.9908772148696316E-2"/>
    <n v="0.95"/>
    <n v="1.8636241798384946E-2"/>
    <n v="0.73673947391417804"/>
    <n v="0.90592850818388704"/>
    <n v="1.8636241798384946E-2"/>
  </r>
  <r>
    <x v="0"/>
    <s v="2023-05-22 19:49:23"/>
    <n v="30"/>
    <x v="13"/>
    <x v="2"/>
    <x v="1"/>
    <n v="1.5383696143819501"/>
    <n v="2E+20"/>
    <n v="0"/>
    <n v="3"/>
    <n v="3"/>
    <n v="0"/>
    <s v="Unnamed ProjectTornoEntradaNumber BusyResource"/>
    <n v="30"/>
    <n v="1.5778073550517886"/>
    <n v="0.11548719863866004"/>
    <n v="0.95"/>
    <n v="4.3123628688677348E-2"/>
    <n v="1.3726163545041801"/>
    <n v="1.7968913949876599"/>
    <n v="4.3123628688677348E-2"/>
  </r>
  <r>
    <x v="0"/>
    <s v="2023-05-22 19:49:23"/>
    <n v="30"/>
    <x v="13"/>
    <x v="3"/>
    <x v="1"/>
    <n v="2"/>
    <n v="2E+20"/>
    <n v="1"/>
    <n v="3"/>
    <n v="1"/>
    <n v="0"/>
    <s v="Unnamed ProjectTornoEntradaNumber ScheduledResource"/>
    <n v="30"/>
    <n v="2"/>
    <n v="0"/>
    <n v="0.95"/>
    <n v="0"/>
    <n v="2"/>
    <n v="2"/>
    <n v="0"/>
  </r>
  <r>
    <x v="0"/>
    <s v="2023-05-22 19:49:23"/>
    <n v="30"/>
    <x v="14"/>
    <x v="4"/>
    <x v="2"/>
    <n v="46.034895710261303"/>
    <n v="2E+20"/>
    <n v="0"/>
    <n v="69"/>
    <n v="55"/>
    <n v="0"/>
    <s v="Unnamed ProjectVisitantesWIPEntity"/>
    <n v="30"/>
    <n v="52.654075020020599"/>
    <n v="10.815283840242142"/>
    <n v="0.95"/>
    <n v="4.0384933567271259"/>
    <n v="36.709886237305"/>
    <n v="84.594951996708403"/>
    <n v="4.0384933567271259"/>
  </r>
  <r>
    <x v="0"/>
    <s v="2023-05-22 19:49:23"/>
    <n v="30"/>
    <x v="15"/>
    <x v="1"/>
    <x v="1"/>
    <n v="0"/>
    <n v="2E+20"/>
    <n v="0"/>
    <n v="0"/>
    <n v="0"/>
    <n v="0"/>
    <s v="Unnamed ProjectcajeroInstantaneous UtilizationResource"/>
    <n v="30"/>
    <n v="0"/>
    <n v="0"/>
    <n v="0.95"/>
    <n v="0"/>
    <n v="0"/>
    <n v="0"/>
    <n v="0"/>
  </r>
  <r>
    <x v="0"/>
    <s v="2023-05-22 19:49:23"/>
    <n v="30"/>
    <x v="15"/>
    <x v="2"/>
    <x v="1"/>
    <n v="0"/>
    <n v="2E+20"/>
    <n v="0"/>
    <n v="0"/>
    <n v="0"/>
    <n v="0"/>
    <s v="Unnamed ProjectcajeroNumber BusyResource"/>
    <n v="30"/>
    <n v="0"/>
    <n v="0"/>
    <n v="0.95"/>
    <n v="0"/>
    <n v="0"/>
    <n v="0"/>
    <n v="0"/>
  </r>
  <r>
    <x v="0"/>
    <s v="2023-05-22 19:49:23"/>
    <n v="30"/>
    <x v="15"/>
    <x v="3"/>
    <x v="1"/>
    <n v="3"/>
    <n v="2E+20"/>
    <n v="3"/>
    <n v="3"/>
    <n v="3"/>
    <n v="0"/>
    <s v="Unnamed ProjectcajeroNumber ScheduledResource"/>
    <n v="30"/>
    <n v="3"/>
    <n v="0"/>
    <n v="0.95"/>
    <n v="0"/>
    <n v="3"/>
    <n v="3"/>
    <n v="0"/>
  </r>
  <r>
    <x v="0"/>
    <s v="2023-05-22 19:49:23"/>
    <n v="30"/>
    <x v="16"/>
    <x v="1"/>
    <x v="1"/>
    <n v="0.76111195757864003"/>
    <n v="2E+20"/>
    <n v="0"/>
    <n v="1"/>
    <n v="1"/>
    <n v="0"/>
    <s v="Unnamed ProjectticketsaInstantaneous Utilization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30"/>
    <x v="16"/>
    <x v="2"/>
    <x v="1"/>
    <n v="0.76111195757864003"/>
    <n v="2E+20"/>
    <n v="0"/>
    <n v="1"/>
    <n v="1"/>
    <n v="0"/>
    <s v="Unnamed ProjectticketsaNumber BusyResource"/>
    <n v="30"/>
    <n v="0.81099663999028448"/>
    <n v="0.1069626954834289"/>
    <n v="0.95"/>
    <n v="3.9940526897700258E-2"/>
    <n v="0.634589476164233"/>
    <n v="0.99383259650362799"/>
    <n v="3.9940526897700258E-2"/>
  </r>
  <r>
    <x v="0"/>
    <s v="2023-05-22 19:49:23"/>
    <n v="30"/>
    <x v="16"/>
    <x v="3"/>
    <x v="1"/>
    <n v="1"/>
    <n v="2E+20"/>
    <n v="1"/>
    <n v="1"/>
    <n v="1"/>
    <n v="0"/>
    <s v="Unnamed ProjectticketsaNumber ScheduledResource"/>
    <n v="30"/>
    <n v="1"/>
    <n v="0"/>
    <n v="0.95"/>
    <n v="0"/>
    <n v="1"/>
    <n v="1"/>
    <n v="0"/>
  </r>
  <r>
    <x v="0"/>
    <s v="2023-05-22 19:49:23"/>
    <n v="30"/>
    <x v="17"/>
    <x v="1"/>
    <x v="1"/>
    <n v="0.85933511688892605"/>
    <n v="2E+20"/>
    <n v="0"/>
    <n v="1"/>
    <n v="1"/>
    <n v="0"/>
    <s v="Unnamed ProjectticketsbInstantaneous Utilization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30"/>
    <x v="17"/>
    <x v="2"/>
    <x v="1"/>
    <n v="0.85933511688892605"/>
    <n v="2E+20"/>
    <n v="0"/>
    <n v="1"/>
    <n v="1"/>
    <n v="0"/>
    <s v="Unnamed ProjectticketsbNumber BusyResource"/>
    <n v="30"/>
    <n v="0.86404173385398308"/>
    <n v="7.7429091138254261E-2"/>
    <n v="0.95"/>
    <n v="2.8912497794626357E-2"/>
    <n v="0.74061105631083801"/>
    <n v="0.99245161744166299"/>
    <n v="2.8912497794626357E-2"/>
  </r>
  <r>
    <x v="0"/>
    <s v="2023-05-22 19:49:23"/>
    <n v="30"/>
    <x v="17"/>
    <x v="3"/>
    <x v="1"/>
    <n v="1"/>
    <n v="2E+20"/>
    <n v="1"/>
    <n v="1"/>
    <n v="1"/>
    <n v="0"/>
    <s v="Unnamed ProjectticketsbNumber ScheduledResource"/>
    <n v="30"/>
    <n v="1"/>
    <n v="0"/>
    <n v="0.95"/>
    <n v="0"/>
    <n v="1"/>
    <n v="1"/>
    <n v="0"/>
  </r>
  <r>
    <x v="0"/>
    <s v="2023-05-22 19:49:23"/>
    <n v="30"/>
    <x v="18"/>
    <x v="1"/>
    <x v="1"/>
    <n v="0.82173395936291804"/>
    <n v="2E+20"/>
    <n v="0"/>
    <n v="1"/>
    <n v="1"/>
    <n v="0"/>
    <s v="Unnamed ProjectticketscInstantaneous Utilization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30"/>
    <x v="18"/>
    <x v="2"/>
    <x v="1"/>
    <n v="0.82173395936291804"/>
    <n v="2E+20"/>
    <n v="0"/>
    <n v="1"/>
    <n v="1"/>
    <n v="0"/>
    <s v="Unnamed ProjectticketscNumber BusyResource"/>
    <n v="30"/>
    <n v="0.88098039877461687"/>
    <n v="6.9783648638161486E-2"/>
    <n v="0.95"/>
    <n v="2.6057642646860522E-2"/>
    <n v="0.73843386001690303"/>
    <n v="0.99245161744166299"/>
    <n v="2.6057642646860522E-2"/>
  </r>
  <r>
    <x v="0"/>
    <s v="2023-05-22 19:49:23"/>
    <n v="30"/>
    <x v="18"/>
    <x v="3"/>
    <x v="1"/>
    <n v="1"/>
    <n v="2E+20"/>
    <n v="1"/>
    <n v="1"/>
    <n v="1"/>
    <n v="0"/>
    <s v="Unnamed ProjectticketscNumber ScheduledResource"/>
    <n v="30"/>
    <n v="1"/>
    <n v="0"/>
    <n v="0.95"/>
    <n v="0"/>
    <n v="1"/>
    <n v="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0">
  <r>
    <x v="0"/>
    <s v="2023-05-22 19:49:23"/>
    <n v="1"/>
    <x v="0"/>
    <x v="0"/>
    <x v="0"/>
    <n v="0.100765678264329"/>
    <n v="2E+20"/>
    <n v="0"/>
    <n v="0.388516181490065"/>
    <n v="178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"/>
    <x v="0"/>
    <x v="0"/>
    <x v="0"/>
    <n v="0.10850147934799299"/>
    <n v="2E+20"/>
    <n v="0"/>
    <n v="0.55324760887107605"/>
    <n v="176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3"/>
    <x v="0"/>
    <x v="0"/>
    <x v="0"/>
    <n v="0.14237226910245299"/>
    <n v="2E+20"/>
    <n v="0"/>
    <n v="0.56875470750413704"/>
    <n v="187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4"/>
    <x v="0"/>
    <x v="0"/>
    <x v="0"/>
    <n v="0.13167827104413801"/>
    <n v="2E+20"/>
    <n v="0"/>
    <n v="0.52799725822861998"/>
    <n v="185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5"/>
    <x v="0"/>
    <x v="0"/>
    <x v="0"/>
    <n v="7.7865941390630605E-2"/>
    <n v="2E+20"/>
    <n v="0"/>
    <n v="0.415477910795085"/>
    <n v="173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6"/>
    <x v="0"/>
    <x v="0"/>
    <x v="0"/>
    <n v="0.12249163911012501"/>
    <n v="2E+20"/>
    <n v="0"/>
    <n v="0.49280551789434601"/>
    <n v="177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7"/>
    <x v="0"/>
    <x v="0"/>
    <x v="0"/>
    <n v="0.157609145224409"/>
    <n v="2E+20"/>
    <n v="0"/>
    <n v="0.55091110988129599"/>
    <n v="189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8"/>
    <x v="0"/>
    <x v="0"/>
    <x v="0"/>
    <n v="0.14724842090214599"/>
    <n v="2E+20"/>
    <n v="0"/>
    <n v="0.51984895473465098"/>
    <n v="180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9"/>
    <x v="0"/>
    <x v="0"/>
    <x v="0"/>
    <n v="0.157199220942528"/>
    <n v="2E+20"/>
    <n v="0"/>
    <n v="0.617607212836222"/>
    <n v="186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0"/>
    <x v="0"/>
    <x v="0"/>
    <x v="0"/>
    <n v="0.13243180754053299"/>
    <n v="2E+20"/>
    <n v="0"/>
    <n v="0.52230001382303903"/>
    <n v="214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1"/>
    <x v="0"/>
    <x v="0"/>
    <x v="0"/>
    <n v="0.12963781468875299"/>
    <n v="2E+20"/>
    <n v="0"/>
    <n v="0.44204443571262397"/>
    <n v="193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2"/>
    <x v="0"/>
    <x v="0"/>
    <x v="0"/>
    <n v="0.114524329367687"/>
    <n v="2E+20"/>
    <n v="0"/>
    <n v="0.50279909429932701"/>
    <n v="176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3"/>
    <x v="0"/>
    <x v="0"/>
    <x v="0"/>
    <n v="0.15947290681861501"/>
    <n v="2E+20"/>
    <n v="0"/>
    <n v="0.53271603427532399"/>
    <n v="185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4"/>
    <x v="0"/>
    <x v="0"/>
    <x v="0"/>
    <n v="6.2180984494320003E-2"/>
    <n v="2E+20"/>
    <n v="0"/>
    <n v="0.28536382467369198"/>
    <n v="164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5"/>
    <x v="0"/>
    <x v="0"/>
    <x v="0"/>
    <n v="7.6164929946746202E-2"/>
    <n v="2E+20"/>
    <n v="0"/>
    <n v="0.414508459606105"/>
    <n v="171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6"/>
    <x v="0"/>
    <x v="0"/>
    <x v="0"/>
    <n v="0.16664093182311701"/>
    <n v="2E+20"/>
    <n v="0"/>
    <n v="0.54558272019785503"/>
    <n v="203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7"/>
    <x v="0"/>
    <x v="0"/>
    <x v="0"/>
    <n v="8.5765761707640498E-2"/>
    <n v="2E+20"/>
    <n v="0"/>
    <n v="0.39325913181745198"/>
    <n v="180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8"/>
    <x v="0"/>
    <x v="0"/>
    <x v="0"/>
    <n v="8.6723448593680405E-2"/>
    <n v="2E+20"/>
    <n v="0"/>
    <n v="0.40897342372212098"/>
    <n v="204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9"/>
    <x v="0"/>
    <x v="0"/>
    <x v="0"/>
    <n v="9.1909231603159502E-2"/>
    <n v="2E+20"/>
    <n v="0"/>
    <n v="0.44431794476404002"/>
    <n v="190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0"/>
    <x v="0"/>
    <x v="0"/>
    <x v="0"/>
    <n v="0.131755224147036"/>
    <n v="2E+20"/>
    <n v="0"/>
    <n v="0.50170278459969098"/>
    <n v="202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1"/>
    <x v="0"/>
    <x v="0"/>
    <x v="0"/>
    <n v="0.18859814086073301"/>
    <n v="2E+20"/>
    <n v="0"/>
    <n v="0.72232466187807898"/>
    <n v="199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2"/>
    <x v="0"/>
    <x v="0"/>
    <x v="0"/>
    <n v="0.107209158836477"/>
    <n v="2E+20"/>
    <n v="0"/>
    <n v="0.528091798039658"/>
    <n v="172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3"/>
    <x v="0"/>
    <x v="0"/>
    <x v="0"/>
    <n v="5.9360457129275401E-2"/>
    <n v="2E+20"/>
    <n v="0"/>
    <n v="0.30135834396959699"/>
    <n v="154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4"/>
    <x v="0"/>
    <x v="0"/>
    <x v="0"/>
    <n v="5.8932789290205102E-2"/>
    <n v="2E+20"/>
    <n v="0"/>
    <n v="0.280996722342929"/>
    <n v="175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5"/>
    <x v="0"/>
    <x v="0"/>
    <x v="0"/>
    <n v="0.102703418076379"/>
    <n v="2E+20"/>
    <n v="0"/>
    <n v="0.44666928519184801"/>
    <n v="185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6"/>
    <x v="0"/>
    <x v="0"/>
    <x v="0"/>
    <n v="7.1052441583501297E-2"/>
    <n v="2E+20"/>
    <n v="0"/>
    <n v="0.33730022517479602"/>
    <n v="164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7"/>
    <x v="0"/>
    <x v="0"/>
    <x v="0"/>
    <n v="0.12846391609114299"/>
    <n v="2E+20"/>
    <n v="0"/>
    <n v="0.57973498180785599"/>
    <n v="204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8"/>
    <x v="0"/>
    <x v="0"/>
    <x v="0"/>
    <n v="8.5833168462948695E-2"/>
    <n v="2E+20"/>
    <n v="0"/>
    <n v="0.49946906311143302"/>
    <n v="195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29"/>
    <x v="0"/>
    <x v="0"/>
    <x v="0"/>
    <n v="0.1190986107748"/>
    <n v="2E+20"/>
    <n v="0"/>
    <n v="0.466064969840843"/>
    <n v="208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30"/>
    <x v="0"/>
    <x v="0"/>
    <x v="0"/>
    <n v="6.0825578195951101E-2"/>
    <n v="2E+20"/>
    <n v="0"/>
    <n v="0.323851169651377"/>
    <n v="181"/>
    <s v="Unnamed ProjectLeaveTornoEntrada.QueueWaiting TimeQueue"/>
    <n v="30"/>
    <n v="0.11216723717871509"/>
    <n v="3.5629748563461121E-2"/>
    <n v="0.95"/>
    <n v="1.3304366764744478E-2"/>
    <n v="5.8932789290205102E-2"/>
    <n v="0.18859814086073301"/>
    <n v="0"/>
    <n v="0.72232466187807898"/>
    <n v="185"/>
    <n v="1.3304366764744478E-2"/>
    <n v="30"/>
    <n v="1"/>
  </r>
  <r>
    <x v="0"/>
    <s v="2023-05-22 19:49:23"/>
    <n v="1"/>
    <x v="1"/>
    <x v="0"/>
    <x v="0"/>
    <n v="6.6193825150385799E-2"/>
    <n v="2E+20"/>
    <n v="0"/>
    <n v="0.38804263584270199"/>
    <n v="133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"/>
    <x v="1"/>
    <x v="0"/>
    <x v="0"/>
    <n v="0.124598926006505"/>
    <n v="2E+20"/>
    <n v="0"/>
    <n v="0.54312719224037698"/>
    <n v="136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3"/>
    <x v="1"/>
    <x v="0"/>
    <x v="0"/>
    <n v="0.13354305095125399"/>
    <n v="2E+20"/>
    <n v="0"/>
    <n v="0.552534972774543"/>
    <n v="140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4"/>
    <x v="1"/>
    <x v="0"/>
    <x v="0"/>
    <n v="0.13016059447886999"/>
    <n v="2E+20"/>
    <n v="0"/>
    <n v="0.52397335695214697"/>
    <n v="147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5"/>
    <x v="1"/>
    <x v="0"/>
    <x v="0"/>
    <n v="8.58502323048497E-2"/>
    <n v="2E+20"/>
    <n v="0"/>
    <n v="0.43139471959570203"/>
    <n v="125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6"/>
    <x v="1"/>
    <x v="0"/>
    <x v="0"/>
    <n v="9.7692861066880798E-2"/>
    <n v="2E+20"/>
    <n v="0"/>
    <n v="0.47835609276426999"/>
    <n v="141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7"/>
    <x v="1"/>
    <x v="0"/>
    <x v="0"/>
    <n v="0.15964449264543101"/>
    <n v="2E+20"/>
    <n v="0"/>
    <n v="0.55284183642109697"/>
    <n v="138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8"/>
    <x v="1"/>
    <x v="0"/>
    <x v="0"/>
    <n v="0.136486984293021"/>
    <n v="2E+20"/>
    <n v="0"/>
    <n v="0.49201734796327101"/>
    <n v="149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9"/>
    <x v="1"/>
    <x v="0"/>
    <x v="0"/>
    <n v="0.19405359952269699"/>
    <n v="2E+20"/>
    <n v="0"/>
    <n v="0.60207356894573605"/>
    <n v="136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0"/>
    <x v="1"/>
    <x v="0"/>
    <x v="0"/>
    <n v="0.141119689607002"/>
    <n v="2E+20"/>
    <n v="0"/>
    <n v="0.53198353833940903"/>
    <n v="156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1"/>
    <x v="1"/>
    <x v="0"/>
    <x v="0"/>
    <n v="9.8060293083412298E-2"/>
    <n v="2E+20"/>
    <n v="0"/>
    <n v="0.43880010722459001"/>
    <n v="153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2"/>
    <x v="1"/>
    <x v="0"/>
    <x v="0"/>
    <n v="0.103138629322509"/>
    <n v="2E+20"/>
    <n v="0"/>
    <n v="0.48110456646607902"/>
    <n v="141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3"/>
    <x v="1"/>
    <x v="0"/>
    <x v="0"/>
    <n v="0.16190531966351299"/>
    <n v="2E+20"/>
    <n v="0"/>
    <n v="0.53255602873314301"/>
    <n v="132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4"/>
    <x v="1"/>
    <x v="0"/>
    <x v="0"/>
    <n v="6.00616848797823E-2"/>
    <n v="2E+20"/>
    <n v="0"/>
    <n v="0.30839748107770398"/>
    <n v="126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5"/>
    <x v="1"/>
    <x v="0"/>
    <x v="0"/>
    <n v="7.3996671784405804E-2"/>
    <n v="2E+20"/>
    <n v="0"/>
    <n v="0.41227099004490297"/>
    <n v="139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6"/>
    <x v="1"/>
    <x v="0"/>
    <x v="0"/>
    <n v="0.151032689742332"/>
    <n v="2E+20"/>
    <n v="0"/>
    <n v="0.51334397638768103"/>
    <n v="148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7"/>
    <x v="1"/>
    <x v="0"/>
    <x v="0"/>
    <n v="9.9006529120759704E-2"/>
    <n v="2E+20"/>
    <n v="0"/>
    <n v="0.406600947478925"/>
    <n v="126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8"/>
    <x v="1"/>
    <x v="0"/>
    <x v="0"/>
    <n v="9.7682360844754401E-2"/>
    <n v="2E+20"/>
    <n v="0"/>
    <n v="0.41539597937216"/>
    <n v="141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9"/>
    <x v="1"/>
    <x v="0"/>
    <x v="0"/>
    <n v="7.7950845319308307E-2"/>
    <n v="2E+20"/>
    <n v="0"/>
    <n v="0.42950948756042601"/>
    <n v="141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0"/>
    <x v="1"/>
    <x v="0"/>
    <x v="0"/>
    <n v="0.13829859823233601"/>
    <n v="2E+20"/>
    <n v="0"/>
    <n v="0.51927542269760196"/>
    <n v="158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1"/>
    <x v="1"/>
    <x v="0"/>
    <x v="0"/>
    <n v="0.20406012099226001"/>
    <n v="2E+20"/>
    <n v="0"/>
    <n v="0.72434773894371496"/>
    <n v="158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2"/>
    <x v="1"/>
    <x v="0"/>
    <x v="0"/>
    <n v="0.11596158409778499"/>
    <n v="2E+20"/>
    <n v="0"/>
    <n v="0.52879028836295405"/>
    <n v="133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3"/>
    <x v="1"/>
    <x v="0"/>
    <x v="0"/>
    <n v="4.8374078077691597E-2"/>
    <n v="2E+20"/>
    <n v="0"/>
    <n v="0.318682850062107"/>
    <n v="122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4"/>
    <x v="1"/>
    <x v="0"/>
    <x v="0"/>
    <n v="5.0367139842321197E-2"/>
    <n v="2E+20"/>
    <n v="0"/>
    <n v="0.27085729031071398"/>
    <n v="125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5"/>
    <x v="1"/>
    <x v="0"/>
    <x v="0"/>
    <n v="0.110114149867674"/>
    <n v="2E+20"/>
    <n v="0"/>
    <n v="0.44407520387965899"/>
    <n v="138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6"/>
    <x v="1"/>
    <x v="0"/>
    <x v="0"/>
    <n v="6.0870283539900802E-2"/>
    <n v="2E+20"/>
    <n v="0"/>
    <n v="0.335364580476601"/>
    <n v="125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7"/>
    <x v="1"/>
    <x v="0"/>
    <x v="0"/>
    <n v="0.14929700577247401"/>
    <n v="2E+20"/>
    <n v="0"/>
    <n v="0.58234382082749903"/>
    <n v="149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8"/>
    <x v="1"/>
    <x v="0"/>
    <x v="0"/>
    <n v="9.5232948258475697E-2"/>
    <n v="2E+20"/>
    <n v="0"/>
    <n v="0.50707092745541404"/>
    <n v="144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29"/>
    <x v="1"/>
    <x v="0"/>
    <x v="0"/>
    <n v="9.3336018350031594E-2"/>
    <n v="2E+20"/>
    <n v="0"/>
    <n v="0.44131936252778797"/>
    <n v="156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30"/>
    <x v="1"/>
    <x v="0"/>
    <x v="0"/>
    <n v="7.1441834805969107E-2"/>
    <n v="2E+20"/>
    <n v="0"/>
    <n v="0.32762679294068803"/>
    <n v="133"/>
    <s v="Unnamed ProjectLeaveTornoSalida.QueueWaiting TimeQueue"/>
    <n v="30"/>
    <n v="0.11098443472081972"/>
    <n v="4.0528096740519687E-2"/>
    <n v="0.95"/>
    <n v="1.5133440034036001E-2"/>
    <n v="4.8374078077691597E-2"/>
    <n v="0.20406012099226001"/>
    <n v="0"/>
    <n v="0.72434773894371496"/>
    <n v="139.63333333333333"/>
    <n v="1.5133440034036001E-2"/>
    <n v="30"/>
    <n v="1"/>
  </r>
  <r>
    <x v="0"/>
    <s v="2023-05-22 19:49:23"/>
    <n v="1"/>
    <x v="2"/>
    <x v="0"/>
    <x v="0"/>
    <n v="8.8199675313100898E-2"/>
    <n v="2E+20"/>
    <n v="0"/>
    <n v="0.33924586647446803"/>
    <n v="181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"/>
    <x v="2"/>
    <x v="0"/>
    <x v="0"/>
    <n v="4.0934107560121398E-2"/>
    <n v="2E+20"/>
    <n v="0"/>
    <n v="0.19728853484033401"/>
    <n v="179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3"/>
    <x v="2"/>
    <x v="0"/>
    <x v="0"/>
    <n v="2.8461161719687902E-2"/>
    <n v="2E+20"/>
    <n v="0"/>
    <n v="0.14921387514635101"/>
    <n v="187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4"/>
    <x v="2"/>
    <x v="0"/>
    <x v="0"/>
    <n v="0.123460722793547"/>
    <n v="2E+20"/>
    <n v="0"/>
    <n v="0.660606496370721"/>
    <n v="188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5"/>
    <x v="2"/>
    <x v="0"/>
    <x v="0"/>
    <n v="5.9513462594645301E-2"/>
    <n v="2E+20"/>
    <n v="0"/>
    <n v="0.28555898743993502"/>
    <n v="177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6"/>
    <x v="2"/>
    <x v="0"/>
    <x v="0"/>
    <n v="6.1702655114709397E-2"/>
    <n v="2E+20"/>
    <n v="0"/>
    <n v="0.440435483309772"/>
    <n v="180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7"/>
    <x v="2"/>
    <x v="0"/>
    <x v="0"/>
    <n v="7.7389535833358794E-2"/>
    <n v="2E+20"/>
    <n v="0"/>
    <n v="0.333643634386184"/>
    <n v="191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8"/>
    <x v="2"/>
    <x v="0"/>
    <x v="0"/>
    <n v="0.129688309757997"/>
    <n v="2E+20"/>
    <n v="0"/>
    <n v="0.42892292626318901"/>
    <n v="183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9"/>
    <x v="2"/>
    <x v="0"/>
    <x v="0"/>
    <n v="8.6115055946779095E-2"/>
    <n v="2E+20"/>
    <n v="0"/>
    <n v="0.38145491229461198"/>
    <n v="191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0"/>
    <x v="2"/>
    <x v="0"/>
    <x v="0"/>
    <n v="0.49319397120587899"/>
    <n v="2E+20"/>
    <n v="0"/>
    <n v="0.95005336062891699"/>
    <n v="219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1"/>
    <x v="2"/>
    <x v="0"/>
    <x v="0"/>
    <n v="6.5730821993598199E-2"/>
    <n v="2E+20"/>
    <n v="0"/>
    <n v="0.24833804271895901"/>
    <n v="196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2"/>
    <x v="2"/>
    <x v="0"/>
    <x v="0"/>
    <n v="0.138649650542645"/>
    <n v="2E+20"/>
    <n v="0"/>
    <n v="0.37784888146495799"/>
    <n v="179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3"/>
    <x v="2"/>
    <x v="0"/>
    <x v="0"/>
    <n v="0.10851325955747899"/>
    <n v="2E+20"/>
    <n v="0"/>
    <n v="0.27040211719027302"/>
    <n v="187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4"/>
    <x v="2"/>
    <x v="0"/>
    <x v="0"/>
    <n v="6.9379343276293998E-2"/>
    <n v="2E+20"/>
    <n v="0"/>
    <n v="0.29122829124846999"/>
    <n v="165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5"/>
    <x v="2"/>
    <x v="0"/>
    <x v="0"/>
    <n v="4.0137037777132699E-2"/>
    <n v="2E+20"/>
    <n v="0"/>
    <n v="0.18293337566391901"/>
    <n v="174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6"/>
    <x v="2"/>
    <x v="0"/>
    <x v="0"/>
    <n v="0.205376702852264"/>
    <n v="2E+20"/>
    <n v="0"/>
    <n v="0.46170158932828897"/>
    <n v="207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7"/>
    <x v="2"/>
    <x v="0"/>
    <x v="0"/>
    <n v="0.18614172839259799"/>
    <n v="2E+20"/>
    <n v="0"/>
    <n v="0.48733217380085297"/>
    <n v="183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8"/>
    <x v="2"/>
    <x v="0"/>
    <x v="0"/>
    <n v="0.142472184943776"/>
    <n v="2E+20"/>
    <n v="0"/>
    <n v="0.35169734062180502"/>
    <n v="206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9"/>
    <x v="2"/>
    <x v="0"/>
    <x v="0"/>
    <n v="8.4982627362611293E-2"/>
    <n v="2E+20"/>
    <n v="0"/>
    <n v="0.37638358572989"/>
    <n v="193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0"/>
    <x v="2"/>
    <x v="0"/>
    <x v="0"/>
    <n v="0.28642189503764498"/>
    <n v="2E+20"/>
    <n v="0"/>
    <n v="0.61923365379755801"/>
    <n v="205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1"/>
    <x v="2"/>
    <x v="0"/>
    <x v="0"/>
    <n v="0.23435245274004601"/>
    <n v="2E+20"/>
    <n v="0"/>
    <n v="0.56067788780016403"/>
    <n v="202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2"/>
    <x v="2"/>
    <x v="0"/>
    <x v="0"/>
    <n v="4.9028294413408301E-2"/>
    <n v="2E+20"/>
    <n v="0"/>
    <n v="0.185487135701632"/>
    <n v="175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3"/>
    <x v="2"/>
    <x v="0"/>
    <x v="0"/>
    <n v="5.6350896882948399E-2"/>
    <n v="2E+20"/>
    <n v="0"/>
    <n v="0.206480242188785"/>
    <n v="157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4"/>
    <x v="2"/>
    <x v="0"/>
    <x v="0"/>
    <n v="0.236707085990397"/>
    <n v="2E+20"/>
    <n v="0"/>
    <n v="0.53064079526971997"/>
    <n v="178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5"/>
    <x v="2"/>
    <x v="0"/>
    <x v="0"/>
    <n v="6.8260906228521101E-2"/>
    <n v="2E+20"/>
    <n v="0"/>
    <n v="0.242097775585633"/>
    <n v="187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6"/>
    <x v="2"/>
    <x v="0"/>
    <x v="0"/>
    <n v="4.3612932534210301E-2"/>
    <n v="2E+20"/>
    <n v="0"/>
    <n v="0.26732977694161397"/>
    <n v="167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7"/>
    <x v="2"/>
    <x v="0"/>
    <x v="0"/>
    <n v="0.27553626862528802"/>
    <n v="2E+20"/>
    <n v="0"/>
    <n v="0.70874769510281699"/>
    <n v="207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8"/>
    <x v="2"/>
    <x v="0"/>
    <x v="0"/>
    <n v="0.13364037623399599"/>
    <n v="2E+20"/>
    <n v="0"/>
    <n v="0.53076394328197196"/>
    <n v="197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29"/>
    <x v="2"/>
    <x v="0"/>
    <x v="0"/>
    <n v="0.146589781965584"/>
    <n v="2E+20"/>
    <n v="0"/>
    <n v="0.41928856131749498"/>
    <n v="211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30"/>
    <x v="2"/>
    <x v="0"/>
    <x v="0"/>
    <n v="0.107887747439703"/>
    <n v="2E+20"/>
    <n v="0"/>
    <n v="0.39205238236028001"/>
    <n v="184"/>
    <s v="Unnamed ProjectMostrador.QueueWaiting TimeQueue"/>
    <n v="30"/>
    <n v="0.12894768842099902"/>
    <n v="9.9243012190065885E-2"/>
    <n v="0.95"/>
    <n v="3.7057949782129528E-2"/>
    <n v="2.8461161719687902E-2"/>
    <n v="0.49319397120587899"/>
    <n v="0"/>
    <n v="0.95005336062891699"/>
    <n v="187.86666666666667"/>
    <n v="3.7057949782129528E-2"/>
    <n v="30"/>
    <n v="1"/>
  </r>
  <r>
    <x v="0"/>
    <s v="2023-05-22 19:49:23"/>
    <n v="1"/>
    <x v="3"/>
    <x v="0"/>
    <x v="0"/>
    <n v="0"/>
    <n v="2E+20"/>
    <n v="0"/>
    <n v="0"/>
    <n v="30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"/>
    <x v="3"/>
    <x v="0"/>
    <x v="0"/>
    <n v="0"/>
    <n v="2E+20"/>
    <n v="0"/>
    <n v="0"/>
    <n v="31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3"/>
    <x v="3"/>
    <x v="0"/>
    <x v="0"/>
    <n v="0"/>
    <n v="2E+20"/>
    <n v="0"/>
    <n v="0"/>
    <n v="42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4"/>
    <x v="3"/>
    <x v="0"/>
    <x v="0"/>
    <n v="0"/>
    <n v="2E+20"/>
    <n v="0"/>
    <n v="0"/>
    <n v="36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5"/>
    <x v="3"/>
    <x v="0"/>
    <x v="0"/>
    <n v="0"/>
    <n v="2E+20"/>
    <n v="0"/>
    <n v="0"/>
    <n v="33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6"/>
    <x v="3"/>
    <x v="0"/>
    <x v="0"/>
    <n v="0"/>
    <n v="2E+20"/>
    <n v="0"/>
    <n v="0"/>
    <n v="38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7"/>
    <x v="3"/>
    <x v="0"/>
    <x v="0"/>
    <n v="0"/>
    <n v="2E+20"/>
    <n v="0"/>
    <n v="0"/>
    <n v="42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8"/>
    <x v="3"/>
    <x v="0"/>
    <x v="0"/>
    <n v="0"/>
    <n v="2E+20"/>
    <n v="0"/>
    <n v="0"/>
    <n v="33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9"/>
    <x v="3"/>
    <x v="0"/>
    <x v="0"/>
    <n v="0"/>
    <n v="2E+20"/>
    <n v="0"/>
    <n v="0"/>
    <n v="28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0"/>
    <x v="3"/>
    <x v="0"/>
    <x v="0"/>
    <n v="0"/>
    <n v="2E+20"/>
    <n v="0"/>
    <n v="0"/>
    <n v="41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1"/>
    <x v="3"/>
    <x v="0"/>
    <x v="0"/>
    <n v="0"/>
    <n v="2E+20"/>
    <n v="0"/>
    <n v="0"/>
    <n v="33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2"/>
    <x v="3"/>
    <x v="0"/>
    <x v="0"/>
    <n v="0"/>
    <n v="2E+20"/>
    <n v="0"/>
    <n v="0"/>
    <n v="30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3"/>
    <x v="3"/>
    <x v="0"/>
    <x v="0"/>
    <n v="0"/>
    <n v="2E+20"/>
    <n v="0"/>
    <n v="0"/>
    <n v="37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4"/>
    <x v="3"/>
    <x v="0"/>
    <x v="0"/>
    <n v="0"/>
    <n v="2E+20"/>
    <n v="0"/>
    <n v="0"/>
    <n v="24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5"/>
    <x v="3"/>
    <x v="0"/>
    <x v="0"/>
    <n v="0"/>
    <n v="2E+20"/>
    <n v="0"/>
    <n v="0"/>
    <n v="41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6"/>
    <x v="3"/>
    <x v="0"/>
    <x v="0"/>
    <n v="0"/>
    <n v="2E+20"/>
    <n v="0"/>
    <n v="0"/>
    <n v="39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7"/>
    <x v="3"/>
    <x v="0"/>
    <x v="0"/>
    <n v="0"/>
    <n v="2E+20"/>
    <n v="0"/>
    <n v="0"/>
    <n v="26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8"/>
    <x v="3"/>
    <x v="0"/>
    <x v="0"/>
    <n v="0"/>
    <n v="2E+20"/>
    <n v="0"/>
    <n v="0"/>
    <n v="38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9"/>
    <x v="3"/>
    <x v="0"/>
    <x v="0"/>
    <n v="0"/>
    <n v="2E+20"/>
    <n v="0"/>
    <n v="0"/>
    <n v="35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0"/>
    <x v="3"/>
    <x v="0"/>
    <x v="0"/>
    <n v="0"/>
    <n v="2E+20"/>
    <n v="0"/>
    <n v="0"/>
    <n v="43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1"/>
    <x v="3"/>
    <x v="0"/>
    <x v="0"/>
    <n v="0"/>
    <n v="2E+20"/>
    <n v="0"/>
    <n v="0"/>
    <n v="39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2"/>
    <x v="3"/>
    <x v="0"/>
    <x v="0"/>
    <n v="0"/>
    <n v="2E+20"/>
    <n v="0"/>
    <n v="0"/>
    <n v="31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3"/>
    <x v="3"/>
    <x v="0"/>
    <x v="0"/>
    <n v="0"/>
    <n v="2E+20"/>
    <n v="0"/>
    <n v="0"/>
    <n v="29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4"/>
    <x v="3"/>
    <x v="0"/>
    <x v="0"/>
    <n v="0"/>
    <n v="2E+20"/>
    <n v="0"/>
    <n v="0"/>
    <n v="24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5"/>
    <x v="3"/>
    <x v="0"/>
    <x v="0"/>
    <n v="0"/>
    <n v="2E+20"/>
    <n v="0"/>
    <n v="0"/>
    <n v="37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6"/>
    <x v="3"/>
    <x v="0"/>
    <x v="0"/>
    <n v="0"/>
    <n v="2E+20"/>
    <n v="0"/>
    <n v="0"/>
    <n v="30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7"/>
    <x v="3"/>
    <x v="0"/>
    <x v="0"/>
    <n v="0"/>
    <n v="2E+20"/>
    <n v="0"/>
    <n v="0"/>
    <n v="44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8"/>
    <x v="3"/>
    <x v="0"/>
    <x v="0"/>
    <n v="0"/>
    <n v="2E+20"/>
    <n v="0"/>
    <n v="0"/>
    <n v="47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29"/>
    <x v="3"/>
    <x v="0"/>
    <x v="0"/>
    <n v="0"/>
    <n v="2E+20"/>
    <n v="0"/>
    <n v="0"/>
    <n v="34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30"/>
    <x v="3"/>
    <x v="0"/>
    <x v="0"/>
    <n v="0"/>
    <n v="2E+20"/>
    <n v="0"/>
    <n v="0"/>
    <n v="24"/>
    <s v="Unnamed ProjectPArte.QueueWaiting TimeQueue"/>
    <n v="30"/>
    <n v="0"/>
    <n v="0"/>
    <n v="0.95"/>
    <n v="0"/>
    <n v="0"/>
    <n v="0"/>
    <n v="0"/>
    <n v="0"/>
    <n v="34.633333333333333"/>
    <n v="0"/>
    <n v="30"/>
    <n v="1"/>
  </r>
  <r>
    <x v="0"/>
    <s v="2023-05-22 19:49:23"/>
    <n v="1"/>
    <x v="4"/>
    <x v="0"/>
    <x v="0"/>
    <n v="0"/>
    <n v="2E+20"/>
    <n v="0"/>
    <n v="0"/>
    <n v="93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"/>
    <x v="4"/>
    <x v="0"/>
    <x v="0"/>
    <n v="0"/>
    <n v="2E+20"/>
    <n v="0"/>
    <n v="0"/>
    <n v="105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3"/>
    <x v="4"/>
    <x v="0"/>
    <x v="0"/>
    <n v="0"/>
    <n v="2E+20"/>
    <n v="0"/>
    <n v="0"/>
    <n v="97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4"/>
    <x v="4"/>
    <x v="0"/>
    <x v="0"/>
    <n v="0"/>
    <n v="2E+20"/>
    <n v="0"/>
    <n v="0"/>
    <n v="108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5"/>
    <x v="4"/>
    <x v="0"/>
    <x v="0"/>
    <n v="0"/>
    <n v="2E+20"/>
    <n v="0"/>
    <n v="0"/>
    <n v="101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6"/>
    <x v="4"/>
    <x v="0"/>
    <x v="0"/>
    <n v="0"/>
    <n v="2E+20"/>
    <n v="0"/>
    <n v="0"/>
    <n v="102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7"/>
    <x v="4"/>
    <x v="0"/>
    <x v="0"/>
    <n v="0"/>
    <n v="2E+20"/>
    <n v="0"/>
    <n v="0"/>
    <n v="104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8"/>
    <x v="4"/>
    <x v="0"/>
    <x v="0"/>
    <n v="0"/>
    <n v="2E+20"/>
    <n v="0"/>
    <n v="0"/>
    <n v="101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9"/>
    <x v="4"/>
    <x v="0"/>
    <x v="0"/>
    <n v="0"/>
    <n v="2E+20"/>
    <n v="0"/>
    <n v="0"/>
    <n v="120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0"/>
    <x v="4"/>
    <x v="0"/>
    <x v="0"/>
    <n v="0"/>
    <n v="2E+20"/>
    <n v="0"/>
    <n v="0"/>
    <n v="118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1"/>
    <x v="4"/>
    <x v="0"/>
    <x v="0"/>
    <n v="0"/>
    <n v="2E+20"/>
    <n v="0"/>
    <n v="0"/>
    <n v="115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2"/>
    <x v="4"/>
    <x v="0"/>
    <x v="0"/>
    <n v="0"/>
    <n v="2E+20"/>
    <n v="0"/>
    <n v="0"/>
    <n v="90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3"/>
    <x v="4"/>
    <x v="0"/>
    <x v="0"/>
    <n v="0"/>
    <n v="2E+20"/>
    <n v="0"/>
    <n v="0"/>
    <n v="108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4"/>
    <x v="4"/>
    <x v="0"/>
    <x v="0"/>
    <n v="0"/>
    <n v="2E+20"/>
    <n v="0"/>
    <n v="0"/>
    <n v="100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5"/>
    <x v="4"/>
    <x v="0"/>
    <x v="0"/>
    <n v="0"/>
    <n v="2E+20"/>
    <n v="0"/>
    <n v="0"/>
    <n v="96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6"/>
    <x v="4"/>
    <x v="0"/>
    <x v="0"/>
    <n v="0"/>
    <n v="2E+20"/>
    <n v="0"/>
    <n v="0"/>
    <n v="117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7"/>
    <x v="4"/>
    <x v="0"/>
    <x v="0"/>
    <n v="0"/>
    <n v="2E+20"/>
    <n v="0"/>
    <n v="0"/>
    <n v="90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8"/>
    <x v="4"/>
    <x v="0"/>
    <x v="0"/>
    <n v="0"/>
    <n v="2E+20"/>
    <n v="0"/>
    <n v="0"/>
    <n v="118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9"/>
    <x v="4"/>
    <x v="0"/>
    <x v="0"/>
    <n v="0"/>
    <n v="2E+20"/>
    <n v="0"/>
    <n v="0"/>
    <n v="96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0"/>
    <x v="4"/>
    <x v="0"/>
    <x v="0"/>
    <n v="0"/>
    <n v="2E+20"/>
    <n v="0"/>
    <n v="0"/>
    <n v="119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1"/>
    <x v="4"/>
    <x v="0"/>
    <x v="0"/>
    <n v="0"/>
    <n v="2E+20"/>
    <n v="0"/>
    <n v="0"/>
    <n v="105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2"/>
    <x v="4"/>
    <x v="0"/>
    <x v="0"/>
    <n v="0"/>
    <n v="2E+20"/>
    <n v="0"/>
    <n v="0"/>
    <n v="95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3"/>
    <x v="4"/>
    <x v="0"/>
    <x v="0"/>
    <n v="0"/>
    <n v="2E+20"/>
    <n v="0"/>
    <n v="0"/>
    <n v="91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4"/>
    <x v="4"/>
    <x v="0"/>
    <x v="0"/>
    <n v="0"/>
    <n v="2E+20"/>
    <n v="0"/>
    <n v="0"/>
    <n v="96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5"/>
    <x v="4"/>
    <x v="0"/>
    <x v="0"/>
    <n v="0"/>
    <n v="2E+20"/>
    <n v="0"/>
    <n v="0"/>
    <n v="111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6"/>
    <x v="4"/>
    <x v="0"/>
    <x v="0"/>
    <n v="0"/>
    <n v="2E+20"/>
    <n v="0"/>
    <n v="0"/>
    <n v="97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7"/>
    <x v="4"/>
    <x v="0"/>
    <x v="0"/>
    <n v="0"/>
    <n v="2E+20"/>
    <n v="0"/>
    <n v="0"/>
    <n v="112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8"/>
    <x v="4"/>
    <x v="0"/>
    <x v="0"/>
    <n v="0"/>
    <n v="2E+20"/>
    <n v="0"/>
    <n v="0"/>
    <n v="113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29"/>
    <x v="4"/>
    <x v="0"/>
    <x v="0"/>
    <n v="0"/>
    <n v="2E+20"/>
    <n v="0"/>
    <n v="0"/>
    <n v="120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30"/>
    <x v="4"/>
    <x v="0"/>
    <x v="0"/>
    <n v="0"/>
    <n v="2E+20"/>
    <n v="0"/>
    <n v="0"/>
    <n v="116"/>
    <s v="Unnamed ProjectPAstro.QueueWaiting TimeQueue"/>
    <n v="30"/>
    <n v="0"/>
    <n v="0"/>
    <n v="0.95"/>
    <n v="0"/>
    <n v="0"/>
    <n v="0"/>
    <n v="0"/>
    <n v="0"/>
    <n v="105.13333333333334"/>
    <n v="0"/>
    <n v="30"/>
    <n v="1"/>
  </r>
  <r>
    <x v="0"/>
    <s v="2023-05-22 19:49:23"/>
    <n v="1"/>
    <x v="5"/>
    <x v="0"/>
    <x v="0"/>
    <n v="3.2635682535475399E-2"/>
    <n v="2E+20"/>
    <n v="0"/>
    <n v="0.15294817213859399"/>
    <n v="127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"/>
    <x v="5"/>
    <x v="0"/>
    <x v="0"/>
    <n v="5.4366452721146E-2"/>
    <n v="2E+20"/>
    <n v="0"/>
    <n v="0.20971200438586901"/>
    <n v="133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3"/>
    <x v="5"/>
    <x v="0"/>
    <x v="0"/>
    <n v="0.10504762152088901"/>
    <n v="2E+20"/>
    <n v="0"/>
    <n v="0.284317273141942"/>
    <n v="131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4"/>
    <x v="5"/>
    <x v="0"/>
    <x v="0"/>
    <n v="5.1646151489323402E-2"/>
    <n v="2E+20"/>
    <n v="0"/>
    <n v="0.23311734186504199"/>
    <n v="140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5"/>
    <x v="5"/>
    <x v="0"/>
    <x v="0"/>
    <n v="3.41314451268837E-3"/>
    <n v="2E+20"/>
    <n v="0"/>
    <n v="5.1513313061819103E-2"/>
    <n v="116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6"/>
    <x v="5"/>
    <x v="0"/>
    <x v="0"/>
    <n v="3.07274814733135E-2"/>
    <n v="2E+20"/>
    <n v="0"/>
    <n v="0.162349164631197"/>
    <n v="125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7"/>
    <x v="5"/>
    <x v="0"/>
    <x v="0"/>
    <n v="5.25205231185484E-2"/>
    <n v="2E+20"/>
    <n v="0"/>
    <n v="0.28103537183028598"/>
    <n v="130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8"/>
    <x v="5"/>
    <x v="0"/>
    <x v="0"/>
    <n v="7.2108352473060897E-2"/>
    <n v="2E+20"/>
    <n v="0"/>
    <n v="0.272244073521413"/>
    <n v="135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9"/>
    <x v="5"/>
    <x v="0"/>
    <x v="0"/>
    <n v="3.7567838758702399E-2"/>
    <n v="2E+20"/>
    <n v="0"/>
    <n v="0.19738123806440599"/>
    <n v="135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0"/>
    <x v="5"/>
    <x v="0"/>
    <x v="0"/>
    <n v="6.9945587964947806E-2"/>
    <n v="2E+20"/>
    <n v="0"/>
    <n v="0.329157170643185"/>
    <n v="143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1"/>
    <x v="5"/>
    <x v="0"/>
    <x v="0"/>
    <n v="3.0279876166596099E-2"/>
    <n v="2E+20"/>
    <n v="0"/>
    <n v="0.17666200668979301"/>
    <n v="145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2"/>
    <x v="5"/>
    <x v="0"/>
    <x v="0"/>
    <n v="2.0416238198462999E-2"/>
    <n v="2E+20"/>
    <n v="0"/>
    <n v="9.7635334186234199E-2"/>
    <n v="130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3"/>
    <x v="5"/>
    <x v="0"/>
    <x v="0"/>
    <n v="7.6035911139587502E-3"/>
    <n v="2E+20"/>
    <n v="0"/>
    <n v="7.5428754719502097E-2"/>
    <n v="119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4"/>
    <x v="5"/>
    <x v="0"/>
    <x v="0"/>
    <n v="1.2359076347115E-2"/>
    <n v="2E+20"/>
    <n v="0"/>
    <n v="0.11815364544965"/>
    <n v="124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5"/>
    <x v="5"/>
    <x v="0"/>
    <x v="0"/>
    <n v="1.8081693463259298E-2"/>
    <n v="2E+20"/>
    <n v="0"/>
    <n v="0.14973586601041899"/>
    <n v="113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6"/>
    <x v="5"/>
    <x v="0"/>
    <x v="0"/>
    <n v="9.7734603911603199E-2"/>
    <n v="2E+20"/>
    <n v="0"/>
    <n v="0.33547227427550702"/>
    <n v="140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7"/>
    <x v="5"/>
    <x v="0"/>
    <x v="0"/>
    <n v="2.1890190920734399E-2"/>
    <n v="2E+20"/>
    <n v="0"/>
    <n v="0.141974654168248"/>
    <n v="126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8"/>
    <x v="5"/>
    <x v="0"/>
    <x v="0"/>
    <n v="7.4906161433821894E-2"/>
    <n v="2E+20"/>
    <n v="0"/>
    <n v="0.26347362992850698"/>
    <n v="133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9"/>
    <x v="5"/>
    <x v="0"/>
    <x v="0"/>
    <n v="1.8122982867797899E-2"/>
    <n v="2E+20"/>
    <n v="0"/>
    <n v="0.135282449468386"/>
    <n v="132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0"/>
    <x v="5"/>
    <x v="0"/>
    <x v="0"/>
    <n v="0.11120615347514901"/>
    <n v="2E+20"/>
    <n v="0"/>
    <n v="0.37110522919896499"/>
    <n v="142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1"/>
    <x v="5"/>
    <x v="0"/>
    <x v="0"/>
    <n v="2.5124630507246001E-2"/>
    <n v="2E+20"/>
    <n v="0"/>
    <n v="0.13223804881675899"/>
    <n v="136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2"/>
    <x v="5"/>
    <x v="0"/>
    <x v="0"/>
    <n v="1.46782352435285E-3"/>
    <n v="2E+20"/>
    <n v="0"/>
    <n v="6.00835473106658E-2"/>
    <n v="125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3"/>
    <x v="5"/>
    <x v="0"/>
    <x v="0"/>
    <n v="6.3047090878785199E-3"/>
    <n v="2E+20"/>
    <n v="0"/>
    <n v="9.2912355550631695E-2"/>
    <n v="114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4"/>
    <x v="5"/>
    <x v="0"/>
    <x v="0"/>
    <n v="1.5656291389131601E-2"/>
    <n v="2E+20"/>
    <n v="0"/>
    <n v="0.12940678634637501"/>
    <n v="126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5"/>
    <x v="5"/>
    <x v="0"/>
    <x v="0"/>
    <n v="1.5634760336024199E-2"/>
    <n v="2E+20"/>
    <n v="0"/>
    <n v="0.108391787203876"/>
    <n v="130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6"/>
    <x v="5"/>
    <x v="0"/>
    <x v="0"/>
    <n v="4.7712320454204801E-3"/>
    <n v="2E+20"/>
    <n v="0"/>
    <n v="8.8645380050127495E-2"/>
    <n v="112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7"/>
    <x v="5"/>
    <x v="0"/>
    <x v="0"/>
    <n v="3.6672661912951002E-2"/>
    <n v="2E+20"/>
    <n v="0"/>
    <n v="0.21812170588061"/>
    <n v="137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8"/>
    <x v="5"/>
    <x v="0"/>
    <x v="0"/>
    <n v="2.4899028140487101E-2"/>
    <n v="2E+20"/>
    <n v="0"/>
    <n v="0.13291150476109501"/>
    <n v="121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29"/>
    <x v="5"/>
    <x v="0"/>
    <x v="0"/>
    <n v="6.7771538029712697E-2"/>
    <n v="2E+20"/>
    <n v="0"/>
    <n v="0.23251247487165699"/>
    <n v="150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30"/>
    <x v="5"/>
    <x v="0"/>
    <x v="0"/>
    <n v="2.12006485101311E-2"/>
    <n v="2E+20"/>
    <n v="0"/>
    <n v="0.15302720829295499"/>
    <n v="136"/>
    <s v="Unnamed ProjectPFisica.QueueWaiting TimeQueue"/>
    <n v="30"/>
    <n v="3.8069424264997626E-2"/>
    <n v="3.0997032953658091E-2"/>
    <n v="0.95"/>
    <n v="1.1574482326188984E-2"/>
    <n v="1.46782352435285E-3"/>
    <n v="0.11120615347514901"/>
    <n v="0"/>
    <n v="0.37110522919896499"/>
    <n v="130.19999999999999"/>
    <n v="1.1574482326188984E-2"/>
    <n v="30"/>
    <n v="1"/>
  </r>
  <r>
    <x v="0"/>
    <s v="2023-05-22 19:49:23"/>
    <n v="1"/>
    <x v="6"/>
    <x v="0"/>
    <x v="0"/>
    <n v="0"/>
    <n v="0"/>
    <n v="0"/>
    <n v="0"/>
    <n v="358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"/>
    <x v="6"/>
    <x v="0"/>
    <x v="0"/>
    <n v="0"/>
    <n v="0"/>
    <n v="0"/>
    <n v="0"/>
    <n v="351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3"/>
    <x v="6"/>
    <x v="0"/>
    <x v="0"/>
    <n v="0"/>
    <n v="0"/>
    <n v="0"/>
    <n v="0"/>
    <n v="384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4"/>
    <x v="6"/>
    <x v="0"/>
    <x v="0"/>
    <n v="0"/>
    <n v="0"/>
    <n v="0"/>
    <n v="0"/>
    <n v="381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5"/>
    <x v="6"/>
    <x v="0"/>
    <x v="0"/>
    <n v="0"/>
    <n v="0"/>
    <n v="0"/>
    <n v="0"/>
    <n v="333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6"/>
    <x v="6"/>
    <x v="0"/>
    <x v="0"/>
    <n v="0"/>
    <n v="0"/>
    <n v="0"/>
    <n v="0"/>
    <n v="353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7"/>
    <x v="6"/>
    <x v="0"/>
    <x v="0"/>
    <n v="0"/>
    <n v="0"/>
    <n v="0"/>
    <n v="0"/>
    <n v="372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8"/>
    <x v="6"/>
    <x v="0"/>
    <x v="0"/>
    <n v="0"/>
    <n v="0"/>
    <n v="0"/>
    <n v="0"/>
    <n v="372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9"/>
    <x v="6"/>
    <x v="0"/>
    <x v="0"/>
    <n v="0"/>
    <n v="0"/>
    <n v="0"/>
    <n v="0"/>
    <n v="365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0"/>
    <x v="6"/>
    <x v="0"/>
    <x v="0"/>
    <n v="0"/>
    <n v="0"/>
    <n v="0"/>
    <n v="0"/>
    <n v="415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1"/>
    <x v="6"/>
    <x v="0"/>
    <x v="0"/>
    <n v="0"/>
    <n v="0"/>
    <n v="0"/>
    <n v="0"/>
    <n v="389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2"/>
    <x v="6"/>
    <x v="0"/>
    <x v="0"/>
    <n v="0"/>
    <n v="0"/>
    <n v="0"/>
    <n v="0"/>
    <n v="365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3"/>
    <x v="6"/>
    <x v="0"/>
    <x v="0"/>
    <n v="0"/>
    <n v="0"/>
    <n v="0"/>
    <n v="0"/>
    <n v="353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4"/>
    <x v="6"/>
    <x v="0"/>
    <x v="0"/>
    <n v="0"/>
    <n v="0"/>
    <n v="0"/>
    <n v="0"/>
    <n v="330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5"/>
    <x v="6"/>
    <x v="0"/>
    <x v="0"/>
    <n v="0"/>
    <n v="0"/>
    <n v="0"/>
    <n v="0"/>
    <n v="335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6"/>
    <x v="6"/>
    <x v="0"/>
    <x v="0"/>
    <n v="0"/>
    <n v="0"/>
    <n v="0"/>
    <n v="0"/>
    <n v="401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7"/>
    <x v="6"/>
    <x v="0"/>
    <x v="0"/>
    <n v="0"/>
    <n v="0"/>
    <n v="0"/>
    <n v="0"/>
    <n v="356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8"/>
    <x v="6"/>
    <x v="0"/>
    <x v="0"/>
    <n v="0"/>
    <n v="0"/>
    <n v="0"/>
    <n v="0"/>
    <n v="389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9"/>
    <x v="6"/>
    <x v="0"/>
    <x v="0"/>
    <n v="0"/>
    <n v="0"/>
    <n v="0"/>
    <n v="0"/>
    <n v="388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0"/>
    <x v="6"/>
    <x v="0"/>
    <x v="0"/>
    <n v="0"/>
    <n v="0"/>
    <n v="0"/>
    <n v="0"/>
    <n v="403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1"/>
    <x v="6"/>
    <x v="0"/>
    <x v="0"/>
    <n v="0"/>
    <n v="0"/>
    <n v="0"/>
    <n v="0"/>
    <n v="402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2"/>
    <x v="6"/>
    <x v="0"/>
    <x v="0"/>
    <n v="0"/>
    <n v="0"/>
    <n v="0"/>
    <n v="0"/>
    <n v="342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3"/>
    <x v="6"/>
    <x v="0"/>
    <x v="0"/>
    <n v="0"/>
    <n v="2E+20"/>
    <n v="0"/>
    <n v="0"/>
    <n v="308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4"/>
    <x v="6"/>
    <x v="0"/>
    <x v="0"/>
    <n v="0"/>
    <n v="0"/>
    <n v="0"/>
    <n v="0"/>
    <n v="342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5"/>
    <x v="6"/>
    <x v="0"/>
    <x v="0"/>
    <n v="0"/>
    <n v="0"/>
    <n v="0"/>
    <n v="0"/>
    <n v="359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6"/>
    <x v="6"/>
    <x v="0"/>
    <x v="0"/>
    <n v="0"/>
    <n v="0"/>
    <n v="0"/>
    <n v="0"/>
    <n v="322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7"/>
    <x v="6"/>
    <x v="0"/>
    <x v="0"/>
    <n v="0"/>
    <n v="0"/>
    <n v="0"/>
    <n v="0"/>
    <n v="399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8"/>
    <x v="6"/>
    <x v="0"/>
    <x v="0"/>
    <n v="0"/>
    <n v="0"/>
    <n v="0"/>
    <n v="0"/>
    <n v="361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29"/>
    <x v="6"/>
    <x v="0"/>
    <x v="0"/>
    <n v="0"/>
    <n v="0"/>
    <n v="0"/>
    <n v="0"/>
    <n v="415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30"/>
    <x v="6"/>
    <x v="0"/>
    <x v="0"/>
    <n v="0"/>
    <n v="0"/>
    <n v="0"/>
    <n v="0"/>
    <n v="352"/>
    <s v="Unnamed ProjectPHall.QueueWaiting TimeQueue"/>
    <n v="30"/>
    <n v="0"/>
    <n v="0"/>
    <n v="0.95"/>
    <n v="0"/>
    <n v="0"/>
    <n v="0"/>
    <n v="0"/>
    <n v="0"/>
    <n v="366.5"/>
    <n v="0"/>
    <n v="30"/>
    <n v="1"/>
  </r>
  <r>
    <x v="0"/>
    <s v="2023-05-22 19:49:23"/>
    <n v="1"/>
    <x v="7"/>
    <x v="0"/>
    <x v="0"/>
    <n v="0"/>
    <n v="2E+20"/>
    <n v="0"/>
    <n v="0"/>
    <n v="70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"/>
    <x v="7"/>
    <x v="0"/>
    <x v="0"/>
    <n v="0"/>
    <n v="2E+20"/>
    <n v="0"/>
    <n v="0"/>
    <n v="59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3"/>
    <x v="7"/>
    <x v="0"/>
    <x v="0"/>
    <n v="0"/>
    <n v="2E+20"/>
    <n v="0"/>
    <n v="0"/>
    <n v="81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4"/>
    <x v="7"/>
    <x v="0"/>
    <x v="0"/>
    <n v="0"/>
    <n v="2E+20"/>
    <n v="0"/>
    <n v="0"/>
    <n v="70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5"/>
    <x v="7"/>
    <x v="0"/>
    <x v="0"/>
    <n v="0"/>
    <n v="2E+20"/>
    <n v="0"/>
    <n v="0"/>
    <n v="63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6"/>
    <x v="7"/>
    <x v="0"/>
    <x v="0"/>
    <n v="0"/>
    <n v="2E+20"/>
    <n v="0"/>
    <n v="0"/>
    <n v="68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7"/>
    <x v="7"/>
    <x v="0"/>
    <x v="0"/>
    <n v="0"/>
    <n v="2E+20"/>
    <n v="0"/>
    <n v="0"/>
    <n v="72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8"/>
    <x v="7"/>
    <x v="0"/>
    <x v="0"/>
    <n v="0"/>
    <n v="2E+20"/>
    <n v="0"/>
    <n v="0"/>
    <n v="67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9"/>
    <x v="7"/>
    <x v="0"/>
    <x v="0"/>
    <n v="0"/>
    <n v="2E+20"/>
    <n v="0"/>
    <n v="0"/>
    <n v="58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0"/>
    <x v="7"/>
    <x v="0"/>
    <x v="0"/>
    <n v="0"/>
    <n v="2E+20"/>
    <n v="0"/>
    <n v="0"/>
    <n v="76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1"/>
    <x v="7"/>
    <x v="0"/>
    <x v="0"/>
    <n v="0"/>
    <n v="2E+20"/>
    <n v="0"/>
    <n v="0"/>
    <n v="72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2"/>
    <x v="7"/>
    <x v="0"/>
    <x v="0"/>
    <n v="0"/>
    <n v="2E+20"/>
    <n v="0"/>
    <n v="0"/>
    <n v="70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3"/>
    <x v="7"/>
    <x v="0"/>
    <x v="0"/>
    <n v="0"/>
    <n v="2E+20"/>
    <n v="0"/>
    <n v="0"/>
    <n v="64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4"/>
    <x v="7"/>
    <x v="0"/>
    <x v="0"/>
    <n v="0"/>
    <n v="2E+20"/>
    <n v="0"/>
    <n v="0"/>
    <n v="55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5"/>
    <x v="7"/>
    <x v="0"/>
    <x v="0"/>
    <n v="0"/>
    <n v="2E+20"/>
    <n v="0"/>
    <n v="0"/>
    <n v="62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6"/>
    <x v="7"/>
    <x v="0"/>
    <x v="0"/>
    <n v="0"/>
    <n v="2E+20"/>
    <n v="0"/>
    <n v="0"/>
    <n v="75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7"/>
    <x v="7"/>
    <x v="0"/>
    <x v="0"/>
    <n v="0"/>
    <n v="2E+20"/>
    <n v="0"/>
    <n v="0"/>
    <n v="68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8"/>
    <x v="7"/>
    <x v="0"/>
    <x v="0"/>
    <n v="0"/>
    <n v="2E+20"/>
    <n v="0"/>
    <n v="0"/>
    <n v="69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9"/>
    <x v="7"/>
    <x v="0"/>
    <x v="0"/>
    <n v="0"/>
    <n v="2E+20"/>
    <n v="0"/>
    <n v="0"/>
    <n v="83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0"/>
    <x v="7"/>
    <x v="0"/>
    <x v="0"/>
    <n v="0"/>
    <n v="2E+20"/>
    <n v="0"/>
    <n v="0"/>
    <n v="76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1"/>
    <x v="7"/>
    <x v="0"/>
    <x v="0"/>
    <n v="0"/>
    <n v="2E+20"/>
    <n v="0"/>
    <n v="0"/>
    <n v="78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2"/>
    <x v="7"/>
    <x v="0"/>
    <x v="0"/>
    <n v="0"/>
    <n v="2E+20"/>
    <n v="0"/>
    <n v="0"/>
    <n v="63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3"/>
    <x v="7"/>
    <x v="0"/>
    <x v="0"/>
    <n v="0"/>
    <n v="2E+20"/>
    <n v="0"/>
    <n v="0"/>
    <n v="55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4"/>
    <x v="7"/>
    <x v="0"/>
    <x v="0"/>
    <n v="0"/>
    <n v="2E+20"/>
    <n v="0"/>
    <n v="0"/>
    <n v="61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5"/>
    <x v="7"/>
    <x v="0"/>
    <x v="0"/>
    <n v="0"/>
    <n v="2E+20"/>
    <n v="0"/>
    <n v="0"/>
    <n v="61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6"/>
    <x v="7"/>
    <x v="0"/>
    <x v="0"/>
    <n v="0"/>
    <n v="2E+20"/>
    <n v="0"/>
    <n v="0"/>
    <n v="57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7"/>
    <x v="7"/>
    <x v="0"/>
    <x v="0"/>
    <n v="0"/>
    <n v="2E+20"/>
    <n v="0"/>
    <n v="0"/>
    <n v="79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8"/>
    <x v="7"/>
    <x v="0"/>
    <x v="0"/>
    <n v="0"/>
    <n v="2E+20"/>
    <n v="0"/>
    <n v="0"/>
    <n v="67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29"/>
    <x v="7"/>
    <x v="0"/>
    <x v="0"/>
    <n v="0"/>
    <n v="2E+20"/>
    <n v="0"/>
    <n v="0"/>
    <n v="76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30"/>
    <x v="7"/>
    <x v="0"/>
    <x v="0"/>
    <n v="0"/>
    <n v="2E+20"/>
    <n v="0"/>
    <n v="0"/>
    <n v="53"/>
    <s v="Unnamed ProjectPHistoria.QueueWaiting TimeQueue"/>
    <n v="30"/>
    <n v="0"/>
    <n v="0"/>
    <n v="0.95"/>
    <n v="0"/>
    <n v="0"/>
    <n v="0"/>
    <n v="0"/>
    <n v="0"/>
    <n v="67.599999999999994"/>
    <n v="0"/>
    <n v="30"/>
    <n v="1"/>
  </r>
  <r>
    <x v="0"/>
    <s v="2023-05-22 19:49:23"/>
    <n v="1"/>
    <x v="8"/>
    <x v="1"/>
    <x v="1"/>
    <n v="1.23725669018721"/>
    <n v="2E+20"/>
    <n v="0.81915308363903605"/>
    <n v="1.48847385346654"/>
    <n v="73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"/>
    <x v="8"/>
    <x v="1"/>
    <x v="1"/>
    <n v="1.30203010841492"/>
    <n v="2E+20"/>
    <n v="0.94713604494715997"/>
    <n v="2.3432710163500201"/>
    <n v="82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3"/>
    <x v="8"/>
    <x v="1"/>
    <x v="1"/>
    <n v="1.3022395083738301"/>
    <n v="2E+20"/>
    <n v="0.85919950012278901"/>
    <n v="2.4965620100114898"/>
    <n v="71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4"/>
    <x v="8"/>
    <x v="1"/>
    <x v="1"/>
    <n v="1.3322694849096901"/>
    <n v="2E+20"/>
    <n v="0.92975254548775599"/>
    <n v="2.06401676339854"/>
    <n v="85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5"/>
    <x v="8"/>
    <x v="1"/>
    <x v="1"/>
    <n v="1.12802430535906"/>
    <n v="2E+20"/>
    <n v="0.739075646085113"/>
    <n v="1.5372155135915799"/>
    <n v="69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6"/>
    <x v="8"/>
    <x v="1"/>
    <x v="1"/>
    <n v="1.19592353397337"/>
    <n v="2E+20"/>
    <n v="0.76748375017683201"/>
    <n v="1.9184122788792499"/>
    <n v="80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7"/>
    <x v="8"/>
    <x v="1"/>
    <x v="1"/>
    <n v="1.4552605429454499"/>
    <n v="2E+20"/>
    <n v="0.89612638272878498"/>
    <n v="2.5066384167121001"/>
    <n v="78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8"/>
    <x v="8"/>
    <x v="1"/>
    <x v="1"/>
    <n v="1.4452100329169"/>
    <n v="2E+20"/>
    <n v="0.99486013483871805"/>
    <n v="1.88413859327074"/>
    <n v="84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9"/>
    <x v="8"/>
    <x v="1"/>
    <x v="1"/>
    <n v="1.4014647138182501"/>
    <n v="2E+20"/>
    <n v="0.836001636464061"/>
    <n v="1.7317397465577899"/>
    <n v="90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0"/>
    <x v="8"/>
    <x v="1"/>
    <x v="1"/>
    <n v="1.75730099844484"/>
    <n v="2E+20"/>
    <n v="0.91488722470930695"/>
    <n v="2.1620744535765901"/>
    <n v="89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1"/>
    <x v="8"/>
    <x v="1"/>
    <x v="1"/>
    <n v="1.2632850649994101"/>
    <n v="2E+20"/>
    <n v="0.76745627700081998"/>
    <n v="1.9538154698224"/>
    <n v="88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2"/>
    <x v="8"/>
    <x v="1"/>
    <x v="1"/>
    <n v="1.3303754031325901"/>
    <n v="2E+20"/>
    <n v="0.85492478672357597"/>
    <n v="1.8683331654828499"/>
    <n v="77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3"/>
    <x v="8"/>
    <x v="1"/>
    <x v="1"/>
    <n v="1.4543390391879401"/>
    <n v="2E+20"/>
    <n v="0.81947050407713395"/>
    <n v="1.9569612186951799"/>
    <n v="76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4"/>
    <x v="8"/>
    <x v="1"/>
    <x v="1"/>
    <n v="1.14300544567784"/>
    <n v="2E+20"/>
    <n v="0.72711936222181195"/>
    <n v="1.69640545652521"/>
    <n v="77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5"/>
    <x v="8"/>
    <x v="1"/>
    <x v="1"/>
    <n v="1.13226914607865"/>
    <n v="2E+20"/>
    <n v="0.74767980219948005"/>
    <n v="1.67490540060237"/>
    <n v="83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6"/>
    <x v="8"/>
    <x v="1"/>
    <x v="1"/>
    <n v="1.59091247785064"/>
    <n v="2E+20"/>
    <n v="0.88897813408331094"/>
    <n v="1.9364743787433301"/>
    <n v="76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7"/>
    <x v="8"/>
    <x v="1"/>
    <x v="1"/>
    <n v="1.2608373989875299"/>
    <n v="2E+20"/>
    <n v="0.94229608440262302"/>
    <n v="2.1079168314297299"/>
    <n v="70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8"/>
    <x v="8"/>
    <x v="1"/>
    <x v="1"/>
    <n v="1.3320599638395301"/>
    <n v="2E+20"/>
    <n v="0.87733086293248597"/>
    <n v="1.8954853514241901"/>
    <n v="79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9"/>
    <x v="8"/>
    <x v="1"/>
    <x v="1"/>
    <n v="1.21336474741608"/>
    <n v="2E+20"/>
    <n v="0.80479990173249205"/>
    <n v="1.5485536639981901"/>
    <n v="69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0"/>
    <x v="8"/>
    <x v="1"/>
    <x v="1"/>
    <n v="1.60686216736231"/>
    <n v="2E+20"/>
    <n v="0.85684572029610495"/>
    <n v="2.7561776708620398"/>
    <n v="88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1"/>
    <x v="8"/>
    <x v="1"/>
    <x v="1"/>
    <n v="1.59073999923911"/>
    <n v="2E+20"/>
    <n v="1.0719973267117899"/>
    <n v="1.85024058601467"/>
    <n v="86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2"/>
    <x v="8"/>
    <x v="1"/>
    <x v="1"/>
    <n v="1.21139969945055"/>
    <n v="2E+20"/>
    <n v="0.75662645478508705"/>
    <n v="1.95020707767559"/>
    <n v="77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3"/>
    <x v="8"/>
    <x v="1"/>
    <x v="1"/>
    <n v="1.13517110282778"/>
    <n v="2E+20"/>
    <n v="0.75653117769413702"/>
    <n v="2.09859931633921"/>
    <n v="71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4"/>
    <x v="8"/>
    <x v="1"/>
    <x v="1"/>
    <n v="1.24721329777565"/>
    <n v="2E+20"/>
    <n v="0.80721106682533605"/>
    <n v="1.8113660140340599"/>
    <n v="75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5"/>
    <x v="8"/>
    <x v="1"/>
    <x v="1"/>
    <n v="1.1783381752020401"/>
    <n v="2E+20"/>
    <n v="0.78665496834545201"/>
    <n v="1.88764061763423"/>
    <n v="83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6"/>
    <x v="8"/>
    <x v="1"/>
    <x v="1"/>
    <n v="1.0606335628769199"/>
    <n v="2E+20"/>
    <n v="0.71238592914844601"/>
    <n v="1.47900358492374"/>
    <n v="76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7"/>
    <x v="8"/>
    <x v="1"/>
    <x v="1"/>
    <n v="1.5368648066639501"/>
    <n v="2E+20"/>
    <n v="0.85523742125735802"/>
    <n v="2.3044370140889998"/>
    <n v="79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8"/>
    <x v="8"/>
    <x v="1"/>
    <x v="1"/>
    <n v="1.3304208404384099"/>
    <n v="2E+20"/>
    <n v="0.89716682384925295"/>
    <n v="1.99178496019609"/>
    <n v="89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29"/>
    <x v="8"/>
    <x v="1"/>
    <x v="1"/>
    <n v="1.3691741072171899"/>
    <n v="2E+20"/>
    <n v="0.79582721334904905"/>
    <n v="2.0351927737577502"/>
    <n v="91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30"/>
    <x v="8"/>
    <x v="1"/>
    <x v="1"/>
    <n v="1.18109900560207"/>
    <n v="2E+20"/>
    <n v="0.80942550195312502"/>
    <n v="2.04750073380244"/>
    <n v="86"/>
    <s v="Unnamed ProjectTally Ciclo1NoneUser Specified"/>
    <n v="30"/>
    <n v="1.3241781790389904"/>
    <n v="0.16923637804914832"/>
    <n v="0.95"/>
    <n v="6.3193902126265786E-2"/>
    <n v="1.0606335628769199"/>
    <n v="1.75730099844484"/>
    <n v="0.71238592914844601"/>
    <n v="2.7561776708620398"/>
    <n v="79.900000000000006"/>
    <n v="6.3193902126265786E-2"/>
    <n v="30"/>
    <n v="1"/>
  </r>
  <r>
    <x v="0"/>
    <s v="2023-05-22 19:49:23"/>
    <n v="1"/>
    <x v="9"/>
    <x v="1"/>
    <x v="1"/>
    <n v="0.93340889274652405"/>
    <n v="2E+20"/>
    <n v="0.63430491362657804"/>
    <n v="1.2425639830903701"/>
    <n v="28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"/>
    <x v="9"/>
    <x v="1"/>
    <x v="1"/>
    <n v="0.96766459586711195"/>
    <n v="2E+20"/>
    <n v="0.54630465521682703"/>
    <n v="1.37909822808988"/>
    <n v="27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3"/>
    <x v="9"/>
    <x v="1"/>
    <x v="1"/>
    <n v="1.04415613980285"/>
    <n v="2E+20"/>
    <n v="0.67933628283466696"/>
    <n v="1.5907571313819"/>
    <n v="38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4"/>
    <x v="9"/>
    <x v="1"/>
    <x v="1"/>
    <n v="0.99587083091447204"/>
    <n v="2E+20"/>
    <n v="0.75307765855023701"/>
    <n v="1.55168603805544"/>
    <n v="33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5"/>
    <x v="9"/>
    <x v="1"/>
    <x v="1"/>
    <n v="0.87506031462560496"/>
    <n v="2E+20"/>
    <n v="0.58467672393565195"/>
    <n v="1.1950196422232999"/>
    <n v="30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6"/>
    <x v="9"/>
    <x v="1"/>
    <x v="1"/>
    <n v="0.97712652028416902"/>
    <n v="2E+20"/>
    <n v="0.54240657991611196"/>
    <n v="1.90687520649238"/>
    <n v="36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7"/>
    <x v="9"/>
    <x v="1"/>
    <x v="1"/>
    <n v="1.09058578354344"/>
    <n v="2E+20"/>
    <n v="0.68460689807238095"/>
    <n v="1.5331582022849699"/>
    <n v="31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8"/>
    <x v="9"/>
    <x v="1"/>
    <x v="1"/>
    <n v="1.11340100037658"/>
    <n v="2E+20"/>
    <n v="0.62387163046738403"/>
    <n v="1.4427541360355201"/>
    <n v="31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9"/>
    <x v="9"/>
    <x v="1"/>
    <x v="1"/>
    <n v="1.08805798664858"/>
    <n v="2E+20"/>
    <n v="0.63165876807000998"/>
    <n v="1.4462182438390101"/>
    <n v="23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0"/>
    <x v="9"/>
    <x v="1"/>
    <x v="1"/>
    <n v="1.4913741666386799"/>
    <n v="2E+20"/>
    <n v="0.72518441456623695"/>
    <n v="1.96967891435527"/>
    <n v="38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1"/>
    <x v="9"/>
    <x v="1"/>
    <x v="1"/>
    <n v="1.0268361911485899"/>
    <n v="2E+20"/>
    <n v="0.66752744616135995"/>
    <n v="1.8216484821546901"/>
    <n v="28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2"/>
    <x v="9"/>
    <x v="1"/>
    <x v="1"/>
    <n v="1.06276214530672"/>
    <n v="2E+20"/>
    <n v="0.58089965428993495"/>
    <n v="1.45213493266599"/>
    <n v="27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3"/>
    <x v="9"/>
    <x v="1"/>
    <x v="1"/>
    <n v="1.15065599248825"/>
    <n v="2E+20"/>
    <n v="0.66480970341133006"/>
    <n v="1.55403779402952"/>
    <n v="34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4"/>
    <x v="9"/>
    <x v="1"/>
    <x v="1"/>
    <n v="0.85166817093716196"/>
    <n v="2E+20"/>
    <n v="0.63950156553207005"/>
    <n v="1.1929454832553701"/>
    <n v="21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5"/>
    <x v="9"/>
    <x v="1"/>
    <x v="1"/>
    <n v="0.90745916419658801"/>
    <n v="2E+20"/>
    <n v="0.62585626659277804"/>
    <n v="1.2131551611220801"/>
    <n v="38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6"/>
    <x v="9"/>
    <x v="1"/>
    <x v="1"/>
    <n v="1.27405709795043"/>
    <n v="2E+20"/>
    <n v="0.74066502566469905"/>
    <n v="1.9446988537404399"/>
    <n v="36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7"/>
    <x v="9"/>
    <x v="1"/>
    <x v="1"/>
    <n v="1.0230773138933"/>
    <n v="2E+20"/>
    <n v="0.66696279950513004"/>
    <n v="1.23992230275772"/>
    <n v="23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8"/>
    <x v="9"/>
    <x v="1"/>
    <x v="1"/>
    <n v="1.0094109417558701"/>
    <n v="2E+20"/>
    <n v="0.66356453684231298"/>
    <n v="1.25804521430315"/>
    <n v="37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9"/>
    <x v="9"/>
    <x v="1"/>
    <x v="1"/>
    <n v="0.98595459388531304"/>
    <n v="2E+20"/>
    <n v="0.60689829089434"/>
    <n v="1.60607974482213"/>
    <n v="33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0"/>
    <x v="9"/>
    <x v="1"/>
    <x v="1"/>
    <n v="1.22585548408727"/>
    <n v="2E+20"/>
    <n v="0.73835022124916305"/>
    <n v="1.60639561427803"/>
    <n v="38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1"/>
    <x v="9"/>
    <x v="1"/>
    <x v="1"/>
    <n v="1.30096154551266"/>
    <n v="2E+20"/>
    <n v="0.73549383756281705"/>
    <n v="1.7037774829932"/>
    <n v="39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2"/>
    <x v="9"/>
    <x v="1"/>
    <x v="1"/>
    <n v="0.94157146583674001"/>
    <n v="2E+20"/>
    <n v="0.63680173252596395"/>
    <n v="1.46767038241019"/>
    <n v="28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3"/>
    <x v="9"/>
    <x v="1"/>
    <x v="1"/>
    <n v="0.86291381254377197"/>
    <n v="2E+20"/>
    <n v="0.61027734755067897"/>
    <n v="1.25634177556322"/>
    <n v="25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4"/>
    <x v="9"/>
    <x v="1"/>
    <x v="1"/>
    <n v="1.08115066125413"/>
    <n v="2E+20"/>
    <n v="0.74845261694267595"/>
    <n v="1.45193287493776"/>
    <n v="23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5"/>
    <x v="9"/>
    <x v="1"/>
    <x v="1"/>
    <n v="1.01002306665679"/>
    <n v="2E+20"/>
    <n v="0.65917357450295"/>
    <n v="1.7246526111181999"/>
    <n v="32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6"/>
    <x v="9"/>
    <x v="1"/>
    <x v="1"/>
    <n v="0.84719561318136005"/>
    <n v="2E+20"/>
    <n v="0.62722915599361495"/>
    <n v="1.12406824209658"/>
    <n v="30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7"/>
    <x v="9"/>
    <x v="1"/>
    <x v="1"/>
    <n v="1.3077228365406"/>
    <n v="2E+20"/>
    <n v="0.80297745794193598"/>
    <n v="1.5630423264709099"/>
    <n v="39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8"/>
    <x v="9"/>
    <x v="1"/>
    <x v="1"/>
    <n v="1.0175673444723801"/>
    <n v="2E+20"/>
    <n v="0.63725880081333197"/>
    <n v="1.30065158492751"/>
    <n v="42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29"/>
    <x v="9"/>
    <x v="1"/>
    <x v="1"/>
    <n v="1.02740036636837"/>
    <n v="2E+20"/>
    <n v="0.66954541037734605"/>
    <n v="1.5492743665374"/>
    <n v="31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30"/>
    <x v="9"/>
    <x v="1"/>
    <x v="1"/>
    <n v="0.93223543504831197"/>
    <n v="2E+20"/>
    <n v="0.63854972612670002"/>
    <n v="1.19086666128091"/>
    <n v="22"/>
    <s v="Unnamed ProjectTally Ciclo2NoneUser Specified"/>
    <n v="30"/>
    <n v="1.0474395158170873"/>
    <n v="0.15021321082250425"/>
    <n v="0.95"/>
    <n v="5.6090534743261332E-2"/>
    <n v="0.84719561318136005"/>
    <n v="1.4913741666386799"/>
    <n v="0.54240657991611196"/>
    <n v="1.96967891435527"/>
    <n v="31.366666666666667"/>
    <n v="5.6090534743261332E-2"/>
    <n v="30"/>
    <n v="1"/>
  </r>
  <r>
    <x v="0"/>
    <s v="2023-05-22 19:49:23"/>
    <n v="1"/>
    <x v="10"/>
    <x v="1"/>
    <x v="1"/>
    <n v="1.29892974336728"/>
    <n v="2E+20"/>
    <n v="1.0059376016692201"/>
    <n v="1.5229317373129001"/>
    <n v="32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"/>
    <x v="10"/>
    <x v="1"/>
    <x v="1"/>
    <n v="1.3142422719209901"/>
    <n v="2E+20"/>
    <n v="1.0621759076421"/>
    <n v="1.5256120795479"/>
    <n v="26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3"/>
    <x v="10"/>
    <x v="1"/>
    <x v="1"/>
    <n v="1.34904690390374"/>
    <n v="2E+20"/>
    <n v="0.99765832534187504"/>
    <n v="1.77024007458002"/>
    <n v="31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4"/>
    <x v="10"/>
    <x v="1"/>
    <x v="1"/>
    <n v="1.24765052968142"/>
    <n v="2E+20"/>
    <n v="0.92552956621373195"/>
    <n v="1.6231462788339199"/>
    <n v="28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5"/>
    <x v="10"/>
    <x v="1"/>
    <x v="1"/>
    <n v="1.1743280173114501"/>
    <n v="2E+20"/>
    <n v="0.901340555224586"/>
    <n v="1.57989485672102"/>
    <n v="24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6"/>
    <x v="10"/>
    <x v="1"/>
    <x v="1"/>
    <n v="1.1908846971721501"/>
    <n v="2E+20"/>
    <n v="0.92639690501892902"/>
    <n v="1.4762095641492201"/>
    <n v="24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7"/>
    <x v="10"/>
    <x v="1"/>
    <x v="1"/>
    <n v="1.48357239193046"/>
    <n v="2E+20"/>
    <n v="1.0840721693104001"/>
    <n v="1.9138725659189799"/>
    <n v="27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8"/>
    <x v="10"/>
    <x v="1"/>
    <x v="1"/>
    <n v="1.51357224064146"/>
    <n v="2E+20"/>
    <n v="1.1594532428286399"/>
    <n v="2.13258681630179"/>
    <n v="33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9"/>
    <x v="10"/>
    <x v="1"/>
    <x v="1"/>
    <n v="1.4981423648507399"/>
    <n v="2E+20"/>
    <n v="1.15219098271458"/>
    <n v="1.7084277652661799"/>
    <n v="21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0"/>
    <x v="10"/>
    <x v="1"/>
    <x v="1"/>
    <n v="1.6632825573755901"/>
    <n v="2E+20"/>
    <n v="1.04774965491867"/>
    <n v="2.1072009796376401"/>
    <n v="28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1"/>
    <x v="10"/>
    <x v="1"/>
    <x v="1"/>
    <n v="1.2801902635498601"/>
    <n v="2E+20"/>
    <n v="0.90340706780576996"/>
    <n v="1.6323769840479101"/>
    <n v="36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2"/>
    <x v="10"/>
    <x v="1"/>
    <x v="1"/>
    <n v="1.3248259359774099"/>
    <n v="2E+20"/>
    <n v="0.75544023446239805"/>
    <n v="1.7582901291341599"/>
    <n v="36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3"/>
    <x v="10"/>
    <x v="1"/>
    <x v="1"/>
    <n v="1.4600141579930701"/>
    <n v="2E+20"/>
    <n v="0.94248800331098204"/>
    <n v="1.8156444816669299"/>
    <n v="21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4"/>
    <x v="10"/>
    <x v="1"/>
    <x v="1"/>
    <n v="1.20529720576109"/>
    <n v="2E+20"/>
    <n v="0.92258903586913099"/>
    <n v="1.5378073916920401"/>
    <n v="28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5"/>
    <x v="10"/>
    <x v="1"/>
    <x v="1"/>
    <n v="1.1575691248118201"/>
    <n v="2E+20"/>
    <n v="0.87726099482132402"/>
    <n v="1.4179794388149001"/>
    <n v="17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6"/>
    <x v="10"/>
    <x v="1"/>
    <x v="1"/>
    <n v="1.5888308655646399"/>
    <n v="2E+20"/>
    <n v="1.08831502344958"/>
    <n v="2.7172135616429198"/>
    <n v="33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7"/>
    <x v="10"/>
    <x v="1"/>
    <x v="1"/>
    <n v="1.3338224276115"/>
    <n v="2E+20"/>
    <n v="0.96532228770279904"/>
    <n v="1.6763640382532199"/>
    <n v="32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8"/>
    <x v="10"/>
    <x v="1"/>
    <x v="1"/>
    <n v="1.34806920729087"/>
    <n v="2E+20"/>
    <n v="1.0418896111896201"/>
    <n v="1.6773327604946699"/>
    <n v="24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9"/>
    <x v="10"/>
    <x v="1"/>
    <x v="1"/>
    <n v="1.27213691339667"/>
    <n v="2E+20"/>
    <n v="0.943826116995372"/>
    <n v="1.5785827564363399"/>
    <n v="38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0"/>
    <x v="10"/>
    <x v="1"/>
    <x v="1"/>
    <n v="1.61030485073251"/>
    <n v="2E+20"/>
    <n v="1.27166937524826"/>
    <n v="1.9902669317300099"/>
    <n v="31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1"/>
    <x v="10"/>
    <x v="1"/>
    <x v="1"/>
    <n v="1.66758431466867"/>
    <n v="2E+20"/>
    <n v="1.2680462398010801"/>
    <n v="1.93901829456504"/>
    <n v="33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2"/>
    <x v="10"/>
    <x v="1"/>
    <x v="1"/>
    <n v="1.2306806138316899"/>
    <n v="2E+20"/>
    <n v="0.75584921054052101"/>
    <n v="1.6480781114973"/>
    <n v="27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3"/>
    <x v="10"/>
    <x v="1"/>
    <x v="1"/>
    <n v="1.12561675843568"/>
    <n v="2E+20"/>
    <n v="0.90294610568837796"/>
    <n v="1.4464540473277201"/>
    <n v="26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4"/>
    <x v="10"/>
    <x v="1"/>
    <x v="1"/>
    <n v="1.3137814179630201"/>
    <n v="2E+20"/>
    <n v="1.0511974617936899"/>
    <n v="1.7335535394947701"/>
    <n v="27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5"/>
    <x v="10"/>
    <x v="1"/>
    <x v="1"/>
    <n v="1.2811249117325101"/>
    <n v="2E+20"/>
    <n v="0.94898338729714105"/>
    <n v="1.67257663132957"/>
    <n v="20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6"/>
    <x v="10"/>
    <x v="1"/>
    <x v="1"/>
    <n v="1.15645117171214"/>
    <n v="2E+20"/>
    <n v="0.867675438415898"/>
    <n v="1.4814298272766999"/>
    <n v="19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7"/>
    <x v="10"/>
    <x v="1"/>
    <x v="1"/>
    <n v="1.55070150059196"/>
    <n v="2E+20"/>
    <n v="1.0718371316625499"/>
    <n v="1.7312640874146901"/>
    <n v="30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8"/>
    <x v="10"/>
    <x v="1"/>
    <x v="1"/>
    <n v="1.34813192534939"/>
    <n v="2E+20"/>
    <n v="1.18781249873866"/>
    <n v="1.63142089019165"/>
    <n v="13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29"/>
    <x v="10"/>
    <x v="1"/>
    <x v="1"/>
    <n v="1.44465094825421"/>
    <n v="2E+20"/>
    <n v="1.0697541623221001"/>
    <n v="1.82298041244751"/>
    <n v="34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30"/>
    <x v="10"/>
    <x v="1"/>
    <x v="1"/>
    <n v="1.20249029775539"/>
    <n v="2E+20"/>
    <n v="0.97717345906980402"/>
    <n v="1.4514621241205901"/>
    <n v="23"/>
    <s v="Unnamed ProjectTally Ciclo3NoneUser Specified"/>
    <n v="30"/>
    <n v="1.3545308843713129"/>
    <n v="0.15770824194265332"/>
    <n v="0.95"/>
    <n v="5.888922535871792E-2"/>
    <n v="1.12561675843568"/>
    <n v="1.66758431466867"/>
    <n v="0.75544023446239805"/>
    <n v="2.7172135616429198"/>
    <n v="27.4"/>
    <n v="5.888922535871792E-2"/>
    <n v="30"/>
    <n v="1"/>
  </r>
  <r>
    <x v="0"/>
    <s v="2023-05-22 19:49:23"/>
    <n v="1"/>
    <x v="11"/>
    <x v="2"/>
    <x v="2"/>
    <n v="0"/>
    <n v="2E+20"/>
    <n v="0"/>
    <n v="0"/>
    <n v="133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"/>
    <x v="11"/>
    <x v="3"/>
    <x v="2"/>
    <n v="0"/>
    <n v="2E+20"/>
    <n v="0"/>
    <n v="0"/>
    <n v="133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"/>
    <x v="11"/>
    <x v="4"/>
    <x v="2"/>
    <n v="1.1881273621678301"/>
    <n v="2E+20"/>
    <n v="0.63430491362657804"/>
    <n v="1.5229317373129001"/>
    <n v="133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"/>
    <x v="11"/>
    <x v="5"/>
    <x v="2"/>
    <n v="0.282122641291425"/>
    <n v="2E+20"/>
    <n v="0.21943033989237901"/>
    <n v="0.37515338459923903"/>
    <n v="133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"/>
    <x v="11"/>
    <x v="6"/>
    <x v="2"/>
    <n v="0.57379230590577601"/>
    <n v="2E+20"/>
    <n v="0.29157184549277998"/>
    <n v="0.98481929118937095"/>
    <n v="133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"/>
    <x v="11"/>
    <x v="7"/>
    <x v="2"/>
    <n v="0.33221241497063397"/>
    <n v="2E+20"/>
    <n v="0"/>
    <n v="0.55033155987570503"/>
    <n v="133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"/>
    <x v="11"/>
    <x v="2"/>
    <x v="2"/>
    <n v="0"/>
    <n v="2E+20"/>
    <n v="0"/>
    <n v="0"/>
    <n v="135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"/>
    <x v="11"/>
    <x v="3"/>
    <x v="2"/>
    <n v="0"/>
    <n v="2E+20"/>
    <n v="0"/>
    <n v="0"/>
    <n v="135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"/>
    <x v="11"/>
    <x v="4"/>
    <x v="2"/>
    <n v="1.2375089781361599"/>
    <n v="2E+20"/>
    <n v="0.54630465521682703"/>
    <n v="2.3432710163500201"/>
    <n v="135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"/>
    <x v="11"/>
    <x v="5"/>
    <x v="2"/>
    <n v="0.28425471956717602"/>
    <n v="2E+20"/>
    <n v="0.214164444458076"/>
    <n v="0.48539543008174102"/>
    <n v="135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"/>
    <x v="11"/>
    <x v="6"/>
    <x v="2"/>
    <n v="0.59894011450620299"/>
    <n v="2E+20"/>
    <n v="0.24460429945259299"/>
    <n v="1.21154707152318"/>
    <n v="135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"/>
    <x v="11"/>
    <x v="7"/>
    <x v="2"/>
    <n v="0.35431414406278"/>
    <n v="2E+20"/>
    <n v="1.9354939465552799E-2"/>
    <n v="0.66164662781058003"/>
    <n v="135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3"/>
    <x v="11"/>
    <x v="2"/>
    <x v="2"/>
    <n v="0"/>
    <n v="2E+20"/>
    <n v="0"/>
    <n v="0"/>
    <n v="140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3"/>
    <x v="11"/>
    <x v="3"/>
    <x v="2"/>
    <n v="0"/>
    <n v="2E+20"/>
    <n v="0"/>
    <n v="0"/>
    <n v="140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3"/>
    <x v="11"/>
    <x v="4"/>
    <x v="2"/>
    <n v="1.2425528030576101"/>
    <n v="2E+20"/>
    <n v="0.67933628283466696"/>
    <n v="2.4965620100114898"/>
    <n v="140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3"/>
    <x v="11"/>
    <x v="5"/>
    <x v="2"/>
    <n v="0.28764317664479899"/>
    <n v="2E+20"/>
    <n v="0.21060281446197399"/>
    <n v="0.46182147543569302"/>
    <n v="140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3"/>
    <x v="11"/>
    <x v="6"/>
    <x v="2"/>
    <n v="0.55455631375636005"/>
    <n v="2E+20"/>
    <n v="0.26130647234800403"/>
    <n v="1.1689241798357899"/>
    <n v="140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3"/>
    <x v="11"/>
    <x v="7"/>
    <x v="2"/>
    <n v="0.40035331265645502"/>
    <n v="2E+20"/>
    <n v="2.5043948212812899E-2"/>
    <n v="0.86581635473999996"/>
    <n v="140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4"/>
    <x v="11"/>
    <x v="2"/>
    <x v="2"/>
    <n v="0"/>
    <n v="2E+20"/>
    <n v="0"/>
    <n v="0"/>
    <n v="146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4"/>
    <x v="11"/>
    <x v="3"/>
    <x v="2"/>
    <n v="0"/>
    <n v="2E+20"/>
    <n v="0"/>
    <n v="0"/>
    <n v="146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4"/>
    <x v="11"/>
    <x v="4"/>
    <x v="2"/>
    <n v="1.2400058799217899"/>
    <n v="2E+20"/>
    <n v="0.75307765855023701"/>
    <n v="2.06401676339854"/>
    <n v="146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4"/>
    <x v="11"/>
    <x v="5"/>
    <x v="2"/>
    <n v="0.28246078156739202"/>
    <n v="2E+20"/>
    <n v="0.19527510080187199"/>
    <n v="0.42292352284662799"/>
    <n v="146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4"/>
    <x v="11"/>
    <x v="6"/>
    <x v="2"/>
    <n v="0.56626879872670399"/>
    <n v="2E+20"/>
    <n v="0.28592666769325498"/>
    <n v="0.98939338568499602"/>
    <n v="146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4"/>
    <x v="11"/>
    <x v="7"/>
    <x v="2"/>
    <n v="0.391276299627691"/>
    <n v="2E+20"/>
    <n v="8.7286075337650995E-2"/>
    <n v="0.78287519066612099"/>
    <n v="146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5"/>
    <x v="11"/>
    <x v="2"/>
    <x v="2"/>
    <n v="0"/>
    <n v="2E+20"/>
    <n v="0"/>
    <n v="0"/>
    <n v="123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5"/>
    <x v="11"/>
    <x v="3"/>
    <x v="2"/>
    <n v="0"/>
    <n v="2E+20"/>
    <n v="0"/>
    <n v="0"/>
    <n v="123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5"/>
    <x v="11"/>
    <x v="4"/>
    <x v="2"/>
    <n v="1.0753606416586801"/>
    <n v="2E+20"/>
    <n v="0.58467672393565195"/>
    <n v="1.57989485672102"/>
    <n v="123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5"/>
    <x v="11"/>
    <x v="5"/>
    <x v="2"/>
    <n v="0.28746959551071599"/>
    <n v="2E+20"/>
    <n v="0.18949297769191001"/>
    <n v="0.40645305286306599"/>
    <n v="123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5"/>
    <x v="11"/>
    <x v="6"/>
    <x v="2"/>
    <n v="0.56046767525629904"/>
    <n v="2E+20"/>
    <n v="0.25431879173274502"/>
    <n v="0.85259395387535497"/>
    <n v="123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5"/>
    <x v="11"/>
    <x v="7"/>
    <x v="2"/>
    <n v="0.227423370891668"/>
    <n v="2E+20"/>
    <n v="0"/>
    <n v="0.55164445966255704"/>
    <n v="123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6"/>
    <x v="11"/>
    <x v="2"/>
    <x v="2"/>
    <n v="0"/>
    <n v="2E+20"/>
    <n v="0"/>
    <n v="0"/>
    <n v="140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6"/>
    <x v="11"/>
    <x v="3"/>
    <x v="2"/>
    <n v="0"/>
    <n v="2E+20"/>
    <n v="0"/>
    <n v="0"/>
    <n v="140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6"/>
    <x v="11"/>
    <x v="4"/>
    <x v="2"/>
    <n v="1.13879764414451"/>
    <n v="2E+20"/>
    <n v="0.54240657991611196"/>
    <n v="1.9184122788792499"/>
    <n v="140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6"/>
    <x v="11"/>
    <x v="5"/>
    <x v="2"/>
    <n v="0.27840426452549899"/>
    <n v="2E+20"/>
    <n v="0.195958949162999"/>
    <n v="0.51196122838090397"/>
    <n v="140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6"/>
    <x v="11"/>
    <x v="6"/>
    <x v="2"/>
    <n v="0.55828431971197801"/>
    <n v="2E+20"/>
    <n v="0.27214789652108301"/>
    <n v="1.0606753421886801"/>
    <n v="140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6"/>
    <x v="11"/>
    <x v="7"/>
    <x v="2"/>
    <n v="0.30210905990703302"/>
    <n v="2E+20"/>
    <n v="0"/>
    <n v="0.63180299987956201"/>
    <n v="140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7"/>
    <x v="11"/>
    <x v="2"/>
    <x v="2"/>
    <n v="0"/>
    <n v="2E+20"/>
    <n v="0"/>
    <n v="0"/>
    <n v="136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7"/>
    <x v="11"/>
    <x v="3"/>
    <x v="2"/>
    <n v="0"/>
    <n v="2E+20"/>
    <n v="0"/>
    <n v="0"/>
    <n v="136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7"/>
    <x v="11"/>
    <x v="4"/>
    <x v="2"/>
    <n v="1.37775688398319"/>
    <n v="2E+20"/>
    <n v="0.68460689807238095"/>
    <n v="2.5066384167121001"/>
    <n v="136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7"/>
    <x v="11"/>
    <x v="5"/>
    <x v="2"/>
    <n v="0.29234258706294097"/>
    <n v="2E+20"/>
    <n v="0.19521670014065601"/>
    <n v="0.58135490308600601"/>
    <n v="136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7"/>
    <x v="11"/>
    <x v="6"/>
    <x v="2"/>
    <n v="0.60416460812801598"/>
    <n v="2E+20"/>
    <n v="0.26967122416752998"/>
    <n v="1.32264830101096"/>
    <n v="136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7"/>
    <x v="11"/>
    <x v="7"/>
    <x v="2"/>
    <n v="0.48124968879223401"/>
    <n v="2E+20"/>
    <n v="8.2377182687087807E-3"/>
    <n v="0.83545177840127904"/>
    <n v="136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8"/>
    <x v="11"/>
    <x v="2"/>
    <x v="2"/>
    <n v="0"/>
    <n v="2E+20"/>
    <n v="0"/>
    <n v="0"/>
    <n v="148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8"/>
    <x v="11"/>
    <x v="3"/>
    <x v="2"/>
    <n v="0"/>
    <n v="2E+20"/>
    <n v="0"/>
    <n v="0"/>
    <n v="148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8"/>
    <x v="11"/>
    <x v="4"/>
    <x v="2"/>
    <n v="1.39095241701258"/>
    <n v="2E+20"/>
    <n v="0.62387163046738403"/>
    <n v="2.13258681630179"/>
    <n v="148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8"/>
    <x v="11"/>
    <x v="5"/>
    <x v="2"/>
    <n v="0.28882401552433701"/>
    <n v="2E+20"/>
    <n v="0.19697190062536299"/>
    <n v="0.579786667798597"/>
    <n v="148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8"/>
    <x v="11"/>
    <x v="6"/>
    <x v="2"/>
    <n v="0.58885558721174103"/>
    <n v="2E+20"/>
    <n v="0.27642465004597699"/>
    <n v="1.16213144545167"/>
    <n v="148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8"/>
    <x v="11"/>
    <x v="7"/>
    <x v="2"/>
    <n v="0.51327281427650195"/>
    <n v="2E+20"/>
    <n v="5.9169483427781201E-3"/>
    <n v="0.80666886715856301"/>
    <n v="148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9"/>
    <x v="11"/>
    <x v="2"/>
    <x v="2"/>
    <n v="0"/>
    <n v="2E+20"/>
    <n v="0"/>
    <n v="0"/>
    <n v="134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9"/>
    <x v="11"/>
    <x v="3"/>
    <x v="2"/>
    <n v="0"/>
    <n v="2E+20"/>
    <n v="0"/>
    <n v="0"/>
    <n v="134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9"/>
    <x v="11"/>
    <x v="4"/>
    <x v="2"/>
    <n v="1.3628219970031801"/>
    <n v="2E+20"/>
    <n v="0.63165876807000998"/>
    <n v="1.7317397465577899"/>
    <n v="134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9"/>
    <x v="11"/>
    <x v="5"/>
    <x v="2"/>
    <n v="0.28048556052318402"/>
    <n v="2E+20"/>
    <n v="0.196779463341484"/>
    <n v="0.37608837147763602"/>
    <n v="134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9"/>
    <x v="11"/>
    <x v="6"/>
    <x v="2"/>
    <n v="0.59156790307729901"/>
    <n v="2E+20"/>
    <n v="0.29536228109010398"/>
    <n v="0.86115000068192105"/>
    <n v="134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9"/>
    <x v="11"/>
    <x v="7"/>
    <x v="2"/>
    <n v="0.490768533402693"/>
    <n v="2E+20"/>
    <n v="1.5163559530878799E-2"/>
    <n v="0.74472280681152003"/>
    <n v="134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10"/>
    <x v="11"/>
    <x v="2"/>
    <x v="2"/>
    <n v="0"/>
    <n v="2E+20"/>
    <n v="0"/>
    <n v="0"/>
    <n v="155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0"/>
    <x v="11"/>
    <x v="3"/>
    <x v="2"/>
    <n v="0"/>
    <n v="2E+20"/>
    <n v="0"/>
    <n v="0"/>
    <n v="155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0"/>
    <x v="11"/>
    <x v="4"/>
    <x v="2"/>
    <n v="1.6751220567766201"/>
    <n v="2E+20"/>
    <n v="0.72518441456623695"/>
    <n v="2.1620744535765901"/>
    <n v="155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0"/>
    <x v="11"/>
    <x v="5"/>
    <x v="2"/>
    <n v="0.28160814979558102"/>
    <n v="2E+20"/>
    <n v="0.19854376362911999"/>
    <n v="0.38138646862688003"/>
    <n v="155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0"/>
    <x v="11"/>
    <x v="6"/>
    <x v="2"/>
    <n v="0.57949322138872805"/>
    <n v="2E+20"/>
    <n v="0.279720658894972"/>
    <n v="0.98628057527911295"/>
    <n v="155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0"/>
    <x v="11"/>
    <x v="7"/>
    <x v="2"/>
    <n v="0.814020685592315"/>
    <n v="2E+20"/>
    <n v="0.1102041850831"/>
    <n v="1.24972436277344"/>
    <n v="155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11"/>
    <x v="11"/>
    <x v="2"/>
    <x v="2"/>
    <n v="0"/>
    <n v="2E+20"/>
    <n v="0"/>
    <n v="0"/>
    <n v="152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1"/>
    <x v="11"/>
    <x v="3"/>
    <x v="2"/>
    <n v="0"/>
    <n v="2E+20"/>
    <n v="0"/>
    <n v="0"/>
    <n v="152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1"/>
    <x v="11"/>
    <x v="4"/>
    <x v="2"/>
    <n v="1.22373255631516"/>
    <n v="2E+20"/>
    <n v="0.66752744616135995"/>
    <n v="1.9538154698224"/>
    <n v="152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1"/>
    <x v="11"/>
    <x v="5"/>
    <x v="2"/>
    <n v="0.291702365097738"/>
    <n v="2E+20"/>
    <n v="0.18752578940395201"/>
    <n v="0.57082417422571496"/>
    <n v="152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1"/>
    <x v="11"/>
    <x v="6"/>
    <x v="2"/>
    <n v="0.58897011217470996"/>
    <n v="2E+20"/>
    <n v="0.28770492117979901"/>
    <n v="0.93098286363420102"/>
    <n v="152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1"/>
    <x v="11"/>
    <x v="7"/>
    <x v="2"/>
    <n v="0.34306007904270702"/>
    <n v="2E+20"/>
    <n v="6.2198279621910003E-3"/>
    <n v="0.66216973970787296"/>
    <n v="152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12"/>
    <x v="11"/>
    <x v="2"/>
    <x v="2"/>
    <n v="0"/>
    <n v="2E+20"/>
    <n v="0"/>
    <n v="0"/>
    <n v="140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2"/>
    <x v="11"/>
    <x v="3"/>
    <x v="2"/>
    <n v="0"/>
    <n v="2E+20"/>
    <n v="0"/>
    <n v="0"/>
    <n v="140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2"/>
    <x v="11"/>
    <x v="4"/>
    <x v="2"/>
    <n v="1.2773372689977001"/>
    <n v="2E+20"/>
    <n v="0.58089965428993495"/>
    <n v="1.8683331654828499"/>
    <n v="140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2"/>
    <x v="11"/>
    <x v="5"/>
    <x v="2"/>
    <n v="0.28573843769491197"/>
    <n v="2E+20"/>
    <n v="0.19558726582775501"/>
    <n v="0.41762149108093"/>
    <n v="140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2"/>
    <x v="11"/>
    <x v="6"/>
    <x v="2"/>
    <n v="0.57543499338343795"/>
    <n v="2E+20"/>
    <n v="0.30515439737972999"/>
    <n v="0.99377994203266595"/>
    <n v="140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2"/>
    <x v="11"/>
    <x v="7"/>
    <x v="2"/>
    <n v="0.41616383791934902"/>
    <n v="2E+20"/>
    <n v="0"/>
    <n v="0.74664474010758097"/>
    <n v="140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13"/>
    <x v="11"/>
    <x v="2"/>
    <x v="2"/>
    <n v="0"/>
    <n v="2E+20"/>
    <n v="0"/>
    <n v="0"/>
    <n v="131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3"/>
    <x v="11"/>
    <x v="3"/>
    <x v="2"/>
    <n v="0"/>
    <n v="2E+20"/>
    <n v="0"/>
    <n v="0"/>
    <n v="131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3"/>
    <x v="11"/>
    <x v="4"/>
    <x v="2"/>
    <n v="1.37643029038732"/>
    <n v="2E+20"/>
    <n v="0.66480970341133006"/>
    <n v="1.9569612186951799"/>
    <n v="131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3"/>
    <x v="11"/>
    <x v="5"/>
    <x v="2"/>
    <n v="0.28194550396415502"/>
    <n v="2E+20"/>
    <n v="0.205843909453053"/>
    <n v="0.56418986122041503"/>
    <n v="131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3"/>
    <x v="11"/>
    <x v="6"/>
    <x v="2"/>
    <n v="0.57847001215511196"/>
    <n v="2E+20"/>
    <n v="0.28288532244119402"/>
    <n v="1.0200225030724199"/>
    <n v="131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3"/>
    <x v="11"/>
    <x v="7"/>
    <x v="2"/>
    <n v="0.51601477426805198"/>
    <n v="2E+20"/>
    <n v="0"/>
    <n v="0.89280502531873995"/>
    <n v="131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14"/>
    <x v="11"/>
    <x v="2"/>
    <x v="2"/>
    <n v="0"/>
    <n v="2E+20"/>
    <n v="0"/>
    <n v="0"/>
    <n v="126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4"/>
    <x v="11"/>
    <x v="3"/>
    <x v="2"/>
    <n v="0"/>
    <n v="2E+20"/>
    <n v="0"/>
    <n v="0"/>
    <n v="126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4"/>
    <x v="11"/>
    <x v="4"/>
    <x v="2"/>
    <n v="1.1082918465728999"/>
    <n v="2E+20"/>
    <n v="0.63950156553207005"/>
    <n v="1.69640545652521"/>
    <n v="126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4"/>
    <x v="11"/>
    <x v="5"/>
    <x v="2"/>
    <n v="0.29136751986244602"/>
    <n v="2E+20"/>
    <n v="0.21401024996707699"/>
    <n v="0.46816162665000899"/>
    <n v="126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4"/>
    <x v="11"/>
    <x v="6"/>
    <x v="2"/>
    <n v="0.593262104121005"/>
    <n v="2E+20"/>
    <n v="0.287744624910861"/>
    <n v="0.945951623456182"/>
    <n v="126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4"/>
    <x v="11"/>
    <x v="7"/>
    <x v="2"/>
    <n v="0.22366222258944399"/>
    <n v="2E+20"/>
    <n v="0"/>
    <n v="0.49707297850578702"/>
    <n v="126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15"/>
    <x v="11"/>
    <x v="2"/>
    <x v="2"/>
    <n v="0"/>
    <n v="2E+20"/>
    <n v="0"/>
    <n v="0"/>
    <n v="138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5"/>
    <x v="11"/>
    <x v="3"/>
    <x v="2"/>
    <n v="0"/>
    <n v="2E+20"/>
    <n v="0"/>
    <n v="0"/>
    <n v="138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5"/>
    <x v="11"/>
    <x v="4"/>
    <x v="2"/>
    <n v="1.0734816122159401"/>
    <n v="2E+20"/>
    <n v="0.62585626659277804"/>
    <n v="1.67490540060237"/>
    <n v="138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5"/>
    <x v="11"/>
    <x v="5"/>
    <x v="2"/>
    <n v="0.281873563451215"/>
    <n v="2E+20"/>
    <n v="0.191515219457848"/>
    <n v="0.50396049982454505"/>
    <n v="138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5"/>
    <x v="11"/>
    <x v="6"/>
    <x v="2"/>
    <n v="0.57151429312519797"/>
    <n v="2E+20"/>
    <n v="0.29735890282060601"/>
    <n v="0.97229355316459698"/>
    <n v="138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5"/>
    <x v="11"/>
    <x v="7"/>
    <x v="2"/>
    <n v="0.22009375563952499"/>
    <n v="2E+20"/>
    <n v="0"/>
    <n v="0.47141204718512397"/>
    <n v="138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16"/>
    <x v="11"/>
    <x v="2"/>
    <x v="2"/>
    <n v="0"/>
    <n v="2E+20"/>
    <n v="0"/>
    <n v="0"/>
    <n v="145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6"/>
    <x v="11"/>
    <x v="3"/>
    <x v="2"/>
    <n v="0"/>
    <n v="2E+20"/>
    <n v="0"/>
    <n v="0"/>
    <n v="145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6"/>
    <x v="11"/>
    <x v="4"/>
    <x v="2"/>
    <n v="1.51177118901033"/>
    <n v="2E+20"/>
    <n v="0.74066502566469905"/>
    <n v="2.7172135616429198"/>
    <n v="145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6"/>
    <x v="11"/>
    <x v="5"/>
    <x v="2"/>
    <n v="0.29227768939634302"/>
    <n v="2E+20"/>
    <n v="0.196218408510937"/>
    <n v="0.61921751163804895"/>
    <n v="145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6"/>
    <x v="11"/>
    <x v="6"/>
    <x v="2"/>
    <n v="0.58123474898620198"/>
    <n v="2E+20"/>
    <n v="0.29834592135390597"/>
    <n v="0.99661484325054905"/>
    <n v="145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6"/>
    <x v="11"/>
    <x v="7"/>
    <x v="2"/>
    <n v="0.63825875062778004"/>
    <n v="2E+20"/>
    <n v="0.11715925075294201"/>
    <n v="1.1013812067543201"/>
    <n v="145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17"/>
    <x v="11"/>
    <x v="2"/>
    <x v="2"/>
    <n v="0"/>
    <n v="2E+20"/>
    <n v="0"/>
    <n v="0"/>
    <n v="125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7"/>
    <x v="11"/>
    <x v="3"/>
    <x v="2"/>
    <n v="0"/>
    <n v="2E+20"/>
    <n v="0"/>
    <n v="0"/>
    <n v="125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7"/>
    <x v="11"/>
    <x v="4"/>
    <x v="2"/>
    <n v="1.2357737106579301"/>
    <n v="2E+20"/>
    <n v="0.66696279950513004"/>
    <n v="2.1079168314297299"/>
    <n v="125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7"/>
    <x v="11"/>
    <x v="5"/>
    <x v="2"/>
    <n v="0.28633122299049901"/>
    <n v="2E+20"/>
    <n v="0.196088058985872"/>
    <n v="0.49245012737480598"/>
    <n v="125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7"/>
    <x v="11"/>
    <x v="6"/>
    <x v="2"/>
    <n v="0.60577999264634597"/>
    <n v="2E+20"/>
    <n v="0.27920870663460101"/>
    <n v="1.0446456344588499"/>
    <n v="125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7"/>
    <x v="11"/>
    <x v="7"/>
    <x v="2"/>
    <n v="0.34366249502108398"/>
    <n v="2E+20"/>
    <n v="0"/>
    <n v="0.62122981930660404"/>
    <n v="125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18"/>
    <x v="11"/>
    <x v="2"/>
    <x v="2"/>
    <n v="0"/>
    <n v="2E+20"/>
    <n v="0"/>
    <n v="0"/>
    <n v="140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8"/>
    <x v="11"/>
    <x v="3"/>
    <x v="2"/>
    <n v="0"/>
    <n v="2E+20"/>
    <n v="0"/>
    <n v="0"/>
    <n v="140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8"/>
    <x v="11"/>
    <x v="4"/>
    <x v="2"/>
    <n v="1.24953287830908"/>
    <n v="2E+20"/>
    <n v="0.66356453684231298"/>
    <n v="1.8954853514241901"/>
    <n v="140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8"/>
    <x v="11"/>
    <x v="5"/>
    <x v="2"/>
    <n v="0.28449344996914"/>
    <n v="2E+20"/>
    <n v="0.207097372117757"/>
    <n v="0.50625193693036197"/>
    <n v="140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8"/>
    <x v="11"/>
    <x v="6"/>
    <x v="2"/>
    <n v="0.56901999432046702"/>
    <n v="2E+20"/>
    <n v="0.275126596992882"/>
    <n v="1.0441844590651701"/>
    <n v="140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8"/>
    <x v="11"/>
    <x v="7"/>
    <x v="2"/>
    <n v="0.39601943401947198"/>
    <n v="2E+20"/>
    <n v="4.8457926238637601E-2"/>
    <n v="0.60181483610203201"/>
    <n v="140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19"/>
    <x v="11"/>
    <x v="2"/>
    <x v="2"/>
    <n v="0"/>
    <n v="2E+20"/>
    <n v="0"/>
    <n v="0"/>
    <n v="140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9"/>
    <x v="11"/>
    <x v="3"/>
    <x v="2"/>
    <n v="0"/>
    <n v="2E+20"/>
    <n v="0"/>
    <n v="0"/>
    <n v="140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19"/>
    <x v="11"/>
    <x v="4"/>
    <x v="2"/>
    <n v="1.1757133705642799"/>
    <n v="2E+20"/>
    <n v="0.60689829089434"/>
    <n v="1.60607974482213"/>
    <n v="140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19"/>
    <x v="11"/>
    <x v="5"/>
    <x v="2"/>
    <n v="0.28694873108735203"/>
    <n v="2E+20"/>
    <n v="0.202004538015849"/>
    <n v="0.45872547875078001"/>
    <n v="140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19"/>
    <x v="11"/>
    <x v="6"/>
    <x v="2"/>
    <n v="0.57593843615430795"/>
    <n v="2E+20"/>
    <n v="0.31067745784213502"/>
    <n v="0.99892014546307795"/>
    <n v="140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19"/>
    <x v="11"/>
    <x v="7"/>
    <x v="2"/>
    <n v="0.31282620332261502"/>
    <n v="2E+20"/>
    <n v="0"/>
    <n v="0.57470076197314701"/>
    <n v="140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0"/>
    <x v="11"/>
    <x v="2"/>
    <x v="2"/>
    <n v="0"/>
    <n v="2E+20"/>
    <n v="0"/>
    <n v="0"/>
    <n v="157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0"/>
    <x v="11"/>
    <x v="3"/>
    <x v="2"/>
    <n v="0"/>
    <n v="2E+20"/>
    <n v="0"/>
    <n v="0"/>
    <n v="157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0"/>
    <x v="11"/>
    <x v="4"/>
    <x v="2"/>
    <n v="1.5153237547509999"/>
    <n v="2E+20"/>
    <n v="0.73835022124916305"/>
    <n v="2.7561776708620398"/>
    <n v="157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0"/>
    <x v="11"/>
    <x v="5"/>
    <x v="2"/>
    <n v="0.28471475311428901"/>
    <n v="2E+20"/>
    <n v="0.20357207279654699"/>
    <n v="0.56399698609922999"/>
    <n v="157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0"/>
    <x v="11"/>
    <x v="6"/>
    <x v="2"/>
    <n v="0.57424744922926996"/>
    <n v="2E+20"/>
    <n v="0.27020811445189102"/>
    <n v="1.31714168700597"/>
    <n v="157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0"/>
    <x v="11"/>
    <x v="7"/>
    <x v="2"/>
    <n v="0.65636155240744298"/>
    <n v="2E+20"/>
    <n v="4.2135032316281497E-2"/>
    <n v="1.0781340840293201"/>
    <n v="157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1"/>
    <x v="11"/>
    <x v="2"/>
    <x v="2"/>
    <n v="0"/>
    <n v="2E+20"/>
    <n v="0"/>
    <n v="0"/>
    <n v="158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1"/>
    <x v="11"/>
    <x v="3"/>
    <x v="2"/>
    <n v="0"/>
    <n v="2E+20"/>
    <n v="0"/>
    <n v="0"/>
    <n v="158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1"/>
    <x v="11"/>
    <x v="4"/>
    <x v="2"/>
    <n v="1.5352621683140699"/>
    <n v="2E+20"/>
    <n v="0.73549383756281705"/>
    <n v="1.93901829456504"/>
    <n v="158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1"/>
    <x v="11"/>
    <x v="5"/>
    <x v="2"/>
    <n v="0.28533713834045799"/>
    <n v="2E+20"/>
    <n v="0.19757617835886401"/>
    <n v="0.40768183952527698"/>
    <n v="158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1"/>
    <x v="11"/>
    <x v="6"/>
    <x v="2"/>
    <n v="0.57275135391955201"/>
    <n v="2E+20"/>
    <n v="0.288075143521694"/>
    <n v="0.97653841914985196"/>
    <n v="158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1"/>
    <x v="11"/>
    <x v="7"/>
    <x v="2"/>
    <n v="0.67717367605406398"/>
    <n v="2E+20"/>
    <n v="0.204124927785092"/>
    <n v="1.0509638139402699"/>
    <n v="158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2"/>
    <x v="11"/>
    <x v="2"/>
    <x v="2"/>
    <n v="0"/>
    <n v="2E+20"/>
    <n v="0"/>
    <n v="0"/>
    <n v="132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2"/>
    <x v="11"/>
    <x v="3"/>
    <x v="2"/>
    <n v="0"/>
    <n v="2E+20"/>
    <n v="0"/>
    <n v="0"/>
    <n v="132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2"/>
    <x v="11"/>
    <x v="4"/>
    <x v="2"/>
    <n v="1.158107230868"/>
    <n v="2E+20"/>
    <n v="0.63680173252596395"/>
    <n v="1.95020707767559"/>
    <n v="132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2"/>
    <x v="11"/>
    <x v="5"/>
    <x v="2"/>
    <n v="0.28710550758527698"/>
    <n v="2E+20"/>
    <n v="0.196521057775775"/>
    <n v="0.53972103061102805"/>
    <n v="132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2"/>
    <x v="11"/>
    <x v="6"/>
    <x v="2"/>
    <n v="0.57995582604144902"/>
    <n v="2E+20"/>
    <n v="0.27984815958201098"/>
    <n v="0.99276741821180903"/>
    <n v="132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2"/>
    <x v="11"/>
    <x v="7"/>
    <x v="2"/>
    <n v="0.291045897241278"/>
    <n v="2E+20"/>
    <n v="0"/>
    <n v="0.632177737482984"/>
    <n v="132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3"/>
    <x v="11"/>
    <x v="2"/>
    <x v="2"/>
    <n v="0"/>
    <n v="2E+20"/>
    <n v="0"/>
    <n v="0"/>
    <n v="122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3"/>
    <x v="11"/>
    <x v="3"/>
    <x v="2"/>
    <n v="0"/>
    <n v="2E+20"/>
    <n v="0"/>
    <n v="0"/>
    <n v="122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3"/>
    <x v="11"/>
    <x v="4"/>
    <x v="2"/>
    <n v="1.0773445027352"/>
    <n v="2E+20"/>
    <n v="0.61027734755067897"/>
    <n v="2.09859931633921"/>
    <n v="122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3"/>
    <x v="11"/>
    <x v="5"/>
    <x v="2"/>
    <n v="0.28588070653284298"/>
    <n v="2E+20"/>
    <n v="0.20112911341597201"/>
    <n v="0.53857648671393099"/>
    <n v="122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3"/>
    <x v="11"/>
    <x v="6"/>
    <x v="2"/>
    <n v="0.59499498280249397"/>
    <n v="2E+20"/>
    <n v="0.31279256241578801"/>
    <n v="1.15300560744272"/>
    <n v="122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3"/>
    <x v="11"/>
    <x v="7"/>
    <x v="2"/>
    <n v="0.196468813399861"/>
    <n v="2E+20"/>
    <n v="0"/>
    <n v="0.47722456895915899"/>
    <n v="122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4"/>
    <x v="11"/>
    <x v="2"/>
    <x v="2"/>
    <n v="0"/>
    <n v="2E+20"/>
    <n v="0"/>
    <n v="0"/>
    <n v="125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4"/>
    <x v="11"/>
    <x v="3"/>
    <x v="2"/>
    <n v="0"/>
    <n v="2E+20"/>
    <n v="0"/>
    <n v="0"/>
    <n v="125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4"/>
    <x v="11"/>
    <x v="4"/>
    <x v="2"/>
    <n v="1.2310364866161601"/>
    <n v="2E+20"/>
    <n v="0.74845261694267595"/>
    <n v="1.8113660140340599"/>
    <n v="125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4"/>
    <x v="11"/>
    <x v="5"/>
    <x v="2"/>
    <n v="0.285193186327316"/>
    <n v="2E+20"/>
    <n v="0.20996616647865601"/>
    <n v="0.40628784393384698"/>
    <n v="125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4"/>
    <x v="11"/>
    <x v="6"/>
    <x v="2"/>
    <n v="0.59780998858143797"/>
    <n v="2E+20"/>
    <n v="0.29572766165237901"/>
    <n v="1.1831553111161801"/>
    <n v="125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4"/>
    <x v="11"/>
    <x v="7"/>
    <x v="2"/>
    <n v="0.34803331170740598"/>
    <n v="2E+20"/>
    <n v="0"/>
    <n v="0.73761671484532498"/>
    <n v="125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5"/>
    <x v="11"/>
    <x v="2"/>
    <x v="2"/>
    <n v="0"/>
    <n v="2E+20"/>
    <n v="0"/>
    <n v="0"/>
    <n v="135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5"/>
    <x v="11"/>
    <x v="3"/>
    <x v="2"/>
    <n v="0"/>
    <n v="2E+20"/>
    <n v="0"/>
    <n v="0"/>
    <n v="135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5"/>
    <x v="11"/>
    <x v="4"/>
    <x v="2"/>
    <n v="1.15366892525509"/>
    <n v="2E+20"/>
    <n v="0.65917357450295"/>
    <n v="1.88764061763423"/>
    <n v="135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5"/>
    <x v="11"/>
    <x v="5"/>
    <x v="2"/>
    <n v="0.28304080351795302"/>
    <n v="2E+20"/>
    <n v="0.18653897331953001"/>
    <n v="0.59926393044341997"/>
    <n v="135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5"/>
    <x v="11"/>
    <x v="6"/>
    <x v="2"/>
    <n v="0.56769686990408097"/>
    <n v="2E+20"/>
    <n v="0.29453294860914397"/>
    <n v="1.5050291241368301"/>
    <n v="135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5"/>
    <x v="11"/>
    <x v="7"/>
    <x v="2"/>
    <n v="0.30293125183305603"/>
    <n v="2E+20"/>
    <n v="0"/>
    <n v="0.61018209815748603"/>
    <n v="135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6"/>
    <x v="11"/>
    <x v="2"/>
    <x v="2"/>
    <n v="0"/>
    <n v="2E+20"/>
    <n v="0"/>
    <n v="0"/>
    <n v="125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6"/>
    <x v="11"/>
    <x v="3"/>
    <x v="2"/>
    <n v="0"/>
    <n v="2E+20"/>
    <n v="0"/>
    <n v="0"/>
    <n v="125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6"/>
    <x v="11"/>
    <x v="4"/>
    <x v="2"/>
    <n v="1.0239727314929401"/>
    <n v="2E+20"/>
    <n v="0.62722915599361495"/>
    <n v="1.4814298272766999"/>
    <n v="125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6"/>
    <x v="11"/>
    <x v="5"/>
    <x v="2"/>
    <n v="0.2818986058638"/>
    <n v="2E+20"/>
    <n v="0.20247088459760301"/>
    <n v="0.42444187433227398"/>
    <n v="125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6"/>
    <x v="11"/>
    <x v="6"/>
    <x v="2"/>
    <n v="0.56413680871881999"/>
    <n v="2E+20"/>
    <n v="0.310279208929015"/>
    <n v="0.94087736862502802"/>
    <n v="125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6"/>
    <x v="11"/>
    <x v="7"/>
    <x v="2"/>
    <n v="0.177937316910317"/>
    <n v="2E+20"/>
    <n v="0"/>
    <n v="0.38730070760715102"/>
    <n v="125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7"/>
    <x v="11"/>
    <x v="2"/>
    <x v="2"/>
    <n v="0"/>
    <n v="2E+20"/>
    <n v="0"/>
    <n v="0"/>
    <n v="148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7"/>
    <x v="11"/>
    <x v="3"/>
    <x v="2"/>
    <n v="0"/>
    <n v="2E+20"/>
    <n v="0"/>
    <n v="0"/>
    <n v="148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7"/>
    <x v="11"/>
    <x v="4"/>
    <x v="2"/>
    <n v="1.4792875362790101"/>
    <n v="2E+20"/>
    <n v="0.80297745794193598"/>
    <n v="2.3044370140889998"/>
    <n v="148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7"/>
    <x v="11"/>
    <x v="5"/>
    <x v="2"/>
    <n v="0.28217396074609902"/>
    <n v="2E+20"/>
    <n v="0.17212578810766199"/>
    <n v="0.50878418767816902"/>
    <n v="148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7"/>
    <x v="11"/>
    <x v="6"/>
    <x v="2"/>
    <n v="0.58083801261891599"/>
    <n v="2E+20"/>
    <n v="0.299960846489985"/>
    <n v="1.2015676630384799"/>
    <n v="148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7"/>
    <x v="11"/>
    <x v="7"/>
    <x v="2"/>
    <n v="0.61627556291399699"/>
    <n v="2E+20"/>
    <n v="7.4078083910072007E-2"/>
    <n v="0.88751620931592701"/>
    <n v="148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8"/>
    <x v="11"/>
    <x v="2"/>
    <x v="2"/>
    <n v="0"/>
    <n v="2E+20"/>
    <n v="0"/>
    <n v="0"/>
    <n v="144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8"/>
    <x v="11"/>
    <x v="3"/>
    <x v="2"/>
    <n v="0"/>
    <n v="2E+20"/>
    <n v="0"/>
    <n v="0"/>
    <n v="144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8"/>
    <x v="11"/>
    <x v="4"/>
    <x v="2"/>
    <n v="1.24077082150278"/>
    <n v="2E+20"/>
    <n v="0.63725880081333197"/>
    <n v="1.99178496019609"/>
    <n v="144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8"/>
    <x v="11"/>
    <x v="5"/>
    <x v="2"/>
    <n v="0.28397684651627098"/>
    <n v="2E+20"/>
    <n v="0.18821983847669699"/>
    <n v="0.51050257543336497"/>
    <n v="144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8"/>
    <x v="11"/>
    <x v="6"/>
    <x v="2"/>
    <n v="0.57173404786383197"/>
    <n v="2E+20"/>
    <n v="0.284626133742925"/>
    <n v="1.4121417916997001"/>
    <n v="144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8"/>
    <x v="11"/>
    <x v="7"/>
    <x v="2"/>
    <n v="0.38505992712268"/>
    <n v="2E+20"/>
    <n v="8.7696937100779394E-3"/>
    <n v="0.61107675338976197"/>
    <n v="144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29"/>
    <x v="11"/>
    <x v="2"/>
    <x v="2"/>
    <n v="0"/>
    <n v="2E+20"/>
    <n v="0"/>
    <n v="0"/>
    <n v="156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9"/>
    <x v="11"/>
    <x v="3"/>
    <x v="2"/>
    <n v="0"/>
    <n v="2E+20"/>
    <n v="0"/>
    <n v="0"/>
    <n v="156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29"/>
    <x v="11"/>
    <x v="4"/>
    <x v="2"/>
    <n v="1.3177076112488899"/>
    <n v="2E+20"/>
    <n v="0.66954541037734605"/>
    <n v="2.0351927737577502"/>
    <n v="156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29"/>
    <x v="11"/>
    <x v="5"/>
    <x v="2"/>
    <n v="0.281006964632879"/>
    <n v="2E+20"/>
    <n v="0.19038777006003901"/>
    <n v="0.398927235399333"/>
    <n v="156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29"/>
    <x v="11"/>
    <x v="6"/>
    <x v="2"/>
    <n v="0.58700042479436598"/>
    <n v="2E+20"/>
    <n v="0.32683752984746001"/>
    <n v="0.96667098953373498"/>
    <n v="156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29"/>
    <x v="11"/>
    <x v="7"/>
    <x v="2"/>
    <n v="0.44970022182164199"/>
    <n v="2E+20"/>
    <n v="5.2276789021184497E-3"/>
    <n v="0.88535353115833704"/>
    <n v="156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  <r>
    <x v="0"/>
    <s v="2023-05-22 19:49:23"/>
    <n v="30"/>
    <x v="11"/>
    <x v="2"/>
    <x v="2"/>
    <n v="0"/>
    <n v="2E+20"/>
    <n v="0"/>
    <n v="0"/>
    <n v="131"/>
    <s v="Unnamed ProjectVisitantesNVA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30"/>
    <x v="11"/>
    <x v="3"/>
    <x v="2"/>
    <n v="0"/>
    <n v="2E+20"/>
    <n v="0"/>
    <n v="0"/>
    <n v="131"/>
    <s v="Unnamed ProjectVisitantesOther TimeEntity"/>
    <n v="30"/>
    <n v="0"/>
    <n v="0"/>
    <n v="0.95"/>
    <n v="0"/>
    <n v="0"/>
    <n v="0"/>
    <n v="0"/>
    <n v="0"/>
    <n v="138.66666666666666"/>
    <n v="0"/>
    <n v="30"/>
    <n v="1"/>
  </r>
  <r>
    <x v="0"/>
    <s v="2023-05-22 19:49:23"/>
    <n v="30"/>
    <x v="11"/>
    <x v="4"/>
    <x v="2"/>
    <n v="1.1430608465741601"/>
    <n v="2E+20"/>
    <n v="0.63854972612670002"/>
    <n v="2.04750073380244"/>
    <n v="131"/>
    <s v="Unnamed ProjectVisitantesTotal TimeEntity"/>
    <n v="30"/>
    <n v="1.2678871334176696"/>
    <n v="0.15859201065608289"/>
    <n v="0.95"/>
    <n v="5.9219230019787336E-2"/>
    <n v="1.0239727314929401"/>
    <n v="1.6751220567766201"/>
    <n v="0.54240657991611196"/>
    <n v="2.7561776708620398"/>
    <n v="138.66666666666666"/>
    <n v="5.9219230019787336E-2"/>
    <n v="30"/>
    <n v="1"/>
  </r>
  <r>
    <x v="0"/>
    <s v="2023-05-22 19:49:23"/>
    <n v="30"/>
    <x v="11"/>
    <x v="5"/>
    <x v="2"/>
    <n v="0.28370365842327799"/>
    <n v="2E+20"/>
    <n v="0.204348769502913"/>
    <n v="0.52401009263508203"/>
    <n v="131"/>
    <s v="Unnamed ProjectVisitantesTransfer TimeEntity"/>
    <n v="30"/>
    <n v="0.28507753690424381"/>
    <n v="3.6273707928829251E-3"/>
    <n v="0.95"/>
    <n v="1.354482514359579E-3"/>
    <n v="0.27840426452549899"/>
    <n v="0.29234258706294097"/>
    <n v="0.17212578810766199"/>
    <n v="0.61921751163804895"/>
    <n v="138.66666666666666"/>
    <n v="1.354482514359579E-3"/>
    <n v="30"/>
    <n v="1"/>
  </r>
  <r>
    <x v="0"/>
    <s v="2023-05-22 19:49:23"/>
    <n v="30"/>
    <x v="11"/>
    <x v="6"/>
    <x v="2"/>
    <n v="0.59333195409153405"/>
    <n v="2E+20"/>
    <n v="0.28804211690862502"/>
    <n v="1.18369902297995"/>
    <n v="131"/>
    <s v="Unnamed ProjectVisitantesVA TimeEntity"/>
    <n v="30"/>
    <n v="0.58001710844338794"/>
    <n v="1.360004450545021E-2"/>
    <n v="0.95"/>
    <n v="5.0783400785183869E-3"/>
    <n v="0.55455631375636005"/>
    <n v="0.60577999264634597"/>
    <n v="0.24460429945259299"/>
    <n v="1.5050291241368301"/>
    <n v="138.66666666666666"/>
    <n v="5.0783400785183869E-3"/>
    <n v="30"/>
    <n v="1"/>
  </r>
  <r>
    <x v="0"/>
    <s v="2023-05-22 19:49:23"/>
    <n v="30"/>
    <x v="11"/>
    <x v="7"/>
    <x v="2"/>
    <n v="0.26602523405934497"/>
    <n v="2E+20"/>
    <n v="3.1872153168140301E-2"/>
    <n v="0.417953329414956"/>
    <n v="131"/>
    <s v="Unnamed ProjectVisitantesWait TimeEntity"/>
    <n v="30"/>
    <n v="0.40279248807003726"/>
    <n v="0.15731030971938431"/>
    <n v="0.95"/>
    <n v="5.8740635024535484E-2"/>
    <n v="0.177937316910317"/>
    <n v="0.814020685592315"/>
    <n v="0"/>
    <n v="1.24972436277344"/>
    <n v="138.66666666666666"/>
    <n v="5.8740635024535484E-2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0">
  <r>
    <x v="0"/>
    <s v="2023-05-22 19:49:23"/>
    <n v="1"/>
    <x v="0"/>
    <x v="0"/>
    <x v="0"/>
    <n v="30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"/>
    <x v="1"/>
    <x v="1"/>
    <x v="0"/>
    <n v="2.81222721054892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"/>
    <x v="2"/>
    <x v="0"/>
    <x v="0"/>
    <n v="93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"/>
    <x v="3"/>
    <x v="1"/>
    <x v="0"/>
    <n v="0.21309577097801799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"/>
    <x v="4"/>
    <x v="0"/>
    <x v="0"/>
    <n v="127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"/>
    <x v="5"/>
    <x v="1"/>
    <x v="0"/>
    <n v="0.59070684422967801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"/>
    <x v="6"/>
    <x v="0"/>
    <x v="0"/>
    <n v="358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"/>
    <x v="7"/>
    <x v="1"/>
    <x v="0"/>
    <n v="0.1644657366540789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"/>
    <x v="8"/>
    <x v="0"/>
    <x v="0"/>
    <n v="70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"/>
    <x v="9"/>
    <x v="1"/>
    <x v="0"/>
    <n v="9.6605552921482304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"/>
    <x v="10"/>
    <x v="2"/>
    <x v="1"/>
    <n v="133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"/>
    <x v="11"/>
    <x v="0"/>
    <x v="0"/>
    <n v="311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"/>
    <x v="12"/>
    <x v="1"/>
    <x v="0"/>
    <n v="0.75378632851167204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"/>
    <x v="13"/>
    <x v="3"/>
    <x v="2"/>
    <n v="182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"/>
    <x v="14"/>
    <x v="2"/>
    <x v="2"/>
    <n v="133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"/>
    <x v="17"/>
    <x v="0"/>
    <x v="0"/>
    <n v="91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"/>
    <x v="18"/>
    <x v="1"/>
    <x v="0"/>
    <n v="0.79972424005424603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"/>
    <x v="19"/>
    <x v="0"/>
    <x v="0"/>
    <n v="59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"/>
    <x v="20"/>
    <x v="1"/>
    <x v="0"/>
    <n v="0.84932132364788404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"/>
    <x v="21"/>
    <x v="0"/>
    <x v="0"/>
    <n v="31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"/>
    <x v="22"/>
    <x v="1"/>
    <x v="0"/>
    <n v="0.83589421484019499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"/>
    <x v="0"/>
    <x v="0"/>
    <x v="0"/>
    <n v="31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"/>
    <x v="1"/>
    <x v="1"/>
    <x v="0"/>
    <n v="3.16442664560031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"/>
    <x v="2"/>
    <x v="0"/>
    <x v="0"/>
    <n v="105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"/>
    <x v="3"/>
    <x v="1"/>
    <x v="0"/>
    <n v="0.25549170878254701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"/>
    <x v="4"/>
    <x v="0"/>
    <x v="0"/>
    <n v="133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"/>
    <x v="5"/>
    <x v="1"/>
    <x v="0"/>
    <n v="0.64733714125893704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"/>
    <x v="6"/>
    <x v="0"/>
    <x v="0"/>
    <n v="351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"/>
    <x v="7"/>
    <x v="1"/>
    <x v="0"/>
    <n v="0.16461650215295101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"/>
    <x v="8"/>
    <x v="0"/>
    <x v="0"/>
    <n v="59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"/>
    <x v="9"/>
    <x v="1"/>
    <x v="0"/>
    <n v="8.3026697671413505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"/>
    <x v="10"/>
    <x v="2"/>
    <x v="1"/>
    <n v="135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"/>
    <x v="11"/>
    <x v="0"/>
    <x v="0"/>
    <n v="312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"/>
    <x v="12"/>
    <x v="1"/>
    <x v="0"/>
    <n v="0.76587767015640895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"/>
    <x v="13"/>
    <x v="3"/>
    <x v="2"/>
    <n v="179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"/>
    <x v="14"/>
    <x v="2"/>
    <x v="2"/>
    <n v="135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"/>
    <x v="17"/>
    <x v="0"/>
    <x v="0"/>
    <n v="89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"/>
    <x v="18"/>
    <x v="1"/>
    <x v="0"/>
    <n v="0.71520550213035405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"/>
    <x v="19"/>
    <x v="0"/>
    <x v="0"/>
    <n v="50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"/>
    <x v="20"/>
    <x v="1"/>
    <x v="0"/>
    <n v="0.84553205540298404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"/>
    <x v="21"/>
    <x v="0"/>
    <x v="0"/>
    <n v="40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"/>
    <x v="22"/>
    <x v="1"/>
    <x v="0"/>
    <n v="0.82933186101531098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3"/>
    <x v="0"/>
    <x v="0"/>
    <x v="0"/>
    <n v="42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3"/>
    <x v="1"/>
    <x v="1"/>
    <x v="0"/>
    <n v="4.22503013771724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3"/>
    <x v="2"/>
    <x v="0"/>
    <x v="0"/>
    <n v="97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3"/>
    <x v="3"/>
    <x v="1"/>
    <x v="0"/>
    <n v="0.230838690267714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3"/>
    <x v="4"/>
    <x v="0"/>
    <x v="0"/>
    <n v="131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3"/>
    <x v="5"/>
    <x v="1"/>
    <x v="0"/>
    <n v="0.604726885596782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3"/>
    <x v="6"/>
    <x v="0"/>
    <x v="0"/>
    <n v="384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3"/>
    <x v="7"/>
    <x v="1"/>
    <x v="0"/>
    <n v="0.1768346622515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3"/>
    <x v="8"/>
    <x v="0"/>
    <x v="0"/>
    <n v="81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3"/>
    <x v="9"/>
    <x v="1"/>
    <x v="0"/>
    <n v="0.11102545574245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3"/>
    <x v="10"/>
    <x v="2"/>
    <x v="1"/>
    <n v="140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3"/>
    <x v="11"/>
    <x v="0"/>
    <x v="0"/>
    <n v="327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3"/>
    <x v="12"/>
    <x v="1"/>
    <x v="0"/>
    <n v="0.79520242460233004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3"/>
    <x v="13"/>
    <x v="3"/>
    <x v="2"/>
    <n v="187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3"/>
    <x v="14"/>
    <x v="2"/>
    <x v="2"/>
    <n v="140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3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3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3"/>
    <x v="17"/>
    <x v="0"/>
    <x v="0"/>
    <n v="99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3"/>
    <x v="18"/>
    <x v="1"/>
    <x v="0"/>
    <n v="0.64622591858609302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3"/>
    <x v="19"/>
    <x v="0"/>
    <x v="0"/>
    <n v="52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3"/>
    <x v="20"/>
    <x v="1"/>
    <x v="0"/>
    <n v="0.76739170261446499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3"/>
    <x v="21"/>
    <x v="0"/>
    <x v="0"/>
    <n v="36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3"/>
    <x v="22"/>
    <x v="1"/>
    <x v="0"/>
    <n v="0.80616303072059503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4"/>
    <x v="0"/>
    <x v="0"/>
    <x v="0"/>
    <n v="36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4"/>
    <x v="1"/>
    <x v="1"/>
    <x v="0"/>
    <n v="3.6446279088106097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4"/>
    <x v="2"/>
    <x v="0"/>
    <x v="0"/>
    <n v="108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4"/>
    <x v="3"/>
    <x v="1"/>
    <x v="0"/>
    <n v="0.245229931678108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4"/>
    <x v="4"/>
    <x v="0"/>
    <x v="0"/>
    <n v="140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4"/>
    <x v="5"/>
    <x v="1"/>
    <x v="0"/>
    <n v="0.65846113222333702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4"/>
    <x v="6"/>
    <x v="0"/>
    <x v="0"/>
    <n v="381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4"/>
    <x v="7"/>
    <x v="1"/>
    <x v="0"/>
    <n v="0.1745921793091569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4"/>
    <x v="8"/>
    <x v="0"/>
    <x v="0"/>
    <n v="70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4"/>
    <x v="9"/>
    <x v="1"/>
    <x v="0"/>
    <n v="9.7637339496751796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4"/>
    <x v="10"/>
    <x v="2"/>
    <x v="1"/>
    <n v="146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4"/>
    <x v="11"/>
    <x v="0"/>
    <x v="0"/>
    <n v="332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4"/>
    <x v="12"/>
    <x v="1"/>
    <x v="0"/>
    <n v="0.79895511550999099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4"/>
    <x v="13"/>
    <x v="3"/>
    <x v="2"/>
    <n v="208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4"/>
    <x v="14"/>
    <x v="2"/>
    <x v="2"/>
    <n v="146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4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4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4"/>
    <x v="17"/>
    <x v="0"/>
    <x v="0"/>
    <n v="98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4"/>
    <x v="18"/>
    <x v="1"/>
    <x v="0"/>
    <n v="0.81746613194190698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4"/>
    <x v="19"/>
    <x v="0"/>
    <x v="0"/>
    <n v="56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4"/>
    <x v="20"/>
    <x v="1"/>
    <x v="0"/>
    <n v="0.89600129938766304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4"/>
    <x v="21"/>
    <x v="0"/>
    <x v="0"/>
    <n v="34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4"/>
    <x v="22"/>
    <x v="1"/>
    <x v="0"/>
    <n v="0.92722724423202596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5"/>
    <x v="0"/>
    <x v="0"/>
    <x v="0"/>
    <n v="33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5"/>
    <x v="1"/>
    <x v="1"/>
    <x v="0"/>
    <n v="3.10588148081504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5"/>
    <x v="2"/>
    <x v="0"/>
    <x v="0"/>
    <n v="101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5"/>
    <x v="3"/>
    <x v="1"/>
    <x v="0"/>
    <n v="0.23077095315059301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5"/>
    <x v="4"/>
    <x v="0"/>
    <x v="0"/>
    <n v="116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5"/>
    <x v="5"/>
    <x v="1"/>
    <x v="0"/>
    <n v="0.517215348442703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5"/>
    <x v="6"/>
    <x v="0"/>
    <x v="0"/>
    <n v="333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5"/>
    <x v="7"/>
    <x v="1"/>
    <x v="0"/>
    <n v="0.1539330197774909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5"/>
    <x v="8"/>
    <x v="0"/>
    <x v="0"/>
    <n v="63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5"/>
    <x v="9"/>
    <x v="1"/>
    <x v="0"/>
    <n v="8.6372494314967199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5"/>
    <x v="10"/>
    <x v="2"/>
    <x v="1"/>
    <n v="123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5"/>
    <x v="11"/>
    <x v="0"/>
    <x v="0"/>
    <n v="298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5"/>
    <x v="12"/>
    <x v="1"/>
    <x v="0"/>
    <n v="0.73979870218917798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5"/>
    <x v="13"/>
    <x v="3"/>
    <x v="2"/>
    <n v="181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5"/>
    <x v="14"/>
    <x v="2"/>
    <x v="2"/>
    <n v="123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5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5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5"/>
    <x v="17"/>
    <x v="0"/>
    <x v="0"/>
    <n v="88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5"/>
    <x v="18"/>
    <x v="1"/>
    <x v="0"/>
    <n v="0.68101151474133004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5"/>
    <x v="19"/>
    <x v="0"/>
    <x v="0"/>
    <n v="54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5"/>
    <x v="20"/>
    <x v="1"/>
    <x v="0"/>
    <n v="0.74061105631083801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5"/>
    <x v="21"/>
    <x v="0"/>
    <x v="0"/>
    <n v="35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5"/>
    <x v="22"/>
    <x v="1"/>
    <x v="0"/>
    <n v="0.77153842336211698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6"/>
    <x v="0"/>
    <x v="0"/>
    <x v="0"/>
    <n v="38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6"/>
    <x v="1"/>
    <x v="1"/>
    <x v="0"/>
    <n v="3.8309903990688898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6"/>
    <x v="2"/>
    <x v="0"/>
    <x v="0"/>
    <n v="102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6"/>
    <x v="3"/>
    <x v="1"/>
    <x v="0"/>
    <n v="0.25199689966710298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6"/>
    <x v="4"/>
    <x v="0"/>
    <x v="0"/>
    <n v="125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6"/>
    <x v="5"/>
    <x v="1"/>
    <x v="0"/>
    <n v="0.57034814605345896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6"/>
    <x v="6"/>
    <x v="0"/>
    <x v="0"/>
    <n v="353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6"/>
    <x v="7"/>
    <x v="1"/>
    <x v="0"/>
    <n v="0.15794573436347401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6"/>
    <x v="8"/>
    <x v="0"/>
    <x v="0"/>
    <n v="68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6"/>
    <x v="9"/>
    <x v="1"/>
    <x v="0"/>
    <n v="9.602364319336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6"/>
    <x v="10"/>
    <x v="2"/>
    <x v="1"/>
    <n v="140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6"/>
    <x v="11"/>
    <x v="0"/>
    <x v="0"/>
    <n v="318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6"/>
    <x v="12"/>
    <x v="1"/>
    <x v="0"/>
    <n v="0.76619242988063996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6"/>
    <x v="13"/>
    <x v="3"/>
    <x v="2"/>
    <n v="191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6"/>
    <x v="14"/>
    <x v="2"/>
    <x v="2"/>
    <n v="140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6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6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6"/>
    <x v="17"/>
    <x v="0"/>
    <x v="0"/>
    <n v="94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6"/>
    <x v="18"/>
    <x v="1"/>
    <x v="0"/>
    <n v="0.73885214121423304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6"/>
    <x v="19"/>
    <x v="0"/>
    <x v="0"/>
    <n v="53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6"/>
    <x v="20"/>
    <x v="1"/>
    <x v="0"/>
    <n v="0.78122037467546601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6"/>
    <x v="21"/>
    <x v="0"/>
    <x v="0"/>
    <n v="33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6"/>
    <x v="22"/>
    <x v="1"/>
    <x v="0"/>
    <n v="0.89951220908042195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7"/>
    <x v="0"/>
    <x v="0"/>
    <x v="0"/>
    <n v="42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7"/>
    <x v="1"/>
    <x v="1"/>
    <x v="0"/>
    <n v="4.23905962612056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7"/>
    <x v="2"/>
    <x v="0"/>
    <x v="0"/>
    <n v="104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7"/>
    <x v="3"/>
    <x v="1"/>
    <x v="0"/>
    <n v="0.245853772157101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7"/>
    <x v="4"/>
    <x v="0"/>
    <x v="0"/>
    <n v="130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7"/>
    <x v="5"/>
    <x v="1"/>
    <x v="0"/>
    <n v="0.64834188804173898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7"/>
    <x v="6"/>
    <x v="0"/>
    <x v="0"/>
    <n v="372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7"/>
    <x v="7"/>
    <x v="1"/>
    <x v="0"/>
    <n v="0.170962037766936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7"/>
    <x v="8"/>
    <x v="0"/>
    <x v="0"/>
    <n v="72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7"/>
    <x v="9"/>
    <x v="1"/>
    <x v="0"/>
    <n v="9.8781048970964902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7"/>
    <x v="10"/>
    <x v="2"/>
    <x v="1"/>
    <n v="136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7"/>
    <x v="11"/>
    <x v="0"/>
    <x v="0"/>
    <n v="327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7"/>
    <x v="12"/>
    <x v="1"/>
    <x v="0"/>
    <n v="0.79512129590583103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7"/>
    <x v="13"/>
    <x v="3"/>
    <x v="2"/>
    <n v="191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7"/>
    <x v="14"/>
    <x v="2"/>
    <x v="2"/>
    <n v="136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7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7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7"/>
    <x v="17"/>
    <x v="0"/>
    <x v="0"/>
    <n v="99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7"/>
    <x v="18"/>
    <x v="1"/>
    <x v="0"/>
    <n v="0.87558796078330503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7"/>
    <x v="19"/>
    <x v="0"/>
    <x v="0"/>
    <n v="53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7"/>
    <x v="20"/>
    <x v="1"/>
    <x v="0"/>
    <n v="0.81925656722940299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7"/>
    <x v="21"/>
    <x v="0"/>
    <x v="0"/>
    <n v="39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7"/>
    <x v="22"/>
    <x v="1"/>
    <x v="0"/>
    <n v="0.89702580167172297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8"/>
    <x v="0"/>
    <x v="0"/>
    <x v="0"/>
    <n v="33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8"/>
    <x v="1"/>
    <x v="1"/>
    <x v="0"/>
    <n v="3.36326834653402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8"/>
    <x v="2"/>
    <x v="0"/>
    <x v="0"/>
    <n v="101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8"/>
    <x v="3"/>
    <x v="1"/>
    <x v="0"/>
    <n v="0.234236882354284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8"/>
    <x v="4"/>
    <x v="0"/>
    <x v="0"/>
    <n v="135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8"/>
    <x v="5"/>
    <x v="1"/>
    <x v="0"/>
    <n v="0.65997051406998997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8"/>
    <x v="6"/>
    <x v="0"/>
    <x v="0"/>
    <n v="372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8"/>
    <x v="7"/>
    <x v="1"/>
    <x v="0"/>
    <n v="0.1744954630516359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8"/>
    <x v="8"/>
    <x v="0"/>
    <x v="0"/>
    <n v="67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8"/>
    <x v="9"/>
    <x v="1"/>
    <x v="0"/>
    <n v="9.3675128784135794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8"/>
    <x v="10"/>
    <x v="2"/>
    <x v="1"/>
    <n v="148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8"/>
    <x v="11"/>
    <x v="0"/>
    <x v="0"/>
    <n v="329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8"/>
    <x v="12"/>
    <x v="1"/>
    <x v="0"/>
    <n v="0.80638510475029901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8"/>
    <x v="13"/>
    <x v="3"/>
    <x v="2"/>
    <n v="186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8"/>
    <x v="14"/>
    <x v="2"/>
    <x v="2"/>
    <n v="148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8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8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8"/>
    <x v="17"/>
    <x v="0"/>
    <x v="0"/>
    <n v="105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8"/>
    <x v="18"/>
    <x v="1"/>
    <x v="0"/>
    <n v="0.85504992561347204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8"/>
    <x v="19"/>
    <x v="0"/>
    <x v="0"/>
    <n v="41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8"/>
    <x v="20"/>
    <x v="1"/>
    <x v="0"/>
    <n v="0.85719230705826099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8"/>
    <x v="21"/>
    <x v="0"/>
    <x v="0"/>
    <n v="37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8"/>
    <x v="22"/>
    <x v="1"/>
    <x v="0"/>
    <n v="0.91658316619310198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9"/>
    <x v="0"/>
    <x v="0"/>
    <x v="0"/>
    <n v="28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9"/>
    <x v="1"/>
    <x v="1"/>
    <x v="0"/>
    <n v="2.8335636718683398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9"/>
    <x v="2"/>
    <x v="0"/>
    <x v="0"/>
    <n v="120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9"/>
    <x v="3"/>
    <x v="1"/>
    <x v="0"/>
    <n v="0.28501162927715601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9"/>
    <x v="4"/>
    <x v="0"/>
    <x v="0"/>
    <n v="135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9"/>
    <x v="5"/>
    <x v="1"/>
    <x v="0"/>
    <n v="0.64432488968538504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9"/>
    <x v="6"/>
    <x v="0"/>
    <x v="0"/>
    <n v="365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9"/>
    <x v="7"/>
    <x v="1"/>
    <x v="0"/>
    <n v="0.171633185515042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9"/>
    <x v="8"/>
    <x v="0"/>
    <x v="0"/>
    <n v="58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9"/>
    <x v="9"/>
    <x v="1"/>
    <x v="0"/>
    <n v="7.5307466052223798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9"/>
    <x v="10"/>
    <x v="2"/>
    <x v="1"/>
    <n v="134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9"/>
    <x v="11"/>
    <x v="0"/>
    <x v="0"/>
    <n v="322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9"/>
    <x v="12"/>
    <x v="1"/>
    <x v="0"/>
    <n v="0.79206849002467905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9"/>
    <x v="13"/>
    <x v="3"/>
    <x v="2"/>
    <n v="192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9"/>
    <x v="14"/>
    <x v="2"/>
    <x v="2"/>
    <n v="134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9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9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9"/>
    <x v="17"/>
    <x v="0"/>
    <x v="0"/>
    <n v="93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9"/>
    <x v="18"/>
    <x v="1"/>
    <x v="0"/>
    <n v="0.76550090061679799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9"/>
    <x v="19"/>
    <x v="0"/>
    <x v="0"/>
    <n v="61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9"/>
    <x v="20"/>
    <x v="1"/>
    <x v="0"/>
    <n v="0.85434139310061796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9"/>
    <x v="21"/>
    <x v="0"/>
    <x v="0"/>
    <n v="37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9"/>
    <x v="22"/>
    <x v="1"/>
    <x v="0"/>
    <n v="0.88251459474826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10"/>
    <x v="0"/>
    <x v="0"/>
    <x v="0"/>
    <n v="41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0"/>
    <x v="1"/>
    <x v="1"/>
    <x v="0"/>
    <n v="4.3017010240736599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0"/>
    <x v="2"/>
    <x v="0"/>
    <x v="0"/>
    <n v="118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0"/>
    <x v="3"/>
    <x v="1"/>
    <x v="0"/>
    <n v="0.27666209107690698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0"/>
    <x v="4"/>
    <x v="0"/>
    <x v="0"/>
    <n v="143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0"/>
    <x v="5"/>
    <x v="1"/>
    <x v="0"/>
    <n v="0.66863306738199302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0"/>
    <x v="6"/>
    <x v="0"/>
    <x v="0"/>
    <n v="415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0"/>
    <x v="7"/>
    <x v="1"/>
    <x v="0"/>
    <n v="0.19586315465507301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0"/>
    <x v="8"/>
    <x v="0"/>
    <x v="0"/>
    <n v="76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0"/>
    <x v="9"/>
    <x v="1"/>
    <x v="0"/>
    <n v="0.105961263892736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0"/>
    <x v="10"/>
    <x v="2"/>
    <x v="1"/>
    <n v="155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0"/>
    <x v="11"/>
    <x v="0"/>
    <x v="0"/>
    <n v="370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0"/>
    <x v="12"/>
    <x v="1"/>
    <x v="0"/>
    <n v="0.89844569749382897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0"/>
    <x v="13"/>
    <x v="3"/>
    <x v="2"/>
    <n v="255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0"/>
    <x v="14"/>
    <x v="2"/>
    <x v="2"/>
    <n v="155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0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0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0"/>
    <x v="17"/>
    <x v="0"/>
    <x v="0"/>
    <n v="133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0"/>
    <x v="18"/>
    <x v="1"/>
    <x v="0"/>
    <n v="0.98690384340996296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0"/>
    <x v="19"/>
    <x v="0"/>
    <x v="0"/>
    <n v="54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0"/>
    <x v="20"/>
    <x v="1"/>
    <x v="0"/>
    <n v="0.98313807304046597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0"/>
    <x v="21"/>
    <x v="0"/>
    <x v="0"/>
    <n v="32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0"/>
    <x v="22"/>
    <x v="1"/>
    <x v="0"/>
    <n v="0.98361198881928302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11"/>
    <x v="0"/>
    <x v="0"/>
    <x v="0"/>
    <n v="33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1"/>
    <x v="1"/>
    <x v="1"/>
    <x v="0"/>
    <n v="3.55231381148823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1"/>
    <x v="2"/>
    <x v="0"/>
    <x v="0"/>
    <n v="115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1"/>
    <x v="3"/>
    <x v="1"/>
    <x v="0"/>
    <n v="0.27496885846621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1"/>
    <x v="4"/>
    <x v="0"/>
    <x v="0"/>
    <n v="145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1"/>
    <x v="5"/>
    <x v="1"/>
    <x v="0"/>
    <n v="0.66772673585284703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1"/>
    <x v="6"/>
    <x v="0"/>
    <x v="0"/>
    <n v="389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1"/>
    <x v="7"/>
    <x v="1"/>
    <x v="0"/>
    <n v="0.181186689002104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1"/>
    <x v="8"/>
    <x v="0"/>
    <x v="0"/>
    <n v="72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1"/>
    <x v="9"/>
    <x v="1"/>
    <x v="0"/>
    <n v="0.10080241998170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1"/>
    <x v="10"/>
    <x v="2"/>
    <x v="1"/>
    <n v="152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1"/>
    <x v="11"/>
    <x v="0"/>
    <x v="0"/>
    <n v="346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1"/>
    <x v="12"/>
    <x v="1"/>
    <x v="0"/>
    <n v="0.84763174738566405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1"/>
    <x v="13"/>
    <x v="3"/>
    <x v="2"/>
    <n v="201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1"/>
    <x v="14"/>
    <x v="2"/>
    <x v="2"/>
    <n v="152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1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1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1"/>
    <x v="17"/>
    <x v="0"/>
    <x v="0"/>
    <n v="89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1"/>
    <x v="18"/>
    <x v="1"/>
    <x v="0"/>
    <n v="0.75077130981181806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1"/>
    <x v="19"/>
    <x v="0"/>
    <x v="0"/>
    <n v="59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1"/>
    <x v="20"/>
    <x v="1"/>
    <x v="0"/>
    <n v="0.81599937008005397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1"/>
    <x v="21"/>
    <x v="0"/>
    <x v="0"/>
    <n v="48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1"/>
    <x v="22"/>
    <x v="1"/>
    <x v="0"/>
    <n v="0.87145477591520804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12"/>
    <x v="0"/>
    <x v="0"/>
    <x v="0"/>
    <n v="30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2"/>
    <x v="1"/>
    <x v="1"/>
    <x v="0"/>
    <n v="2.95074176567672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2"/>
    <x v="2"/>
    <x v="0"/>
    <x v="0"/>
    <n v="90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2"/>
    <x v="3"/>
    <x v="1"/>
    <x v="0"/>
    <n v="0.21491141235396499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2"/>
    <x v="4"/>
    <x v="0"/>
    <x v="0"/>
    <n v="130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2"/>
    <x v="5"/>
    <x v="1"/>
    <x v="0"/>
    <n v="0.60252520259327202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2"/>
    <x v="6"/>
    <x v="0"/>
    <x v="0"/>
    <n v="365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2"/>
    <x v="7"/>
    <x v="1"/>
    <x v="0"/>
    <n v="0.1655169244942439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2"/>
    <x v="8"/>
    <x v="0"/>
    <x v="0"/>
    <n v="70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2"/>
    <x v="9"/>
    <x v="1"/>
    <x v="0"/>
    <n v="9.6372163840602001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2"/>
    <x v="10"/>
    <x v="2"/>
    <x v="1"/>
    <n v="140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2"/>
    <x v="11"/>
    <x v="0"/>
    <x v="0"/>
    <n v="317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2"/>
    <x v="12"/>
    <x v="1"/>
    <x v="0"/>
    <n v="0.77693020576993899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2"/>
    <x v="13"/>
    <x v="3"/>
    <x v="2"/>
    <n v="181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2"/>
    <x v="14"/>
    <x v="2"/>
    <x v="2"/>
    <n v="140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2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2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2"/>
    <x v="17"/>
    <x v="0"/>
    <x v="0"/>
    <n v="101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2"/>
    <x v="18"/>
    <x v="1"/>
    <x v="0"/>
    <n v="0.86267190035330898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2"/>
    <x v="19"/>
    <x v="0"/>
    <x v="0"/>
    <n v="50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2"/>
    <x v="20"/>
    <x v="1"/>
    <x v="0"/>
    <n v="0.92215993565851195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2"/>
    <x v="21"/>
    <x v="0"/>
    <x v="0"/>
    <n v="28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2"/>
    <x v="22"/>
    <x v="1"/>
    <x v="0"/>
    <n v="0.92801019582311495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13"/>
    <x v="0"/>
    <x v="0"/>
    <x v="0"/>
    <n v="37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3"/>
    <x v="1"/>
    <x v="1"/>
    <x v="0"/>
    <n v="3.6206108576948497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3"/>
    <x v="2"/>
    <x v="0"/>
    <x v="0"/>
    <n v="108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3"/>
    <x v="3"/>
    <x v="1"/>
    <x v="0"/>
    <n v="0.25194145829438302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3"/>
    <x v="4"/>
    <x v="0"/>
    <x v="0"/>
    <n v="119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3"/>
    <x v="5"/>
    <x v="1"/>
    <x v="0"/>
    <n v="0.56227626351082505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3"/>
    <x v="6"/>
    <x v="0"/>
    <x v="0"/>
    <n v="353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3"/>
    <x v="7"/>
    <x v="1"/>
    <x v="0"/>
    <n v="0.1639269637321079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3"/>
    <x v="8"/>
    <x v="0"/>
    <x v="0"/>
    <n v="64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3"/>
    <x v="9"/>
    <x v="1"/>
    <x v="0"/>
    <n v="8.9734787248045803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3"/>
    <x v="10"/>
    <x v="2"/>
    <x v="1"/>
    <n v="131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3"/>
    <x v="11"/>
    <x v="0"/>
    <x v="0"/>
    <n v="317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3"/>
    <x v="12"/>
    <x v="1"/>
    <x v="0"/>
    <n v="0.784722663085343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3"/>
    <x v="13"/>
    <x v="3"/>
    <x v="2"/>
    <n v="187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3"/>
    <x v="14"/>
    <x v="2"/>
    <x v="2"/>
    <n v="131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3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3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3"/>
    <x v="17"/>
    <x v="0"/>
    <x v="0"/>
    <n v="96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3"/>
    <x v="18"/>
    <x v="1"/>
    <x v="0"/>
    <n v="0.77915105395295903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3"/>
    <x v="19"/>
    <x v="0"/>
    <x v="0"/>
    <n v="51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3"/>
    <x v="20"/>
    <x v="1"/>
    <x v="0"/>
    <n v="0.86787309610032204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3"/>
    <x v="21"/>
    <x v="0"/>
    <x v="0"/>
    <n v="40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3"/>
    <x v="22"/>
    <x v="1"/>
    <x v="0"/>
    <n v="0.84014877554720702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14"/>
    <x v="0"/>
    <x v="0"/>
    <x v="0"/>
    <n v="24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4"/>
    <x v="1"/>
    <x v="1"/>
    <x v="0"/>
    <n v="2.5059628381973599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4"/>
    <x v="2"/>
    <x v="0"/>
    <x v="0"/>
    <n v="100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4"/>
    <x v="3"/>
    <x v="1"/>
    <x v="0"/>
    <n v="0.23134390421608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4"/>
    <x v="4"/>
    <x v="0"/>
    <x v="0"/>
    <n v="124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4"/>
    <x v="5"/>
    <x v="1"/>
    <x v="0"/>
    <n v="0.56693105671297805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4"/>
    <x v="6"/>
    <x v="0"/>
    <x v="0"/>
    <n v="330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4"/>
    <x v="7"/>
    <x v="1"/>
    <x v="0"/>
    <n v="0.156339285259783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4"/>
    <x v="8"/>
    <x v="0"/>
    <x v="0"/>
    <n v="55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4"/>
    <x v="9"/>
    <x v="1"/>
    <x v="0"/>
    <n v="7.4778736536586704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4"/>
    <x v="10"/>
    <x v="2"/>
    <x v="1"/>
    <n v="126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4"/>
    <x v="11"/>
    <x v="0"/>
    <x v="0"/>
    <n v="290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4"/>
    <x v="12"/>
    <x v="1"/>
    <x v="0"/>
    <n v="0.70129240625179201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4"/>
    <x v="13"/>
    <x v="3"/>
    <x v="2"/>
    <n v="165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4"/>
    <x v="14"/>
    <x v="2"/>
    <x v="2"/>
    <n v="126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4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4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4"/>
    <x v="17"/>
    <x v="0"/>
    <x v="0"/>
    <n v="84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4"/>
    <x v="18"/>
    <x v="1"/>
    <x v="0"/>
    <n v="0.68750849306624195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4"/>
    <x v="19"/>
    <x v="0"/>
    <x v="0"/>
    <n v="50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4"/>
    <x v="20"/>
    <x v="1"/>
    <x v="0"/>
    <n v="0.80634608379679995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4"/>
    <x v="21"/>
    <x v="0"/>
    <x v="0"/>
    <n v="31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4"/>
    <x v="22"/>
    <x v="1"/>
    <x v="0"/>
    <n v="0.856554999150001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15"/>
    <x v="0"/>
    <x v="0"/>
    <x v="0"/>
    <n v="41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5"/>
    <x v="1"/>
    <x v="1"/>
    <x v="0"/>
    <n v="4.18742270562142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5"/>
    <x v="2"/>
    <x v="0"/>
    <x v="0"/>
    <n v="96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5"/>
    <x v="3"/>
    <x v="1"/>
    <x v="0"/>
    <n v="0.23700520774289599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5"/>
    <x v="4"/>
    <x v="0"/>
    <x v="0"/>
    <n v="113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5"/>
    <x v="5"/>
    <x v="1"/>
    <x v="0"/>
    <n v="0.54289788173472897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5"/>
    <x v="6"/>
    <x v="0"/>
    <x v="0"/>
    <n v="335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5"/>
    <x v="7"/>
    <x v="1"/>
    <x v="0"/>
    <n v="0.155305459764535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5"/>
    <x v="8"/>
    <x v="0"/>
    <x v="0"/>
    <n v="62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5"/>
    <x v="9"/>
    <x v="1"/>
    <x v="0"/>
    <n v="8.4563850577011296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5"/>
    <x v="10"/>
    <x v="2"/>
    <x v="1"/>
    <n v="138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5"/>
    <x v="11"/>
    <x v="0"/>
    <x v="0"/>
    <n v="310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5"/>
    <x v="12"/>
    <x v="1"/>
    <x v="0"/>
    <n v="0.74823895835411303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5"/>
    <x v="13"/>
    <x v="3"/>
    <x v="2"/>
    <n v="177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5"/>
    <x v="14"/>
    <x v="2"/>
    <x v="2"/>
    <n v="138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5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5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5"/>
    <x v="17"/>
    <x v="0"/>
    <x v="0"/>
    <n v="93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5"/>
    <x v="18"/>
    <x v="1"/>
    <x v="0"/>
    <n v="0.634589476164233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5"/>
    <x v="19"/>
    <x v="0"/>
    <x v="0"/>
    <n v="40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5"/>
    <x v="20"/>
    <x v="1"/>
    <x v="0"/>
    <n v="0.74546776871926002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5"/>
    <x v="21"/>
    <x v="0"/>
    <x v="0"/>
    <n v="41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5"/>
    <x v="22"/>
    <x v="1"/>
    <x v="0"/>
    <n v="0.75085394188093801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16"/>
    <x v="0"/>
    <x v="0"/>
    <x v="0"/>
    <n v="39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6"/>
    <x v="1"/>
    <x v="1"/>
    <x v="0"/>
    <n v="4.09263044510004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6"/>
    <x v="2"/>
    <x v="0"/>
    <x v="0"/>
    <n v="117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6"/>
    <x v="3"/>
    <x v="1"/>
    <x v="0"/>
    <n v="0.27570611278698198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6"/>
    <x v="4"/>
    <x v="0"/>
    <x v="0"/>
    <n v="140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6"/>
    <x v="5"/>
    <x v="1"/>
    <x v="0"/>
    <n v="0.67565522846140402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6"/>
    <x v="6"/>
    <x v="0"/>
    <x v="0"/>
    <n v="401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6"/>
    <x v="7"/>
    <x v="1"/>
    <x v="0"/>
    <n v="0.18418720555556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6"/>
    <x v="8"/>
    <x v="0"/>
    <x v="0"/>
    <n v="75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6"/>
    <x v="9"/>
    <x v="1"/>
    <x v="0"/>
    <n v="0.10415783013028999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6"/>
    <x v="10"/>
    <x v="2"/>
    <x v="1"/>
    <n v="145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6"/>
    <x v="11"/>
    <x v="0"/>
    <x v="0"/>
    <n v="351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6"/>
    <x v="12"/>
    <x v="1"/>
    <x v="0"/>
    <n v="0.86176817757662505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6"/>
    <x v="13"/>
    <x v="3"/>
    <x v="2"/>
    <n v="218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6"/>
    <x v="14"/>
    <x v="2"/>
    <x v="2"/>
    <n v="145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6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6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6"/>
    <x v="17"/>
    <x v="0"/>
    <x v="0"/>
    <n v="112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6"/>
    <x v="18"/>
    <x v="1"/>
    <x v="0"/>
    <n v="0.99383259650362799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6"/>
    <x v="19"/>
    <x v="0"/>
    <x v="0"/>
    <n v="56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6"/>
    <x v="20"/>
    <x v="1"/>
    <x v="0"/>
    <n v="0.99245161744166299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6"/>
    <x v="21"/>
    <x v="0"/>
    <x v="0"/>
    <n v="39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6"/>
    <x v="22"/>
    <x v="1"/>
    <x v="0"/>
    <n v="0.99245161744166299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17"/>
    <x v="0"/>
    <x v="0"/>
    <x v="0"/>
    <n v="26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7"/>
    <x v="1"/>
    <x v="1"/>
    <x v="0"/>
    <n v="2.5652071136109799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7"/>
    <x v="2"/>
    <x v="0"/>
    <x v="0"/>
    <n v="90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7"/>
    <x v="3"/>
    <x v="1"/>
    <x v="0"/>
    <n v="0.20767736113278101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7"/>
    <x v="4"/>
    <x v="0"/>
    <x v="0"/>
    <n v="126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7"/>
    <x v="5"/>
    <x v="1"/>
    <x v="0"/>
    <n v="0.61213580890595098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7"/>
    <x v="6"/>
    <x v="0"/>
    <x v="0"/>
    <n v="356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7"/>
    <x v="7"/>
    <x v="1"/>
    <x v="0"/>
    <n v="0.1659633913347829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7"/>
    <x v="8"/>
    <x v="0"/>
    <x v="0"/>
    <n v="68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7"/>
    <x v="9"/>
    <x v="1"/>
    <x v="0"/>
    <n v="9.0406323384256804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7"/>
    <x v="10"/>
    <x v="2"/>
    <x v="1"/>
    <n v="125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7"/>
    <x v="11"/>
    <x v="0"/>
    <x v="0"/>
    <n v="306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7"/>
    <x v="12"/>
    <x v="1"/>
    <x v="0"/>
    <n v="0.72137670824493205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7"/>
    <x v="13"/>
    <x v="3"/>
    <x v="2"/>
    <n v="196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7"/>
    <x v="14"/>
    <x v="2"/>
    <x v="2"/>
    <n v="125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7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7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7"/>
    <x v="17"/>
    <x v="0"/>
    <x v="0"/>
    <n v="102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7"/>
    <x v="18"/>
    <x v="1"/>
    <x v="0"/>
    <n v="0.87322022190649395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7"/>
    <x v="19"/>
    <x v="0"/>
    <x v="0"/>
    <n v="46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7"/>
    <x v="20"/>
    <x v="1"/>
    <x v="0"/>
    <n v="0.937181093881019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7"/>
    <x v="21"/>
    <x v="0"/>
    <x v="0"/>
    <n v="35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7"/>
    <x v="22"/>
    <x v="1"/>
    <x v="0"/>
    <n v="0.89960924614834004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18"/>
    <x v="0"/>
    <x v="0"/>
    <x v="0"/>
    <n v="38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8"/>
    <x v="1"/>
    <x v="1"/>
    <x v="0"/>
    <n v="3.9472888791699398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8"/>
    <x v="2"/>
    <x v="0"/>
    <x v="0"/>
    <n v="118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8"/>
    <x v="3"/>
    <x v="1"/>
    <x v="0"/>
    <n v="0.26676102918900901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8"/>
    <x v="4"/>
    <x v="0"/>
    <x v="0"/>
    <n v="133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8"/>
    <x v="5"/>
    <x v="1"/>
    <x v="0"/>
    <n v="0.589626278609924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8"/>
    <x v="6"/>
    <x v="0"/>
    <x v="0"/>
    <n v="389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8"/>
    <x v="7"/>
    <x v="1"/>
    <x v="0"/>
    <n v="0.182841433157056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8"/>
    <x v="8"/>
    <x v="0"/>
    <x v="0"/>
    <n v="69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8"/>
    <x v="9"/>
    <x v="1"/>
    <x v="0"/>
    <n v="9.6424634621743902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8"/>
    <x v="10"/>
    <x v="2"/>
    <x v="1"/>
    <n v="140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8"/>
    <x v="11"/>
    <x v="0"/>
    <x v="0"/>
    <n v="345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8"/>
    <x v="12"/>
    <x v="1"/>
    <x v="0"/>
    <n v="0.84828617254731398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8"/>
    <x v="13"/>
    <x v="3"/>
    <x v="2"/>
    <n v="206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8"/>
    <x v="14"/>
    <x v="2"/>
    <x v="2"/>
    <n v="140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8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8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8"/>
    <x v="17"/>
    <x v="0"/>
    <x v="0"/>
    <n v="97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8"/>
    <x v="18"/>
    <x v="1"/>
    <x v="0"/>
    <n v="0.90438981604937696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8"/>
    <x v="19"/>
    <x v="0"/>
    <x v="0"/>
    <n v="70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8"/>
    <x v="20"/>
    <x v="1"/>
    <x v="0"/>
    <n v="0.91226802298649101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8"/>
    <x v="21"/>
    <x v="0"/>
    <x v="0"/>
    <n v="39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8"/>
    <x v="22"/>
    <x v="1"/>
    <x v="0"/>
    <n v="0.913895490507594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19"/>
    <x v="0"/>
    <x v="0"/>
    <x v="0"/>
    <n v="35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19"/>
    <x v="1"/>
    <x v="1"/>
    <x v="0"/>
    <n v="3.5552247824865102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19"/>
    <x v="2"/>
    <x v="0"/>
    <x v="0"/>
    <n v="96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19"/>
    <x v="3"/>
    <x v="1"/>
    <x v="0"/>
    <n v="0.220856071251576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19"/>
    <x v="4"/>
    <x v="0"/>
    <x v="0"/>
    <n v="132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19"/>
    <x v="5"/>
    <x v="1"/>
    <x v="0"/>
    <n v="0.62420848062589396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19"/>
    <x v="6"/>
    <x v="0"/>
    <x v="0"/>
    <n v="388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19"/>
    <x v="7"/>
    <x v="1"/>
    <x v="0"/>
    <n v="0.181158017537523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19"/>
    <x v="8"/>
    <x v="0"/>
    <x v="0"/>
    <n v="83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19"/>
    <x v="9"/>
    <x v="1"/>
    <x v="0"/>
    <n v="0.108791637869777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19"/>
    <x v="10"/>
    <x v="2"/>
    <x v="1"/>
    <n v="140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19"/>
    <x v="11"/>
    <x v="0"/>
    <x v="0"/>
    <n v="331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19"/>
    <x v="12"/>
    <x v="1"/>
    <x v="0"/>
    <n v="0.80040911286371497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19"/>
    <x v="13"/>
    <x v="3"/>
    <x v="2"/>
    <n v="198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19"/>
    <x v="14"/>
    <x v="2"/>
    <x v="2"/>
    <n v="140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19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19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19"/>
    <x v="17"/>
    <x v="0"/>
    <x v="0"/>
    <n v="97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19"/>
    <x v="18"/>
    <x v="1"/>
    <x v="0"/>
    <n v="0.82661481805995896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19"/>
    <x v="19"/>
    <x v="0"/>
    <x v="0"/>
    <n v="62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19"/>
    <x v="20"/>
    <x v="1"/>
    <x v="0"/>
    <n v="0.83593383929965304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19"/>
    <x v="21"/>
    <x v="0"/>
    <x v="0"/>
    <n v="34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19"/>
    <x v="22"/>
    <x v="1"/>
    <x v="0"/>
    <n v="0.89578446286764302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0"/>
    <x v="0"/>
    <x v="0"/>
    <x v="0"/>
    <n v="43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0"/>
    <x v="1"/>
    <x v="1"/>
    <x v="0"/>
    <n v="4.4659738635868598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0"/>
    <x v="2"/>
    <x v="0"/>
    <x v="0"/>
    <n v="119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0"/>
    <x v="3"/>
    <x v="1"/>
    <x v="0"/>
    <n v="0.283824198675041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0"/>
    <x v="4"/>
    <x v="0"/>
    <x v="0"/>
    <n v="142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0"/>
    <x v="5"/>
    <x v="1"/>
    <x v="0"/>
    <n v="0.65467684903063195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0"/>
    <x v="6"/>
    <x v="0"/>
    <x v="0"/>
    <n v="403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0"/>
    <x v="7"/>
    <x v="1"/>
    <x v="0"/>
    <n v="0.18742276074689301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0"/>
    <x v="8"/>
    <x v="0"/>
    <x v="0"/>
    <n v="76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0"/>
    <x v="9"/>
    <x v="1"/>
    <x v="0"/>
    <n v="0.10618494100836499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0"/>
    <x v="10"/>
    <x v="2"/>
    <x v="1"/>
    <n v="157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0"/>
    <x v="11"/>
    <x v="0"/>
    <x v="0"/>
    <n v="360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0"/>
    <x v="12"/>
    <x v="1"/>
    <x v="0"/>
    <n v="0.88207633363799198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0"/>
    <x v="13"/>
    <x v="3"/>
    <x v="2"/>
    <n v="222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0"/>
    <x v="14"/>
    <x v="2"/>
    <x v="2"/>
    <n v="157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0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0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0"/>
    <x v="17"/>
    <x v="0"/>
    <x v="0"/>
    <n v="110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0"/>
    <x v="18"/>
    <x v="1"/>
    <x v="0"/>
    <n v="0.97148290656343195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0"/>
    <x v="19"/>
    <x v="0"/>
    <x v="0"/>
    <n v="51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0"/>
    <x v="20"/>
    <x v="1"/>
    <x v="0"/>
    <n v="0.97759293220517096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0"/>
    <x v="21"/>
    <x v="0"/>
    <x v="0"/>
    <n v="44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0"/>
    <x v="22"/>
    <x v="1"/>
    <x v="0"/>
    <n v="0.96346898910953505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1"/>
    <x v="0"/>
    <x v="0"/>
    <x v="0"/>
    <n v="39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1"/>
    <x v="1"/>
    <x v="1"/>
    <x v="0"/>
    <n v="3.9989315384590898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1"/>
    <x v="2"/>
    <x v="0"/>
    <x v="0"/>
    <n v="105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1"/>
    <x v="3"/>
    <x v="1"/>
    <x v="0"/>
    <n v="0.24792793572589999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1"/>
    <x v="4"/>
    <x v="0"/>
    <x v="0"/>
    <n v="136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1"/>
    <x v="5"/>
    <x v="1"/>
    <x v="0"/>
    <n v="0.64554233462511901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1"/>
    <x v="6"/>
    <x v="0"/>
    <x v="0"/>
    <n v="402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1"/>
    <x v="7"/>
    <x v="1"/>
    <x v="0"/>
    <n v="0.18740662422347301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1"/>
    <x v="8"/>
    <x v="0"/>
    <x v="0"/>
    <n v="78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1"/>
    <x v="9"/>
    <x v="1"/>
    <x v="0"/>
    <n v="0.10701158519601001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1"/>
    <x v="10"/>
    <x v="2"/>
    <x v="1"/>
    <n v="158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1"/>
    <x v="11"/>
    <x v="0"/>
    <x v="0"/>
    <n v="357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1"/>
    <x v="12"/>
    <x v="1"/>
    <x v="0"/>
    <n v="0.874705911167594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1"/>
    <x v="13"/>
    <x v="3"/>
    <x v="2"/>
    <n v="208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1"/>
    <x v="14"/>
    <x v="2"/>
    <x v="2"/>
    <n v="158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1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1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1"/>
    <x v="17"/>
    <x v="0"/>
    <x v="0"/>
    <n v="102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1"/>
    <x v="18"/>
    <x v="1"/>
    <x v="0"/>
    <n v="0.916463621510891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1"/>
    <x v="19"/>
    <x v="0"/>
    <x v="0"/>
    <n v="59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1"/>
    <x v="20"/>
    <x v="1"/>
    <x v="0"/>
    <n v="0.92905906561244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1"/>
    <x v="21"/>
    <x v="0"/>
    <x v="0"/>
    <n v="41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1"/>
    <x v="22"/>
    <x v="1"/>
    <x v="0"/>
    <n v="0.91741321983720503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2"/>
    <x v="0"/>
    <x v="0"/>
    <x v="0"/>
    <n v="31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2"/>
    <x v="1"/>
    <x v="1"/>
    <x v="0"/>
    <n v="3.3227469149237902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2"/>
    <x v="2"/>
    <x v="0"/>
    <x v="0"/>
    <n v="95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2"/>
    <x v="3"/>
    <x v="1"/>
    <x v="0"/>
    <n v="0.23102303195412999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2"/>
    <x v="4"/>
    <x v="0"/>
    <x v="0"/>
    <n v="125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2"/>
    <x v="5"/>
    <x v="1"/>
    <x v="0"/>
    <n v="0.56346421215110698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2"/>
    <x v="6"/>
    <x v="0"/>
    <x v="0"/>
    <n v="342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2"/>
    <x v="7"/>
    <x v="1"/>
    <x v="0"/>
    <n v="0.15878629061452401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2"/>
    <x v="8"/>
    <x v="0"/>
    <x v="0"/>
    <n v="63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2"/>
    <x v="9"/>
    <x v="1"/>
    <x v="0"/>
    <n v="8.1293560247452407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2"/>
    <x v="10"/>
    <x v="2"/>
    <x v="1"/>
    <n v="132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2"/>
    <x v="11"/>
    <x v="0"/>
    <x v="0"/>
    <n v="305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2"/>
    <x v="12"/>
    <x v="1"/>
    <x v="0"/>
    <n v="0.74051023214309397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2"/>
    <x v="13"/>
    <x v="3"/>
    <x v="2"/>
    <n v="181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2"/>
    <x v="14"/>
    <x v="2"/>
    <x v="2"/>
    <n v="132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2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2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2"/>
    <x v="17"/>
    <x v="0"/>
    <x v="0"/>
    <n v="88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2"/>
    <x v="18"/>
    <x v="1"/>
    <x v="0"/>
    <n v="0.720732463961128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2"/>
    <x v="19"/>
    <x v="0"/>
    <x v="0"/>
    <n v="51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2"/>
    <x v="20"/>
    <x v="1"/>
    <x v="0"/>
    <n v="0.76175647530327495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2"/>
    <x v="21"/>
    <x v="0"/>
    <x v="0"/>
    <n v="36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2"/>
    <x v="22"/>
    <x v="1"/>
    <x v="0"/>
    <n v="0.86406011243746295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3"/>
    <x v="0"/>
    <x v="0"/>
    <x v="0"/>
    <n v="29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3"/>
    <x v="1"/>
    <x v="1"/>
    <x v="0"/>
    <n v="3.0451088583282802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3"/>
    <x v="2"/>
    <x v="0"/>
    <x v="0"/>
    <n v="91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3"/>
    <x v="3"/>
    <x v="1"/>
    <x v="0"/>
    <n v="0.21763471517820801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3"/>
    <x v="4"/>
    <x v="0"/>
    <x v="0"/>
    <n v="114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3"/>
    <x v="5"/>
    <x v="1"/>
    <x v="0"/>
    <n v="0.53156390183434898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3"/>
    <x v="6"/>
    <x v="0"/>
    <x v="0"/>
    <n v="308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3"/>
    <x v="7"/>
    <x v="1"/>
    <x v="0"/>
    <n v="0.1448482977812529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3"/>
    <x v="8"/>
    <x v="0"/>
    <x v="0"/>
    <n v="55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3"/>
    <x v="9"/>
    <x v="1"/>
    <x v="0"/>
    <n v="7.7329206101059894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3"/>
    <x v="10"/>
    <x v="2"/>
    <x v="1"/>
    <n v="122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3"/>
    <x v="11"/>
    <x v="0"/>
    <x v="0"/>
    <n v="276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3"/>
    <x v="12"/>
    <x v="1"/>
    <x v="0"/>
    <n v="0.68630817725209003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3"/>
    <x v="13"/>
    <x v="3"/>
    <x v="2"/>
    <n v="158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3"/>
    <x v="14"/>
    <x v="2"/>
    <x v="2"/>
    <n v="122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3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3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3"/>
    <x v="17"/>
    <x v="0"/>
    <x v="0"/>
    <n v="86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3"/>
    <x v="18"/>
    <x v="1"/>
    <x v="0"/>
    <n v="0.68623908393770205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3"/>
    <x v="19"/>
    <x v="0"/>
    <x v="0"/>
    <n v="43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3"/>
    <x v="20"/>
    <x v="1"/>
    <x v="0"/>
    <n v="0.765483147292917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3"/>
    <x v="21"/>
    <x v="0"/>
    <x v="0"/>
    <n v="28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3"/>
    <x v="22"/>
    <x v="1"/>
    <x v="0"/>
    <n v="0.75560671418055303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4"/>
    <x v="0"/>
    <x v="0"/>
    <x v="0"/>
    <n v="24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4"/>
    <x v="1"/>
    <x v="1"/>
    <x v="0"/>
    <n v="2.37181141552436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4"/>
    <x v="2"/>
    <x v="0"/>
    <x v="0"/>
    <n v="96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4"/>
    <x v="3"/>
    <x v="1"/>
    <x v="0"/>
    <n v="0.22562670141869701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4"/>
    <x v="4"/>
    <x v="0"/>
    <x v="0"/>
    <n v="126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4"/>
    <x v="5"/>
    <x v="1"/>
    <x v="0"/>
    <n v="0.59696568518832804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4"/>
    <x v="6"/>
    <x v="0"/>
    <x v="0"/>
    <n v="342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4"/>
    <x v="7"/>
    <x v="1"/>
    <x v="0"/>
    <n v="0.160142422616219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4"/>
    <x v="8"/>
    <x v="0"/>
    <x v="0"/>
    <n v="61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4"/>
    <x v="9"/>
    <x v="1"/>
    <x v="0"/>
    <n v="8.1143797382031299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4"/>
    <x v="10"/>
    <x v="2"/>
    <x v="1"/>
    <n v="125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4"/>
    <x v="11"/>
    <x v="0"/>
    <x v="0"/>
    <n v="300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4"/>
    <x v="12"/>
    <x v="1"/>
    <x v="0"/>
    <n v="0.73543134418887102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4"/>
    <x v="13"/>
    <x v="3"/>
    <x v="2"/>
    <n v="201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4"/>
    <x v="14"/>
    <x v="2"/>
    <x v="2"/>
    <n v="125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4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4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4"/>
    <x v="17"/>
    <x v="0"/>
    <x v="0"/>
    <n v="97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4"/>
    <x v="18"/>
    <x v="1"/>
    <x v="0"/>
    <n v="0.911001933301818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4"/>
    <x v="19"/>
    <x v="0"/>
    <x v="0"/>
    <n v="45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4"/>
    <x v="20"/>
    <x v="1"/>
    <x v="0"/>
    <n v="0.95890374566069803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4"/>
    <x v="21"/>
    <x v="0"/>
    <x v="0"/>
    <n v="36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4"/>
    <x v="22"/>
    <x v="1"/>
    <x v="0"/>
    <n v="0.92569165943714105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5"/>
    <x v="0"/>
    <x v="0"/>
    <x v="0"/>
    <n v="37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5"/>
    <x v="1"/>
    <x v="1"/>
    <x v="0"/>
    <n v="3.73594078740863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5"/>
    <x v="2"/>
    <x v="0"/>
    <x v="0"/>
    <n v="111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5"/>
    <x v="3"/>
    <x v="1"/>
    <x v="0"/>
    <n v="0.23177057137797399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5"/>
    <x v="4"/>
    <x v="0"/>
    <x v="0"/>
    <n v="130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5"/>
    <x v="5"/>
    <x v="1"/>
    <x v="0"/>
    <n v="0.61200575653800104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5"/>
    <x v="6"/>
    <x v="0"/>
    <x v="0"/>
    <n v="359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5"/>
    <x v="7"/>
    <x v="1"/>
    <x v="0"/>
    <n v="0.160911278179313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5"/>
    <x v="8"/>
    <x v="0"/>
    <x v="0"/>
    <n v="61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5"/>
    <x v="9"/>
    <x v="1"/>
    <x v="0"/>
    <n v="8.6095066958714106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5"/>
    <x v="10"/>
    <x v="2"/>
    <x v="1"/>
    <n v="135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5"/>
    <x v="11"/>
    <x v="0"/>
    <x v="0"/>
    <n v="323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5"/>
    <x v="12"/>
    <x v="1"/>
    <x v="0"/>
    <n v="0.76041097186628603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5"/>
    <x v="13"/>
    <x v="3"/>
    <x v="2"/>
    <n v="187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5"/>
    <x v="14"/>
    <x v="2"/>
    <x v="2"/>
    <n v="135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5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5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5"/>
    <x v="17"/>
    <x v="0"/>
    <x v="0"/>
    <n v="116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5"/>
    <x v="18"/>
    <x v="1"/>
    <x v="0"/>
    <n v="0.78667152568139198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5"/>
    <x v="19"/>
    <x v="0"/>
    <x v="0"/>
    <n v="41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5"/>
    <x v="20"/>
    <x v="1"/>
    <x v="0"/>
    <n v="0.85274105820123502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5"/>
    <x v="21"/>
    <x v="0"/>
    <x v="0"/>
    <n v="30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5"/>
    <x v="22"/>
    <x v="1"/>
    <x v="0"/>
    <n v="0.90400263344126597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6"/>
    <x v="0"/>
    <x v="0"/>
    <x v="0"/>
    <n v="30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6"/>
    <x v="1"/>
    <x v="1"/>
    <x v="0"/>
    <n v="3.2178136375918903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6"/>
    <x v="2"/>
    <x v="0"/>
    <x v="0"/>
    <n v="97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6"/>
    <x v="3"/>
    <x v="1"/>
    <x v="0"/>
    <n v="0.226531024246099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6"/>
    <x v="4"/>
    <x v="0"/>
    <x v="0"/>
    <n v="112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6"/>
    <x v="5"/>
    <x v="1"/>
    <x v="0"/>
    <n v="0.53893987213746497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6"/>
    <x v="6"/>
    <x v="0"/>
    <x v="0"/>
    <n v="322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6"/>
    <x v="7"/>
    <x v="1"/>
    <x v="0"/>
    <n v="0.149324872924091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6"/>
    <x v="8"/>
    <x v="0"/>
    <x v="0"/>
    <n v="57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6"/>
    <x v="9"/>
    <x v="1"/>
    <x v="0"/>
    <n v="7.6614897455845904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6"/>
    <x v="10"/>
    <x v="2"/>
    <x v="1"/>
    <n v="125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6"/>
    <x v="11"/>
    <x v="0"/>
    <x v="0"/>
    <n v="289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6"/>
    <x v="12"/>
    <x v="1"/>
    <x v="0"/>
    <n v="0.69031802634918904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6"/>
    <x v="13"/>
    <x v="3"/>
    <x v="2"/>
    <n v="173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6"/>
    <x v="14"/>
    <x v="2"/>
    <x v="2"/>
    <n v="125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6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6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6"/>
    <x v="17"/>
    <x v="0"/>
    <x v="0"/>
    <n v="95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6"/>
    <x v="18"/>
    <x v="1"/>
    <x v="0"/>
    <n v="0.64763492298344505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6"/>
    <x v="19"/>
    <x v="0"/>
    <x v="0"/>
    <n v="41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6"/>
    <x v="20"/>
    <x v="1"/>
    <x v="0"/>
    <n v="0.760896733409826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6"/>
    <x v="21"/>
    <x v="0"/>
    <x v="0"/>
    <n v="31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6"/>
    <x v="22"/>
    <x v="1"/>
    <x v="0"/>
    <n v="0.73843386001690303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7"/>
    <x v="0"/>
    <x v="0"/>
    <x v="0"/>
    <n v="44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7"/>
    <x v="1"/>
    <x v="1"/>
    <x v="0"/>
    <n v="4.5610452339436502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7"/>
    <x v="2"/>
    <x v="0"/>
    <x v="0"/>
    <n v="112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7"/>
    <x v="3"/>
    <x v="1"/>
    <x v="0"/>
    <n v="0.26392205007722902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7"/>
    <x v="4"/>
    <x v="0"/>
    <x v="0"/>
    <n v="137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7"/>
    <x v="5"/>
    <x v="1"/>
    <x v="0"/>
    <n v="0.65573694712684405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7"/>
    <x v="6"/>
    <x v="0"/>
    <x v="0"/>
    <n v="399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7"/>
    <x v="7"/>
    <x v="1"/>
    <x v="0"/>
    <n v="0.18234603870129501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7"/>
    <x v="8"/>
    <x v="0"/>
    <x v="0"/>
    <n v="79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7"/>
    <x v="9"/>
    <x v="1"/>
    <x v="0"/>
    <n v="0.104671191198974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7"/>
    <x v="10"/>
    <x v="2"/>
    <x v="1"/>
    <n v="148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7"/>
    <x v="11"/>
    <x v="0"/>
    <x v="0"/>
    <n v="353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7"/>
    <x v="12"/>
    <x v="1"/>
    <x v="0"/>
    <n v="0.83493891534010301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7"/>
    <x v="13"/>
    <x v="3"/>
    <x v="2"/>
    <n v="216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7"/>
    <x v="14"/>
    <x v="2"/>
    <x v="2"/>
    <n v="148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7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7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7"/>
    <x v="17"/>
    <x v="0"/>
    <x v="0"/>
    <n v="122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7"/>
    <x v="18"/>
    <x v="1"/>
    <x v="0"/>
    <n v="0.93778302737253005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7"/>
    <x v="19"/>
    <x v="0"/>
    <x v="0"/>
    <n v="47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7"/>
    <x v="20"/>
    <x v="1"/>
    <x v="0"/>
    <n v="0.950058265209486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7"/>
    <x v="21"/>
    <x v="0"/>
    <x v="0"/>
    <n v="38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7"/>
    <x v="22"/>
    <x v="1"/>
    <x v="0"/>
    <n v="0.96245182322941003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8"/>
    <x v="0"/>
    <x v="0"/>
    <x v="0"/>
    <n v="47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8"/>
    <x v="1"/>
    <x v="1"/>
    <x v="0"/>
    <n v="4.85839317244037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8"/>
    <x v="2"/>
    <x v="0"/>
    <x v="0"/>
    <n v="113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8"/>
    <x v="3"/>
    <x v="1"/>
    <x v="0"/>
    <n v="0.26763887253718999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8"/>
    <x v="4"/>
    <x v="0"/>
    <x v="0"/>
    <n v="121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8"/>
    <x v="5"/>
    <x v="1"/>
    <x v="0"/>
    <n v="0.55023809050779005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8"/>
    <x v="6"/>
    <x v="0"/>
    <x v="0"/>
    <n v="361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8"/>
    <x v="7"/>
    <x v="1"/>
    <x v="0"/>
    <n v="0.170613284397786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8"/>
    <x v="8"/>
    <x v="0"/>
    <x v="0"/>
    <n v="67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8"/>
    <x v="9"/>
    <x v="1"/>
    <x v="0"/>
    <n v="8.9197885994901596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8"/>
    <x v="10"/>
    <x v="2"/>
    <x v="1"/>
    <n v="144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8"/>
    <x v="11"/>
    <x v="0"/>
    <x v="0"/>
    <n v="339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8"/>
    <x v="12"/>
    <x v="1"/>
    <x v="0"/>
    <n v="0.81489086097216901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8"/>
    <x v="13"/>
    <x v="3"/>
    <x v="2"/>
    <n v="197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8"/>
    <x v="14"/>
    <x v="2"/>
    <x v="2"/>
    <n v="144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8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8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8"/>
    <x v="17"/>
    <x v="0"/>
    <x v="0"/>
    <n v="102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8"/>
    <x v="18"/>
    <x v="1"/>
    <x v="0"/>
    <n v="0.86317545980286203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8"/>
    <x v="19"/>
    <x v="0"/>
    <x v="0"/>
    <n v="54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8"/>
    <x v="20"/>
    <x v="1"/>
    <x v="0"/>
    <n v="0.91454956284788003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8"/>
    <x v="21"/>
    <x v="0"/>
    <x v="0"/>
    <n v="41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8"/>
    <x v="22"/>
    <x v="1"/>
    <x v="0"/>
    <n v="0.88959332070951402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29"/>
    <x v="0"/>
    <x v="0"/>
    <x v="0"/>
    <n v="34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29"/>
    <x v="1"/>
    <x v="1"/>
    <x v="0"/>
    <n v="3.4010270879095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29"/>
    <x v="2"/>
    <x v="0"/>
    <x v="0"/>
    <n v="120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29"/>
    <x v="3"/>
    <x v="1"/>
    <x v="0"/>
    <n v="0.27886186969291799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29"/>
    <x v="4"/>
    <x v="0"/>
    <x v="0"/>
    <n v="150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29"/>
    <x v="5"/>
    <x v="1"/>
    <x v="0"/>
    <n v="0.67770389283754395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29"/>
    <x v="6"/>
    <x v="0"/>
    <x v="0"/>
    <n v="415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29"/>
    <x v="7"/>
    <x v="1"/>
    <x v="0"/>
    <n v="0.19609322315655101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29"/>
    <x v="8"/>
    <x v="0"/>
    <x v="0"/>
    <n v="76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29"/>
    <x v="9"/>
    <x v="1"/>
    <x v="0"/>
    <n v="0.102703645067248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29"/>
    <x v="10"/>
    <x v="2"/>
    <x v="1"/>
    <n v="156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29"/>
    <x v="11"/>
    <x v="0"/>
    <x v="0"/>
    <n v="364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29"/>
    <x v="12"/>
    <x v="1"/>
    <x v="0"/>
    <n v="0.87584533456416602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29"/>
    <x v="13"/>
    <x v="3"/>
    <x v="2"/>
    <n v="223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29"/>
    <x v="14"/>
    <x v="2"/>
    <x v="2"/>
    <n v="156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29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29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29"/>
    <x v="17"/>
    <x v="0"/>
    <x v="0"/>
    <n v="112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29"/>
    <x v="18"/>
    <x v="1"/>
    <x v="0"/>
    <n v="0.933324532054981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29"/>
    <x v="19"/>
    <x v="0"/>
    <x v="0"/>
    <n v="58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29"/>
    <x v="20"/>
    <x v="1"/>
    <x v="0"/>
    <n v="0.96118893255582005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29"/>
    <x v="21"/>
    <x v="0"/>
    <x v="0"/>
    <n v="41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29"/>
    <x v="22"/>
    <x v="1"/>
    <x v="0"/>
    <n v="0.98878963151184796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  <r>
    <x v="0"/>
    <s v="2023-05-22 19:49:23"/>
    <n v="30"/>
    <x v="0"/>
    <x v="0"/>
    <x v="0"/>
    <n v="24"/>
    <n v="0"/>
    <s v="Unnamed ProjectRArte.NumberSeizedTotal Number SeizedResource"/>
    <n v="30"/>
    <n v="34.633333333333333"/>
    <n v="6.3326375903390151"/>
    <n v="0.95"/>
    <n v="2.3646457380976149"/>
    <n v="24"/>
    <n v="47"/>
  </r>
  <r>
    <x v="0"/>
    <s v="2023-05-22 19:49:23"/>
    <n v="30"/>
    <x v="1"/>
    <x v="1"/>
    <x v="0"/>
    <n v="2.6023961231830001E-2"/>
    <n v="0"/>
    <s v="Unnamed ProjectRArte.ScheduledUtilizationScheduled UtilizationResource"/>
    <n v="30"/>
    <n v="3.5359789427834361E-2"/>
    <n v="6.6521615975834569E-3"/>
    <n v="0.95"/>
    <n v="2.4839579632442289E-3"/>
    <n v="2.3718114155243601E-2"/>
    <n v="4.8583931724403701E-2"/>
  </r>
  <r>
    <x v="0"/>
    <s v="2023-05-22 19:49:23"/>
    <n v="30"/>
    <x v="2"/>
    <x v="0"/>
    <x v="0"/>
    <n v="116"/>
    <n v="0"/>
    <s v="Unnamed ProjectRAstro.NumberSeizedTotal Number SeizedResource"/>
    <n v="30"/>
    <n v="105.13333333333334"/>
    <n v="9.9020490158675578"/>
    <n v="0.95"/>
    <n v="3.6974858690044505"/>
    <n v="90"/>
    <n v="120"/>
  </r>
  <r>
    <x v="0"/>
    <s v="2023-05-22 19:49:23"/>
    <n v="30"/>
    <x v="3"/>
    <x v="1"/>
    <x v="0"/>
    <n v="0.27245872005987898"/>
    <n v="0"/>
    <s v="Unnamed ProjectRAstro.ScheduledUtilizationScheduled UtilizationResource"/>
    <n v="30"/>
    <n v="0.24658598119222253"/>
    <n v="2.3372241503878202E-2"/>
    <n v="0.95"/>
    <n v="8.7273384073404837E-3"/>
    <n v="0.20767736113278101"/>
    <n v="0.28501162927715601"/>
  </r>
  <r>
    <x v="0"/>
    <s v="2023-05-22 19:49:23"/>
    <n v="30"/>
    <x v="4"/>
    <x v="0"/>
    <x v="0"/>
    <n v="136"/>
    <n v="0"/>
    <s v="Unnamed ProjectRFisica.NumberSeizedTotal Number SeizedResource"/>
    <n v="30"/>
    <n v="130.19999999999999"/>
    <n v="9.6932255049418501"/>
    <n v="0.95"/>
    <n v="3.6195098885254193"/>
    <n v="112"/>
    <n v="150"/>
  </r>
  <r>
    <x v="0"/>
    <s v="2023-05-22 19:49:23"/>
    <n v="30"/>
    <x v="5"/>
    <x v="1"/>
    <x v="0"/>
    <n v="0.64060465816298495"/>
    <n v="0"/>
    <s v="Unnamed ProjectRFisica.ScheduledUtilizationScheduled UtilizationResource"/>
    <n v="30"/>
    <n v="0.61071636647106653"/>
    <n v="4.8363406640152928E-2"/>
    <n v="0.95"/>
    <n v="1.8059192833960545E-2"/>
    <n v="0.517215348442703"/>
    <n v="0.67770389283754395"/>
  </r>
  <r>
    <x v="0"/>
    <s v="2023-05-22 19:49:23"/>
    <n v="30"/>
    <x v="6"/>
    <x v="0"/>
    <x v="0"/>
    <n v="352"/>
    <n v="0"/>
    <s v="Unnamed ProjectRHall.NumberSeizedTotal Number SeizedResource"/>
    <n v="30"/>
    <n v="366.5"/>
    <n v="27.998460548813185"/>
    <n v="0.95"/>
    <n v="10.454796988706404"/>
    <n v="308"/>
    <n v="415"/>
  </r>
  <r>
    <x v="0"/>
    <s v="2023-05-22 19:49:23"/>
    <n v="30"/>
    <x v="7"/>
    <x v="1"/>
    <x v="0"/>
    <n v="0.165499308594004"/>
    <n v="0"/>
    <s v="Unnamed ProjectRHall.ScheduledUtilizationScheduled UtilizationResource"/>
    <n v="30"/>
    <n v="0.17017204824235124"/>
    <n v="1.331368412630852E-2"/>
    <n v="0.95"/>
    <n v="4.9714113556225039E-3"/>
    <n v="0.14484829778125299"/>
    <n v="0.19609322315655101"/>
  </r>
  <r>
    <x v="0"/>
    <s v="2023-05-22 19:49:23"/>
    <n v="30"/>
    <x v="8"/>
    <x v="0"/>
    <x v="0"/>
    <n v="53"/>
    <n v="0"/>
    <s v="Unnamed ProjectRHistoria.NumberSeizedTotal Number SeizedResource"/>
    <n v="30"/>
    <n v="67.599999999999994"/>
    <n v="8.2277914244430335"/>
    <n v="0.95"/>
    <n v="3.0723078098526977"/>
    <n v="53"/>
    <n v="83"/>
  </r>
  <r>
    <x v="0"/>
    <s v="2023-05-22 19:49:23"/>
    <n v="30"/>
    <x v="9"/>
    <x v="1"/>
    <x v="0"/>
    <n v="7.6199424822911893E-2"/>
    <n v="0"/>
    <s v="Unnamed ProjectRHistoria.ScheduledUtilizationScheduled UtilizationResource"/>
    <n v="30"/>
    <n v="9.2629789222133899E-2"/>
    <n v="1.1199993404883948E-2"/>
    <n v="0.95"/>
    <n v="4.1821462690339135E-3"/>
    <n v="7.4778736536586704E-2"/>
    <n v="0.111025455742452"/>
  </r>
  <r>
    <x v="0"/>
    <s v="2023-05-22 19:49:23"/>
    <n v="30"/>
    <x v="10"/>
    <x v="2"/>
    <x v="1"/>
    <n v="131"/>
    <n v="0"/>
    <s v="Unnamed ProjectSystem.NumberOutNumber OutSystem"/>
    <n v="30"/>
    <n v="138.66666666666666"/>
    <n v="10.59386072484773"/>
    <n v="0.95"/>
    <n v="3.9558126066187556"/>
    <n v="122"/>
    <n v="158"/>
  </r>
  <r>
    <x v="0"/>
    <s v="2023-05-22 19:49:23"/>
    <n v="30"/>
    <x v="11"/>
    <x v="0"/>
    <x v="0"/>
    <n v="314"/>
    <n v="0"/>
    <s v="Unnamed ProjectTornoEntrada.NumberSeizedTotal Number SeizedResource"/>
    <n v="30"/>
    <n v="324.63333333333333"/>
    <n v="23.733409208195905"/>
    <n v="0.95"/>
    <n v="8.8622006445315495"/>
    <n v="276"/>
    <n v="370"/>
  </r>
  <r>
    <x v="0"/>
    <s v="2023-05-22 19:49:23"/>
    <n v="30"/>
    <x v="12"/>
    <x v="1"/>
    <x v="0"/>
    <n v="0.76918480719097504"/>
    <n v="0"/>
    <s v="Unnamed ProjectTornoEntrada.ScheduledUtilizationScheduled UtilizationResource"/>
    <n v="30"/>
    <n v="0.78890367752589419"/>
    <n v="5.7743599319329868E-2"/>
    <n v="0.95"/>
    <n v="2.1561814344338615E-2"/>
    <n v="0.68630817725209003"/>
    <n v="0.89844569749382897"/>
  </r>
  <r>
    <x v="0"/>
    <s v="2023-05-22 19:49:23"/>
    <n v="30"/>
    <x v="13"/>
    <x v="3"/>
    <x v="2"/>
    <n v="186"/>
    <n v="0"/>
    <s v="Unnamed ProjectVisitantes.NumberInNumber InEntity"/>
    <n v="30"/>
    <n v="194.43333333333334"/>
    <n v="19.567184586538712"/>
    <n v="0.95"/>
    <n v="7.3065068036920602"/>
    <n v="158"/>
    <n v="255"/>
  </r>
  <r>
    <x v="0"/>
    <s v="2023-05-22 19:49:23"/>
    <n v="30"/>
    <x v="14"/>
    <x v="2"/>
    <x v="2"/>
    <n v="131"/>
    <n v="0"/>
    <s v="Unnamed ProjectVisitantes.NumberOutNumber OutEntity"/>
    <n v="30"/>
    <n v="138.66666666666666"/>
    <n v="10.59386072484773"/>
    <n v="0.95"/>
    <n v="3.9558126066187556"/>
    <n v="122"/>
    <n v="158"/>
  </r>
  <r>
    <x v="0"/>
    <s v="2023-05-22 19:49:23"/>
    <n v="30"/>
    <x v="15"/>
    <x v="0"/>
    <x v="0"/>
    <n v="0"/>
    <n v="0"/>
    <s v="Unnamed Projectcajero.NumberSeizedTotal Number SeizedResource"/>
    <n v="30"/>
    <n v="0"/>
    <n v="0"/>
    <n v="0.95"/>
    <n v="0"/>
    <n v="0"/>
    <n v="0"/>
  </r>
  <r>
    <x v="0"/>
    <s v="2023-05-22 19:49:23"/>
    <n v="30"/>
    <x v="16"/>
    <x v="1"/>
    <x v="0"/>
    <n v="0"/>
    <n v="0"/>
    <s v="Unnamed Projectcajero.ScheduledUtilizationScheduled UtilizationResource"/>
    <n v="30"/>
    <n v="0"/>
    <n v="0"/>
    <n v="0.95"/>
    <n v="0"/>
    <n v="0"/>
    <n v="0"/>
  </r>
  <r>
    <x v="0"/>
    <s v="2023-05-22 19:49:23"/>
    <n v="30"/>
    <x v="17"/>
    <x v="0"/>
    <x v="0"/>
    <n v="100"/>
    <n v="0"/>
    <s v="Unnamed Projectticketsa.NumberSeizedTotal Number SeizedResource"/>
    <n v="30"/>
    <n v="99.666666666666671"/>
    <n v="11.021400290698853"/>
    <n v="0.95"/>
    <n v="4.1154585042144589"/>
    <n v="84"/>
    <n v="133"/>
  </r>
  <r>
    <x v="0"/>
    <s v="2023-05-22 19:49:23"/>
    <n v="30"/>
    <x v="18"/>
    <x v="1"/>
    <x v="0"/>
    <n v="0.76111195757864003"/>
    <n v="0"/>
    <s v="Unnamed Projectticketsa.ScheduledUtilizationScheduled UtilizationResource"/>
    <n v="30"/>
    <n v="0.81099663999028448"/>
    <n v="0.1069626954834289"/>
    <n v="0.95"/>
    <n v="3.9940526897700258E-2"/>
    <n v="0.634589476164233"/>
    <n v="0.99383259650362799"/>
  </r>
  <r>
    <x v="0"/>
    <s v="2023-05-22 19:49:23"/>
    <n v="30"/>
    <x v="19"/>
    <x v="0"/>
    <x v="0"/>
    <n v="52"/>
    <n v="0"/>
    <s v="Unnamed Projectticketsb.NumberSeizedTotal Number SeizedResource"/>
    <n v="30"/>
    <n v="51.966666666666669"/>
    <n v="7.0636677653220881"/>
    <n v="0.95"/>
    <n v="2.6376168915916418"/>
    <n v="40"/>
    <n v="70"/>
  </r>
  <r>
    <x v="0"/>
    <s v="2023-05-22 19:49:23"/>
    <n v="30"/>
    <x v="20"/>
    <x v="1"/>
    <x v="0"/>
    <n v="0.85933511688892605"/>
    <n v="0"/>
    <s v="Unnamed Projectticketsb.ScheduledUtilizationScheduled UtilizationResource"/>
    <n v="30"/>
    <n v="0.86404173385398308"/>
    <n v="7.7429091138254261E-2"/>
    <n v="0.95"/>
    <n v="2.8912497794626357E-2"/>
    <n v="0.74061105631083801"/>
    <n v="0.99245161744166299"/>
  </r>
  <r>
    <x v="0"/>
    <s v="2023-05-22 19:49:23"/>
    <n v="30"/>
    <x v="21"/>
    <x v="0"/>
    <x v="0"/>
    <n v="32"/>
    <n v="0"/>
    <s v="Unnamed Projectticketsc.NumberSeizedTotal Number SeizedResource"/>
    <n v="30"/>
    <n v="36.233333333333334"/>
    <n v="4.775536318198915"/>
    <n v="0.95"/>
    <n v="1.7832145675266573"/>
    <n v="28"/>
    <n v="48"/>
  </r>
  <r>
    <x v="0"/>
    <s v="2023-05-22 19:49:23"/>
    <n v="30"/>
    <x v="22"/>
    <x v="1"/>
    <x v="0"/>
    <n v="0.82173395936291804"/>
    <n v="0"/>
    <s v="Unnamed Projectticketsc.ScheduledUtilizationScheduled UtilizationResource"/>
    <n v="30"/>
    <n v="0.88098039877461687"/>
    <n v="6.9783648638161486E-2"/>
    <n v="0.95"/>
    <n v="2.6057642646860522E-2"/>
    <n v="0.73843386001690303"/>
    <n v="0.992451617441662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4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3">
        <item m="1" x="34"/>
        <item m="1" x="25"/>
        <item m="1" x="41"/>
        <item m="1" x="50"/>
        <item m="1" x="63"/>
        <item m="1" x="62"/>
        <item m="1" x="26"/>
        <item m="1" x="127"/>
        <item m="1" x="105"/>
        <item m="1" x="68"/>
        <item m="1" x="55"/>
        <item m="1" x="59"/>
        <item m="1" x="141"/>
        <item m="1" x="44"/>
        <item m="1" x="126"/>
        <item m="1" x="48"/>
        <item m="1" x="99"/>
        <item m="1" x="113"/>
        <item m="1" x="23"/>
        <item m="1" x="49"/>
        <item m="1" x="136"/>
        <item m="1" x="38"/>
        <item m="1" x="128"/>
        <item m="1" x="27"/>
        <item m="1" x="54"/>
        <item m="1" x="80"/>
        <item m="1" x="24"/>
        <item m="1" x="30"/>
        <item m="1" x="100"/>
        <item m="1" x="81"/>
        <item m="1" x="115"/>
        <item m="1" x="71"/>
        <item m="1" x="35"/>
        <item m="1" x="65"/>
        <item m="1" x="101"/>
        <item m="1" x="86"/>
        <item m="1" x="36"/>
        <item m="1" x="46"/>
        <item m="1" x="108"/>
        <item m="1" x="22"/>
        <item m="1" x="135"/>
        <item m="1" x="93"/>
        <item m="1" x="33"/>
        <item m="1" x="118"/>
        <item m="1" x="64"/>
        <item m="1" x="137"/>
        <item m="1" x="98"/>
        <item m="1" x="40"/>
        <item m="1" x="85"/>
        <item m="1" x="104"/>
        <item m="1" x="117"/>
        <item m="1" x="125"/>
        <item m="1" x="134"/>
        <item m="1" x="21"/>
        <item m="1" x="39"/>
        <item m="1" x="53"/>
        <item m="1" x="42"/>
        <item m="1" x="20"/>
        <item m="1" x="114"/>
        <item m="1" x="131"/>
        <item m="1" x="57"/>
        <item m="1" x="92"/>
        <item m="1" x="45"/>
        <item m="1" x="66"/>
        <item m="1" x="51"/>
        <item m="1" x="75"/>
        <item m="1" x="60"/>
        <item m="1" x="82"/>
        <item m="1" x="67"/>
        <item m="1" x="94"/>
        <item m="1" x="76"/>
        <item m="1" x="102"/>
        <item m="1" x="83"/>
        <item m="1" x="111"/>
        <item m="1" x="95"/>
        <item m="1" x="116"/>
        <item m="1" x="103"/>
        <item m="1" x="120"/>
        <item m="1" x="132"/>
        <item m="1" x="122"/>
        <item m="1" x="106"/>
        <item m="1" x="79"/>
        <item m="1" x="58"/>
        <item m="1" x="73"/>
        <item m="1" x="37"/>
        <item m="1" x="43"/>
        <item m="1" x="52"/>
        <item m="1" x="56"/>
        <item m="1" x="88"/>
        <item m="1" x="133"/>
        <item m="1" x="123"/>
        <item m="1" x="107"/>
        <item m="1" x="74"/>
        <item m="1" x="142"/>
        <item m="1" x="90"/>
        <item m="1" x="78"/>
        <item m="1" x="110"/>
        <item m="1" x="91"/>
        <item m="1" x="70"/>
        <item m="1" x="77"/>
        <item m="1" x="31"/>
        <item m="1" x="96"/>
        <item m="1" x="112"/>
        <item m="1" x="121"/>
        <item m="1" x="129"/>
        <item m="1" x="140"/>
        <item m="1" x="28"/>
        <item m="1" x="47"/>
        <item m="1" x="139"/>
        <item m="1" x="29"/>
        <item m="1" x="97"/>
        <item m="1" x="72"/>
        <item m="1" x="87"/>
        <item m="1" x="32"/>
        <item m="1" x="138"/>
        <item m="1" x="119"/>
        <item m="1" x="69"/>
        <item m="1" x="130"/>
        <item m="1" x="89"/>
        <item m="1" x="109"/>
        <item m="1" x="124"/>
        <item m="1" x="61"/>
        <item m="1" x="84"/>
        <item m="1"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m="1" x="5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9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/>
      <x v="2"/>
    </i>
    <i r="2">
      <x v="1"/>
      <x v="2"/>
    </i>
    <i r="2">
      <x v="2"/>
      <x v="2"/>
    </i>
    <i r="1">
      <x v="133"/>
      <x/>
      <x v="2"/>
    </i>
    <i r="2">
      <x v="1"/>
      <x v="2"/>
    </i>
    <i r="2">
      <x v="2"/>
      <x v="2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  <i r="1">
      <x v="137"/>
      <x/>
      <x v="2"/>
    </i>
    <i r="2">
      <x v="1"/>
      <x v="2"/>
    </i>
    <i r="2">
      <x v="2"/>
      <x v="2"/>
    </i>
    <i r="1">
      <x v="138"/>
      <x v="4"/>
      <x/>
    </i>
    <i r="1">
      <x v="139"/>
      <x/>
      <x v="2"/>
    </i>
    <i r="2">
      <x v="1"/>
      <x v="2"/>
    </i>
    <i r="2">
      <x v="2"/>
      <x v="2"/>
    </i>
    <i r="1">
      <x v="140"/>
      <x/>
      <x v="2"/>
    </i>
    <i r="2">
      <x v="1"/>
      <x v="2"/>
    </i>
    <i r="2">
      <x v="2"/>
      <x v="2"/>
    </i>
    <i r="1">
      <x v="141"/>
      <x/>
      <x v="2"/>
    </i>
    <i r="2">
      <x v="1"/>
      <x v="2"/>
    </i>
    <i r="2">
      <x v="2"/>
      <x v="2"/>
    </i>
    <i r="1">
      <x v="142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1">
        <item m="1" x="22"/>
        <item m="1" x="45"/>
        <item m="1" x="17"/>
        <item m="1" x="97"/>
        <item m="1" x="80"/>
        <item m="1" x="50"/>
        <item m="1" x="106"/>
        <item m="1" x="38"/>
        <item m="1" x="42"/>
        <item m="1" x="109"/>
        <item m="1" x="75"/>
        <item m="1" x="87"/>
        <item m="1" x="92"/>
        <item m="1" x="16"/>
        <item m="1" x="44"/>
        <item m="1" x="34"/>
        <item m="1" x="110"/>
        <item m="1" x="104"/>
        <item m="1" x="32"/>
        <item m="1" x="26"/>
        <item m="1" x="98"/>
        <item m="1" x="18"/>
        <item m="1" x="51"/>
        <item m="1" x="37"/>
        <item m="1" x="62"/>
        <item m="1" x="89"/>
        <item m="1" x="53"/>
        <item m="1" x="23"/>
        <item m="1" x="47"/>
        <item m="1" x="76"/>
        <item m="1" x="66"/>
        <item m="1" x="24"/>
        <item m="1" x="83"/>
        <item m="1" x="15"/>
        <item m="1" x="103"/>
        <item m="1" x="71"/>
        <item m="1" x="91"/>
        <item m="1" x="46"/>
        <item m="1" x="105"/>
        <item m="1" x="74"/>
        <item m="1" x="28"/>
        <item m="1" x="65"/>
        <item m="1" x="79"/>
        <item m="1" x="90"/>
        <item m="1" x="96"/>
        <item m="1" x="14"/>
        <item m="1" x="27"/>
        <item m="1" x="36"/>
        <item m="1" x="29"/>
        <item m="1" x="13"/>
        <item m="1" x="88"/>
        <item m="1" x="100"/>
        <item m="1" x="40"/>
        <item m="1" x="70"/>
        <item m="1" x="31"/>
        <item m="1" x="48"/>
        <item m="1" x="35"/>
        <item m="1" x="56"/>
        <item m="1" x="43"/>
        <item m="1" x="63"/>
        <item m="1" x="49"/>
        <item m="1" x="72"/>
        <item m="1" x="57"/>
        <item m="1" x="77"/>
        <item m="1" x="64"/>
        <item m="1" x="85"/>
        <item m="1" x="78"/>
        <item m="1" x="93"/>
        <item m="1" x="101"/>
        <item m="1" x="81"/>
        <item m="1" x="60"/>
        <item m="1" x="41"/>
        <item m="1" x="54"/>
        <item m="1" x="25"/>
        <item m="1" x="30"/>
        <item m="1" x="39"/>
        <item m="1" x="67"/>
        <item m="1" x="102"/>
        <item m="1" x="95"/>
        <item m="1" x="82"/>
        <item m="1" x="55"/>
        <item m="1" x="68"/>
        <item m="1" x="59"/>
        <item m="1" x="84"/>
        <item m="1" x="69"/>
        <item m="1" x="52"/>
        <item m="1" x="58"/>
        <item m="1" x="21"/>
        <item m="1" x="61"/>
        <item m="1" x="73"/>
        <item m="1" x="86"/>
        <item m="1" x="94"/>
        <item m="1" x="99"/>
        <item m="1" x="108"/>
        <item m="1" x="19"/>
        <item m="1" x="33"/>
        <item m="1" x="107"/>
        <item m="1" x="20"/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13">
        <item m="1" x="12"/>
        <item x="2"/>
        <item x="3"/>
        <item x="4"/>
        <item x="5"/>
        <item x="6"/>
        <item x="7"/>
        <item x="0"/>
        <item m="1" x="9"/>
        <item m="1" x="10"/>
        <item m="1" x="11"/>
        <item m="1" x="8"/>
        <item x="1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7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12"/>
      <x v="2"/>
    </i>
    <i r="1">
      <x v="108"/>
      <x v="12"/>
      <x v="2"/>
    </i>
    <i r="1">
      <x v="109"/>
      <x v="12"/>
      <x v="2"/>
    </i>
    <i r="1">
      <x v="11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48"/>
        <item m="1" x="24"/>
        <item m="1" x="49"/>
        <item m="1" x="25"/>
        <item m="1" x="50"/>
        <item m="1" x="26"/>
        <item m="1" x="51"/>
        <item m="1" x="27"/>
        <item m="1" x="83"/>
        <item m="1" x="38"/>
        <item x="10"/>
        <item m="1" x="82"/>
        <item m="1" x="69"/>
        <item m="1" x="86"/>
        <item m="1" x="71"/>
        <item m="1" x="87"/>
        <item m="1" x="94"/>
        <item m="1" x="63"/>
        <item m="1" x="31"/>
        <item m="1" x="80"/>
        <item m="1" x="70"/>
        <item m="1" x="68"/>
        <item m="1" x="34"/>
        <item m="1" x="78"/>
        <item m="1" x="43"/>
        <item m="1" x="79"/>
        <item m="1" x="44"/>
        <item m="1" x="77"/>
        <item m="1" x="97"/>
        <item m="1" x="37"/>
        <item m="1" x="100"/>
        <item m="1" x="65"/>
        <item m="1" x="32"/>
        <item m="1" x="95"/>
        <item m="1" x="90"/>
        <item m="1" x="66"/>
        <item m="1" x="33"/>
        <item m="1" x="96"/>
        <item m="1" x="91"/>
        <item m="1" x="28"/>
        <item m="1" x="62"/>
        <item m="1" x="46"/>
        <item m="1" x="36"/>
        <item m="1" x="88"/>
        <item m="1" x="58"/>
        <item m="1" x="89"/>
        <item m="1" x="59"/>
        <item m="1" x="45"/>
        <item m="1" x="40"/>
        <item m="1" x="67"/>
        <item m="1" x="42"/>
        <item m="1" x="99"/>
        <item m="1" x="92"/>
        <item m="1" x="41"/>
        <item m="1" x="39"/>
        <item m="1" x="84"/>
        <item m="1" x="93"/>
        <item m="1" x="29"/>
        <item m="1" x="47"/>
        <item m="1" x="60"/>
        <item m="1" x="81"/>
        <item m="1" x="98"/>
        <item m="1" x="30"/>
        <item m="1" x="57"/>
        <item m="1" x="61"/>
        <item m="1" x="85"/>
        <item m="1" x="64"/>
        <item m="1" x="35"/>
        <item m="1" x="52"/>
        <item m="1" x="72"/>
        <item m="1" x="53"/>
        <item m="1" x="73"/>
        <item m="1" x="54"/>
        <item m="1" x="74"/>
        <item m="1" x="55"/>
        <item m="1" x="75"/>
        <item m="1" x="56"/>
        <item m="1" x="76"/>
        <item m="1" x="23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7">
        <item x="3"/>
        <item x="2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3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/>
      <x/>
    </i>
    <i r="1">
      <x v="92"/>
      <x v="1"/>
      <x/>
    </i>
    <i r="1">
      <x v="93"/>
      <x v="3"/>
      <x v="1"/>
    </i>
    <i r="1">
      <x v="94"/>
      <x v="2"/>
      <x v="1"/>
    </i>
    <i r="1">
      <x v="95"/>
      <x v="3"/>
      <x v="1"/>
    </i>
    <i r="1">
      <x v="96"/>
      <x v="2"/>
      <x v="1"/>
    </i>
    <i r="1">
      <x v="97"/>
      <x v="3"/>
      <x v="1"/>
    </i>
    <i r="1">
      <x v="98"/>
      <x v="2"/>
      <x v="1"/>
    </i>
    <i r="1">
      <x v="99"/>
      <x v="3"/>
      <x v="1"/>
    </i>
    <i r="1">
      <x v="10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511" tableType="queryTable" totalsRowShown="0">
  <autoFilter ref="A1:Y511" xr:uid="{C3D003CA-1AFF-426C-A03D-D3AF5760DF1A}"/>
  <sortState xmlns:xlrd2="http://schemas.microsoft.com/office/spreadsheetml/2017/richdata2" ref="A2:Y511">
    <sortCondition ref="D1:D5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4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3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2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1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0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9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8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7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6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5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4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3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2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1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171" tableType="queryTable" totalsRowShown="0">
  <autoFilter ref="A1:U117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70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69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68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67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66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6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91" tableType="queryTable" totalsRowShown="0">
  <autoFilter ref="A1:P69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baseColWidth="10" defaultColWidth="8.88671875" defaultRowHeight="14.4" x14ac:dyDescent="0.3"/>
  <cols>
    <col min="1" max="1" width="15.109375" bestFit="1" customWidth="1"/>
    <col min="2" max="2" width="80.88671875" bestFit="1" customWidth="1"/>
    <col min="3" max="3" width="18" bestFit="1" customWidth="1"/>
    <col min="4" max="4" width="11.6640625" bestFit="1" customWidth="1"/>
    <col min="5" max="5" width="22.33203125" bestFit="1" customWidth="1"/>
    <col min="6" max="6" width="24.109375" bestFit="1" customWidth="1"/>
    <col min="7" max="7" width="19.33203125" bestFit="1" customWidth="1"/>
    <col min="8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3</v>
      </c>
      <c r="E2">
        <v>30</v>
      </c>
      <c r="F2">
        <v>4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41"/>
  <sheetViews>
    <sheetView tabSelected="1" workbookViewId="0"/>
  </sheetViews>
  <sheetFormatPr baseColWidth="10" defaultColWidth="8.88671875" defaultRowHeight="14.4" x14ac:dyDescent="0.3"/>
  <cols>
    <col min="1" max="1" width="33.21875" customWidth="1"/>
    <col min="2" max="2" width="28.6640625" bestFit="1" customWidth="1"/>
    <col min="3" max="4" width="12.5546875" bestFit="1" customWidth="1"/>
    <col min="5" max="5" width="28.5546875" bestFit="1" customWidth="1"/>
    <col min="6" max="6" width="19.44140625" bestFit="1" customWidth="1"/>
    <col min="7" max="7" width="12" bestFit="1" customWidth="1"/>
    <col min="8" max="8" width="26.5546875" bestFit="1" customWidth="1"/>
    <col min="9" max="9" width="26.6640625" bestFit="1" customWidth="1"/>
    <col min="10" max="10" width="27" bestFit="1" customWidth="1"/>
    <col min="11" max="11" width="15.88671875" bestFit="1" customWidth="1"/>
    <col min="12" max="12" width="16.33203125" bestFit="1" customWidth="1"/>
    <col min="13" max="13" width="29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5546875" bestFit="1" customWidth="1"/>
    <col min="20" max="20" width="12" bestFit="1" customWidth="1"/>
    <col min="21" max="21" width="26.5546875" bestFit="1" customWidth="1"/>
    <col min="22" max="22" width="21.6640625" bestFit="1" customWidth="1"/>
    <col min="23" max="23" width="22" bestFit="1" customWidth="1"/>
    <col min="24" max="24" width="15.88671875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0" bestFit="1" customWidth="1"/>
    <col min="31" max="31" width="24.5546875" bestFit="1" customWidth="1"/>
    <col min="32" max="32" width="10.109375" bestFit="1" customWidth="1"/>
    <col min="33" max="33" width="29" bestFit="1" customWidth="1"/>
    <col min="34" max="34" width="19.44140625" bestFit="1" customWidth="1"/>
    <col min="35" max="35" width="19.77734375" bestFit="1" customWidth="1"/>
    <col min="36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5546875" bestFit="1" customWidth="1"/>
    <col min="42" max="42" width="12" bestFit="1" customWidth="1"/>
    <col min="43" max="43" width="29" bestFit="1" customWidth="1"/>
    <col min="44" max="44" width="19.44140625" bestFit="1" customWidth="1"/>
    <col min="45" max="45" width="19.77734375" bestFit="1" customWidth="1"/>
    <col min="46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10" bestFit="1" customWidth="1"/>
    <col min="51" max="51" width="26.109375" bestFit="1" customWidth="1"/>
    <col min="52" max="52" width="26.88671875" bestFit="1" customWidth="1"/>
    <col min="53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0.11216723717871509</v>
      </c>
      <c r="F3" s="5">
        <v>1</v>
      </c>
      <c r="G3" s="5">
        <v>1.3304366764744478E-2</v>
      </c>
      <c r="H3" s="5">
        <v>3.5629748563461121E-2</v>
      </c>
      <c r="I3" s="5">
        <v>5.8932789290205102E-2</v>
      </c>
      <c r="J3" s="5">
        <v>0.18859814086073301</v>
      </c>
      <c r="K3" s="5">
        <v>0</v>
      </c>
      <c r="L3" s="5">
        <v>0.72232466187807898</v>
      </c>
      <c r="M3" s="5">
        <v>185</v>
      </c>
      <c r="O3" t="s">
        <v>66</v>
      </c>
      <c r="P3" t="s">
        <v>69</v>
      </c>
      <c r="Q3" t="s">
        <v>92</v>
      </c>
      <c r="R3" t="s">
        <v>71</v>
      </c>
      <c r="S3" s="5">
        <v>5.2568666538317945</v>
      </c>
      <c r="T3" s="5">
        <v>0.70373665421471332</v>
      </c>
      <c r="U3" s="5">
        <v>1.8846413728615501</v>
      </c>
      <c r="V3" s="5">
        <v>2.2853775994771</v>
      </c>
      <c r="W3" s="5">
        <v>9.3827575078214593</v>
      </c>
      <c r="X3" s="5">
        <v>0</v>
      </c>
      <c r="Y3" s="5">
        <v>35</v>
      </c>
      <c r="AA3" t="s">
        <v>136</v>
      </c>
      <c r="AB3" t="s">
        <v>136</v>
      </c>
      <c r="AC3" t="s">
        <v>136</v>
      </c>
      <c r="AD3" t="s">
        <v>136</v>
      </c>
      <c r="AE3" s="5"/>
      <c r="AF3" s="5"/>
      <c r="AG3" s="5"/>
      <c r="AH3" s="5"/>
      <c r="AI3" s="5"/>
      <c r="AK3" t="s">
        <v>66</v>
      </c>
      <c r="AL3" t="s">
        <v>120</v>
      </c>
      <c r="AM3" t="s">
        <v>121</v>
      </c>
      <c r="AN3" t="s">
        <v>122</v>
      </c>
      <c r="AO3" s="5">
        <v>138.66666666666666</v>
      </c>
      <c r="AP3" s="5">
        <v>3.9558126066187556</v>
      </c>
      <c r="AQ3" s="5">
        <v>10.59386072484773</v>
      </c>
      <c r="AR3" s="5">
        <v>122</v>
      </c>
      <c r="AS3" s="5">
        <v>158</v>
      </c>
      <c r="AU3" t="s">
        <v>136</v>
      </c>
      <c r="AV3" t="s">
        <v>136</v>
      </c>
      <c r="AW3" t="s">
        <v>136</v>
      </c>
      <c r="AX3" t="s">
        <v>136</v>
      </c>
      <c r="AY3" s="4"/>
      <c r="AZ3" s="4"/>
    </row>
    <row r="4" spans="1:52" x14ac:dyDescent="0.3">
      <c r="B4" t="s">
        <v>72</v>
      </c>
      <c r="C4" t="s">
        <v>70</v>
      </c>
      <c r="D4" t="s">
        <v>71</v>
      </c>
      <c r="E4" s="5">
        <v>0.11098443472081972</v>
      </c>
      <c r="F4" s="5">
        <v>1</v>
      </c>
      <c r="G4" s="5">
        <v>1.5133440034036001E-2</v>
      </c>
      <c r="H4" s="5">
        <v>4.0528096740519687E-2</v>
      </c>
      <c r="I4" s="5">
        <v>4.8374078077691597E-2</v>
      </c>
      <c r="J4" s="5">
        <v>0.20406012099226001</v>
      </c>
      <c r="K4" s="5">
        <v>0</v>
      </c>
      <c r="L4" s="5">
        <v>0.72434773894371496</v>
      </c>
      <c r="M4" s="5">
        <v>139.63333333333333</v>
      </c>
      <c r="P4" t="s">
        <v>72</v>
      </c>
      <c r="Q4" t="s">
        <v>92</v>
      </c>
      <c r="R4" t="s">
        <v>71</v>
      </c>
      <c r="S4" s="5">
        <v>3.9316971268238849</v>
      </c>
      <c r="T4" s="5">
        <v>0.5936172943910426</v>
      </c>
      <c r="U4" s="5">
        <v>1.5897363110976395</v>
      </c>
      <c r="V4" s="5">
        <v>1.4754093813695901</v>
      </c>
      <c r="W4" s="5">
        <v>8.0603747791942499</v>
      </c>
      <c r="X4" s="5">
        <v>0</v>
      </c>
      <c r="Y4" s="5">
        <v>33</v>
      </c>
      <c r="AL4" t="s">
        <v>108</v>
      </c>
      <c r="AM4" t="s">
        <v>109</v>
      </c>
      <c r="AN4" t="s">
        <v>95</v>
      </c>
      <c r="AO4" s="5">
        <v>34.633333333333333</v>
      </c>
      <c r="AP4" s="5">
        <v>2.3646457380976149</v>
      </c>
      <c r="AQ4" s="5">
        <v>6.3326375903390151</v>
      </c>
      <c r="AR4" s="5">
        <v>24</v>
      </c>
      <c r="AS4" s="5">
        <v>47</v>
      </c>
    </row>
    <row r="5" spans="1:52" x14ac:dyDescent="0.3">
      <c r="B5" t="s">
        <v>73</v>
      </c>
      <c r="C5" t="s">
        <v>70</v>
      </c>
      <c r="D5" t="s">
        <v>71</v>
      </c>
      <c r="E5" s="5">
        <v>0.12894768842099902</v>
      </c>
      <c r="F5" s="5">
        <v>1</v>
      </c>
      <c r="G5" s="5">
        <v>3.7057949782129528E-2</v>
      </c>
      <c r="H5" s="5">
        <v>9.9243012190065885E-2</v>
      </c>
      <c r="I5" s="5">
        <v>2.8461161719687902E-2</v>
      </c>
      <c r="J5" s="5">
        <v>0.49319397120587899</v>
      </c>
      <c r="K5" s="5">
        <v>0</v>
      </c>
      <c r="L5" s="5">
        <v>0.95005336062891699</v>
      </c>
      <c r="M5" s="5">
        <v>187.86666666666667</v>
      </c>
      <c r="P5" t="s">
        <v>73</v>
      </c>
      <c r="Q5" t="s">
        <v>92</v>
      </c>
      <c r="R5" t="s">
        <v>71</v>
      </c>
      <c r="S5" s="5">
        <v>6.5967033926112597</v>
      </c>
      <c r="T5" s="5">
        <v>2.162177461749093</v>
      </c>
      <c r="U5" s="5">
        <v>5.7904175879942628</v>
      </c>
      <c r="V5" s="5">
        <v>1.3305593103954101</v>
      </c>
      <c r="W5" s="5">
        <v>29.356614544212601</v>
      </c>
      <c r="X5" s="5">
        <v>0</v>
      </c>
      <c r="Y5" s="5">
        <v>50</v>
      </c>
      <c r="AL5" t="s">
        <v>110</v>
      </c>
      <c r="AM5" t="s">
        <v>111</v>
      </c>
      <c r="AN5" t="s">
        <v>95</v>
      </c>
      <c r="AO5" s="5">
        <v>3.5359789427834361E-2</v>
      </c>
      <c r="AP5" s="5">
        <v>2.4839579632442289E-3</v>
      </c>
      <c r="AQ5" s="5">
        <v>6.6521615975834569E-3</v>
      </c>
      <c r="AR5" s="5">
        <v>2.3718114155243601E-2</v>
      </c>
      <c r="AS5" s="5">
        <v>4.8583931724403701E-2</v>
      </c>
    </row>
    <row r="6" spans="1:52" x14ac:dyDescent="0.3">
      <c r="B6" t="s">
        <v>74</v>
      </c>
      <c r="C6" t="s">
        <v>70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34.633333333333333</v>
      </c>
      <c r="P6" t="s">
        <v>74</v>
      </c>
      <c r="Q6" t="s">
        <v>92</v>
      </c>
      <c r="R6" t="s">
        <v>71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112</v>
      </c>
      <c r="AM6" t="s">
        <v>109</v>
      </c>
      <c r="AN6" t="s">
        <v>95</v>
      </c>
      <c r="AO6" s="5">
        <v>105.13333333333334</v>
      </c>
      <c r="AP6" s="5">
        <v>3.6974858690044505</v>
      </c>
      <c r="AQ6" s="5">
        <v>9.9020490158675578</v>
      </c>
      <c r="AR6" s="5">
        <v>90</v>
      </c>
      <c r="AS6" s="5">
        <v>120</v>
      </c>
    </row>
    <row r="7" spans="1:52" x14ac:dyDescent="0.3">
      <c r="B7" t="s">
        <v>75</v>
      </c>
      <c r="C7" t="s">
        <v>70</v>
      </c>
      <c r="D7" t="s">
        <v>71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105.13333333333334</v>
      </c>
      <c r="P7" t="s">
        <v>75</v>
      </c>
      <c r="Q7" t="s">
        <v>92</v>
      </c>
      <c r="R7" t="s">
        <v>71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113</v>
      </c>
      <c r="AM7" t="s">
        <v>111</v>
      </c>
      <c r="AN7" t="s">
        <v>95</v>
      </c>
      <c r="AO7" s="5">
        <v>0.24658598119222253</v>
      </c>
      <c r="AP7" s="5">
        <v>8.7273384073404837E-3</v>
      </c>
      <c r="AQ7" s="5">
        <v>2.3372241503878202E-2</v>
      </c>
      <c r="AR7" s="5">
        <v>0.20767736113278101</v>
      </c>
      <c r="AS7" s="5">
        <v>0.28501162927715601</v>
      </c>
    </row>
    <row r="8" spans="1:52" x14ac:dyDescent="0.3">
      <c r="B8" t="s">
        <v>76</v>
      </c>
      <c r="C8" t="s">
        <v>70</v>
      </c>
      <c r="D8" t="s">
        <v>71</v>
      </c>
      <c r="E8" s="5">
        <v>3.8069424264997626E-2</v>
      </c>
      <c r="F8" s="5">
        <v>1</v>
      </c>
      <c r="G8" s="5">
        <v>1.1574482326188984E-2</v>
      </c>
      <c r="H8" s="5">
        <v>3.0997032953658091E-2</v>
      </c>
      <c r="I8" s="5">
        <v>1.46782352435285E-3</v>
      </c>
      <c r="J8" s="5">
        <v>0.11120615347514901</v>
      </c>
      <c r="K8" s="5">
        <v>0</v>
      </c>
      <c r="L8" s="5">
        <v>0.37110522919896499</v>
      </c>
      <c r="M8" s="5">
        <v>130.19999999999999</v>
      </c>
      <c r="P8" t="s">
        <v>76</v>
      </c>
      <c r="Q8" t="s">
        <v>92</v>
      </c>
      <c r="R8" t="s">
        <v>71</v>
      </c>
      <c r="S8" s="5">
        <v>1.3267841267475322</v>
      </c>
      <c r="T8" s="5">
        <v>0.43252967563899991</v>
      </c>
      <c r="U8" s="5">
        <v>1.1583357450796299</v>
      </c>
      <c r="V8" s="5">
        <v>4.5869485136026601E-2</v>
      </c>
      <c r="W8" s="5">
        <v>4.1119263103435699</v>
      </c>
      <c r="X8" s="5">
        <v>0</v>
      </c>
      <c r="Y8" s="5">
        <v>20</v>
      </c>
      <c r="AL8" t="s">
        <v>114</v>
      </c>
      <c r="AM8" t="s">
        <v>109</v>
      </c>
      <c r="AN8" t="s">
        <v>95</v>
      </c>
      <c r="AO8" s="5">
        <v>130.19999999999999</v>
      </c>
      <c r="AP8" s="5">
        <v>3.6195098885254193</v>
      </c>
      <c r="AQ8" s="5">
        <v>9.6932255049418501</v>
      </c>
      <c r="AR8" s="5">
        <v>112</v>
      </c>
      <c r="AS8" s="5">
        <v>150</v>
      </c>
    </row>
    <row r="9" spans="1:52" x14ac:dyDescent="0.3">
      <c r="B9" t="s">
        <v>77</v>
      </c>
      <c r="C9" t="s">
        <v>70</v>
      </c>
      <c r="D9" t="s">
        <v>71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366.5</v>
      </c>
      <c r="P9" t="s">
        <v>77</v>
      </c>
      <c r="Q9" t="s">
        <v>92</v>
      </c>
      <c r="R9" t="s">
        <v>71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L9" t="s">
        <v>115</v>
      </c>
      <c r="AM9" t="s">
        <v>111</v>
      </c>
      <c r="AN9" t="s">
        <v>95</v>
      </c>
      <c r="AO9" s="5">
        <v>0.61071636647106653</v>
      </c>
      <c r="AP9" s="5">
        <v>1.8059192833960545E-2</v>
      </c>
      <c r="AQ9" s="5">
        <v>4.8363406640152928E-2</v>
      </c>
      <c r="AR9" s="5">
        <v>0.517215348442703</v>
      </c>
      <c r="AS9" s="5">
        <v>0.67770389283754395</v>
      </c>
    </row>
    <row r="10" spans="1:52" x14ac:dyDescent="0.3">
      <c r="B10" t="s">
        <v>78</v>
      </c>
      <c r="C10" t="s">
        <v>70</v>
      </c>
      <c r="D10" t="s">
        <v>71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67.599999999999994</v>
      </c>
      <c r="P10" t="s">
        <v>78</v>
      </c>
      <c r="Q10" t="s">
        <v>92</v>
      </c>
      <c r="R10" t="s">
        <v>71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L10" t="s">
        <v>116</v>
      </c>
      <c r="AM10" t="s">
        <v>109</v>
      </c>
      <c r="AN10" t="s">
        <v>95</v>
      </c>
      <c r="AO10" s="5">
        <v>366.5</v>
      </c>
      <c r="AP10" s="5">
        <v>10.454796988706404</v>
      </c>
      <c r="AQ10" s="5">
        <v>27.998460548813185</v>
      </c>
      <c r="AR10" s="5">
        <v>308</v>
      </c>
      <c r="AS10" s="5">
        <v>415</v>
      </c>
    </row>
    <row r="11" spans="1:52" x14ac:dyDescent="0.3">
      <c r="B11" t="s">
        <v>79</v>
      </c>
      <c r="C11" t="s">
        <v>80</v>
      </c>
      <c r="D11" t="s">
        <v>81</v>
      </c>
      <c r="E11" s="5">
        <v>1.3241781790389904</v>
      </c>
      <c r="F11" s="5">
        <v>1</v>
      </c>
      <c r="G11" s="5">
        <v>6.3193902126265786E-2</v>
      </c>
      <c r="H11" s="5">
        <v>0.16923637804914832</v>
      </c>
      <c r="I11" s="5">
        <v>1.0606335628769199</v>
      </c>
      <c r="J11" s="5">
        <v>1.75730099844484</v>
      </c>
      <c r="K11" s="5">
        <v>0.71238592914844601</v>
      </c>
      <c r="L11" s="5">
        <v>2.7561776708620398</v>
      </c>
      <c r="M11" s="5">
        <v>79.900000000000006</v>
      </c>
      <c r="P11" t="s">
        <v>93</v>
      </c>
      <c r="Q11" t="s">
        <v>94</v>
      </c>
      <c r="R11" t="s">
        <v>95</v>
      </c>
      <c r="S11" s="5">
        <v>3.5359789427834361E-2</v>
      </c>
      <c r="T11" s="5">
        <v>2.4839579632442289E-3</v>
      </c>
      <c r="U11" s="5">
        <v>6.6521615975834569E-3</v>
      </c>
      <c r="V11" s="5">
        <v>2.3718114155243601E-2</v>
      </c>
      <c r="W11" s="5">
        <v>4.8583931724403701E-2</v>
      </c>
      <c r="X11" s="5">
        <v>0</v>
      </c>
      <c r="Y11" s="5">
        <v>0.35</v>
      </c>
      <c r="AL11" t="s">
        <v>117</v>
      </c>
      <c r="AM11" t="s">
        <v>111</v>
      </c>
      <c r="AN11" t="s">
        <v>95</v>
      </c>
      <c r="AO11" s="5">
        <v>0.17017204824235124</v>
      </c>
      <c r="AP11" s="5">
        <v>4.9714113556225039E-3</v>
      </c>
      <c r="AQ11" s="5">
        <v>1.331368412630852E-2</v>
      </c>
      <c r="AR11" s="5">
        <v>0.14484829778125299</v>
      </c>
      <c r="AS11" s="5">
        <v>0.19609322315655101</v>
      </c>
    </row>
    <row r="12" spans="1:52" x14ac:dyDescent="0.3">
      <c r="B12" t="s">
        <v>82</v>
      </c>
      <c r="C12" t="s">
        <v>80</v>
      </c>
      <c r="D12" t="s">
        <v>81</v>
      </c>
      <c r="E12" s="5">
        <v>1.0474395158170873</v>
      </c>
      <c r="F12" s="5">
        <v>1</v>
      </c>
      <c r="G12" s="5">
        <v>5.6090534743261332E-2</v>
      </c>
      <c r="H12" s="5">
        <v>0.15021321082250425</v>
      </c>
      <c r="I12" s="5">
        <v>0.84719561318136005</v>
      </c>
      <c r="J12" s="5">
        <v>1.4913741666386799</v>
      </c>
      <c r="K12" s="5">
        <v>0.54240657991611196</v>
      </c>
      <c r="L12" s="5">
        <v>1.96967891435527</v>
      </c>
      <c r="M12" s="5">
        <v>31.366666666666667</v>
      </c>
      <c r="Q12" t="s">
        <v>96</v>
      </c>
      <c r="R12" t="s">
        <v>95</v>
      </c>
      <c r="S12" s="5">
        <v>0.7071957885566873</v>
      </c>
      <c r="T12" s="5">
        <v>4.9679159264885281E-2</v>
      </c>
      <c r="U12" s="5">
        <v>0.133043231951671</v>
      </c>
      <c r="V12" s="5">
        <v>0.47436228310487299</v>
      </c>
      <c r="W12" s="5">
        <v>0.97167863448807401</v>
      </c>
      <c r="X12" s="5">
        <v>0</v>
      </c>
      <c r="Y12" s="5">
        <v>7</v>
      </c>
      <c r="AL12" t="s">
        <v>118</v>
      </c>
      <c r="AM12" t="s">
        <v>109</v>
      </c>
      <c r="AN12" t="s">
        <v>95</v>
      </c>
      <c r="AO12" s="5">
        <v>67.599999999999994</v>
      </c>
      <c r="AP12" s="5">
        <v>3.0723078098526977</v>
      </c>
      <c r="AQ12" s="5">
        <v>8.2277914244430335</v>
      </c>
      <c r="AR12" s="5">
        <v>53</v>
      </c>
      <c r="AS12" s="5">
        <v>83</v>
      </c>
    </row>
    <row r="13" spans="1:52" x14ac:dyDescent="0.3">
      <c r="B13" t="s">
        <v>83</v>
      </c>
      <c r="C13" t="s">
        <v>80</v>
      </c>
      <c r="D13" t="s">
        <v>81</v>
      </c>
      <c r="E13" s="5">
        <v>1.3545308843713129</v>
      </c>
      <c r="F13" s="5">
        <v>1</v>
      </c>
      <c r="G13" s="5">
        <v>5.888922535871792E-2</v>
      </c>
      <c r="H13" s="5">
        <v>0.15770824194265332</v>
      </c>
      <c r="I13" s="5">
        <v>1.12561675843568</v>
      </c>
      <c r="J13" s="5">
        <v>1.66758431466867</v>
      </c>
      <c r="K13" s="5">
        <v>0.75544023446239805</v>
      </c>
      <c r="L13" s="5">
        <v>2.7172135616429198</v>
      </c>
      <c r="M13" s="5">
        <v>27.4</v>
      </c>
      <c r="Q13" t="s">
        <v>97</v>
      </c>
      <c r="R13" t="s">
        <v>95</v>
      </c>
      <c r="S13" s="5">
        <v>20</v>
      </c>
      <c r="T13" s="5">
        <v>0</v>
      </c>
      <c r="U13" s="5">
        <v>0</v>
      </c>
      <c r="V13" s="5">
        <v>20</v>
      </c>
      <c r="W13" s="5">
        <v>20</v>
      </c>
      <c r="X13" s="5">
        <v>20</v>
      </c>
      <c r="Y13" s="5">
        <v>20</v>
      </c>
      <c r="AL13" t="s">
        <v>119</v>
      </c>
      <c r="AM13" t="s">
        <v>111</v>
      </c>
      <c r="AN13" t="s">
        <v>95</v>
      </c>
      <c r="AO13" s="5">
        <v>9.2629789222133899E-2</v>
      </c>
      <c r="AP13" s="5">
        <v>4.1821462690339135E-3</v>
      </c>
      <c r="AQ13" s="5">
        <v>1.1199993404883948E-2</v>
      </c>
      <c r="AR13" s="5">
        <v>7.4778736536586704E-2</v>
      </c>
      <c r="AS13" s="5">
        <v>0.111025455742452</v>
      </c>
    </row>
    <row r="14" spans="1:52" x14ac:dyDescent="0.3">
      <c r="B14" t="s">
        <v>84</v>
      </c>
      <c r="C14" t="s">
        <v>85</v>
      </c>
      <c r="D14" t="s">
        <v>86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138.66666666666666</v>
      </c>
      <c r="P14" t="s">
        <v>98</v>
      </c>
      <c r="Q14" t="s">
        <v>94</v>
      </c>
      <c r="R14" t="s">
        <v>95</v>
      </c>
      <c r="S14" s="5">
        <v>0.24658598119222255</v>
      </c>
      <c r="T14" s="5">
        <v>8.7273384073404715E-3</v>
      </c>
      <c r="U14" s="5">
        <v>2.3372241503878167E-2</v>
      </c>
      <c r="V14" s="5">
        <v>0.20767736113278101</v>
      </c>
      <c r="W14" s="5">
        <v>0.28501162927715501</v>
      </c>
      <c r="X14" s="5">
        <v>0</v>
      </c>
      <c r="Y14" s="5">
        <v>0.95</v>
      </c>
      <c r="AL14" t="s">
        <v>123</v>
      </c>
      <c r="AM14" t="s">
        <v>109</v>
      </c>
      <c r="AN14" t="s">
        <v>95</v>
      </c>
      <c r="AO14" s="5">
        <v>324.63333333333333</v>
      </c>
      <c r="AP14" s="5">
        <v>8.8622006445315495</v>
      </c>
      <c r="AQ14" s="5">
        <v>23.733409208195905</v>
      </c>
      <c r="AR14" s="5">
        <v>276</v>
      </c>
      <c r="AS14" s="5">
        <v>370</v>
      </c>
    </row>
    <row r="15" spans="1:52" x14ac:dyDescent="0.3">
      <c r="C15" t="s">
        <v>87</v>
      </c>
      <c r="D15" t="s">
        <v>86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138.66666666666666</v>
      </c>
      <c r="Q15" t="s">
        <v>96</v>
      </c>
      <c r="R15" t="s">
        <v>95</v>
      </c>
      <c r="S15" s="5">
        <v>4.9317196238444527</v>
      </c>
      <c r="T15" s="5">
        <v>0.17454676814681078</v>
      </c>
      <c r="U15" s="5">
        <v>0.46744483007756693</v>
      </c>
      <c r="V15" s="5">
        <v>4.15354722265561</v>
      </c>
      <c r="W15" s="5">
        <v>5.7002325855431097</v>
      </c>
      <c r="X15" s="5">
        <v>0</v>
      </c>
      <c r="Y15" s="5">
        <v>19</v>
      </c>
      <c r="AL15" t="s">
        <v>124</v>
      </c>
      <c r="AM15" t="s">
        <v>111</v>
      </c>
      <c r="AN15" t="s">
        <v>95</v>
      </c>
      <c r="AO15" s="5">
        <v>0.78890367752589419</v>
      </c>
      <c r="AP15" s="5">
        <v>2.1561814344338615E-2</v>
      </c>
      <c r="AQ15" s="5">
        <v>5.7743599319329868E-2</v>
      </c>
      <c r="AR15" s="5">
        <v>0.68630817725209003</v>
      </c>
      <c r="AS15" s="5">
        <v>0.89844569749382897</v>
      </c>
    </row>
    <row r="16" spans="1:52" x14ac:dyDescent="0.3">
      <c r="C16" t="s">
        <v>88</v>
      </c>
      <c r="D16" t="s">
        <v>86</v>
      </c>
      <c r="E16" s="5">
        <v>1.2678871334176696</v>
      </c>
      <c r="F16" s="5">
        <v>1</v>
      </c>
      <c r="G16" s="5">
        <v>5.9219230019787336E-2</v>
      </c>
      <c r="H16" s="5">
        <v>0.15859201065608289</v>
      </c>
      <c r="I16" s="5">
        <v>1.0239727314929401</v>
      </c>
      <c r="J16" s="5">
        <v>1.6751220567766201</v>
      </c>
      <c r="K16" s="5">
        <v>0.54240657991611196</v>
      </c>
      <c r="L16" s="5">
        <v>2.7561776708620398</v>
      </c>
      <c r="M16" s="5">
        <v>138.66666666666666</v>
      </c>
      <c r="Q16" t="s">
        <v>97</v>
      </c>
      <c r="R16" t="s">
        <v>95</v>
      </c>
      <c r="S16" s="5">
        <v>20</v>
      </c>
      <c r="T16" s="5">
        <v>0</v>
      </c>
      <c r="U16" s="5">
        <v>0</v>
      </c>
      <c r="V16" s="5">
        <v>20</v>
      </c>
      <c r="W16" s="5">
        <v>20</v>
      </c>
      <c r="X16" s="5">
        <v>20</v>
      </c>
      <c r="Y16" s="5">
        <v>20</v>
      </c>
      <c r="AL16" t="s">
        <v>125</v>
      </c>
      <c r="AM16" t="s">
        <v>126</v>
      </c>
      <c r="AN16" t="s">
        <v>86</v>
      </c>
      <c r="AO16" s="5">
        <v>194.43333333333334</v>
      </c>
      <c r="AP16" s="5">
        <v>7.3065068036920602</v>
      </c>
      <c r="AQ16" s="5">
        <v>19.567184586538712</v>
      </c>
      <c r="AR16" s="5">
        <v>158</v>
      </c>
      <c r="AS16" s="5">
        <v>255</v>
      </c>
    </row>
    <row r="17" spans="3:45" x14ac:dyDescent="0.3">
      <c r="C17" t="s">
        <v>89</v>
      </c>
      <c r="D17" t="s">
        <v>86</v>
      </c>
      <c r="E17" s="5">
        <v>0.28507753690424381</v>
      </c>
      <c r="F17" s="5">
        <v>1</v>
      </c>
      <c r="G17" s="5">
        <v>1.354482514359579E-3</v>
      </c>
      <c r="H17" s="5">
        <v>3.6273707928829251E-3</v>
      </c>
      <c r="I17" s="5">
        <v>0.27840426452549899</v>
      </c>
      <c r="J17" s="5">
        <v>0.29234258706294097</v>
      </c>
      <c r="K17" s="5">
        <v>0.17212578810766199</v>
      </c>
      <c r="L17" s="5">
        <v>0.61921751163804895</v>
      </c>
      <c r="M17" s="5">
        <v>138.66666666666666</v>
      </c>
      <c r="P17" t="s">
        <v>99</v>
      </c>
      <c r="Q17" t="s">
        <v>94</v>
      </c>
      <c r="R17" t="s">
        <v>95</v>
      </c>
      <c r="S17" s="5">
        <v>0.61071636647106631</v>
      </c>
      <c r="T17" s="5">
        <v>1.8059192833960565E-2</v>
      </c>
      <c r="U17" s="5">
        <v>4.8363406640152984E-2</v>
      </c>
      <c r="V17" s="5">
        <v>0.517215348442703</v>
      </c>
      <c r="W17" s="5">
        <v>0.67770389283754395</v>
      </c>
      <c r="X17" s="5">
        <v>0</v>
      </c>
      <c r="Y17" s="5">
        <v>1</v>
      </c>
      <c r="AL17" t="s">
        <v>127</v>
      </c>
      <c r="AM17" t="s">
        <v>121</v>
      </c>
      <c r="AN17" t="s">
        <v>86</v>
      </c>
      <c r="AO17" s="5">
        <v>138.66666666666666</v>
      </c>
      <c r="AP17" s="5">
        <v>3.9558126066187556</v>
      </c>
      <c r="AQ17" s="5">
        <v>10.59386072484773</v>
      </c>
      <c r="AR17" s="5">
        <v>122</v>
      </c>
      <c r="AS17" s="5">
        <v>158</v>
      </c>
    </row>
    <row r="18" spans="3:45" x14ac:dyDescent="0.3">
      <c r="C18" t="s">
        <v>90</v>
      </c>
      <c r="D18" t="s">
        <v>86</v>
      </c>
      <c r="E18" s="5">
        <v>0.58001710844338794</v>
      </c>
      <c r="F18" s="5">
        <v>1</v>
      </c>
      <c r="G18" s="5">
        <v>5.0783400785183869E-3</v>
      </c>
      <c r="H18" s="5">
        <v>1.360004450545021E-2</v>
      </c>
      <c r="I18" s="5">
        <v>0.55455631375636005</v>
      </c>
      <c r="J18" s="5">
        <v>0.60577999264634597</v>
      </c>
      <c r="K18" s="5">
        <v>0.24460429945259299</v>
      </c>
      <c r="L18" s="5">
        <v>1.5050291241368301</v>
      </c>
      <c r="M18" s="5">
        <v>138.66666666666666</v>
      </c>
      <c r="Q18" t="s">
        <v>96</v>
      </c>
      <c r="R18" t="s">
        <v>95</v>
      </c>
      <c r="S18" s="5">
        <v>6.1071636647106642</v>
      </c>
      <c r="T18" s="5">
        <v>0.18059192833960558</v>
      </c>
      <c r="U18" s="5">
        <v>0.48363406640152962</v>
      </c>
      <c r="V18" s="5">
        <v>5.1721534844270298</v>
      </c>
      <c r="W18" s="5">
        <v>6.7770389283754398</v>
      </c>
      <c r="X18" s="5">
        <v>0</v>
      </c>
      <c r="Y18" s="5">
        <v>10</v>
      </c>
      <c r="AL18" t="s">
        <v>128</v>
      </c>
      <c r="AM18" t="s">
        <v>109</v>
      </c>
      <c r="AN18" t="s">
        <v>95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</row>
    <row r="19" spans="3:45" x14ac:dyDescent="0.3">
      <c r="C19" t="s">
        <v>91</v>
      </c>
      <c r="D19" t="s">
        <v>86</v>
      </c>
      <c r="E19" s="5">
        <v>0.40279248807003726</v>
      </c>
      <c r="F19" s="5">
        <v>1</v>
      </c>
      <c r="G19" s="5">
        <v>5.8740635024535484E-2</v>
      </c>
      <c r="H19" s="5">
        <v>0.15731030971938431</v>
      </c>
      <c r="I19" s="5">
        <v>0.177937316910317</v>
      </c>
      <c r="J19" s="5">
        <v>0.814020685592315</v>
      </c>
      <c r="K19" s="5">
        <v>0</v>
      </c>
      <c r="L19" s="5">
        <v>1.24972436277344</v>
      </c>
      <c r="M19" s="5">
        <v>138.66666666666666</v>
      </c>
      <c r="Q19" t="s">
        <v>97</v>
      </c>
      <c r="R19" t="s">
        <v>95</v>
      </c>
      <c r="S19" s="5">
        <v>10</v>
      </c>
      <c r="T19" s="5">
        <v>0</v>
      </c>
      <c r="U19" s="5">
        <v>0</v>
      </c>
      <c r="V19" s="5">
        <v>10</v>
      </c>
      <c r="W19" s="5">
        <v>10</v>
      </c>
      <c r="X19" s="5">
        <v>10</v>
      </c>
      <c r="Y19" s="5">
        <v>10</v>
      </c>
      <c r="AL19" t="s">
        <v>129</v>
      </c>
      <c r="AM19" t="s">
        <v>111</v>
      </c>
      <c r="AN19" t="s">
        <v>95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</row>
    <row r="20" spans="3:45" x14ac:dyDescent="0.3">
      <c r="P20" t="s">
        <v>100</v>
      </c>
      <c r="Q20" t="s">
        <v>94</v>
      </c>
      <c r="R20" t="s">
        <v>95</v>
      </c>
      <c r="S20" s="5">
        <v>0.1701720482423513</v>
      </c>
      <c r="T20" s="5">
        <v>4.9714113556225048E-3</v>
      </c>
      <c r="U20" s="5">
        <v>1.3313684126308522E-2</v>
      </c>
      <c r="V20" s="5">
        <v>0.14484829778125299</v>
      </c>
      <c r="W20" s="5">
        <v>0.19609322315655101</v>
      </c>
      <c r="X20" s="5">
        <v>0</v>
      </c>
      <c r="Y20" s="5">
        <v>0.46</v>
      </c>
      <c r="AL20" t="s">
        <v>130</v>
      </c>
      <c r="AM20" t="s">
        <v>109</v>
      </c>
      <c r="AN20" t="s">
        <v>95</v>
      </c>
      <c r="AO20" s="5">
        <v>99.666666666666671</v>
      </c>
      <c r="AP20" s="5">
        <v>4.1154585042144589</v>
      </c>
      <c r="AQ20" s="5">
        <v>11.021400290698853</v>
      </c>
      <c r="AR20" s="5">
        <v>84</v>
      </c>
      <c r="AS20" s="5">
        <v>133</v>
      </c>
    </row>
    <row r="21" spans="3:45" x14ac:dyDescent="0.3">
      <c r="Q21" t="s">
        <v>96</v>
      </c>
      <c r="R21" t="s">
        <v>95</v>
      </c>
      <c r="S21" s="5">
        <v>8.5086024121175594</v>
      </c>
      <c r="T21" s="5">
        <v>0.24857056778112663</v>
      </c>
      <c r="U21" s="5">
        <v>0.66568420631542979</v>
      </c>
      <c r="V21" s="5">
        <v>7.2424148890626396</v>
      </c>
      <c r="W21" s="5">
        <v>9.8046611578275602</v>
      </c>
      <c r="X21" s="5">
        <v>0</v>
      </c>
      <c r="Y21" s="5">
        <v>23</v>
      </c>
      <c r="AL21" t="s">
        <v>131</v>
      </c>
      <c r="AM21" t="s">
        <v>111</v>
      </c>
      <c r="AN21" t="s">
        <v>95</v>
      </c>
      <c r="AO21" s="5">
        <v>0.81099663999028448</v>
      </c>
      <c r="AP21" s="5">
        <v>3.9940526897700258E-2</v>
      </c>
      <c r="AQ21" s="5">
        <v>0.1069626954834289</v>
      </c>
      <c r="AR21" s="5">
        <v>0.634589476164233</v>
      </c>
      <c r="AS21" s="5">
        <v>0.99383259650362799</v>
      </c>
    </row>
    <row r="22" spans="3:45" x14ac:dyDescent="0.3">
      <c r="Q22" t="s">
        <v>97</v>
      </c>
      <c r="R22" t="s">
        <v>95</v>
      </c>
      <c r="S22" s="5">
        <v>50</v>
      </c>
      <c r="T22" s="5">
        <v>0</v>
      </c>
      <c r="U22" s="5">
        <v>0</v>
      </c>
      <c r="V22" s="5">
        <v>50</v>
      </c>
      <c r="W22" s="5">
        <v>50</v>
      </c>
      <c r="X22" s="5">
        <v>50</v>
      </c>
      <c r="Y22" s="5">
        <v>50</v>
      </c>
      <c r="AL22" t="s">
        <v>132</v>
      </c>
      <c r="AM22" t="s">
        <v>109</v>
      </c>
      <c r="AN22" t="s">
        <v>95</v>
      </c>
      <c r="AO22" s="5">
        <v>51.966666666666669</v>
      </c>
      <c r="AP22" s="5">
        <v>2.6376168915916418</v>
      </c>
      <c r="AQ22" s="5">
        <v>7.0636677653220881</v>
      </c>
      <c r="AR22" s="5">
        <v>40</v>
      </c>
      <c r="AS22" s="5">
        <v>70</v>
      </c>
    </row>
    <row r="23" spans="3:45" x14ac:dyDescent="0.3">
      <c r="P23" t="s">
        <v>101</v>
      </c>
      <c r="Q23" t="s">
        <v>94</v>
      </c>
      <c r="R23" t="s">
        <v>95</v>
      </c>
      <c r="S23" s="5">
        <v>9.2629789222133913E-2</v>
      </c>
      <c r="T23" s="5">
        <v>4.1821462690338805E-3</v>
      </c>
      <c r="U23" s="5">
        <v>1.1199993404883861E-2</v>
      </c>
      <c r="V23" s="5">
        <v>7.4778736536586704E-2</v>
      </c>
      <c r="W23" s="5">
        <v>0.111025455742452</v>
      </c>
      <c r="X23" s="5">
        <v>0</v>
      </c>
      <c r="Y23" s="5">
        <v>0.46666666666666701</v>
      </c>
      <c r="AL23" t="s">
        <v>133</v>
      </c>
      <c r="AM23" t="s">
        <v>111</v>
      </c>
      <c r="AN23" t="s">
        <v>95</v>
      </c>
      <c r="AO23" s="5">
        <v>0.86404173385398308</v>
      </c>
      <c r="AP23" s="5">
        <v>2.8912497794626357E-2</v>
      </c>
      <c r="AQ23" s="5">
        <v>7.7429091138254261E-2</v>
      </c>
      <c r="AR23" s="5">
        <v>0.74061105631083801</v>
      </c>
      <c r="AS23" s="5">
        <v>0.99245161744166299</v>
      </c>
    </row>
    <row r="24" spans="3:45" x14ac:dyDescent="0.3">
      <c r="Q24" t="s">
        <v>96</v>
      </c>
      <c r="R24" t="s">
        <v>95</v>
      </c>
      <c r="S24" s="5">
        <v>1.3894468383320084</v>
      </c>
      <c r="T24" s="5">
        <v>6.2732194035507963E-2</v>
      </c>
      <c r="U24" s="5">
        <v>0.16799990107325727</v>
      </c>
      <c r="V24" s="5">
        <v>1.1216810480488</v>
      </c>
      <c r="W24" s="5">
        <v>1.66538183613678</v>
      </c>
      <c r="X24" s="5">
        <v>0</v>
      </c>
      <c r="Y24" s="5">
        <v>7</v>
      </c>
      <c r="AL24" t="s">
        <v>134</v>
      </c>
      <c r="AM24" t="s">
        <v>109</v>
      </c>
      <c r="AN24" t="s">
        <v>95</v>
      </c>
      <c r="AO24" s="5">
        <v>36.233333333333334</v>
      </c>
      <c r="AP24" s="5">
        <v>1.7832145675266573</v>
      </c>
      <c r="AQ24" s="5">
        <v>4.775536318198915</v>
      </c>
      <c r="AR24" s="5">
        <v>28</v>
      </c>
      <c r="AS24" s="5">
        <v>48</v>
      </c>
    </row>
    <row r="25" spans="3:45" x14ac:dyDescent="0.3">
      <c r="Q25" t="s">
        <v>97</v>
      </c>
      <c r="R25" t="s">
        <v>95</v>
      </c>
      <c r="S25" s="5">
        <v>15</v>
      </c>
      <c r="T25" s="5">
        <v>0</v>
      </c>
      <c r="U25" s="5">
        <v>0</v>
      </c>
      <c r="V25" s="5">
        <v>15</v>
      </c>
      <c r="W25" s="5">
        <v>15</v>
      </c>
      <c r="X25" s="5">
        <v>15</v>
      </c>
      <c r="Y25" s="5">
        <v>15</v>
      </c>
      <c r="AL25" t="s">
        <v>135</v>
      </c>
      <c r="AM25" t="s">
        <v>111</v>
      </c>
      <c r="AN25" t="s">
        <v>95</v>
      </c>
      <c r="AO25" s="5">
        <v>0.88098039877461687</v>
      </c>
      <c r="AP25" s="5">
        <v>2.6057642646860522E-2</v>
      </c>
      <c r="AQ25" s="5">
        <v>6.9783648638161486E-2</v>
      </c>
      <c r="AR25" s="5">
        <v>0.73843386001690303</v>
      </c>
      <c r="AS25" s="5">
        <v>0.99245161744166299</v>
      </c>
    </row>
    <row r="26" spans="3:45" x14ac:dyDescent="0.3">
      <c r="P26" t="s">
        <v>102</v>
      </c>
      <c r="Q26" t="s">
        <v>94</v>
      </c>
      <c r="R26" t="s">
        <v>95</v>
      </c>
      <c r="S26" s="5">
        <v>0.81675650916469844</v>
      </c>
      <c r="T26" s="5">
        <v>1.8636241798384946E-2</v>
      </c>
      <c r="U26" s="5">
        <v>4.9908772148696316E-2</v>
      </c>
      <c r="V26" s="5">
        <v>0.73673947391417804</v>
      </c>
      <c r="W26" s="5">
        <v>0.90592850818388704</v>
      </c>
      <c r="X26" s="5">
        <v>0</v>
      </c>
      <c r="Y26" s="5">
        <v>1</v>
      </c>
    </row>
    <row r="27" spans="3:45" x14ac:dyDescent="0.3">
      <c r="Q27" t="s">
        <v>96</v>
      </c>
      <c r="R27" t="s">
        <v>95</v>
      </c>
      <c r="S27" s="5">
        <v>1.5778073550517886</v>
      </c>
      <c r="T27" s="5">
        <v>4.3123628688677348E-2</v>
      </c>
      <c r="U27" s="5">
        <v>0.11548719863866004</v>
      </c>
      <c r="V27" s="5">
        <v>1.3726163545041801</v>
      </c>
      <c r="W27" s="5">
        <v>1.7968913949876599</v>
      </c>
      <c r="X27" s="5">
        <v>0</v>
      </c>
      <c r="Y27" s="5">
        <v>3</v>
      </c>
    </row>
    <row r="28" spans="3:45" x14ac:dyDescent="0.3">
      <c r="Q28" t="s">
        <v>97</v>
      </c>
      <c r="R28" t="s">
        <v>95</v>
      </c>
      <c r="S28" s="5">
        <v>2</v>
      </c>
      <c r="T28" s="5">
        <v>0</v>
      </c>
      <c r="U28" s="5">
        <v>0</v>
      </c>
      <c r="V28" s="5">
        <v>2</v>
      </c>
      <c r="W28" s="5">
        <v>2</v>
      </c>
      <c r="X28" s="5">
        <v>1</v>
      </c>
      <c r="Y28" s="5">
        <v>3</v>
      </c>
    </row>
    <row r="29" spans="3:45" x14ac:dyDescent="0.3">
      <c r="P29" t="s">
        <v>84</v>
      </c>
      <c r="Q29" t="s">
        <v>103</v>
      </c>
      <c r="R29" t="s">
        <v>86</v>
      </c>
      <c r="S29" s="5">
        <v>52.654075020020599</v>
      </c>
      <c r="T29" s="5">
        <v>4.0384933567271259</v>
      </c>
      <c r="U29" s="5">
        <v>10.815283840242142</v>
      </c>
      <c r="V29" s="5">
        <v>36.709886237305</v>
      </c>
      <c r="W29" s="5">
        <v>84.594951996708403</v>
      </c>
      <c r="X29" s="5">
        <v>0</v>
      </c>
      <c r="Y29" s="5">
        <v>126</v>
      </c>
    </row>
    <row r="30" spans="3:45" x14ac:dyDescent="0.3">
      <c r="P30" t="s">
        <v>104</v>
      </c>
      <c r="Q30" t="s">
        <v>94</v>
      </c>
      <c r="R30" t="s">
        <v>95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</row>
    <row r="31" spans="3:45" x14ac:dyDescent="0.3">
      <c r="Q31" t="s">
        <v>96</v>
      </c>
      <c r="R31" t="s">
        <v>95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</row>
    <row r="32" spans="3:45" x14ac:dyDescent="0.3">
      <c r="Q32" t="s">
        <v>97</v>
      </c>
      <c r="R32" t="s">
        <v>95</v>
      </c>
      <c r="S32" s="5">
        <v>3</v>
      </c>
      <c r="T32" s="5">
        <v>0</v>
      </c>
      <c r="U32" s="5">
        <v>0</v>
      </c>
      <c r="V32" s="5">
        <v>3</v>
      </c>
      <c r="W32" s="5">
        <v>3</v>
      </c>
      <c r="X32" s="5">
        <v>3</v>
      </c>
      <c r="Y32" s="5">
        <v>3</v>
      </c>
    </row>
    <row r="33" spans="16:25" x14ac:dyDescent="0.3">
      <c r="P33" t="s">
        <v>105</v>
      </c>
      <c r="Q33" t="s">
        <v>94</v>
      </c>
      <c r="R33" t="s">
        <v>95</v>
      </c>
      <c r="S33" s="5">
        <v>0.81099663999028448</v>
      </c>
      <c r="T33" s="5">
        <v>3.9940526897700258E-2</v>
      </c>
      <c r="U33" s="5">
        <v>0.1069626954834289</v>
      </c>
      <c r="V33" s="5">
        <v>0.634589476164233</v>
      </c>
      <c r="W33" s="5">
        <v>0.99383259650362799</v>
      </c>
      <c r="X33" s="5">
        <v>0</v>
      </c>
      <c r="Y33" s="5">
        <v>1</v>
      </c>
    </row>
    <row r="34" spans="16:25" x14ac:dyDescent="0.3">
      <c r="Q34" t="s">
        <v>96</v>
      </c>
      <c r="R34" t="s">
        <v>95</v>
      </c>
      <c r="S34" s="5">
        <v>0.81099663999028448</v>
      </c>
      <c r="T34" s="5">
        <v>3.9940526897700258E-2</v>
      </c>
      <c r="U34" s="5">
        <v>0.1069626954834289</v>
      </c>
      <c r="V34" s="5">
        <v>0.634589476164233</v>
      </c>
      <c r="W34" s="5">
        <v>0.99383259650362799</v>
      </c>
      <c r="X34" s="5">
        <v>0</v>
      </c>
      <c r="Y34" s="5">
        <v>1</v>
      </c>
    </row>
    <row r="35" spans="16:25" x14ac:dyDescent="0.3">
      <c r="Q35" t="s">
        <v>97</v>
      </c>
      <c r="R35" t="s">
        <v>95</v>
      </c>
      <c r="S35" s="5">
        <v>1</v>
      </c>
      <c r="T35" s="5">
        <v>0</v>
      </c>
      <c r="U35" s="5">
        <v>0</v>
      </c>
      <c r="V35" s="5">
        <v>1</v>
      </c>
      <c r="W35" s="5">
        <v>1</v>
      </c>
      <c r="X35" s="5">
        <v>1</v>
      </c>
      <c r="Y35" s="5">
        <v>1</v>
      </c>
    </row>
    <row r="36" spans="16:25" x14ac:dyDescent="0.3">
      <c r="P36" t="s">
        <v>106</v>
      </c>
      <c r="Q36" t="s">
        <v>94</v>
      </c>
      <c r="R36" t="s">
        <v>95</v>
      </c>
      <c r="S36" s="5">
        <v>0.86404173385398308</v>
      </c>
      <c r="T36" s="5">
        <v>2.8912497794626357E-2</v>
      </c>
      <c r="U36" s="5">
        <v>7.7429091138254261E-2</v>
      </c>
      <c r="V36" s="5">
        <v>0.74061105631083801</v>
      </c>
      <c r="W36" s="5">
        <v>0.99245161744166299</v>
      </c>
      <c r="X36" s="5">
        <v>0</v>
      </c>
      <c r="Y36" s="5">
        <v>1</v>
      </c>
    </row>
    <row r="37" spans="16:25" x14ac:dyDescent="0.3">
      <c r="Q37" t="s">
        <v>96</v>
      </c>
      <c r="R37" t="s">
        <v>95</v>
      </c>
      <c r="S37" s="5">
        <v>0.86404173385398308</v>
      </c>
      <c r="T37" s="5">
        <v>2.8912497794626357E-2</v>
      </c>
      <c r="U37" s="5">
        <v>7.7429091138254261E-2</v>
      </c>
      <c r="V37" s="5">
        <v>0.74061105631083801</v>
      </c>
      <c r="W37" s="5">
        <v>0.99245161744166299</v>
      </c>
      <c r="X37" s="5">
        <v>0</v>
      </c>
      <c r="Y37" s="5">
        <v>1</v>
      </c>
    </row>
    <row r="38" spans="16:25" x14ac:dyDescent="0.3">
      <c r="Q38" t="s">
        <v>97</v>
      </c>
      <c r="R38" t="s">
        <v>95</v>
      </c>
      <c r="S38" s="5">
        <v>1</v>
      </c>
      <c r="T38" s="5">
        <v>0</v>
      </c>
      <c r="U38" s="5">
        <v>0</v>
      </c>
      <c r="V38" s="5">
        <v>1</v>
      </c>
      <c r="W38" s="5">
        <v>1</v>
      </c>
      <c r="X38" s="5">
        <v>1</v>
      </c>
      <c r="Y38" s="5">
        <v>1</v>
      </c>
    </row>
    <row r="39" spans="16:25" x14ac:dyDescent="0.3">
      <c r="P39" t="s">
        <v>107</v>
      </c>
      <c r="Q39" t="s">
        <v>94</v>
      </c>
      <c r="R39" t="s">
        <v>95</v>
      </c>
      <c r="S39" s="5">
        <v>0.88098039877461687</v>
      </c>
      <c r="T39" s="5">
        <v>2.6057642646860522E-2</v>
      </c>
      <c r="U39" s="5">
        <v>6.9783648638161486E-2</v>
      </c>
      <c r="V39" s="5">
        <v>0.73843386001690303</v>
      </c>
      <c r="W39" s="5">
        <v>0.99245161744166299</v>
      </c>
      <c r="X39" s="5">
        <v>0</v>
      </c>
      <c r="Y39" s="5">
        <v>1</v>
      </c>
    </row>
    <row r="40" spans="16:25" x14ac:dyDescent="0.3">
      <c r="Q40" t="s">
        <v>96</v>
      </c>
      <c r="R40" t="s">
        <v>95</v>
      </c>
      <c r="S40" s="5">
        <v>0.88098039877461687</v>
      </c>
      <c r="T40" s="5">
        <v>2.6057642646860522E-2</v>
      </c>
      <c r="U40" s="5">
        <v>6.9783648638161486E-2</v>
      </c>
      <c r="V40" s="5">
        <v>0.73843386001690303</v>
      </c>
      <c r="W40" s="5">
        <v>0.99245161744166299</v>
      </c>
      <c r="X40" s="5">
        <v>0</v>
      </c>
      <c r="Y40" s="5">
        <v>1</v>
      </c>
    </row>
    <row r="41" spans="16:25" x14ac:dyDescent="0.3">
      <c r="Q41" t="s">
        <v>97</v>
      </c>
      <c r="R41" t="s">
        <v>95</v>
      </c>
      <c r="S41" s="5">
        <v>1</v>
      </c>
      <c r="T41" s="5">
        <v>0</v>
      </c>
      <c r="U41" s="5">
        <v>0</v>
      </c>
      <c r="V41" s="5">
        <v>1</v>
      </c>
      <c r="W41" s="5">
        <v>1</v>
      </c>
      <c r="X41" s="5">
        <v>1</v>
      </c>
      <c r="Y41" s="5">
        <v>1</v>
      </c>
    </row>
  </sheetData>
  <dataConsolidate/>
  <conditionalFormatting pivot="1" sqref="G3:G19">
    <cfRule type="expression" dxfId="37" priority="10">
      <formula>G3=200000000000000000000</formula>
    </cfRule>
  </conditionalFormatting>
  <conditionalFormatting pivot="1" sqref="T3:T41">
    <cfRule type="expression" dxfId="36" priority="9">
      <formula>T3=200000000000000000000</formula>
    </cfRule>
  </conditionalFormatting>
  <conditionalFormatting pivot="1" sqref="T3:T41">
    <cfRule type="expression" dxfId="35" priority="8">
      <formula>T3=300000000000000000000</formula>
    </cfRule>
  </conditionalFormatting>
  <conditionalFormatting pivot="1" sqref="G3:G19">
    <cfRule type="expression" dxfId="34" priority="7">
      <formula>G3=300000000000000000000</formula>
    </cfRule>
  </conditionalFormatting>
  <conditionalFormatting pivot="1" sqref="F3:F19">
    <cfRule type="expression" dxfId="33" priority="6">
      <formula>F3=0</formula>
    </cfRule>
  </conditionalFormatting>
  <conditionalFormatting pivot="1" sqref="F3:F19">
    <cfRule type="expression" dxfId="32" priority="5">
      <formula>F3=1</formula>
    </cfRule>
  </conditionalFormatting>
  <conditionalFormatting pivot="1" sqref="T3:T41">
    <cfRule type="expression" dxfId="31" priority="4">
      <formula>T3=400000000000000000000</formula>
    </cfRule>
  </conditionalFormatting>
  <conditionalFormatting pivot="1" sqref="AP3:AP25">
    <cfRule type="expression" dxfId="30" priority="3">
      <formula>AP3=400000000000000000000</formula>
    </cfRule>
  </conditionalFormatting>
  <conditionalFormatting pivot="1" sqref="AF3">
    <cfRule type="expression" dxfId="29" priority="2">
      <formula>AF3=400000000000000000000</formula>
    </cfRule>
  </conditionalFormatting>
  <conditionalFormatting pivot="1" sqref="G3:G1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511"/>
  <sheetViews>
    <sheetView workbookViewId="0">
      <selection activeCell="K2" sqref="K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23.109375" bestFit="1" customWidth="1"/>
    <col min="5" max="5" width="12.21875" bestFit="1" customWidth="1"/>
    <col min="6" max="6" width="12.5546875" bestFit="1" customWidth="1"/>
    <col min="7" max="7" width="12" bestFit="1" customWidth="1"/>
    <col min="8" max="8" width="22.21875" bestFit="1" customWidth="1"/>
    <col min="9" max="10" width="12" bestFit="1" customWidth="1"/>
    <col min="11" max="11" width="21.21875" bestFit="1" customWidth="1"/>
    <col min="12" max="12" width="53.88671875" bestFit="1" customWidth="1"/>
    <col min="13" max="13" width="16.109375" bestFit="1" customWidth="1"/>
    <col min="14" max="14" width="19.109375" customWidth="1"/>
    <col min="15" max="15" width="17" bestFit="1" customWidth="1"/>
    <col min="16" max="16" width="19.33203125" bestFit="1" customWidth="1"/>
    <col min="17" max="17" width="12" bestFit="1" customWidth="1"/>
    <col min="18" max="18" width="18.44140625" bestFit="1" customWidth="1"/>
    <col min="19" max="19" width="18.77734375" customWidth="1"/>
    <col min="20" max="20" width="17.33203125" bestFit="1" customWidth="1"/>
    <col min="21" max="21" width="17.6640625" bestFit="1" customWidth="1"/>
    <col min="22" max="22" width="28.21875" bestFit="1" customWidth="1"/>
    <col min="23" max="23" width="19.88671875" bestFit="1" customWidth="1"/>
    <col min="24" max="24" width="22.6640625" bestFit="1" customWidth="1"/>
    <col min="25" max="25" width="21.2187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0.100765678264329</v>
      </c>
      <c r="H2">
        <v>2E+20</v>
      </c>
      <c r="I2">
        <v>0</v>
      </c>
      <c r="J2">
        <v>0.388516181490065</v>
      </c>
      <c r="K2">
        <v>178</v>
      </c>
      <c r="L2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0.11216723717871509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" cm="1">
        <f t="array" ref="R2">MIN(IF((DiscreteStatsTable[GroupByKey]=DiscreteStatsTable[[#This Row],[GroupByKey]]),(DiscreteStatsTable[GroupByKey]=DiscreteStatsTable[[#This Row],[GroupByKey]])*DiscreteStatsTable[Average]))</f>
        <v>5.8932789290205102E-2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0.18859814086073301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0.72232466187807898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185</v>
      </c>
      <c r="W2">
        <f>IF((DiscreteStatsTable[[#This Row],[RepsRequested]]&gt;1),DiscreteStatsTable[[#This Row],[HalfWidth]],DiscreteStatsTable[[#This Row],[BatchMeansHalfWidth]])</f>
        <v>1.3304366764744478E-2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2</v>
      </c>
      <c r="D3" t="s">
        <v>69</v>
      </c>
      <c r="E3" t="s">
        <v>70</v>
      </c>
      <c r="F3" t="s">
        <v>71</v>
      </c>
      <c r="G3">
        <v>0.10850147934799299</v>
      </c>
      <c r="H3">
        <v>2E+20</v>
      </c>
      <c r="I3">
        <v>0</v>
      </c>
      <c r="J3">
        <v>0.55324760887107605</v>
      </c>
      <c r="K3">
        <v>176</v>
      </c>
      <c r="L3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0.11216723717871509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5.8932789290205102E-2</v>
      </c>
      <c r="S3" cm="1">
        <f t="array" ref="S3">MAX(IF((DiscreteStatsTable[GroupByKey]=DiscreteStatsTable[[#This Row],[GroupByKey]]),(DiscreteStatsTable[GroupByKey]=DiscreteStatsTable[[#This Row],[GroupByKey]])*DiscreteStatsTable[Average]))</f>
        <v>0.18859814086073301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0.72232466187807898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185</v>
      </c>
      <c r="W3">
        <f>IF((DiscreteStatsTable[[#This Row],[RepsRequested]]&gt;1),DiscreteStatsTable[[#This Row],[HalfWidth]],DiscreteStatsTable[[#This Row],[BatchMeansHalfWidth]])</f>
        <v>1.3304366764744478E-2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3</v>
      </c>
      <c r="D4" t="s">
        <v>69</v>
      </c>
      <c r="E4" t="s">
        <v>70</v>
      </c>
      <c r="F4" t="s">
        <v>71</v>
      </c>
      <c r="G4">
        <v>0.14237226910245299</v>
      </c>
      <c r="H4">
        <v>2E+20</v>
      </c>
      <c r="I4">
        <v>0</v>
      </c>
      <c r="J4">
        <v>0.56875470750413704</v>
      </c>
      <c r="K4">
        <v>187</v>
      </c>
      <c r="L4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0.11216723717871509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5.8932789290205102E-2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0.18859814086073301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0.72232466187807898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185</v>
      </c>
      <c r="W4">
        <f>IF((DiscreteStatsTable[[#This Row],[RepsRequested]]&gt;1),DiscreteStatsTable[[#This Row],[HalfWidth]],DiscreteStatsTable[[#This Row],[BatchMeansHalfWidth]])</f>
        <v>1.3304366764744478E-2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4</v>
      </c>
      <c r="D5" t="s">
        <v>69</v>
      </c>
      <c r="E5" t="s">
        <v>70</v>
      </c>
      <c r="F5" t="s">
        <v>71</v>
      </c>
      <c r="G5">
        <v>0.13167827104413801</v>
      </c>
      <c r="H5">
        <v>2E+20</v>
      </c>
      <c r="I5">
        <v>0</v>
      </c>
      <c r="J5">
        <v>0.52799725822861998</v>
      </c>
      <c r="K5">
        <v>185</v>
      </c>
      <c r="L5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0.11216723717871509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5" cm="1">
        <f t="array" ref="R5">MIN(IF((DiscreteStatsTable[GroupByKey]=DiscreteStatsTable[[#This Row],[GroupByKey]]),(DiscreteStatsTable[GroupByKey]=DiscreteStatsTable[[#This Row],[GroupByKey]])*DiscreteStatsTable[Average]))</f>
        <v>5.8932789290205102E-2</v>
      </c>
      <c r="S5" cm="1">
        <f t="array" ref="S5">MAX(IF((DiscreteStatsTable[GroupByKey]=DiscreteStatsTable[[#This Row],[GroupByKey]]),(DiscreteStatsTable[GroupByKey]=DiscreteStatsTable[[#This Row],[GroupByKey]])*DiscreteStatsTable[Average]))</f>
        <v>0.18859814086073301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0.72232466187807898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185</v>
      </c>
      <c r="W5">
        <f>IF((DiscreteStatsTable[[#This Row],[RepsRequested]]&gt;1),DiscreteStatsTable[[#This Row],[HalfWidth]],DiscreteStatsTable[[#This Row],[BatchMeansHalfWidth]])</f>
        <v>1.3304366764744478E-2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5</v>
      </c>
      <c r="D6" t="s">
        <v>69</v>
      </c>
      <c r="E6" t="s">
        <v>70</v>
      </c>
      <c r="F6" t="s">
        <v>71</v>
      </c>
      <c r="G6">
        <v>7.7865941390630605E-2</v>
      </c>
      <c r="H6">
        <v>2E+20</v>
      </c>
      <c r="I6">
        <v>0</v>
      </c>
      <c r="J6">
        <v>0.415477910795085</v>
      </c>
      <c r="K6">
        <v>173</v>
      </c>
      <c r="L6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0.11216723717871509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6" cm="1">
        <f t="array" ref="R6">MIN(IF((DiscreteStatsTable[GroupByKey]=DiscreteStatsTable[[#This Row],[GroupByKey]]),(DiscreteStatsTable[GroupByKey]=DiscreteStatsTable[[#This Row],[GroupByKey]])*DiscreteStatsTable[Average]))</f>
        <v>5.8932789290205102E-2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0.18859814086073301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0.72232466187807898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185</v>
      </c>
      <c r="W6">
        <f>IF((DiscreteStatsTable[[#This Row],[RepsRequested]]&gt;1),DiscreteStatsTable[[#This Row],[HalfWidth]],DiscreteStatsTable[[#This Row],[BatchMeansHalfWidth]])</f>
        <v>1.3304366764744478E-2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6</v>
      </c>
      <c r="D7" t="s">
        <v>69</v>
      </c>
      <c r="E7" t="s">
        <v>70</v>
      </c>
      <c r="F7" t="s">
        <v>71</v>
      </c>
      <c r="G7">
        <v>0.12249163911012501</v>
      </c>
      <c r="H7">
        <v>2E+20</v>
      </c>
      <c r="I7">
        <v>0</v>
      </c>
      <c r="J7">
        <v>0.49280551789434601</v>
      </c>
      <c r="K7">
        <v>177</v>
      </c>
      <c r="L7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0.11216723717871509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5.8932789290205102E-2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0.18859814086073301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0.72232466187807898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185</v>
      </c>
      <c r="W7">
        <f>IF((DiscreteStatsTable[[#This Row],[RepsRequested]]&gt;1),DiscreteStatsTable[[#This Row],[HalfWidth]],DiscreteStatsTable[[#This Row],[BatchMeansHalfWidth]])</f>
        <v>1.3304366764744478E-2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7</v>
      </c>
      <c r="D8" t="s">
        <v>69</v>
      </c>
      <c r="E8" t="s">
        <v>70</v>
      </c>
      <c r="F8" t="s">
        <v>71</v>
      </c>
      <c r="G8">
        <v>0.157609145224409</v>
      </c>
      <c r="H8">
        <v>2E+20</v>
      </c>
      <c r="I8">
        <v>0</v>
      </c>
      <c r="J8">
        <v>0.55091110988129599</v>
      </c>
      <c r="K8">
        <v>189</v>
      </c>
      <c r="L8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0.11216723717871509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8" cm="1">
        <f t="array" ref="R8">MIN(IF((DiscreteStatsTable[GroupByKey]=DiscreteStatsTable[[#This Row],[GroupByKey]]),(DiscreteStatsTable[GroupByKey]=DiscreteStatsTable[[#This Row],[GroupByKey]])*DiscreteStatsTable[Average]))</f>
        <v>5.8932789290205102E-2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0.18859814086073301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0.72232466187807898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185</v>
      </c>
      <c r="W8">
        <f>IF((DiscreteStatsTable[[#This Row],[RepsRequested]]&gt;1),DiscreteStatsTable[[#This Row],[HalfWidth]],DiscreteStatsTable[[#This Row],[BatchMeansHalfWidth]])</f>
        <v>1.3304366764744478E-2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8</v>
      </c>
      <c r="D9" t="s">
        <v>69</v>
      </c>
      <c r="E9" t="s">
        <v>70</v>
      </c>
      <c r="F9" t="s">
        <v>71</v>
      </c>
      <c r="G9">
        <v>0.14724842090214599</v>
      </c>
      <c r="H9">
        <v>2E+20</v>
      </c>
      <c r="I9">
        <v>0</v>
      </c>
      <c r="J9">
        <v>0.51984895473465098</v>
      </c>
      <c r="K9">
        <v>180</v>
      </c>
      <c r="L9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0.11216723717871509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5.8932789290205102E-2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0.18859814086073301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0.72232466187807898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185</v>
      </c>
      <c r="W9">
        <f>IF((DiscreteStatsTable[[#This Row],[RepsRequested]]&gt;1),DiscreteStatsTable[[#This Row],[HalfWidth]],DiscreteStatsTable[[#This Row],[BatchMeansHalfWidth]])</f>
        <v>1.3304366764744478E-2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9</v>
      </c>
      <c r="D10" t="s">
        <v>69</v>
      </c>
      <c r="E10" t="s">
        <v>70</v>
      </c>
      <c r="F10" t="s">
        <v>71</v>
      </c>
      <c r="G10">
        <v>0.157199220942528</v>
      </c>
      <c r="H10">
        <v>2E+20</v>
      </c>
      <c r="I10">
        <v>0</v>
      </c>
      <c r="J10">
        <v>0.617607212836222</v>
      </c>
      <c r="K10">
        <v>186</v>
      </c>
      <c r="L10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0.11216723717871509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5.8932789290205102E-2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0.18859814086073301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0.72232466187807898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185</v>
      </c>
      <c r="W10">
        <f>IF((DiscreteStatsTable[[#This Row],[RepsRequested]]&gt;1),DiscreteStatsTable[[#This Row],[HalfWidth]],DiscreteStatsTable[[#This Row],[BatchMeansHalfWidth]])</f>
        <v>1.3304366764744478E-2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10</v>
      </c>
      <c r="D11" t="s">
        <v>69</v>
      </c>
      <c r="E11" t="s">
        <v>70</v>
      </c>
      <c r="F11" t="s">
        <v>71</v>
      </c>
      <c r="G11">
        <v>0.13243180754053299</v>
      </c>
      <c r="H11">
        <v>2E+20</v>
      </c>
      <c r="I11">
        <v>0</v>
      </c>
      <c r="J11">
        <v>0.52230001382303903</v>
      </c>
      <c r="K11">
        <v>214</v>
      </c>
      <c r="L11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0.11216723717871509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5.8932789290205102E-2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0.18859814086073301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0.72232466187807898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185</v>
      </c>
      <c r="W11">
        <f>IF((DiscreteStatsTable[[#This Row],[RepsRequested]]&gt;1),DiscreteStatsTable[[#This Row],[HalfWidth]],DiscreteStatsTable[[#This Row],[BatchMeansHalfWidth]])</f>
        <v>1.3304366764744478E-2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11</v>
      </c>
      <c r="D12" t="s">
        <v>69</v>
      </c>
      <c r="E12" t="s">
        <v>70</v>
      </c>
      <c r="F12" t="s">
        <v>71</v>
      </c>
      <c r="G12">
        <v>0.12963781468875299</v>
      </c>
      <c r="H12">
        <v>2E+20</v>
      </c>
      <c r="I12">
        <v>0</v>
      </c>
      <c r="J12">
        <v>0.44204443571262397</v>
      </c>
      <c r="K12">
        <v>193</v>
      </c>
      <c r="L12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0.11216723717871509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5.8932789290205102E-2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0.18859814086073301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0.72232466187807898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185</v>
      </c>
      <c r="W12">
        <f>IF((DiscreteStatsTable[[#This Row],[RepsRequested]]&gt;1),DiscreteStatsTable[[#This Row],[HalfWidth]],DiscreteStatsTable[[#This Row],[BatchMeansHalfWidth]])</f>
        <v>1.3304366764744478E-2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12</v>
      </c>
      <c r="D13" t="s">
        <v>69</v>
      </c>
      <c r="E13" t="s">
        <v>70</v>
      </c>
      <c r="F13" t="s">
        <v>71</v>
      </c>
      <c r="G13">
        <v>0.114524329367687</v>
      </c>
      <c r="H13">
        <v>2E+20</v>
      </c>
      <c r="I13">
        <v>0</v>
      </c>
      <c r="J13">
        <v>0.50279909429932701</v>
      </c>
      <c r="K13">
        <v>176</v>
      </c>
      <c r="L13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0.11216723717871509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5.8932789290205102E-2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0.18859814086073301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0.72232466187807898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185</v>
      </c>
      <c r="W13">
        <f>IF((DiscreteStatsTable[[#This Row],[RepsRequested]]&gt;1),DiscreteStatsTable[[#This Row],[HalfWidth]],DiscreteStatsTable[[#This Row],[BatchMeansHalfWidth]])</f>
        <v>1.3304366764744478E-2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13</v>
      </c>
      <c r="D14" t="s">
        <v>69</v>
      </c>
      <c r="E14" t="s">
        <v>70</v>
      </c>
      <c r="F14" t="s">
        <v>71</v>
      </c>
      <c r="G14">
        <v>0.15947290681861501</v>
      </c>
      <c r="H14">
        <v>2E+20</v>
      </c>
      <c r="I14">
        <v>0</v>
      </c>
      <c r="J14">
        <v>0.53271603427532399</v>
      </c>
      <c r="K14">
        <v>185</v>
      </c>
      <c r="L14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0.11216723717871509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5.8932789290205102E-2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0.18859814086073301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0.72232466187807898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185</v>
      </c>
      <c r="W14">
        <f>IF((DiscreteStatsTable[[#This Row],[RepsRequested]]&gt;1),DiscreteStatsTable[[#This Row],[HalfWidth]],DiscreteStatsTable[[#This Row],[BatchMeansHalfWidth]])</f>
        <v>1.3304366764744478E-2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14</v>
      </c>
      <c r="D15" t="s">
        <v>69</v>
      </c>
      <c r="E15" t="s">
        <v>70</v>
      </c>
      <c r="F15" t="s">
        <v>71</v>
      </c>
      <c r="G15">
        <v>6.2180984494320003E-2</v>
      </c>
      <c r="H15">
        <v>2E+20</v>
      </c>
      <c r="I15">
        <v>0</v>
      </c>
      <c r="J15">
        <v>0.28536382467369198</v>
      </c>
      <c r="K15">
        <v>164</v>
      </c>
      <c r="L15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0.11216723717871509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5.8932789290205102E-2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0.18859814086073301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0.72232466187807898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185</v>
      </c>
      <c r="W15">
        <f>IF((DiscreteStatsTable[[#This Row],[RepsRequested]]&gt;1),DiscreteStatsTable[[#This Row],[HalfWidth]],DiscreteStatsTable[[#This Row],[BatchMeansHalfWidth]])</f>
        <v>1.3304366764744478E-2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15</v>
      </c>
      <c r="D16" t="s">
        <v>69</v>
      </c>
      <c r="E16" t="s">
        <v>70</v>
      </c>
      <c r="F16" t="s">
        <v>71</v>
      </c>
      <c r="G16">
        <v>7.6164929946746202E-2</v>
      </c>
      <c r="H16">
        <v>2E+20</v>
      </c>
      <c r="I16">
        <v>0</v>
      </c>
      <c r="J16">
        <v>0.414508459606105</v>
      </c>
      <c r="K16">
        <v>171</v>
      </c>
      <c r="L16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0.11216723717871509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5.8932789290205102E-2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0.18859814086073301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0.72232466187807898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185</v>
      </c>
      <c r="W16">
        <f>IF((DiscreteStatsTable[[#This Row],[RepsRequested]]&gt;1),DiscreteStatsTable[[#This Row],[HalfWidth]],DiscreteStatsTable[[#This Row],[BatchMeansHalfWidth]])</f>
        <v>1.3304366764744478E-2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16</v>
      </c>
      <c r="D17" t="s">
        <v>69</v>
      </c>
      <c r="E17" t="s">
        <v>70</v>
      </c>
      <c r="F17" t="s">
        <v>71</v>
      </c>
      <c r="G17">
        <v>0.16664093182311701</v>
      </c>
      <c r="H17">
        <v>2E+20</v>
      </c>
      <c r="I17">
        <v>0</v>
      </c>
      <c r="J17">
        <v>0.54558272019785503</v>
      </c>
      <c r="K17">
        <v>203</v>
      </c>
      <c r="L17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0.11216723717871509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5.8932789290205102E-2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0.18859814086073301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0.72232466187807898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185</v>
      </c>
      <c r="W17">
        <f>IF((DiscreteStatsTable[[#This Row],[RepsRequested]]&gt;1),DiscreteStatsTable[[#This Row],[HalfWidth]],DiscreteStatsTable[[#This Row],[BatchMeansHalfWidth]])</f>
        <v>1.3304366764744478E-2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17</v>
      </c>
      <c r="D18" t="s">
        <v>69</v>
      </c>
      <c r="E18" t="s">
        <v>70</v>
      </c>
      <c r="F18" t="s">
        <v>71</v>
      </c>
      <c r="G18">
        <v>8.5765761707640498E-2</v>
      </c>
      <c r="H18">
        <v>2E+20</v>
      </c>
      <c r="I18">
        <v>0</v>
      </c>
      <c r="J18">
        <v>0.39325913181745198</v>
      </c>
      <c r="K18">
        <v>180</v>
      </c>
      <c r="L18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0.11216723717871509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5.8932789290205102E-2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0.18859814086073301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0.72232466187807898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185</v>
      </c>
      <c r="W18">
        <f>IF((DiscreteStatsTable[[#This Row],[RepsRequested]]&gt;1),DiscreteStatsTable[[#This Row],[HalfWidth]],DiscreteStatsTable[[#This Row],[BatchMeansHalfWidth]])</f>
        <v>1.3304366764744478E-2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18</v>
      </c>
      <c r="D19" t="s">
        <v>69</v>
      </c>
      <c r="E19" t="s">
        <v>70</v>
      </c>
      <c r="F19" t="s">
        <v>71</v>
      </c>
      <c r="G19">
        <v>8.6723448593680405E-2</v>
      </c>
      <c r="H19">
        <v>2E+20</v>
      </c>
      <c r="I19">
        <v>0</v>
      </c>
      <c r="J19">
        <v>0.40897342372212098</v>
      </c>
      <c r="K19">
        <v>204</v>
      </c>
      <c r="L19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0.11216723717871509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5.8932789290205102E-2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0.18859814086073301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0.72232466187807898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185</v>
      </c>
      <c r="W19">
        <f>IF((DiscreteStatsTable[[#This Row],[RepsRequested]]&gt;1),DiscreteStatsTable[[#This Row],[HalfWidth]],DiscreteStatsTable[[#This Row],[BatchMeansHalfWidth]])</f>
        <v>1.3304366764744478E-2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19</v>
      </c>
      <c r="D20" t="s">
        <v>69</v>
      </c>
      <c r="E20" t="s">
        <v>70</v>
      </c>
      <c r="F20" t="s">
        <v>71</v>
      </c>
      <c r="G20">
        <v>9.1909231603159502E-2</v>
      </c>
      <c r="H20">
        <v>2E+20</v>
      </c>
      <c r="I20">
        <v>0</v>
      </c>
      <c r="J20">
        <v>0.44431794476404002</v>
      </c>
      <c r="K20">
        <v>190</v>
      </c>
      <c r="L20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0.11216723717871509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5.8932789290205102E-2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0.18859814086073301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0.72232466187807898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185</v>
      </c>
      <c r="W20">
        <f>IF((DiscreteStatsTable[[#This Row],[RepsRequested]]&gt;1),DiscreteStatsTable[[#This Row],[HalfWidth]],DiscreteStatsTable[[#This Row],[BatchMeansHalfWidth]])</f>
        <v>1.3304366764744478E-2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20</v>
      </c>
      <c r="D21" t="s">
        <v>69</v>
      </c>
      <c r="E21" t="s">
        <v>70</v>
      </c>
      <c r="F21" t="s">
        <v>71</v>
      </c>
      <c r="G21">
        <v>0.131755224147036</v>
      </c>
      <c r="H21">
        <v>2E+20</v>
      </c>
      <c r="I21">
        <v>0</v>
      </c>
      <c r="J21">
        <v>0.50170278459969098</v>
      </c>
      <c r="K21">
        <v>202</v>
      </c>
      <c r="L21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0.11216723717871509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5.8932789290205102E-2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0.18859814086073301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0.72232466187807898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185</v>
      </c>
      <c r="W21">
        <f>IF((DiscreteStatsTable[[#This Row],[RepsRequested]]&gt;1),DiscreteStatsTable[[#This Row],[HalfWidth]],DiscreteStatsTable[[#This Row],[BatchMeansHalfWidth]])</f>
        <v>1.3304366764744478E-2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21</v>
      </c>
      <c r="D22" t="s">
        <v>69</v>
      </c>
      <c r="E22" t="s">
        <v>70</v>
      </c>
      <c r="F22" t="s">
        <v>71</v>
      </c>
      <c r="G22">
        <v>0.18859814086073301</v>
      </c>
      <c r="H22">
        <v>2E+20</v>
      </c>
      <c r="I22">
        <v>0</v>
      </c>
      <c r="J22">
        <v>0.72232466187807898</v>
      </c>
      <c r="K22">
        <v>199</v>
      </c>
      <c r="L22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0.11216723717871509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5.8932789290205102E-2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0.18859814086073301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0.72232466187807898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185</v>
      </c>
      <c r="W22">
        <f>IF((DiscreteStatsTable[[#This Row],[RepsRequested]]&gt;1),DiscreteStatsTable[[#This Row],[HalfWidth]],DiscreteStatsTable[[#This Row],[BatchMeansHalfWidth]])</f>
        <v>1.3304366764744478E-2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22</v>
      </c>
      <c r="D23" t="s">
        <v>69</v>
      </c>
      <c r="E23" t="s">
        <v>70</v>
      </c>
      <c r="F23" t="s">
        <v>71</v>
      </c>
      <c r="G23">
        <v>0.107209158836477</v>
      </c>
      <c r="H23">
        <v>2E+20</v>
      </c>
      <c r="I23">
        <v>0</v>
      </c>
      <c r="J23">
        <v>0.528091798039658</v>
      </c>
      <c r="K23">
        <v>172</v>
      </c>
      <c r="L23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0.11216723717871509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5.8932789290205102E-2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0.18859814086073301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0.72232466187807898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185</v>
      </c>
      <c r="W23">
        <f>IF((DiscreteStatsTable[[#This Row],[RepsRequested]]&gt;1),DiscreteStatsTable[[#This Row],[HalfWidth]],DiscreteStatsTable[[#This Row],[BatchMeansHalfWidth]])</f>
        <v>1.3304366764744478E-2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23</v>
      </c>
      <c r="D24" t="s">
        <v>69</v>
      </c>
      <c r="E24" t="s">
        <v>70</v>
      </c>
      <c r="F24" t="s">
        <v>71</v>
      </c>
      <c r="G24">
        <v>5.9360457129275401E-2</v>
      </c>
      <c r="H24">
        <v>2E+20</v>
      </c>
      <c r="I24">
        <v>0</v>
      </c>
      <c r="J24">
        <v>0.30135834396959699</v>
      </c>
      <c r="K24">
        <v>154</v>
      </c>
      <c r="L24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0.11216723717871509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5.8932789290205102E-2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0.18859814086073301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0.72232466187807898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185</v>
      </c>
      <c r="W24">
        <f>IF((DiscreteStatsTable[[#This Row],[RepsRequested]]&gt;1),DiscreteStatsTable[[#This Row],[HalfWidth]],DiscreteStatsTable[[#This Row],[BatchMeansHalfWidth]])</f>
        <v>1.3304366764744478E-2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24</v>
      </c>
      <c r="D25" t="s">
        <v>69</v>
      </c>
      <c r="E25" t="s">
        <v>70</v>
      </c>
      <c r="F25" t="s">
        <v>71</v>
      </c>
      <c r="G25">
        <v>5.8932789290205102E-2</v>
      </c>
      <c r="H25">
        <v>2E+20</v>
      </c>
      <c r="I25">
        <v>0</v>
      </c>
      <c r="J25">
        <v>0.280996722342929</v>
      </c>
      <c r="K25">
        <v>175</v>
      </c>
      <c r="L25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0.11216723717871509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5.8932789290205102E-2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0.18859814086073301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0.72232466187807898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185</v>
      </c>
      <c r="W25">
        <f>IF((DiscreteStatsTable[[#This Row],[RepsRequested]]&gt;1),DiscreteStatsTable[[#This Row],[HalfWidth]],DiscreteStatsTable[[#This Row],[BatchMeansHalfWidth]])</f>
        <v>1.3304366764744478E-2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25</v>
      </c>
      <c r="D26" t="s">
        <v>69</v>
      </c>
      <c r="E26" t="s">
        <v>70</v>
      </c>
      <c r="F26" t="s">
        <v>71</v>
      </c>
      <c r="G26">
        <v>0.102703418076379</v>
      </c>
      <c r="H26">
        <v>2E+20</v>
      </c>
      <c r="I26">
        <v>0</v>
      </c>
      <c r="J26">
        <v>0.44666928519184801</v>
      </c>
      <c r="K26">
        <v>185</v>
      </c>
      <c r="L26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0.11216723717871509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5.8932789290205102E-2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0.18859814086073301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0.72232466187807898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185</v>
      </c>
      <c r="W26">
        <f>IF((DiscreteStatsTable[[#This Row],[RepsRequested]]&gt;1),DiscreteStatsTable[[#This Row],[HalfWidth]],DiscreteStatsTable[[#This Row],[BatchMeansHalfWidth]])</f>
        <v>1.3304366764744478E-2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26</v>
      </c>
      <c r="D27" t="s">
        <v>69</v>
      </c>
      <c r="E27" t="s">
        <v>70</v>
      </c>
      <c r="F27" t="s">
        <v>71</v>
      </c>
      <c r="G27">
        <v>7.1052441583501297E-2</v>
      </c>
      <c r="H27">
        <v>2E+20</v>
      </c>
      <c r="I27">
        <v>0</v>
      </c>
      <c r="J27">
        <v>0.33730022517479602</v>
      </c>
      <c r="K27">
        <v>164</v>
      </c>
      <c r="L27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0.11216723717871509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5.8932789290205102E-2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0.18859814086073301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0.72232466187807898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185</v>
      </c>
      <c r="W27">
        <f>IF((DiscreteStatsTable[[#This Row],[RepsRequested]]&gt;1),DiscreteStatsTable[[#This Row],[HalfWidth]],DiscreteStatsTable[[#This Row],[BatchMeansHalfWidth]])</f>
        <v>1.3304366764744478E-2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27</v>
      </c>
      <c r="D28" t="s">
        <v>69</v>
      </c>
      <c r="E28" t="s">
        <v>70</v>
      </c>
      <c r="F28" t="s">
        <v>71</v>
      </c>
      <c r="G28">
        <v>0.12846391609114299</v>
      </c>
      <c r="H28">
        <v>2E+20</v>
      </c>
      <c r="I28">
        <v>0</v>
      </c>
      <c r="J28">
        <v>0.57973498180785599</v>
      </c>
      <c r="K28">
        <v>204</v>
      </c>
      <c r="L28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0.11216723717871509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5.8932789290205102E-2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0.18859814086073301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0.72232466187807898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185</v>
      </c>
      <c r="W28">
        <f>IF((DiscreteStatsTable[[#This Row],[RepsRequested]]&gt;1),DiscreteStatsTable[[#This Row],[HalfWidth]],DiscreteStatsTable[[#This Row],[BatchMeansHalfWidth]])</f>
        <v>1.3304366764744478E-2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28</v>
      </c>
      <c r="D29" t="s">
        <v>69</v>
      </c>
      <c r="E29" t="s">
        <v>70</v>
      </c>
      <c r="F29" t="s">
        <v>71</v>
      </c>
      <c r="G29">
        <v>8.5833168462948695E-2</v>
      </c>
      <c r="H29">
        <v>2E+20</v>
      </c>
      <c r="I29">
        <v>0</v>
      </c>
      <c r="J29">
        <v>0.49946906311143302</v>
      </c>
      <c r="K29">
        <v>195</v>
      </c>
      <c r="L29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0.11216723717871509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5.8932789290205102E-2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0.18859814086073301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0.72232466187807898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185</v>
      </c>
      <c r="W29">
        <f>IF((DiscreteStatsTable[[#This Row],[RepsRequested]]&gt;1),DiscreteStatsTable[[#This Row],[HalfWidth]],DiscreteStatsTable[[#This Row],[BatchMeansHalfWidth]])</f>
        <v>1.3304366764744478E-2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29</v>
      </c>
      <c r="D30" t="s">
        <v>69</v>
      </c>
      <c r="E30" t="s">
        <v>70</v>
      </c>
      <c r="F30" t="s">
        <v>71</v>
      </c>
      <c r="G30">
        <v>0.1190986107748</v>
      </c>
      <c r="H30">
        <v>2E+20</v>
      </c>
      <c r="I30">
        <v>0</v>
      </c>
      <c r="J30">
        <v>0.466064969840843</v>
      </c>
      <c r="K30">
        <v>208</v>
      </c>
      <c r="L30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0.11216723717871509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5.8932789290205102E-2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0.18859814086073301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0.72232466187807898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185</v>
      </c>
      <c r="W30">
        <f>IF((DiscreteStatsTable[[#This Row],[RepsRequested]]&gt;1),DiscreteStatsTable[[#This Row],[HalfWidth]],DiscreteStatsTable[[#This Row],[BatchMeansHalfWidth]])</f>
        <v>1.3304366764744478E-2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30</v>
      </c>
      <c r="D31" t="s">
        <v>69</v>
      </c>
      <c r="E31" t="s">
        <v>70</v>
      </c>
      <c r="F31" t="s">
        <v>71</v>
      </c>
      <c r="G31">
        <v>6.0825578195951101E-2</v>
      </c>
      <c r="H31">
        <v>2E+20</v>
      </c>
      <c r="I31">
        <v>0</v>
      </c>
      <c r="J31">
        <v>0.323851169651377</v>
      </c>
      <c r="K31">
        <v>181</v>
      </c>
      <c r="L31" t="str">
        <f>DiscreteStatsTable[[#This Row],[ProjectName]]&amp;DiscreteStatsTable[[#This Row],[Name]]&amp;DiscreteStatsTable[[#This Row],[Type]]&amp;DiscreteStatsTable[[#This Row],[Source]]</f>
        <v>Unnamed ProjectLeaveTornoEntrada.QueueWaiting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0.11216723717871509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3.5629748563461121E-2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1.3304366764744478E-2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5.8932789290205102E-2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0.18859814086073301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0.72232466187807898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185</v>
      </c>
      <c r="W31">
        <f>IF((DiscreteStatsTable[[#This Row],[RepsRequested]]&gt;1),DiscreteStatsTable[[#This Row],[HalfWidth]],DiscreteStatsTable[[#This Row],[BatchMeansHalfWidth]])</f>
        <v>1.3304366764744478E-2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1</v>
      </c>
      <c r="D32" t="s">
        <v>72</v>
      </c>
      <c r="E32" t="s">
        <v>70</v>
      </c>
      <c r="F32" t="s">
        <v>71</v>
      </c>
      <c r="G32">
        <v>6.6193825150385799E-2</v>
      </c>
      <c r="H32">
        <v>2E+20</v>
      </c>
      <c r="I32">
        <v>0</v>
      </c>
      <c r="J32">
        <v>0.38804263584270199</v>
      </c>
      <c r="K32">
        <v>133</v>
      </c>
      <c r="L32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0.11098443472081972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4.8374078077691597E-2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0.20406012099226001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0.72434773894371496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32">
        <f>IF((DiscreteStatsTable[[#This Row],[RepsRequested]]&gt;1),DiscreteStatsTable[[#This Row],[HalfWidth]],DiscreteStatsTable[[#This Row],[BatchMeansHalfWidth]])</f>
        <v>1.5133440034036001E-2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2</v>
      </c>
      <c r="D33" t="s">
        <v>72</v>
      </c>
      <c r="E33" t="s">
        <v>70</v>
      </c>
      <c r="F33" t="s">
        <v>71</v>
      </c>
      <c r="G33">
        <v>0.124598926006505</v>
      </c>
      <c r="H33">
        <v>2E+20</v>
      </c>
      <c r="I33">
        <v>0</v>
      </c>
      <c r="J33">
        <v>0.54312719224037698</v>
      </c>
      <c r="K33">
        <v>136</v>
      </c>
      <c r="L33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0.11098443472081972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4.8374078077691597E-2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0.20406012099226001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0.72434773894371496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33">
        <f>IF((DiscreteStatsTable[[#This Row],[RepsRequested]]&gt;1),DiscreteStatsTable[[#This Row],[HalfWidth]],DiscreteStatsTable[[#This Row],[BatchMeansHalfWidth]])</f>
        <v>1.5133440034036001E-2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3</v>
      </c>
      <c r="D34" t="s">
        <v>72</v>
      </c>
      <c r="E34" t="s">
        <v>70</v>
      </c>
      <c r="F34" t="s">
        <v>71</v>
      </c>
      <c r="G34">
        <v>0.13354305095125399</v>
      </c>
      <c r="H34">
        <v>2E+20</v>
      </c>
      <c r="I34">
        <v>0</v>
      </c>
      <c r="J34">
        <v>0.552534972774543</v>
      </c>
      <c r="K34">
        <v>140</v>
      </c>
      <c r="L34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0.11098443472081972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4.8374078077691597E-2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0.20406012099226001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0.72434773894371496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34">
        <f>IF((DiscreteStatsTable[[#This Row],[RepsRequested]]&gt;1),DiscreteStatsTable[[#This Row],[HalfWidth]],DiscreteStatsTable[[#This Row],[BatchMeansHalfWidth]])</f>
        <v>1.5133440034036001E-2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4</v>
      </c>
      <c r="D35" t="s">
        <v>72</v>
      </c>
      <c r="E35" t="s">
        <v>70</v>
      </c>
      <c r="F35" t="s">
        <v>71</v>
      </c>
      <c r="G35">
        <v>0.13016059447886999</v>
      </c>
      <c r="H35">
        <v>2E+20</v>
      </c>
      <c r="I35">
        <v>0</v>
      </c>
      <c r="J35">
        <v>0.52397335695214697</v>
      </c>
      <c r="K35">
        <v>147</v>
      </c>
      <c r="L35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0.11098443472081972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4.8374078077691597E-2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0.20406012099226001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0.72434773894371496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35">
        <f>IF((DiscreteStatsTable[[#This Row],[RepsRequested]]&gt;1),DiscreteStatsTable[[#This Row],[HalfWidth]],DiscreteStatsTable[[#This Row],[BatchMeansHalfWidth]])</f>
        <v>1.5133440034036001E-2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5</v>
      </c>
      <c r="D36" t="s">
        <v>72</v>
      </c>
      <c r="E36" t="s">
        <v>70</v>
      </c>
      <c r="F36" t="s">
        <v>71</v>
      </c>
      <c r="G36">
        <v>8.58502323048497E-2</v>
      </c>
      <c r="H36">
        <v>2E+20</v>
      </c>
      <c r="I36">
        <v>0</v>
      </c>
      <c r="J36">
        <v>0.43139471959570203</v>
      </c>
      <c r="K36">
        <v>125</v>
      </c>
      <c r="L36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0.11098443472081972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4.8374078077691597E-2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0.20406012099226001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0.72434773894371496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36">
        <f>IF((DiscreteStatsTable[[#This Row],[RepsRequested]]&gt;1),DiscreteStatsTable[[#This Row],[HalfWidth]],DiscreteStatsTable[[#This Row],[BatchMeansHalfWidth]])</f>
        <v>1.5133440034036001E-2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72</v>
      </c>
      <c r="E37" t="s">
        <v>70</v>
      </c>
      <c r="F37" t="s">
        <v>71</v>
      </c>
      <c r="G37">
        <v>9.7692861066880798E-2</v>
      </c>
      <c r="H37">
        <v>2E+20</v>
      </c>
      <c r="I37">
        <v>0</v>
      </c>
      <c r="J37">
        <v>0.47835609276426999</v>
      </c>
      <c r="K37">
        <v>141</v>
      </c>
      <c r="L37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0.11098443472081972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4.8374078077691597E-2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0.20406012099226001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0.72434773894371496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37">
        <f>IF((DiscreteStatsTable[[#This Row],[RepsRequested]]&gt;1),DiscreteStatsTable[[#This Row],[HalfWidth]],DiscreteStatsTable[[#This Row],[BatchMeansHalfWidth]])</f>
        <v>1.5133440034036001E-2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72</v>
      </c>
      <c r="E38" t="s">
        <v>70</v>
      </c>
      <c r="F38" t="s">
        <v>71</v>
      </c>
      <c r="G38">
        <v>0.15964449264543101</v>
      </c>
      <c r="H38">
        <v>2E+20</v>
      </c>
      <c r="I38">
        <v>0</v>
      </c>
      <c r="J38">
        <v>0.55284183642109697</v>
      </c>
      <c r="K38">
        <v>138</v>
      </c>
      <c r="L38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0.11098443472081972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4.8374078077691597E-2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0.20406012099226001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0.72434773894371496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38">
        <f>IF((DiscreteStatsTable[[#This Row],[RepsRequested]]&gt;1),DiscreteStatsTable[[#This Row],[HalfWidth]],DiscreteStatsTable[[#This Row],[BatchMeansHalfWidth]])</f>
        <v>1.5133440034036001E-2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8</v>
      </c>
      <c r="D39" t="s">
        <v>72</v>
      </c>
      <c r="E39" t="s">
        <v>70</v>
      </c>
      <c r="F39" t="s">
        <v>71</v>
      </c>
      <c r="G39">
        <v>0.136486984293021</v>
      </c>
      <c r="H39">
        <v>2E+20</v>
      </c>
      <c r="I39">
        <v>0</v>
      </c>
      <c r="J39">
        <v>0.49201734796327101</v>
      </c>
      <c r="K39">
        <v>149</v>
      </c>
      <c r="L39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0.11098443472081972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4.8374078077691597E-2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0.20406012099226001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0.72434773894371496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39">
        <f>IF((DiscreteStatsTable[[#This Row],[RepsRequested]]&gt;1),DiscreteStatsTable[[#This Row],[HalfWidth]],DiscreteStatsTable[[#This Row],[BatchMeansHalfWidth]])</f>
        <v>1.5133440034036001E-2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9</v>
      </c>
      <c r="D40" t="s">
        <v>72</v>
      </c>
      <c r="E40" t="s">
        <v>70</v>
      </c>
      <c r="F40" t="s">
        <v>71</v>
      </c>
      <c r="G40">
        <v>0.19405359952269699</v>
      </c>
      <c r="H40">
        <v>2E+20</v>
      </c>
      <c r="I40">
        <v>0</v>
      </c>
      <c r="J40">
        <v>0.60207356894573605</v>
      </c>
      <c r="K40">
        <v>136</v>
      </c>
      <c r="L40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0.11098443472081972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4.8374078077691597E-2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0.20406012099226001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0.72434773894371496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40">
        <f>IF((DiscreteStatsTable[[#This Row],[RepsRequested]]&gt;1),DiscreteStatsTable[[#This Row],[HalfWidth]],DiscreteStatsTable[[#This Row],[BatchMeansHalfWidth]])</f>
        <v>1.5133440034036001E-2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10</v>
      </c>
      <c r="D41" t="s">
        <v>72</v>
      </c>
      <c r="E41" t="s">
        <v>70</v>
      </c>
      <c r="F41" t="s">
        <v>71</v>
      </c>
      <c r="G41">
        <v>0.141119689607002</v>
      </c>
      <c r="H41">
        <v>2E+20</v>
      </c>
      <c r="I41">
        <v>0</v>
      </c>
      <c r="J41">
        <v>0.53198353833940903</v>
      </c>
      <c r="K41">
        <v>156</v>
      </c>
      <c r="L41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0.11098443472081972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4.8374078077691597E-2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0.20406012099226001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0.72434773894371496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41">
        <f>IF((DiscreteStatsTable[[#This Row],[RepsRequested]]&gt;1),DiscreteStatsTable[[#This Row],[HalfWidth]],DiscreteStatsTable[[#This Row],[BatchMeansHalfWidth]])</f>
        <v>1.5133440034036001E-2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11</v>
      </c>
      <c r="D42" t="s">
        <v>72</v>
      </c>
      <c r="E42" t="s">
        <v>70</v>
      </c>
      <c r="F42" t="s">
        <v>71</v>
      </c>
      <c r="G42">
        <v>9.8060293083412298E-2</v>
      </c>
      <c r="H42">
        <v>2E+20</v>
      </c>
      <c r="I42">
        <v>0</v>
      </c>
      <c r="J42">
        <v>0.43880010722459001</v>
      </c>
      <c r="K42">
        <v>153</v>
      </c>
      <c r="L42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0.11098443472081972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4.8374078077691597E-2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0.20406012099226001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0.72434773894371496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42">
        <f>IF((DiscreteStatsTable[[#This Row],[RepsRequested]]&gt;1),DiscreteStatsTable[[#This Row],[HalfWidth]],DiscreteStatsTable[[#This Row],[BatchMeansHalfWidth]])</f>
        <v>1.5133440034036001E-2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12</v>
      </c>
      <c r="D43" t="s">
        <v>72</v>
      </c>
      <c r="E43" t="s">
        <v>70</v>
      </c>
      <c r="F43" t="s">
        <v>71</v>
      </c>
      <c r="G43">
        <v>0.103138629322509</v>
      </c>
      <c r="H43">
        <v>2E+20</v>
      </c>
      <c r="I43">
        <v>0</v>
      </c>
      <c r="J43">
        <v>0.48110456646607902</v>
      </c>
      <c r="K43">
        <v>141</v>
      </c>
      <c r="L43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0.11098443472081972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4.8374078077691597E-2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0.20406012099226001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0.72434773894371496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43">
        <f>IF((DiscreteStatsTable[[#This Row],[RepsRequested]]&gt;1),DiscreteStatsTable[[#This Row],[HalfWidth]],DiscreteStatsTable[[#This Row],[BatchMeansHalfWidth]])</f>
        <v>1.5133440034036001E-2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13</v>
      </c>
      <c r="D44" t="s">
        <v>72</v>
      </c>
      <c r="E44" t="s">
        <v>70</v>
      </c>
      <c r="F44" t="s">
        <v>71</v>
      </c>
      <c r="G44">
        <v>0.16190531966351299</v>
      </c>
      <c r="H44">
        <v>2E+20</v>
      </c>
      <c r="I44">
        <v>0</v>
      </c>
      <c r="J44">
        <v>0.53255602873314301</v>
      </c>
      <c r="K44">
        <v>132</v>
      </c>
      <c r="L44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0.11098443472081972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4.8374078077691597E-2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0.20406012099226001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0.72434773894371496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44">
        <f>IF((DiscreteStatsTable[[#This Row],[RepsRequested]]&gt;1),DiscreteStatsTable[[#This Row],[HalfWidth]],DiscreteStatsTable[[#This Row],[BatchMeansHalfWidth]])</f>
        <v>1.5133440034036001E-2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14</v>
      </c>
      <c r="D45" t="s">
        <v>72</v>
      </c>
      <c r="E45" t="s">
        <v>70</v>
      </c>
      <c r="F45" t="s">
        <v>71</v>
      </c>
      <c r="G45">
        <v>6.00616848797823E-2</v>
      </c>
      <c r="H45">
        <v>2E+20</v>
      </c>
      <c r="I45">
        <v>0</v>
      </c>
      <c r="J45">
        <v>0.30839748107770398</v>
      </c>
      <c r="K45">
        <v>126</v>
      </c>
      <c r="L45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0.11098443472081972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4.8374078077691597E-2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0.20406012099226001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0.72434773894371496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45">
        <f>IF((DiscreteStatsTable[[#This Row],[RepsRequested]]&gt;1),DiscreteStatsTable[[#This Row],[HalfWidth]],DiscreteStatsTable[[#This Row],[BatchMeansHalfWidth]])</f>
        <v>1.5133440034036001E-2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15</v>
      </c>
      <c r="D46" t="s">
        <v>72</v>
      </c>
      <c r="E46" t="s">
        <v>70</v>
      </c>
      <c r="F46" t="s">
        <v>71</v>
      </c>
      <c r="G46">
        <v>7.3996671784405804E-2</v>
      </c>
      <c r="H46">
        <v>2E+20</v>
      </c>
      <c r="I46">
        <v>0</v>
      </c>
      <c r="J46">
        <v>0.41227099004490297</v>
      </c>
      <c r="K46">
        <v>139</v>
      </c>
      <c r="L46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0.11098443472081972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4.8374078077691597E-2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0.20406012099226001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0.72434773894371496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46">
        <f>IF((DiscreteStatsTable[[#This Row],[RepsRequested]]&gt;1),DiscreteStatsTable[[#This Row],[HalfWidth]],DiscreteStatsTable[[#This Row],[BatchMeansHalfWidth]])</f>
        <v>1.5133440034036001E-2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16</v>
      </c>
      <c r="D47" t="s">
        <v>72</v>
      </c>
      <c r="E47" t="s">
        <v>70</v>
      </c>
      <c r="F47" t="s">
        <v>71</v>
      </c>
      <c r="G47">
        <v>0.151032689742332</v>
      </c>
      <c r="H47">
        <v>2E+20</v>
      </c>
      <c r="I47">
        <v>0</v>
      </c>
      <c r="J47">
        <v>0.51334397638768103</v>
      </c>
      <c r="K47">
        <v>148</v>
      </c>
      <c r="L47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0.11098443472081972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4.8374078077691597E-2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0.20406012099226001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0.72434773894371496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47">
        <f>IF((DiscreteStatsTable[[#This Row],[RepsRequested]]&gt;1),DiscreteStatsTable[[#This Row],[HalfWidth]],DiscreteStatsTable[[#This Row],[BatchMeansHalfWidth]])</f>
        <v>1.5133440034036001E-2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17</v>
      </c>
      <c r="D48" t="s">
        <v>72</v>
      </c>
      <c r="E48" t="s">
        <v>70</v>
      </c>
      <c r="F48" t="s">
        <v>71</v>
      </c>
      <c r="G48">
        <v>9.9006529120759704E-2</v>
      </c>
      <c r="H48">
        <v>2E+20</v>
      </c>
      <c r="I48">
        <v>0</v>
      </c>
      <c r="J48">
        <v>0.406600947478925</v>
      </c>
      <c r="K48">
        <v>126</v>
      </c>
      <c r="L48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0.11098443472081972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4.8374078077691597E-2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0.20406012099226001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0.72434773894371496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48">
        <f>IF((DiscreteStatsTable[[#This Row],[RepsRequested]]&gt;1),DiscreteStatsTable[[#This Row],[HalfWidth]],DiscreteStatsTable[[#This Row],[BatchMeansHalfWidth]])</f>
        <v>1.5133440034036001E-2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18</v>
      </c>
      <c r="D49" t="s">
        <v>72</v>
      </c>
      <c r="E49" t="s">
        <v>70</v>
      </c>
      <c r="F49" t="s">
        <v>71</v>
      </c>
      <c r="G49">
        <v>9.7682360844754401E-2</v>
      </c>
      <c r="H49">
        <v>2E+20</v>
      </c>
      <c r="I49">
        <v>0</v>
      </c>
      <c r="J49">
        <v>0.41539597937216</v>
      </c>
      <c r="K49">
        <v>141</v>
      </c>
      <c r="L49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0.11098443472081972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4.8374078077691597E-2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0.20406012099226001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0.72434773894371496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49">
        <f>IF((DiscreteStatsTable[[#This Row],[RepsRequested]]&gt;1),DiscreteStatsTable[[#This Row],[HalfWidth]],DiscreteStatsTable[[#This Row],[BatchMeansHalfWidth]])</f>
        <v>1.5133440034036001E-2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19</v>
      </c>
      <c r="D50" t="s">
        <v>72</v>
      </c>
      <c r="E50" t="s">
        <v>70</v>
      </c>
      <c r="F50" t="s">
        <v>71</v>
      </c>
      <c r="G50">
        <v>7.7950845319308307E-2</v>
      </c>
      <c r="H50">
        <v>2E+20</v>
      </c>
      <c r="I50">
        <v>0</v>
      </c>
      <c r="J50">
        <v>0.42950948756042601</v>
      </c>
      <c r="K50">
        <v>141</v>
      </c>
      <c r="L50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0.11098443472081972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4.8374078077691597E-2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0.20406012099226001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0.72434773894371496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50">
        <f>IF((DiscreteStatsTable[[#This Row],[RepsRequested]]&gt;1),DiscreteStatsTable[[#This Row],[HalfWidth]],DiscreteStatsTable[[#This Row],[BatchMeansHalfWidth]])</f>
        <v>1.5133440034036001E-2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20</v>
      </c>
      <c r="D51" t="s">
        <v>72</v>
      </c>
      <c r="E51" t="s">
        <v>70</v>
      </c>
      <c r="F51" t="s">
        <v>71</v>
      </c>
      <c r="G51">
        <v>0.13829859823233601</v>
      </c>
      <c r="H51">
        <v>2E+20</v>
      </c>
      <c r="I51">
        <v>0</v>
      </c>
      <c r="J51">
        <v>0.51927542269760196</v>
      </c>
      <c r="K51">
        <v>158</v>
      </c>
      <c r="L51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0.11098443472081972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4.8374078077691597E-2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0.20406012099226001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0.72434773894371496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51">
        <f>IF((DiscreteStatsTable[[#This Row],[RepsRequested]]&gt;1),DiscreteStatsTable[[#This Row],[HalfWidth]],DiscreteStatsTable[[#This Row],[BatchMeansHalfWidth]])</f>
        <v>1.5133440034036001E-2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21</v>
      </c>
      <c r="D52" t="s">
        <v>72</v>
      </c>
      <c r="E52" t="s">
        <v>70</v>
      </c>
      <c r="F52" t="s">
        <v>71</v>
      </c>
      <c r="G52">
        <v>0.20406012099226001</v>
      </c>
      <c r="H52">
        <v>2E+20</v>
      </c>
      <c r="I52">
        <v>0</v>
      </c>
      <c r="J52">
        <v>0.72434773894371496</v>
      </c>
      <c r="K52">
        <v>158</v>
      </c>
      <c r="L52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0.11098443472081972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4.8374078077691597E-2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0.20406012099226001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0.72434773894371496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52">
        <f>IF((DiscreteStatsTable[[#This Row],[RepsRequested]]&gt;1),DiscreteStatsTable[[#This Row],[HalfWidth]],DiscreteStatsTable[[#This Row],[BatchMeansHalfWidth]])</f>
        <v>1.5133440034036001E-2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22</v>
      </c>
      <c r="D53" t="s">
        <v>72</v>
      </c>
      <c r="E53" t="s">
        <v>70</v>
      </c>
      <c r="F53" t="s">
        <v>71</v>
      </c>
      <c r="G53">
        <v>0.11596158409778499</v>
      </c>
      <c r="H53">
        <v>2E+20</v>
      </c>
      <c r="I53">
        <v>0</v>
      </c>
      <c r="J53">
        <v>0.52879028836295405</v>
      </c>
      <c r="K53">
        <v>133</v>
      </c>
      <c r="L53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0.11098443472081972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4.8374078077691597E-2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0.20406012099226001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0.72434773894371496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53">
        <f>IF((DiscreteStatsTable[[#This Row],[RepsRequested]]&gt;1),DiscreteStatsTable[[#This Row],[HalfWidth]],DiscreteStatsTable[[#This Row],[BatchMeansHalfWidth]])</f>
        <v>1.5133440034036001E-2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23</v>
      </c>
      <c r="D54" t="s">
        <v>72</v>
      </c>
      <c r="E54" t="s">
        <v>70</v>
      </c>
      <c r="F54" t="s">
        <v>71</v>
      </c>
      <c r="G54">
        <v>4.8374078077691597E-2</v>
      </c>
      <c r="H54">
        <v>2E+20</v>
      </c>
      <c r="I54">
        <v>0</v>
      </c>
      <c r="J54">
        <v>0.318682850062107</v>
      </c>
      <c r="K54">
        <v>122</v>
      </c>
      <c r="L54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0.11098443472081972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4.8374078077691597E-2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0.20406012099226001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0.72434773894371496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54">
        <f>IF((DiscreteStatsTable[[#This Row],[RepsRequested]]&gt;1),DiscreteStatsTable[[#This Row],[HalfWidth]],DiscreteStatsTable[[#This Row],[BatchMeansHalfWidth]])</f>
        <v>1.5133440034036001E-2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24</v>
      </c>
      <c r="D55" t="s">
        <v>72</v>
      </c>
      <c r="E55" t="s">
        <v>70</v>
      </c>
      <c r="F55" t="s">
        <v>71</v>
      </c>
      <c r="G55">
        <v>5.0367139842321197E-2</v>
      </c>
      <c r="H55">
        <v>2E+20</v>
      </c>
      <c r="I55">
        <v>0</v>
      </c>
      <c r="J55">
        <v>0.27085729031071398</v>
      </c>
      <c r="K55">
        <v>125</v>
      </c>
      <c r="L55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0.11098443472081972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4.8374078077691597E-2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0.20406012099226001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0.72434773894371496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55">
        <f>IF((DiscreteStatsTable[[#This Row],[RepsRequested]]&gt;1),DiscreteStatsTable[[#This Row],[HalfWidth]],DiscreteStatsTable[[#This Row],[BatchMeansHalfWidth]])</f>
        <v>1.5133440034036001E-2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25</v>
      </c>
      <c r="D56" t="s">
        <v>72</v>
      </c>
      <c r="E56" t="s">
        <v>70</v>
      </c>
      <c r="F56" t="s">
        <v>71</v>
      </c>
      <c r="G56">
        <v>0.110114149867674</v>
      </c>
      <c r="H56">
        <v>2E+20</v>
      </c>
      <c r="I56">
        <v>0</v>
      </c>
      <c r="J56">
        <v>0.44407520387965899</v>
      </c>
      <c r="K56">
        <v>138</v>
      </c>
      <c r="L56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0.11098443472081972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4.8374078077691597E-2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0.20406012099226001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0.72434773894371496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56">
        <f>IF((DiscreteStatsTable[[#This Row],[RepsRequested]]&gt;1),DiscreteStatsTable[[#This Row],[HalfWidth]],DiscreteStatsTable[[#This Row],[BatchMeansHalfWidth]])</f>
        <v>1.5133440034036001E-2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26</v>
      </c>
      <c r="D57" t="s">
        <v>72</v>
      </c>
      <c r="E57" t="s">
        <v>70</v>
      </c>
      <c r="F57" t="s">
        <v>71</v>
      </c>
      <c r="G57">
        <v>6.0870283539900802E-2</v>
      </c>
      <c r="H57">
        <v>2E+20</v>
      </c>
      <c r="I57">
        <v>0</v>
      </c>
      <c r="J57">
        <v>0.335364580476601</v>
      </c>
      <c r="K57">
        <v>125</v>
      </c>
      <c r="L57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0.11098443472081972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4.8374078077691597E-2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0.20406012099226001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0.72434773894371496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57">
        <f>IF((DiscreteStatsTable[[#This Row],[RepsRequested]]&gt;1),DiscreteStatsTable[[#This Row],[HalfWidth]],DiscreteStatsTable[[#This Row],[BatchMeansHalfWidth]])</f>
        <v>1.5133440034036001E-2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27</v>
      </c>
      <c r="D58" t="s">
        <v>72</v>
      </c>
      <c r="E58" t="s">
        <v>70</v>
      </c>
      <c r="F58" t="s">
        <v>71</v>
      </c>
      <c r="G58">
        <v>0.14929700577247401</v>
      </c>
      <c r="H58">
        <v>2E+20</v>
      </c>
      <c r="I58">
        <v>0</v>
      </c>
      <c r="J58">
        <v>0.58234382082749903</v>
      </c>
      <c r="K58">
        <v>149</v>
      </c>
      <c r="L58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0.11098443472081972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4.8374078077691597E-2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0.20406012099226001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0.72434773894371496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58">
        <f>IF((DiscreteStatsTable[[#This Row],[RepsRequested]]&gt;1),DiscreteStatsTable[[#This Row],[HalfWidth]],DiscreteStatsTable[[#This Row],[BatchMeansHalfWidth]])</f>
        <v>1.5133440034036001E-2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28</v>
      </c>
      <c r="D59" t="s">
        <v>72</v>
      </c>
      <c r="E59" t="s">
        <v>70</v>
      </c>
      <c r="F59" t="s">
        <v>71</v>
      </c>
      <c r="G59">
        <v>9.5232948258475697E-2</v>
      </c>
      <c r="H59">
        <v>2E+20</v>
      </c>
      <c r="I59">
        <v>0</v>
      </c>
      <c r="J59">
        <v>0.50707092745541404</v>
      </c>
      <c r="K59">
        <v>144</v>
      </c>
      <c r="L59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0.11098443472081972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4.8374078077691597E-2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0.20406012099226001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0.72434773894371496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59">
        <f>IF((DiscreteStatsTable[[#This Row],[RepsRequested]]&gt;1),DiscreteStatsTable[[#This Row],[HalfWidth]],DiscreteStatsTable[[#This Row],[BatchMeansHalfWidth]])</f>
        <v>1.5133440034036001E-2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29</v>
      </c>
      <c r="D60" t="s">
        <v>72</v>
      </c>
      <c r="E60" t="s">
        <v>70</v>
      </c>
      <c r="F60" t="s">
        <v>71</v>
      </c>
      <c r="G60">
        <v>9.3336018350031594E-2</v>
      </c>
      <c r="H60">
        <v>2E+20</v>
      </c>
      <c r="I60">
        <v>0</v>
      </c>
      <c r="J60">
        <v>0.44131936252778797</v>
      </c>
      <c r="K60">
        <v>156</v>
      </c>
      <c r="L60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0.11098443472081972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4.8374078077691597E-2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0.20406012099226001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0.72434773894371496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60">
        <f>IF((DiscreteStatsTable[[#This Row],[RepsRequested]]&gt;1),DiscreteStatsTable[[#This Row],[HalfWidth]],DiscreteStatsTable[[#This Row],[BatchMeansHalfWidth]])</f>
        <v>1.5133440034036001E-2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30</v>
      </c>
      <c r="D61" t="s">
        <v>72</v>
      </c>
      <c r="E61" t="s">
        <v>70</v>
      </c>
      <c r="F61" t="s">
        <v>71</v>
      </c>
      <c r="G61">
        <v>7.1441834805969107E-2</v>
      </c>
      <c r="H61">
        <v>2E+20</v>
      </c>
      <c r="I61">
        <v>0</v>
      </c>
      <c r="J61">
        <v>0.32762679294068803</v>
      </c>
      <c r="K61">
        <v>133</v>
      </c>
      <c r="L61" t="str">
        <f>DiscreteStatsTable[[#This Row],[ProjectName]]&amp;DiscreteStatsTable[[#This Row],[Name]]&amp;DiscreteStatsTable[[#This Row],[Type]]&amp;DiscreteStatsTable[[#This Row],[Source]]</f>
        <v>Unnamed ProjectLeaveTornoSalida.QueueWaiting TimeQueue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0.11098443472081972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4.0528096740519687E-2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1.5133440034036001E-2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4.8374078077691597E-2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0.20406012099226001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0.72434773894371496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139.63333333333333</v>
      </c>
      <c r="W61">
        <f>IF((DiscreteStatsTable[[#This Row],[RepsRequested]]&gt;1),DiscreteStatsTable[[#This Row],[HalfWidth]],DiscreteStatsTable[[#This Row],[BatchMeansHalfWidth]])</f>
        <v>1.5133440034036001E-2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</v>
      </c>
      <c r="D62" t="s">
        <v>73</v>
      </c>
      <c r="E62" t="s">
        <v>70</v>
      </c>
      <c r="F62" t="s">
        <v>71</v>
      </c>
      <c r="G62">
        <v>8.8199675313100898E-2</v>
      </c>
      <c r="H62">
        <v>2E+20</v>
      </c>
      <c r="I62">
        <v>0</v>
      </c>
      <c r="J62">
        <v>0.33924586647446803</v>
      </c>
      <c r="K62">
        <v>181</v>
      </c>
      <c r="L62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0.12894768842099902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2.8461161719687902E-2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0.49319397120587899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0.95005336062891699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62">
        <f>IF((DiscreteStatsTable[[#This Row],[RepsRequested]]&gt;1),DiscreteStatsTable[[#This Row],[HalfWidth]],DiscreteStatsTable[[#This Row],[BatchMeansHalfWidth]])</f>
        <v>3.7057949782129528E-2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2</v>
      </c>
      <c r="D63" t="s">
        <v>73</v>
      </c>
      <c r="E63" t="s">
        <v>70</v>
      </c>
      <c r="F63" t="s">
        <v>71</v>
      </c>
      <c r="G63">
        <v>4.0934107560121398E-2</v>
      </c>
      <c r="H63">
        <v>2E+20</v>
      </c>
      <c r="I63">
        <v>0</v>
      </c>
      <c r="J63">
        <v>0.19728853484033401</v>
      </c>
      <c r="K63">
        <v>179</v>
      </c>
      <c r="L63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0.12894768842099902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2.8461161719687902E-2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0.49319397120587899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0.95005336062891699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63">
        <f>IF((DiscreteStatsTable[[#This Row],[RepsRequested]]&gt;1),DiscreteStatsTable[[#This Row],[HalfWidth]],DiscreteStatsTable[[#This Row],[BatchMeansHalfWidth]])</f>
        <v>3.7057949782129528E-2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3</v>
      </c>
      <c r="D64" t="s">
        <v>73</v>
      </c>
      <c r="E64" t="s">
        <v>70</v>
      </c>
      <c r="F64" t="s">
        <v>71</v>
      </c>
      <c r="G64">
        <v>2.8461161719687902E-2</v>
      </c>
      <c r="H64">
        <v>2E+20</v>
      </c>
      <c r="I64">
        <v>0</v>
      </c>
      <c r="J64">
        <v>0.14921387514635101</v>
      </c>
      <c r="K64">
        <v>187</v>
      </c>
      <c r="L64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0.12894768842099902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2.8461161719687902E-2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0.49319397120587899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0.95005336062891699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64">
        <f>IF((DiscreteStatsTable[[#This Row],[RepsRequested]]&gt;1),DiscreteStatsTable[[#This Row],[HalfWidth]],DiscreteStatsTable[[#This Row],[BatchMeansHalfWidth]])</f>
        <v>3.7057949782129528E-2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4</v>
      </c>
      <c r="D65" t="s">
        <v>73</v>
      </c>
      <c r="E65" t="s">
        <v>70</v>
      </c>
      <c r="F65" t="s">
        <v>71</v>
      </c>
      <c r="G65">
        <v>0.123460722793547</v>
      </c>
      <c r="H65">
        <v>2E+20</v>
      </c>
      <c r="I65">
        <v>0</v>
      </c>
      <c r="J65">
        <v>0.660606496370721</v>
      </c>
      <c r="K65">
        <v>188</v>
      </c>
      <c r="L65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0.12894768842099902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2.8461161719687902E-2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0.49319397120587899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0.95005336062891699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65">
        <f>IF((DiscreteStatsTable[[#This Row],[RepsRequested]]&gt;1),DiscreteStatsTable[[#This Row],[HalfWidth]],DiscreteStatsTable[[#This Row],[BatchMeansHalfWidth]])</f>
        <v>3.7057949782129528E-2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5</v>
      </c>
      <c r="D66" t="s">
        <v>73</v>
      </c>
      <c r="E66" t="s">
        <v>70</v>
      </c>
      <c r="F66" t="s">
        <v>71</v>
      </c>
      <c r="G66">
        <v>5.9513462594645301E-2</v>
      </c>
      <c r="H66">
        <v>2E+20</v>
      </c>
      <c r="I66">
        <v>0</v>
      </c>
      <c r="J66">
        <v>0.28555898743993502</v>
      </c>
      <c r="K66">
        <v>177</v>
      </c>
      <c r="L66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0.12894768842099902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2.8461161719687902E-2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0.49319397120587899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0.95005336062891699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66">
        <f>IF((DiscreteStatsTable[[#This Row],[RepsRequested]]&gt;1),DiscreteStatsTable[[#This Row],[HalfWidth]],DiscreteStatsTable[[#This Row],[BatchMeansHalfWidth]])</f>
        <v>3.7057949782129528E-2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6</v>
      </c>
      <c r="D67" t="s">
        <v>73</v>
      </c>
      <c r="E67" t="s">
        <v>70</v>
      </c>
      <c r="F67" t="s">
        <v>71</v>
      </c>
      <c r="G67">
        <v>6.1702655114709397E-2</v>
      </c>
      <c r="H67">
        <v>2E+20</v>
      </c>
      <c r="I67">
        <v>0</v>
      </c>
      <c r="J67">
        <v>0.440435483309772</v>
      </c>
      <c r="K67">
        <v>180</v>
      </c>
      <c r="L67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0.12894768842099902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2.8461161719687902E-2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0.49319397120587899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0.95005336062891699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67">
        <f>IF((DiscreteStatsTable[[#This Row],[RepsRequested]]&gt;1),DiscreteStatsTable[[#This Row],[HalfWidth]],DiscreteStatsTable[[#This Row],[BatchMeansHalfWidth]])</f>
        <v>3.7057949782129528E-2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7</v>
      </c>
      <c r="D68" t="s">
        <v>73</v>
      </c>
      <c r="E68" t="s">
        <v>70</v>
      </c>
      <c r="F68" t="s">
        <v>71</v>
      </c>
      <c r="G68">
        <v>7.7389535833358794E-2</v>
      </c>
      <c r="H68">
        <v>2E+20</v>
      </c>
      <c r="I68">
        <v>0</v>
      </c>
      <c r="J68">
        <v>0.333643634386184</v>
      </c>
      <c r="K68">
        <v>191</v>
      </c>
      <c r="L68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0.12894768842099902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2.8461161719687902E-2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0.49319397120587899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0.95005336062891699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68">
        <f>IF((DiscreteStatsTable[[#This Row],[RepsRequested]]&gt;1),DiscreteStatsTable[[#This Row],[HalfWidth]],DiscreteStatsTable[[#This Row],[BatchMeansHalfWidth]])</f>
        <v>3.7057949782129528E-2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8</v>
      </c>
      <c r="D69" t="s">
        <v>73</v>
      </c>
      <c r="E69" t="s">
        <v>70</v>
      </c>
      <c r="F69" t="s">
        <v>71</v>
      </c>
      <c r="G69">
        <v>0.129688309757997</v>
      </c>
      <c r="H69">
        <v>2E+20</v>
      </c>
      <c r="I69">
        <v>0</v>
      </c>
      <c r="J69">
        <v>0.42892292626318901</v>
      </c>
      <c r="K69">
        <v>183</v>
      </c>
      <c r="L69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0.12894768842099902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2.8461161719687902E-2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0.49319397120587899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0.95005336062891699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69">
        <f>IF((DiscreteStatsTable[[#This Row],[RepsRequested]]&gt;1),DiscreteStatsTable[[#This Row],[HalfWidth]],DiscreteStatsTable[[#This Row],[BatchMeansHalfWidth]])</f>
        <v>3.7057949782129528E-2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9</v>
      </c>
      <c r="D70" t="s">
        <v>73</v>
      </c>
      <c r="E70" t="s">
        <v>70</v>
      </c>
      <c r="F70" t="s">
        <v>71</v>
      </c>
      <c r="G70">
        <v>8.6115055946779095E-2</v>
      </c>
      <c r="H70">
        <v>2E+20</v>
      </c>
      <c r="I70">
        <v>0</v>
      </c>
      <c r="J70">
        <v>0.38145491229461198</v>
      </c>
      <c r="K70">
        <v>191</v>
      </c>
      <c r="L70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0.12894768842099902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2.8461161719687902E-2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0.49319397120587899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0.95005336062891699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70">
        <f>IF((DiscreteStatsTable[[#This Row],[RepsRequested]]&gt;1),DiscreteStatsTable[[#This Row],[HalfWidth]],DiscreteStatsTable[[#This Row],[BatchMeansHalfWidth]])</f>
        <v>3.7057949782129528E-2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10</v>
      </c>
      <c r="D71" t="s">
        <v>73</v>
      </c>
      <c r="E71" t="s">
        <v>70</v>
      </c>
      <c r="F71" t="s">
        <v>71</v>
      </c>
      <c r="G71">
        <v>0.49319397120587899</v>
      </c>
      <c r="H71">
        <v>2E+20</v>
      </c>
      <c r="I71">
        <v>0</v>
      </c>
      <c r="J71">
        <v>0.95005336062891699</v>
      </c>
      <c r="K71">
        <v>219</v>
      </c>
      <c r="L71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0.12894768842099902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2.8461161719687902E-2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0.49319397120587899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0.95005336062891699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71">
        <f>IF((DiscreteStatsTable[[#This Row],[RepsRequested]]&gt;1),DiscreteStatsTable[[#This Row],[HalfWidth]],DiscreteStatsTable[[#This Row],[BatchMeansHalfWidth]])</f>
        <v>3.7057949782129528E-2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11</v>
      </c>
      <c r="D72" t="s">
        <v>73</v>
      </c>
      <c r="E72" t="s">
        <v>70</v>
      </c>
      <c r="F72" t="s">
        <v>71</v>
      </c>
      <c r="G72">
        <v>6.5730821993598199E-2</v>
      </c>
      <c r="H72">
        <v>2E+20</v>
      </c>
      <c r="I72">
        <v>0</v>
      </c>
      <c r="J72">
        <v>0.24833804271895901</v>
      </c>
      <c r="K72">
        <v>196</v>
      </c>
      <c r="L72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0.12894768842099902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2.8461161719687902E-2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0.49319397120587899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0.95005336062891699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72">
        <f>IF((DiscreteStatsTable[[#This Row],[RepsRequested]]&gt;1),DiscreteStatsTable[[#This Row],[HalfWidth]],DiscreteStatsTable[[#This Row],[BatchMeansHalfWidth]])</f>
        <v>3.7057949782129528E-2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73</v>
      </c>
      <c r="E73" t="s">
        <v>70</v>
      </c>
      <c r="F73" t="s">
        <v>71</v>
      </c>
      <c r="G73">
        <v>0.138649650542645</v>
      </c>
      <c r="H73">
        <v>2E+20</v>
      </c>
      <c r="I73">
        <v>0</v>
      </c>
      <c r="J73">
        <v>0.37784888146495799</v>
      </c>
      <c r="K73">
        <v>179</v>
      </c>
      <c r="L73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0.12894768842099902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2.8461161719687902E-2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0.49319397120587899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0.95005336062891699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73">
        <f>IF((DiscreteStatsTable[[#This Row],[RepsRequested]]&gt;1),DiscreteStatsTable[[#This Row],[HalfWidth]],DiscreteStatsTable[[#This Row],[BatchMeansHalfWidth]])</f>
        <v>3.7057949782129528E-2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73</v>
      </c>
      <c r="E74" t="s">
        <v>70</v>
      </c>
      <c r="F74" t="s">
        <v>71</v>
      </c>
      <c r="G74">
        <v>0.10851325955747899</v>
      </c>
      <c r="H74">
        <v>2E+20</v>
      </c>
      <c r="I74">
        <v>0</v>
      </c>
      <c r="J74">
        <v>0.27040211719027302</v>
      </c>
      <c r="K74">
        <v>187</v>
      </c>
      <c r="L74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0.12894768842099902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2.8461161719687902E-2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0.49319397120587899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0.95005336062891699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74">
        <f>IF((DiscreteStatsTable[[#This Row],[RepsRequested]]&gt;1),DiscreteStatsTable[[#This Row],[HalfWidth]],DiscreteStatsTable[[#This Row],[BatchMeansHalfWidth]])</f>
        <v>3.7057949782129528E-2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14</v>
      </c>
      <c r="D75" t="s">
        <v>73</v>
      </c>
      <c r="E75" t="s">
        <v>70</v>
      </c>
      <c r="F75" t="s">
        <v>71</v>
      </c>
      <c r="G75">
        <v>6.9379343276293998E-2</v>
      </c>
      <c r="H75">
        <v>2E+20</v>
      </c>
      <c r="I75">
        <v>0</v>
      </c>
      <c r="J75">
        <v>0.29122829124846999</v>
      </c>
      <c r="K75">
        <v>165</v>
      </c>
      <c r="L75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0.12894768842099902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2.8461161719687902E-2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0.49319397120587899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0.95005336062891699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75">
        <f>IF((DiscreteStatsTable[[#This Row],[RepsRequested]]&gt;1),DiscreteStatsTable[[#This Row],[HalfWidth]],DiscreteStatsTable[[#This Row],[BatchMeansHalfWidth]])</f>
        <v>3.7057949782129528E-2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15</v>
      </c>
      <c r="D76" t="s">
        <v>73</v>
      </c>
      <c r="E76" t="s">
        <v>70</v>
      </c>
      <c r="F76" t="s">
        <v>71</v>
      </c>
      <c r="G76">
        <v>4.0137037777132699E-2</v>
      </c>
      <c r="H76">
        <v>2E+20</v>
      </c>
      <c r="I76">
        <v>0</v>
      </c>
      <c r="J76">
        <v>0.18293337566391901</v>
      </c>
      <c r="K76">
        <v>174</v>
      </c>
      <c r="L76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0.12894768842099902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2.8461161719687902E-2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0.49319397120587899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0.95005336062891699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76">
        <f>IF((DiscreteStatsTable[[#This Row],[RepsRequested]]&gt;1),DiscreteStatsTable[[#This Row],[HalfWidth]],DiscreteStatsTable[[#This Row],[BatchMeansHalfWidth]])</f>
        <v>3.7057949782129528E-2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16</v>
      </c>
      <c r="D77" t="s">
        <v>73</v>
      </c>
      <c r="E77" t="s">
        <v>70</v>
      </c>
      <c r="F77" t="s">
        <v>71</v>
      </c>
      <c r="G77">
        <v>0.205376702852264</v>
      </c>
      <c r="H77">
        <v>2E+20</v>
      </c>
      <c r="I77">
        <v>0</v>
      </c>
      <c r="J77">
        <v>0.46170158932828897</v>
      </c>
      <c r="K77">
        <v>207</v>
      </c>
      <c r="L77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0.12894768842099902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2.8461161719687902E-2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0.49319397120587899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0.95005336062891699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77">
        <f>IF((DiscreteStatsTable[[#This Row],[RepsRequested]]&gt;1),DiscreteStatsTable[[#This Row],[HalfWidth]],DiscreteStatsTable[[#This Row],[BatchMeansHalfWidth]])</f>
        <v>3.7057949782129528E-2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17</v>
      </c>
      <c r="D78" t="s">
        <v>73</v>
      </c>
      <c r="E78" t="s">
        <v>70</v>
      </c>
      <c r="F78" t="s">
        <v>71</v>
      </c>
      <c r="G78">
        <v>0.18614172839259799</v>
      </c>
      <c r="H78">
        <v>2E+20</v>
      </c>
      <c r="I78">
        <v>0</v>
      </c>
      <c r="J78">
        <v>0.48733217380085297</v>
      </c>
      <c r="K78">
        <v>183</v>
      </c>
      <c r="L78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0.12894768842099902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2.8461161719687902E-2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0.49319397120587899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0.95005336062891699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78">
        <f>IF((DiscreteStatsTable[[#This Row],[RepsRequested]]&gt;1),DiscreteStatsTable[[#This Row],[HalfWidth]],DiscreteStatsTable[[#This Row],[BatchMeansHalfWidth]])</f>
        <v>3.7057949782129528E-2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18</v>
      </c>
      <c r="D79" t="s">
        <v>73</v>
      </c>
      <c r="E79" t="s">
        <v>70</v>
      </c>
      <c r="F79" t="s">
        <v>71</v>
      </c>
      <c r="G79">
        <v>0.142472184943776</v>
      </c>
      <c r="H79">
        <v>2E+20</v>
      </c>
      <c r="I79">
        <v>0</v>
      </c>
      <c r="J79">
        <v>0.35169734062180502</v>
      </c>
      <c r="K79">
        <v>206</v>
      </c>
      <c r="L79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0.12894768842099902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2.8461161719687902E-2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0.49319397120587899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0.95005336062891699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79">
        <f>IF((DiscreteStatsTable[[#This Row],[RepsRequested]]&gt;1),DiscreteStatsTable[[#This Row],[HalfWidth]],DiscreteStatsTable[[#This Row],[BatchMeansHalfWidth]])</f>
        <v>3.7057949782129528E-2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19</v>
      </c>
      <c r="D80" t="s">
        <v>73</v>
      </c>
      <c r="E80" t="s">
        <v>70</v>
      </c>
      <c r="F80" t="s">
        <v>71</v>
      </c>
      <c r="G80">
        <v>8.4982627362611293E-2</v>
      </c>
      <c r="H80">
        <v>2E+20</v>
      </c>
      <c r="I80">
        <v>0</v>
      </c>
      <c r="J80">
        <v>0.37638358572989</v>
      </c>
      <c r="K80">
        <v>193</v>
      </c>
      <c r="L80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0.12894768842099902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2.8461161719687902E-2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0.49319397120587899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0.95005336062891699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80">
        <f>IF((DiscreteStatsTable[[#This Row],[RepsRequested]]&gt;1),DiscreteStatsTable[[#This Row],[HalfWidth]],DiscreteStatsTable[[#This Row],[BatchMeansHalfWidth]])</f>
        <v>3.7057949782129528E-2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20</v>
      </c>
      <c r="D81" t="s">
        <v>73</v>
      </c>
      <c r="E81" t="s">
        <v>70</v>
      </c>
      <c r="F81" t="s">
        <v>71</v>
      </c>
      <c r="G81">
        <v>0.28642189503764498</v>
      </c>
      <c r="H81">
        <v>2E+20</v>
      </c>
      <c r="I81">
        <v>0</v>
      </c>
      <c r="J81">
        <v>0.61923365379755801</v>
      </c>
      <c r="K81">
        <v>205</v>
      </c>
      <c r="L81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0.12894768842099902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2.8461161719687902E-2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0.49319397120587899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0.95005336062891699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81">
        <f>IF((DiscreteStatsTable[[#This Row],[RepsRequested]]&gt;1),DiscreteStatsTable[[#This Row],[HalfWidth]],DiscreteStatsTable[[#This Row],[BatchMeansHalfWidth]])</f>
        <v>3.7057949782129528E-2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21</v>
      </c>
      <c r="D82" t="s">
        <v>73</v>
      </c>
      <c r="E82" t="s">
        <v>70</v>
      </c>
      <c r="F82" t="s">
        <v>71</v>
      </c>
      <c r="G82">
        <v>0.23435245274004601</v>
      </c>
      <c r="H82">
        <v>2E+20</v>
      </c>
      <c r="I82">
        <v>0</v>
      </c>
      <c r="J82">
        <v>0.56067788780016403</v>
      </c>
      <c r="K82">
        <v>202</v>
      </c>
      <c r="L82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0.12894768842099902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2.8461161719687902E-2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0.49319397120587899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0.95005336062891699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82">
        <f>IF((DiscreteStatsTable[[#This Row],[RepsRequested]]&gt;1),DiscreteStatsTable[[#This Row],[HalfWidth]],DiscreteStatsTable[[#This Row],[BatchMeansHalfWidth]])</f>
        <v>3.7057949782129528E-2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22</v>
      </c>
      <c r="D83" t="s">
        <v>73</v>
      </c>
      <c r="E83" t="s">
        <v>70</v>
      </c>
      <c r="F83" t="s">
        <v>71</v>
      </c>
      <c r="G83">
        <v>4.9028294413408301E-2</v>
      </c>
      <c r="H83">
        <v>2E+20</v>
      </c>
      <c r="I83">
        <v>0</v>
      </c>
      <c r="J83">
        <v>0.185487135701632</v>
      </c>
      <c r="K83">
        <v>175</v>
      </c>
      <c r="L83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0.12894768842099902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2.8461161719687902E-2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0.49319397120587899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0.95005336062891699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83">
        <f>IF((DiscreteStatsTable[[#This Row],[RepsRequested]]&gt;1),DiscreteStatsTable[[#This Row],[HalfWidth]],DiscreteStatsTable[[#This Row],[BatchMeansHalfWidth]])</f>
        <v>3.7057949782129528E-2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23</v>
      </c>
      <c r="D84" t="s">
        <v>73</v>
      </c>
      <c r="E84" t="s">
        <v>70</v>
      </c>
      <c r="F84" t="s">
        <v>71</v>
      </c>
      <c r="G84">
        <v>5.6350896882948399E-2</v>
      </c>
      <c r="H84">
        <v>2E+20</v>
      </c>
      <c r="I84">
        <v>0</v>
      </c>
      <c r="J84">
        <v>0.206480242188785</v>
      </c>
      <c r="K84">
        <v>157</v>
      </c>
      <c r="L84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0.12894768842099902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2.8461161719687902E-2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0.49319397120587899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0.95005336062891699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84">
        <f>IF((DiscreteStatsTable[[#This Row],[RepsRequested]]&gt;1),DiscreteStatsTable[[#This Row],[HalfWidth]],DiscreteStatsTable[[#This Row],[BatchMeansHalfWidth]])</f>
        <v>3.7057949782129528E-2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24</v>
      </c>
      <c r="D85" t="s">
        <v>73</v>
      </c>
      <c r="E85" t="s">
        <v>70</v>
      </c>
      <c r="F85" t="s">
        <v>71</v>
      </c>
      <c r="G85">
        <v>0.236707085990397</v>
      </c>
      <c r="H85">
        <v>2E+20</v>
      </c>
      <c r="I85">
        <v>0</v>
      </c>
      <c r="J85">
        <v>0.53064079526971997</v>
      </c>
      <c r="K85">
        <v>178</v>
      </c>
      <c r="L85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0.12894768842099902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2.8461161719687902E-2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0.49319397120587899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0.95005336062891699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85">
        <f>IF((DiscreteStatsTable[[#This Row],[RepsRequested]]&gt;1),DiscreteStatsTable[[#This Row],[HalfWidth]],DiscreteStatsTable[[#This Row],[BatchMeansHalfWidth]])</f>
        <v>3.7057949782129528E-2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25</v>
      </c>
      <c r="D86" t="s">
        <v>73</v>
      </c>
      <c r="E86" t="s">
        <v>70</v>
      </c>
      <c r="F86" t="s">
        <v>71</v>
      </c>
      <c r="G86">
        <v>6.8260906228521101E-2</v>
      </c>
      <c r="H86">
        <v>2E+20</v>
      </c>
      <c r="I86">
        <v>0</v>
      </c>
      <c r="J86">
        <v>0.242097775585633</v>
      </c>
      <c r="K86">
        <v>187</v>
      </c>
      <c r="L86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0.12894768842099902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2.8461161719687902E-2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0.49319397120587899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0.95005336062891699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86">
        <f>IF((DiscreteStatsTable[[#This Row],[RepsRequested]]&gt;1),DiscreteStatsTable[[#This Row],[HalfWidth]],DiscreteStatsTable[[#This Row],[BatchMeansHalfWidth]])</f>
        <v>3.7057949782129528E-2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26</v>
      </c>
      <c r="D87" t="s">
        <v>73</v>
      </c>
      <c r="E87" t="s">
        <v>70</v>
      </c>
      <c r="F87" t="s">
        <v>71</v>
      </c>
      <c r="G87">
        <v>4.3612932534210301E-2</v>
      </c>
      <c r="H87">
        <v>2E+20</v>
      </c>
      <c r="I87">
        <v>0</v>
      </c>
      <c r="J87">
        <v>0.26732977694161397</v>
      </c>
      <c r="K87">
        <v>167</v>
      </c>
      <c r="L87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0.12894768842099902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2.8461161719687902E-2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0.49319397120587899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0.95005336062891699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87">
        <f>IF((DiscreteStatsTable[[#This Row],[RepsRequested]]&gt;1),DiscreteStatsTable[[#This Row],[HalfWidth]],DiscreteStatsTable[[#This Row],[BatchMeansHalfWidth]])</f>
        <v>3.7057949782129528E-2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27</v>
      </c>
      <c r="D88" t="s">
        <v>73</v>
      </c>
      <c r="E88" t="s">
        <v>70</v>
      </c>
      <c r="F88" t="s">
        <v>71</v>
      </c>
      <c r="G88">
        <v>0.27553626862528802</v>
      </c>
      <c r="H88">
        <v>2E+20</v>
      </c>
      <c r="I88">
        <v>0</v>
      </c>
      <c r="J88">
        <v>0.70874769510281699</v>
      </c>
      <c r="K88">
        <v>207</v>
      </c>
      <c r="L88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0.12894768842099902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2.8461161719687902E-2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0.49319397120587899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0.95005336062891699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88">
        <f>IF((DiscreteStatsTable[[#This Row],[RepsRequested]]&gt;1),DiscreteStatsTable[[#This Row],[HalfWidth]],DiscreteStatsTable[[#This Row],[BatchMeansHalfWidth]])</f>
        <v>3.7057949782129528E-2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28</v>
      </c>
      <c r="D89" t="s">
        <v>73</v>
      </c>
      <c r="E89" t="s">
        <v>70</v>
      </c>
      <c r="F89" t="s">
        <v>71</v>
      </c>
      <c r="G89">
        <v>0.13364037623399599</v>
      </c>
      <c r="H89">
        <v>2E+20</v>
      </c>
      <c r="I89">
        <v>0</v>
      </c>
      <c r="J89">
        <v>0.53076394328197196</v>
      </c>
      <c r="K89">
        <v>197</v>
      </c>
      <c r="L89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0.12894768842099902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2.8461161719687902E-2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0.49319397120587899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0.95005336062891699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89">
        <f>IF((DiscreteStatsTable[[#This Row],[RepsRequested]]&gt;1),DiscreteStatsTable[[#This Row],[HalfWidth]],DiscreteStatsTable[[#This Row],[BatchMeansHalfWidth]])</f>
        <v>3.7057949782129528E-2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29</v>
      </c>
      <c r="D90" t="s">
        <v>73</v>
      </c>
      <c r="E90" t="s">
        <v>70</v>
      </c>
      <c r="F90" t="s">
        <v>71</v>
      </c>
      <c r="G90">
        <v>0.146589781965584</v>
      </c>
      <c r="H90">
        <v>2E+20</v>
      </c>
      <c r="I90">
        <v>0</v>
      </c>
      <c r="J90">
        <v>0.41928856131749498</v>
      </c>
      <c r="K90">
        <v>211</v>
      </c>
      <c r="L90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0.12894768842099902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2.8461161719687902E-2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0.49319397120587899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0.95005336062891699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90">
        <f>IF((DiscreteStatsTable[[#This Row],[RepsRequested]]&gt;1),DiscreteStatsTable[[#This Row],[HalfWidth]],DiscreteStatsTable[[#This Row],[BatchMeansHalfWidth]])</f>
        <v>3.7057949782129528E-2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30</v>
      </c>
      <c r="D91" t="s">
        <v>73</v>
      </c>
      <c r="E91" t="s">
        <v>70</v>
      </c>
      <c r="F91" t="s">
        <v>71</v>
      </c>
      <c r="G91">
        <v>0.107887747439703</v>
      </c>
      <c r="H91">
        <v>2E+20</v>
      </c>
      <c r="I91">
        <v>0</v>
      </c>
      <c r="J91">
        <v>0.39205238236028001</v>
      </c>
      <c r="K91">
        <v>184</v>
      </c>
      <c r="L91" t="str">
        <f>DiscreteStatsTable[[#This Row],[ProjectName]]&amp;DiscreteStatsTable[[#This Row],[Name]]&amp;DiscreteStatsTable[[#This Row],[Type]]&amp;DiscreteStatsTable[[#This Row],[Source]]</f>
        <v>Unnamed ProjectMostrador.QueueWaiting TimeQueue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0.12894768842099902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9.9243012190065885E-2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3.7057949782129528E-2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2.8461161719687902E-2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0.49319397120587899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0.95005336062891699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187.86666666666667</v>
      </c>
      <c r="W91">
        <f>IF((DiscreteStatsTable[[#This Row],[RepsRequested]]&gt;1),DiscreteStatsTable[[#This Row],[HalfWidth]],DiscreteStatsTable[[#This Row],[BatchMeansHalfWidth]])</f>
        <v>3.7057949782129528E-2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</v>
      </c>
      <c r="D92" t="s">
        <v>74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30</v>
      </c>
      <c r="L92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2</v>
      </c>
      <c r="D93" t="s">
        <v>74</v>
      </c>
      <c r="E93" t="s">
        <v>70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31</v>
      </c>
      <c r="L93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3</v>
      </c>
      <c r="D94" t="s">
        <v>74</v>
      </c>
      <c r="E94" t="s">
        <v>70</v>
      </c>
      <c r="F94" t="s">
        <v>71</v>
      </c>
      <c r="G94">
        <v>0</v>
      </c>
      <c r="H94">
        <v>2E+20</v>
      </c>
      <c r="I94">
        <v>0</v>
      </c>
      <c r="J94">
        <v>0</v>
      </c>
      <c r="K94">
        <v>42</v>
      </c>
      <c r="L94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94">
        <f>IF((DiscreteStatsTable[[#This Row],[RepsRequested]]&gt;1),DiscreteStatsTable[[#This Row],[HalfWidth]],DiscreteStatsTable[[#This Row],[BatchMeansHalfWidth]])</f>
        <v>0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4</v>
      </c>
      <c r="D95" t="s">
        <v>74</v>
      </c>
      <c r="E95" t="s">
        <v>70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36</v>
      </c>
      <c r="L95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5</v>
      </c>
      <c r="D96" t="s">
        <v>74</v>
      </c>
      <c r="E96" t="s">
        <v>70</v>
      </c>
      <c r="F96" t="s">
        <v>71</v>
      </c>
      <c r="G96">
        <v>0</v>
      </c>
      <c r="H96">
        <v>2E+20</v>
      </c>
      <c r="I96">
        <v>0</v>
      </c>
      <c r="J96">
        <v>0</v>
      </c>
      <c r="K96">
        <v>33</v>
      </c>
      <c r="L96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96">
        <f>IF((DiscreteStatsTable[[#This Row],[RepsRequested]]&gt;1),DiscreteStatsTable[[#This Row],[HalfWidth]],DiscreteStatsTable[[#This Row],[BatchMeansHalfWidth]])</f>
        <v>0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6</v>
      </c>
      <c r="D97" t="s">
        <v>74</v>
      </c>
      <c r="E97" t="s">
        <v>70</v>
      </c>
      <c r="F97" t="s">
        <v>71</v>
      </c>
      <c r="G97">
        <v>0</v>
      </c>
      <c r="H97">
        <v>2E+20</v>
      </c>
      <c r="I97">
        <v>0</v>
      </c>
      <c r="J97">
        <v>0</v>
      </c>
      <c r="K97">
        <v>38</v>
      </c>
      <c r="L97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97">
        <f>IF((DiscreteStatsTable[[#This Row],[RepsRequested]]&gt;1),DiscreteStatsTable[[#This Row],[HalfWidth]],DiscreteStatsTable[[#This Row],[BatchMeansHalfWidth]])</f>
        <v>0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7</v>
      </c>
      <c r="D98" t="s">
        <v>74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42</v>
      </c>
      <c r="L98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8</v>
      </c>
      <c r="D99" t="s">
        <v>74</v>
      </c>
      <c r="E99" t="s">
        <v>70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33</v>
      </c>
      <c r="L99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9</v>
      </c>
      <c r="D100" t="s">
        <v>74</v>
      </c>
      <c r="E100" t="s">
        <v>70</v>
      </c>
      <c r="F100" t="s">
        <v>71</v>
      </c>
      <c r="G100">
        <v>0</v>
      </c>
      <c r="H100">
        <v>2E+20</v>
      </c>
      <c r="I100">
        <v>0</v>
      </c>
      <c r="J100">
        <v>0</v>
      </c>
      <c r="K100">
        <v>28</v>
      </c>
      <c r="L100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00">
        <f>IF((DiscreteStatsTable[[#This Row],[RepsRequested]]&gt;1),DiscreteStatsTable[[#This Row],[HalfWidth]],DiscreteStatsTable[[#This Row],[BatchMeansHalfWidth]])</f>
        <v>0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10</v>
      </c>
      <c r="D101" t="s">
        <v>74</v>
      </c>
      <c r="E101" t="s">
        <v>70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41</v>
      </c>
      <c r="L101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11</v>
      </c>
      <c r="D102" t="s">
        <v>74</v>
      </c>
      <c r="E102" t="s">
        <v>70</v>
      </c>
      <c r="F102" t="s">
        <v>71</v>
      </c>
      <c r="G102">
        <v>0</v>
      </c>
      <c r="H102">
        <v>2E+20</v>
      </c>
      <c r="I102">
        <v>0</v>
      </c>
      <c r="J102">
        <v>0</v>
      </c>
      <c r="K102">
        <v>33</v>
      </c>
      <c r="L102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02">
        <f>IF((DiscreteStatsTable[[#This Row],[RepsRequested]]&gt;1),DiscreteStatsTable[[#This Row],[HalfWidth]],DiscreteStatsTable[[#This Row],[BatchMeansHalfWidth]])</f>
        <v>0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12</v>
      </c>
      <c r="D103" t="s">
        <v>74</v>
      </c>
      <c r="E103" t="s">
        <v>70</v>
      </c>
      <c r="F103" t="s">
        <v>71</v>
      </c>
      <c r="G103">
        <v>0</v>
      </c>
      <c r="H103">
        <v>2E+20</v>
      </c>
      <c r="I103">
        <v>0</v>
      </c>
      <c r="J103">
        <v>0</v>
      </c>
      <c r="K103">
        <v>30</v>
      </c>
      <c r="L103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03">
        <f>IF((DiscreteStatsTable[[#This Row],[RepsRequested]]&gt;1),DiscreteStatsTable[[#This Row],[HalfWidth]],DiscreteStatsTable[[#This Row],[BatchMeansHalfWidth]])</f>
        <v>0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13</v>
      </c>
      <c r="D104" t="s">
        <v>74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37</v>
      </c>
      <c r="L104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14</v>
      </c>
      <c r="D105" t="s">
        <v>74</v>
      </c>
      <c r="E105" t="s">
        <v>70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24</v>
      </c>
      <c r="L105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15</v>
      </c>
      <c r="D106" t="s">
        <v>74</v>
      </c>
      <c r="E106" t="s">
        <v>70</v>
      </c>
      <c r="F106" t="s">
        <v>71</v>
      </c>
      <c r="G106">
        <v>0</v>
      </c>
      <c r="H106">
        <v>2E+20</v>
      </c>
      <c r="I106">
        <v>0</v>
      </c>
      <c r="J106">
        <v>0</v>
      </c>
      <c r="K106">
        <v>41</v>
      </c>
      <c r="L106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06">
        <f>IF((DiscreteStatsTable[[#This Row],[RepsRequested]]&gt;1),DiscreteStatsTable[[#This Row],[HalfWidth]],DiscreteStatsTable[[#This Row],[BatchMeansHalfWidth]])</f>
        <v>0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16</v>
      </c>
      <c r="D107" t="s">
        <v>74</v>
      </c>
      <c r="E107" t="s">
        <v>70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39</v>
      </c>
      <c r="L107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17</v>
      </c>
      <c r="D108" t="s">
        <v>74</v>
      </c>
      <c r="E108" t="s">
        <v>70</v>
      </c>
      <c r="F108" t="s">
        <v>71</v>
      </c>
      <c r="G108">
        <v>0</v>
      </c>
      <c r="H108">
        <v>2E+20</v>
      </c>
      <c r="I108">
        <v>0</v>
      </c>
      <c r="J108">
        <v>0</v>
      </c>
      <c r="K108">
        <v>26</v>
      </c>
      <c r="L108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08">
        <f>IF((DiscreteStatsTable[[#This Row],[RepsRequested]]&gt;1),DiscreteStatsTable[[#This Row],[HalfWidth]],DiscreteStatsTable[[#This Row],[BatchMeansHalfWidth]])</f>
        <v>0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74</v>
      </c>
      <c r="E109" t="s">
        <v>70</v>
      </c>
      <c r="F109" t="s">
        <v>71</v>
      </c>
      <c r="G109">
        <v>0</v>
      </c>
      <c r="H109">
        <v>2E+20</v>
      </c>
      <c r="I109">
        <v>0</v>
      </c>
      <c r="J109">
        <v>0</v>
      </c>
      <c r="K109">
        <v>38</v>
      </c>
      <c r="L109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09">
        <f>IF((DiscreteStatsTable[[#This Row],[RepsRequested]]&gt;1),DiscreteStatsTable[[#This Row],[HalfWidth]],DiscreteStatsTable[[#This Row],[BatchMeansHalfWidth]])</f>
        <v>0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74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35</v>
      </c>
      <c r="L110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20</v>
      </c>
      <c r="D111" t="s">
        <v>74</v>
      </c>
      <c r="E111" t="s">
        <v>70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43</v>
      </c>
      <c r="L111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21</v>
      </c>
      <c r="D112" t="s">
        <v>74</v>
      </c>
      <c r="E112" t="s">
        <v>70</v>
      </c>
      <c r="F112" t="s">
        <v>71</v>
      </c>
      <c r="G112">
        <v>0</v>
      </c>
      <c r="H112">
        <v>2E+20</v>
      </c>
      <c r="I112">
        <v>0</v>
      </c>
      <c r="J112">
        <v>0</v>
      </c>
      <c r="K112">
        <v>39</v>
      </c>
      <c r="L112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0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0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12">
        <f>IF((DiscreteStatsTable[[#This Row],[RepsRequested]]&gt;1),DiscreteStatsTable[[#This Row],[HalfWidth]],DiscreteStatsTable[[#This Row],[BatchMeansHalfWidth]])</f>
        <v>0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22</v>
      </c>
      <c r="D113" t="s">
        <v>74</v>
      </c>
      <c r="E113" t="s">
        <v>70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31</v>
      </c>
      <c r="L113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23</v>
      </c>
      <c r="D114" t="s">
        <v>74</v>
      </c>
      <c r="E114" t="s">
        <v>70</v>
      </c>
      <c r="F114" t="s">
        <v>71</v>
      </c>
      <c r="G114">
        <v>0</v>
      </c>
      <c r="H114">
        <v>2E+20</v>
      </c>
      <c r="I114">
        <v>0</v>
      </c>
      <c r="J114">
        <v>0</v>
      </c>
      <c r="K114">
        <v>29</v>
      </c>
      <c r="L114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14">
        <f>IF((DiscreteStatsTable[[#This Row],[RepsRequested]]&gt;1),DiscreteStatsTable[[#This Row],[HalfWidth]],DiscreteStatsTable[[#This Row],[BatchMeansHalfWidth]])</f>
        <v>0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24</v>
      </c>
      <c r="D115" t="s">
        <v>74</v>
      </c>
      <c r="E115" t="s">
        <v>70</v>
      </c>
      <c r="F115" t="s">
        <v>71</v>
      </c>
      <c r="G115">
        <v>0</v>
      </c>
      <c r="H115">
        <v>2E+20</v>
      </c>
      <c r="I115">
        <v>0</v>
      </c>
      <c r="J115">
        <v>0</v>
      </c>
      <c r="K115">
        <v>24</v>
      </c>
      <c r="L115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15">
        <f>IF((DiscreteStatsTable[[#This Row],[RepsRequested]]&gt;1),DiscreteStatsTable[[#This Row],[HalfWidth]],DiscreteStatsTable[[#This Row],[BatchMeansHalfWidth]])</f>
        <v>0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25</v>
      </c>
      <c r="D116" t="s">
        <v>74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37</v>
      </c>
      <c r="L116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26</v>
      </c>
      <c r="D117" t="s">
        <v>74</v>
      </c>
      <c r="E117" t="s">
        <v>70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30</v>
      </c>
      <c r="L117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27</v>
      </c>
      <c r="D118" t="s">
        <v>74</v>
      </c>
      <c r="E118" t="s">
        <v>70</v>
      </c>
      <c r="F118" t="s">
        <v>71</v>
      </c>
      <c r="G118">
        <v>0</v>
      </c>
      <c r="H118">
        <v>2E+20</v>
      </c>
      <c r="I118">
        <v>0</v>
      </c>
      <c r="J118">
        <v>0</v>
      </c>
      <c r="K118">
        <v>44</v>
      </c>
      <c r="L118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0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0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18">
        <f>IF((DiscreteStatsTable[[#This Row],[RepsRequested]]&gt;1),DiscreteStatsTable[[#This Row],[HalfWidth]],DiscreteStatsTable[[#This Row],[BatchMeansHalfWidth]])</f>
        <v>0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28</v>
      </c>
      <c r="D119" t="s">
        <v>74</v>
      </c>
      <c r="E119" t="s">
        <v>70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47</v>
      </c>
      <c r="L119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29</v>
      </c>
      <c r="D120" t="s">
        <v>74</v>
      </c>
      <c r="E120" t="s">
        <v>70</v>
      </c>
      <c r="F120" t="s">
        <v>71</v>
      </c>
      <c r="G120">
        <v>0</v>
      </c>
      <c r="H120">
        <v>2E+20</v>
      </c>
      <c r="I120">
        <v>0</v>
      </c>
      <c r="J120">
        <v>0</v>
      </c>
      <c r="K120">
        <v>34</v>
      </c>
      <c r="L120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20">
        <f>IF((DiscreteStatsTable[[#This Row],[RepsRequested]]&gt;1),DiscreteStatsTable[[#This Row],[HalfWidth]],DiscreteStatsTable[[#This Row],[BatchMeansHalfWidth]])</f>
        <v>0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30</v>
      </c>
      <c r="D121" t="s">
        <v>74</v>
      </c>
      <c r="E121" t="s">
        <v>70</v>
      </c>
      <c r="F121" t="s">
        <v>71</v>
      </c>
      <c r="G121">
        <v>0</v>
      </c>
      <c r="H121">
        <v>2E+20</v>
      </c>
      <c r="I121">
        <v>0</v>
      </c>
      <c r="J121">
        <v>0</v>
      </c>
      <c r="K121">
        <v>24</v>
      </c>
      <c r="L121" t="str">
        <f>DiscreteStatsTable[[#This Row],[ProjectName]]&amp;DiscreteStatsTable[[#This Row],[Name]]&amp;DiscreteStatsTable[[#This Row],[Type]]&amp;DiscreteStatsTable[[#This Row],[Source]]</f>
        <v>Unnamed ProjectPArte.QueueWaiting TimeQueue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34.633333333333333</v>
      </c>
      <c r="W121">
        <f>IF((DiscreteStatsTable[[#This Row],[RepsRequested]]&gt;1),DiscreteStatsTable[[#This Row],[HalfWidth]],DiscreteStatsTable[[#This Row],[BatchMeansHalfWidth]])</f>
        <v>0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1</v>
      </c>
      <c r="D122" t="s">
        <v>75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93</v>
      </c>
      <c r="L122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</v>
      </c>
      <c r="D123" t="s">
        <v>75</v>
      </c>
      <c r="E123" t="s">
        <v>70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105</v>
      </c>
      <c r="L123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3</v>
      </c>
      <c r="D124" t="s">
        <v>75</v>
      </c>
      <c r="E124" t="s">
        <v>70</v>
      </c>
      <c r="F124" t="s">
        <v>71</v>
      </c>
      <c r="G124">
        <v>0</v>
      </c>
      <c r="H124">
        <v>2E+20</v>
      </c>
      <c r="I124">
        <v>0</v>
      </c>
      <c r="J124">
        <v>0</v>
      </c>
      <c r="K124">
        <v>97</v>
      </c>
      <c r="L124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4</v>
      </c>
      <c r="D125" t="s">
        <v>75</v>
      </c>
      <c r="E125" t="s">
        <v>70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108</v>
      </c>
      <c r="L125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5</v>
      </c>
      <c r="D126" t="s">
        <v>75</v>
      </c>
      <c r="E126" t="s">
        <v>70</v>
      </c>
      <c r="F126" t="s">
        <v>71</v>
      </c>
      <c r="G126">
        <v>0</v>
      </c>
      <c r="H126">
        <v>2E+20</v>
      </c>
      <c r="I126">
        <v>0</v>
      </c>
      <c r="J126">
        <v>0</v>
      </c>
      <c r="K126">
        <v>101</v>
      </c>
      <c r="L126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6</v>
      </c>
      <c r="D127" t="s">
        <v>75</v>
      </c>
      <c r="E127" t="s">
        <v>70</v>
      </c>
      <c r="F127" t="s">
        <v>71</v>
      </c>
      <c r="G127">
        <v>0</v>
      </c>
      <c r="H127">
        <v>2E+20</v>
      </c>
      <c r="I127">
        <v>0</v>
      </c>
      <c r="J127">
        <v>0</v>
      </c>
      <c r="K127">
        <v>102</v>
      </c>
      <c r="L127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7</v>
      </c>
      <c r="D128" t="s">
        <v>75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104</v>
      </c>
      <c r="L128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8</v>
      </c>
      <c r="D129" t="s">
        <v>75</v>
      </c>
      <c r="E129" t="s">
        <v>70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101</v>
      </c>
      <c r="L129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9</v>
      </c>
      <c r="D130" t="s">
        <v>75</v>
      </c>
      <c r="E130" t="s">
        <v>70</v>
      </c>
      <c r="F130" t="s">
        <v>71</v>
      </c>
      <c r="G130">
        <v>0</v>
      </c>
      <c r="H130">
        <v>2E+20</v>
      </c>
      <c r="I130">
        <v>0</v>
      </c>
      <c r="J130">
        <v>0</v>
      </c>
      <c r="K130">
        <v>120</v>
      </c>
      <c r="L130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30" s="5">
        <f>IF((DiscreteStatsTable[[#This Row],[RepsRequested]]&gt;1),DiscreteStatsTable[[#This Row],[HalfWidth]],DiscreteStatsTable[[#This Row],[BatchMeansHalfWidth]])</f>
        <v>0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10</v>
      </c>
      <c r="D131" t="s">
        <v>75</v>
      </c>
      <c r="E131" t="s">
        <v>70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118</v>
      </c>
      <c r="L131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11</v>
      </c>
      <c r="D132" t="s">
        <v>75</v>
      </c>
      <c r="E132" t="s">
        <v>70</v>
      </c>
      <c r="F132" t="s">
        <v>71</v>
      </c>
      <c r="G132">
        <v>0</v>
      </c>
      <c r="H132">
        <v>2E+20</v>
      </c>
      <c r="I132">
        <v>0</v>
      </c>
      <c r="J132">
        <v>0</v>
      </c>
      <c r="K132">
        <v>115</v>
      </c>
      <c r="L132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12</v>
      </c>
      <c r="D133" t="s">
        <v>75</v>
      </c>
      <c r="E133" t="s">
        <v>70</v>
      </c>
      <c r="F133" t="s">
        <v>71</v>
      </c>
      <c r="G133">
        <v>0</v>
      </c>
      <c r="H133">
        <v>2E+20</v>
      </c>
      <c r="I133">
        <v>0</v>
      </c>
      <c r="J133">
        <v>0</v>
      </c>
      <c r="K133">
        <v>90</v>
      </c>
      <c r="L133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13</v>
      </c>
      <c r="D134" t="s">
        <v>75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108</v>
      </c>
      <c r="L134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14</v>
      </c>
      <c r="D135" t="s">
        <v>75</v>
      </c>
      <c r="E135" t="s">
        <v>70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100</v>
      </c>
      <c r="L135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15</v>
      </c>
      <c r="D136" t="s">
        <v>75</v>
      </c>
      <c r="E136" t="s">
        <v>70</v>
      </c>
      <c r="F136" t="s">
        <v>71</v>
      </c>
      <c r="G136">
        <v>0</v>
      </c>
      <c r="H136">
        <v>2E+20</v>
      </c>
      <c r="I136">
        <v>0</v>
      </c>
      <c r="J136">
        <v>0</v>
      </c>
      <c r="K136">
        <v>96</v>
      </c>
      <c r="L136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36" s="5">
        <f>IF((DiscreteStatsTable[[#This Row],[RepsRequested]]&gt;1),DiscreteStatsTable[[#This Row],[HalfWidth]],DiscreteStatsTable[[#This Row],[BatchMeansHalfWidth]])</f>
        <v>0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16</v>
      </c>
      <c r="D137" t="s">
        <v>75</v>
      </c>
      <c r="E137" t="s">
        <v>70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117</v>
      </c>
      <c r="L137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17</v>
      </c>
      <c r="D138" t="s">
        <v>75</v>
      </c>
      <c r="E138" t="s">
        <v>70</v>
      </c>
      <c r="F138" t="s">
        <v>71</v>
      </c>
      <c r="G138">
        <v>0</v>
      </c>
      <c r="H138">
        <v>2E+20</v>
      </c>
      <c r="I138">
        <v>0</v>
      </c>
      <c r="J138">
        <v>0</v>
      </c>
      <c r="K138">
        <v>90</v>
      </c>
      <c r="L138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18</v>
      </c>
      <c r="D139" t="s">
        <v>75</v>
      </c>
      <c r="E139" t="s">
        <v>70</v>
      </c>
      <c r="F139" t="s">
        <v>71</v>
      </c>
      <c r="G139">
        <v>0</v>
      </c>
      <c r="H139">
        <v>2E+20</v>
      </c>
      <c r="I139">
        <v>0</v>
      </c>
      <c r="J139">
        <v>0</v>
      </c>
      <c r="K139">
        <v>118</v>
      </c>
      <c r="L139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19</v>
      </c>
      <c r="D140" t="s">
        <v>75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96</v>
      </c>
      <c r="L140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20</v>
      </c>
      <c r="D141" t="s">
        <v>75</v>
      </c>
      <c r="E141" t="s">
        <v>70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119</v>
      </c>
      <c r="L141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21</v>
      </c>
      <c r="D142" t="s">
        <v>75</v>
      </c>
      <c r="E142" t="s">
        <v>70</v>
      </c>
      <c r="F142" t="s">
        <v>71</v>
      </c>
      <c r="G142">
        <v>0</v>
      </c>
      <c r="H142">
        <v>2E+20</v>
      </c>
      <c r="I142">
        <v>0</v>
      </c>
      <c r="J142">
        <v>0</v>
      </c>
      <c r="K142">
        <v>105</v>
      </c>
      <c r="L142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42" s="5">
        <f>IF((DiscreteStatsTable[[#This Row],[RepsRequested]]&gt;1),DiscreteStatsTable[[#This Row],[HalfWidth]],DiscreteStatsTable[[#This Row],[BatchMeansHalfWidth]])</f>
        <v>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22</v>
      </c>
      <c r="D143" t="s">
        <v>75</v>
      </c>
      <c r="E143" t="s">
        <v>70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95</v>
      </c>
      <c r="L143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23</v>
      </c>
      <c r="D144" t="s">
        <v>75</v>
      </c>
      <c r="E144" t="s">
        <v>70</v>
      </c>
      <c r="F144" t="s">
        <v>71</v>
      </c>
      <c r="G144">
        <v>0</v>
      </c>
      <c r="H144">
        <v>2E+20</v>
      </c>
      <c r="I144">
        <v>0</v>
      </c>
      <c r="J144">
        <v>0</v>
      </c>
      <c r="K144">
        <v>91</v>
      </c>
      <c r="L144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75</v>
      </c>
      <c r="E145" t="s">
        <v>70</v>
      </c>
      <c r="F145" t="s">
        <v>71</v>
      </c>
      <c r="G145">
        <v>0</v>
      </c>
      <c r="H145">
        <v>2E+20</v>
      </c>
      <c r="I145">
        <v>0</v>
      </c>
      <c r="J145">
        <v>0</v>
      </c>
      <c r="K145">
        <v>96</v>
      </c>
      <c r="L145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75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111</v>
      </c>
      <c r="L146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26</v>
      </c>
      <c r="D147" t="s">
        <v>75</v>
      </c>
      <c r="E147" t="s">
        <v>70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97</v>
      </c>
      <c r="L147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27</v>
      </c>
      <c r="D148" t="s">
        <v>75</v>
      </c>
      <c r="E148" t="s">
        <v>70</v>
      </c>
      <c r="F148" t="s">
        <v>71</v>
      </c>
      <c r="G148">
        <v>0</v>
      </c>
      <c r="H148">
        <v>2E+20</v>
      </c>
      <c r="I148">
        <v>0</v>
      </c>
      <c r="J148">
        <v>0</v>
      </c>
      <c r="K148">
        <v>112</v>
      </c>
      <c r="L148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48" s="5">
        <f>IF((DiscreteStatsTable[[#This Row],[RepsRequested]]&gt;1),DiscreteStatsTable[[#This Row],[HalfWidth]],DiscreteStatsTable[[#This Row],[BatchMeansHalfWidth]])</f>
        <v>0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28</v>
      </c>
      <c r="D149" t="s">
        <v>75</v>
      </c>
      <c r="E149" t="s">
        <v>70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113</v>
      </c>
      <c r="L149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29</v>
      </c>
      <c r="D150" t="s">
        <v>75</v>
      </c>
      <c r="E150" t="s">
        <v>70</v>
      </c>
      <c r="F150" t="s">
        <v>71</v>
      </c>
      <c r="G150">
        <v>0</v>
      </c>
      <c r="H150">
        <v>2E+20</v>
      </c>
      <c r="I150">
        <v>0</v>
      </c>
      <c r="J150">
        <v>0</v>
      </c>
      <c r="K150">
        <v>120</v>
      </c>
      <c r="L150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30</v>
      </c>
      <c r="D151" t="s">
        <v>75</v>
      </c>
      <c r="E151" t="s">
        <v>70</v>
      </c>
      <c r="F151" t="s">
        <v>71</v>
      </c>
      <c r="G151">
        <v>0</v>
      </c>
      <c r="H151">
        <v>2E+20</v>
      </c>
      <c r="I151">
        <v>0</v>
      </c>
      <c r="J151">
        <v>0</v>
      </c>
      <c r="K151">
        <v>116</v>
      </c>
      <c r="L151" s="5" t="str">
        <f>DiscreteStatsTable[[#This Row],[ProjectName]]&amp;DiscreteStatsTable[[#This Row],[Name]]&amp;DiscreteStatsTable[[#This Row],[Type]]&amp;DiscreteStatsTable[[#This Row],[Source]]</f>
        <v>Unnamed ProjectPAstro.QueueWaiting TimeQueue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105.13333333333334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1</v>
      </c>
      <c r="D152" t="s">
        <v>76</v>
      </c>
      <c r="E152" t="s">
        <v>70</v>
      </c>
      <c r="F152" t="s">
        <v>71</v>
      </c>
      <c r="G152">
        <v>3.2635682535475399E-2</v>
      </c>
      <c r="H152">
        <v>2E+20</v>
      </c>
      <c r="I152">
        <v>0</v>
      </c>
      <c r="J152">
        <v>0.15294817213859399</v>
      </c>
      <c r="K152">
        <v>127</v>
      </c>
      <c r="L152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3.8069424264997626E-2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1.46782352435285E-3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0.11120615347514901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0.37110522919896499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52" s="5">
        <f>IF((DiscreteStatsTable[[#This Row],[RepsRequested]]&gt;1),DiscreteStatsTable[[#This Row],[HalfWidth]],DiscreteStatsTable[[#This Row],[BatchMeansHalfWidth]])</f>
        <v>1.1574482326188984E-2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</v>
      </c>
      <c r="D153" t="s">
        <v>76</v>
      </c>
      <c r="E153" t="s">
        <v>70</v>
      </c>
      <c r="F153" t="s">
        <v>71</v>
      </c>
      <c r="G153">
        <v>5.4366452721146E-2</v>
      </c>
      <c r="H153">
        <v>2E+20</v>
      </c>
      <c r="I153">
        <v>0</v>
      </c>
      <c r="J153">
        <v>0.20971200438586901</v>
      </c>
      <c r="K153">
        <v>133</v>
      </c>
      <c r="L153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3.8069424264997626E-2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1.46782352435285E-3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0.11120615347514901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0.37110522919896499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53" s="5">
        <f>IF((DiscreteStatsTable[[#This Row],[RepsRequested]]&gt;1),DiscreteStatsTable[[#This Row],[HalfWidth]],DiscreteStatsTable[[#This Row],[BatchMeansHalfWidth]])</f>
        <v>1.1574482326188984E-2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3</v>
      </c>
      <c r="D154" t="s">
        <v>76</v>
      </c>
      <c r="E154" t="s">
        <v>70</v>
      </c>
      <c r="F154" t="s">
        <v>71</v>
      </c>
      <c r="G154">
        <v>0.10504762152088901</v>
      </c>
      <c r="H154">
        <v>2E+20</v>
      </c>
      <c r="I154">
        <v>0</v>
      </c>
      <c r="J154">
        <v>0.284317273141942</v>
      </c>
      <c r="K154">
        <v>131</v>
      </c>
      <c r="L154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3.8069424264997626E-2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1.46782352435285E-3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0.11120615347514901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0.37110522919896499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54" s="5">
        <f>IF((DiscreteStatsTable[[#This Row],[RepsRequested]]&gt;1),DiscreteStatsTable[[#This Row],[HalfWidth]],DiscreteStatsTable[[#This Row],[BatchMeansHalfWidth]])</f>
        <v>1.1574482326188984E-2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4</v>
      </c>
      <c r="D155" t="s">
        <v>76</v>
      </c>
      <c r="E155" t="s">
        <v>70</v>
      </c>
      <c r="F155" t="s">
        <v>71</v>
      </c>
      <c r="G155">
        <v>5.1646151489323402E-2</v>
      </c>
      <c r="H155">
        <v>2E+20</v>
      </c>
      <c r="I155">
        <v>0</v>
      </c>
      <c r="J155">
        <v>0.23311734186504199</v>
      </c>
      <c r="K155">
        <v>140</v>
      </c>
      <c r="L155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3.8069424264997626E-2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1.46782352435285E-3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0.11120615347514901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0.37110522919896499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55" s="5">
        <f>IF((DiscreteStatsTable[[#This Row],[RepsRequested]]&gt;1),DiscreteStatsTable[[#This Row],[HalfWidth]],DiscreteStatsTable[[#This Row],[BatchMeansHalfWidth]])</f>
        <v>1.1574482326188984E-2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5</v>
      </c>
      <c r="D156" t="s">
        <v>76</v>
      </c>
      <c r="E156" t="s">
        <v>70</v>
      </c>
      <c r="F156" t="s">
        <v>71</v>
      </c>
      <c r="G156">
        <v>3.41314451268837E-3</v>
      </c>
      <c r="H156">
        <v>2E+20</v>
      </c>
      <c r="I156">
        <v>0</v>
      </c>
      <c r="J156">
        <v>5.1513313061819103E-2</v>
      </c>
      <c r="K156">
        <v>116</v>
      </c>
      <c r="L156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3.8069424264997626E-2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1.46782352435285E-3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0.11120615347514901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0.37110522919896499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56" s="5">
        <f>IF((DiscreteStatsTable[[#This Row],[RepsRequested]]&gt;1),DiscreteStatsTable[[#This Row],[HalfWidth]],DiscreteStatsTable[[#This Row],[BatchMeansHalfWidth]])</f>
        <v>1.1574482326188984E-2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6</v>
      </c>
      <c r="D157" t="s">
        <v>76</v>
      </c>
      <c r="E157" t="s">
        <v>70</v>
      </c>
      <c r="F157" t="s">
        <v>71</v>
      </c>
      <c r="G157">
        <v>3.07274814733135E-2</v>
      </c>
      <c r="H157">
        <v>2E+20</v>
      </c>
      <c r="I157">
        <v>0</v>
      </c>
      <c r="J157">
        <v>0.162349164631197</v>
      </c>
      <c r="K157">
        <v>125</v>
      </c>
      <c r="L157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3.8069424264997626E-2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1.46782352435285E-3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0.11120615347514901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0.37110522919896499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57" s="5">
        <f>IF((DiscreteStatsTable[[#This Row],[RepsRequested]]&gt;1),DiscreteStatsTable[[#This Row],[HalfWidth]],DiscreteStatsTable[[#This Row],[BatchMeansHalfWidth]])</f>
        <v>1.1574482326188984E-2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7</v>
      </c>
      <c r="D158" t="s">
        <v>76</v>
      </c>
      <c r="E158" t="s">
        <v>70</v>
      </c>
      <c r="F158" t="s">
        <v>71</v>
      </c>
      <c r="G158">
        <v>5.25205231185484E-2</v>
      </c>
      <c r="H158">
        <v>2E+20</v>
      </c>
      <c r="I158">
        <v>0</v>
      </c>
      <c r="J158">
        <v>0.28103537183028598</v>
      </c>
      <c r="K158">
        <v>130</v>
      </c>
      <c r="L158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3.8069424264997626E-2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1.46782352435285E-3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0.11120615347514901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0.37110522919896499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58" s="5">
        <f>IF((DiscreteStatsTable[[#This Row],[RepsRequested]]&gt;1),DiscreteStatsTable[[#This Row],[HalfWidth]],DiscreteStatsTable[[#This Row],[BatchMeansHalfWidth]])</f>
        <v>1.1574482326188984E-2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8</v>
      </c>
      <c r="D159" t="s">
        <v>76</v>
      </c>
      <c r="E159" t="s">
        <v>70</v>
      </c>
      <c r="F159" t="s">
        <v>71</v>
      </c>
      <c r="G159">
        <v>7.2108352473060897E-2</v>
      </c>
      <c r="H159">
        <v>2E+20</v>
      </c>
      <c r="I159">
        <v>0</v>
      </c>
      <c r="J159">
        <v>0.272244073521413</v>
      </c>
      <c r="K159">
        <v>135</v>
      </c>
      <c r="L159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3.8069424264997626E-2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1.46782352435285E-3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0.11120615347514901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0.37110522919896499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59" s="5">
        <f>IF((DiscreteStatsTable[[#This Row],[RepsRequested]]&gt;1),DiscreteStatsTable[[#This Row],[HalfWidth]],DiscreteStatsTable[[#This Row],[BatchMeansHalfWidth]])</f>
        <v>1.1574482326188984E-2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9</v>
      </c>
      <c r="D160" t="s">
        <v>76</v>
      </c>
      <c r="E160" t="s">
        <v>70</v>
      </c>
      <c r="F160" t="s">
        <v>71</v>
      </c>
      <c r="G160">
        <v>3.7567838758702399E-2</v>
      </c>
      <c r="H160">
        <v>2E+20</v>
      </c>
      <c r="I160">
        <v>0</v>
      </c>
      <c r="J160">
        <v>0.19738123806440599</v>
      </c>
      <c r="K160">
        <v>135</v>
      </c>
      <c r="L160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3.8069424264997626E-2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1.46782352435285E-3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0.11120615347514901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0.37110522919896499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60" s="5">
        <f>IF((DiscreteStatsTable[[#This Row],[RepsRequested]]&gt;1),DiscreteStatsTable[[#This Row],[HalfWidth]],DiscreteStatsTable[[#This Row],[BatchMeansHalfWidth]])</f>
        <v>1.1574482326188984E-2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10</v>
      </c>
      <c r="D161" t="s">
        <v>76</v>
      </c>
      <c r="E161" t="s">
        <v>70</v>
      </c>
      <c r="F161" t="s">
        <v>71</v>
      </c>
      <c r="G161">
        <v>6.9945587964947806E-2</v>
      </c>
      <c r="H161">
        <v>2E+20</v>
      </c>
      <c r="I161">
        <v>0</v>
      </c>
      <c r="J161">
        <v>0.329157170643185</v>
      </c>
      <c r="K161">
        <v>143</v>
      </c>
      <c r="L161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3.8069424264997626E-2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1.46782352435285E-3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0.11120615347514901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0.37110522919896499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61" s="5">
        <f>IF((DiscreteStatsTable[[#This Row],[RepsRequested]]&gt;1),DiscreteStatsTable[[#This Row],[HalfWidth]],DiscreteStatsTable[[#This Row],[BatchMeansHalfWidth]])</f>
        <v>1.1574482326188984E-2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11</v>
      </c>
      <c r="D162" t="s">
        <v>76</v>
      </c>
      <c r="E162" t="s">
        <v>70</v>
      </c>
      <c r="F162" t="s">
        <v>71</v>
      </c>
      <c r="G162">
        <v>3.0279876166596099E-2</v>
      </c>
      <c r="H162">
        <v>2E+20</v>
      </c>
      <c r="I162">
        <v>0</v>
      </c>
      <c r="J162">
        <v>0.17666200668979301</v>
      </c>
      <c r="K162">
        <v>145</v>
      </c>
      <c r="L162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3.8069424264997626E-2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1.46782352435285E-3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0.11120615347514901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0.37110522919896499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62" s="5">
        <f>IF((DiscreteStatsTable[[#This Row],[RepsRequested]]&gt;1),DiscreteStatsTable[[#This Row],[HalfWidth]],DiscreteStatsTable[[#This Row],[BatchMeansHalfWidth]])</f>
        <v>1.1574482326188984E-2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12</v>
      </c>
      <c r="D163" t="s">
        <v>76</v>
      </c>
      <c r="E163" t="s">
        <v>70</v>
      </c>
      <c r="F163" t="s">
        <v>71</v>
      </c>
      <c r="G163">
        <v>2.0416238198462999E-2</v>
      </c>
      <c r="H163">
        <v>2E+20</v>
      </c>
      <c r="I163">
        <v>0</v>
      </c>
      <c r="J163">
        <v>9.7635334186234199E-2</v>
      </c>
      <c r="K163">
        <v>130</v>
      </c>
      <c r="L163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3.8069424264997626E-2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1.46782352435285E-3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0.11120615347514901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0.37110522919896499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63" s="5">
        <f>IF((DiscreteStatsTable[[#This Row],[RepsRequested]]&gt;1),DiscreteStatsTable[[#This Row],[HalfWidth]],DiscreteStatsTable[[#This Row],[BatchMeansHalfWidth]])</f>
        <v>1.1574482326188984E-2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13</v>
      </c>
      <c r="D164" t="s">
        <v>76</v>
      </c>
      <c r="E164" t="s">
        <v>70</v>
      </c>
      <c r="F164" t="s">
        <v>71</v>
      </c>
      <c r="G164">
        <v>7.6035911139587502E-3</v>
      </c>
      <c r="H164">
        <v>2E+20</v>
      </c>
      <c r="I164">
        <v>0</v>
      </c>
      <c r="J164">
        <v>7.5428754719502097E-2</v>
      </c>
      <c r="K164">
        <v>119</v>
      </c>
      <c r="L164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3.8069424264997626E-2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1.46782352435285E-3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0.11120615347514901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0.37110522919896499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64" s="5">
        <f>IF((DiscreteStatsTable[[#This Row],[RepsRequested]]&gt;1),DiscreteStatsTable[[#This Row],[HalfWidth]],DiscreteStatsTable[[#This Row],[BatchMeansHalfWidth]])</f>
        <v>1.1574482326188984E-2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14</v>
      </c>
      <c r="D165" t="s">
        <v>76</v>
      </c>
      <c r="E165" t="s">
        <v>70</v>
      </c>
      <c r="F165" t="s">
        <v>71</v>
      </c>
      <c r="G165">
        <v>1.2359076347115E-2</v>
      </c>
      <c r="H165">
        <v>2E+20</v>
      </c>
      <c r="I165">
        <v>0</v>
      </c>
      <c r="J165">
        <v>0.11815364544965</v>
      </c>
      <c r="K165">
        <v>124</v>
      </c>
      <c r="L165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3.8069424264997626E-2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1.46782352435285E-3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0.11120615347514901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0.37110522919896499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65" s="5">
        <f>IF((DiscreteStatsTable[[#This Row],[RepsRequested]]&gt;1),DiscreteStatsTable[[#This Row],[HalfWidth]],DiscreteStatsTable[[#This Row],[BatchMeansHalfWidth]])</f>
        <v>1.1574482326188984E-2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15</v>
      </c>
      <c r="D166" t="s">
        <v>76</v>
      </c>
      <c r="E166" t="s">
        <v>70</v>
      </c>
      <c r="F166" t="s">
        <v>71</v>
      </c>
      <c r="G166">
        <v>1.8081693463259298E-2</v>
      </c>
      <c r="H166">
        <v>2E+20</v>
      </c>
      <c r="I166">
        <v>0</v>
      </c>
      <c r="J166">
        <v>0.14973586601041899</v>
      </c>
      <c r="K166">
        <v>113</v>
      </c>
      <c r="L166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3.8069424264997626E-2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1.46782352435285E-3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0.11120615347514901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0.37110522919896499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66" s="5">
        <f>IF((DiscreteStatsTable[[#This Row],[RepsRequested]]&gt;1),DiscreteStatsTable[[#This Row],[HalfWidth]],DiscreteStatsTable[[#This Row],[BatchMeansHalfWidth]])</f>
        <v>1.1574482326188984E-2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16</v>
      </c>
      <c r="D167" t="s">
        <v>76</v>
      </c>
      <c r="E167" t="s">
        <v>70</v>
      </c>
      <c r="F167" t="s">
        <v>71</v>
      </c>
      <c r="G167">
        <v>9.7734603911603199E-2</v>
      </c>
      <c r="H167">
        <v>2E+20</v>
      </c>
      <c r="I167">
        <v>0</v>
      </c>
      <c r="J167">
        <v>0.33547227427550702</v>
      </c>
      <c r="K167">
        <v>140</v>
      </c>
      <c r="L167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3.8069424264997626E-2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1.46782352435285E-3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0.11120615347514901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0.37110522919896499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67" s="5">
        <f>IF((DiscreteStatsTable[[#This Row],[RepsRequested]]&gt;1),DiscreteStatsTable[[#This Row],[HalfWidth]],DiscreteStatsTable[[#This Row],[BatchMeansHalfWidth]])</f>
        <v>1.1574482326188984E-2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17</v>
      </c>
      <c r="D168" t="s">
        <v>76</v>
      </c>
      <c r="E168" t="s">
        <v>70</v>
      </c>
      <c r="F168" t="s">
        <v>71</v>
      </c>
      <c r="G168">
        <v>2.1890190920734399E-2</v>
      </c>
      <c r="H168">
        <v>2E+20</v>
      </c>
      <c r="I168">
        <v>0</v>
      </c>
      <c r="J168">
        <v>0.141974654168248</v>
      </c>
      <c r="K168">
        <v>126</v>
      </c>
      <c r="L168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3.8069424264997626E-2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1.46782352435285E-3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0.11120615347514901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0.37110522919896499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68" s="5">
        <f>IF((DiscreteStatsTable[[#This Row],[RepsRequested]]&gt;1),DiscreteStatsTable[[#This Row],[HalfWidth]],DiscreteStatsTable[[#This Row],[BatchMeansHalfWidth]])</f>
        <v>1.1574482326188984E-2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18</v>
      </c>
      <c r="D169" t="s">
        <v>76</v>
      </c>
      <c r="E169" t="s">
        <v>70</v>
      </c>
      <c r="F169" t="s">
        <v>71</v>
      </c>
      <c r="G169">
        <v>7.4906161433821894E-2</v>
      </c>
      <c r="H169">
        <v>2E+20</v>
      </c>
      <c r="I169">
        <v>0</v>
      </c>
      <c r="J169">
        <v>0.26347362992850698</v>
      </c>
      <c r="K169">
        <v>133</v>
      </c>
      <c r="L169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3.8069424264997626E-2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1.46782352435285E-3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0.11120615347514901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0.37110522919896499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69" s="5">
        <f>IF((DiscreteStatsTable[[#This Row],[RepsRequested]]&gt;1),DiscreteStatsTable[[#This Row],[HalfWidth]],DiscreteStatsTable[[#This Row],[BatchMeansHalfWidth]])</f>
        <v>1.1574482326188984E-2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19</v>
      </c>
      <c r="D170" t="s">
        <v>76</v>
      </c>
      <c r="E170" t="s">
        <v>70</v>
      </c>
      <c r="F170" t="s">
        <v>71</v>
      </c>
      <c r="G170">
        <v>1.8122982867797899E-2</v>
      </c>
      <c r="H170">
        <v>2E+20</v>
      </c>
      <c r="I170">
        <v>0</v>
      </c>
      <c r="J170">
        <v>0.135282449468386</v>
      </c>
      <c r="K170">
        <v>132</v>
      </c>
      <c r="L170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3.8069424264997626E-2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1.46782352435285E-3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0.11120615347514901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0.37110522919896499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70" s="5">
        <f>IF((DiscreteStatsTable[[#This Row],[RepsRequested]]&gt;1),DiscreteStatsTable[[#This Row],[HalfWidth]],DiscreteStatsTable[[#This Row],[BatchMeansHalfWidth]])</f>
        <v>1.1574482326188984E-2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20</v>
      </c>
      <c r="D171" t="s">
        <v>76</v>
      </c>
      <c r="E171" t="s">
        <v>70</v>
      </c>
      <c r="F171" t="s">
        <v>71</v>
      </c>
      <c r="G171">
        <v>0.11120615347514901</v>
      </c>
      <c r="H171">
        <v>2E+20</v>
      </c>
      <c r="I171">
        <v>0</v>
      </c>
      <c r="J171">
        <v>0.37110522919896499</v>
      </c>
      <c r="K171">
        <v>142</v>
      </c>
      <c r="L171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3.8069424264997626E-2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1.46782352435285E-3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0.11120615347514901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0.37110522919896499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71" s="5">
        <f>IF((DiscreteStatsTable[[#This Row],[RepsRequested]]&gt;1),DiscreteStatsTable[[#This Row],[HalfWidth]],DiscreteStatsTable[[#This Row],[BatchMeansHalfWidth]])</f>
        <v>1.1574482326188984E-2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21</v>
      </c>
      <c r="D172" t="s">
        <v>76</v>
      </c>
      <c r="E172" t="s">
        <v>70</v>
      </c>
      <c r="F172" t="s">
        <v>71</v>
      </c>
      <c r="G172">
        <v>2.5124630507246001E-2</v>
      </c>
      <c r="H172">
        <v>2E+20</v>
      </c>
      <c r="I172">
        <v>0</v>
      </c>
      <c r="J172">
        <v>0.13223804881675899</v>
      </c>
      <c r="K172">
        <v>136</v>
      </c>
      <c r="L172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3.8069424264997626E-2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1.46782352435285E-3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0.11120615347514901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0.37110522919896499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72" s="5">
        <f>IF((DiscreteStatsTable[[#This Row],[RepsRequested]]&gt;1),DiscreteStatsTable[[#This Row],[HalfWidth]],DiscreteStatsTable[[#This Row],[BatchMeansHalfWidth]])</f>
        <v>1.1574482326188984E-2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22</v>
      </c>
      <c r="D173" t="s">
        <v>76</v>
      </c>
      <c r="E173" t="s">
        <v>70</v>
      </c>
      <c r="F173" t="s">
        <v>71</v>
      </c>
      <c r="G173">
        <v>1.46782352435285E-3</v>
      </c>
      <c r="H173">
        <v>2E+20</v>
      </c>
      <c r="I173">
        <v>0</v>
      </c>
      <c r="J173">
        <v>6.00835473106658E-2</v>
      </c>
      <c r="K173">
        <v>125</v>
      </c>
      <c r="L173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3.8069424264997626E-2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1.46782352435285E-3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0.11120615347514901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0.37110522919896499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73" s="5">
        <f>IF((DiscreteStatsTable[[#This Row],[RepsRequested]]&gt;1),DiscreteStatsTable[[#This Row],[HalfWidth]],DiscreteStatsTable[[#This Row],[BatchMeansHalfWidth]])</f>
        <v>1.1574482326188984E-2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23</v>
      </c>
      <c r="D174" t="s">
        <v>76</v>
      </c>
      <c r="E174" t="s">
        <v>70</v>
      </c>
      <c r="F174" t="s">
        <v>71</v>
      </c>
      <c r="G174">
        <v>6.3047090878785199E-3</v>
      </c>
      <c r="H174">
        <v>2E+20</v>
      </c>
      <c r="I174">
        <v>0</v>
      </c>
      <c r="J174">
        <v>9.2912355550631695E-2</v>
      </c>
      <c r="K174">
        <v>114</v>
      </c>
      <c r="L174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3.8069424264997626E-2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1.46782352435285E-3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0.11120615347514901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0.37110522919896499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74" s="5">
        <f>IF((DiscreteStatsTable[[#This Row],[RepsRequested]]&gt;1),DiscreteStatsTable[[#This Row],[HalfWidth]],DiscreteStatsTable[[#This Row],[BatchMeansHalfWidth]])</f>
        <v>1.1574482326188984E-2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24</v>
      </c>
      <c r="D175" t="s">
        <v>76</v>
      </c>
      <c r="E175" t="s">
        <v>70</v>
      </c>
      <c r="F175" t="s">
        <v>71</v>
      </c>
      <c r="G175">
        <v>1.5656291389131601E-2</v>
      </c>
      <c r="H175">
        <v>2E+20</v>
      </c>
      <c r="I175">
        <v>0</v>
      </c>
      <c r="J175">
        <v>0.12940678634637501</v>
      </c>
      <c r="K175">
        <v>126</v>
      </c>
      <c r="L175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3.8069424264997626E-2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1.46782352435285E-3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0.11120615347514901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0.37110522919896499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75" s="5">
        <f>IF((DiscreteStatsTable[[#This Row],[RepsRequested]]&gt;1),DiscreteStatsTable[[#This Row],[HalfWidth]],DiscreteStatsTable[[#This Row],[BatchMeansHalfWidth]])</f>
        <v>1.1574482326188984E-2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25</v>
      </c>
      <c r="D176" t="s">
        <v>76</v>
      </c>
      <c r="E176" t="s">
        <v>70</v>
      </c>
      <c r="F176" t="s">
        <v>71</v>
      </c>
      <c r="G176">
        <v>1.5634760336024199E-2</v>
      </c>
      <c r="H176">
        <v>2E+20</v>
      </c>
      <c r="I176">
        <v>0</v>
      </c>
      <c r="J176">
        <v>0.108391787203876</v>
      </c>
      <c r="K176">
        <v>130</v>
      </c>
      <c r="L176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3.8069424264997626E-2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1.46782352435285E-3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0.11120615347514901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0.37110522919896499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76" s="5">
        <f>IF((DiscreteStatsTable[[#This Row],[RepsRequested]]&gt;1),DiscreteStatsTable[[#This Row],[HalfWidth]],DiscreteStatsTable[[#This Row],[BatchMeansHalfWidth]])</f>
        <v>1.1574482326188984E-2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26</v>
      </c>
      <c r="D177" t="s">
        <v>76</v>
      </c>
      <c r="E177" t="s">
        <v>70</v>
      </c>
      <c r="F177" t="s">
        <v>71</v>
      </c>
      <c r="G177">
        <v>4.7712320454204801E-3</v>
      </c>
      <c r="H177">
        <v>2E+20</v>
      </c>
      <c r="I177">
        <v>0</v>
      </c>
      <c r="J177">
        <v>8.8645380050127495E-2</v>
      </c>
      <c r="K177">
        <v>112</v>
      </c>
      <c r="L177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3.8069424264997626E-2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1.46782352435285E-3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0.11120615347514901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0.37110522919896499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77" s="5">
        <f>IF((DiscreteStatsTable[[#This Row],[RepsRequested]]&gt;1),DiscreteStatsTable[[#This Row],[HalfWidth]],DiscreteStatsTable[[#This Row],[BatchMeansHalfWidth]])</f>
        <v>1.1574482326188984E-2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27</v>
      </c>
      <c r="D178" t="s">
        <v>76</v>
      </c>
      <c r="E178" t="s">
        <v>70</v>
      </c>
      <c r="F178" t="s">
        <v>71</v>
      </c>
      <c r="G178">
        <v>3.6672661912951002E-2</v>
      </c>
      <c r="H178">
        <v>2E+20</v>
      </c>
      <c r="I178">
        <v>0</v>
      </c>
      <c r="J178">
        <v>0.21812170588061</v>
      </c>
      <c r="K178">
        <v>137</v>
      </c>
      <c r="L178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3.8069424264997626E-2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1.46782352435285E-3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0.11120615347514901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0.37110522919896499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78" s="5">
        <f>IF((DiscreteStatsTable[[#This Row],[RepsRequested]]&gt;1),DiscreteStatsTable[[#This Row],[HalfWidth]],DiscreteStatsTable[[#This Row],[BatchMeansHalfWidth]])</f>
        <v>1.1574482326188984E-2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28</v>
      </c>
      <c r="D179" t="s">
        <v>76</v>
      </c>
      <c r="E179" t="s">
        <v>70</v>
      </c>
      <c r="F179" t="s">
        <v>71</v>
      </c>
      <c r="G179">
        <v>2.4899028140487101E-2</v>
      </c>
      <c r="H179">
        <v>2E+20</v>
      </c>
      <c r="I179">
        <v>0</v>
      </c>
      <c r="J179">
        <v>0.13291150476109501</v>
      </c>
      <c r="K179">
        <v>121</v>
      </c>
      <c r="L179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3.8069424264997626E-2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1.46782352435285E-3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0.11120615347514901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0.37110522919896499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79" s="5">
        <f>IF((DiscreteStatsTable[[#This Row],[RepsRequested]]&gt;1),DiscreteStatsTable[[#This Row],[HalfWidth]],DiscreteStatsTable[[#This Row],[BatchMeansHalfWidth]])</f>
        <v>1.1574482326188984E-2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29</v>
      </c>
      <c r="D180" t="s">
        <v>76</v>
      </c>
      <c r="E180" t="s">
        <v>70</v>
      </c>
      <c r="F180" t="s">
        <v>71</v>
      </c>
      <c r="G180">
        <v>6.7771538029712697E-2</v>
      </c>
      <c r="H180">
        <v>2E+20</v>
      </c>
      <c r="I180">
        <v>0</v>
      </c>
      <c r="J180">
        <v>0.23251247487165699</v>
      </c>
      <c r="K180">
        <v>150</v>
      </c>
      <c r="L180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3.8069424264997626E-2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1.46782352435285E-3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0.11120615347514901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0.37110522919896499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80" s="5">
        <f>IF((DiscreteStatsTable[[#This Row],[RepsRequested]]&gt;1),DiscreteStatsTable[[#This Row],[HalfWidth]],DiscreteStatsTable[[#This Row],[BatchMeansHalfWidth]])</f>
        <v>1.1574482326188984E-2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76</v>
      </c>
      <c r="E181" t="s">
        <v>70</v>
      </c>
      <c r="F181" t="s">
        <v>71</v>
      </c>
      <c r="G181">
        <v>2.12006485101311E-2</v>
      </c>
      <c r="H181">
        <v>2E+20</v>
      </c>
      <c r="I181">
        <v>0</v>
      </c>
      <c r="J181">
        <v>0.15302720829295499</v>
      </c>
      <c r="K181">
        <v>136</v>
      </c>
      <c r="L181" s="5" t="str">
        <f>DiscreteStatsTable[[#This Row],[ProjectName]]&amp;DiscreteStatsTable[[#This Row],[Name]]&amp;DiscreteStatsTable[[#This Row],[Type]]&amp;DiscreteStatsTable[[#This Row],[Source]]</f>
        <v>Unnamed ProjectPFisica.QueueWaiting TimeQueue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3.8069424264997626E-2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3.0997032953658091E-2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1.1574482326188984E-2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1.46782352435285E-3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0.11120615347514901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0.37110522919896499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130.19999999999999</v>
      </c>
      <c r="W181" s="5">
        <f>IF((DiscreteStatsTable[[#This Row],[RepsRequested]]&gt;1),DiscreteStatsTable[[#This Row],[HalfWidth]],DiscreteStatsTable[[#This Row],[BatchMeansHalfWidth]])</f>
        <v>1.1574482326188984E-2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70</v>
      </c>
      <c r="F182" t="s">
        <v>71</v>
      </c>
      <c r="G182">
        <v>0</v>
      </c>
      <c r="H182">
        <v>0</v>
      </c>
      <c r="I182">
        <v>0</v>
      </c>
      <c r="J182">
        <v>0</v>
      </c>
      <c r="K182">
        <v>358</v>
      </c>
      <c r="L182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0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366.5</v>
      </c>
      <c r="W182" s="5">
        <f>IF((DiscreteStatsTable[[#This Row],[RepsRequested]]&gt;1),DiscreteStatsTable[[#This Row],[HalfWidth]],DiscreteStatsTable[[#This Row],[BatchMeansHalfWidth]])</f>
        <v>0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70</v>
      </c>
      <c r="F183" t="s">
        <v>71</v>
      </c>
      <c r="G183">
        <v>0</v>
      </c>
      <c r="H183">
        <v>0</v>
      </c>
      <c r="I183">
        <v>0</v>
      </c>
      <c r="J183">
        <v>0</v>
      </c>
      <c r="K183">
        <v>351</v>
      </c>
      <c r="L183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0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366.5</v>
      </c>
      <c r="W183" s="5">
        <f>IF((DiscreteStatsTable[[#This Row],[RepsRequested]]&gt;1),DiscreteStatsTable[[#This Row],[HalfWidth]],DiscreteStatsTable[[#This Row],[BatchMeansHalfWidth]])</f>
        <v>0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70</v>
      </c>
      <c r="F184" t="s">
        <v>71</v>
      </c>
      <c r="G184">
        <v>0</v>
      </c>
      <c r="H184">
        <v>0</v>
      </c>
      <c r="I184">
        <v>0</v>
      </c>
      <c r="J184">
        <v>0</v>
      </c>
      <c r="K184">
        <v>384</v>
      </c>
      <c r="L184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366.5</v>
      </c>
      <c r="W184" s="5">
        <f>IF((DiscreteStatsTable[[#This Row],[RepsRequested]]&gt;1),DiscreteStatsTable[[#This Row],[HalfWidth]],DiscreteStatsTable[[#This Row],[BatchMeansHalfWidth]])</f>
        <v>0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70</v>
      </c>
      <c r="F185" t="s">
        <v>71</v>
      </c>
      <c r="G185">
        <v>0</v>
      </c>
      <c r="H185">
        <v>0</v>
      </c>
      <c r="I185">
        <v>0</v>
      </c>
      <c r="J185">
        <v>0</v>
      </c>
      <c r="K185">
        <v>381</v>
      </c>
      <c r="L185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366.5</v>
      </c>
      <c r="W185" s="5">
        <f>IF((DiscreteStatsTable[[#This Row],[RepsRequested]]&gt;1),DiscreteStatsTable[[#This Row],[HalfWidth]],DiscreteStatsTable[[#This Row],[BatchMeansHalfWidth]])</f>
        <v>0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70</v>
      </c>
      <c r="F186" t="s">
        <v>71</v>
      </c>
      <c r="G186">
        <v>0</v>
      </c>
      <c r="H186">
        <v>0</v>
      </c>
      <c r="I186">
        <v>0</v>
      </c>
      <c r="J186">
        <v>0</v>
      </c>
      <c r="K186">
        <v>333</v>
      </c>
      <c r="L186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366.5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70</v>
      </c>
      <c r="F187" t="s">
        <v>71</v>
      </c>
      <c r="G187">
        <v>0</v>
      </c>
      <c r="H187">
        <v>0</v>
      </c>
      <c r="I187">
        <v>0</v>
      </c>
      <c r="J187">
        <v>0</v>
      </c>
      <c r="K187">
        <v>353</v>
      </c>
      <c r="L187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366.5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70</v>
      </c>
      <c r="F188" t="s">
        <v>71</v>
      </c>
      <c r="G188">
        <v>0</v>
      </c>
      <c r="H188">
        <v>0</v>
      </c>
      <c r="I188">
        <v>0</v>
      </c>
      <c r="J188">
        <v>0</v>
      </c>
      <c r="K188">
        <v>372</v>
      </c>
      <c r="L188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0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366.5</v>
      </c>
      <c r="W188" s="5">
        <f>IF((DiscreteStatsTable[[#This Row],[RepsRequested]]&gt;1),DiscreteStatsTable[[#This Row],[HalfWidth]],DiscreteStatsTable[[#This Row],[BatchMeansHalfWidth]])</f>
        <v>0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70</v>
      </c>
      <c r="F189" t="s">
        <v>71</v>
      </c>
      <c r="G189">
        <v>0</v>
      </c>
      <c r="H189">
        <v>0</v>
      </c>
      <c r="I189">
        <v>0</v>
      </c>
      <c r="J189">
        <v>0</v>
      </c>
      <c r="K189">
        <v>372</v>
      </c>
      <c r="L189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0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366.5</v>
      </c>
      <c r="W189" s="5">
        <f>IF((DiscreteStatsTable[[#This Row],[RepsRequested]]&gt;1),DiscreteStatsTable[[#This Row],[HalfWidth]],DiscreteStatsTable[[#This Row],[BatchMeansHalfWidth]])</f>
        <v>0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70</v>
      </c>
      <c r="F190" t="s">
        <v>71</v>
      </c>
      <c r="G190">
        <v>0</v>
      </c>
      <c r="H190">
        <v>0</v>
      </c>
      <c r="I190">
        <v>0</v>
      </c>
      <c r="J190">
        <v>0</v>
      </c>
      <c r="K190">
        <v>365</v>
      </c>
      <c r="L190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366.5</v>
      </c>
      <c r="W190" s="5">
        <f>IF((DiscreteStatsTable[[#This Row],[RepsRequested]]&gt;1),DiscreteStatsTable[[#This Row],[HalfWidth]],DiscreteStatsTable[[#This Row],[BatchMeansHalfWidth]])</f>
        <v>0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70</v>
      </c>
      <c r="F191" t="s">
        <v>71</v>
      </c>
      <c r="G191">
        <v>0</v>
      </c>
      <c r="H191">
        <v>0</v>
      </c>
      <c r="I191">
        <v>0</v>
      </c>
      <c r="J191">
        <v>0</v>
      </c>
      <c r="K191">
        <v>415</v>
      </c>
      <c r="L191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366.5</v>
      </c>
      <c r="W191" s="5">
        <f>IF((DiscreteStatsTable[[#This Row],[RepsRequested]]&gt;1),DiscreteStatsTable[[#This Row],[HalfWidth]],DiscreteStatsTable[[#This Row],[BatchMeansHalfWidth]])</f>
        <v>0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70</v>
      </c>
      <c r="F192" t="s">
        <v>71</v>
      </c>
      <c r="G192">
        <v>0</v>
      </c>
      <c r="H192">
        <v>0</v>
      </c>
      <c r="I192">
        <v>0</v>
      </c>
      <c r="J192">
        <v>0</v>
      </c>
      <c r="K192">
        <v>389</v>
      </c>
      <c r="L192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366.5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70</v>
      </c>
      <c r="F193" t="s">
        <v>71</v>
      </c>
      <c r="G193">
        <v>0</v>
      </c>
      <c r="H193">
        <v>0</v>
      </c>
      <c r="I193">
        <v>0</v>
      </c>
      <c r="J193">
        <v>0</v>
      </c>
      <c r="K193">
        <v>365</v>
      </c>
      <c r="L193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366.5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70</v>
      </c>
      <c r="F194" t="s">
        <v>71</v>
      </c>
      <c r="G194">
        <v>0</v>
      </c>
      <c r="H194">
        <v>0</v>
      </c>
      <c r="I194">
        <v>0</v>
      </c>
      <c r="J194">
        <v>0</v>
      </c>
      <c r="K194">
        <v>353</v>
      </c>
      <c r="L194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0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366.5</v>
      </c>
      <c r="W194" s="5">
        <f>IF((DiscreteStatsTable[[#This Row],[RepsRequested]]&gt;1),DiscreteStatsTable[[#This Row],[HalfWidth]],DiscreteStatsTable[[#This Row],[BatchMeansHalfWidth]])</f>
        <v>0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70</v>
      </c>
      <c r="F195" t="s">
        <v>71</v>
      </c>
      <c r="G195">
        <v>0</v>
      </c>
      <c r="H195">
        <v>0</v>
      </c>
      <c r="I195">
        <v>0</v>
      </c>
      <c r="J195">
        <v>0</v>
      </c>
      <c r="K195">
        <v>330</v>
      </c>
      <c r="L195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0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366.5</v>
      </c>
      <c r="W195" s="5">
        <f>IF((DiscreteStatsTable[[#This Row],[RepsRequested]]&gt;1),DiscreteStatsTable[[#This Row],[HalfWidth]],DiscreteStatsTable[[#This Row],[BatchMeansHalfWidth]])</f>
        <v>0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70</v>
      </c>
      <c r="F196" t="s">
        <v>71</v>
      </c>
      <c r="G196">
        <v>0</v>
      </c>
      <c r="H196">
        <v>0</v>
      </c>
      <c r="I196">
        <v>0</v>
      </c>
      <c r="J196">
        <v>0</v>
      </c>
      <c r="K196">
        <v>335</v>
      </c>
      <c r="L196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366.5</v>
      </c>
      <c r="W196" s="5">
        <f>IF((DiscreteStatsTable[[#This Row],[RepsRequested]]&gt;1),DiscreteStatsTable[[#This Row],[HalfWidth]],DiscreteStatsTable[[#This Row],[BatchMeansHalfWidth]])</f>
        <v>0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70</v>
      </c>
      <c r="F197" t="s">
        <v>71</v>
      </c>
      <c r="G197">
        <v>0</v>
      </c>
      <c r="H197">
        <v>0</v>
      </c>
      <c r="I197">
        <v>0</v>
      </c>
      <c r="J197">
        <v>0</v>
      </c>
      <c r="K197">
        <v>401</v>
      </c>
      <c r="L197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366.5</v>
      </c>
      <c r="W197" s="5">
        <f>IF((DiscreteStatsTable[[#This Row],[RepsRequested]]&gt;1),DiscreteStatsTable[[#This Row],[HalfWidth]],DiscreteStatsTable[[#This Row],[BatchMeansHalfWidth]])</f>
        <v>0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70</v>
      </c>
      <c r="F198" t="s">
        <v>71</v>
      </c>
      <c r="G198">
        <v>0</v>
      </c>
      <c r="H198">
        <v>0</v>
      </c>
      <c r="I198">
        <v>0</v>
      </c>
      <c r="J198">
        <v>0</v>
      </c>
      <c r="K198">
        <v>356</v>
      </c>
      <c r="L198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366.5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70</v>
      </c>
      <c r="F199" t="s">
        <v>71</v>
      </c>
      <c r="G199">
        <v>0</v>
      </c>
      <c r="H199">
        <v>0</v>
      </c>
      <c r="I199">
        <v>0</v>
      </c>
      <c r="J199">
        <v>0</v>
      </c>
      <c r="K199">
        <v>389</v>
      </c>
      <c r="L199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366.5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70</v>
      </c>
      <c r="F200" t="s">
        <v>71</v>
      </c>
      <c r="G200">
        <v>0</v>
      </c>
      <c r="H200">
        <v>0</v>
      </c>
      <c r="I200">
        <v>0</v>
      </c>
      <c r="J200">
        <v>0</v>
      </c>
      <c r="K200">
        <v>388</v>
      </c>
      <c r="L200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0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366.5</v>
      </c>
      <c r="W200" s="5">
        <f>IF((DiscreteStatsTable[[#This Row],[RepsRequested]]&gt;1),DiscreteStatsTable[[#This Row],[HalfWidth]],DiscreteStatsTable[[#This Row],[BatchMeansHalfWidth]])</f>
        <v>0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70</v>
      </c>
      <c r="F201" t="s">
        <v>71</v>
      </c>
      <c r="G201">
        <v>0</v>
      </c>
      <c r="H201">
        <v>0</v>
      </c>
      <c r="I201">
        <v>0</v>
      </c>
      <c r="J201">
        <v>0</v>
      </c>
      <c r="K201">
        <v>403</v>
      </c>
      <c r="L201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0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366.5</v>
      </c>
      <c r="W201" s="5">
        <f>IF((DiscreteStatsTable[[#This Row],[RepsRequested]]&gt;1),DiscreteStatsTable[[#This Row],[HalfWidth]],DiscreteStatsTable[[#This Row],[BatchMeansHalfWidth]])</f>
        <v>0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70</v>
      </c>
      <c r="F202" t="s">
        <v>71</v>
      </c>
      <c r="G202">
        <v>0</v>
      </c>
      <c r="H202">
        <v>0</v>
      </c>
      <c r="I202">
        <v>0</v>
      </c>
      <c r="J202">
        <v>0</v>
      </c>
      <c r="K202">
        <v>402</v>
      </c>
      <c r="L202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366.5</v>
      </c>
      <c r="W202" s="5">
        <f>IF((DiscreteStatsTable[[#This Row],[RepsRequested]]&gt;1),DiscreteStatsTable[[#This Row],[HalfWidth]],DiscreteStatsTable[[#This Row],[BatchMeansHalfWidth]])</f>
        <v>0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70</v>
      </c>
      <c r="F203" t="s">
        <v>71</v>
      </c>
      <c r="G203">
        <v>0</v>
      </c>
      <c r="H203">
        <v>0</v>
      </c>
      <c r="I203">
        <v>0</v>
      </c>
      <c r="J203">
        <v>0</v>
      </c>
      <c r="K203">
        <v>342</v>
      </c>
      <c r="L203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366.5</v>
      </c>
      <c r="W203" s="5">
        <f>IF((DiscreteStatsTable[[#This Row],[RepsRequested]]&gt;1),DiscreteStatsTable[[#This Row],[HalfWidth]],DiscreteStatsTable[[#This Row],[BatchMeansHalfWidth]])</f>
        <v>0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70</v>
      </c>
      <c r="F204" t="s">
        <v>71</v>
      </c>
      <c r="G204">
        <v>0</v>
      </c>
      <c r="H204">
        <v>2E+20</v>
      </c>
      <c r="I204">
        <v>0</v>
      </c>
      <c r="J204">
        <v>0</v>
      </c>
      <c r="K204">
        <v>308</v>
      </c>
      <c r="L204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366.5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70</v>
      </c>
      <c r="F205" t="s">
        <v>71</v>
      </c>
      <c r="G205">
        <v>0</v>
      </c>
      <c r="H205">
        <v>0</v>
      </c>
      <c r="I205">
        <v>0</v>
      </c>
      <c r="J205">
        <v>0</v>
      </c>
      <c r="K205">
        <v>342</v>
      </c>
      <c r="L205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366.5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70</v>
      </c>
      <c r="F206" t="s">
        <v>71</v>
      </c>
      <c r="G206">
        <v>0</v>
      </c>
      <c r="H206">
        <v>0</v>
      </c>
      <c r="I206">
        <v>0</v>
      </c>
      <c r="J206">
        <v>0</v>
      </c>
      <c r="K206">
        <v>359</v>
      </c>
      <c r="L206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0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366.5</v>
      </c>
      <c r="W206" s="5">
        <f>IF((DiscreteStatsTable[[#This Row],[RepsRequested]]&gt;1),DiscreteStatsTable[[#This Row],[HalfWidth]],DiscreteStatsTable[[#This Row],[BatchMeansHalfWidth]])</f>
        <v>0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70</v>
      </c>
      <c r="F207" t="s">
        <v>71</v>
      </c>
      <c r="G207">
        <v>0</v>
      </c>
      <c r="H207">
        <v>0</v>
      </c>
      <c r="I207">
        <v>0</v>
      </c>
      <c r="J207">
        <v>0</v>
      </c>
      <c r="K207">
        <v>322</v>
      </c>
      <c r="L207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0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0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366.5</v>
      </c>
      <c r="W207" s="5">
        <f>IF((DiscreteStatsTable[[#This Row],[RepsRequested]]&gt;1),DiscreteStatsTable[[#This Row],[HalfWidth]],DiscreteStatsTable[[#This Row],[BatchMeansHalfWidth]])</f>
        <v>0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70</v>
      </c>
      <c r="F208" t="s">
        <v>71</v>
      </c>
      <c r="G208">
        <v>0</v>
      </c>
      <c r="H208">
        <v>0</v>
      </c>
      <c r="I208">
        <v>0</v>
      </c>
      <c r="J208">
        <v>0</v>
      </c>
      <c r="K208">
        <v>399</v>
      </c>
      <c r="L208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366.5</v>
      </c>
      <c r="W208" s="5">
        <f>IF((DiscreteStatsTable[[#This Row],[RepsRequested]]&gt;1),DiscreteStatsTable[[#This Row],[HalfWidth]],DiscreteStatsTable[[#This Row],[BatchMeansHalfWidth]])</f>
        <v>0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70</v>
      </c>
      <c r="F209" t="s">
        <v>71</v>
      </c>
      <c r="G209">
        <v>0</v>
      </c>
      <c r="H209">
        <v>0</v>
      </c>
      <c r="I209">
        <v>0</v>
      </c>
      <c r="J209">
        <v>0</v>
      </c>
      <c r="K209">
        <v>361</v>
      </c>
      <c r="L209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366.5</v>
      </c>
      <c r="W209" s="5">
        <f>IF((DiscreteStatsTable[[#This Row],[RepsRequested]]&gt;1),DiscreteStatsTable[[#This Row],[HalfWidth]],DiscreteStatsTable[[#This Row],[BatchMeansHalfWidth]])</f>
        <v>0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70</v>
      </c>
      <c r="F210" t="s">
        <v>71</v>
      </c>
      <c r="G210">
        <v>0</v>
      </c>
      <c r="H210">
        <v>0</v>
      </c>
      <c r="I210">
        <v>0</v>
      </c>
      <c r="J210">
        <v>0</v>
      </c>
      <c r="K210">
        <v>415</v>
      </c>
      <c r="L210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366.5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70</v>
      </c>
      <c r="F211" t="s">
        <v>71</v>
      </c>
      <c r="G211">
        <v>0</v>
      </c>
      <c r="H211">
        <v>0</v>
      </c>
      <c r="I211">
        <v>0</v>
      </c>
      <c r="J211">
        <v>0</v>
      </c>
      <c r="K211">
        <v>352</v>
      </c>
      <c r="L211" s="5" t="str">
        <f>DiscreteStatsTable[[#This Row],[ProjectName]]&amp;DiscreteStatsTable[[#This Row],[Name]]&amp;DiscreteStatsTable[[#This Row],[Type]]&amp;DiscreteStatsTable[[#This Row],[Source]]</f>
        <v>Unnamed ProjectPHall.QueueWaiting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366.5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  <row r="212" spans="1:25" x14ac:dyDescent="0.3">
      <c r="A212" t="s">
        <v>66</v>
      </c>
      <c r="B212" t="s">
        <v>68</v>
      </c>
      <c r="C212">
        <v>1</v>
      </c>
      <c r="D212" t="s">
        <v>78</v>
      </c>
      <c r="E212" t="s">
        <v>70</v>
      </c>
      <c r="F212" t="s">
        <v>71</v>
      </c>
      <c r="G212">
        <v>0</v>
      </c>
      <c r="H212">
        <v>2E+20</v>
      </c>
      <c r="I212">
        <v>0</v>
      </c>
      <c r="J212">
        <v>0</v>
      </c>
      <c r="K212">
        <v>70</v>
      </c>
      <c r="L212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30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0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0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12" s="5">
        <f>IF((DiscreteStatsTable[[#This Row],[RepsRequested]]&gt;1),DiscreteStatsTable[[#This Row],[HalfWidth]],DiscreteStatsTable[[#This Row],[BatchMeansHalfWidth]])</f>
        <v>0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30</v>
      </c>
      <c r="Y212" s="5">
        <f>IF(DiscreteStatsTable[[#This Row],[RepsRequested]]=DiscreteStatsTable[[#This Row],[RepsWithStatObserved]],1,0)</f>
        <v>1</v>
      </c>
    </row>
    <row r="213" spans="1:25" x14ac:dyDescent="0.3">
      <c r="A213" t="s">
        <v>66</v>
      </c>
      <c r="B213" t="s">
        <v>68</v>
      </c>
      <c r="C213">
        <v>2</v>
      </c>
      <c r="D213" t="s">
        <v>78</v>
      </c>
      <c r="E213" t="s">
        <v>70</v>
      </c>
      <c r="F213" t="s">
        <v>71</v>
      </c>
      <c r="G213">
        <v>0</v>
      </c>
      <c r="H213">
        <v>2E+20</v>
      </c>
      <c r="I213">
        <v>0</v>
      </c>
      <c r="J213">
        <v>0</v>
      </c>
      <c r="K213">
        <v>59</v>
      </c>
      <c r="L213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30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0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0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0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13" s="5">
        <f>IF((DiscreteStatsTable[[#This Row],[RepsRequested]]&gt;1),DiscreteStatsTable[[#This Row],[HalfWidth]],DiscreteStatsTable[[#This Row],[BatchMeansHalfWidth]])</f>
        <v>0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30</v>
      </c>
      <c r="Y213" s="5">
        <f>IF(DiscreteStatsTable[[#This Row],[RepsRequested]]=DiscreteStatsTable[[#This Row],[RepsWithStatObserved]],1,0)</f>
        <v>1</v>
      </c>
    </row>
    <row r="214" spans="1:25" x14ac:dyDescent="0.3">
      <c r="A214" t="s">
        <v>66</v>
      </c>
      <c r="B214" t="s">
        <v>68</v>
      </c>
      <c r="C214">
        <v>3</v>
      </c>
      <c r="D214" t="s">
        <v>78</v>
      </c>
      <c r="E214" t="s">
        <v>70</v>
      </c>
      <c r="F214" t="s">
        <v>71</v>
      </c>
      <c r="G214">
        <v>0</v>
      </c>
      <c r="H214">
        <v>2E+20</v>
      </c>
      <c r="I214">
        <v>0</v>
      </c>
      <c r="J214">
        <v>0</v>
      </c>
      <c r="K214">
        <v>81</v>
      </c>
      <c r="L214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30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0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14" s="5">
        <f>IF((DiscreteStatsTable[[#This Row],[RepsRequested]]&gt;1),DiscreteStatsTable[[#This Row],[HalfWidth]],DiscreteStatsTable[[#This Row],[BatchMeansHalfWidth]])</f>
        <v>0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30</v>
      </c>
      <c r="Y214" s="5">
        <f>IF(DiscreteStatsTable[[#This Row],[RepsRequested]]=DiscreteStatsTable[[#This Row],[RepsWithStatObserved]],1,0)</f>
        <v>1</v>
      </c>
    </row>
    <row r="215" spans="1:25" x14ac:dyDescent="0.3">
      <c r="A215" t="s">
        <v>66</v>
      </c>
      <c r="B215" t="s">
        <v>68</v>
      </c>
      <c r="C215">
        <v>4</v>
      </c>
      <c r="D215" t="s">
        <v>78</v>
      </c>
      <c r="E215" t="s">
        <v>70</v>
      </c>
      <c r="F215" t="s">
        <v>71</v>
      </c>
      <c r="G215">
        <v>0</v>
      </c>
      <c r="H215">
        <v>2E+20</v>
      </c>
      <c r="I215">
        <v>0</v>
      </c>
      <c r="J215">
        <v>0</v>
      </c>
      <c r="K215">
        <v>70</v>
      </c>
      <c r="L215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30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15" s="5">
        <f>IF((DiscreteStatsTable[[#This Row],[RepsRequested]]&gt;1),DiscreteStatsTable[[#This Row],[HalfWidth]],DiscreteStatsTable[[#This Row],[BatchMeansHalfWidth]])</f>
        <v>0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30</v>
      </c>
      <c r="Y215" s="5">
        <f>IF(DiscreteStatsTable[[#This Row],[RepsRequested]]=DiscreteStatsTable[[#This Row],[RepsWithStatObserved]],1,0)</f>
        <v>1</v>
      </c>
    </row>
    <row r="216" spans="1:25" x14ac:dyDescent="0.3">
      <c r="A216" t="s">
        <v>66</v>
      </c>
      <c r="B216" t="s">
        <v>68</v>
      </c>
      <c r="C216">
        <v>5</v>
      </c>
      <c r="D216" t="s">
        <v>78</v>
      </c>
      <c r="E216" t="s">
        <v>70</v>
      </c>
      <c r="F216" t="s">
        <v>71</v>
      </c>
      <c r="G216">
        <v>0</v>
      </c>
      <c r="H216">
        <v>2E+20</v>
      </c>
      <c r="I216">
        <v>0</v>
      </c>
      <c r="J216">
        <v>0</v>
      </c>
      <c r="K216">
        <v>63</v>
      </c>
      <c r="L216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30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30</v>
      </c>
      <c r="Y216" s="5">
        <f>IF(DiscreteStatsTable[[#This Row],[RepsRequested]]=DiscreteStatsTable[[#This Row],[RepsWithStatObserved]],1,0)</f>
        <v>1</v>
      </c>
    </row>
    <row r="217" spans="1:25" x14ac:dyDescent="0.3">
      <c r="A217" t="s">
        <v>66</v>
      </c>
      <c r="B217" t="s">
        <v>68</v>
      </c>
      <c r="C217">
        <v>6</v>
      </c>
      <c r="D217" t="s">
        <v>78</v>
      </c>
      <c r="E217" t="s">
        <v>70</v>
      </c>
      <c r="F217" t="s">
        <v>71</v>
      </c>
      <c r="G217">
        <v>0</v>
      </c>
      <c r="H217">
        <v>2E+20</v>
      </c>
      <c r="I217">
        <v>0</v>
      </c>
      <c r="J217">
        <v>0</v>
      </c>
      <c r="K217">
        <v>68</v>
      </c>
      <c r="L217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30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30</v>
      </c>
      <c r="Y217" s="5">
        <f>IF(DiscreteStatsTable[[#This Row],[RepsRequested]]=DiscreteStatsTable[[#This Row],[RepsWithStatObserved]],1,0)</f>
        <v>1</v>
      </c>
    </row>
    <row r="218" spans="1:25" x14ac:dyDescent="0.3">
      <c r="A218" t="s">
        <v>66</v>
      </c>
      <c r="B218" t="s">
        <v>68</v>
      </c>
      <c r="C218">
        <v>7</v>
      </c>
      <c r="D218" t="s">
        <v>78</v>
      </c>
      <c r="E218" t="s">
        <v>70</v>
      </c>
      <c r="F218" t="s">
        <v>71</v>
      </c>
      <c r="G218">
        <v>0</v>
      </c>
      <c r="H218">
        <v>2E+20</v>
      </c>
      <c r="I218">
        <v>0</v>
      </c>
      <c r="J218">
        <v>0</v>
      </c>
      <c r="K218">
        <v>72</v>
      </c>
      <c r="L218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30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0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0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18" s="5">
        <f>IF((DiscreteStatsTable[[#This Row],[RepsRequested]]&gt;1),DiscreteStatsTable[[#This Row],[HalfWidth]],DiscreteStatsTable[[#This Row],[BatchMeansHalfWidth]])</f>
        <v>0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30</v>
      </c>
      <c r="Y218" s="5">
        <f>IF(DiscreteStatsTable[[#This Row],[RepsRequested]]=DiscreteStatsTable[[#This Row],[RepsWithStatObserved]],1,0)</f>
        <v>1</v>
      </c>
    </row>
    <row r="219" spans="1:25" x14ac:dyDescent="0.3">
      <c r="A219" t="s">
        <v>66</v>
      </c>
      <c r="B219" t="s">
        <v>68</v>
      </c>
      <c r="C219">
        <v>8</v>
      </c>
      <c r="D219" t="s">
        <v>78</v>
      </c>
      <c r="E219" t="s">
        <v>70</v>
      </c>
      <c r="F219" t="s">
        <v>71</v>
      </c>
      <c r="G219">
        <v>0</v>
      </c>
      <c r="H219">
        <v>2E+20</v>
      </c>
      <c r="I219">
        <v>0</v>
      </c>
      <c r="J219">
        <v>0</v>
      </c>
      <c r="K219">
        <v>67</v>
      </c>
      <c r="L219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30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0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0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0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19" s="5">
        <f>IF((DiscreteStatsTable[[#This Row],[RepsRequested]]&gt;1),DiscreteStatsTable[[#This Row],[HalfWidth]],DiscreteStatsTable[[#This Row],[BatchMeansHalfWidth]])</f>
        <v>0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30</v>
      </c>
      <c r="Y219" s="5">
        <f>IF(DiscreteStatsTable[[#This Row],[RepsRequested]]=DiscreteStatsTable[[#This Row],[RepsWithStatObserved]],1,0)</f>
        <v>1</v>
      </c>
    </row>
    <row r="220" spans="1:25" x14ac:dyDescent="0.3">
      <c r="A220" t="s">
        <v>66</v>
      </c>
      <c r="B220" t="s">
        <v>68</v>
      </c>
      <c r="C220">
        <v>9</v>
      </c>
      <c r="D220" t="s">
        <v>78</v>
      </c>
      <c r="E220" t="s">
        <v>70</v>
      </c>
      <c r="F220" t="s">
        <v>71</v>
      </c>
      <c r="G220">
        <v>0</v>
      </c>
      <c r="H220">
        <v>2E+20</v>
      </c>
      <c r="I220">
        <v>0</v>
      </c>
      <c r="J220">
        <v>0</v>
      </c>
      <c r="K220">
        <v>58</v>
      </c>
      <c r="L220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30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0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20" s="5">
        <f>IF((DiscreteStatsTable[[#This Row],[RepsRequested]]&gt;1),DiscreteStatsTable[[#This Row],[HalfWidth]],DiscreteStatsTable[[#This Row],[BatchMeansHalfWidth]])</f>
        <v>0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30</v>
      </c>
      <c r="Y220" s="5">
        <f>IF(DiscreteStatsTable[[#This Row],[RepsRequested]]=DiscreteStatsTable[[#This Row],[RepsWithStatObserved]],1,0)</f>
        <v>1</v>
      </c>
    </row>
    <row r="221" spans="1:25" x14ac:dyDescent="0.3">
      <c r="A221" t="s">
        <v>66</v>
      </c>
      <c r="B221" t="s">
        <v>68</v>
      </c>
      <c r="C221">
        <v>10</v>
      </c>
      <c r="D221" t="s">
        <v>78</v>
      </c>
      <c r="E221" t="s">
        <v>70</v>
      </c>
      <c r="F221" t="s">
        <v>71</v>
      </c>
      <c r="G221">
        <v>0</v>
      </c>
      <c r="H221">
        <v>2E+20</v>
      </c>
      <c r="I221">
        <v>0</v>
      </c>
      <c r="J221">
        <v>0</v>
      </c>
      <c r="K221">
        <v>76</v>
      </c>
      <c r="L221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30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21" s="5">
        <f>IF((DiscreteStatsTable[[#This Row],[RepsRequested]]&gt;1),DiscreteStatsTable[[#This Row],[HalfWidth]],DiscreteStatsTable[[#This Row],[BatchMeansHalfWidth]])</f>
        <v>0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30</v>
      </c>
      <c r="Y221" s="5">
        <f>IF(DiscreteStatsTable[[#This Row],[RepsRequested]]=DiscreteStatsTable[[#This Row],[RepsWithStatObserved]],1,0)</f>
        <v>1</v>
      </c>
    </row>
    <row r="222" spans="1:25" x14ac:dyDescent="0.3">
      <c r="A222" t="s">
        <v>66</v>
      </c>
      <c r="B222" t="s">
        <v>68</v>
      </c>
      <c r="C222">
        <v>11</v>
      </c>
      <c r="D222" t="s">
        <v>78</v>
      </c>
      <c r="E222" t="s">
        <v>70</v>
      </c>
      <c r="F222" t="s">
        <v>71</v>
      </c>
      <c r="G222">
        <v>0</v>
      </c>
      <c r="H222">
        <v>2E+20</v>
      </c>
      <c r="I222">
        <v>0</v>
      </c>
      <c r="J222">
        <v>0</v>
      </c>
      <c r="K222">
        <v>72</v>
      </c>
      <c r="L222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30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30</v>
      </c>
      <c r="Y222" s="5">
        <f>IF(DiscreteStatsTable[[#This Row],[RepsRequested]]=DiscreteStatsTable[[#This Row],[RepsWithStatObserved]],1,0)</f>
        <v>1</v>
      </c>
    </row>
    <row r="223" spans="1:25" x14ac:dyDescent="0.3">
      <c r="A223" t="s">
        <v>66</v>
      </c>
      <c r="B223" t="s">
        <v>68</v>
      </c>
      <c r="C223">
        <v>12</v>
      </c>
      <c r="D223" t="s">
        <v>78</v>
      </c>
      <c r="E223" t="s">
        <v>70</v>
      </c>
      <c r="F223" t="s">
        <v>71</v>
      </c>
      <c r="G223">
        <v>0</v>
      </c>
      <c r="H223">
        <v>2E+20</v>
      </c>
      <c r="I223">
        <v>0</v>
      </c>
      <c r="J223">
        <v>0</v>
      </c>
      <c r="K223">
        <v>70</v>
      </c>
      <c r="L223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30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30</v>
      </c>
      <c r="Y223" s="5">
        <f>IF(DiscreteStatsTable[[#This Row],[RepsRequested]]=DiscreteStatsTable[[#This Row],[RepsWithStatObserved]],1,0)</f>
        <v>1</v>
      </c>
    </row>
    <row r="224" spans="1:25" x14ac:dyDescent="0.3">
      <c r="A224" t="s">
        <v>66</v>
      </c>
      <c r="B224" t="s">
        <v>68</v>
      </c>
      <c r="C224">
        <v>13</v>
      </c>
      <c r="D224" t="s">
        <v>78</v>
      </c>
      <c r="E224" t="s">
        <v>70</v>
      </c>
      <c r="F224" t="s">
        <v>71</v>
      </c>
      <c r="G224">
        <v>0</v>
      </c>
      <c r="H224">
        <v>2E+20</v>
      </c>
      <c r="I224">
        <v>0</v>
      </c>
      <c r="J224">
        <v>0</v>
      </c>
      <c r="K224">
        <v>64</v>
      </c>
      <c r="L224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30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0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0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24" s="5">
        <f>IF((DiscreteStatsTable[[#This Row],[RepsRequested]]&gt;1),DiscreteStatsTable[[#This Row],[HalfWidth]],DiscreteStatsTable[[#This Row],[BatchMeansHalfWidth]])</f>
        <v>0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30</v>
      </c>
      <c r="Y224" s="5">
        <f>IF(DiscreteStatsTable[[#This Row],[RepsRequested]]=DiscreteStatsTable[[#This Row],[RepsWithStatObserved]],1,0)</f>
        <v>1</v>
      </c>
    </row>
    <row r="225" spans="1:25" x14ac:dyDescent="0.3">
      <c r="A225" t="s">
        <v>66</v>
      </c>
      <c r="B225" t="s">
        <v>68</v>
      </c>
      <c r="C225">
        <v>14</v>
      </c>
      <c r="D225" t="s">
        <v>78</v>
      </c>
      <c r="E225" t="s">
        <v>70</v>
      </c>
      <c r="F225" t="s">
        <v>71</v>
      </c>
      <c r="G225">
        <v>0</v>
      </c>
      <c r="H225">
        <v>2E+20</v>
      </c>
      <c r="I225">
        <v>0</v>
      </c>
      <c r="J225">
        <v>0</v>
      </c>
      <c r="K225">
        <v>55</v>
      </c>
      <c r="L225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30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0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0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0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25" s="5">
        <f>IF((DiscreteStatsTable[[#This Row],[RepsRequested]]&gt;1),DiscreteStatsTable[[#This Row],[HalfWidth]],DiscreteStatsTable[[#This Row],[BatchMeansHalfWidth]])</f>
        <v>0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30</v>
      </c>
      <c r="Y225" s="5">
        <f>IF(DiscreteStatsTable[[#This Row],[RepsRequested]]=DiscreteStatsTable[[#This Row],[RepsWithStatObserved]],1,0)</f>
        <v>1</v>
      </c>
    </row>
    <row r="226" spans="1:25" x14ac:dyDescent="0.3">
      <c r="A226" t="s">
        <v>66</v>
      </c>
      <c r="B226" t="s">
        <v>68</v>
      </c>
      <c r="C226">
        <v>15</v>
      </c>
      <c r="D226" t="s">
        <v>78</v>
      </c>
      <c r="E226" t="s">
        <v>70</v>
      </c>
      <c r="F226" t="s">
        <v>71</v>
      </c>
      <c r="G226">
        <v>0</v>
      </c>
      <c r="H226">
        <v>2E+20</v>
      </c>
      <c r="I226">
        <v>0</v>
      </c>
      <c r="J226">
        <v>0</v>
      </c>
      <c r="K226">
        <v>62</v>
      </c>
      <c r="L226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30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26" s="5">
        <f>IF((DiscreteStatsTable[[#This Row],[RepsRequested]]&gt;1),DiscreteStatsTable[[#This Row],[HalfWidth]],DiscreteStatsTable[[#This Row],[BatchMeansHalfWidth]])</f>
        <v>0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30</v>
      </c>
      <c r="Y226" s="5">
        <f>IF(DiscreteStatsTable[[#This Row],[RepsRequested]]=DiscreteStatsTable[[#This Row],[RepsWithStatObserved]],1,0)</f>
        <v>1</v>
      </c>
    </row>
    <row r="227" spans="1:25" x14ac:dyDescent="0.3">
      <c r="A227" t="s">
        <v>66</v>
      </c>
      <c r="B227" t="s">
        <v>68</v>
      </c>
      <c r="C227">
        <v>16</v>
      </c>
      <c r="D227" t="s">
        <v>78</v>
      </c>
      <c r="E227" t="s">
        <v>70</v>
      </c>
      <c r="F227" t="s">
        <v>71</v>
      </c>
      <c r="G227">
        <v>0</v>
      </c>
      <c r="H227">
        <v>2E+20</v>
      </c>
      <c r="I227">
        <v>0</v>
      </c>
      <c r="J227">
        <v>0</v>
      </c>
      <c r="K227">
        <v>75</v>
      </c>
      <c r="L227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30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27" s="5">
        <f>IF((DiscreteStatsTable[[#This Row],[RepsRequested]]&gt;1),DiscreteStatsTable[[#This Row],[HalfWidth]],DiscreteStatsTable[[#This Row],[BatchMeansHalfWidth]])</f>
        <v>0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30</v>
      </c>
      <c r="Y227" s="5">
        <f>IF(DiscreteStatsTable[[#This Row],[RepsRequested]]=DiscreteStatsTable[[#This Row],[RepsWithStatObserved]],1,0)</f>
        <v>1</v>
      </c>
    </row>
    <row r="228" spans="1:25" x14ac:dyDescent="0.3">
      <c r="A228" t="s">
        <v>66</v>
      </c>
      <c r="B228" t="s">
        <v>68</v>
      </c>
      <c r="C228">
        <v>17</v>
      </c>
      <c r="D228" t="s">
        <v>78</v>
      </c>
      <c r="E228" t="s">
        <v>70</v>
      </c>
      <c r="F228" t="s">
        <v>71</v>
      </c>
      <c r="G228">
        <v>0</v>
      </c>
      <c r="H228">
        <v>2E+20</v>
      </c>
      <c r="I228">
        <v>0</v>
      </c>
      <c r="J228">
        <v>0</v>
      </c>
      <c r="K228">
        <v>68</v>
      </c>
      <c r="L228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30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30</v>
      </c>
      <c r="Y228" s="5">
        <f>IF(DiscreteStatsTable[[#This Row],[RepsRequested]]=DiscreteStatsTable[[#This Row],[RepsWithStatObserved]],1,0)</f>
        <v>1</v>
      </c>
    </row>
    <row r="229" spans="1:25" x14ac:dyDescent="0.3">
      <c r="A229" t="s">
        <v>66</v>
      </c>
      <c r="B229" t="s">
        <v>68</v>
      </c>
      <c r="C229">
        <v>18</v>
      </c>
      <c r="D229" t="s">
        <v>78</v>
      </c>
      <c r="E229" t="s">
        <v>70</v>
      </c>
      <c r="F229" t="s">
        <v>71</v>
      </c>
      <c r="G229">
        <v>0</v>
      </c>
      <c r="H229">
        <v>2E+20</v>
      </c>
      <c r="I229">
        <v>0</v>
      </c>
      <c r="J229">
        <v>0</v>
      </c>
      <c r="K229">
        <v>69</v>
      </c>
      <c r="L229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30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30</v>
      </c>
      <c r="Y229" s="5">
        <f>IF(DiscreteStatsTable[[#This Row],[RepsRequested]]=DiscreteStatsTable[[#This Row],[RepsWithStatObserved]],1,0)</f>
        <v>1</v>
      </c>
    </row>
    <row r="230" spans="1:25" x14ac:dyDescent="0.3">
      <c r="A230" t="s">
        <v>66</v>
      </c>
      <c r="B230" t="s">
        <v>68</v>
      </c>
      <c r="C230">
        <v>19</v>
      </c>
      <c r="D230" t="s">
        <v>78</v>
      </c>
      <c r="E230" t="s">
        <v>70</v>
      </c>
      <c r="F230" t="s">
        <v>71</v>
      </c>
      <c r="G230">
        <v>0</v>
      </c>
      <c r="H230">
        <v>2E+20</v>
      </c>
      <c r="I230">
        <v>0</v>
      </c>
      <c r="J230">
        <v>0</v>
      </c>
      <c r="K230">
        <v>83</v>
      </c>
      <c r="L230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30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0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0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30" s="5">
        <f>IF((DiscreteStatsTable[[#This Row],[RepsRequested]]&gt;1),DiscreteStatsTable[[#This Row],[HalfWidth]],DiscreteStatsTable[[#This Row],[BatchMeansHalfWidth]])</f>
        <v>0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30</v>
      </c>
      <c r="Y230" s="5">
        <f>IF(DiscreteStatsTable[[#This Row],[RepsRequested]]=DiscreteStatsTable[[#This Row],[RepsWithStatObserved]],1,0)</f>
        <v>1</v>
      </c>
    </row>
    <row r="231" spans="1:25" x14ac:dyDescent="0.3">
      <c r="A231" t="s">
        <v>66</v>
      </c>
      <c r="B231" t="s">
        <v>68</v>
      </c>
      <c r="C231">
        <v>20</v>
      </c>
      <c r="D231" t="s">
        <v>78</v>
      </c>
      <c r="E231" t="s">
        <v>70</v>
      </c>
      <c r="F231" t="s">
        <v>71</v>
      </c>
      <c r="G231">
        <v>0</v>
      </c>
      <c r="H231">
        <v>2E+20</v>
      </c>
      <c r="I231">
        <v>0</v>
      </c>
      <c r="J231">
        <v>0</v>
      </c>
      <c r="K231">
        <v>76</v>
      </c>
      <c r="L231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30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0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0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0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31" s="5">
        <f>IF((DiscreteStatsTable[[#This Row],[RepsRequested]]&gt;1),DiscreteStatsTable[[#This Row],[HalfWidth]],DiscreteStatsTable[[#This Row],[BatchMeansHalfWidth]])</f>
        <v>0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30</v>
      </c>
      <c r="Y231" s="5">
        <f>IF(DiscreteStatsTable[[#This Row],[RepsRequested]]=DiscreteStatsTable[[#This Row],[RepsWithStatObserved]],1,0)</f>
        <v>1</v>
      </c>
    </row>
    <row r="232" spans="1:25" x14ac:dyDescent="0.3">
      <c r="A232" t="s">
        <v>66</v>
      </c>
      <c r="B232" t="s">
        <v>68</v>
      </c>
      <c r="C232">
        <v>21</v>
      </c>
      <c r="D232" t="s">
        <v>78</v>
      </c>
      <c r="E232" t="s">
        <v>70</v>
      </c>
      <c r="F232" t="s">
        <v>71</v>
      </c>
      <c r="G232">
        <v>0</v>
      </c>
      <c r="H232">
        <v>2E+20</v>
      </c>
      <c r="I232">
        <v>0</v>
      </c>
      <c r="J232">
        <v>0</v>
      </c>
      <c r="K232">
        <v>78</v>
      </c>
      <c r="L232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30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32" s="5">
        <f>IF((DiscreteStatsTable[[#This Row],[RepsRequested]]&gt;1),DiscreteStatsTable[[#This Row],[HalfWidth]],DiscreteStatsTable[[#This Row],[BatchMeansHalfWidth]])</f>
        <v>0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30</v>
      </c>
      <c r="Y232" s="5">
        <f>IF(DiscreteStatsTable[[#This Row],[RepsRequested]]=DiscreteStatsTable[[#This Row],[RepsWithStatObserved]],1,0)</f>
        <v>1</v>
      </c>
    </row>
    <row r="233" spans="1:25" x14ac:dyDescent="0.3">
      <c r="A233" t="s">
        <v>66</v>
      </c>
      <c r="B233" t="s">
        <v>68</v>
      </c>
      <c r="C233">
        <v>22</v>
      </c>
      <c r="D233" t="s">
        <v>78</v>
      </c>
      <c r="E233" t="s">
        <v>70</v>
      </c>
      <c r="F233" t="s">
        <v>71</v>
      </c>
      <c r="G233">
        <v>0</v>
      </c>
      <c r="H233">
        <v>2E+20</v>
      </c>
      <c r="I233">
        <v>0</v>
      </c>
      <c r="J233">
        <v>0</v>
      </c>
      <c r="K233">
        <v>63</v>
      </c>
      <c r="L233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30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33" s="5">
        <f>IF((DiscreteStatsTable[[#This Row],[RepsRequested]]&gt;1),DiscreteStatsTable[[#This Row],[HalfWidth]],DiscreteStatsTable[[#This Row],[BatchMeansHalfWidth]])</f>
        <v>0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30</v>
      </c>
      <c r="Y233" s="5">
        <f>IF(DiscreteStatsTable[[#This Row],[RepsRequested]]=DiscreteStatsTable[[#This Row],[RepsWithStatObserved]],1,0)</f>
        <v>1</v>
      </c>
    </row>
    <row r="234" spans="1:25" x14ac:dyDescent="0.3">
      <c r="A234" t="s">
        <v>66</v>
      </c>
      <c r="B234" t="s">
        <v>68</v>
      </c>
      <c r="C234">
        <v>23</v>
      </c>
      <c r="D234" t="s">
        <v>78</v>
      </c>
      <c r="E234" t="s">
        <v>70</v>
      </c>
      <c r="F234" t="s">
        <v>71</v>
      </c>
      <c r="G234">
        <v>0</v>
      </c>
      <c r="H234">
        <v>2E+20</v>
      </c>
      <c r="I234">
        <v>0</v>
      </c>
      <c r="J234">
        <v>0</v>
      </c>
      <c r="K234">
        <v>55</v>
      </c>
      <c r="L234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30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30</v>
      </c>
      <c r="Y234" s="5">
        <f>IF(DiscreteStatsTable[[#This Row],[RepsRequested]]=DiscreteStatsTable[[#This Row],[RepsWithStatObserved]],1,0)</f>
        <v>1</v>
      </c>
    </row>
    <row r="235" spans="1:25" x14ac:dyDescent="0.3">
      <c r="A235" t="s">
        <v>66</v>
      </c>
      <c r="B235" t="s">
        <v>68</v>
      </c>
      <c r="C235">
        <v>24</v>
      </c>
      <c r="D235" t="s">
        <v>78</v>
      </c>
      <c r="E235" t="s">
        <v>70</v>
      </c>
      <c r="F235" t="s">
        <v>71</v>
      </c>
      <c r="G235">
        <v>0</v>
      </c>
      <c r="H235">
        <v>2E+20</v>
      </c>
      <c r="I235">
        <v>0</v>
      </c>
      <c r="J235">
        <v>0</v>
      </c>
      <c r="K235">
        <v>61</v>
      </c>
      <c r="L235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30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30</v>
      </c>
      <c r="Y235" s="5">
        <f>IF(DiscreteStatsTable[[#This Row],[RepsRequested]]=DiscreteStatsTable[[#This Row],[RepsWithStatObserved]],1,0)</f>
        <v>1</v>
      </c>
    </row>
    <row r="236" spans="1:25" x14ac:dyDescent="0.3">
      <c r="A236" t="s">
        <v>66</v>
      </c>
      <c r="B236" t="s">
        <v>68</v>
      </c>
      <c r="C236">
        <v>25</v>
      </c>
      <c r="D236" t="s">
        <v>78</v>
      </c>
      <c r="E236" t="s">
        <v>70</v>
      </c>
      <c r="F236" t="s">
        <v>71</v>
      </c>
      <c r="G236">
        <v>0</v>
      </c>
      <c r="H236">
        <v>2E+20</v>
      </c>
      <c r="I236">
        <v>0</v>
      </c>
      <c r="J236">
        <v>0</v>
      </c>
      <c r="K236">
        <v>61</v>
      </c>
      <c r="L236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30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0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0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36" s="5">
        <f>IF((DiscreteStatsTable[[#This Row],[RepsRequested]]&gt;1),DiscreteStatsTable[[#This Row],[HalfWidth]],DiscreteStatsTable[[#This Row],[BatchMeansHalfWidth]])</f>
        <v>0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30</v>
      </c>
      <c r="Y236" s="5">
        <f>IF(DiscreteStatsTable[[#This Row],[RepsRequested]]=DiscreteStatsTable[[#This Row],[RepsWithStatObserved]],1,0)</f>
        <v>1</v>
      </c>
    </row>
    <row r="237" spans="1:25" x14ac:dyDescent="0.3">
      <c r="A237" t="s">
        <v>66</v>
      </c>
      <c r="B237" t="s">
        <v>68</v>
      </c>
      <c r="C237">
        <v>26</v>
      </c>
      <c r="D237" t="s">
        <v>78</v>
      </c>
      <c r="E237" t="s">
        <v>70</v>
      </c>
      <c r="F237" t="s">
        <v>71</v>
      </c>
      <c r="G237">
        <v>0</v>
      </c>
      <c r="H237">
        <v>2E+20</v>
      </c>
      <c r="I237">
        <v>0</v>
      </c>
      <c r="J237">
        <v>0</v>
      </c>
      <c r="K237">
        <v>57</v>
      </c>
      <c r="L237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30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0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0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0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37" s="5">
        <f>IF((DiscreteStatsTable[[#This Row],[RepsRequested]]&gt;1),DiscreteStatsTable[[#This Row],[HalfWidth]],DiscreteStatsTable[[#This Row],[BatchMeansHalfWidth]])</f>
        <v>0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30</v>
      </c>
      <c r="Y237" s="5">
        <f>IF(DiscreteStatsTable[[#This Row],[RepsRequested]]=DiscreteStatsTable[[#This Row],[RepsWithStatObserved]],1,0)</f>
        <v>1</v>
      </c>
    </row>
    <row r="238" spans="1:25" x14ac:dyDescent="0.3">
      <c r="A238" t="s">
        <v>66</v>
      </c>
      <c r="B238" t="s">
        <v>68</v>
      </c>
      <c r="C238">
        <v>27</v>
      </c>
      <c r="D238" t="s">
        <v>78</v>
      </c>
      <c r="E238" t="s">
        <v>70</v>
      </c>
      <c r="F238" t="s">
        <v>71</v>
      </c>
      <c r="G238">
        <v>0</v>
      </c>
      <c r="H238">
        <v>2E+20</v>
      </c>
      <c r="I238">
        <v>0</v>
      </c>
      <c r="J238">
        <v>0</v>
      </c>
      <c r="K238">
        <v>79</v>
      </c>
      <c r="L238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30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38" s="5">
        <f>IF((DiscreteStatsTable[[#This Row],[RepsRequested]]&gt;1),DiscreteStatsTable[[#This Row],[HalfWidth]],DiscreteStatsTable[[#This Row],[BatchMeansHalfWidth]])</f>
        <v>0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30</v>
      </c>
      <c r="Y238" s="5">
        <f>IF(DiscreteStatsTable[[#This Row],[RepsRequested]]=DiscreteStatsTable[[#This Row],[RepsWithStatObserved]],1,0)</f>
        <v>1</v>
      </c>
    </row>
    <row r="239" spans="1:25" x14ac:dyDescent="0.3">
      <c r="A239" t="s">
        <v>66</v>
      </c>
      <c r="B239" t="s">
        <v>68</v>
      </c>
      <c r="C239">
        <v>28</v>
      </c>
      <c r="D239" t="s">
        <v>78</v>
      </c>
      <c r="E239" t="s">
        <v>70</v>
      </c>
      <c r="F239" t="s">
        <v>71</v>
      </c>
      <c r="G239">
        <v>0</v>
      </c>
      <c r="H239">
        <v>2E+20</v>
      </c>
      <c r="I239">
        <v>0</v>
      </c>
      <c r="J239">
        <v>0</v>
      </c>
      <c r="K239">
        <v>67</v>
      </c>
      <c r="L239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30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39" s="5">
        <f>IF((DiscreteStatsTable[[#This Row],[RepsRequested]]&gt;1),DiscreteStatsTable[[#This Row],[HalfWidth]],DiscreteStatsTable[[#This Row],[BatchMeansHalfWidth]])</f>
        <v>0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30</v>
      </c>
      <c r="Y239" s="5">
        <f>IF(DiscreteStatsTable[[#This Row],[RepsRequested]]=DiscreteStatsTable[[#This Row],[RepsWithStatObserved]],1,0)</f>
        <v>1</v>
      </c>
    </row>
    <row r="240" spans="1:25" x14ac:dyDescent="0.3">
      <c r="A240" t="s">
        <v>66</v>
      </c>
      <c r="B240" t="s">
        <v>68</v>
      </c>
      <c r="C240">
        <v>29</v>
      </c>
      <c r="D240" t="s">
        <v>78</v>
      </c>
      <c r="E240" t="s">
        <v>70</v>
      </c>
      <c r="F240" t="s">
        <v>71</v>
      </c>
      <c r="G240">
        <v>0</v>
      </c>
      <c r="H240">
        <v>2E+20</v>
      </c>
      <c r="I240">
        <v>0</v>
      </c>
      <c r="J240">
        <v>0</v>
      </c>
      <c r="K240">
        <v>76</v>
      </c>
      <c r="L240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30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40" s="5">
        <f>IF((DiscreteStatsTable[[#This Row],[RepsRequested]]&gt;1),DiscreteStatsTable[[#This Row],[HalfWidth]],DiscreteStatsTable[[#This Row],[BatchMeansHalfWidth]])</f>
        <v>0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30</v>
      </c>
      <c r="Y240" s="5">
        <f>IF(DiscreteStatsTable[[#This Row],[RepsRequested]]=DiscreteStatsTable[[#This Row],[RepsWithStatObserved]],1,0)</f>
        <v>1</v>
      </c>
    </row>
    <row r="241" spans="1:25" x14ac:dyDescent="0.3">
      <c r="A241" t="s">
        <v>66</v>
      </c>
      <c r="B241" t="s">
        <v>68</v>
      </c>
      <c r="C241">
        <v>30</v>
      </c>
      <c r="D241" t="s">
        <v>78</v>
      </c>
      <c r="E241" t="s">
        <v>70</v>
      </c>
      <c r="F241" t="s">
        <v>71</v>
      </c>
      <c r="G241">
        <v>0</v>
      </c>
      <c r="H241">
        <v>2E+20</v>
      </c>
      <c r="I241">
        <v>0</v>
      </c>
      <c r="J241">
        <v>0</v>
      </c>
      <c r="K241">
        <v>53</v>
      </c>
      <c r="L241" s="5" t="str">
        <f>DiscreteStatsTable[[#This Row],[ProjectName]]&amp;DiscreteStatsTable[[#This Row],[Name]]&amp;DiscreteStatsTable[[#This Row],[Type]]&amp;DiscreteStatsTable[[#This Row],[Source]]</f>
        <v>Unnamed ProjectPHistoria.QueueWaiting TimeQueue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30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67.599999999999994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30</v>
      </c>
      <c r="Y241" s="5">
        <f>IF(DiscreteStatsTable[[#This Row],[RepsRequested]]=DiscreteStatsTable[[#This Row],[RepsWithStatObserved]],1,0)</f>
        <v>1</v>
      </c>
    </row>
    <row r="242" spans="1:25" x14ac:dyDescent="0.3">
      <c r="A242" t="s">
        <v>66</v>
      </c>
      <c r="B242" t="s">
        <v>68</v>
      </c>
      <c r="C242">
        <v>1</v>
      </c>
      <c r="D242" t="s">
        <v>79</v>
      </c>
      <c r="E242" t="s">
        <v>80</v>
      </c>
      <c r="F242" t="s">
        <v>81</v>
      </c>
      <c r="G242">
        <v>1.23725669018721</v>
      </c>
      <c r="H242">
        <v>2E+20</v>
      </c>
      <c r="I242">
        <v>0.81915308363903605</v>
      </c>
      <c r="J242">
        <v>1.48847385346654</v>
      </c>
      <c r="K242">
        <v>73</v>
      </c>
      <c r="L242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30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1.3241781790389904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1.0606335628769199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1.75730099844484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0.71238592914844601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2.7561776708620398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42" s="5">
        <f>IF((DiscreteStatsTable[[#This Row],[RepsRequested]]&gt;1),DiscreteStatsTable[[#This Row],[HalfWidth]],DiscreteStatsTable[[#This Row],[BatchMeansHalfWidth]])</f>
        <v>6.3193902126265786E-2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30</v>
      </c>
      <c r="Y242" s="5">
        <f>IF(DiscreteStatsTable[[#This Row],[RepsRequested]]=DiscreteStatsTable[[#This Row],[RepsWithStatObserved]],1,0)</f>
        <v>1</v>
      </c>
    </row>
    <row r="243" spans="1:25" x14ac:dyDescent="0.3">
      <c r="A243" t="s">
        <v>66</v>
      </c>
      <c r="B243" t="s">
        <v>68</v>
      </c>
      <c r="C243">
        <v>2</v>
      </c>
      <c r="D243" t="s">
        <v>79</v>
      </c>
      <c r="E243" t="s">
        <v>80</v>
      </c>
      <c r="F243" t="s">
        <v>81</v>
      </c>
      <c r="G243">
        <v>1.30203010841492</v>
      </c>
      <c r="H243">
        <v>2E+20</v>
      </c>
      <c r="I243">
        <v>0.94713604494715997</v>
      </c>
      <c r="J243">
        <v>2.3432710163500201</v>
      </c>
      <c r="K243">
        <v>82</v>
      </c>
      <c r="L243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30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1.3241781790389904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1.0606335628769199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1.75730099844484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0.71238592914844601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2.7561776708620398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43" s="5">
        <f>IF((DiscreteStatsTable[[#This Row],[RepsRequested]]&gt;1),DiscreteStatsTable[[#This Row],[HalfWidth]],DiscreteStatsTable[[#This Row],[BatchMeansHalfWidth]])</f>
        <v>6.3193902126265786E-2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30</v>
      </c>
      <c r="Y243" s="5">
        <f>IF(DiscreteStatsTable[[#This Row],[RepsRequested]]=DiscreteStatsTable[[#This Row],[RepsWithStatObserved]],1,0)</f>
        <v>1</v>
      </c>
    </row>
    <row r="244" spans="1:25" x14ac:dyDescent="0.3">
      <c r="A244" t="s">
        <v>66</v>
      </c>
      <c r="B244" t="s">
        <v>68</v>
      </c>
      <c r="C244">
        <v>3</v>
      </c>
      <c r="D244" t="s">
        <v>79</v>
      </c>
      <c r="E244" t="s">
        <v>80</v>
      </c>
      <c r="F244" t="s">
        <v>81</v>
      </c>
      <c r="G244">
        <v>1.3022395083738301</v>
      </c>
      <c r="H244">
        <v>2E+20</v>
      </c>
      <c r="I244">
        <v>0.85919950012278901</v>
      </c>
      <c r="J244">
        <v>2.4965620100114898</v>
      </c>
      <c r="K244">
        <v>71</v>
      </c>
      <c r="L244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30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1.3241781790389904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1.0606335628769199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1.75730099844484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0.71238592914844601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2.7561776708620398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44" s="5">
        <f>IF((DiscreteStatsTable[[#This Row],[RepsRequested]]&gt;1),DiscreteStatsTable[[#This Row],[HalfWidth]],DiscreteStatsTable[[#This Row],[BatchMeansHalfWidth]])</f>
        <v>6.3193902126265786E-2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30</v>
      </c>
      <c r="Y244" s="5">
        <f>IF(DiscreteStatsTable[[#This Row],[RepsRequested]]=DiscreteStatsTable[[#This Row],[RepsWithStatObserved]],1,0)</f>
        <v>1</v>
      </c>
    </row>
    <row r="245" spans="1:25" x14ac:dyDescent="0.3">
      <c r="A245" t="s">
        <v>66</v>
      </c>
      <c r="B245" t="s">
        <v>68</v>
      </c>
      <c r="C245">
        <v>4</v>
      </c>
      <c r="D245" t="s">
        <v>79</v>
      </c>
      <c r="E245" t="s">
        <v>80</v>
      </c>
      <c r="F245" t="s">
        <v>81</v>
      </c>
      <c r="G245">
        <v>1.3322694849096901</v>
      </c>
      <c r="H245">
        <v>2E+20</v>
      </c>
      <c r="I245">
        <v>0.92975254548775599</v>
      </c>
      <c r="J245">
        <v>2.06401676339854</v>
      </c>
      <c r="K245">
        <v>85</v>
      </c>
      <c r="L245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30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1.3241781790389904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1.0606335628769199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1.75730099844484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0.71238592914844601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2.7561776708620398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45" s="5">
        <f>IF((DiscreteStatsTable[[#This Row],[RepsRequested]]&gt;1),DiscreteStatsTable[[#This Row],[HalfWidth]],DiscreteStatsTable[[#This Row],[BatchMeansHalfWidth]])</f>
        <v>6.3193902126265786E-2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30</v>
      </c>
      <c r="Y245" s="5">
        <f>IF(DiscreteStatsTable[[#This Row],[RepsRequested]]=DiscreteStatsTable[[#This Row],[RepsWithStatObserved]],1,0)</f>
        <v>1</v>
      </c>
    </row>
    <row r="246" spans="1:25" x14ac:dyDescent="0.3">
      <c r="A246" t="s">
        <v>66</v>
      </c>
      <c r="B246" t="s">
        <v>68</v>
      </c>
      <c r="C246">
        <v>5</v>
      </c>
      <c r="D246" t="s">
        <v>79</v>
      </c>
      <c r="E246" t="s">
        <v>80</v>
      </c>
      <c r="F246" t="s">
        <v>81</v>
      </c>
      <c r="G246">
        <v>1.12802430535906</v>
      </c>
      <c r="H246">
        <v>2E+20</v>
      </c>
      <c r="I246">
        <v>0.739075646085113</v>
      </c>
      <c r="J246">
        <v>1.5372155135915799</v>
      </c>
      <c r="K246">
        <v>69</v>
      </c>
      <c r="L246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30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1.3241781790389904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1.0606335628769199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1.75730099844484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0.71238592914844601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2.7561776708620398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46" s="5">
        <f>IF((DiscreteStatsTable[[#This Row],[RepsRequested]]&gt;1),DiscreteStatsTable[[#This Row],[HalfWidth]],DiscreteStatsTable[[#This Row],[BatchMeansHalfWidth]])</f>
        <v>6.3193902126265786E-2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30</v>
      </c>
      <c r="Y246" s="5">
        <f>IF(DiscreteStatsTable[[#This Row],[RepsRequested]]=DiscreteStatsTable[[#This Row],[RepsWithStatObserved]],1,0)</f>
        <v>1</v>
      </c>
    </row>
    <row r="247" spans="1:25" x14ac:dyDescent="0.3">
      <c r="A247" t="s">
        <v>66</v>
      </c>
      <c r="B247" t="s">
        <v>68</v>
      </c>
      <c r="C247">
        <v>6</v>
      </c>
      <c r="D247" t="s">
        <v>79</v>
      </c>
      <c r="E247" t="s">
        <v>80</v>
      </c>
      <c r="F247" t="s">
        <v>81</v>
      </c>
      <c r="G247">
        <v>1.19592353397337</v>
      </c>
      <c r="H247">
        <v>2E+20</v>
      </c>
      <c r="I247">
        <v>0.76748375017683201</v>
      </c>
      <c r="J247">
        <v>1.9184122788792499</v>
      </c>
      <c r="K247">
        <v>80</v>
      </c>
      <c r="L247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30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1.3241781790389904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1.0606335628769199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1.75730099844484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0.71238592914844601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2.7561776708620398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47" s="5">
        <f>IF((DiscreteStatsTable[[#This Row],[RepsRequested]]&gt;1),DiscreteStatsTable[[#This Row],[HalfWidth]],DiscreteStatsTable[[#This Row],[BatchMeansHalfWidth]])</f>
        <v>6.3193902126265786E-2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30</v>
      </c>
      <c r="Y247" s="5">
        <f>IF(DiscreteStatsTable[[#This Row],[RepsRequested]]=DiscreteStatsTable[[#This Row],[RepsWithStatObserved]],1,0)</f>
        <v>1</v>
      </c>
    </row>
    <row r="248" spans="1:25" x14ac:dyDescent="0.3">
      <c r="A248" t="s">
        <v>66</v>
      </c>
      <c r="B248" t="s">
        <v>68</v>
      </c>
      <c r="C248">
        <v>7</v>
      </c>
      <c r="D248" t="s">
        <v>79</v>
      </c>
      <c r="E248" t="s">
        <v>80</v>
      </c>
      <c r="F248" t="s">
        <v>81</v>
      </c>
      <c r="G248">
        <v>1.4552605429454499</v>
      </c>
      <c r="H248">
        <v>2E+20</v>
      </c>
      <c r="I248">
        <v>0.89612638272878498</v>
      </c>
      <c r="J248">
        <v>2.5066384167121001</v>
      </c>
      <c r="K248">
        <v>78</v>
      </c>
      <c r="L248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30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1.3241781790389904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1.0606335628769199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1.75730099844484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0.71238592914844601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2.7561776708620398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48" s="5">
        <f>IF((DiscreteStatsTable[[#This Row],[RepsRequested]]&gt;1),DiscreteStatsTable[[#This Row],[HalfWidth]],DiscreteStatsTable[[#This Row],[BatchMeansHalfWidth]])</f>
        <v>6.3193902126265786E-2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30</v>
      </c>
      <c r="Y248" s="5">
        <f>IF(DiscreteStatsTable[[#This Row],[RepsRequested]]=DiscreteStatsTable[[#This Row],[RepsWithStatObserved]],1,0)</f>
        <v>1</v>
      </c>
    </row>
    <row r="249" spans="1:25" x14ac:dyDescent="0.3">
      <c r="A249" t="s">
        <v>66</v>
      </c>
      <c r="B249" t="s">
        <v>68</v>
      </c>
      <c r="C249">
        <v>8</v>
      </c>
      <c r="D249" t="s">
        <v>79</v>
      </c>
      <c r="E249" t="s">
        <v>80</v>
      </c>
      <c r="F249" t="s">
        <v>81</v>
      </c>
      <c r="G249">
        <v>1.4452100329169</v>
      </c>
      <c r="H249">
        <v>2E+20</v>
      </c>
      <c r="I249">
        <v>0.99486013483871805</v>
      </c>
      <c r="J249">
        <v>1.88413859327074</v>
      </c>
      <c r="K249">
        <v>84</v>
      </c>
      <c r="L249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30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1.3241781790389904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1.0606335628769199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1.75730099844484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0.71238592914844601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2.7561776708620398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49" s="5">
        <f>IF((DiscreteStatsTable[[#This Row],[RepsRequested]]&gt;1),DiscreteStatsTable[[#This Row],[HalfWidth]],DiscreteStatsTable[[#This Row],[BatchMeansHalfWidth]])</f>
        <v>6.3193902126265786E-2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30</v>
      </c>
      <c r="Y249" s="5">
        <f>IF(DiscreteStatsTable[[#This Row],[RepsRequested]]=DiscreteStatsTable[[#This Row],[RepsWithStatObserved]],1,0)</f>
        <v>1</v>
      </c>
    </row>
    <row r="250" spans="1:25" x14ac:dyDescent="0.3">
      <c r="A250" t="s">
        <v>66</v>
      </c>
      <c r="B250" t="s">
        <v>68</v>
      </c>
      <c r="C250">
        <v>9</v>
      </c>
      <c r="D250" t="s">
        <v>79</v>
      </c>
      <c r="E250" t="s">
        <v>80</v>
      </c>
      <c r="F250" t="s">
        <v>81</v>
      </c>
      <c r="G250">
        <v>1.4014647138182501</v>
      </c>
      <c r="H250">
        <v>2E+20</v>
      </c>
      <c r="I250">
        <v>0.836001636464061</v>
      </c>
      <c r="J250">
        <v>1.7317397465577899</v>
      </c>
      <c r="K250">
        <v>90</v>
      </c>
      <c r="L250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30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1.3241781790389904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1.0606335628769199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1.75730099844484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0.71238592914844601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2.7561776708620398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50" s="5">
        <f>IF((DiscreteStatsTable[[#This Row],[RepsRequested]]&gt;1),DiscreteStatsTable[[#This Row],[HalfWidth]],DiscreteStatsTable[[#This Row],[BatchMeansHalfWidth]])</f>
        <v>6.3193902126265786E-2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30</v>
      </c>
      <c r="Y250" s="5">
        <f>IF(DiscreteStatsTable[[#This Row],[RepsRequested]]=DiscreteStatsTable[[#This Row],[RepsWithStatObserved]],1,0)</f>
        <v>1</v>
      </c>
    </row>
    <row r="251" spans="1:25" x14ac:dyDescent="0.3">
      <c r="A251" t="s">
        <v>66</v>
      </c>
      <c r="B251" t="s">
        <v>68</v>
      </c>
      <c r="C251">
        <v>10</v>
      </c>
      <c r="D251" t="s">
        <v>79</v>
      </c>
      <c r="E251" t="s">
        <v>80</v>
      </c>
      <c r="F251" t="s">
        <v>81</v>
      </c>
      <c r="G251">
        <v>1.75730099844484</v>
      </c>
      <c r="H251">
        <v>2E+20</v>
      </c>
      <c r="I251">
        <v>0.91488722470930695</v>
      </c>
      <c r="J251">
        <v>2.1620744535765901</v>
      </c>
      <c r="K251">
        <v>89</v>
      </c>
      <c r="L251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30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1.3241781790389904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1.0606335628769199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1.75730099844484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0.71238592914844601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2.7561776708620398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51" s="5">
        <f>IF((DiscreteStatsTable[[#This Row],[RepsRequested]]&gt;1),DiscreteStatsTable[[#This Row],[HalfWidth]],DiscreteStatsTable[[#This Row],[BatchMeansHalfWidth]])</f>
        <v>6.3193902126265786E-2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30</v>
      </c>
      <c r="Y251" s="5">
        <f>IF(DiscreteStatsTable[[#This Row],[RepsRequested]]=DiscreteStatsTable[[#This Row],[RepsWithStatObserved]],1,0)</f>
        <v>1</v>
      </c>
    </row>
    <row r="252" spans="1:25" x14ac:dyDescent="0.3">
      <c r="A252" t="s">
        <v>66</v>
      </c>
      <c r="B252" t="s">
        <v>68</v>
      </c>
      <c r="C252">
        <v>11</v>
      </c>
      <c r="D252" t="s">
        <v>79</v>
      </c>
      <c r="E252" t="s">
        <v>80</v>
      </c>
      <c r="F252" t="s">
        <v>81</v>
      </c>
      <c r="G252">
        <v>1.2632850649994101</v>
      </c>
      <c r="H252">
        <v>2E+20</v>
      </c>
      <c r="I252">
        <v>0.76745627700081998</v>
      </c>
      <c r="J252">
        <v>1.9538154698224</v>
      </c>
      <c r="K252">
        <v>88</v>
      </c>
      <c r="L252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30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1.3241781790389904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1.0606335628769199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1.75730099844484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0.71238592914844601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2.7561776708620398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52" s="5">
        <f>IF((DiscreteStatsTable[[#This Row],[RepsRequested]]&gt;1),DiscreteStatsTable[[#This Row],[HalfWidth]],DiscreteStatsTable[[#This Row],[BatchMeansHalfWidth]])</f>
        <v>6.3193902126265786E-2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30</v>
      </c>
      <c r="Y252" s="5">
        <f>IF(DiscreteStatsTable[[#This Row],[RepsRequested]]=DiscreteStatsTable[[#This Row],[RepsWithStatObserved]],1,0)</f>
        <v>1</v>
      </c>
    </row>
    <row r="253" spans="1:25" x14ac:dyDescent="0.3">
      <c r="A253" t="s">
        <v>66</v>
      </c>
      <c r="B253" t="s">
        <v>68</v>
      </c>
      <c r="C253">
        <v>12</v>
      </c>
      <c r="D253" t="s">
        <v>79</v>
      </c>
      <c r="E253" t="s">
        <v>80</v>
      </c>
      <c r="F253" t="s">
        <v>81</v>
      </c>
      <c r="G253">
        <v>1.3303754031325901</v>
      </c>
      <c r="H253">
        <v>2E+20</v>
      </c>
      <c r="I253">
        <v>0.85492478672357597</v>
      </c>
      <c r="J253">
        <v>1.8683331654828499</v>
      </c>
      <c r="K253">
        <v>77</v>
      </c>
      <c r="L253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30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1.3241781790389904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1.0606335628769199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1.75730099844484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0.71238592914844601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2.7561776708620398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53" s="5">
        <f>IF((DiscreteStatsTable[[#This Row],[RepsRequested]]&gt;1),DiscreteStatsTable[[#This Row],[HalfWidth]],DiscreteStatsTable[[#This Row],[BatchMeansHalfWidth]])</f>
        <v>6.3193902126265786E-2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30</v>
      </c>
      <c r="Y253" s="5">
        <f>IF(DiscreteStatsTable[[#This Row],[RepsRequested]]=DiscreteStatsTable[[#This Row],[RepsWithStatObserved]],1,0)</f>
        <v>1</v>
      </c>
    </row>
    <row r="254" spans="1:25" x14ac:dyDescent="0.3">
      <c r="A254" t="s">
        <v>66</v>
      </c>
      <c r="B254" t="s">
        <v>68</v>
      </c>
      <c r="C254">
        <v>13</v>
      </c>
      <c r="D254" t="s">
        <v>79</v>
      </c>
      <c r="E254" t="s">
        <v>80</v>
      </c>
      <c r="F254" t="s">
        <v>81</v>
      </c>
      <c r="G254">
        <v>1.4543390391879401</v>
      </c>
      <c r="H254">
        <v>2E+20</v>
      </c>
      <c r="I254">
        <v>0.81947050407713395</v>
      </c>
      <c r="J254">
        <v>1.9569612186951799</v>
      </c>
      <c r="K254">
        <v>76</v>
      </c>
      <c r="L254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30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1.3241781790389904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1.0606335628769199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1.75730099844484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0.71238592914844601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2.7561776708620398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54" s="5">
        <f>IF((DiscreteStatsTable[[#This Row],[RepsRequested]]&gt;1),DiscreteStatsTable[[#This Row],[HalfWidth]],DiscreteStatsTable[[#This Row],[BatchMeansHalfWidth]])</f>
        <v>6.3193902126265786E-2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30</v>
      </c>
      <c r="Y254" s="5">
        <f>IF(DiscreteStatsTable[[#This Row],[RepsRequested]]=DiscreteStatsTable[[#This Row],[RepsWithStatObserved]],1,0)</f>
        <v>1</v>
      </c>
    </row>
    <row r="255" spans="1:25" x14ac:dyDescent="0.3">
      <c r="A255" t="s">
        <v>66</v>
      </c>
      <c r="B255" t="s">
        <v>68</v>
      </c>
      <c r="C255">
        <v>14</v>
      </c>
      <c r="D255" t="s">
        <v>79</v>
      </c>
      <c r="E255" t="s">
        <v>80</v>
      </c>
      <c r="F255" t="s">
        <v>81</v>
      </c>
      <c r="G255">
        <v>1.14300544567784</v>
      </c>
      <c r="H255">
        <v>2E+20</v>
      </c>
      <c r="I255">
        <v>0.72711936222181195</v>
      </c>
      <c r="J255">
        <v>1.69640545652521</v>
      </c>
      <c r="K255">
        <v>77</v>
      </c>
      <c r="L255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30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1.3241781790389904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1.0606335628769199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1.75730099844484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0.71238592914844601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2.7561776708620398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55" s="5">
        <f>IF((DiscreteStatsTable[[#This Row],[RepsRequested]]&gt;1),DiscreteStatsTable[[#This Row],[HalfWidth]],DiscreteStatsTable[[#This Row],[BatchMeansHalfWidth]])</f>
        <v>6.3193902126265786E-2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30</v>
      </c>
      <c r="Y255" s="5">
        <f>IF(DiscreteStatsTable[[#This Row],[RepsRequested]]=DiscreteStatsTable[[#This Row],[RepsWithStatObserved]],1,0)</f>
        <v>1</v>
      </c>
    </row>
    <row r="256" spans="1:25" x14ac:dyDescent="0.3">
      <c r="A256" t="s">
        <v>66</v>
      </c>
      <c r="B256" t="s">
        <v>68</v>
      </c>
      <c r="C256">
        <v>15</v>
      </c>
      <c r="D256" t="s">
        <v>79</v>
      </c>
      <c r="E256" t="s">
        <v>80</v>
      </c>
      <c r="F256" t="s">
        <v>81</v>
      </c>
      <c r="G256">
        <v>1.13226914607865</v>
      </c>
      <c r="H256">
        <v>2E+20</v>
      </c>
      <c r="I256">
        <v>0.74767980219948005</v>
      </c>
      <c r="J256">
        <v>1.67490540060237</v>
      </c>
      <c r="K256">
        <v>83</v>
      </c>
      <c r="L256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30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1.3241781790389904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1.0606335628769199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1.75730099844484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0.71238592914844601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2.7561776708620398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56" s="5">
        <f>IF((DiscreteStatsTable[[#This Row],[RepsRequested]]&gt;1),DiscreteStatsTable[[#This Row],[HalfWidth]],DiscreteStatsTable[[#This Row],[BatchMeansHalfWidth]])</f>
        <v>6.3193902126265786E-2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30</v>
      </c>
      <c r="Y256" s="5">
        <f>IF(DiscreteStatsTable[[#This Row],[RepsRequested]]=DiscreteStatsTable[[#This Row],[RepsWithStatObserved]],1,0)</f>
        <v>1</v>
      </c>
    </row>
    <row r="257" spans="1:25" x14ac:dyDescent="0.3">
      <c r="A257" t="s">
        <v>66</v>
      </c>
      <c r="B257" t="s">
        <v>68</v>
      </c>
      <c r="C257">
        <v>16</v>
      </c>
      <c r="D257" t="s">
        <v>79</v>
      </c>
      <c r="E257" t="s">
        <v>80</v>
      </c>
      <c r="F257" t="s">
        <v>81</v>
      </c>
      <c r="G257">
        <v>1.59091247785064</v>
      </c>
      <c r="H257">
        <v>2E+20</v>
      </c>
      <c r="I257">
        <v>0.88897813408331094</v>
      </c>
      <c r="J257">
        <v>1.9364743787433301</v>
      </c>
      <c r="K257">
        <v>76</v>
      </c>
      <c r="L257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30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1.3241781790389904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1.0606335628769199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1.75730099844484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0.71238592914844601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2.7561776708620398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57" s="5">
        <f>IF((DiscreteStatsTable[[#This Row],[RepsRequested]]&gt;1),DiscreteStatsTable[[#This Row],[HalfWidth]],DiscreteStatsTable[[#This Row],[BatchMeansHalfWidth]])</f>
        <v>6.3193902126265786E-2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30</v>
      </c>
      <c r="Y257" s="5">
        <f>IF(DiscreteStatsTable[[#This Row],[RepsRequested]]=DiscreteStatsTable[[#This Row],[RepsWithStatObserved]],1,0)</f>
        <v>1</v>
      </c>
    </row>
    <row r="258" spans="1:25" x14ac:dyDescent="0.3">
      <c r="A258" t="s">
        <v>66</v>
      </c>
      <c r="B258" t="s">
        <v>68</v>
      </c>
      <c r="C258">
        <v>17</v>
      </c>
      <c r="D258" t="s">
        <v>79</v>
      </c>
      <c r="E258" t="s">
        <v>80</v>
      </c>
      <c r="F258" t="s">
        <v>81</v>
      </c>
      <c r="G258">
        <v>1.2608373989875299</v>
      </c>
      <c r="H258">
        <v>2E+20</v>
      </c>
      <c r="I258">
        <v>0.94229608440262302</v>
      </c>
      <c r="J258">
        <v>2.1079168314297299</v>
      </c>
      <c r="K258">
        <v>70</v>
      </c>
      <c r="L258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30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1.3241781790389904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1.0606335628769199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1.75730099844484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0.71238592914844601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2.7561776708620398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58" s="5">
        <f>IF((DiscreteStatsTable[[#This Row],[RepsRequested]]&gt;1),DiscreteStatsTable[[#This Row],[HalfWidth]],DiscreteStatsTable[[#This Row],[BatchMeansHalfWidth]])</f>
        <v>6.3193902126265786E-2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30</v>
      </c>
      <c r="Y258" s="5">
        <f>IF(DiscreteStatsTable[[#This Row],[RepsRequested]]=DiscreteStatsTable[[#This Row],[RepsWithStatObserved]],1,0)</f>
        <v>1</v>
      </c>
    </row>
    <row r="259" spans="1:25" x14ac:dyDescent="0.3">
      <c r="A259" t="s">
        <v>66</v>
      </c>
      <c r="B259" t="s">
        <v>68</v>
      </c>
      <c r="C259">
        <v>18</v>
      </c>
      <c r="D259" t="s">
        <v>79</v>
      </c>
      <c r="E259" t="s">
        <v>80</v>
      </c>
      <c r="F259" t="s">
        <v>81</v>
      </c>
      <c r="G259">
        <v>1.3320599638395301</v>
      </c>
      <c r="H259">
        <v>2E+20</v>
      </c>
      <c r="I259">
        <v>0.87733086293248597</v>
      </c>
      <c r="J259">
        <v>1.8954853514241901</v>
      </c>
      <c r="K259">
        <v>79</v>
      </c>
      <c r="L259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30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1.3241781790389904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1.0606335628769199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1.75730099844484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0.71238592914844601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2.7561776708620398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59" s="5">
        <f>IF((DiscreteStatsTable[[#This Row],[RepsRequested]]&gt;1),DiscreteStatsTable[[#This Row],[HalfWidth]],DiscreteStatsTable[[#This Row],[BatchMeansHalfWidth]])</f>
        <v>6.3193902126265786E-2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30</v>
      </c>
      <c r="Y259" s="5">
        <f>IF(DiscreteStatsTable[[#This Row],[RepsRequested]]=DiscreteStatsTable[[#This Row],[RepsWithStatObserved]],1,0)</f>
        <v>1</v>
      </c>
    </row>
    <row r="260" spans="1:25" x14ac:dyDescent="0.3">
      <c r="A260" t="s">
        <v>66</v>
      </c>
      <c r="B260" t="s">
        <v>68</v>
      </c>
      <c r="C260">
        <v>19</v>
      </c>
      <c r="D260" t="s">
        <v>79</v>
      </c>
      <c r="E260" t="s">
        <v>80</v>
      </c>
      <c r="F260" t="s">
        <v>81</v>
      </c>
      <c r="G260">
        <v>1.21336474741608</v>
      </c>
      <c r="H260">
        <v>2E+20</v>
      </c>
      <c r="I260">
        <v>0.80479990173249205</v>
      </c>
      <c r="J260">
        <v>1.5485536639981901</v>
      </c>
      <c r="K260">
        <v>69</v>
      </c>
      <c r="L260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30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1.3241781790389904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1.0606335628769199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1.75730099844484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0.71238592914844601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2.7561776708620398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60" s="5">
        <f>IF((DiscreteStatsTable[[#This Row],[RepsRequested]]&gt;1),DiscreteStatsTable[[#This Row],[HalfWidth]],DiscreteStatsTable[[#This Row],[BatchMeansHalfWidth]])</f>
        <v>6.3193902126265786E-2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30</v>
      </c>
      <c r="Y260" s="5">
        <f>IF(DiscreteStatsTable[[#This Row],[RepsRequested]]=DiscreteStatsTable[[#This Row],[RepsWithStatObserved]],1,0)</f>
        <v>1</v>
      </c>
    </row>
    <row r="261" spans="1:25" x14ac:dyDescent="0.3">
      <c r="A261" t="s">
        <v>66</v>
      </c>
      <c r="B261" t="s">
        <v>68</v>
      </c>
      <c r="C261">
        <v>20</v>
      </c>
      <c r="D261" t="s">
        <v>79</v>
      </c>
      <c r="E261" t="s">
        <v>80</v>
      </c>
      <c r="F261" t="s">
        <v>81</v>
      </c>
      <c r="G261">
        <v>1.60686216736231</v>
      </c>
      <c r="H261">
        <v>2E+20</v>
      </c>
      <c r="I261">
        <v>0.85684572029610495</v>
      </c>
      <c r="J261">
        <v>2.7561776708620398</v>
      </c>
      <c r="K261">
        <v>88</v>
      </c>
      <c r="L261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30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1.3241781790389904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1.0606335628769199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1.75730099844484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0.71238592914844601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2.7561776708620398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61" s="5">
        <f>IF((DiscreteStatsTable[[#This Row],[RepsRequested]]&gt;1),DiscreteStatsTable[[#This Row],[HalfWidth]],DiscreteStatsTable[[#This Row],[BatchMeansHalfWidth]])</f>
        <v>6.3193902126265786E-2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30</v>
      </c>
      <c r="Y261" s="5">
        <f>IF(DiscreteStatsTable[[#This Row],[RepsRequested]]=DiscreteStatsTable[[#This Row],[RepsWithStatObserved]],1,0)</f>
        <v>1</v>
      </c>
    </row>
    <row r="262" spans="1:25" x14ac:dyDescent="0.3">
      <c r="A262" t="s">
        <v>66</v>
      </c>
      <c r="B262" t="s">
        <v>68</v>
      </c>
      <c r="C262">
        <v>21</v>
      </c>
      <c r="D262" t="s">
        <v>79</v>
      </c>
      <c r="E262" t="s">
        <v>80</v>
      </c>
      <c r="F262" t="s">
        <v>81</v>
      </c>
      <c r="G262">
        <v>1.59073999923911</v>
      </c>
      <c r="H262">
        <v>2E+20</v>
      </c>
      <c r="I262">
        <v>1.0719973267117899</v>
      </c>
      <c r="J262">
        <v>1.85024058601467</v>
      </c>
      <c r="K262">
        <v>86</v>
      </c>
      <c r="L262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30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1.3241781790389904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1.0606335628769199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1.75730099844484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0.71238592914844601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2.7561776708620398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62" s="5">
        <f>IF((DiscreteStatsTable[[#This Row],[RepsRequested]]&gt;1),DiscreteStatsTable[[#This Row],[HalfWidth]],DiscreteStatsTable[[#This Row],[BatchMeansHalfWidth]])</f>
        <v>6.3193902126265786E-2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30</v>
      </c>
      <c r="Y262" s="5">
        <f>IF(DiscreteStatsTable[[#This Row],[RepsRequested]]=DiscreteStatsTable[[#This Row],[RepsWithStatObserved]],1,0)</f>
        <v>1</v>
      </c>
    </row>
    <row r="263" spans="1:25" x14ac:dyDescent="0.3">
      <c r="A263" t="s">
        <v>66</v>
      </c>
      <c r="B263" t="s">
        <v>68</v>
      </c>
      <c r="C263">
        <v>22</v>
      </c>
      <c r="D263" t="s">
        <v>79</v>
      </c>
      <c r="E263" t="s">
        <v>80</v>
      </c>
      <c r="F263" t="s">
        <v>81</v>
      </c>
      <c r="G263">
        <v>1.21139969945055</v>
      </c>
      <c r="H263">
        <v>2E+20</v>
      </c>
      <c r="I263">
        <v>0.75662645478508705</v>
      </c>
      <c r="J263">
        <v>1.95020707767559</v>
      </c>
      <c r="K263">
        <v>77</v>
      </c>
      <c r="L263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30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1.3241781790389904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1.0606335628769199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1.75730099844484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0.71238592914844601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2.7561776708620398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63" s="5">
        <f>IF((DiscreteStatsTable[[#This Row],[RepsRequested]]&gt;1),DiscreteStatsTable[[#This Row],[HalfWidth]],DiscreteStatsTable[[#This Row],[BatchMeansHalfWidth]])</f>
        <v>6.3193902126265786E-2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30</v>
      </c>
      <c r="Y263" s="5">
        <f>IF(DiscreteStatsTable[[#This Row],[RepsRequested]]=DiscreteStatsTable[[#This Row],[RepsWithStatObserved]],1,0)</f>
        <v>1</v>
      </c>
    </row>
    <row r="264" spans="1:25" x14ac:dyDescent="0.3">
      <c r="A264" t="s">
        <v>66</v>
      </c>
      <c r="B264" t="s">
        <v>68</v>
      </c>
      <c r="C264">
        <v>23</v>
      </c>
      <c r="D264" t="s">
        <v>79</v>
      </c>
      <c r="E264" t="s">
        <v>80</v>
      </c>
      <c r="F264" t="s">
        <v>81</v>
      </c>
      <c r="G264">
        <v>1.13517110282778</v>
      </c>
      <c r="H264">
        <v>2E+20</v>
      </c>
      <c r="I264">
        <v>0.75653117769413702</v>
      </c>
      <c r="J264">
        <v>2.09859931633921</v>
      </c>
      <c r="K264">
        <v>71</v>
      </c>
      <c r="L264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30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1.3241781790389904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1.0606335628769199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1.75730099844484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0.71238592914844601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2.7561776708620398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64" s="5">
        <f>IF((DiscreteStatsTable[[#This Row],[RepsRequested]]&gt;1),DiscreteStatsTable[[#This Row],[HalfWidth]],DiscreteStatsTable[[#This Row],[BatchMeansHalfWidth]])</f>
        <v>6.3193902126265786E-2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30</v>
      </c>
      <c r="Y264" s="5">
        <f>IF(DiscreteStatsTable[[#This Row],[RepsRequested]]=DiscreteStatsTable[[#This Row],[RepsWithStatObserved]],1,0)</f>
        <v>1</v>
      </c>
    </row>
    <row r="265" spans="1:25" x14ac:dyDescent="0.3">
      <c r="A265" t="s">
        <v>66</v>
      </c>
      <c r="B265" t="s">
        <v>68</v>
      </c>
      <c r="C265">
        <v>24</v>
      </c>
      <c r="D265" t="s">
        <v>79</v>
      </c>
      <c r="E265" t="s">
        <v>80</v>
      </c>
      <c r="F265" t="s">
        <v>81</v>
      </c>
      <c r="G265">
        <v>1.24721329777565</v>
      </c>
      <c r="H265">
        <v>2E+20</v>
      </c>
      <c r="I265">
        <v>0.80721106682533605</v>
      </c>
      <c r="J265">
        <v>1.8113660140340599</v>
      </c>
      <c r="K265">
        <v>75</v>
      </c>
      <c r="L265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30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1.3241781790389904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1.0606335628769199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1.75730099844484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0.71238592914844601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2.7561776708620398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65" s="5">
        <f>IF((DiscreteStatsTable[[#This Row],[RepsRequested]]&gt;1),DiscreteStatsTable[[#This Row],[HalfWidth]],DiscreteStatsTable[[#This Row],[BatchMeansHalfWidth]])</f>
        <v>6.3193902126265786E-2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30</v>
      </c>
      <c r="Y265" s="5">
        <f>IF(DiscreteStatsTable[[#This Row],[RepsRequested]]=DiscreteStatsTable[[#This Row],[RepsWithStatObserved]],1,0)</f>
        <v>1</v>
      </c>
    </row>
    <row r="266" spans="1:25" x14ac:dyDescent="0.3">
      <c r="A266" t="s">
        <v>66</v>
      </c>
      <c r="B266" t="s">
        <v>68</v>
      </c>
      <c r="C266">
        <v>25</v>
      </c>
      <c r="D266" t="s">
        <v>79</v>
      </c>
      <c r="E266" t="s">
        <v>80</v>
      </c>
      <c r="F266" t="s">
        <v>81</v>
      </c>
      <c r="G266">
        <v>1.1783381752020401</v>
      </c>
      <c r="H266">
        <v>2E+20</v>
      </c>
      <c r="I266">
        <v>0.78665496834545201</v>
      </c>
      <c r="J266">
        <v>1.88764061763423</v>
      </c>
      <c r="K266">
        <v>83</v>
      </c>
      <c r="L266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30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1.3241781790389904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1.0606335628769199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1.75730099844484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0.71238592914844601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2.7561776708620398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66" s="5">
        <f>IF((DiscreteStatsTable[[#This Row],[RepsRequested]]&gt;1),DiscreteStatsTable[[#This Row],[HalfWidth]],DiscreteStatsTable[[#This Row],[BatchMeansHalfWidth]])</f>
        <v>6.3193902126265786E-2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30</v>
      </c>
      <c r="Y266" s="5">
        <f>IF(DiscreteStatsTable[[#This Row],[RepsRequested]]=DiscreteStatsTable[[#This Row],[RepsWithStatObserved]],1,0)</f>
        <v>1</v>
      </c>
    </row>
    <row r="267" spans="1:25" x14ac:dyDescent="0.3">
      <c r="A267" t="s">
        <v>66</v>
      </c>
      <c r="B267" t="s">
        <v>68</v>
      </c>
      <c r="C267">
        <v>26</v>
      </c>
      <c r="D267" t="s">
        <v>79</v>
      </c>
      <c r="E267" t="s">
        <v>80</v>
      </c>
      <c r="F267" t="s">
        <v>81</v>
      </c>
      <c r="G267">
        <v>1.0606335628769199</v>
      </c>
      <c r="H267">
        <v>2E+20</v>
      </c>
      <c r="I267">
        <v>0.71238592914844601</v>
      </c>
      <c r="J267">
        <v>1.47900358492374</v>
      </c>
      <c r="K267">
        <v>76</v>
      </c>
      <c r="L267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30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1.3241781790389904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1.0606335628769199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1.75730099844484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0.71238592914844601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2.7561776708620398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67" s="5">
        <f>IF((DiscreteStatsTable[[#This Row],[RepsRequested]]&gt;1),DiscreteStatsTable[[#This Row],[HalfWidth]],DiscreteStatsTable[[#This Row],[BatchMeansHalfWidth]])</f>
        <v>6.3193902126265786E-2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30</v>
      </c>
      <c r="Y267" s="5">
        <f>IF(DiscreteStatsTable[[#This Row],[RepsRequested]]=DiscreteStatsTable[[#This Row],[RepsWithStatObserved]],1,0)</f>
        <v>1</v>
      </c>
    </row>
    <row r="268" spans="1:25" x14ac:dyDescent="0.3">
      <c r="A268" t="s">
        <v>66</v>
      </c>
      <c r="B268" t="s">
        <v>68</v>
      </c>
      <c r="C268">
        <v>27</v>
      </c>
      <c r="D268" t="s">
        <v>79</v>
      </c>
      <c r="E268" t="s">
        <v>80</v>
      </c>
      <c r="F268" t="s">
        <v>81</v>
      </c>
      <c r="G268">
        <v>1.5368648066639501</v>
      </c>
      <c r="H268">
        <v>2E+20</v>
      </c>
      <c r="I268">
        <v>0.85523742125735802</v>
      </c>
      <c r="J268">
        <v>2.3044370140889998</v>
      </c>
      <c r="K268">
        <v>79</v>
      </c>
      <c r="L268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30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1.3241781790389904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1.0606335628769199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1.75730099844484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0.71238592914844601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2.7561776708620398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68" s="5">
        <f>IF((DiscreteStatsTable[[#This Row],[RepsRequested]]&gt;1),DiscreteStatsTable[[#This Row],[HalfWidth]],DiscreteStatsTable[[#This Row],[BatchMeansHalfWidth]])</f>
        <v>6.3193902126265786E-2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30</v>
      </c>
      <c r="Y268" s="5">
        <f>IF(DiscreteStatsTable[[#This Row],[RepsRequested]]=DiscreteStatsTable[[#This Row],[RepsWithStatObserved]],1,0)</f>
        <v>1</v>
      </c>
    </row>
    <row r="269" spans="1:25" x14ac:dyDescent="0.3">
      <c r="A269" t="s">
        <v>66</v>
      </c>
      <c r="B269" t="s">
        <v>68</v>
      </c>
      <c r="C269">
        <v>28</v>
      </c>
      <c r="D269" t="s">
        <v>79</v>
      </c>
      <c r="E269" t="s">
        <v>80</v>
      </c>
      <c r="F269" t="s">
        <v>81</v>
      </c>
      <c r="G269">
        <v>1.3304208404384099</v>
      </c>
      <c r="H269">
        <v>2E+20</v>
      </c>
      <c r="I269">
        <v>0.89716682384925295</v>
      </c>
      <c r="J269">
        <v>1.99178496019609</v>
      </c>
      <c r="K269">
        <v>89</v>
      </c>
      <c r="L269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30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1.3241781790389904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1.0606335628769199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1.75730099844484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0.71238592914844601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2.7561776708620398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69" s="5">
        <f>IF((DiscreteStatsTable[[#This Row],[RepsRequested]]&gt;1),DiscreteStatsTable[[#This Row],[HalfWidth]],DiscreteStatsTable[[#This Row],[BatchMeansHalfWidth]])</f>
        <v>6.3193902126265786E-2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30</v>
      </c>
      <c r="Y269" s="5">
        <f>IF(DiscreteStatsTable[[#This Row],[RepsRequested]]=DiscreteStatsTable[[#This Row],[RepsWithStatObserved]],1,0)</f>
        <v>1</v>
      </c>
    </row>
    <row r="270" spans="1:25" x14ac:dyDescent="0.3">
      <c r="A270" t="s">
        <v>66</v>
      </c>
      <c r="B270" t="s">
        <v>68</v>
      </c>
      <c r="C270">
        <v>29</v>
      </c>
      <c r="D270" t="s">
        <v>79</v>
      </c>
      <c r="E270" t="s">
        <v>80</v>
      </c>
      <c r="F270" t="s">
        <v>81</v>
      </c>
      <c r="G270">
        <v>1.3691741072171899</v>
      </c>
      <c r="H270">
        <v>2E+20</v>
      </c>
      <c r="I270">
        <v>0.79582721334904905</v>
      </c>
      <c r="J270">
        <v>2.0351927737577502</v>
      </c>
      <c r="K270">
        <v>91</v>
      </c>
      <c r="L270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30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1.3241781790389904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1.0606335628769199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1.75730099844484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0.71238592914844601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2.7561776708620398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70" s="5">
        <f>IF((DiscreteStatsTable[[#This Row],[RepsRequested]]&gt;1),DiscreteStatsTable[[#This Row],[HalfWidth]],DiscreteStatsTable[[#This Row],[BatchMeansHalfWidth]])</f>
        <v>6.3193902126265786E-2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30</v>
      </c>
      <c r="Y270" s="5">
        <f>IF(DiscreteStatsTable[[#This Row],[RepsRequested]]=DiscreteStatsTable[[#This Row],[RepsWithStatObserved]],1,0)</f>
        <v>1</v>
      </c>
    </row>
    <row r="271" spans="1:25" x14ac:dyDescent="0.3">
      <c r="A271" t="s">
        <v>66</v>
      </c>
      <c r="B271" t="s">
        <v>68</v>
      </c>
      <c r="C271">
        <v>30</v>
      </c>
      <c r="D271" t="s">
        <v>79</v>
      </c>
      <c r="E271" t="s">
        <v>80</v>
      </c>
      <c r="F271" t="s">
        <v>81</v>
      </c>
      <c r="G271">
        <v>1.18109900560207</v>
      </c>
      <c r="H271">
        <v>2E+20</v>
      </c>
      <c r="I271">
        <v>0.80942550195312502</v>
      </c>
      <c r="J271">
        <v>2.04750073380244</v>
      </c>
      <c r="K271">
        <v>86</v>
      </c>
      <c r="L271" s="5" t="str">
        <f>DiscreteStatsTable[[#This Row],[ProjectName]]&amp;DiscreteStatsTable[[#This Row],[Name]]&amp;DiscreteStatsTable[[#This Row],[Type]]&amp;DiscreteStatsTable[[#This Row],[Source]]</f>
        <v>Unnamed ProjectTally Ciclo1NoneUser Specified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30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1.3241781790389904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0.16923637804914832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6.3193902126265786E-2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1.0606335628769199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1.75730099844484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0.71238592914844601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2.7561776708620398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79.900000000000006</v>
      </c>
      <c r="W271" s="5">
        <f>IF((DiscreteStatsTable[[#This Row],[RepsRequested]]&gt;1),DiscreteStatsTable[[#This Row],[HalfWidth]],DiscreteStatsTable[[#This Row],[BatchMeansHalfWidth]])</f>
        <v>6.3193902126265786E-2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30</v>
      </c>
      <c r="Y271" s="5">
        <f>IF(DiscreteStatsTable[[#This Row],[RepsRequested]]=DiscreteStatsTable[[#This Row],[RepsWithStatObserved]],1,0)</f>
        <v>1</v>
      </c>
    </row>
    <row r="272" spans="1:25" x14ac:dyDescent="0.3">
      <c r="A272" t="s">
        <v>66</v>
      </c>
      <c r="B272" t="s">
        <v>68</v>
      </c>
      <c r="C272">
        <v>1</v>
      </c>
      <c r="D272" t="s">
        <v>82</v>
      </c>
      <c r="E272" t="s">
        <v>80</v>
      </c>
      <c r="F272" t="s">
        <v>81</v>
      </c>
      <c r="G272">
        <v>0.93340889274652405</v>
      </c>
      <c r="H272">
        <v>2E+20</v>
      </c>
      <c r="I272">
        <v>0.63430491362657804</v>
      </c>
      <c r="J272">
        <v>1.2425639830903701</v>
      </c>
      <c r="K272">
        <v>28</v>
      </c>
      <c r="L272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30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1.0474395158170873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0.84719561318136005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1.4913741666386799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0.54240657991611196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1.96967891435527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72" s="5">
        <f>IF((DiscreteStatsTable[[#This Row],[RepsRequested]]&gt;1),DiscreteStatsTable[[#This Row],[HalfWidth]],DiscreteStatsTable[[#This Row],[BatchMeansHalfWidth]])</f>
        <v>5.6090534743261332E-2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30</v>
      </c>
      <c r="Y272" s="5">
        <f>IF(DiscreteStatsTable[[#This Row],[RepsRequested]]=DiscreteStatsTable[[#This Row],[RepsWithStatObserved]],1,0)</f>
        <v>1</v>
      </c>
    </row>
    <row r="273" spans="1:25" x14ac:dyDescent="0.3">
      <c r="A273" t="s">
        <v>66</v>
      </c>
      <c r="B273" t="s">
        <v>68</v>
      </c>
      <c r="C273">
        <v>2</v>
      </c>
      <c r="D273" t="s">
        <v>82</v>
      </c>
      <c r="E273" t="s">
        <v>80</v>
      </c>
      <c r="F273" t="s">
        <v>81</v>
      </c>
      <c r="G273">
        <v>0.96766459586711195</v>
      </c>
      <c r="H273">
        <v>2E+20</v>
      </c>
      <c r="I273">
        <v>0.54630465521682703</v>
      </c>
      <c r="J273">
        <v>1.37909822808988</v>
      </c>
      <c r="K273">
        <v>27</v>
      </c>
      <c r="L273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30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1.0474395158170873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0.84719561318136005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1.4913741666386799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0.54240657991611196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1.96967891435527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73" s="5">
        <f>IF((DiscreteStatsTable[[#This Row],[RepsRequested]]&gt;1),DiscreteStatsTable[[#This Row],[HalfWidth]],DiscreteStatsTable[[#This Row],[BatchMeansHalfWidth]])</f>
        <v>5.6090534743261332E-2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30</v>
      </c>
      <c r="Y273" s="5">
        <f>IF(DiscreteStatsTable[[#This Row],[RepsRequested]]=DiscreteStatsTable[[#This Row],[RepsWithStatObserved]],1,0)</f>
        <v>1</v>
      </c>
    </row>
    <row r="274" spans="1:25" x14ac:dyDescent="0.3">
      <c r="A274" t="s">
        <v>66</v>
      </c>
      <c r="B274" t="s">
        <v>68</v>
      </c>
      <c r="C274">
        <v>3</v>
      </c>
      <c r="D274" t="s">
        <v>82</v>
      </c>
      <c r="E274" t="s">
        <v>80</v>
      </c>
      <c r="F274" t="s">
        <v>81</v>
      </c>
      <c r="G274">
        <v>1.04415613980285</v>
      </c>
      <c r="H274">
        <v>2E+20</v>
      </c>
      <c r="I274">
        <v>0.67933628283466696</v>
      </c>
      <c r="J274">
        <v>1.5907571313819</v>
      </c>
      <c r="K274">
        <v>38</v>
      </c>
      <c r="L274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30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1.0474395158170873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0.84719561318136005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1.4913741666386799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0.54240657991611196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1.96967891435527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74" s="5">
        <f>IF((DiscreteStatsTable[[#This Row],[RepsRequested]]&gt;1),DiscreteStatsTable[[#This Row],[HalfWidth]],DiscreteStatsTable[[#This Row],[BatchMeansHalfWidth]])</f>
        <v>5.6090534743261332E-2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30</v>
      </c>
      <c r="Y274" s="5">
        <f>IF(DiscreteStatsTable[[#This Row],[RepsRequested]]=DiscreteStatsTable[[#This Row],[RepsWithStatObserved]],1,0)</f>
        <v>1</v>
      </c>
    </row>
    <row r="275" spans="1:25" x14ac:dyDescent="0.3">
      <c r="A275" t="s">
        <v>66</v>
      </c>
      <c r="B275" t="s">
        <v>68</v>
      </c>
      <c r="C275">
        <v>4</v>
      </c>
      <c r="D275" t="s">
        <v>82</v>
      </c>
      <c r="E275" t="s">
        <v>80</v>
      </c>
      <c r="F275" t="s">
        <v>81</v>
      </c>
      <c r="G275">
        <v>0.99587083091447204</v>
      </c>
      <c r="H275">
        <v>2E+20</v>
      </c>
      <c r="I275">
        <v>0.75307765855023701</v>
      </c>
      <c r="J275">
        <v>1.55168603805544</v>
      </c>
      <c r="K275">
        <v>33</v>
      </c>
      <c r="L275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30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1.0474395158170873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0.84719561318136005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1.4913741666386799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0.54240657991611196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1.96967891435527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75" s="5">
        <f>IF((DiscreteStatsTable[[#This Row],[RepsRequested]]&gt;1),DiscreteStatsTable[[#This Row],[HalfWidth]],DiscreteStatsTable[[#This Row],[BatchMeansHalfWidth]])</f>
        <v>5.6090534743261332E-2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30</v>
      </c>
      <c r="Y275" s="5">
        <f>IF(DiscreteStatsTable[[#This Row],[RepsRequested]]=DiscreteStatsTable[[#This Row],[RepsWithStatObserved]],1,0)</f>
        <v>1</v>
      </c>
    </row>
    <row r="276" spans="1:25" x14ac:dyDescent="0.3">
      <c r="A276" t="s">
        <v>66</v>
      </c>
      <c r="B276" t="s">
        <v>68</v>
      </c>
      <c r="C276">
        <v>5</v>
      </c>
      <c r="D276" t="s">
        <v>82</v>
      </c>
      <c r="E276" t="s">
        <v>80</v>
      </c>
      <c r="F276" t="s">
        <v>81</v>
      </c>
      <c r="G276">
        <v>0.87506031462560496</v>
      </c>
      <c r="H276">
        <v>2E+20</v>
      </c>
      <c r="I276">
        <v>0.58467672393565195</v>
      </c>
      <c r="J276">
        <v>1.1950196422232999</v>
      </c>
      <c r="K276">
        <v>30</v>
      </c>
      <c r="L276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30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1.0474395158170873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0.84719561318136005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1.4913741666386799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0.54240657991611196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1.96967891435527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76" s="5">
        <f>IF((DiscreteStatsTable[[#This Row],[RepsRequested]]&gt;1),DiscreteStatsTable[[#This Row],[HalfWidth]],DiscreteStatsTable[[#This Row],[BatchMeansHalfWidth]])</f>
        <v>5.6090534743261332E-2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30</v>
      </c>
      <c r="Y276" s="5">
        <f>IF(DiscreteStatsTable[[#This Row],[RepsRequested]]=DiscreteStatsTable[[#This Row],[RepsWithStatObserved]],1,0)</f>
        <v>1</v>
      </c>
    </row>
    <row r="277" spans="1:25" x14ac:dyDescent="0.3">
      <c r="A277" t="s">
        <v>66</v>
      </c>
      <c r="B277" t="s">
        <v>68</v>
      </c>
      <c r="C277">
        <v>6</v>
      </c>
      <c r="D277" t="s">
        <v>82</v>
      </c>
      <c r="E277" t="s">
        <v>80</v>
      </c>
      <c r="F277" t="s">
        <v>81</v>
      </c>
      <c r="G277">
        <v>0.97712652028416902</v>
      </c>
      <c r="H277">
        <v>2E+20</v>
      </c>
      <c r="I277">
        <v>0.54240657991611196</v>
      </c>
      <c r="J277">
        <v>1.90687520649238</v>
      </c>
      <c r="K277">
        <v>36</v>
      </c>
      <c r="L277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30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1.0474395158170873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0.84719561318136005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1.4913741666386799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0.54240657991611196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1.96967891435527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77" s="5">
        <f>IF((DiscreteStatsTable[[#This Row],[RepsRequested]]&gt;1),DiscreteStatsTable[[#This Row],[HalfWidth]],DiscreteStatsTable[[#This Row],[BatchMeansHalfWidth]])</f>
        <v>5.6090534743261332E-2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30</v>
      </c>
      <c r="Y277" s="5">
        <f>IF(DiscreteStatsTable[[#This Row],[RepsRequested]]=DiscreteStatsTable[[#This Row],[RepsWithStatObserved]],1,0)</f>
        <v>1</v>
      </c>
    </row>
    <row r="278" spans="1:25" x14ac:dyDescent="0.3">
      <c r="A278" t="s">
        <v>66</v>
      </c>
      <c r="B278" t="s">
        <v>68</v>
      </c>
      <c r="C278">
        <v>7</v>
      </c>
      <c r="D278" t="s">
        <v>82</v>
      </c>
      <c r="E278" t="s">
        <v>80</v>
      </c>
      <c r="F278" t="s">
        <v>81</v>
      </c>
      <c r="G278">
        <v>1.09058578354344</v>
      </c>
      <c r="H278">
        <v>2E+20</v>
      </c>
      <c r="I278">
        <v>0.68460689807238095</v>
      </c>
      <c r="J278">
        <v>1.5331582022849699</v>
      </c>
      <c r="K278">
        <v>31</v>
      </c>
      <c r="L278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30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1.0474395158170873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0.84719561318136005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1.4913741666386799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0.54240657991611196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1.96967891435527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78" s="5">
        <f>IF((DiscreteStatsTable[[#This Row],[RepsRequested]]&gt;1),DiscreteStatsTable[[#This Row],[HalfWidth]],DiscreteStatsTable[[#This Row],[BatchMeansHalfWidth]])</f>
        <v>5.6090534743261332E-2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30</v>
      </c>
      <c r="Y278" s="5">
        <f>IF(DiscreteStatsTable[[#This Row],[RepsRequested]]=DiscreteStatsTable[[#This Row],[RepsWithStatObserved]],1,0)</f>
        <v>1</v>
      </c>
    </row>
    <row r="279" spans="1:25" x14ac:dyDescent="0.3">
      <c r="A279" t="s">
        <v>66</v>
      </c>
      <c r="B279" t="s">
        <v>68</v>
      </c>
      <c r="C279">
        <v>8</v>
      </c>
      <c r="D279" t="s">
        <v>82</v>
      </c>
      <c r="E279" t="s">
        <v>80</v>
      </c>
      <c r="F279" t="s">
        <v>81</v>
      </c>
      <c r="G279">
        <v>1.11340100037658</v>
      </c>
      <c r="H279">
        <v>2E+20</v>
      </c>
      <c r="I279">
        <v>0.62387163046738403</v>
      </c>
      <c r="J279">
        <v>1.4427541360355201</v>
      </c>
      <c r="K279">
        <v>31</v>
      </c>
      <c r="L279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30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1.0474395158170873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0.84719561318136005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1.4913741666386799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0.54240657991611196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1.96967891435527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79" s="5">
        <f>IF((DiscreteStatsTable[[#This Row],[RepsRequested]]&gt;1),DiscreteStatsTable[[#This Row],[HalfWidth]],DiscreteStatsTable[[#This Row],[BatchMeansHalfWidth]])</f>
        <v>5.6090534743261332E-2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30</v>
      </c>
      <c r="Y279" s="5">
        <f>IF(DiscreteStatsTable[[#This Row],[RepsRequested]]=DiscreteStatsTable[[#This Row],[RepsWithStatObserved]],1,0)</f>
        <v>1</v>
      </c>
    </row>
    <row r="280" spans="1:25" x14ac:dyDescent="0.3">
      <c r="A280" t="s">
        <v>66</v>
      </c>
      <c r="B280" t="s">
        <v>68</v>
      </c>
      <c r="C280">
        <v>9</v>
      </c>
      <c r="D280" t="s">
        <v>82</v>
      </c>
      <c r="E280" t="s">
        <v>80</v>
      </c>
      <c r="F280" t="s">
        <v>81</v>
      </c>
      <c r="G280">
        <v>1.08805798664858</v>
      </c>
      <c r="H280">
        <v>2E+20</v>
      </c>
      <c r="I280">
        <v>0.63165876807000998</v>
      </c>
      <c r="J280">
        <v>1.4462182438390101</v>
      </c>
      <c r="K280">
        <v>23</v>
      </c>
      <c r="L280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30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1.0474395158170873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0.84719561318136005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1.4913741666386799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0.54240657991611196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1.96967891435527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80" s="5">
        <f>IF((DiscreteStatsTable[[#This Row],[RepsRequested]]&gt;1),DiscreteStatsTable[[#This Row],[HalfWidth]],DiscreteStatsTable[[#This Row],[BatchMeansHalfWidth]])</f>
        <v>5.6090534743261332E-2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30</v>
      </c>
      <c r="Y280" s="5">
        <f>IF(DiscreteStatsTable[[#This Row],[RepsRequested]]=DiscreteStatsTable[[#This Row],[RepsWithStatObserved]],1,0)</f>
        <v>1</v>
      </c>
    </row>
    <row r="281" spans="1:25" x14ac:dyDescent="0.3">
      <c r="A281" t="s">
        <v>66</v>
      </c>
      <c r="B281" t="s">
        <v>68</v>
      </c>
      <c r="C281">
        <v>10</v>
      </c>
      <c r="D281" t="s">
        <v>82</v>
      </c>
      <c r="E281" t="s">
        <v>80</v>
      </c>
      <c r="F281" t="s">
        <v>81</v>
      </c>
      <c r="G281">
        <v>1.4913741666386799</v>
      </c>
      <c r="H281">
        <v>2E+20</v>
      </c>
      <c r="I281">
        <v>0.72518441456623695</v>
      </c>
      <c r="J281">
        <v>1.96967891435527</v>
      </c>
      <c r="K281">
        <v>38</v>
      </c>
      <c r="L281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30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1.0474395158170873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0.84719561318136005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1.4913741666386799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0.54240657991611196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1.96967891435527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81" s="5">
        <f>IF((DiscreteStatsTable[[#This Row],[RepsRequested]]&gt;1),DiscreteStatsTable[[#This Row],[HalfWidth]],DiscreteStatsTable[[#This Row],[BatchMeansHalfWidth]])</f>
        <v>5.6090534743261332E-2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30</v>
      </c>
      <c r="Y281" s="5">
        <f>IF(DiscreteStatsTable[[#This Row],[RepsRequested]]=DiscreteStatsTable[[#This Row],[RepsWithStatObserved]],1,0)</f>
        <v>1</v>
      </c>
    </row>
    <row r="282" spans="1:25" x14ac:dyDescent="0.3">
      <c r="A282" t="s">
        <v>66</v>
      </c>
      <c r="B282" t="s">
        <v>68</v>
      </c>
      <c r="C282">
        <v>11</v>
      </c>
      <c r="D282" t="s">
        <v>82</v>
      </c>
      <c r="E282" t="s">
        <v>80</v>
      </c>
      <c r="F282" t="s">
        <v>81</v>
      </c>
      <c r="G282">
        <v>1.0268361911485899</v>
      </c>
      <c r="H282">
        <v>2E+20</v>
      </c>
      <c r="I282">
        <v>0.66752744616135995</v>
      </c>
      <c r="J282">
        <v>1.8216484821546901</v>
      </c>
      <c r="K282">
        <v>28</v>
      </c>
      <c r="L282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30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1.0474395158170873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0.84719561318136005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1.4913741666386799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0.54240657991611196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1.96967891435527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82" s="5">
        <f>IF((DiscreteStatsTable[[#This Row],[RepsRequested]]&gt;1),DiscreteStatsTable[[#This Row],[HalfWidth]],DiscreteStatsTable[[#This Row],[BatchMeansHalfWidth]])</f>
        <v>5.6090534743261332E-2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30</v>
      </c>
      <c r="Y282" s="5">
        <f>IF(DiscreteStatsTable[[#This Row],[RepsRequested]]=DiscreteStatsTable[[#This Row],[RepsWithStatObserved]],1,0)</f>
        <v>1</v>
      </c>
    </row>
    <row r="283" spans="1:25" x14ac:dyDescent="0.3">
      <c r="A283" t="s">
        <v>66</v>
      </c>
      <c r="B283" t="s">
        <v>68</v>
      </c>
      <c r="C283">
        <v>12</v>
      </c>
      <c r="D283" t="s">
        <v>82</v>
      </c>
      <c r="E283" t="s">
        <v>80</v>
      </c>
      <c r="F283" t="s">
        <v>81</v>
      </c>
      <c r="G283">
        <v>1.06276214530672</v>
      </c>
      <c r="H283">
        <v>2E+20</v>
      </c>
      <c r="I283">
        <v>0.58089965428993495</v>
      </c>
      <c r="J283">
        <v>1.45213493266599</v>
      </c>
      <c r="K283">
        <v>27</v>
      </c>
      <c r="L283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30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1.0474395158170873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0.84719561318136005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1.4913741666386799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0.54240657991611196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1.96967891435527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83" s="5">
        <f>IF((DiscreteStatsTable[[#This Row],[RepsRequested]]&gt;1),DiscreteStatsTable[[#This Row],[HalfWidth]],DiscreteStatsTable[[#This Row],[BatchMeansHalfWidth]])</f>
        <v>5.6090534743261332E-2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30</v>
      </c>
      <c r="Y283" s="5">
        <f>IF(DiscreteStatsTable[[#This Row],[RepsRequested]]=DiscreteStatsTable[[#This Row],[RepsWithStatObserved]],1,0)</f>
        <v>1</v>
      </c>
    </row>
    <row r="284" spans="1:25" x14ac:dyDescent="0.3">
      <c r="A284" t="s">
        <v>66</v>
      </c>
      <c r="B284" t="s">
        <v>68</v>
      </c>
      <c r="C284">
        <v>13</v>
      </c>
      <c r="D284" t="s">
        <v>82</v>
      </c>
      <c r="E284" t="s">
        <v>80</v>
      </c>
      <c r="F284" t="s">
        <v>81</v>
      </c>
      <c r="G284">
        <v>1.15065599248825</v>
      </c>
      <c r="H284">
        <v>2E+20</v>
      </c>
      <c r="I284">
        <v>0.66480970341133006</v>
      </c>
      <c r="J284">
        <v>1.55403779402952</v>
      </c>
      <c r="K284">
        <v>34</v>
      </c>
      <c r="L284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30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1.0474395158170873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0.84719561318136005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1.4913741666386799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0.54240657991611196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1.96967891435527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84" s="5">
        <f>IF((DiscreteStatsTable[[#This Row],[RepsRequested]]&gt;1),DiscreteStatsTable[[#This Row],[HalfWidth]],DiscreteStatsTable[[#This Row],[BatchMeansHalfWidth]])</f>
        <v>5.6090534743261332E-2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30</v>
      </c>
      <c r="Y284" s="5">
        <f>IF(DiscreteStatsTable[[#This Row],[RepsRequested]]=DiscreteStatsTable[[#This Row],[RepsWithStatObserved]],1,0)</f>
        <v>1</v>
      </c>
    </row>
    <row r="285" spans="1:25" x14ac:dyDescent="0.3">
      <c r="A285" t="s">
        <v>66</v>
      </c>
      <c r="B285" t="s">
        <v>68</v>
      </c>
      <c r="C285">
        <v>14</v>
      </c>
      <c r="D285" t="s">
        <v>82</v>
      </c>
      <c r="E285" t="s">
        <v>80</v>
      </c>
      <c r="F285" t="s">
        <v>81</v>
      </c>
      <c r="G285">
        <v>0.85166817093716196</v>
      </c>
      <c r="H285">
        <v>2E+20</v>
      </c>
      <c r="I285">
        <v>0.63950156553207005</v>
      </c>
      <c r="J285">
        <v>1.1929454832553701</v>
      </c>
      <c r="K285">
        <v>21</v>
      </c>
      <c r="L285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30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1.0474395158170873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0.84719561318136005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1.4913741666386799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0.54240657991611196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1.96967891435527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85" s="5">
        <f>IF((DiscreteStatsTable[[#This Row],[RepsRequested]]&gt;1),DiscreteStatsTable[[#This Row],[HalfWidth]],DiscreteStatsTable[[#This Row],[BatchMeansHalfWidth]])</f>
        <v>5.6090534743261332E-2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30</v>
      </c>
      <c r="Y285" s="5">
        <f>IF(DiscreteStatsTable[[#This Row],[RepsRequested]]=DiscreteStatsTable[[#This Row],[RepsWithStatObserved]],1,0)</f>
        <v>1</v>
      </c>
    </row>
    <row r="286" spans="1:25" x14ac:dyDescent="0.3">
      <c r="A286" t="s">
        <v>66</v>
      </c>
      <c r="B286" t="s">
        <v>68</v>
      </c>
      <c r="C286">
        <v>15</v>
      </c>
      <c r="D286" t="s">
        <v>82</v>
      </c>
      <c r="E286" t="s">
        <v>80</v>
      </c>
      <c r="F286" t="s">
        <v>81</v>
      </c>
      <c r="G286">
        <v>0.90745916419658801</v>
      </c>
      <c r="H286">
        <v>2E+20</v>
      </c>
      <c r="I286">
        <v>0.62585626659277804</v>
      </c>
      <c r="J286">
        <v>1.2131551611220801</v>
      </c>
      <c r="K286">
        <v>38</v>
      </c>
      <c r="L286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30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1.0474395158170873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0.84719561318136005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1.4913741666386799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0.54240657991611196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1.96967891435527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86" s="5">
        <f>IF((DiscreteStatsTable[[#This Row],[RepsRequested]]&gt;1),DiscreteStatsTable[[#This Row],[HalfWidth]],DiscreteStatsTable[[#This Row],[BatchMeansHalfWidth]])</f>
        <v>5.6090534743261332E-2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30</v>
      </c>
      <c r="Y286" s="5">
        <f>IF(DiscreteStatsTable[[#This Row],[RepsRequested]]=DiscreteStatsTable[[#This Row],[RepsWithStatObserved]],1,0)</f>
        <v>1</v>
      </c>
    </row>
    <row r="287" spans="1:25" x14ac:dyDescent="0.3">
      <c r="A287" t="s">
        <v>66</v>
      </c>
      <c r="B287" t="s">
        <v>68</v>
      </c>
      <c r="C287">
        <v>16</v>
      </c>
      <c r="D287" t="s">
        <v>82</v>
      </c>
      <c r="E287" t="s">
        <v>80</v>
      </c>
      <c r="F287" t="s">
        <v>81</v>
      </c>
      <c r="G287">
        <v>1.27405709795043</v>
      </c>
      <c r="H287">
        <v>2E+20</v>
      </c>
      <c r="I287">
        <v>0.74066502566469905</v>
      </c>
      <c r="J287">
        <v>1.9446988537404399</v>
      </c>
      <c r="K287">
        <v>36</v>
      </c>
      <c r="L287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30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1.0474395158170873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0.84719561318136005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1.4913741666386799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0.54240657991611196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1.96967891435527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87" s="5">
        <f>IF((DiscreteStatsTable[[#This Row],[RepsRequested]]&gt;1),DiscreteStatsTable[[#This Row],[HalfWidth]],DiscreteStatsTable[[#This Row],[BatchMeansHalfWidth]])</f>
        <v>5.6090534743261332E-2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30</v>
      </c>
      <c r="Y287" s="5">
        <f>IF(DiscreteStatsTable[[#This Row],[RepsRequested]]=DiscreteStatsTable[[#This Row],[RepsWithStatObserved]],1,0)</f>
        <v>1</v>
      </c>
    </row>
    <row r="288" spans="1:25" x14ac:dyDescent="0.3">
      <c r="A288" t="s">
        <v>66</v>
      </c>
      <c r="B288" t="s">
        <v>68</v>
      </c>
      <c r="C288">
        <v>17</v>
      </c>
      <c r="D288" t="s">
        <v>82</v>
      </c>
      <c r="E288" t="s">
        <v>80</v>
      </c>
      <c r="F288" t="s">
        <v>81</v>
      </c>
      <c r="G288">
        <v>1.0230773138933</v>
      </c>
      <c r="H288">
        <v>2E+20</v>
      </c>
      <c r="I288">
        <v>0.66696279950513004</v>
      </c>
      <c r="J288">
        <v>1.23992230275772</v>
      </c>
      <c r="K288">
        <v>23</v>
      </c>
      <c r="L288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30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1.0474395158170873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0.84719561318136005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1.4913741666386799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0.54240657991611196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1.96967891435527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88" s="5">
        <f>IF((DiscreteStatsTable[[#This Row],[RepsRequested]]&gt;1),DiscreteStatsTable[[#This Row],[HalfWidth]],DiscreteStatsTable[[#This Row],[BatchMeansHalfWidth]])</f>
        <v>5.6090534743261332E-2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30</v>
      </c>
      <c r="Y288" s="5">
        <f>IF(DiscreteStatsTable[[#This Row],[RepsRequested]]=DiscreteStatsTable[[#This Row],[RepsWithStatObserved]],1,0)</f>
        <v>1</v>
      </c>
    </row>
    <row r="289" spans="1:25" x14ac:dyDescent="0.3">
      <c r="A289" t="s">
        <v>66</v>
      </c>
      <c r="B289" t="s">
        <v>68</v>
      </c>
      <c r="C289">
        <v>18</v>
      </c>
      <c r="D289" t="s">
        <v>82</v>
      </c>
      <c r="E289" t="s">
        <v>80</v>
      </c>
      <c r="F289" t="s">
        <v>81</v>
      </c>
      <c r="G289">
        <v>1.0094109417558701</v>
      </c>
      <c r="H289">
        <v>2E+20</v>
      </c>
      <c r="I289">
        <v>0.66356453684231298</v>
      </c>
      <c r="J289">
        <v>1.25804521430315</v>
      </c>
      <c r="K289">
        <v>37</v>
      </c>
      <c r="L289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30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1.0474395158170873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0.84719561318136005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1.4913741666386799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0.54240657991611196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1.96967891435527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89" s="5">
        <f>IF((DiscreteStatsTable[[#This Row],[RepsRequested]]&gt;1),DiscreteStatsTable[[#This Row],[HalfWidth]],DiscreteStatsTable[[#This Row],[BatchMeansHalfWidth]])</f>
        <v>5.6090534743261332E-2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30</v>
      </c>
      <c r="Y289" s="5">
        <f>IF(DiscreteStatsTable[[#This Row],[RepsRequested]]=DiscreteStatsTable[[#This Row],[RepsWithStatObserved]],1,0)</f>
        <v>1</v>
      </c>
    </row>
    <row r="290" spans="1:25" x14ac:dyDescent="0.3">
      <c r="A290" t="s">
        <v>66</v>
      </c>
      <c r="B290" t="s">
        <v>68</v>
      </c>
      <c r="C290">
        <v>19</v>
      </c>
      <c r="D290" t="s">
        <v>82</v>
      </c>
      <c r="E290" t="s">
        <v>80</v>
      </c>
      <c r="F290" t="s">
        <v>81</v>
      </c>
      <c r="G290">
        <v>0.98595459388531304</v>
      </c>
      <c r="H290">
        <v>2E+20</v>
      </c>
      <c r="I290">
        <v>0.60689829089434</v>
      </c>
      <c r="J290">
        <v>1.60607974482213</v>
      </c>
      <c r="K290">
        <v>33</v>
      </c>
      <c r="L290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30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1.0474395158170873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0.84719561318136005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1.4913741666386799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0.54240657991611196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1.96967891435527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90" s="5">
        <f>IF((DiscreteStatsTable[[#This Row],[RepsRequested]]&gt;1),DiscreteStatsTable[[#This Row],[HalfWidth]],DiscreteStatsTable[[#This Row],[BatchMeansHalfWidth]])</f>
        <v>5.6090534743261332E-2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30</v>
      </c>
      <c r="Y290" s="5">
        <f>IF(DiscreteStatsTable[[#This Row],[RepsRequested]]=DiscreteStatsTable[[#This Row],[RepsWithStatObserved]],1,0)</f>
        <v>1</v>
      </c>
    </row>
    <row r="291" spans="1:25" x14ac:dyDescent="0.3">
      <c r="A291" t="s">
        <v>66</v>
      </c>
      <c r="B291" t="s">
        <v>68</v>
      </c>
      <c r="C291">
        <v>20</v>
      </c>
      <c r="D291" t="s">
        <v>82</v>
      </c>
      <c r="E291" t="s">
        <v>80</v>
      </c>
      <c r="F291" t="s">
        <v>81</v>
      </c>
      <c r="G291">
        <v>1.22585548408727</v>
      </c>
      <c r="H291">
        <v>2E+20</v>
      </c>
      <c r="I291">
        <v>0.73835022124916305</v>
      </c>
      <c r="J291">
        <v>1.60639561427803</v>
      </c>
      <c r="K291">
        <v>38</v>
      </c>
      <c r="L291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30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1.0474395158170873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0.84719561318136005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1.4913741666386799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0.54240657991611196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1.96967891435527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91" s="5">
        <f>IF((DiscreteStatsTable[[#This Row],[RepsRequested]]&gt;1),DiscreteStatsTable[[#This Row],[HalfWidth]],DiscreteStatsTable[[#This Row],[BatchMeansHalfWidth]])</f>
        <v>5.6090534743261332E-2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30</v>
      </c>
      <c r="Y291" s="5">
        <f>IF(DiscreteStatsTable[[#This Row],[RepsRequested]]=DiscreteStatsTable[[#This Row],[RepsWithStatObserved]],1,0)</f>
        <v>1</v>
      </c>
    </row>
    <row r="292" spans="1:25" x14ac:dyDescent="0.3">
      <c r="A292" t="s">
        <v>66</v>
      </c>
      <c r="B292" t="s">
        <v>68</v>
      </c>
      <c r="C292">
        <v>21</v>
      </c>
      <c r="D292" t="s">
        <v>82</v>
      </c>
      <c r="E292" t="s">
        <v>80</v>
      </c>
      <c r="F292" t="s">
        <v>81</v>
      </c>
      <c r="G292">
        <v>1.30096154551266</v>
      </c>
      <c r="H292">
        <v>2E+20</v>
      </c>
      <c r="I292">
        <v>0.73549383756281705</v>
      </c>
      <c r="J292">
        <v>1.7037774829932</v>
      </c>
      <c r="K292">
        <v>39</v>
      </c>
      <c r="L292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30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1.0474395158170873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0.84719561318136005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1.4913741666386799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0.54240657991611196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1.96967891435527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92" s="5">
        <f>IF((DiscreteStatsTable[[#This Row],[RepsRequested]]&gt;1),DiscreteStatsTable[[#This Row],[HalfWidth]],DiscreteStatsTable[[#This Row],[BatchMeansHalfWidth]])</f>
        <v>5.6090534743261332E-2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30</v>
      </c>
      <c r="Y292" s="5">
        <f>IF(DiscreteStatsTable[[#This Row],[RepsRequested]]=DiscreteStatsTable[[#This Row],[RepsWithStatObserved]],1,0)</f>
        <v>1</v>
      </c>
    </row>
    <row r="293" spans="1:25" x14ac:dyDescent="0.3">
      <c r="A293" t="s">
        <v>66</v>
      </c>
      <c r="B293" t="s">
        <v>68</v>
      </c>
      <c r="C293">
        <v>22</v>
      </c>
      <c r="D293" t="s">
        <v>82</v>
      </c>
      <c r="E293" t="s">
        <v>80</v>
      </c>
      <c r="F293" t="s">
        <v>81</v>
      </c>
      <c r="G293">
        <v>0.94157146583674001</v>
      </c>
      <c r="H293">
        <v>2E+20</v>
      </c>
      <c r="I293">
        <v>0.63680173252596395</v>
      </c>
      <c r="J293">
        <v>1.46767038241019</v>
      </c>
      <c r="K293">
        <v>28</v>
      </c>
      <c r="L293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30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1.0474395158170873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0.84719561318136005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1.4913741666386799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0.54240657991611196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1.96967891435527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93" s="5">
        <f>IF((DiscreteStatsTable[[#This Row],[RepsRequested]]&gt;1),DiscreteStatsTable[[#This Row],[HalfWidth]],DiscreteStatsTable[[#This Row],[BatchMeansHalfWidth]])</f>
        <v>5.6090534743261332E-2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30</v>
      </c>
      <c r="Y293" s="5">
        <f>IF(DiscreteStatsTable[[#This Row],[RepsRequested]]=DiscreteStatsTable[[#This Row],[RepsWithStatObserved]],1,0)</f>
        <v>1</v>
      </c>
    </row>
    <row r="294" spans="1:25" x14ac:dyDescent="0.3">
      <c r="A294" t="s">
        <v>66</v>
      </c>
      <c r="B294" t="s">
        <v>68</v>
      </c>
      <c r="C294">
        <v>23</v>
      </c>
      <c r="D294" t="s">
        <v>82</v>
      </c>
      <c r="E294" t="s">
        <v>80</v>
      </c>
      <c r="F294" t="s">
        <v>81</v>
      </c>
      <c r="G294">
        <v>0.86291381254377197</v>
      </c>
      <c r="H294">
        <v>2E+20</v>
      </c>
      <c r="I294">
        <v>0.61027734755067897</v>
      </c>
      <c r="J294">
        <v>1.25634177556322</v>
      </c>
      <c r="K294">
        <v>25</v>
      </c>
      <c r="L294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30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1.0474395158170873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0.84719561318136005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1.4913741666386799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0.54240657991611196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1.96967891435527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94" s="5">
        <f>IF((DiscreteStatsTable[[#This Row],[RepsRequested]]&gt;1),DiscreteStatsTable[[#This Row],[HalfWidth]],DiscreteStatsTable[[#This Row],[BatchMeansHalfWidth]])</f>
        <v>5.6090534743261332E-2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30</v>
      </c>
      <c r="Y294" s="5">
        <f>IF(DiscreteStatsTable[[#This Row],[RepsRequested]]=DiscreteStatsTable[[#This Row],[RepsWithStatObserved]],1,0)</f>
        <v>1</v>
      </c>
    </row>
    <row r="295" spans="1:25" x14ac:dyDescent="0.3">
      <c r="A295" t="s">
        <v>66</v>
      </c>
      <c r="B295" t="s">
        <v>68</v>
      </c>
      <c r="C295">
        <v>24</v>
      </c>
      <c r="D295" t="s">
        <v>82</v>
      </c>
      <c r="E295" t="s">
        <v>80</v>
      </c>
      <c r="F295" t="s">
        <v>81</v>
      </c>
      <c r="G295">
        <v>1.08115066125413</v>
      </c>
      <c r="H295">
        <v>2E+20</v>
      </c>
      <c r="I295">
        <v>0.74845261694267595</v>
      </c>
      <c r="J295">
        <v>1.45193287493776</v>
      </c>
      <c r="K295">
        <v>23</v>
      </c>
      <c r="L295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30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1.0474395158170873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0.84719561318136005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1.4913741666386799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0.54240657991611196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1.96967891435527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95" s="5">
        <f>IF((DiscreteStatsTable[[#This Row],[RepsRequested]]&gt;1),DiscreteStatsTable[[#This Row],[HalfWidth]],DiscreteStatsTable[[#This Row],[BatchMeansHalfWidth]])</f>
        <v>5.6090534743261332E-2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30</v>
      </c>
      <c r="Y295" s="5">
        <f>IF(DiscreteStatsTable[[#This Row],[RepsRequested]]=DiscreteStatsTable[[#This Row],[RepsWithStatObserved]],1,0)</f>
        <v>1</v>
      </c>
    </row>
    <row r="296" spans="1:25" x14ac:dyDescent="0.3">
      <c r="A296" t="s">
        <v>66</v>
      </c>
      <c r="B296" t="s">
        <v>68</v>
      </c>
      <c r="C296">
        <v>25</v>
      </c>
      <c r="D296" t="s">
        <v>82</v>
      </c>
      <c r="E296" t="s">
        <v>80</v>
      </c>
      <c r="F296" t="s">
        <v>81</v>
      </c>
      <c r="G296">
        <v>1.01002306665679</v>
      </c>
      <c r="H296">
        <v>2E+20</v>
      </c>
      <c r="I296">
        <v>0.65917357450295</v>
      </c>
      <c r="J296">
        <v>1.7246526111181999</v>
      </c>
      <c r="K296">
        <v>32</v>
      </c>
      <c r="L296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30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1.0474395158170873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0.84719561318136005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1.4913741666386799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0.54240657991611196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1.96967891435527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96" s="5">
        <f>IF((DiscreteStatsTable[[#This Row],[RepsRequested]]&gt;1),DiscreteStatsTable[[#This Row],[HalfWidth]],DiscreteStatsTable[[#This Row],[BatchMeansHalfWidth]])</f>
        <v>5.6090534743261332E-2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30</v>
      </c>
      <c r="Y296" s="5">
        <f>IF(DiscreteStatsTable[[#This Row],[RepsRequested]]=DiscreteStatsTable[[#This Row],[RepsWithStatObserved]],1,0)</f>
        <v>1</v>
      </c>
    </row>
    <row r="297" spans="1:25" x14ac:dyDescent="0.3">
      <c r="A297" t="s">
        <v>66</v>
      </c>
      <c r="B297" t="s">
        <v>68</v>
      </c>
      <c r="C297">
        <v>26</v>
      </c>
      <c r="D297" t="s">
        <v>82</v>
      </c>
      <c r="E297" t="s">
        <v>80</v>
      </c>
      <c r="F297" t="s">
        <v>81</v>
      </c>
      <c r="G297">
        <v>0.84719561318136005</v>
      </c>
      <c r="H297">
        <v>2E+20</v>
      </c>
      <c r="I297">
        <v>0.62722915599361495</v>
      </c>
      <c r="J297">
        <v>1.12406824209658</v>
      </c>
      <c r="K297">
        <v>30</v>
      </c>
      <c r="L297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30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1.0474395158170873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0.84719561318136005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1.4913741666386799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0.54240657991611196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1.96967891435527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97" s="5">
        <f>IF((DiscreteStatsTable[[#This Row],[RepsRequested]]&gt;1),DiscreteStatsTable[[#This Row],[HalfWidth]],DiscreteStatsTable[[#This Row],[BatchMeansHalfWidth]])</f>
        <v>5.6090534743261332E-2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30</v>
      </c>
      <c r="Y297" s="5">
        <f>IF(DiscreteStatsTable[[#This Row],[RepsRequested]]=DiscreteStatsTable[[#This Row],[RepsWithStatObserved]],1,0)</f>
        <v>1</v>
      </c>
    </row>
    <row r="298" spans="1:25" x14ac:dyDescent="0.3">
      <c r="A298" t="s">
        <v>66</v>
      </c>
      <c r="B298" t="s">
        <v>68</v>
      </c>
      <c r="C298">
        <v>27</v>
      </c>
      <c r="D298" t="s">
        <v>82</v>
      </c>
      <c r="E298" t="s">
        <v>80</v>
      </c>
      <c r="F298" t="s">
        <v>81</v>
      </c>
      <c r="G298">
        <v>1.3077228365406</v>
      </c>
      <c r="H298">
        <v>2E+20</v>
      </c>
      <c r="I298">
        <v>0.80297745794193598</v>
      </c>
      <c r="J298">
        <v>1.5630423264709099</v>
      </c>
      <c r="K298">
        <v>39</v>
      </c>
      <c r="L298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30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1.0474395158170873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0.84719561318136005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1.4913741666386799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0.54240657991611196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1.96967891435527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98" s="5">
        <f>IF((DiscreteStatsTable[[#This Row],[RepsRequested]]&gt;1),DiscreteStatsTable[[#This Row],[HalfWidth]],DiscreteStatsTable[[#This Row],[BatchMeansHalfWidth]])</f>
        <v>5.6090534743261332E-2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30</v>
      </c>
      <c r="Y298" s="5">
        <f>IF(DiscreteStatsTable[[#This Row],[RepsRequested]]=DiscreteStatsTable[[#This Row],[RepsWithStatObserved]],1,0)</f>
        <v>1</v>
      </c>
    </row>
    <row r="299" spans="1:25" x14ac:dyDescent="0.3">
      <c r="A299" t="s">
        <v>66</v>
      </c>
      <c r="B299" t="s">
        <v>68</v>
      </c>
      <c r="C299">
        <v>28</v>
      </c>
      <c r="D299" t="s">
        <v>82</v>
      </c>
      <c r="E299" t="s">
        <v>80</v>
      </c>
      <c r="F299" t="s">
        <v>81</v>
      </c>
      <c r="G299">
        <v>1.0175673444723801</v>
      </c>
      <c r="H299">
        <v>2E+20</v>
      </c>
      <c r="I299">
        <v>0.63725880081333197</v>
      </c>
      <c r="J299">
        <v>1.30065158492751</v>
      </c>
      <c r="K299">
        <v>42</v>
      </c>
      <c r="L299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30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1.0474395158170873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0.15021321082250425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0.84719561318136005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1.4913741666386799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0.54240657991611196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1.96967891435527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299" s="5">
        <f>IF((DiscreteStatsTable[[#This Row],[RepsRequested]]&gt;1),DiscreteStatsTable[[#This Row],[HalfWidth]],DiscreteStatsTable[[#This Row],[BatchMeansHalfWidth]])</f>
        <v>5.6090534743261332E-2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30</v>
      </c>
      <c r="Y299" s="5">
        <f>IF(DiscreteStatsTable[[#This Row],[RepsRequested]]=DiscreteStatsTable[[#This Row],[RepsWithStatObserved]],1,0)</f>
        <v>1</v>
      </c>
    </row>
    <row r="300" spans="1:25" x14ac:dyDescent="0.3">
      <c r="A300" t="s">
        <v>66</v>
      </c>
      <c r="B300" t="s">
        <v>68</v>
      </c>
      <c r="C300">
        <v>29</v>
      </c>
      <c r="D300" t="s">
        <v>82</v>
      </c>
      <c r="E300" t="s">
        <v>80</v>
      </c>
      <c r="F300" t="s">
        <v>81</v>
      </c>
      <c r="G300">
        <v>1.02740036636837</v>
      </c>
      <c r="H300">
        <v>2E+20</v>
      </c>
      <c r="I300">
        <v>0.66954541037734605</v>
      </c>
      <c r="J300">
        <v>1.5492743665374</v>
      </c>
      <c r="K300">
        <v>31</v>
      </c>
      <c r="L300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30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1.0474395158170873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0.15021321082250425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0.84719561318136005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1.4913741666386799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0.54240657991611196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1.96967891435527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300" s="5">
        <f>IF((DiscreteStatsTable[[#This Row],[RepsRequested]]&gt;1),DiscreteStatsTable[[#This Row],[HalfWidth]],DiscreteStatsTable[[#This Row],[BatchMeansHalfWidth]])</f>
        <v>5.6090534743261332E-2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30</v>
      </c>
      <c r="Y300" s="5">
        <f>IF(DiscreteStatsTable[[#This Row],[RepsRequested]]=DiscreteStatsTable[[#This Row],[RepsWithStatObserved]],1,0)</f>
        <v>1</v>
      </c>
    </row>
    <row r="301" spans="1:25" x14ac:dyDescent="0.3">
      <c r="A301" t="s">
        <v>66</v>
      </c>
      <c r="B301" t="s">
        <v>68</v>
      </c>
      <c r="C301">
        <v>30</v>
      </c>
      <c r="D301" t="s">
        <v>82</v>
      </c>
      <c r="E301" t="s">
        <v>80</v>
      </c>
      <c r="F301" t="s">
        <v>81</v>
      </c>
      <c r="G301">
        <v>0.93223543504831197</v>
      </c>
      <c r="H301">
        <v>2E+20</v>
      </c>
      <c r="I301">
        <v>0.63854972612670002</v>
      </c>
      <c r="J301">
        <v>1.19086666128091</v>
      </c>
      <c r="K301">
        <v>22</v>
      </c>
      <c r="L301" s="5" t="str">
        <f>DiscreteStatsTable[[#This Row],[ProjectName]]&amp;DiscreteStatsTable[[#This Row],[Name]]&amp;DiscreteStatsTable[[#This Row],[Type]]&amp;DiscreteStatsTable[[#This Row],[Source]]</f>
        <v>Unnamed ProjectTally Ciclo2NoneUser Specified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30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1.0474395158170873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0.15021321082250425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5.6090534743261332E-2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0.84719561318136005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1.4913741666386799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0.54240657991611196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1.96967891435527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31.366666666666667</v>
      </c>
      <c r="W301" s="5">
        <f>IF((DiscreteStatsTable[[#This Row],[RepsRequested]]&gt;1),DiscreteStatsTable[[#This Row],[HalfWidth]],DiscreteStatsTable[[#This Row],[BatchMeansHalfWidth]])</f>
        <v>5.6090534743261332E-2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30</v>
      </c>
      <c r="Y301" s="5">
        <f>IF(DiscreteStatsTable[[#This Row],[RepsRequested]]=DiscreteStatsTable[[#This Row],[RepsWithStatObserved]],1,0)</f>
        <v>1</v>
      </c>
    </row>
    <row r="302" spans="1:25" x14ac:dyDescent="0.3">
      <c r="A302" t="s">
        <v>66</v>
      </c>
      <c r="B302" t="s">
        <v>68</v>
      </c>
      <c r="C302">
        <v>1</v>
      </c>
      <c r="D302" t="s">
        <v>83</v>
      </c>
      <c r="E302" t="s">
        <v>80</v>
      </c>
      <c r="F302" t="s">
        <v>81</v>
      </c>
      <c r="G302">
        <v>1.29892974336728</v>
      </c>
      <c r="H302">
        <v>2E+20</v>
      </c>
      <c r="I302">
        <v>1.0059376016692201</v>
      </c>
      <c r="J302">
        <v>1.5229317373129001</v>
      </c>
      <c r="K302">
        <v>32</v>
      </c>
      <c r="L302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30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1.3545308843713129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1.12561675843568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1.66758431466867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0.75544023446239805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2.7172135616429198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27.4</v>
      </c>
      <c r="W302" s="5">
        <f>IF((DiscreteStatsTable[[#This Row],[RepsRequested]]&gt;1),DiscreteStatsTable[[#This Row],[HalfWidth]],DiscreteStatsTable[[#This Row],[BatchMeansHalfWidth]])</f>
        <v>5.888922535871792E-2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30</v>
      </c>
      <c r="Y302" s="5">
        <f>IF(DiscreteStatsTable[[#This Row],[RepsRequested]]=DiscreteStatsTable[[#This Row],[RepsWithStatObserved]],1,0)</f>
        <v>1</v>
      </c>
    </row>
    <row r="303" spans="1:25" x14ac:dyDescent="0.3">
      <c r="A303" t="s">
        <v>66</v>
      </c>
      <c r="B303" t="s">
        <v>68</v>
      </c>
      <c r="C303">
        <v>2</v>
      </c>
      <c r="D303" t="s">
        <v>83</v>
      </c>
      <c r="E303" t="s">
        <v>80</v>
      </c>
      <c r="F303" t="s">
        <v>81</v>
      </c>
      <c r="G303">
        <v>1.3142422719209901</v>
      </c>
      <c r="H303">
        <v>2E+20</v>
      </c>
      <c r="I303">
        <v>1.0621759076421</v>
      </c>
      <c r="J303">
        <v>1.5256120795479</v>
      </c>
      <c r="K303">
        <v>26</v>
      </c>
      <c r="L303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30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1.3545308843713129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1.12561675843568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1.66758431466867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0.75544023446239805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2.7172135616429198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27.4</v>
      </c>
      <c r="W303" s="5">
        <f>IF((DiscreteStatsTable[[#This Row],[RepsRequested]]&gt;1),DiscreteStatsTable[[#This Row],[HalfWidth]],DiscreteStatsTable[[#This Row],[BatchMeansHalfWidth]])</f>
        <v>5.888922535871792E-2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30</v>
      </c>
      <c r="Y303" s="5">
        <f>IF(DiscreteStatsTable[[#This Row],[RepsRequested]]=DiscreteStatsTable[[#This Row],[RepsWithStatObserved]],1,0)</f>
        <v>1</v>
      </c>
    </row>
    <row r="304" spans="1:25" x14ac:dyDescent="0.3">
      <c r="A304" t="s">
        <v>66</v>
      </c>
      <c r="B304" t="s">
        <v>68</v>
      </c>
      <c r="C304">
        <v>3</v>
      </c>
      <c r="D304" t="s">
        <v>83</v>
      </c>
      <c r="E304" t="s">
        <v>80</v>
      </c>
      <c r="F304" t="s">
        <v>81</v>
      </c>
      <c r="G304">
        <v>1.34904690390374</v>
      </c>
      <c r="H304">
        <v>2E+20</v>
      </c>
      <c r="I304">
        <v>0.99765832534187504</v>
      </c>
      <c r="J304">
        <v>1.77024007458002</v>
      </c>
      <c r="K304">
        <v>31</v>
      </c>
      <c r="L304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30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1.3545308843713129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1.12561675843568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1.66758431466867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0.75544023446239805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2.7172135616429198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27.4</v>
      </c>
      <c r="W304" s="5">
        <f>IF((DiscreteStatsTable[[#This Row],[RepsRequested]]&gt;1),DiscreteStatsTable[[#This Row],[HalfWidth]],DiscreteStatsTable[[#This Row],[BatchMeansHalfWidth]])</f>
        <v>5.888922535871792E-2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30</v>
      </c>
      <c r="Y304" s="5">
        <f>IF(DiscreteStatsTable[[#This Row],[RepsRequested]]=DiscreteStatsTable[[#This Row],[RepsWithStatObserved]],1,0)</f>
        <v>1</v>
      </c>
    </row>
    <row r="305" spans="1:25" x14ac:dyDescent="0.3">
      <c r="A305" t="s">
        <v>66</v>
      </c>
      <c r="B305" t="s">
        <v>68</v>
      </c>
      <c r="C305">
        <v>4</v>
      </c>
      <c r="D305" t="s">
        <v>83</v>
      </c>
      <c r="E305" t="s">
        <v>80</v>
      </c>
      <c r="F305" t="s">
        <v>81</v>
      </c>
      <c r="G305">
        <v>1.24765052968142</v>
      </c>
      <c r="H305">
        <v>2E+20</v>
      </c>
      <c r="I305">
        <v>0.92552956621373195</v>
      </c>
      <c r="J305">
        <v>1.6231462788339199</v>
      </c>
      <c r="K305">
        <v>28</v>
      </c>
      <c r="L305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30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1.3545308843713129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1.12561675843568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1.66758431466867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0.75544023446239805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2.7172135616429198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27.4</v>
      </c>
      <c r="W305" s="5">
        <f>IF((DiscreteStatsTable[[#This Row],[RepsRequested]]&gt;1),DiscreteStatsTable[[#This Row],[HalfWidth]],DiscreteStatsTable[[#This Row],[BatchMeansHalfWidth]])</f>
        <v>5.888922535871792E-2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30</v>
      </c>
      <c r="Y305" s="5">
        <f>IF(DiscreteStatsTable[[#This Row],[RepsRequested]]=DiscreteStatsTable[[#This Row],[RepsWithStatObserved]],1,0)</f>
        <v>1</v>
      </c>
    </row>
    <row r="306" spans="1:25" x14ac:dyDescent="0.3">
      <c r="A306" t="s">
        <v>66</v>
      </c>
      <c r="B306" t="s">
        <v>68</v>
      </c>
      <c r="C306">
        <v>5</v>
      </c>
      <c r="D306" t="s">
        <v>83</v>
      </c>
      <c r="E306" t="s">
        <v>80</v>
      </c>
      <c r="F306" t="s">
        <v>81</v>
      </c>
      <c r="G306">
        <v>1.1743280173114501</v>
      </c>
      <c r="H306">
        <v>2E+20</v>
      </c>
      <c r="I306">
        <v>0.901340555224586</v>
      </c>
      <c r="J306">
        <v>1.57989485672102</v>
      </c>
      <c r="K306">
        <v>24</v>
      </c>
      <c r="L306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30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1.3545308843713129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1.12561675843568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1.66758431466867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0.75544023446239805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2.7172135616429198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27.4</v>
      </c>
      <c r="W306" s="5">
        <f>IF((DiscreteStatsTable[[#This Row],[RepsRequested]]&gt;1),DiscreteStatsTable[[#This Row],[HalfWidth]],DiscreteStatsTable[[#This Row],[BatchMeansHalfWidth]])</f>
        <v>5.888922535871792E-2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30</v>
      </c>
      <c r="Y306" s="5">
        <f>IF(DiscreteStatsTable[[#This Row],[RepsRequested]]=DiscreteStatsTable[[#This Row],[RepsWithStatObserved]],1,0)</f>
        <v>1</v>
      </c>
    </row>
    <row r="307" spans="1:25" x14ac:dyDescent="0.3">
      <c r="A307" t="s">
        <v>66</v>
      </c>
      <c r="B307" t="s">
        <v>68</v>
      </c>
      <c r="C307">
        <v>6</v>
      </c>
      <c r="D307" t="s">
        <v>83</v>
      </c>
      <c r="E307" t="s">
        <v>80</v>
      </c>
      <c r="F307" t="s">
        <v>81</v>
      </c>
      <c r="G307">
        <v>1.1908846971721501</v>
      </c>
      <c r="H307">
        <v>2E+20</v>
      </c>
      <c r="I307">
        <v>0.92639690501892902</v>
      </c>
      <c r="J307">
        <v>1.4762095641492201</v>
      </c>
      <c r="K307">
        <v>24</v>
      </c>
      <c r="L307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30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1.3545308843713129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1.12561675843568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1.66758431466867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0.75544023446239805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2.7172135616429198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27.4</v>
      </c>
      <c r="W307" s="5">
        <f>IF((DiscreteStatsTable[[#This Row],[RepsRequested]]&gt;1),DiscreteStatsTable[[#This Row],[HalfWidth]],DiscreteStatsTable[[#This Row],[BatchMeansHalfWidth]])</f>
        <v>5.888922535871792E-2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30</v>
      </c>
      <c r="Y307" s="5">
        <f>IF(DiscreteStatsTable[[#This Row],[RepsRequested]]=DiscreteStatsTable[[#This Row],[RepsWithStatObserved]],1,0)</f>
        <v>1</v>
      </c>
    </row>
    <row r="308" spans="1:25" x14ac:dyDescent="0.3">
      <c r="A308" t="s">
        <v>66</v>
      </c>
      <c r="B308" t="s">
        <v>68</v>
      </c>
      <c r="C308">
        <v>7</v>
      </c>
      <c r="D308" t="s">
        <v>83</v>
      </c>
      <c r="E308" t="s">
        <v>80</v>
      </c>
      <c r="F308" t="s">
        <v>81</v>
      </c>
      <c r="G308">
        <v>1.48357239193046</v>
      </c>
      <c r="H308">
        <v>2E+20</v>
      </c>
      <c r="I308">
        <v>1.0840721693104001</v>
      </c>
      <c r="J308">
        <v>1.9138725659189799</v>
      </c>
      <c r="K308">
        <v>27</v>
      </c>
      <c r="L308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30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1.3545308843713129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1.12561675843568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1.66758431466867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0.75544023446239805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2.7172135616429198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27.4</v>
      </c>
      <c r="W308" s="5">
        <f>IF((DiscreteStatsTable[[#This Row],[RepsRequested]]&gt;1),DiscreteStatsTable[[#This Row],[HalfWidth]],DiscreteStatsTable[[#This Row],[BatchMeansHalfWidth]])</f>
        <v>5.888922535871792E-2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30</v>
      </c>
      <c r="Y308" s="5">
        <f>IF(DiscreteStatsTable[[#This Row],[RepsRequested]]=DiscreteStatsTable[[#This Row],[RepsWithStatObserved]],1,0)</f>
        <v>1</v>
      </c>
    </row>
    <row r="309" spans="1:25" x14ac:dyDescent="0.3">
      <c r="A309" t="s">
        <v>66</v>
      </c>
      <c r="B309" t="s">
        <v>68</v>
      </c>
      <c r="C309">
        <v>8</v>
      </c>
      <c r="D309" t="s">
        <v>83</v>
      </c>
      <c r="E309" t="s">
        <v>80</v>
      </c>
      <c r="F309" t="s">
        <v>81</v>
      </c>
      <c r="G309">
        <v>1.51357224064146</v>
      </c>
      <c r="H309">
        <v>2E+20</v>
      </c>
      <c r="I309">
        <v>1.1594532428286399</v>
      </c>
      <c r="J309">
        <v>2.13258681630179</v>
      </c>
      <c r="K309">
        <v>33</v>
      </c>
      <c r="L309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30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1.3545308843713129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1.12561675843568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1.66758431466867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0.75544023446239805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2.7172135616429198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27.4</v>
      </c>
      <c r="W309" s="5">
        <f>IF((DiscreteStatsTable[[#This Row],[RepsRequested]]&gt;1),DiscreteStatsTable[[#This Row],[HalfWidth]],DiscreteStatsTable[[#This Row],[BatchMeansHalfWidth]])</f>
        <v>5.888922535871792E-2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30</v>
      </c>
      <c r="Y309" s="5">
        <f>IF(DiscreteStatsTable[[#This Row],[RepsRequested]]=DiscreteStatsTable[[#This Row],[RepsWithStatObserved]],1,0)</f>
        <v>1</v>
      </c>
    </row>
    <row r="310" spans="1:25" x14ac:dyDescent="0.3">
      <c r="A310" t="s">
        <v>66</v>
      </c>
      <c r="B310" t="s">
        <v>68</v>
      </c>
      <c r="C310">
        <v>9</v>
      </c>
      <c r="D310" t="s">
        <v>83</v>
      </c>
      <c r="E310" t="s">
        <v>80</v>
      </c>
      <c r="F310" t="s">
        <v>81</v>
      </c>
      <c r="G310">
        <v>1.4981423648507399</v>
      </c>
      <c r="H310">
        <v>2E+20</v>
      </c>
      <c r="I310">
        <v>1.15219098271458</v>
      </c>
      <c r="J310">
        <v>1.7084277652661799</v>
      </c>
      <c r="K310">
        <v>21</v>
      </c>
      <c r="L310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30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1.3545308843713129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1.12561675843568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1.66758431466867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0.75544023446239805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2.7172135616429198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27.4</v>
      </c>
      <c r="W310" s="5">
        <f>IF((DiscreteStatsTable[[#This Row],[RepsRequested]]&gt;1),DiscreteStatsTable[[#This Row],[HalfWidth]],DiscreteStatsTable[[#This Row],[BatchMeansHalfWidth]])</f>
        <v>5.888922535871792E-2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30</v>
      </c>
      <c r="Y310" s="5">
        <f>IF(DiscreteStatsTable[[#This Row],[RepsRequested]]=DiscreteStatsTable[[#This Row],[RepsWithStatObserved]],1,0)</f>
        <v>1</v>
      </c>
    </row>
    <row r="311" spans="1:25" x14ac:dyDescent="0.3">
      <c r="A311" t="s">
        <v>66</v>
      </c>
      <c r="B311" t="s">
        <v>68</v>
      </c>
      <c r="C311">
        <v>10</v>
      </c>
      <c r="D311" t="s">
        <v>83</v>
      </c>
      <c r="E311" t="s">
        <v>80</v>
      </c>
      <c r="F311" t="s">
        <v>81</v>
      </c>
      <c r="G311">
        <v>1.6632825573755901</v>
      </c>
      <c r="H311">
        <v>2E+20</v>
      </c>
      <c r="I311">
        <v>1.04774965491867</v>
      </c>
      <c r="J311">
        <v>2.1072009796376401</v>
      </c>
      <c r="K311">
        <v>28</v>
      </c>
      <c r="L311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30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1.3545308843713129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1.12561675843568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1.66758431466867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0.75544023446239805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2.7172135616429198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27.4</v>
      </c>
      <c r="W311" s="5">
        <f>IF((DiscreteStatsTable[[#This Row],[RepsRequested]]&gt;1),DiscreteStatsTable[[#This Row],[HalfWidth]],DiscreteStatsTable[[#This Row],[BatchMeansHalfWidth]])</f>
        <v>5.888922535871792E-2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30</v>
      </c>
      <c r="Y311" s="5">
        <f>IF(DiscreteStatsTable[[#This Row],[RepsRequested]]=DiscreteStatsTable[[#This Row],[RepsWithStatObserved]],1,0)</f>
        <v>1</v>
      </c>
    </row>
    <row r="312" spans="1:25" x14ac:dyDescent="0.3">
      <c r="A312" t="s">
        <v>66</v>
      </c>
      <c r="B312" t="s">
        <v>68</v>
      </c>
      <c r="C312">
        <v>11</v>
      </c>
      <c r="D312" t="s">
        <v>83</v>
      </c>
      <c r="E312" t="s">
        <v>80</v>
      </c>
      <c r="F312" t="s">
        <v>81</v>
      </c>
      <c r="G312">
        <v>1.2801902635498601</v>
      </c>
      <c r="H312">
        <v>2E+20</v>
      </c>
      <c r="I312">
        <v>0.90340706780576996</v>
      </c>
      <c r="J312">
        <v>1.6323769840479101</v>
      </c>
      <c r="K312">
        <v>36</v>
      </c>
      <c r="L312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30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1.3545308843713129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1.12561675843568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1.66758431466867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0.75544023446239805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2.7172135616429198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27.4</v>
      </c>
      <c r="W312" s="5">
        <f>IF((DiscreteStatsTable[[#This Row],[RepsRequested]]&gt;1),DiscreteStatsTable[[#This Row],[HalfWidth]],DiscreteStatsTable[[#This Row],[BatchMeansHalfWidth]])</f>
        <v>5.888922535871792E-2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30</v>
      </c>
      <c r="Y312" s="5">
        <f>IF(DiscreteStatsTable[[#This Row],[RepsRequested]]=DiscreteStatsTable[[#This Row],[RepsWithStatObserved]],1,0)</f>
        <v>1</v>
      </c>
    </row>
    <row r="313" spans="1:25" x14ac:dyDescent="0.3">
      <c r="A313" t="s">
        <v>66</v>
      </c>
      <c r="B313" t="s">
        <v>68</v>
      </c>
      <c r="C313">
        <v>12</v>
      </c>
      <c r="D313" t="s">
        <v>83</v>
      </c>
      <c r="E313" t="s">
        <v>80</v>
      </c>
      <c r="F313" t="s">
        <v>81</v>
      </c>
      <c r="G313">
        <v>1.3248259359774099</v>
      </c>
      <c r="H313">
        <v>2E+20</v>
      </c>
      <c r="I313">
        <v>0.75544023446239805</v>
      </c>
      <c r="J313">
        <v>1.7582901291341599</v>
      </c>
      <c r="K313">
        <v>36</v>
      </c>
      <c r="L313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30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1.3545308843713129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1.12561675843568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1.66758431466867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0.75544023446239805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2.7172135616429198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27.4</v>
      </c>
      <c r="W313" s="5">
        <f>IF((DiscreteStatsTable[[#This Row],[RepsRequested]]&gt;1),DiscreteStatsTable[[#This Row],[HalfWidth]],DiscreteStatsTable[[#This Row],[BatchMeansHalfWidth]])</f>
        <v>5.888922535871792E-2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30</v>
      </c>
      <c r="Y313" s="5">
        <f>IF(DiscreteStatsTable[[#This Row],[RepsRequested]]=DiscreteStatsTable[[#This Row],[RepsWithStatObserved]],1,0)</f>
        <v>1</v>
      </c>
    </row>
    <row r="314" spans="1:25" x14ac:dyDescent="0.3">
      <c r="A314" t="s">
        <v>66</v>
      </c>
      <c r="B314" t="s">
        <v>68</v>
      </c>
      <c r="C314">
        <v>13</v>
      </c>
      <c r="D314" t="s">
        <v>83</v>
      </c>
      <c r="E314" t="s">
        <v>80</v>
      </c>
      <c r="F314" t="s">
        <v>81</v>
      </c>
      <c r="G314">
        <v>1.4600141579930701</v>
      </c>
      <c r="H314">
        <v>2E+20</v>
      </c>
      <c r="I314">
        <v>0.94248800331098204</v>
      </c>
      <c r="J314">
        <v>1.8156444816669299</v>
      </c>
      <c r="K314">
        <v>21</v>
      </c>
      <c r="L314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30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1.3545308843713129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1.12561675843568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1.66758431466867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0.75544023446239805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2.7172135616429198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27.4</v>
      </c>
      <c r="W314" s="5">
        <f>IF((DiscreteStatsTable[[#This Row],[RepsRequested]]&gt;1),DiscreteStatsTable[[#This Row],[HalfWidth]],DiscreteStatsTable[[#This Row],[BatchMeansHalfWidth]])</f>
        <v>5.888922535871792E-2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30</v>
      </c>
      <c r="Y314" s="5">
        <f>IF(DiscreteStatsTable[[#This Row],[RepsRequested]]=DiscreteStatsTable[[#This Row],[RepsWithStatObserved]],1,0)</f>
        <v>1</v>
      </c>
    </row>
    <row r="315" spans="1:25" x14ac:dyDescent="0.3">
      <c r="A315" t="s">
        <v>66</v>
      </c>
      <c r="B315" t="s">
        <v>68</v>
      </c>
      <c r="C315">
        <v>14</v>
      </c>
      <c r="D315" t="s">
        <v>83</v>
      </c>
      <c r="E315" t="s">
        <v>80</v>
      </c>
      <c r="F315" t="s">
        <v>81</v>
      </c>
      <c r="G315">
        <v>1.20529720576109</v>
      </c>
      <c r="H315">
        <v>2E+20</v>
      </c>
      <c r="I315">
        <v>0.92258903586913099</v>
      </c>
      <c r="J315">
        <v>1.5378073916920401</v>
      </c>
      <c r="K315">
        <v>28</v>
      </c>
      <c r="L315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30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1.3545308843713129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1.12561675843568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1.66758431466867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0.75544023446239805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2.7172135616429198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27.4</v>
      </c>
      <c r="W315" s="5">
        <f>IF((DiscreteStatsTable[[#This Row],[RepsRequested]]&gt;1),DiscreteStatsTable[[#This Row],[HalfWidth]],DiscreteStatsTable[[#This Row],[BatchMeansHalfWidth]])</f>
        <v>5.888922535871792E-2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30</v>
      </c>
      <c r="Y315" s="5">
        <f>IF(DiscreteStatsTable[[#This Row],[RepsRequested]]=DiscreteStatsTable[[#This Row],[RepsWithStatObserved]],1,0)</f>
        <v>1</v>
      </c>
    </row>
    <row r="316" spans="1:25" x14ac:dyDescent="0.3">
      <c r="A316" t="s">
        <v>66</v>
      </c>
      <c r="B316" t="s">
        <v>68</v>
      </c>
      <c r="C316">
        <v>15</v>
      </c>
      <c r="D316" t="s">
        <v>83</v>
      </c>
      <c r="E316" t="s">
        <v>80</v>
      </c>
      <c r="F316" t="s">
        <v>81</v>
      </c>
      <c r="G316">
        <v>1.1575691248118201</v>
      </c>
      <c r="H316">
        <v>2E+20</v>
      </c>
      <c r="I316">
        <v>0.87726099482132402</v>
      </c>
      <c r="J316">
        <v>1.4179794388149001</v>
      </c>
      <c r="K316">
        <v>17</v>
      </c>
      <c r="L316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30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1.3545308843713129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1.12561675843568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1.66758431466867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0.75544023446239805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2.7172135616429198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27.4</v>
      </c>
      <c r="W316" s="5">
        <f>IF((DiscreteStatsTable[[#This Row],[RepsRequested]]&gt;1),DiscreteStatsTable[[#This Row],[HalfWidth]],DiscreteStatsTable[[#This Row],[BatchMeansHalfWidth]])</f>
        <v>5.888922535871792E-2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30</v>
      </c>
      <c r="Y316" s="5">
        <f>IF(DiscreteStatsTable[[#This Row],[RepsRequested]]=DiscreteStatsTable[[#This Row],[RepsWithStatObserved]],1,0)</f>
        <v>1</v>
      </c>
    </row>
    <row r="317" spans="1:25" x14ac:dyDescent="0.3">
      <c r="A317" t="s">
        <v>66</v>
      </c>
      <c r="B317" t="s">
        <v>68</v>
      </c>
      <c r="C317">
        <v>16</v>
      </c>
      <c r="D317" t="s">
        <v>83</v>
      </c>
      <c r="E317" t="s">
        <v>80</v>
      </c>
      <c r="F317" t="s">
        <v>81</v>
      </c>
      <c r="G317">
        <v>1.5888308655646399</v>
      </c>
      <c r="H317">
        <v>2E+20</v>
      </c>
      <c r="I317">
        <v>1.08831502344958</v>
      </c>
      <c r="J317">
        <v>2.7172135616429198</v>
      </c>
      <c r="K317">
        <v>33</v>
      </c>
      <c r="L317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30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1.3545308843713129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1.12561675843568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1.66758431466867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0.75544023446239805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2.7172135616429198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27.4</v>
      </c>
      <c r="W317" s="5">
        <f>IF((DiscreteStatsTable[[#This Row],[RepsRequested]]&gt;1),DiscreteStatsTable[[#This Row],[HalfWidth]],DiscreteStatsTable[[#This Row],[BatchMeansHalfWidth]])</f>
        <v>5.888922535871792E-2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30</v>
      </c>
      <c r="Y317" s="5">
        <f>IF(DiscreteStatsTable[[#This Row],[RepsRequested]]=DiscreteStatsTable[[#This Row],[RepsWithStatObserved]],1,0)</f>
        <v>1</v>
      </c>
    </row>
    <row r="318" spans="1:25" x14ac:dyDescent="0.3">
      <c r="A318" t="s">
        <v>66</v>
      </c>
      <c r="B318" t="s">
        <v>68</v>
      </c>
      <c r="C318">
        <v>17</v>
      </c>
      <c r="D318" t="s">
        <v>83</v>
      </c>
      <c r="E318" t="s">
        <v>80</v>
      </c>
      <c r="F318" t="s">
        <v>81</v>
      </c>
      <c r="G318">
        <v>1.3338224276115</v>
      </c>
      <c r="H318">
        <v>2E+20</v>
      </c>
      <c r="I318">
        <v>0.96532228770279904</v>
      </c>
      <c r="J318">
        <v>1.6763640382532199</v>
      </c>
      <c r="K318">
        <v>32</v>
      </c>
      <c r="L318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30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1.3545308843713129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1.12561675843568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1.66758431466867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0.75544023446239805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2.7172135616429198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27.4</v>
      </c>
      <c r="W318" s="5">
        <f>IF((DiscreteStatsTable[[#This Row],[RepsRequested]]&gt;1),DiscreteStatsTable[[#This Row],[HalfWidth]],DiscreteStatsTable[[#This Row],[BatchMeansHalfWidth]])</f>
        <v>5.888922535871792E-2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30</v>
      </c>
      <c r="Y318" s="5">
        <f>IF(DiscreteStatsTable[[#This Row],[RepsRequested]]=DiscreteStatsTable[[#This Row],[RepsWithStatObserved]],1,0)</f>
        <v>1</v>
      </c>
    </row>
    <row r="319" spans="1:25" x14ac:dyDescent="0.3">
      <c r="A319" t="s">
        <v>66</v>
      </c>
      <c r="B319" t="s">
        <v>68</v>
      </c>
      <c r="C319">
        <v>18</v>
      </c>
      <c r="D319" t="s">
        <v>83</v>
      </c>
      <c r="E319" t="s">
        <v>80</v>
      </c>
      <c r="F319" t="s">
        <v>81</v>
      </c>
      <c r="G319">
        <v>1.34806920729087</v>
      </c>
      <c r="H319">
        <v>2E+20</v>
      </c>
      <c r="I319">
        <v>1.0418896111896201</v>
      </c>
      <c r="J319">
        <v>1.6773327604946699</v>
      </c>
      <c r="K319">
        <v>24</v>
      </c>
      <c r="L319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30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1.3545308843713129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1.12561675843568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1.66758431466867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0.75544023446239805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2.7172135616429198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27.4</v>
      </c>
      <c r="W319" s="5">
        <f>IF((DiscreteStatsTable[[#This Row],[RepsRequested]]&gt;1),DiscreteStatsTable[[#This Row],[HalfWidth]],DiscreteStatsTable[[#This Row],[BatchMeansHalfWidth]])</f>
        <v>5.888922535871792E-2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30</v>
      </c>
      <c r="Y319" s="5">
        <f>IF(DiscreteStatsTable[[#This Row],[RepsRequested]]=DiscreteStatsTable[[#This Row],[RepsWithStatObserved]],1,0)</f>
        <v>1</v>
      </c>
    </row>
    <row r="320" spans="1:25" x14ac:dyDescent="0.3">
      <c r="A320" t="s">
        <v>66</v>
      </c>
      <c r="B320" t="s">
        <v>68</v>
      </c>
      <c r="C320">
        <v>19</v>
      </c>
      <c r="D320" t="s">
        <v>83</v>
      </c>
      <c r="E320" t="s">
        <v>80</v>
      </c>
      <c r="F320" t="s">
        <v>81</v>
      </c>
      <c r="G320">
        <v>1.27213691339667</v>
      </c>
      <c r="H320">
        <v>2E+20</v>
      </c>
      <c r="I320">
        <v>0.943826116995372</v>
      </c>
      <c r="J320">
        <v>1.5785827564363399</v>
      </c>
      <c r="K320">
        <v>38</v>
      </c>
      <c r="L320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30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1.3545308843713129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1.12561675843568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1.66758431466867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0.75544023446239805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2.7172135616429198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27.4</v>
      </c>
      <c r="W320" s="5">
        <f>IF((DiscreteStatsTable[[#This Row],[RepsRequested]]&gt;1),DiscreteStatsTable[[#This Row],[HalfWidth]],DiscreteStatsTable[[#This Row],[BatchMeansHalfWidth]])</f>
        <v>5.888922535871792E-2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30</v>
      </c>
      <c r="Y320" s="5">
        <f>IF(DiscreteStatsTable[[#This Row],[RepsRequested]]=DiscreteStatsTable[[#This Row],[RepsWithStatObserved]],1,0)</f>
        <v>1</v>
      </c>
    </row>
    <row r="321" spans="1:25" x14ac:dyDescent="0.3">
      <c r="A321" t="s">
        <v>66</v>
      </c>
      <c r="B321" t="s">
        <v>68</v>
      </c>
      <c r="C321">
        <v>20</v>
      </c>
      <c r="D321" t="s">
        <v>83</v>
      </c>
      <c r="E321" t="s">
        <v>80</v>
      </c>
      <c r="F321" t="s">
        <v>81</v>
      </c>
      <c r="G321">
        <v>1.61030485073251</v>
      </c>
      <c r="H321">
        <v>2E+20</v>
      </c>
      <c r="I321">
        <v>1.27166937524826</v>
      </c>
      <c r="J321">
        <v>1.9902669317300099</v>
      </c>
      <c r="K321">
        <v>31</v>
      </c>
      <c r="L321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30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1.3545308843713129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1.12561675843568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1.66758431466867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0.75544023446239805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2.7172135616429198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27.4</v>
      </c>
      <c r="W321" s="5">
        <f>IF((DiscreteStatsTable[[#This Row],[RepsRequested]]&gt;1),DiscreteStatsTable[[#This Row],[HalfWidth]],DiscreteStatsTable[[#This Row],[BatchMeansHalfWidth]])</f>
        <v>5.888922535871792E-2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30</v>
      </c>
      <c r="Y321" s="5">
        <f>IF(DiscreteStatsTable[[#This Row],[RepsRequested]]=DiscreteStatsTable[[#This Row],[RepsWithStatObserved]],1,0)</f>
        <v>1</v>
      </c>
    </row>
    <row r="322" spans="1:25" x14ac:dyDescent="0.3">
      <c r="A322" t="s">
        <v>66</v>
      </c>
      <c r="B322" t="s">
        <v>68</v>
      </c>
      <c r="C322">
        <v>21</v>
      </c>
      <c r="D322" t="s">
        <v>83</v>
      </c>
      <c r="E322" t="s">
        <v>80</v>
      </c>
      <c r="F322" t="s">
        <v>81</v>
      </c>
      <c r="G322">
        <v>1.66758431466867</v>
      </c>
      <c r="H322">
        <v>2E+20</v>
      </c>
      <c r="I322">
        <v>1.2680462398010801</v>
      </c>
      <c r="J322">
        <v>1.93901829456504</v>
      </c>
      <c r="K322">
        <v>33</v>
      </c>
      <c r="L322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30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1.3545308843713129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1.12561675843568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1.66758431466867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0.75544023446239805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2.7172135616429198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27.4</v>
      </c>
      <c r="W322" s="5">
        <f>IF((DiscreteStatsTable[[#This Row],[RepsRequested]]&gt;1),DiscreteStatsTable[[#This Row],[HalfWidth]],DiscreteStatsTable[[#This Row],[BatchMeansHalfWidth]])</f>
        <v>5.888922535871792E-2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30</v>
      </c>
      <c r="Y322" s="5">
        <f>IF(DiscreteStatsTable[[#This Row],[RepsRequested]]=DiscreteStatsTable[[#This Row],[RepsWithStatObserved]],1,0)</f>
        <v>1</v>
      </c>
    </row>
    <row r="323" spans="1:25" x14ac:dyDescent="0.3">
      <c r="A323" t="s">
        <v>66</v>
      </c>
      <c r="B323" t="s">
        <v>68</v>
      </c>
      <c r="C323">
        <v>22</v>
      </c>
      <c r="D323" t="s">
        <v>83</v>
      </c>
      <c r="E323" t="s">
        <v>80</v>
      </c>
      <c r="F323" t="s">
        <v>81</v>
      </c>
      <c r="G323">
        <v>1.2306806138316899</v>
      </c>
      <c r="H323">
        <v>2E+20</v>
      </c>
      <c r="I323">
        <v>0.75584921054052101</v>
      </c>
      <c r="J323">
        <v>1.6480781114973</v>
      </c>
      <c r="K323">
        <v>27</v>
      </c>
      <c r="L323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30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1.3545308843713129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1.12561675843568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1.66758431466867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0.75544023446239805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2.7172135616429198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27.4</v>
      </c>
      <c r="W323" s="5">
        <f>IF((DiscreteStatsTable[[#This Row],[RepsRequested]]&gt;1),DiscreteStatsTable[[#This Row],[HalfWidth]],DiscreteStatsTable[[#This Row],[BatchMeansHalfWidth]])</f>
        <v>5.888922535871792E-2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30</v>
      </c>
      <c r="Y323" s="5">
        <f>IF(DiscreteStatsTable[[#This Row],[RepsRequested]]=DiscreteStatsTable[[#This Row],[RepsWithStatObserved]],1,0)</f>
        <v>1</v>
      </c>
    </row>
    <row r="324" spans="1:25" x14ac:dyDescent="0.3">
      <c r="A324" t="s">
        <v>66</v>
      </c>
      <c r="B324" t="s">
        <v>68</v>
      </c>
      <c r="C324">
        <v>23</v>
      </c>
      <c r="D324" t="s">
        <v>83</v>
      </c>
      <c r="E324" t="s">
        <v>80</v>
      </c>
      <c r="F324" t="s">
        <v>81</v>
      </c>
      <c r="G324">
        <v>1.12561675843568</v>
      </c>
      <c r="H324">
        <v>2E+20</v>
      </c>
      <c r="I324">
        <v>0.90294610568837796</v>
      </c>
      <c r="J324">
        <v>1.4464540473277201</v>
      </c>
      <c r="K324">
        <v>26</v>
      </c>
      <c r="L324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30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1.3545308843713129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1.12561675843568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1.66758431466867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0.75544023446239805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2.7172135616429198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27.4</v>
      </c>
      <c r="W324" s="5">
        <f>IF((DiscreteStatsTable[[#This Row],[RepsRequested]]&gt;1),DiscreteStatsTable[[#This Row],[HalfWidth]],DiscreteStatsTable[[#This Row],[BatchMeansHalfWidth]])</f>
        <v>5.888922535871792E-2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30</v>
      </c>
      <c r="Y324" s="5">
        <f>IF(DiscreteStatsTable[[#This Row],[RepsRequested]]=DiscreteStatsTable[[#This Row],[RepsWithStatObserved]],1,0)</f>
        <v>1</v>
      </c>
    </row>
    <row r="325" spans="1:25" x14ac:dyDescent="0.3">
      <c r="A325" t="s">
        <v>66</v>
      </c>
      <c r="B325" t="s">
        <v>68</v>
      </c>
      <c r="C325">
        <v>24</v>
      </c>
      <c r="D325" t="s">
        <v>83</v>
      </c>
      <c r="E325" t="s">
        <v>80</v>
      </c>
      <c r="F325" t="s">
        <v>81</v>
      </c>
      <c r="G325">
        <v>1.3137814179630201</v>
      </c>
      <c r="H325">
        <v>2E+20</v>
      </c>
      <c r="I325">
        <v>1.0511974617936899</v>
      </c>
      <c r="J325">
        <v>1.7335535394947701</v>
      </c>
      <c r="K325">
        <v>27</v>
      </c>
      <c r="L325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30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1.3545308843713129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1.12561675843568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1.66758431466867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0.75544023446239805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2.7172135616429198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27.4</v>
      </c>
      <c r="W325" s="5">
        <f>IF((DiscreteStatsTable[[#This Row],[RepsRequested]]&gt;1),DiscreteStatsTable[[#This Row],[HalfWidth]],DiscreteStatsTable[[#This Row],[BatchMeansHalfWidth]])</f>
        <v>5.888922535871792E-2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30</v>
      </c>
      <c r="Y325" s="5">
        <f>IF(DiscreteStatsTable[[#This Row],[RepsRequested]]=DiscreteStatsTable[[#This Row],[RepsWithStatObserved]],1,0)</f>
        <v>1</v>
      </c>
    </row>
    <row r="326" spans="1:25" x14ac:dyDescent="0.3">
      <c r="A326" t="s">
        <v>66</v>
      </c>
      <c r="B326" t="s">
        <v>68</v>
      </c>
      <c r="C326">
        <v>25</v>
      </c>
      <c r="D326" t="s">
        <v>83</v>
      </c>
      <c r="E326" t="s">
        <v>80</v>
      </c>
      <c r="F326" t="s">
        <v>81</v>
      </c>
      <c r="G326">
        <v>1.2811249117325101</v>
      </c>
      <c r="H326">
        <v>2E+20</v>
      </c>
      <c r="I326">
        <v>0.94898338729714105</v>
      </c>
      <c r="J326">
        <v>1.67257663132957</v>
      </c>
      <c r="K326">
        <v>20</v>
      </c>
      <c r="L326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30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1.3545308843713129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1.12561675843568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1.66758431466867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0.75544023446239805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2.7172135616429198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27.4</v>
      </c>
      <c r="W326" s="5">
        <f>IF((DiscreteStatsTable[[#This Row],[RepsRequested]]&gt;1),DiscreteStatsTable[[#This Row],[HalfWidth]],DiscreteStatsTable[[#This Row],[BatchMeansHalfWidth]])</f>
        <v>5.888922535871792E-2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30</v>
      </c>
      <c r="Y326" s="5">
        <f>IF(DiscreteStatsTable[[#This Row],[RepsRequested]]=DiscreteStatsTable[[#This Row],[RepsWithStatObserved]],1,0)</f>
        <v>1</v>
      </c>
    </row>
    <row r="327" spans="1:25" x14ac:dyDescent="0.3">
      <c r="A327" t="s">
        <v>66</v>
      </c>
      <c r="B327" t="s">
        <v>68</v>
      </c>
      <c r="C327">
        <v>26</v>
      </c>
      <c r="D327" t="s">
        <v>83</v>
      </c>
      <c r="E327" t="s">
        <v>80</v>
      </c>
      <c r="F327" t="s">
        <v>81</v>
      </c>
      <c r="G327">
        <v>1.15645117171214</v>
      </c>
      <c r="H327">
        <v>2E+20</v>
      </c>
      <c r="I327">
        <v>0.867675438415898</v>
      </c>
      <c r="J327">
        <v>1.4814298272766999</v>
      </c>
      <c r="K327">
        <v>19</v>
      </c>
      <c r="L327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30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1.3545308843713129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1.12561675843568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1.66758431466867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0.75544023446239805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2.7172135616429198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27.4</v>
      </c>
      <c r="W327" s="5">
        <f>IF((DiscreteStatsTable[[#This Row],[RepsRequested]]&gt;1),DiscreteStatsTable[[#This Row],[HalfWidth]],DiscreteStatsTable[[#This Row],[BatchMeansHalfWidth]])</f>
        <v>5.888922535871792E-2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30</v>
      </c>
      <c r="Y327" s="5">
        <f>IF(DiscreteStatsTable[[#This Row],[RepsRequested]]=DiscreteStatsTable[[#This Row],[RepsWithStatObserved]],1,0)</f>
        <v>1</v>
      </c>
    </row>
    <row r="328" spans="1:25" x14ac:dyDescent="0.3">
      <c r="A328" t="s">
        <v>66</v>
      </c>
      <c r="B328" t="s">
        <v>68</v>
      </c>
      <c r="C328">
        <v>27</v>
      </c>
      <c r="D328" t="s">
        <v>83</v>
      </c>
      <c r="E328" t="s">
        <v>80</v>
      </c>
      <c r="F328" t="s">
        <v>81</v>
      </c>
      <c r="G328">
        <v>1.55070150059196</v>
      </c>
      <c r="H328">
        <v>2E+20</v>
      </c>
      <c r="I328">
        <v>1.0718371316625499</v>
      </c>
      <c r="J328">
        <v>1.7312640874146901</v>
      </c>
      <c r="K328">
        <v>30</v>
      </c>
      <c r="L328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30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1.3545308843713129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1.12561675843568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1.66758431466867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0.75544023446239805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2.7172135616429198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27.4</v>
      </c>
      <c r="W328" s="5">
        <f>IF((DiscreteStatsTable[[#This Row],[RepsRequested]]&gt;1),DiscreteStatsTable[[#This Row],[HalfWidth]],DiscreteStatsTable[[#This Row],[BatchMeansHalfWidth]])</f>
        <v>5.888922535871792E-2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30</v>
      </c>
      <c r="Y328" s="5">
        <f>IF(DiscreteStatsTable[[#This Row],[RepsRequested]]=DiscreteStatsTable[[#This Row],[RepsWithStatObserved]],1,0)</f>
        <v>1</v>
      </c>
    </row>
    <row r="329" spans="1:25" x14ac:dyDescent="0.3">
      <c r="A329" t="s">
        <v>66</v>
      </c>
      <c r="B329" t="s">
        <v>68</v>
      </c>
      <c r="C329">
        <v>28</v>
      </c>
      <c r="D329" t="s">
        <v>83</v>
      </c>
      <c r="E329" t="s">
        <v>80</v>
      </c>
      <c r="F329" t="s">
        <v>81</v>
      </c>
      <c r="G329">
        <v>1.34813192534939</v>
      </c>
      <c r="H329">
        <v>2E+20</v>
      </c>
      <c r="I329">
        <v>1.18781249873866</v>
      </c>
      <c r="J329">
        <v>1.63142089019165</v>
      </c>
      <c r="K329">
        <v>13</v>
      </c>
      <c r="L329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30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1.3545308843713129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1.12561675843568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1.66758431466867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0.75544023446239805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2.7172135616429198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27.4</v>
      </c>
      <c r="W329" s="5">
        <f>IF((DiscreteStatsTable[[#This Row],[RepsRequested]]&gt;1),DiscreteStatsTable[[#This Row],[HalfWidth]],DiscreteStatsTable[[#This Row],[BatchMeansHalfWidth]])</f>
        <v>5.888922535871792E-2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30</v>
      </c>
      <c r="Y329" s="5">
        <f>IF(DiscreteStatsTable[[#This Row],[RepsRequested]]=DiscreteStatsTable[[#This Row],[RepsWithStatObserved]],1,0)</f>
        <v>1</v>
      </c>
    </row>
    <row r="330" spans="1:25" x14ac:dyDescent="0.3">
      <c r="A330" t="s">
        <v>66</v>
      </c>
      <c r="B330" t="s">
        <v>68</v>
      </c>
      <c r="C330">
        <v>29</v>
      </c>
      <c r="D330" t="s">
        <v>83</v>
      </c>
      <c r="E330" t="s">
        <v>80</v>
      </c>
      <c r="F330" t="s">
        <v>81</v>
      </c>
      <c r="G330">
        <v>1.44465094825421</v>
      </c>
      <c r="H330">
        <v>2E+20</v>
      </c>
      <c r="I330">
        <v>1.0697541623221001</v>
      </c>
      <c r="J330">
        <v>1.82298041244751</v>
      </c>
      <c r="K330">
        <v>34</v>
      </c>
      <c r="L330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30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1.3545308843713129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1.12561675843568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1.66758431466867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0.75544023446239805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2.7172135616429198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27.4</v>
      </c>
      <c r="W330" s="5">
        <f>IF((DiscreteStatsTable[[#This Row],[RepsRequested]]&gt;1),DiscreteStatsTable[[#This Row],[HalfWidth]],DiscreteStatsTable[[#This Row],[BatchMeansHalfWidth]])</f>
        <v>5.888922535871792E-2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30</v>
      </c>
      <c r="Y330" s="5">
        <f>IF(DiscreteStatsTable[[#This Row],[RepsRequested]]=DiscreteStatsTable[[#This Row],[RepsWithStatObserved]],1,0)</f>
        <v>1</v>
      </c>
    </row>
    <row r="331" spans="1:25" x14ac:dyDescent="0.3">
      <c r="A331" t="s">
        <v>66</v>
      </c>
      <c r="B331" t="s">
        <v>68</v>
      </c>
      <c r="C331">
        <v>30</v>
      </c>
      <c r="D331" t="s">
        <v>83</v>
      </c>
      <c r="E331" t="s">
        <v>80</v>
      </c>
      <c r="F331" t="s">
        <v>81</v>
      </c>
      <c r="G331">
        <v>1.20249029775539</v>
      </c>
      <c r="H331">
        <v>2E+20</v>
      </c>
      <c r="I331">
        <v>0.97717345906980402</v>
      </c>
      <c r="J331">
        <v>1.4514621241205901</v>
      </c>
      <c r="K331">
        <v>23</v>
      </c>
      <c r="L331" s="5" t="str">
        <f>DiscreteStatsTable[[#This Row],[ProjectName]]&amp;DiscreteStatsTable[[#This Row],[Name]]&amp;DiscreteStatsTable[[#This Row],[Type]]&amp;DiscreteStatsTable[[#This Row],[Source]]</f>
        <v>Unnamed ProjectTally Ciclo3NoneUser Specified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30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1.3545308843713129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0.15770824194265332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5.888922535871792E-2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1.12561675843568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1.66758431466867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0.75544023446239805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2.7172135616429198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27.4</v>
      </c>
      <c r="W331" s="5">
        <f>IF((DiscreteStatsTable[[#This Row],[RepsRequested]]&gt;1),DiscreteStatsTable[[#This Row],[HalfWidth]],DiscreteStatsTable[[#This Row],[BatchMeansHalfWidth]])</f>
        <v>5.888922535871792E-2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30</v>
      </c>
      <c r="Y331" s="5">
        <f>IF(DiscreteStatsTable[[#This Row],[RepsRequested]]=DiscreteStatsTable[[#This Row],[RepsWithStatObserved]],1,0)</f>
        <v>1</v>
      </c>
    </row>
    <row r="332" spans="1:25" x14ac:dyDescent="0.3">
      <c r="A332" t="s">
        <v>66</v>
      </c>
      <c r="B332" t="s">
        <v>68</v>
      </c>
      <c r="C332">
        <v>1</v>
      </c>
      <c r="D332" t="s">
        <v>84</v>
      </c>
      <c r="E332" t="s">
        <v>85</v>
      </c>
      <c r="F332" t="s">
        <v>86</v>
      </c>
      <c r="G332">
        <v>0</v>
      </c>
      <c r="H332">
        <v>2E+20</v>
      </c>
      <c r="I332">
        <v>0</v>
      </c>
      <c r="J332">
        <v>0</v>
      </c>
      <c r="K332">
        <v>133</v>
      </c>
      <c r="L332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30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0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0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0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32" s="5">
        <f>IF((DiscreteStatsTable[[#This Row],[RepsRequested]]&gt;1),DiscreteStatsTable[[#This Row],[HalfWidth]],DiscreteStatsTable[[#This Row],[BatchMeansHalfWidth]])</f>
        <v>0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30</v>
      </c>
      <c r="Y332" s="5">
        <f>IF(DiscreteStatsTable[[#This Row],[RepsRequested]]=DiscreteStatsTable[[#This Row],[RepsWithStatObserved]],1,0)</f>
        <v>1</v>
      </c>
    </row>
    <row r="333" spans="1:25" x14ac:dyDescent="0.3">
      <c r="A333" t="s">
        <v>66</v>
      </c>
      <c r="B333" t="s">
        <v>68</v>
      </c>
      <c r="C333">
        <v>1</v>
      </c>
      <c r="D333" t="s">
        <v>84</v>
      </c>
      <c r="E333" t="s">
        <v>87</v>
      </c>
      <c r="F333" t="s">
        <v>86</v>
      </c>
      <c r="G333">
        <v>0</v>
      </c>
      <c r="H333">
        <v>2E+20</v>
      </c>
      <c r="I333">
        <v>0</v>
      </c>
      <c r="J333">
        <v>0</v>
      </c>
      <c r="K333">
        <v>133</v>
      </c>
      <c r="L333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30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0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0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0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33" s="5">
        <f>IF((DiscreteStatsTable[[#This Row],[RepsRequested]]&gt;1),DiscreteStatsTable[[#This Row],[HalfWidth]],DiscreteStatsTable[[#This Row],[BatchMeansHalfWidth]])</f>
        <v>0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30</v>
      </c>
      <c r="Y333" s="5">
        <f>IF(DiscreteStatsTable[[#This Row],[RepsRequested]]=DiscreteStatsTable[[#This Row],[RepsWithStatObserved]],1,0)</f>
        <v>1</v>
      </c>
    </row>
    <row r="334" spans="1:25" x14ac:dyDescent="0.3">
      <c r="A334" t="s">
        <v>66</v>
      </c>
      <c r="B334" t="s">
        <v>68</v>
      </c>
      <c r="C334">
        <v>1</v>
      </c>
      <c r="D334" t="s">
        <v>84</v>
      </c>
      <c r="E334" t="s">
        <v>88</v>
      </c>
      <c r="F334" t="s">
        <v>86</v>
      </c>
      <c r="G334">
        <v>1.1881273621678301</v>
      </c>
      <c r="H334">
        <v>2E+20</v>
      </c>
      <c r="I334">
        <v>0.63430491362657804</v>
      </c>
      <c r="J334">
        <v>1.5229317373129001</v>
      </c>
      <c r="K334">
        <v>133</v>
      </c>
      <c r="L334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30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1.2678871334176696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1.0239727314929401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1.6751220567766201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0.54240657991611196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2.7561776708620398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34" s="5">
        <f>IF((DiscreteStatsTable[[#This Row],[RepsRequested]]&gt;1),DiscreteStatsTable[[#This Row],[HalfWidth]],DiscreteStatsTable[[#This Row],[BatchMeansHalfWidth]])</f>
        <v>5.9219230019787336E-2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30</v>
      </c>
      <c r="Y334" s="5">
        <f>IF(DiscreteStatsTable[[#This Row],[RepsRequested]]=DiscreteStatsTable[[#This Row],[RepsWithStatObserved]],1,0)</f>
        <v>1</v>
      </c>
    </row>
    <row r="335" spans="1:25" x14ac:dyDescent="0.3">
      <c r="A335" t="s">
        <v>66</v>
      </c>
      <c r="B335" t="s">
        <v>68</v>
      </c>
      <c r="C335">
        <v>1</v>
      </c>
      <c r="D335" t="s">
        <v>84</v>
      </c>
      <c r="E335" t="s">
        <v>89</v>
      </c>
      <c r="F335" t="s">
        <v>86</v>
      </c>
      <c r="G335">
        <v>0.282122641291425</v>
      </c>
      <c r="H335">
        <v>2E+20</v>
      </c>
      <c r="I335">
        <v>0.21943033989237901</v>
      </c>
      <c r="J335">
        <v>0.37515338459923903</v>
      </c>
      <c r="K335">
        <v>133</v>
      </c>
      <c r="L335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30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0.28507753690424381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0.27840426452549899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0.29234258706294097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0.17212578810766199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0.61921751163804895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35" s="5">
        <f>IF((DiscreteStatsTable[[#This Row],[RepsRequested]]&gt;1),DiscreteStatsTable[[#This Row],[HalfWidth]],DiscreteStatsTable[[#This Row],[BatchMeansHalfWidth]])</f>
        <v>1.354482514359579E-3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30</v>
      </c>
      <c r="Y335" s="5">
        <f>IF(DiscreteStatsTable[[#This Row],[RepsRequested]]=DiscreteStatsTable[[#This Row],[RepsWithStatObserved]],1,0)</f>
        <v>1</v>
      </c>
    </row>
    <row r="336" spans="1:25" x14ac:dyDescent="0.3">
      <c r="A336" t="s">
        <v>66</v>
      </c>
      <c r="B336" t="s">
        <v>68</v>
      </c>
      <c r="C336">
        <v>1</v>
      </c>
      <c r="D336" t="s">
        <v>84</v>
      </c>
      <c r="E336" t="s">
        <v>90</v>
      </c>
      <c r="F336" t="s">
        <v>86</v>
      </c>
      <c r="G336">
        <v>0.57379230590577601</v>
      </c>
      <c r="H336">
        <v>2E+20</v>
      </c>
      <c r="I336">
        <v>0.29157184549277998</v>
      </c>
      <c r="J336">
        <v>0.98481929118937095</v>
      </c>
      <c r="K336">
        <v>133</v>
      </c>
      <c r="L336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30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0.58001710844338794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0.55455631375636005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0.60577999264634597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0.24460429945259299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1.5050291241368301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36" s="5">
        <f>IF((DiscreteStatsTable[[#This Row],[RepsRequested]]&gt;1),DiscreteStatsTable[[#This Row],[HalfWidth]],DiscreteStatsTable[[#This Row],[BatchMeansHalfWidth]])</f>
        <v>5.0783400785183869E-3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30</v>
      </c>
      <c r="Y336" s="5">
        <f>IF(DiscreteStatsTable[[#This Row],[RepsRequested]]=DiscreteStatsTable[[#This Row],[RepsWithStatObserved]],1,0)</f>
        <v>1</v>
      </c>
    </row>
    <row r="337" spans="1:25" x14ac:dyDescent="0.3">
      <c r="A337" t="s">
        <v>66</v>
      </c>
      <c r="B337" t="s">
        <v>68</v>
      </c>
      <c r="C337">
        <v>1</v>
      </c>
      <c r="D337" t="s">
        <v>84</v>
      </c>
      <c r="E337" t="s">
        <v>91</v>
      </c>
      <c r="F337" t="s">
        <v>86</v>
      </c>
      <c r="G337">
        <v>0.33221241497063397</v>
      </c>
      <c r="H337">
        <v>2E+20</v>
      </c>
      <c r="I337">
        <v>0</v>
      </c>
      <c r="J337">
        <v>0.55033155987570503</v>
      </c>
      <c r="K337">
        <v>133</v>
      </c>
      <c r="L337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30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0.40279248807003726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0.177937316910317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0.814020685592315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1.24972436277344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37" s="5">
        <f>IF((DiscreteStatsTable[[#This Row],[RepsRequested]]&gt;1),DiscreteStatsTable[[#This Row],[HalfWidth]],DiscreteStatsTable[[#This Row],[BatchMeansHalfWidth]])</f>
        <v>5.8740635024535484E-2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30</v>
      </c>
      <c r="Y337" s="5">
        <f>IF(DiscreteStatsTable[[#This Row],[RepsRequested]]=DiscreteStatsTable[[#This Row],[RepsWithStatObserved]],1,0)</f>
        <v>1</v>
      </c>
    </row>
    <row r="338" spans="1:25" x14ac:dyDescent="0.3">
      <c r="A338" t="s">
        <v>66</v>
      </c>
      <c r="B338" t="s">
        <v>68</v>
      </c>
      <c r="C338">
        <v>2</v>
      </c>
      <c r="D338" t="s">
        <v>84</v>
      </c>
      <c r="E338" t="s">
        <v>85</v>
      </c>
      <c r="F338" t="s">
        <v>86</v>
      </c>
      <c r="G338">
        <v>0</v>
      </c>
      <c r="H338">
        <v>2E+20</v>
      </c>
      <c r="I338">
        <v>0</v>
      </c>
      <c r="J338">
        <v>0</v>
      </c>
      <c r="K338">
        <v>135</v>
      </c>
      <c r="L338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30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0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0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0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38" s="5">
        <f>IF((DiscreteStatsTable[[#This Row],[RepsRequested]]&gt;1),DiscreteStatsTable[[#This Row],[HalfWidth]],DiscreteStatsTable[[#This Row],[BatchMeansHalfWidth]])</f>
        <v>0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30</v>
      </c>
      <c r="Y338" s="5">
        <f>IF(DiscreteStatsTable[[#This Row],[RepsRequested]]=DiscreteStatsTable[[#This Row],[RepsWithStatObserved]],1,0)</f>
        <v>1</v>
      </c>
    </row>
    <row r="339" spans="1:25" x14ac:dyDescent="0.3">
      <c r="A339" t="s">
        <v>66</v>
      </c>
      <c r="B339" t="s">
        <v>68</v>
      </c>
      <c r="C339">
        <v>2</v>
      </c>
      <c r="D339" t="s">
        <v>84</v>
      </c>
      <c r="E339" t="s">
        <v>87</v>
      </c>
      <c r="F339" t="s">
        <v>86</v>
      </c>
      <c r="G339">
        <v>0</v>
      </c>
      <c r="H339">
        <v>2E+20</v>
      </c>
      <c r="I339">
        <v>0</v>
      </c>
      <c r="J339">
        <v>0</v>
      </c>
      <c r="K339">
        <v>135</v>
      </c>
      <c r="L339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30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0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0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0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39" s="5">
        <f>IF((DiscreteStatsTable[[#This Row],[RepsRequested]]&gt;1),DiscreteStatsTable[[#This Row],[HalfWidth]],DiscreteStatsTable[[#This Row],[BatchMeansHalfWidth]])</f>
        <v>0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30</v>
      </c>
      <c r="Y339" s="5">
        <f>IF(DiscreteStatsTable[[#This Row],[RepsRequested]]=DiscreteStatsTable[[#This Row],[RepsWithStatObserved]],1,0)</f>
        <v>1</v>
      </c>
    </row>
    <row r="340" spans="1:25" x14ac:dyDescent="0.3">
      <c r="A340" t="s">
        <v>66</v>
      </c>
      <c r="B340" t="s">
        <v>68</v>
      </c>
      <c r="C340">
        <v>2</v>
      </c>
      <c r="D340" t="s">
        <v>84</v>
      </c>
      <c r="E340" t="s">
        <v>88</v>
      </c>
      <c r="F340" t="s">
        <v>86</v>
      </c>
      <c r="G340">
        <v>1.2375089781361599</v>
      </c>
      <c r="H340">
        <v>2E+20</v>
      </c>
      <c r="I340">
        <v>0.54630465521682703</v>
      </c>
      <c r="J340">
        <v>2.3432710163500201</v>
      </c>
      <c r="K340">
        <v>135</v>
      </c>
      <c r="L340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30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1.2678871334176696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1.0239727314929401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1.6751220567766201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0.54240657991611196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2.7561776708620398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40" s="5">
        <f>IF((DiscreteStatsTable[[#This Row],[RepsRequested]]&gt;1),DiscreteStatsTable[[#This Row],[HalfWidth]],DiscreteStatsTable[[#This Row],[BatchMeansHalfWidth]])</f>
        <v>5.9219230019787336E-2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30</v>
      </c>
      <c r="Y340" s="5">
        <f>IF(DiscreteStatsTable[[#This Row],[RepsRequested]]=DiscreteStatsTable[[#This Row],[RepsWithStatObserved]],1,0)</f>
        <v>1</v>
      </c>
    </row>
    <row r="341" spans="1:25" x14ac:dyDescent="0.3">
      <c r="A341" t="s">
        <v>66</v>
      </c>
      <c r="B341" t="s">
        <v>68</v>
      </c>
      <c r="C341">
        <v>2</v>
      </c>
      <c r="D341" t="s">
        <v>84</v>
      </c>
      <c r="E341" t="s">
        <v>89</v>
      </c>
      <c r="F341" t="s">
        <v>86</v>
      </c>
      <c r="G341">
        <v>0.28425471956717602</v>
      </c>
      <c r="H341">
        <v>2E+20</v>
      </c>
      <c r="I341">
        <v>0.214164444458076</v>
      </c>
      <c r="J341">
        <v>0.48539543008174102</v>
      </c>
      <c r="K341">
        <v>135</v>
      </c>
      <c r="L341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30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0.28507753690424381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0.27840426452549899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0.29234258706294097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0.17212578810766199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0.61921751163804895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41" s="5">
        <f>IF((DiscreteStatsTable[[#This Row],[RepsRequested]]&gt;1),DiscreteStatsTable[[#This Row],[HalfWidth]],DiscreteStatsTable[[#This Row],[BatchMeansHalfWidth]])</f>
        <v>1.354482514359579E-3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30</v>
      </c>
      <c r="Y341" s="5">
        <f>IF(DiscreteStatsTable[[#This Row],[RepsRequested]]=DiscreteStatsTable[[#This Row],[RepsWithStatObserved]],1,0)</f>
        <v>1</v>
      </c>
    </row>
    <row r="342" spans="1:25" x14ac:dyDescent="0.3">
      <c r="A342" t="s">
        <v>66</v>
      </c>
      <c r="B342" t="s">
        <v>68</v>
      </c>
      <c r="C342">
        <v>2</v>
      </c>
      <c r="D342" t="s">
        <v>84</v>
      </c>
      <c r="E342" t="s">
        <v>90</v>
      </c>
      <c r="F342" t="s">
        <v>86</v>
      </c>
      <c r="G342">
        <v>0.59894011450620299</v>
      </c>
      <c r="H342">
        <v>2E+20</v>
      </c>
      <c r="I342">
        <v>0.24460429945259299</v>
      </c>
      <c r="J342">
        <v>1.21154707152318</v>
      </c>
      <c r="K342">
        <v>135</v>
      </c>
      <c r="L342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30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0.58001710844338794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0.55455631375636005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0.60577999264634597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0.24460429945259299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1.5050291241368301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42" s="5">
        <f>IF((DiscreteStatsTable[[#This Row],[RepsRequested]]&gt;1),DiscreteStatsTable[[#This Row],[HalfWidth]],DiscreteStatsTable[[#This Row],[BatchMeansHalfWidth]])</f>
        <v>5.0783400785183869E-3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30</v>
      </c>
      <c r="Y342" s="5">
        <f>IF(DiscreteStatsTable[[#This Row],[RepsRequested]]=DiscreteStatsTable[[#This Row],[RepsWithStatObserved]],1,0)</f>
        <v>1</v>
      </c>
    </row>
    <row r="343" spans="1:25" x14ac:dyDescent="0.3">
      <c r="A343" t="s">
        <v>66</v>
      </c>
      <c r="B343" t="s">
        <v>68</v>
      </c>
      <c r="C343">
        <v>2</v>
      </c>
      <c r="D343" t="s">
        <v>84</v>
      </c>
      <c r="E343" t="s">
        <v>91</v>
      </c>
      <c r="F343" t="s">
        <v>86</v>
      </c>
      <c r="G343">
        <v>0.35431414406278</v>
      </c>
      <c r="H343">
        <v>2E+20</v>
      </c>
      <c r="I343">
        <v>1.9354939465552799E-2</v>
      </c>
      <c r="J343">
        <v>0.66164662781058003</v>
      </c>
      <c r="K343">
        <v>135</v>
      </c>
      <c r="L343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30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0.40279248807003726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0.177937316910317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0.814020685592315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1.24972436277344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43" s="5">
        <f>IF((DiscreteStatsTable[[#This Row],[RepsRequested]]&gt;1),DiscreteStatsTable[[#This Row],[HalfWidth]],DiscreteStatsTable[[#This Row],[BatchMeansHalfWidth]])</f>
        <v>5.8740635024535484E-2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30</v>
      </c>
      <c r="Y343" s="5">
        <f>IF(DiscreteStatsTable[[#This Row],[RepsRequested]]=DiscreteStatsTable[[#This Row],[RepsWithStatObserved]],1,0)</f>
        <v>1</v>
      </c>
    </row>
    <row r="344" spans="1:25" x14ac:dyDescent="0.3">
      <c r="A344" t="s">
        <v>66</v>
      </c>
      <c r="B344" t="s">
        <v>68</v>
      </c>
      <c r="C344">
        <v>3</v>
      </c>
      <c r="D344" t="s">
        <v>84</v>
      </c>
      <c r="E344" t="s">
        <v>85</v>
      </c>
      <c r="F344" t="s">
        <v>86</v>
      </c>
      <c r="G344">
        <v>0</v>
      </c>
      <c r="H344">
        <v>2E+20</v>
      </c>
      <c r="I344">
        <v>0</v>
      </c>
      <c r="J344">
        <v>0</v>
      </c>
      <c r="K344">
        <v>140</v>
      </c>
      <c r="L344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30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0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0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0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44" s="5">
        <f>IF((DiscreteStatsTable[[#This Row],[RepsRequested]]&gt;1),DiscreteStatsTable[[#This Row],[HalfWidth]],DiscreteStatsTable[[#This Row],[BatchMeansHalfWidth]])</f>
        <v>0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30</v>
      </c>
      <c r="Y344" s="5">
        <f>IF(DiscreteStatsTable[[#This Row],[RepsRequested]]=DiscreteStatsTable[[#This Row],[RepsWithStatObserved]],1,0)</f>
        <v>1</v>
      </c>
    </row>
    <row r="345" spans="1:25" x14ac:dyDescent="0.3">
      <c r="A345" t="s">
        <v>66</v>
      </c>
      <c r="B345" t="s">
        <v>68</v>
      </c>
      <c r="C345">
        <v>3</v>
      </c>
      <c r="D345" t="s">
        <v>84</v>
      </c>
      <c r="E345" t="s">
        <v>87</v>
      </c>
      <c r="F345" t="s">
        <v>86</v>
      </c>
      <c r="G345">
        <v>0</v>
      </c>
      <c r="H345">
        <v>2E+20</v>
      </c>
      <c r="I345">
        <v>0</v>
      </c>
      <c r="J345">
        <v>0</v>
      </c>
      <c r="K345">
        <v>140</v>
      </c>
      <c r="L345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30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0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0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0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45" s="5">
        <f>IF((DiscreteStatsTable[[#This Row],[RepsRequested]]&gt;1),DiscreteStatsTable[[#This Row],[HalfWidth]],DiscreteStatsTable[[#This Row],[BatchMeansHalfWidth]])</f>
        <v>0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30</v>
      </c>
      <c r="Y345" s="5">
        <f>IF(DiscreteStatsTable[[#This Row],[RepsRequested]]=DiscreteStatsTable[[#This Row],[RepsWithStatObserved]],1,0)</f>
        <v>1</v>
      </c>
    </row>
    <row r="346" spans="1:25" x14ac:dyDescent="0.3">
      <c r="A346" t="s">
        <v>66</v>
      </c>
      <c r="B346" t="s">
        <v>68</v>
      </c>
      <c r="C346">
        <v>3</v>
      </c>
      <c r="D346" t="s">
        <v>84</v>
      </c>
      <c r="E346" t="s">
        <v>88</v>
      </c>
      <c r="F346" t="s">
        <v>86</v>
      </c>
      <c r="G346">
        <v>1.2425528030576101</v>
      </c>
      <c r="H346">
        <v>2E+20</v>
      </c>
      <c r="I346">
        <v>0.67933628283466696</v>
      </c>
      <c r="J346">
        <v>2.4965620100114898</v>
      </c>
      <c r="K346">
        <v>140</v>
      </c>
      <c r="L346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30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1.2678871334176696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1.0239727314929401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1.6751220567766201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0.54240657991611196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2.7561776708620398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46" s="5">
        <f>IF((DiscreteStatsTable[[#This Row],[RepsRequested]]&gt;1),DiscreteStatsTable[[#This Row],[HalfWidth]],DiscreteStatsTable[[#This Row],[BatchMeansHalfWidth]])</f>
        <v>5.9219230019787336E-2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30</v>
      </c>
      <c r="Y346" s="5">
        <f>IF(DiscreteStatsTable[[#This Row],[RepsRequested]]=DiscreteStatsTable[[#This Row],[RepsWithStatObserved]],1,0)</f>
        <v>1</v>
      </c>
    </row>
    <row r="347" spans="1:25" x14ac:dyDescent="0.3">
      <c r="A347" t="s">
        <v>66</v>
      </c>
      <c r="B347" t="s">
        <v>68</v>
      </c>
      <c r="C347">
        <v>3</v>
      </c>
      <c r="D347" t="s">
        <v>84</v>
      </c>
      <c r="E347" t="s">
        <v>89</v>
      </c>
      <c r="F347" t="s">
        <v>86</v>
      </c>
      <c r="G347">
        <v>0.28764317664479899</v>
      </c>
      <c r="H347">
        <v>2E+20</v>
      </c>
      <c r="I347">
        <v>0.21060281446197399</v>
      </c>
      <c r="J347">
        <v>0.46182147543569302</v>
      </c>
      <c r="K347">
        <v>140</v>
      </c>
      <c r="L347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30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0.28507753690424381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0.27840426452549899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0.29234258706294097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0.17212578810766199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0.61921751163804895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47" s="5">
        <f>IF((DiscreteStatsTable[[#This Row],[RepsRequested]]&gt;1),DiscreteStatsTable[[#This Row],[HalfWidth]],DiscreteStatsTable[[#This Row],[BatchMeansHalfWidth]])</f>
        <v>1.354482514359579E-3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30</v>
      </c>
      <c r="Y347" s="5">
        <f>IF(DiscreteStatsTable[[#This Row],[RepsRequested]]=DiscreteStatsTable[[#This Row],[RepsWithStatObserved]],1,0)</f>
        <v>1</v>
      </c>
    </row>
    <row r="348" spans="1:25" x14ac:dyDescent="0.3">
      <c r="A348" t="s">
        <v>66</v>
      </c>
      <c r="B348" t="s">
        <v>68</v>
      </c>
      <c r="C348">
        <v>3</v>
      </c>
      <c r="D348" t="s">
        <v>84</v>
      </c>
      <c r="E348" t="s">
        <v>90</v>
      </c>
      <c r="F348" t="s">
        <v>86</v>
      </c>
      <c r="G348">
        <v>0.55455631375636005</v>
      </c>
      <c r="H348">
        <v>2E+20</v>
      </c>
      <c r="I348">
        <v>0.26130647234800403</v>
      </c>
      <c r="J348">
        <v>1.1689241798357899</v>
      </c>
      <c r="K348">
        <v>140</v>
      </c>
      <c r="L348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30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0.58001710844338794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0.55455631375636005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0.60577999264634597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0.24460429945259299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1.5050291241368301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48" s="5">
        <f>IF((DiscreteStatsTable[[#This Row],[RepsRequested]]&gt;1),DiscreteStatsTable[[#This Row],[HalfWidth]],DiscreteStatsTable[[#This Row],[BatchMeansHalfWidth]])</f>
        <v>5.0783400785183869E-3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30</v>
      </c>
      <c r="Y348" s="5">
        <f>IF(DiscreteStatsTable[[#This Row],[RepsRequested]]=DiscreteStatsTable[[#This Row],[RepsWithStatObserved]],1,0)</f>
        <v>1</v>
      </c>
    </row>
    <row r="349" spans="1:25" x14ac:dyDescent="0.3">
      <c r="A349" t="s">
        <v>66</v>
      </c>
      <c r="B349" t="s">
        <v>68</v>
      </c>
      <c r="C349">
        <v>3</v>
      </c>
      <c r="D349" t="s">
        <v>84</v>
      </c>
      <c r="E349" t="s">
        <v>91</v>
      </c>
      <c r="F349" t="s">
        <v>86</v>
      </c>
      <c r="G349">
        <v>0.40035331265645502</v>
      </c>
      <c r="H349">
        <v>2E+20</v>
      </c>
      <c r="I349">
        <v>2.5043948212812899E-2</v>
      </c>
      <c r="J349">
        <v>0.86581635473999996</v>
      </c>
      <c r="K349">
        <v>140</v>
      </c>
      <c r="L349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30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0.40279248807003726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0.177937316910317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0.814020685592315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1.24972436277344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49" s="5">
        <f>IF((DiscreteStatsTable[[#This Row],[RepsRequested]]&gt;1),DiscreteStatsTable[[#This Row],[HalfWidth]],DiscreteStatsTable[[#This Row],[BatchMeansHalfWidth]])</f>
        <v>5.8740635024535484E-2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30</v>
      </c>
      <c r="Y349" s="5">
        <f>IF(DiscreteStatsTable[[#This Row],[RepsRequested]]=DiscreteStatsTable[[#This Row],[RepsWithStatObserved]],1,0)</f>
        <v>1</v>
      </c>
    </row>
    <row r="350" spans="1:25" x14ac:dyDescent="0.3">
      <c r="A350" t="s">
        <v>66</v>
      </c>
      <c r="B350" t="s">
        <v>68</v>
      </c>
      <c r="C350">
        <v>4</v>
      </c>
      <c r="D350" t="s">
        <v>84</v>
      </c>
      <c r="E350" t="s">
        <v>85</v>
      </c>
      <c r="F350" t="s">
        <v>86</v>
      </c>
      <c r="G350">
        <v>0</v>
      </c>
      <c r="H350">
        <v>2E+20</v>
      </c>
      <c r="I350">
        <v>0</v>
      </c>
      <c r="J350">
        <v>0</v>
      </c>
      <c r="K350">
        <v>146</v>
      </c>
      <c r="L350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30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0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0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0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50" s="5">
        <f>IF((DiscreteStatsTable[[#This Row],[RepsRequested]]&gt;1),DiscreteStatsTable[[#This Row],[HalfWidth]],DiscreteStatsTable[[#This Row],[BatchMeansHalfWidth]])</f>
        <v>0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30</v>
      </c>
      <c r="Y350" s="5">
        <f>IF(DiscreteStatsTable[[#This Row],[RepsRequested]]=DiscreteStatsTable[[#This Row],[RepsWithStatObserved]],1,0)</f>
        <v>1</v>
      </c>
    </row>
    <row r="351" spans="1:25" x14ac:dyDescent="0.3">
      <c r="A351" t="s">
        <v>66</v>
      </c>
      <c r="B351" t="s">
        <v>68</v>
      </c>
      <c r="C351">
        <v>4</v>
      </c>
      <c r="D351" t="s">
        <v>84</v>
      </c>
      <c r="E351" t="s">
        <v>87</v>
      </c>
      <c r="F351" t="s">
        <v>86</v>
      </c>
      <c r="G351">
        <v>0</v>
      </c>
      <c r="H351">
        <v>2E+20</v>
      </c>
      <c r="I351">
        <v>0</v>
      </c>
      <c r="J351">
        <v>0</v>
      </c>
      <c r="K351">
        <v>146</v>
      </c>
      <c r="L351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30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0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0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0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51" s="5">
        <f>IF((DiscreteStatsTable[[#This Row],[RepsRequested]]&gt;1),DiscreteStatsTable[[#This Row],[HalfWidth]],DiscreteStatsTable[[#This Row],[BatchMeansHalfWidth]])</f>
        <v>0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30</v>
      </c>
      <c r="Y351" s="5">
        <f>IF(DiscreteStatsTable[[#This Row],[RepsRequested]]=DiscreteStatsTable[[#This Row],[RepsWithStatObserved]],1,0)</f>
        <v>1</v>
      </c>
    </row>
    <row r="352" spans="1:25" x14ac:dyDescent="0.3">
      <c r="A352" t="s">
        <v>66</v>
      </c>
      <c r="B352" t="s">
        <v>68</v>
      </c>
      <c r="C352">
        <v>4</v>
      </c>
      <c r="D352" t="s">
        <v>84</v>
      </c>
      <c r="E352" t="s">
        <v>88</v>
      </c>
      <c r="F352" t="s">
        <v>86</v>
      </c>
      <c r="G352">
        <v>1.2400058799217899</v>
      </c>
      <c r="H352">
        <v>2E+20</v>
      </c>
      <c r="I352">
        <v>0.75307765855023701</v>
      </c>
      <c r="J352">
        <v>2.06401676339854</v>
      </c>
      <c r="K352">
        <v>146</v>
      </c>
      <c r="L352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30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1.2678871334176696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1.0239727314929401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1.6751220567766201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0.54240657991611196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2.7561776708620398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52" s="5">
        <f>IF((DiscreteStatsTable[[#This Row],[RepsRequested]]&gt;1),DiscreteStatsTable[[#This Row],[HalfWidth]],DiscreteStatsTable[[#This Row],[BatchMeansHalfWidth]])</f>
        <v>5.9219230019787336E-2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30</v>
      </c>
      <c r="Y352" s="5">
        <f>IF(DiscreteStatsTable[[#This Row],[RepsRequested]]=DiscreteStatsTable[[#This Row],[RepsWithStatObserved]],1,0)</f>
        <v>1</v>
      </c>
    </row>
    <row r="353" spans="1:25" x14ac:dyDescent="0.3">
      <c r="A353" t="s">
        <v>66</v>
      </c>
      <c r="B353" t="s">
        <v>68</v>
      </c>
      <c r="C353">
        <v>4</v>
      </c>
      <c r="D353" t="s">
        <v>84</v>
      </c>
      <c r="E353" t="s">
        <v>89</v>
      </c>
      <c r="F353" t="s">
        <v>86</v>
      </c>
      <c r="G353">
        <v>0.28246078156739202</v>
      </c>
      <c r="H353">
        <v>2E+20</v>
      </c>
      <c r="I353">
        <v>0.19527510080187199</v>
      </c>
      <c r="J353">
        <v>0.42292352284662799</v>
      </c>
      <c r="K353">
        <v>146</v>
      </c>
      <c r="L353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30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0.28507753690424381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0.27840426452549899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0.29234258706294097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0.17212578810766199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0.61921751163804895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53" s="5">
        <f>IF((DiscreteStatsTable[[#This Row],[RepsRequested]]&gt;1),DiscreteStatsTable[[#This Row],[HalfWidth]],DiscreteStatsTable[[#This Row],[BatchMeansHalfWidth]])</f>
        <v>1.354482514359579E-3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30</v>
      </c>
      <c r="Y353" s="5">
        <f>IF(DiscreteStatsTable[[#This Row],[RepsRequested]]=DiscreteStatsTable[[#This Row],[RepsWithStatObserved]],1,0)</f>
        <v>1</v>
      </c>
    </row>
    <row r="354" spans="1:25" x14ac:dyDescent="0.3">
      <c r="A354" t="s">
        <v>66</v>
      </c>
      <c r="B354" t="s">
        <v>68</v>
      </c>
      <c r="C354">
        <v>4</v>
      </c>
      <c r="D354" t="s">
        <v>84</v>
      </c>
      <c r="E354" t="s">
        <v>90</v>
      </c>
      <c r="F354" t="s">
        <v>86</v>
      </c>
      <c r="G354">
        <v>0.56626879872670399</v>
      </c>
      <c r="H354">
        <v>2E+20</v>
      </c>
      <c r="I354">
        <v>0.28592666769325498</v>
      </c>
      <c r="J354">
        <v>0.98939338568499602</v>
      </c>
      <c r="K354">
        <v>146</v>
      </c>
      <c r="L354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30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0.58001710844338794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0.55455631375636005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0.60577999264634597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0.24460429945259299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1.5050291241368301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54" s="5">
        <f>IF((DiscreteStatsTable[[#This Row],[RepsRequested]]&gt;1),DiscreteStatsTable[[#This Row],[HalfWidth]],DiscreteStatsTable[[#This Row],[BatchMeansHalfWidth]])</f>
        <v>5.0783400785183869E-3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30</v>
      </c>
      <c r="Y354" s="5">
        <f>IF(DiscreteStatsTable[[#This Row],[RepsRequested]]=DiscreteStatsTable[[#This Row],[RepsWithStatObserved]],1,0)</f>
        <v>1</v>
      </c>
    </row>
    <row r="355" spans="1:25" x14ac:dyDescent="0.3">
      <c r="A355" t="s">
        <v>66</v>
      </c>
      <c r="B355" t="s">
        <v>68</v>
      </c>
      <c r="C355">
        <v>4</v>
      </c>
      <c r="D355" t="s">
        <v>84</v>
      </c>
      <c r="E355" t="s">
        <v>91</v>
      </c>
      <c r="F355" t="s">
        <v>86</v>
      </c>
      <c r="G355">
        <v>0.391276299627691</v>
      </c>
      <c r="H355">
        <v>2E+20</v>
      </c>
      <c r="I355">
        <v>8.7286075337650995E-2</v>
      </c>
      <c r="J355">
        <v>0.78287519066612099</v>
      </c>
      <c r="K355">
        <v>146</v>
      </c>
      <c r="L355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30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0.40279248807003726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0.177937316910317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0.814020685592315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1.24972436277344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55" s="5">
        <f>IF((DiscreteStatsTable[[#This Row],[RepsRequested]]&gt;1),DiscreteStatsTable[[#This Row],[HalfWidth]],DiscreteStatsTable[[#This Row],[BatchMeansHalfWidth]])</f>
        <v>5.8740635024535484E-2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30</v>
      </c>
      <c r="Y355" s="5">
        <f>IF(DiscreteStatsTable[[#This Row],[RepsRequested]]=DiscreteStatsTable[[#This Row],[RepsWithStatObserved]],1,0)</f>
        <v>1</v>
      </c>
    </row>
    <row r="356" spans="1:25" x14ac:dyDescent="0.3">
      <c r="A356" t="s">
        <v>66</v>
      </c>
      <c r="B356" t="s">
        <v>68</v>
      </c>
      <c r="C356">
        <v>5</v>
      </c>
      <c r="D356" t="s">
        <v>84</v>
      </c>
      <c r="E356" t="s">
        <v>85</v>
      </c>
      <c r="F356" t="s">
        <v>86</v>
      </c>
      <c r="G356">
        <v>0</v>
      </c>
      <c r="H356">
        <v>2E+20</v>
      </c>
      <c r="I356">
        <v>0</v>
      </c>
      <c r="J356">
        <v>0</v>
      </c>
      <c r="K356">
        <v>123</v>
      </c>
      <c r="L356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30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0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0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0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56" s="5">
        <f>IF((DiscreteStatsTable[[#This Row],[RepsRequested]]&gt;1),DiscreteStatsTable[[#This Row],[HalfWidth]],DiscreteStatsTable[[#This Row],[BatchMeansHalfWidth]])</f>
        <v>0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30</v>
      </c>
      <c r="Y356" s="5">
        <f>IF(DiscreteStatsTable[[#This Row],[RepsRequested]]=DiscreteStatsTable[[#This Row],[RepsWithStatObserved]],1,0)</f>
        <v>1</v>
      </c>
    </row>
    <row r="357" spans="1:25" x14ac:dyDescent="0.3">
      <c r="A357" t="s">
        <v>66</v>
      </c>
      <c r="B357" t="s">
        <v>68</v>
      </c>
      <c r="C357">
        <v>5</v>
      </c>
      <c r="D357" t="s">
        <v>84</v>
      </c>
      <c r="E357" t="s">
        <v>87</v>
      </c>
      <c r="F357" t="s">
        <v>86</v>
      </c>
      <c r="G357">
        <v>0</v>
      </c>
      <c r="H357">
        <v>2E+20</v>
      </c>
      <c r="I357">
        <v>0</v>
      </c>
      <c r="J357">
        <v>0</v>
      </c>
      <c r="K357">
        <v>123</v>
      </c>
      <c r="L357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30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0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0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0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0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57" s="5">
        <f>IF((DiscreteStatsTable[[#This Row],[RepsRequested]]&gt;1),DiscreteStatsTable[[#This Row],[HalfWidth]],DiscreteStatsTable[[#This Row],[BatchMeansHalfWidth]])</f>
        <v>0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30</v>
      </c>
      <c r="Y357" s="5">
        <f>IF(DiscreteStatsTable[[#This Row],[RepsRequested]]=DiscreteStatsTable[[#This Row],[RepsWithStatObserved]],1,0)</f>
        <v>1</v>
      </c>
    </row>
    <row r="358" spans="1:25" x14ac:dyDescent="0.3">
      <c r="A358" t="s">
        <v>66</v>
      </c>
      <c r="B358" t="s">
        <v>68</v>
      </c>
      <c r="C358">
        <v>5</v>
      </c>
      <c r="D358" t="s">
        <v>84</v>
      </c>
      <c r="E358" t="s">
        <v>88</v>
      </c>
      <c r="F358" t="s">
        <v>86</v>
      </c>
      <c r="G358">
        <v>1.0753606416586801</v>
      </c>
      <c r="H358">
        <v>2E+20</v>
      </c>
      <c r="I358">
        <v>0.58467672393565195</v>
      </c>
      <c r="J358">
        <v>1.57989485672102</v>
      </c>
      <c r="K358">
        <v>123</v>
      </c>
      <c r="L358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30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1.2678871334176696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1.0239727314929401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1.6751220567766201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0.54240657991611196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2.7561776708620398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58" s="5">
        <f>IF((DiscreteStatsTable[[#This Row],[RepsRequested]]&gt;1),DiscreteStatsTable[[#This Row],[HalfWidth]],DiscreteStatsTable[[#This Row],[BatchMeansHalfWidth]])</f>
        <v>5.9219230019787336E-2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30</v>
      </c>
      <c r="Y358" s="5">
        <f>IF(DiscreteStatsTable[[#This Row],[RepsRequested]]=DiscreteStatsTable[[#This Row],[RepsWithStatObserved]],1,0)</f>
        <v>1</v>
      </c>
    </row>
    <row r="359" spans="1:25" x14ac:dyDescent="0.3">
      <c r="A359" t="s">
        <v>66</v>
      </c>
      <c r="B359" t="s">
        <v>68</v>
      </c>
      <c r="C359">
        <v>5</v>
      </c>
      <c r="D359" t="s">
        <v>84</v>
      </c>
      <c r="E359" t="s">
        <v>89</v>
      </c>
      <c r="F359" t="s">
        <v>86</v>
      </c>
      <c r="G359">
        <v>0.28746959551071599</v>
      </c>
      <c r="H359">
        <v>2E+20</v>
      </c>
      <c r="I359">
        <v>0.18949297769191001</v>
      </c>
      <c r="J359">
        <v>0.40645305286306599</v>
      </c>
      <c r="K359">
        <v>123</v>
      </c>
      <c r="L359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30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0.28507753690424381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0.27840426452549899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0.29234258706294097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0.17212578810766199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0.61921751163804895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59" s="5">
        <f>IF((DiscreteStatsTable[[#This Row],[RepsRequested]]&gt;1),DiscreteStatsTable[[#This Row],[HalfWidth]],DiscreteStatsTable[[#This Row],[BatchMeansHalfWidth]])</f>
        <v>1.354482514359579E-3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30</v>
      </c>
      <c r="Y359" s="5">
        <f>IF(DiscreteStatsTable[[#This Row],[RepsRequested]]=DiscreteStatsTable[[#This Row],[RepsWithStatObserved]],1,0)</f>
        <v>1</v>
      </c>
    </row>
    <row r="360" spans="1:25" x14ac:dyDescent="0.3">
      <c r="A360" t="s">
        <v>66</v>
      </c>
      <c r="B360" t="s">
        <v>68</v>
      </c>
      <c r="C360">
        <v>5</v>
      </c>
      <c r="D360" t="s">
        <v>84</v>
      </c>
      <c r="E360" t="s">
        <v>90</v>
      </c>
      <c r="F360" t="s">
        <v>86</v>
      </c>
      <c r="G360">
        <v>0.56046767525629904</v>
      </c>
      <c r="H360">
        <v>2E+20</v>
      </c>
      <c r="I360">
        <v>0.25431879173274502</v>
      </c>
      <c r="J360">
        <v>0.85259395387535497</v>
      </c>
      <c r="K360">
        <v>123</v>
      </c>
      <c r="L360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30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0.58001710844338794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0.55455631375636005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0.60577999264634597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0.24460429945259299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1.5050291241368301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60" s="5">
        <f>IF((DiscreteStatsTable[[#This Row],[RepsRequested]]&gt;1),DiscreteStatsTable[[#This Row],[HalfWidth]],DiscreteStatsTable[[#This Row],[BatchMeansHalfWidth]])</f>
        <v>5.0783400785183869E-3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30</v>
      </c>
      <c r="Y360" s="5">
        <f>IF(DiscreteStatsTable[[#This Row],[RepsRequested]]=DiscreteStatsTable[[#This Row],[RepsWithStatObserved]],1,0)</f>
        <v>1</v>
      </c>
    </row>
    <row r="361" spans="1:25" x14ac:dyDescent="0.3">
      <c r="A361" t="s">
        <v>66</v>
      </c>
      <c r="B361" t="s">
        <v>68</v>
      </c>
      <c r="C361">
        <v>5</v>
      </c>
      <c r="D361" t="s">
        <v>84</v>
      </c>
      <c r="E361" t="s">
        <v>91</v>
      </c>
      <c r="F361" t="s">
        <v>86</v>
      </c>
      <c r="G361">
        <v>0.227423370891668</v>
      </c>
      <c r="H361">
        <v>2E+20</v>
      </c>
      <c r="I361">
        <v>0</v>
      </c>
      <c r="J361">
        <v>0.55164445966255704</v>
      </c>
      <c r="K361">
        <v>123</v>
      </c>
      <c r="L361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30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0.40279248807003726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0.177937316910317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0.814020685592315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1.24972436277344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61" s="5">
        <f>IF((DiscreteStatsTable[[#This Row],[RepsRequested]]&gt;1),DiscreteStatsTable[[#This Row],[HalfWidth]],DiscreteStatsTable[[#This Row],[BatchMeansHalfWidth]])</f>
        <v>5.8740635024535484E-2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30</v>
      </c>
      <c r="Y361" s="5">
        <f>IF(DiscreteStatsTable[[#This Row],[RepsRequested]]=DiscreteStatsTable[[#This Row],[RepsWithStatObserved]],1,0)</f>
        <v>1</v>
      </c>
    </row>
    <row r="362" spans="1:25" x14ac:dyDescent="0.3">
      <c r="A362" t="s">
        <v>66</v>
      </c>
      <c r="B362" t="s">
        <v>68</v>
      </c>
      <c r="C362">
        <v>6</v>
      </c>
      <c r="D362" t="s">
        <v>84</v>
      </c>
      <c r="E362" t="s">
        <v>85</v>
      </c>
      <c r="F362" t="s">
        <v>86</v>
      </c>
      <c r="G362">
        <v>0</v>
      </c>
      <c r="H362">
        <v>2E+20</v>
      </c>
      <c r="I362">
        <v>0</v>
      </c>
      <c r="J362">
        <v>0</v>
      </c>
      <c r="K362">
        <v>140</v>
      </c>
      <c r="L362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30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62" s="5">
        <f>IF((DiscreteStatsTable[[#This Row],[RepsRequested]]&gt;1),DiscreteStatsTable[[#This Row],[HalfWidth]],DiscreteStatsTable[[#This Row],[BatchMeansHalfWidth]])</f>
        <v>0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30</v>
      </c>
      <c r="Y362" s="5">
        <f>IF(DiscreteStatsTable[[#This Row],[RepsRequested]]=DiscreteStatsTable[[#This Row],[RepsWithStatObserved]],1,0)</f>
        <v>1</v>
      </c>
    </row>
    <row r="363" spans="1:25" x14ac:dyDescent="0.3">
      <c r="A363" t="s">
        <v>66</v>
      </c>
      <c r="B363" t="s">
        <v>68</v>
      </c>
      <c r="C363">
        <v>6</v>
      </c>
      <c r="D363" t="s">
        <v>84</v>
      </c>
      <c r="E363" t="s">
        <v>87</v>
      </c>
      <c r="F363" t="s">
        <v>86</v>
      </c>
      <c r="G363">
        <v>0</v>
      </c>
      <c r="H363">
        <v>2E+20</v>
      </c>
      <c r="I363">
        <v>0</v>
      </c>
      <c r="J363">
        <v>0</v>
      </c>
      <c r="K363">
        <v>140</v>
      </c>
      <c r="L363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30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0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0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0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63" s="5">
        <f>IF((DiscreteStatsTable[[#This Row],[RepsRequested]]&gt;1),DiscreteStatsTable[[#This Row],[HalfWidth]],DiscreteStatsTable[[#This Row],[BatchMeansHalfWidth]])</f>
        <v>0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30</v>
      </c>
      <c r="Y363" s="5">
        <f>IF(DiscreteStatsTable[[#This Row],[RepsRequested]]=DiscreteStatsTable[[#This Row],[RepsWithStatObserved]],1,0)</f>
        <v>1</v>
      </c>
    </row>
    <row r="364" spans="1:25" x14ac:dyDescent="0.3">
      <c r="A364" t="s">
        <v>66</v>
      </c>
      <c r="B364" t="s">
        <v>68</v>
      </c>
      <c r="C364">
        <v>6</v>
      </c>
      <c r="D364" t="s">
        <v>84</v>
      </c>
      <c r="E364" t="s">
        <v>88</v>
      </c>
      <c r="F364" t="s">
        <v>86</v>
      </c>
      <c r="G364">
        <v>1.13879764414451</v>
      </c>
      <c r="H364">
        <v>2E+20</v>
      </c>
      <c r="I364">
        <v>0.54240657991611196</v>
      </c>
      <c r="J364">
        <v>1.9184122788792499</v>
      </c>
      <c r="K364">
        <v>140</v>
      </c>
      <c r="L364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30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1.2678871334176696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1.0239727314929401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1.6751220567766201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0.54240657991611196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2.7561776708620398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64" s="5">
        <f>IF((DiscreteStatsTable[[#This Row],[RepsRequested]]&gt;1),DiscreteStatsTable[[#This Row],[HalfWidth]],DiscreteStatsTable[[#This Row],[BatchMeansHalfWidth]])</f>
        <v>5.9219230019787336E-2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30</v>
      </c>
      <c r="Y364" s="5">
        <f>IF(DiscreteStatsTable[[#This Row],[RepsRequested]]=DiscreteStatsTable[[#This Row],[RepsWithStatObserved]],1,0)</f>
        <v>1</v>
      </c>
    </row>
    <row r="365" spans="1:25" x14ac:dyDescent="0.3">
      <c r="A365" t="s">
        <v>66</v>
      </c>
      <c r="B365" t="s">
        <v>68</v>
      </c>
      <c r="C365">
        <v>6</v>
      </c>
      <c r="D365" t="s">
        <v>84</v>
      </c>
      <c r="E365" t="s">
        <v>89</v>
      </c>
      <c r="F365" t="s">
        <v>86</v>
      </c>
      <c r="G365">
        <v>0.27840426452549899</v>
      </c>
      <c r="H365">
        <v>2E+20</v>
      </c>
      <c r="I365">
        <v>0.195958949162999</v>
      </c>
      <c r="J365">
        <v>0.51196122838090397</v>
      </c>
      <c r="K365">
        <v>140</v>
      </c>
      <c r="L365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30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0.28507753690424381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0.27840426452549899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0.29234258706294097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0.17212578810766199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0.61921751163804895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65" s="5">
        <f>IF((DiscreteStatsTable[[#This Row],[RepsRequested]]&gt;1),DiscreteStatsTable[[#This Row],[HalfWidth]],DiscreteStatsTable[[#This Row],[BatchMeansHalfWidth]])</f>
        <v>1.354482514359579E-3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30</v>
      </c>
      <c r="Y365" s="5">
        <f>IF(DiscreteStatsTable[[#This Row],[RepsRequested]]=DiscreteStatsTable[[#This Row],[RepsWithStatObserved]],1,0)</f>
        <v>1</v>
      </c>
    </row>
    <row r="366" spans="1:25" x14ac:dyDescent="0.3">
      <c r="A366" t="s">
        <v>66</v>
      </c>
      <c r="B366" t="s">
        <v>68</v>
      </c>
      <c r="C366">
        <v>6</v>
      </c>
      <c r="D366" t="s">
        <v>84</v>
      </c>
      <c r="E366" t="s">
        <v>90</v>
      </c>
      <c r="F366" t="s">
        <v>86</v>
      </c>
      <c r="G366">
        <v>0.55828431971197801</v>
      </c>
      <c r="H366">
        <v>2E+20</v>
      </c>
      <c r="I366">
        <v>0.27214789652108301</v>
      </c>
      <c r="J366">
        <v>1.0606753421886801</v>
      </c>
      <c r="K366">
        <v>140</v>
      </c>
      <c r="L366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30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0.58001710844338794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0.55455631375636005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0.60577999264634597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0.24460429945259299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1.5050291241368301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66" s="5">
        <f>IF((DiscreteStatsTable[[#This Row],[RepsRequested]]&gt;1),DiscreteStatsTable[[#This Row],[HalfWidth]],DiscreteStatsTable[[#This Row],[BatchMeansHalfWidth]])</f>
        <v>5.0783400785183869E-3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30</v>
      </c>
      <c r="Y366" s="5">
        <f>IF(DiscreteStatsTable[[#This Row],[RepsRequested]]=DiscreteStatsTable[[#This Row],[RepsWithStatObserved]],1,0)</f>
        <v>1</v>
      </c>
    </row>
    <row r="367" spans="1:25" x14ac:dyDescent="0.3">
      <c r="A367" t="s">
        <v>66</v>
      </c>
      <c r="B367" t="s">
        <v>68</v>
      </c>
      <c r="C367">
        <v>6</v>
      </c>
      <c r="D367" t="s">
        <v>84</v>
      </c>
      <c r="E367" t="s">
        <v>91</v>
      </c>
      <c r="F367" t="s">
        <v>86</v>
      </c>
      <c r="G367">
        <v>0.30210905990703302</v>
      </c>
      <c r="H367">
        <v>2E+20</v>
      </c>
      <c r="I367">
        <v>0</v>
      </c>
      <c r="J367">
        <v>0.63180299987956201</v>
      </c>
      <c r="K367">
        <v>140</v>
      </c>
      <c r="L367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30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0.40279248807003726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0.177937316910317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0.814020685592315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1.24972436277344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67" s="5">
        <f>IF((DiscreteStatsTable[[#This Row],[RepsRequested]]&gt;1),DiscreteStatsTable[[#This Row],[HalfWidth]],DiscreteStatsTable[[#This Row],[BatchMeansHalfWidth]])</f>
        <v>5.8740635024535484E-2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30</v>
      </c>
      <c r="Y367" s="5">
        <f>IF(DiscreteStatsTable[[#This Row],[RepsRequested]]=DiscreteStatsTable[[#This Row],[RepsWithStatObserved]],1,0)</f>
        <v>1</v>
      </c>
    </row>
    <row r="368" spans="1:25" x14ac:dyDescent="0.3">
      <c r="A368" t="s">
        <v>66</v>
      </c>
      <c r="B368" t="s">
        <v>68</v>
      </c>
      <c r="C368">
        <v>7</v>
      </c>
      <c r="D368" t="s">
        <v>84</v>
      </c>
      <c r="E368" t="s">
        <v>85</v>
      </c>
      <c r="F368" t="s">
        <v>86</v>
      </c>
      <c r="G368">
        <v>0</v>
      </c>
      <c r="H368">
        <v>2E+20</v>
      </c>
      <c r="I368">
        <v>0</v>
      </c>
      <c r="J368">
        <v>0</v>
      </c>
      <c r="K368">
        <v>136</v>
      </c>
      <c r="L368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30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68" s="5">
        <f>IF((DiscreteStatsTable[[#This Row],[RepsRequested]]&gt;1),DiscreteStatsTable[[#This Row],[HalfWidth]],DiscreteStatsTable[[#This Row],[BatchMeansHalfWidth]])</f>
        <v>0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30</v>
      </c>
      <c r="Y368" s="5">
        <f>IF(DiscreteStatsTable[[#This Row],[RepsRequested]]=DiscreteStatsTable[[#This Row],[RepsWithStatObserved]],1,0)</f>
        <v>1</v>
      </c>
    </row>
    <row r="369" spans="1:25" x14ac:dyDescent="0.3">
      <c r="A369" t="s">
        <v>66</v>
      </c>
      <c r="B369" t="s">
        <v>68</v>
      </c>
      <c r="C369">
        <v>7</v>
      </c>
      <c r="D369" t="s">
        <v>84</v>
      </c>
      <c r="E369" t="s">
        <v>87</v>
      </c>
      <c r="F369" t="s">
        <v>86</v>
      </c>
      <c r="G369">
        <v>0</v>
      </c>
      <c r="H369">
        <v>2E+20</v>
      </c>
      <c r="I369">
        <v>0</v>
      </c>
      <c r="J369">
        <v>0</v>
      </c>
      <c r="K369">
        <v>136</v>
      </c>
      <c r="L369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30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0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0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0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69" s="5">
        <f>IF((DiscreteStatsTable[[#This Row],[RepsRequested]]&gt;1),DiscreteStatsTable[[#This Row],[HalfWidth]],DiscreteStatsTable[[#This Row],[BatchMeansHalfWidth]])</f>
        <v>0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30</v>
      </c>
      <c r="Y369" s="5">
        <f>IF(DiscreteStatsTable[[#This Row],[RepsRequested]]=DiscreteStatsTable[[#This Row],[RepsWithStatObserved]],1,0)</f>
        <v>1</v>
      </c>
    </row>
    <row r="370" spans="1:25" x14ac:dyDescent="0.3">
      <c r="A370" t="s">
        <v>66</v>
      </c>
      <c r="B370" t="s">
        <v>68</v>
      </c>
      <c r="C370">
        <v>7</v>
      </c>
      <c r="D370" t="s">
        <v>84</v>
      </c>
      <c r="E370" t="s">
        <v>88</v>
      </c>
      <c r="F370" t="s">
        <v>86</v>
      </c>
      <c r="G370">
        <v>1.37775688398319</v>
      </c>
      <c r="H370">
        <v>2E+20</v>
      </c>
      <c r="I370">
        <v>0.68460689807238095</v>
      </c>
      <c r="J370">
        <v>2.5066384167121001</v>
      </c>
      <c r="K370">
        <v>136</v>
      </c>
      <c r="L370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30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1.2678871334176696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1.0239727314929401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1.6751220567766201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0.54240657991611196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2.7561776708620398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70" s="5">
        <f>IF((DiscreteStatsTable[[#This Row],[RepsRequested]]&gt;1),DiscreteStatsTable[[#This Row],[HalfWidth]],DiscreteStatsTable[[#This Row],[BatchMeansHalfWidth]])</f>
        <v>5.9219230019787336E-2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30</v>
      </c>
      <c r="Y370" s="5">
        <f>IF(DiscreteStatsTable[[#This Row],[RepsRequested]]=DiscreteStatsTable[[#This Row],[RepsWithStatObserved]],1,0)</f>
        <v>1</v>
      </c>
    </row>
    <row r="371" spans="1:25" x14ac:dyDescent="0.3">
      <c r="A371" t="s">
        <v>66</v>
      </c>
      <c r="B371" t="s">
        <v>68</v>
      </c>
      <c r="C371">
        <v>7</v>
      </c>
      <c r="D371" t="s">
        <v>84</v>
      </c>
      <c r="E371" t="s">
        <v>89</v>
      </c>
      <c r="F371" t="s">
        <v>86</v>
      </c>
      <c r="G371">
        <v>0.29234258706294097</v>
      </c>
      <c r="H371">
        <v>2E+20</v>
      </c>
      <c r="I371">
        <v>0.19521670014065601</v>
      </c>
      <c r="J371">
        <v>0.58135490308600601</v>
      </c>
      <c r="K371">
        <v>136</v>
      </c>
      <c r="L371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30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0.28507753690424381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0.27840426452549899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0.29234258706294097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0.17212578810766199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0.61921751163804895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71" s="5">
        <f>IF((DiscreteStatsTable[[#This Row],[RepsRequested]]&gt;1),DiscreteStatsTable[[#This Row],[HalfWidth]],DiscreteStatsTable[[#This Row],[BatchMeansHalfWidth]])</f>
        <v>1.354482514359579E-3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30</v>
      </c>
      <c r="Y371" s="5">
        <f>IF(DiscreteStatsTable[[#This Row],[RepsRequested]]=DiscreteStatsTable[[#This Row],[RepsWithStatObserved]],1,0)</f>
        <v>1</v>
      </c>
    </row>
    <row r="372" spans="1:25" x14ac:dyDescent="0.3">
      <c r="A372" t="s">
        <v>66</v>
      </c>
      <c r="B372" t="s">
        <v>68</v>
      </c>
      <c r="C372">
        <v>7</v>
      </c>
      <c r="D372" t="s">
        <v>84</v>
      </c>
      <c r="E372" t="s">
        <v>90</v>
      </c>
      <c r="F372" t="s">
        <v>86</v>
      </c>
      <c r="G372">
        <v>0.60416460812801598</v>
      </c>
      <c r="H372">
        <v>2E+20</v>
      </c>
      <c r="I372">
        <v>0.26967122416752998</v>
      </c>
      <c r="J372">
        <v>1.32264830101096</v>
      </c>
      <c r="K372">
        <v>136</v>
      </c>
      <c r="L372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30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0.58001710844338794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0.55455631375636005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0.60577999264634597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0.24460429945259299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1.5050291241368301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72" s="5">
        <f>IF((DiscreteStatsTable[[#This Row],[RepsRequested]]&gt;1),DiscreteStatsTable[[#This Row],[HalfWidth]],DiscreteStatsTable[[#This Row],[BatchMeansHalfWidth]])</f>
        <v>5.0783400785183869E-3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30</v>
      </c>
      <c r="Y372" s="5">
        <f>IF(DiscreteStatsTable[[#This Row],[RepsRequested]]=DiscreteStatsTable[[#This Row],[RepsWithStatObserved]],1,0)</f>
        <v>1</v>
      </c>
    </row>
    <row r="373" spans="1:25" x14ac:dyDescent="0.3">
      <c r="A373" t="s">
        <v>66</v>
      </c>
      <c r="B373" t="s">
        <v>68</v>
      </c>
      <c r="C373">
        <v>7</v>
      </c>
      <c r="D373" t="s">
        <v>84</v>
      </c>
      <c r="E373" t="s">
        <v>91</v>
      </c>
      <c r="F373" t="s">
        <v>86</v>
      </c>
      <c r="G373">
        <v>0.48124968879223401</v>
      </c>
      <c r="H373">
        <v>2E+20</v>
      </c>
      <c r="I373">
        <v>8.2377182687087807E-3</v>
      </c>
      <c r="J373">
        <v>0.83545177840127904</v>
      </c>
      <c r="K373">
        <v>136</v>
      </c>
      <c r="L373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30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0.40279248807003726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0.177937316910317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0.814020685592315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1.24972436277344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73" s="5">
        <f>IF((DiscreteStatsTable[[#This Row],[RepsRequested]]&gt;1),DiscreteStatsTable[[#This Row],[HalfWidth]],DiscreteStatsTable[[#This Row],[BatchMeansHalfWidth]])</f>
        <v>5.8740635024535484E-2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30</v>
      </c>
      <c r="Y373" s="5">
        <f>IF(DiscreteStatsTable[[#This Row],[RepsRequested]]=DiscreteStatsTable[[#This Row],[RepsWithStatObserved]],1,0)</f>
        <v>1</v>
      </c>
    </row>
    <row r="374" spans="1:25" x14ac:dyDescent="0.3">
      <c r="A374" t="s">
        <v>66</v>
      </c>
      <c r="B374" t="s">
        <v>68</v>
      </c>
      <c r="C374">
        <v>8</v>
      </c>
      <c r="D374" t="s">
        <v>84</v>
      </c>
      <c r="E374" t="s">
        <v>85</v>
      </c>
      <c r="F374" t="s">
        <v>86</v>
      </c>
      <c r="G374">
        <v>0</v>
      </c>
      <c r="H374">
        <v>2E+20</v>
      </c>
      <c r="I374">
        <v>0</v>
      </c>
      <c r="J374">
        <v>0</v>
      </c>
      <c r="K374">
        <v>148</v>
      </c>
      <c r="L374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30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74" s="5">
        <f>IF((DiscreteStatsTable[[#This Row],[RepsRequested]]&gt;1),DiscreteStatsTable[[#This Row],[HalfWidth]],DiscreteStatsTable[[#This Row],[BatchMeansHalfWidth]])</f>
        <v>0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30</v>
      </c>
      <c r="Y374" s="5">
        <f>IF(DiscreteStatsTable[[#This Row],[RepsRequested]]=DiscreteStatsTable[[#This Row],[RepsWithStatObserved]],1,0)</f>
        <v>1</v>
      </c>
    </row>
    <row r="375" spans="1:25" x14ac:dyDescent="0.3">
      <c r="A375" t="s">
        <v>66</v>
      </c>
      <c r="B375" t="s">
        <v>68</v>
      </c>
      <c r="C375">
        <v>8</v>
      </c>
      <c r="D375" t="s">
        <v>84</v>
      </c>
      <c r="E375" t="s">
        <v>87</v>
      </c>
      <c r="F375" t="s">
        <v>86</v>
      </c>
      <c r="G375">
        <v>0</v>
      </c>
      <c r="H375">
        <v>2E+20</v>
      </c>
      <c r="I375">
        <v>0</v>
      </c>
      <c r="J375">
        <v>0</v>
      </c>
      <c r="K375">
        <v>148</v>
      </c>
      <c r="L375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30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0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0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0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75" s="5">
        <f>IF((DiscreteStatsTable[[#This Row],[RepsRequested]]&gt;1),DiscreteStatsTable[[#This Row],[HalfWidth]],DiscreteStatsTable[[#This Row],[BatchMeansHalfWidth]])</f>
        <v>0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30</v>
      </c>
      <c r="Y375" s="5">
        <f>IF(DiscreteStatsTable[[#This Row],[RepsRequested]]=DiscreteStatsTable[[#This Row],[RepsWithStatObserved]],1,0)</f>
        <v>1</v>
      </c>
    </row>
    <row r="376" spans="1:25" x14ac:dyDescent="0.3">
      <c r="A376" t="s">
        <v>66</v>
      </c>
      <c r="B376" t="s">
        <v>68</v>
      </c>
      <c r="C376">
        <v>8</v>
      </c>
      <c r="D376" t="s">
        <v>84</v>
      </c>
      <c r="E376" t="s">
        <v>88</v>
      </c>
      <c r="F376" t="s">
        <v>86</v>
      </c>
      <c r="G376">
        <v>1.39095241701258</v>
      </c>
      <c r="H376">
        <v>2E+20</v>
      </c>
      <c r="I376">
        <v>0.62387163046738403</v>
      </c>
      <c r="J376">
        <v>2.13258681630179</v>
      </c>
      <c r="K376">
        <v>148</v>
      </c>
      <c r="L376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30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1.2678871334176696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1.0239727314929401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1.6751220567766201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0.54240657991611196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2.7561776708620398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76" s="5">
        <f>IF((DiscreteStatsTable[[#This Row],[RepsRequested]]&gt;1),DiscreteStatsTable[[#This Row],[HalfWidth]],DiscreteStatsTable[[#This Row],[BatchMeansHalfWidth]])</f>
        <v>5.9219230019787336E-2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30</v>
      </c>
      <c r="Y376" s="5">
        <f>IF(DiscreteStatsTable[[#This Row],[RepsRequested]]=DiscreteStatsTable[[#This Row],[RepsWithStatObserved]],1,0)</f>
        <v>1</v>
      </c>
    </row>
    <row r="377" spans="1:25" x14ac:dyDescent="0.3">
      <c r="A377" t="s">
        <v>66</v>
      </c>
      <c r="B377" t="s">
        <v>68</v>
      </c>
      <c r="C377">
        <v>8</v>
      </c>
      <c r="D377" t="s">
        <v>84</v>
      </c>
      <c r="E377" t="s">
        <v>89</v>
      </c>
      <c r="F377" t="s">
        <v>86</v>
      </c>
      <c r="G377">
        <v>0.28882401552433701</v>
      </c>
      <c r="H377">
        <v>2E+20</v>
      </c>
      <c r="I377">
        <v>0.19697190062536299</v>
      </c>
      <c r="J377">
        <v>0.579786667798597</v>
      </c>
      <c r="K377">
        <v>148</v>
      </c>
      <c r="L377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30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0.28507753690424381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0.27840426452549899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0.29234258706294097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0.17212578810766199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0.61921751163804895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77" s="5">
        <f>IF((DiscreteStatsTable[[#This Row],[RepsRequested]]&gt;1),DiscreteStatsTable[[#This Row],[HalfWidth]],DiscreteStatsTable[[#This Row],[BatchMeansHalfWidth]])</f>
        <v>1.354482514359579E-3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30</v>
      </c>
      <c r="Y377" s="5">
        <f>IF(DiscreteStatsTable[[#This Row],[RepsRequested]]=DiscreteStatsTable[[#This Row],[RepsWithStatObserved]],1,0)</f>
        <v>1</v>
      </c>
    </row>
    <row r="378" spans="1:25" x14ac:dyDescent="0.3">
      <c r="A378" t="s">
        <v>66</v>
      </c>
      <c r="B378" t="s">
        <v>68</v>
      </c>
      <c r="C378">
        <v>8</v>
      </c>
      <c r="D378" t="s">
        <v>84</v>
      </c>
      <c r="E378" t="s">
        <v>90</v>
      </c>
      <c r="F378" t="s">
        <v>86</v>
      </c>
      <c r="G378">
        <v>0.58885558721174103</v>
      </c>
      <c r="H378">
        <v>2E+20</v>
      </c>
      <c r="I378">
        <v>0.27642465004597699</v>
      </c>
      <c r="J378">
        <v>1.16213144545167</v>
      </c>
      <c r="K378">
        <v>148</v>
      </c>
      <c r="L378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30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0.58001710844338794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0.55455631375636005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0.60577999264634597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0.24460429945259299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1.5050291241368301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78" s="5">
        <f>IF((DiscreteStatsTable[[#This Row],[RepsRequested]]&gt;1),DiscreteStatsTable[[#This Row],[HalfWidth]],DiscreteStatsTable[[#This Row],[BatchMeansHalfWidth]])</f>
        <v>5.0783400785183869E-3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30</v>
      </c>
      <c r="Y378" s="5">
        <f>IF(DiscreteStatsTable[[#This Row],[RepsRequested]]=DiscreteStatsTable[[#This Row],[RepsWithStatObserved]],1,0)</f>
        <v>1</v>
      </c>
    </row>
    <row r="379" spans="1:25" x14ac:dyDescent="0.3">
      <c r="A379" t="s">
        <v>66</v>
      </c>
      <c r="B379" t="s">
        <v>68</v>
      </c>
      <c r="C379">
        <v>8</v>
      </c>
      <c r="D379" t="s">
        <v>84</v>
      </c>
      <c r="E379" t="s">
        <v>91</v>
      </c>
      <c r="F379" t="s">
        <v>86</v>
      </c>
      <c r="G379">
        <v>0.51327281427650195</v>
      </c>
      <c r="H379">
        <v>2E+20</v>
      </c>
      <c r="I379">
        <v>5.9169483427781201E-3</v>
      </c>
      <c r="J379">
        <v>0.80666886715856301</v>
      </c>
      <c r="K379">
        <v>148</v>
      </c>
      <c r="L379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30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0.40279248807003726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0.177937316910317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0.814020685592315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1.24972436277344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79" s="5">
        <f>IF((DiscreteStatsTable[[#This Row],[RepsRequested]]&gt;1),DiscreteStatsTable[[#This Row],[HalfWidth]],DiscreteStatsTable[[#This Row],[BatchMeansHalfWidth]])</f>
        <v>5.8740635024535484E-2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30</v>
      </c>
      <c r="Y379" s="5">
        <f>IF(DiscreteStatsTable[[#This Row],[RepsRequested]]=DiscreteStatsTable[[#This Row],[RepsWithStatObserved]],1,0)</f>
        <v>1</v>
      </c>
    </row>
    <row r="380" spans="1:25" x14ac:dyDescent="0.3">
      <c r="A380" t="s">
        <v>66</v>
      </c>
      <c r="B380" t="s">
        <v>68</v>
      </c>
      <c r="C380">
        <v>9</v>
      </c>
      <c r="D380" t="s">
        <v>84</v>
      </c>
      <c r="E380" t="s">
        <v>85</v>
      </c>
      <c r="F380" t="s">
        <v>86</v>
      </c>
      <c r="G380">
        <v>0</v>
      </c>
      <c r="H380">
        <v>2E+20</v>
      </c>
      <c r="I380">
        <v>0</v>
      </c>
      <c r="J380">
        <v>0</v>
      </c>
      <c r="K380">
        <v>134</v>
      </c>
      <c r="L380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30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80" s="5">
        <f>IF((DiscreteStatsTable[[#This Row],[RepsRequested]]&gt;1),DiscreteStatsTable[[#This Row],[HalfWidth]],DiscreteStatsTable[[#This Row],[BatchMeansHalfWidth]])</f>
        <v>0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30</v>
      </c>
      <c r="Y380" s="5">
        <f>IF(DiscreteStatsTable[[#This Row],[RepsRequested]]=DiscreteStatsTable[[#This Row],[RepsWithStatObserved]],1,0)</f>
        <v>1</v>
      </c>
    </row>
    <row r="381" spans="1:25" x14ac:dyDescent="0.3">
      <c r="A381" t="s">
        <v>66</v>
      </c>
      <c r="B381" t="s">
        <v>68</v>
      </c>
      <c r="C381">
        <v>9</v>
      </c>
      <c r="D381" t="s">
        <v>84</v>
      </c>
      <c r="E381" t="s">
        <v>87</v>
      </c>
      <c r="F381" t="s">
        <v>86</v>
      </c>
      <c r="G381">
        <v>0</v>
      </c>
      <c r="H381">
        <v>2E+20</v>
      </c>
      <c r="I381">
        <v>0</v>
      </c>
      <c r="J381">
        <v>0</v>
      </c>
      <c r="K381">
        <v>134</v>
      </c>
      <c r="L381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30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0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0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0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81" s="5">
        <f>IF((DiscreteStatsTable[[#This Row],[RepsRequested]]&gt;1),DiscreteStatsTable[[#This Row],[HalfWidth]],DiscreteStatsTable[[#This Row],[BatchMeansHalfWidth]])</f>
        <v>0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30</v>
      </c>
      <c r="Y381" s="5">
        <f>IF(DiscreteStatsTable[[#This Row],[RepsRequested]]=DiscreteStatsTable[[#This Row],[RepsWithStatObserved]],1,0)</f>
        <v>1</v>
      </c>
    </row>
    <row r="382" spans="1:25" x14ac:dyDescent="0.3">
      <c r="A382" t="s">
        <v>66</v>
      </c>
      <c r="B382" t="s">
        <v>68</v>
      </c>
      <c r="C382">
        <v>9</v>
      </c>
      <c r="D382" t="s">
        <v>84</v>
      </c>
      <c r="E382" t="s">
        <v>88</v>
      </c>
      <c r="F382" t="s">
        <v>86</v>
      </c>
      <c r="G382">
        <v>1.3628219970031801</v>
      </c>
      <c r="H382">
        <v>2E+20</v>
      </c>
      <c r="I382">
        <v>0.63165876807000998</v>
      </c>
      <c r="J382">
        <v>1.7317397465577899</v>
      </c>
      <c r="K382">
        <v>134</v>
      </c>
      <c r="L382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30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1.2678871334176696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1.0239727314929401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1.6751220567766201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0.54240657991611196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2.7561776708620398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82" s="5">
        <f>IF((DiscreteStatsTable[[#This Row],[RepsRequested]]&gt;1),DiscreteStatsTable[[#This Row],[HalfWidth]],DiscreteStatsTable[[#This Row],[BatchMeansHalfWidth]])</f>
        <v>5.9219230019787336E-2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30</v>
      </c>
      <c r="Y382" s="5">
        <f>IF(DiscreteStatsTable[[#This Row],[RepsRequested]]=DiscreteStatsTable[[#This Row],[RepsWithStatObserved]],1,0)</f>
        <v>1</v>
      </c>
    </row>
    <row r="383" spans="1:25" x14ac:dyDescent="0.3">
      <c r="A383" t="s">
        <v>66</v>
      </c>
      <c r="B383" t="s">
        <v>68</v>
      </c>
      <c r="C383">
        <v>9</v>
      </c>
      <c r="D383" t="s">
        <v>84</v>
      </c>
      <c r="E383" t="s">
        <v>89</v>
      </c>
      <c r="F383" t="s">
        <v>86</v>
      </c>
      <c r="G383">
        <v>0.28048556052318402</v>
      </c>
      <c r="H383">
        <v>2E+20</v>
      </c>
      <c r="I383">
        <v>0.196779463341484</v>
      </c>
      <c r="J383">
        <v>0.37608837147763602</v>
      </c>
      <c r="K383">
        <v>134</v>
      </c>
      <c r="L383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30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0.28507753690424381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0.27840426452549899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0.29234258706294097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0.17212578810766199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0.61921751163804895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83" s="5">
        <f>IF((DiscreteStatsTable[[#This Row],[RepsRequested]]&gt;1),DiscreteStatsTable[[#This Row],[HalfWidth]],DiscreteStatsTable[[#This Row],[BatchMeansHalfWidth]])</f>
        <v>1.354482514359579E-3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30</v>
      </c>
      <c r="Y383" s="5">
        <f>IF(DiscreteStatsTable[[#This Row],[RepsRequested]]=DiscreteStatsTable[[#This Row],[RepsWithStatObserved]],1,0)</f>
        <v>1</v>
      </c>
    </row>
    <row r="384" spans="1:25" x14ac:dyDescent="0.3">
      <c r="A384" t="s">
        <v>66</v>
      </c>
      <c r="B384" t="s">
        <v>68</v>
      </c>
      <c r="C384">
        <v>9</v>
      </c>
      <c r="D384" t="s">
        <v>84</v>
      </c>
      <c r="E384" t="s">
        <v>90</v>
      </c>
      <c r="F384" t="s">
        <v>86</v>
      </c>
      <c r="G384">
        <v>0.59156790307729901</v>
      </c>
      <c r="H384">
        <v>2E+20</v>
      </c>
      <c r="I384">
        <v>0.29536228109010398</v>
      </c>
      <c r="J384">
        <v>0.86115000068192105</v>
      </c>
      <c r="K384">
        <v>134</v>
      </c>
      <c r="L384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30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0.58001710844338794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0.55455631375636005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0.60577999264634597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0.24460429945259299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1.5050291241368301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84" s="5">
        <f>IF((DiscreteStatsTable[[#This Row],[RepsRequested]]&gt;1),DiscreteStatsTable[[#This Row],[HalfWidth]],DiscreteStatsTable[[#This Row],[BatchMeansHalfWidth]])</f>
        <v>5.0783400785183869E-3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30</v>
      </c>
      <c r="Y384" s="5">
        <f>IF(DiscreteStatsTable[[#This Row],[RepsRequested]]=DiscreteStatsTable[[#This Row],[RepsWithStatObserved]],1,0)</f>
        <v>1</v>
      </c>
    </row>
    <row r="385" spans="1:25" x14ac:dyDescent="0.3">
      <c r="A385" t="s">
        <v>66</v>
      </c>
      <c r="B385" t="s">
        <v>68</v>
      </c>
      <c r="C385">
        <v>9</v>
      </c>
      <c r="D385" t="s">
        <v>84</v>
      </c>
      <c r="E385" t="s">
        <v>91</v>
      </c>
      <c r="F385" t="s">
        <v>86</v>
      </c>
      <c r="G385">
        <v>0.490768533402693</v>
      </c>
      <c r="H385">
        <v>2E+20</v>
      </c>
      <c r="I385">
        <v>1.5163559530878799E-2</v>
      </c>
      <c r="J385">
        <v>0.74472280681152003</v>
      </c>
      <c r="K385">
        <v>134</v>
      </c>
      <c r="L385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30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0.40279248807003726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0.177937316910317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0.814020685592315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1.24972436277344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85" s="5">
        <f>IF((DiscreteStatsTable[[#This Row],[RepsRequested]]&gt;1),DiscreteStatsTable[[#This Row],[HalfWidth]],DiscreteStatsTable[[#This Row],[BatchMeansHalfWidth]])</f>
        <v>5.8740635024535484E-2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30</v>
      </c>
      <c r="Y385" s="5">
        <f>IF(DiscreteStatsTable[[#This Row],[RepsRequested]]=DiscreteStatsTable[[#This Row],[RepsWithStatObserved]],1,0)</f>
        <v>1</v>
      </c>
    </row>
    <row r="386" spans="1:25" x14ac:dyDescent="0.3">
      <c r="A386" t="s">
        <v>66</v>
      </c>
      <c r="B386" t="s">
        <v>68</v>
      </c>
      <c r="C386">
        <v>10</v>
      </c>
      <c r="D386" t="s">
        <v>84</v>
      </c>
      <c r="E386" t="s">
        <v>85</v>
      </c>
      <c r="F386" t="s">
        <v>86</v>
      </c>
      <c r="G386">
        <v>0</v>
      </c>
      <c r="H386">
        <v>2E+20</v>
      </c>
      <c r="I386">
        <v>0</v>
      </c>
      <c r="J386">
        <v>0</v>
      </c>
      <c r="K386">
        <v>155</v>
      </c>
      <c r="L386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30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86" s="5">
        <f>IF((DiscreteStatsTable[[#This Row],[RepsRequested]]&gt;1),DiscreteStatsTable[[#This Row],[HalfWidth]],DiscreteStatsTable[[#This Row],[BatchMeansHalfWidth]])</f>
        <v>0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30</v>
      </c>
      <c r="Y386" s="5">
        <f>IF(DiscreteStatsTable[[#This Row],[RepsRequested]]=DiscreteStatsTable[[#This Row],[RepsWithStatObserved]],1,0)</f>
        <v>1</v>
      </c>
    </row>
    <row r="387" spans="1:25" x14ac:dyDescent="0.3">
      <c r="A387" t="s">
        <v>66</v>
      </c>
      <c r="B387" t="s">
        <v>68</v>
      </c>
      <c r="C387">
        <v>10</v>
      </c>
      <c r="D387" t="s">
        <v>84</v>
      </c>
      <c r="E387" t="s">
        <v>87</v>
      </c>
      <c r="F387" t="s">
        <v>86</v>
      </c>
      <c r="G387">
        <v>0</v>
      </c>
      <c r="H387">
        <v>2E+20</v>
      </c>
      <c r="I387">
        <v>0</v>
      </c>
      <c r="J387">
        <v>0</v>
      </c>
      <c r="K387">
        <v>155</v>
      </c>
      <c r="L387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30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0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0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0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87" s="5">
        <f>IF((DiscreteStatsTable[[#This Row],[RepsRequested]]&gt;1),DiscreteStatsTable[[#This Row],[HalfWidth]],DiscreteStatsTable[[#This Row],[BatchMeansHalfWidth]])</f>
        <v>0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30</v>
      </c>
      <c r="Y387" s="5">
        <f>IF(DiscreteStatsTable[[#This Row],[RepsRequested]]=DiscreteStatsTable[[#This Row],[RepsWithStatObserved]],1,0)</f>
        <v>1</v>
      </c>
    </row>
    <row r="388" spans="1:25" x14ac:dyDescent="0.3">
      <c r="A388" t="s">
        <v>66</v>
      </c>
      <c r="B388" t="s">
        <v>68</v>
      </c>
      <c r="C388">
        <v>10</v>
      </c>
      <c r="D388" t="s">
        <v>84</v>
      </c>
      <c r="E388" t="s">
        <v>88</v>
      </c>
      <c r="F388" t="s">
        <v>86</v>
      </c>
      <c r="G388">
        <v>1.6751220567766201</v>
      </c>
      <c r="H388">
        <v>2E+20</v>
      </c>
      <c r="I388">
        <v>0.72518441456623695</v>
      </c>
      <c r="J388">
        <v>2.1620744535765901</v>
      </c>
      <c r="K388">
        <v>155</v>
      </c>
      <c r="L388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30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1.2678871334176696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1.0239727314929401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1.6751220567766201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0.54240657991611196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2.7561776708620398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88" s="5">
        <f>IF((DiscreteStatsTable[[#This Row],[RepsRequested]]&gt;1),DiscreteStatsTable[[#This Row],[HalfWidth]],DiscreteStatsTable[[#This Row],[BatchMeansHalfWidth]])</f>
        <v>5.9219230019787336E-2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30</v>
      </c>
      <c r="Y388" s="5">
        <f>IF(DiscreteStatsTable[[#This Row],[RepsRequested]]=DiscreteStatsTable[[#This Row],[RepsWithStatObserved]],1,0)</f>
        <v>1</v>
      </c>
    </row>
    <row r="389" spans="1:25" x14ac:dyDescent="0.3">
      <c r="A389" t="s">
        <v>66</v>
      </c>
      <c r="B389" t="s">
        <v>68</v>
      </c>
      <c r="C389">
        <v>10</v>
      </c>
      <c r="D389" t="s">
        <v>84</v>
      </c>
      <c r="E389" t="s">
        <v>89</v>
      </c>
      <c r="F389" t="s">
        <v>86</v>
      </c>
      <c r="G389">
        <v>0.28160814979558102</v>
      </c>
      <c r="H389">
        <v>2E+20</v>
      </c>
      <c r="I389">
        <v>0.19854376362911999</v>
      </c>
      <c r="J389">
        <v>0.38138646862688003</v>
      </c>
      <c r="K389">
        <v>155</v>
      </c>
      <c r="L389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30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0.28507753690424381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0.27840426452549899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0.29234258706294097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0.17212578810766199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0.61921751163804895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89" s="5">
        <f>IF((DiscreteStatsTable[[#This Row],[RepsRequested]]&gt;1),DiscreteStatsTable[[#This Row],[HalfWidth]],DiscreteStatsTable[[#This Row],[BatchMeansHalfWidth]])</f>
        <v>1.354482514359579E-3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30</v>
      </c>
      <c r="Y389" s="5">
        <f>IF(DiscreteStatsTable[[#This Row],[RepsRequested]]=DiscreteStatsTable[[#This Row],[RepsWithStatObserved]],1,0)</f>
        <v>1</v>
      </c>
    </row>
    <row r="390" spans="1:25" x14ac:dyDescent="0.3">
      <c r="A390" t="s">
        <v>66</v>
      </c>
      <c r="B390" t="s">
        <v>68</v>
      </c>
      <c r="C390">
        <v>10</v>
      </c>
      <c r="D390" t="s">
        <v>84</v>
      </c>
      <c r="E390" t="s">
        <v>90</v>
      </c>
      <c r="F390" t="s">
        <v>86</v>
      </c>
      <c r="G390">
        <v>0.57949322138872805</v>
      </c>
      <c r="H390">
        <v>2E+20</v>
      </c>
      <c r="I390">
        <v>0.279720658894972</v>
      </c>
      <c r="J390">
        <v>0.98628057527911295</v>
      </c>
      <c r="K390">
        <v>155</v>
      </c>
      <c r="L390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30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0.58001710844338794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0.55455631375636005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0.60577999264634597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0.24460429945259299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1.5050291241368301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90" s="5">
        <f>IF((DiscreteStatsTable[[#This Row],[RepsRequested]]&gt;1),DiscreteStatsTable[[#This Row],[HalfWidth]],DiscreteStatsTable[[#This Row],[BatchMeansHalfWidth]])</f>
        <v>5.0783400785183869E-3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30</v>
      </c>
      <c r="Y390" s="5">
        <f>IF(DiscreteStatsTable[[#This Row],[RepsRequested]]=DiscreteStatsTable[[#This Row],[RepsWithStatObserved]],1,0)</f>
        <v>1</v>
      </c>
    </row>
    <row r="391" spans="1:25" x14ac:dyDescent="0.3">
      <c r="A391" t="s">
        <v>66</v>
      </c>
      <c r="B391" t="s">
        <v>68</v>
      </c>
      <c r="C391">
        <v>10</v>
      </c>
      <c r="D391" t="s">
        <v>84</v>
      </c>
      <c r="E391" t="s">
        <v>91</v>
      </c>
      <c r="F391" t="s">
        <v>86</v>
      </c>
      <c r="G391">
        <v>0.814020685592315</v>
      </c>
      <c r="H391">
        <v>2E+20</v>
      </c>
      <c r="I391">
        <v>0.1102041850831</v>
      </c>
      <c r="J391">
        <v>1.24972436277344</v>
      </c>
      <c r="K391">
        <v>155</v>
      </c>
      <c r="L391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30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0.40279248807003726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0.177937316910317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0.814020685592315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1.24972436277344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91" s="5">
        <f>IF((DiscreteStatsTable[[#This Row],[RepsRequested]]&gt;1),DiscreteStatsTable[[#This Row],[HalfWidth]],DiscreteStatsTable[[#This Row],[BatchMeansHalfWidth]])</f>
        <v>5.8740635024535484E-2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30</v>
      </c>
      <c r="Y391" s="5">
        <f>IF(DiscreteStatsTable[[#This Row],[RepsRequested]]=DiscreteStatsTable[[#This Row],[RepsWithStatObserved]],1,0)</f>
        <v>1</v>
      </c>
    </row>
    <row r="392" spans="1:25" x14ac:dyDescent="0.3">
      <c r="A392" t="s">
        <v>66</v>
      </c>
      <c r="B392" t="s">
        <v>68</v>
      </c>
      <c r="C392">
        <v>11</v>
      </c>
      <c r="D392" t="s">
        <v>84</v>
      </c>
      <c r="E392" t="s">
        <v>85</v>
      </c>
      <c r="F392" t="s">
        <v>86</v>
      </c>
      <c r="G392">
        <v>0</v>
      </c>
      <c r="H392">
        <v>2E+20</v>
      </c>
      <c r="I392">
        <v>0</v>
      </c>
      <c r="J392">
        <v>0</v>
      </c>
      <c r="K392">
        <v>152</v>
      </c>
      <c r="L392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30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92" s="5">
        <f>IF((DiscreteStatsTable[[#This Row],[RepsRequested]]&gt;1),DiscreteStatsTable[[#This Row],[HalfWidth]],DiscreteStatsTable[[#This Row],[BatchMeansHalfWidth]])</f>
        <v>0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30</v>
      </c>
      <c r="Y392" s="5">
        <f>IF(DiscreteStatsTable[[#This Row],[RepsRequested]]=DiscreteStatsTable[[#This Row],[RepsWithStatObserved]],1,0)</f>
        <v>1</v>
      </c>
    </row>
    <row r="393" spans="1:25" x14ac:dyDescent="0.3">
      <c r="A393" t="s">
        <v>66</v>
      </c>
      <c r="B393" t="s">
        <v>68</v>
      </c>
      <c r="C393">
        <v>11</v>
      </c>
      <c r="D393" t="s">
        <v>84</v>
      </c>
      <c r="E393" t="s">
        <v>87</v>
      </c>
      <c r="F393" t="s">
        <v>86</v>
      </c>
      <c r="G393">
        <v>0</v>
      </c>
      <c r="H393">
        <v>2E+20</v>
      </c>
      <c r="I393">
        <v>0</v>
      </c>
      <c r="J393">
        <v>0</v>
      </c>
      <c r="K393">
        <v>152</v>
      </c>
      <c r="L393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30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0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0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0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93" s="5">
        <f>IF((DiscreteStatsTable[[#This Row],[RepsRequested]]&gt;1),DiscreteStatsTable[[#This Row],[HalfWidth]],DiscreteStatsTable[[#This Row],[BatchMeansHalfWidth]])</f>
        <v>0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30</v>
      </c>
      <c r="Y393" s="5">
        <f>IF(DiscreteStatsTable[[#This Row],[RepsRequested]]=DiscreteStatsTable[[#This Row],[RepsWithStatObserved]],1,0)</f>
        <v>1</v>
      </c>
    </row>
    <row r="394" spans="1:25" x14ac:dyDescent="0.3">
      <c r="A394" t="s">
        <v>66</v>
      </c>
      <c r="B394" t="s">
        <v>68</v>
      </c>
      <c r="C394">
        <v>11</v>
      </c>
      <c r="D394" t="s">
        <v>84</v>
      </c>
      <c r="E394" t="s">
        <v>88</v>
      </c>
      <c r="F394" t="s">
        <v>86</v>
      </c>
      <c r="G394">
        <v>1.22373255631516</v>
      </c>
      <c r="H394">
        <v>2E+20</v>
      </c>
      <c r="I394">
        <v>0.66752744616135995</v>
      </c>
      <c r="J394">
        <v>1.9538154698224</v>
      </c>
      <c r="K394">
        <v>152</v>
      </c>
      <c r="L394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30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1.2678871334176696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0.15859201065608289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1.0239727314929401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1.6751220567766201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0.54240657991611196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2.7561776708620398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94" s="5">
        <f>IF((DiscreteStatsTable[[#This Row],[RepsRequested]]&gt;1),DiscreteStatsTable[[#This Row],[HalfWidth]],DiscreteStatsTable[[#This Row],[BatchMeansHalfWidth]])</f>
        <v>5.9219230019787336E-2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30</v>
      </c>
      <c r="Y394" s="5">
        <f>IF(DiscreteStatsTable[[#This Row],[RepsRequested]]=DiscreteStatsTable[[#This Row],[RepsWithStatObserved]],1,0)</f>
        <v>1</v>
      </c>
    </row>
    <row r="395" spans="1:25" x14ac:dyDescent="0.3">
      <c r="A395" t="s">
        <v>66</v>
      </c>
      <c r="B395" t="s">
        <v>68</v>
      </c>
      <c r="C395">
        <v>11</v>
      </c>
      <c r="D395" t="s">
        <v>84</v>
      </c>
      <c r="E395" t="s">
        <v>89</v>
      </c>
      <c r="F395" t="s">
        <v>86</v>
      </c>
      <c r="G395">
        <v>0.291702365097738</v>
      </c>
      <c r="H395">
        <v>2E+20</v>
      </c>
      <c r="I395">
        <v>0.18752578940395201</v>
      </c>
      <c r="J395">
        <v>0.57082417422571496</v>
      </c>
      <c r="K395">
        <v>152</v>
      </c>
      <c r="L395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30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0.28507753690424381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0.27840426452549899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0.29234258706294097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0.17212578810766199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0.61921751163804895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95" s="5">
        <f>IF((DiscreteStatsTable[[#This Row],[RepsRequested]]&gt;1),DiscreteStatsTable[[#This Row],[HalfWidth]],DiscreteStatsTable[[#This Row],[BatchMeansHalfWidth]])</f>
        <v>1.354482514359579E-3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30</v>
      </c>
      <c r="Y395" s="5">
        <f>IF(DiscreteStatsTable[[#This Row],[RepsRequested]]=DiscreteStatsTable[[#This Row],[RepsWithStatObserved]],1,0)</f>
        <v>1</v>
      </c>
    </row>
    <row r="396" spans="1:25" x14ac:dyDescent="0.3">
      <c r="A396" t="s">
        <v>66</v>
      </c>
      <c r="B396" t="s">
        <v>68</v>
      </c>
      <c r="C396">
        <v>11</v>
      </c>
      <c r="D396" t="s">
        <v>84</v>
      </c>
      <c r="E396" t="s">
        <v>90</v>
      </c>
      <c r="F396" t="s">
        <v>86</v>
      </c>
      <c r="G396">
        <v>0.58897011217470996</v>
      </c>
      <c r="H396">
        <v>2E+20</v>
      </c>
      <c r="I396">
        <v>0.28770492117979901</v>
      </c>
      <c r="J396">
        <v>0.93098286363420102</v>
      </c>
      <c r="K396">
        <v>152</v>
      </c>
      <c r="L396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30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0.58001710844338794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0.55455631375636005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0.60577999264634597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0.24460429945259299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1.5050291241368301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96" s="5">
        <f>IF((DiscreteStatsTable[[#This Row],[RepsRequested]]&gt;1),DiscreteStatsTable[[#This Row],[HalfWidth]],DiscreteStatsTable[[#This Row],[BatchMeansHalfWidth]])</f>
        <v>5.0783400785183869E-3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30</v>
      </c>
      <c r="Y396" s="5">
        <f>IF(DiscreteStatsTable[[#This Row],[RepsRequested]]=DiscreteStatsTable[[#This Row],[RepsWithStatObserved]],1,0)</f>
        <v>1</v>
      </c>
    </row>
    <row r="397" spans="1:25" x14ac:dyDescent="0.3">
      <c r="A397" t="s">
        <v>66</v>
      </c>
      <c r="B397" t="s">
        <v>68</v>
      </c>
      <c r="C397">
        <v>11</v>
      </c>
      <c r="D397" t="s">
        <v>84</v>
      </c>
      <c r="E397" t="s">
        <v>91</v>
      </c>
      <c r="F397" t="s">
        <v>86</v>
      </c>
      <c r="G397">
        <v>0.34306007904270702</v>
      </c>
      <c r="H397">
        <v>2E+20</v>
      </c>
      <c r="I397">
        <v>6.2198279621910003E-3</v>
      </c>
      <c r="J397">
        <v>0.66216973970787296</v>
      </c>
      <c r="K397">
        <v>152</v>
      </c>
      <c r="L397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30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0.40279248807003726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0.15731030971938431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0.177937316910317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0.814020685592315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1.24972436277344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97" s="5">
        <f>IF((DiscreteStatsTable[[#This Row],[RepsRequested]]&gt;1),DiscreteStatsTable[[#This Row],[HalfWidth]],DiscreteStatsTable[[#This Row],[BatchMeansHalfWidth]])</f>
        <v>5.8740635024535484E-2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30</v>
      </c>
      <c r="Y397" s="5">
        <f>IF(DiscreteStatsTable[[#This Row],[RepsRequested]]=DiscreteStatsTable[[#This Row],[RepsWithStatObserved]],1,0)</f>
        <v>1</v>
      </c>
    </row>
    <row r="398" spans="1:25" x14ac:dyDescent="0.3">
      <c r="A398" t="s">
        <v>66</v>
      </c>
      <c r="B398" t="s">
        <v>68</v>
      </c>
      <c r="C398">
        <v>12</v>
      </c>
      <c r="D398" t="s">
        <v>84</v>
      </c>
      <c r="E398" t="s">
        <v>85</v>
      </c>
      <c r="F398" t="s">
        <v>86</v>
      </c>
      <c r="G398">
        <v>0</v>
      </c>
      <c r="H398">
        <v>2E+20</v>
      </c>
      <c r="I398">
        <v>0</v>
      </c>
      <c r="J398">
        <v>0</v>
      </c>
      <c r="K398">
        <v>140</v>
      </c>
      <c r="L398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30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98" s="5">
        <f>IF((DiscreteStatsTable[[#This Row],[RepsRequested]]&gt;1),DiscreteStatsTable[[#This Row],[HalfWidth]],DiscreteStatsTable[[#This Row],[BatchMeansHalfWidth]])</f>
        <v>0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30</v>
      </c>
      <c r="Y398" s="5">
        <f>IF(DiscreteStatsTable[[#This Row],[RepsRequested]]=DiscreteStatsTable[[#This Row],[RepsWithStatObserved]],1,0)</f>
        <v>1</v>
      </c>
    </row>
    <row r="399" spans="1:25" x14ac:dyDescent="0.3">
      <c r="A399" t="s">
        <v>66</v>
      </c>
      <c r="B399" t="s">
        <v>68</v>
      </c>
      <c r="C399">
        <v>12</v>
      </c>
      <c r="D399" t="s">
        <v>84</v>
      </c>
      <c r="E399" t="s">
        <v>87</v>
      </c>
      <c r="F399" t="s">
        <v>86</v>
      </c>
      <c r="G399">
        <v>0</v>
      </c>
      <c r="H399">
        <v>2E+20</v>
      </c>
      <c r="I399">
        <v>0</v>
      </c>
      <c r="J399">
        <v>0</v>
      </c>
      <c r="K399">
        <v>140</v>
      </c>
      <c r="L399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30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0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0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0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399" s="5">
        <f>IF((DiscreteStatsTable[[#This Row],[RepsRequested]]&gt;1),DiscreteStatsTable[[#This Row],[HalfWidth]],DiscreteStatsTable[[#This Row],[BatchMeansHalfWidth]])</f>
        <v>0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30</v>
      </c>
      <c r="Y399" s="5">
        <f>IF(DiscreteStatsTable[[#This Row],[RepsRequested]]=DiscreteStatsTable[[#This Row],[RepsWithStatObserved]],1,0)</f>
        <v>1</v>
      </c>
    </row>
    <row r="400" spans="1:25" x14ac:dyDescent="0.3">
      <c r="A400" t="s">
        <v>66</v>
      </c>
      <c r="B400" t="s">
        <v>68</v>
      </c>
      <c r="C400">
        <v>12</v>
      </c>
      <c r="D400" t="s">
        <v>84</v>
      </c>
      <c r="E400" t="s">
        <v>88</v>
      </c>
      <c r="F400" t="s">
        <v>86</v>
      </c>
      <c r="G400">
        <v>1.2773372689977001</v>
      </c>
      <c r="H400">
        <v>2E+20</v>
      </c>
      <c r="I400">
        <v>0.58089965428993495</v>
      </c>
      <c r="J400">
        <v>1.8683331654828499</v>
      </c>
      <c r="K400">
        <v>140</v>
      </c>
      <c r="L400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30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1.2678871334176696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1.0239727314929401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1.6751220567766201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0.54240657991611196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2.7561776708620398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00" s="5">
        <f>IF((DiscreteStatsTable[[#This Row],[RepsRequested]]&gt;1),DiscreteStatsTable[[#This Row],[HalfWidth]],DiscreteStatsTable[[#This Row],[BatchMeansHalfWidth]])</f>
        <v>5.9219230019787336E-2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30</v>
      </c>
      <c r="Y400" s="5">
        <f>IF(DiscreteStatsTable[[#This Row],[RepsRequested]]=DiscreteStatsTable[[#This Row],[RepsWithStatObserved]],1,0)</f>
        <v>1</v>
      </c>
    </row>
    <row r="401" spans="1:25" x14ac:dyDescent="0.3">
      <c r="A401" t="s">
        <v>66</v>
      </c>
      <c r="B401" t="s">
        <v>68</v>
      </c>
      <c r="C401">
        <v>12</v>
      </c>
      <c r="D401" t="s">
        <v>84</v>
      </c>
      <c r="E401" t="s">
        <v>89</v>
      </c>
      <c r="F401" t="s">
        <v>86</v>
      </c>
      <c r="G401">
        <v>0.28573843769491197</v>
      </c>
      <c r="H401">
        <v>2E+20</v>
      </c>
      <c r="I401">
        <v>0.19558726582775501</v>
      </c>
      <c r="J401">
        <v>0.41762149108093</v>
      </c>
      <c r="K401">
        <v>140</v>
      </c>
      <c r="L401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30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0.28507753690424381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0.27840426452549899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0.29234258706294097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0.17212578810766199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0.61921751163804895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01" s="5">
        <f>IF((DiscreteStatsTable[[#This Row],[RepsRequested]]&gt;1),DiscreteStatsTable[[#This Row],[HalfWidth]],DiscreteStatsTable[[#This Row],[BatchMeansHalfWidth]])</f>
        <v>1.354482514359579E-3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30</v>
      </c>
      <c r="Y401" s="5">
        <f>IF(DiscreteStatsTable[[#This Row],[RepsRequested]]=DiscreteStatsTable[[#This Row],[RepsWithStatObserved]],1,0)</f>
        <v>1</v>
      </c>
    </row>
    <row r="402" spans="1:25" x14ac:dyDescent="0.3">
      <c r="A402" t="s">
        <v>66</v>
      </c>
      <c r="B402" t="s">
        <v>68</v>
      </c>
      <c r="C402">
        <v>12</v>
      </c>
      <c r="D402" t="s">
        <v>84</v>
      </c>
      <c r="E402" t="s">
        <v>90</v>
      </c>
      <c r="F402" t="s">
        <v>86</v>
      </c>
      <c r="G402">
        <v>0.57543499338343795</v>
      </c>
      <c r="H402">
        <v>2E+20</v>
      </c>
      <c r="I402">
        <v>0.30515439737972999</v>
      </c>
      <c r="J402">
        <v>0.99377994203266595</v>
      </c>
      <c r="K402">
        <v>140</v>
      </c>
      <c r="L402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30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0.58001710844338794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0.55455631375636005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0.60577999264634597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0.24460429945259299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1.5050291241368301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02" s="5">
        <f>IF((DiscreteStatsTable[[#This Row],[RepsRequested]]&gt;1),DiscreteStatsTable[[#This Row],[HalfWidth]],DiscreteStatsTable[[#This Row],[BatchMeansHalfWidth]])</f>
        <v>5.0783400785183869E-3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30</v>
      </c>
      <c r="Y402" s="5">
        <f>IF(DiscreteStatsTable[[#This Row],[RepsRequested]]=DiscreteStatsTable[[#This Row],[RepsWithStatObserved]],1,0)</f>
        <v>1</v>
      </c>
    </row>
    <row r="403" spans="1:25" x14ac:dyDescent="0.3">
      <c r="A403" t="s">
        <v>66</v>
      </c>
      <c r="B403" t="s">
        <v>68</v>
      </c>
      <c r="C403">
        <v>12</v>
      </c>
      <c r="D403" t="s">
        <v>84</v>
      </c>
      <c r="E403" t="s">
        <v>91</v>
      </c>
      <c r="F403" t="s">
        <v>86</v>
      </c>
      <c r="G403">
        <v>0.41616383791934902</v>
      </c>
      <c r="H403">
        <v>2E+20</v>
      </c>
      <c r="I403">
        <v>0</v>
      </c>
      <c r="J403">
        <v>0.74664474010758097</v>
      </c>
      <c r="K403">
        <v>140</v>
      </c>
      <c r="L403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30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0.40279248807003726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0.177937316910317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0.814020685592315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1.24972436277344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03" s="5">
        <f>IF((DiscreteStatsTable[[#This Row],[RepsRequested]]&gt;1),DiscreteStatsTable[[#This Row],[HalfWidth]],DiscreteStatsTable[[#This Row],[BatchMeansHalfWidth]])</f>
        <v>5.8740635024535484E-2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30</v>
      </c>
      <c r="Y403" s="5">
        <f>IF(DiscreteStatsTable[[#This Row],[RepsRequested]]=DiscreteStatsTable[[#This Row],[RepsWithStatObserved]],1,0)</f>
        <v>1</v>
      </c>
    </row>
    <row r="404" spans="1:25" x14ac:dyDescent="0.3">
      <c r="A404" t="s">
        <v>66</v>
      </c>
      <c r="B404" t="s">
        <v>68</v>
      </c>
      <c r="C404">
        <v>13</v>
      </c>
      <c r="D404" t="s">
        <v>84</v>
      </c>
      <c r="E404" t="s">
        <v>85</v>
      </c>
      <c r="F404" t="s">
        <v>86</v>
      </c>
      <c r="G404">
        <v>0</v>
      </c>
      <c r="H404">
        <v>2E+20</v>
      </c>
      <c r="I404">
        <v>0</v>
      </c>
      <c r="J404">
        <v>0</v>
      </c>
      <c r="K404">
        <v>131</v>
      </c>
      <c r="L404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30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0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0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0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0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0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0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04" s="5">
        <f>IF((DiscreteStatsTable[[#This Row],[RepsRequested]]&gt;1),DiscreteStatsTable[[#This Row],[HalfWidth]],DiscreteStatsTable[[#This Row],[BatchMeansHalfWidth]])</f>
        <v>0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30</v>
      </c>
      <c r="Y404" s="5">
        <f>IF(DiscreteStatsTable[[#This Row],[RepsRequested]]=DiscreteStatsTable[[#This Row],[RepsWithStatObserved]],1,0)</f>
        <v>1</v>
      </c>
    </row>
    <row r="405" spans="1:25" x14ac:dyDescent="0.3">
      <c r="A405" t="s">
        <v>66</v>
      </c>
      <c r="B405" t="s">
        <v>68</v>
      </c>
      <c r="C405">
        <v>13</v>
      </c>
      <c r="D405" t="s">
        <v>84</v>
      </c>
      <c r="E405" t="s">
        <v>87</v>
      </c>
      <c r="F405" t="s">
        <v>86</v>
      </c>
      <c r="G405">
        <v>0</v>
      </c>
      <c r="H405">
        <v>2E+20</v>
      </c>
      <c r="I405">
        <v>0</v>
      </c>
      <c r="J405">
        <v>0</v>
      </c>
      <c r="K405">
        <v>131</v>
      </c>
      <c r="L405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30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0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0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0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0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0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05" s="5">
        <f>IF((DiscreteStatsTable[[#This Row],[RepsRequested]]&gt;1),DiscreteStatsTable[[#This Row],[HalfWidth]],DiscreteStatsTable[[#This Row],[BatchMeansHalfWidth]])</f>
        <v>0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30</v>
      </c>
      <c r="Y405" s="5">
        <f>IF(DiscreteStatsTable[[#This Row],[RepsRequested]]=DiscreteStatsTable[[#This Row],[RepsWithStatObserved]],1,0)</f>
        <v>1</v>
      </c>
    </row>
    <row r="406" spans="1:25" x14ac:dyDescent="0.3">
      <c r="A406" t="s">
        <v>66</v>
      </c>
      <c r="B406" t="s">
        <v>68</v>
      </c>
      <c r="C406">
        <v>13</v>
      </c>
      <c r="D406" t="s">
        <v>84</v>
      </c>
      <c r="E406" t="s">
        <v>88</v>
      </c>
      <c r="F406" t="s">
        <v>86</v>
      </c>
      <c r="G406">
        <v>1.37643029038732</v>
      </c>
      <c r="H406">
        <v>2E+20</v>
      </c>
      <c r="I406">
        <v>0.66480970341133006</v>
      </c>
      <c r="J406">
        <v>1.9569612186951799</v>
      </c>
      <c r="K406">
        <v>131</v>
      </c>
      <c r="L406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30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1.2678871334176696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1.0239727314929401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1.6751220567766201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0.54240657991611196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2.7561776708620398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06" s="5">
        <f>IF((DiscreteStatsTable[[#This Row],[RepsRequested]]&gt;1),DiscreteStatsTable[[#This Row],[HalfWidth]],DiscreteStatsTable[[#This Row],[BatchMeansHalfWidth]])</f>
        <v>5.9219230019787336E-2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30</v>
      </c>
      <c r="Y406" s="5">
        <f>IF(DiscreteStatsTable[[#This Row],[RepsRequested]]=DiscreteStatsTable[[#This Row],[RepsWithStatObserved]],1,0)</f>
        <v>1</v>
      </c>
    </row>
    <row r="407" spans="1:25" x14ac:dyDescent="0.3">
      <c r="A407" t="s">
        <v>66</v>
      </c>
      <c r="B407" t="s">
        <v>68</v>
      </c>
      <c r="C407">
        <v>13</v>
      </c>
      <c r="D407" t="s">
        <v>84</v>
      </c>
      <c r="E407" t="s">
        <v>89</v>
      </c>
      <c r="F407" t="s">
        <v>86</v>
      </c>
      <c r="G407">
        <v>0.28194550396415502</v>
      </c>
      <c r="H407">
        <v>2E+20</v>
      </c>
      <c r="I407">
        <v>0.205843909453053</v>
      </c>
      <c r="J407">
        <v>0.56418986122041503</v>
      </c>
      <c r="K407">
        <v>131</v>
      </c>
      <c r="L407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30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0.28507753690424381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0.27840426452549899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0.29234258706294097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0.17212578810766199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0.61921751163804895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07" s="5">
        <f>IF((DiscreteStatsTable[[#This Row],[RepsRequested]]&gt;1),DiscreteStatsTable[[#This Row],[HalfWidth]],DiscreteStatsTable[[#This Row],[BatchMeansHalfWidth]])</f>
        <v>1.354482514359579E-3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30</v>
      </c>
      <c r="Y407" s="5">
        <f>IF(DiscreteStatsTable[[#This Row],[RepsRequested]]=DiscreteStatsTable[[#This Row],[RepsWithStatObserved]],1,0)</f>
        <v>1</v>
      </c>
    </row>
    <row r="408" spans="1:25" x14ac:dyDescent="0.3">
      <c r="A408" t="s">
        <v>66</v>
      </c>
      <c r="B408" t="s">
        <v>68</v>
      </c>
      <c r="C408">
        <v>13</v>
      </c>
      <c r="D408" t="s">
        <v>84</v>
      </c>
      <c r="E408" t="s">
        <v>90</v>
      </c>
      <c r="F408" t="s">
        <v>86</v>
      </c>
      <c r="G408">
        <v>0.57847001215511196</v>
      </c>
      <c r="H408">
        <v>2E+20</v>
      </c>
      <c r="I408">
        <v>0.28288532244119402</v>
      </c>
      <c r="J408">
        <v>1.0200225030724199</v>
      </c>
      <c r="K408">
        <v>131</v>
      </c>
      <c r="L408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30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0.58001710844338794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0.55455631375636005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0.60577999264634597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0.24460429945259299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1.5050291241368301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08" s="5">
        <f>IF((DiscreteStatsTable[[#This Row],[RepsRequested]]&gt;1),DiscreteStatsTable[[#This Row],[HalfWidth]],DiscreteStatsTable[[#This Row],[BatchMeansHalfWidth]])</f>
        <v>5.0783400785183869E-3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30</v>
      </c>
      <c r="Y408" s="5">
        <f>IF(DiscreteStatsTable[[#This Row],[RepsRequested]]=DiscreteStatsTable[[#This Row],[RepsWithStatObserved]],1,0)</f>
        <v>1</v>
      </c>
    </row>
    <row r="409" spans="1:25" x14ac:dyDescent="0.3">
      <c r="A409" t="s">
        <v>66</v>
      </c>
      <c r="B409" t="s">
        <v>68</v>
      </c>
      <c r="C409">
        <v>13</v>
      </c>
      <c r="D409" t="s">
        <v>84</v>
      </c>
      <c r="E409" t="s">
        <v>91</v>
      </c>
      <c r="F409" t="s">
        <v>86</v>
      </c>
      <c r="G409">
        <v>0.51601477426805198</v>
      </c>
      <c r="H409">
        <v>2E+20</v>
      </c>
      <c r="I409">
        <v>0</v>
      </c>
      <c r="J409">
        <v>0.89280502531873995</v>
      </c>
      <c r="K409">
        <v>131</v>
      </c>
      <c r="L409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30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0.40279248807003726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0.177937316910317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0.814020685592315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1.24972436277344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09" s="5">
        <f>IF((DiscreteStatsTable[[#This Row],[RepsRequested]]&gt;1),DiscreteStatsTable[[#This Row],[HalfWidth]],DiscreteStatsTable[[#This Row],[BatchMeansHalfWidth]])</f>
        <v>5.8740635024535484E-2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30</v>
      </c>
      <c r="Y409" s="5">
        <f>IF(DiscreteStatsTable[[#This Row],[RepsRequested]]=DiscreteStatsTable[[#This Row],[RepsWithStatObserved]],1,0)</f>
        <v>1</v>
      </c>
    </row>
    <row r="410" spans="1:25" x14ac:dyDescent="0.3">
      <c r="A410" t="s">
        <v>66</v>
      </c>
      <c r="B410" t="s">
        <v>68</v>
      </c>
      <c r="C410">
        <v>14</v>
      </c>
      <c r="D410" t="s">
        <v>84</v>
      </c>
      <c r="E410" t="s">
        <v>85</v>
      </c>
      <c r="F410" t="s">
        <v>86</v>
      </c>
      <c r="G410">
        <v>0</v>
      </c>
      <c r="H410">
        <v>2E+20</v>
      </c>
      <c r="I410">
        <v>0</v>
      </c>
      <c r="J410">
        <v>0</v>
      </c>
      <c r="K410">
        <v>126</v>
      </c>
      <c r="L410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30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0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0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0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0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0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0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10" s="5">
        <f>IF((DiscreteStatsTable[[#This Row],[RepsRequested]]&gt;1),DiscreteStatsTable[[#This Row],[HalfWidth]],DiscreteStatsTable[[#This Row],[BatchMeansHalfWidth]])</f>
        <v>0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30</v>
      </c>
      <c r="Y410" s="5">
        <f>IF(DiscreteStatsTable[[#This Row],[RepsRequested]]=DiscreteStatsTable[[#This Row],[RepsWithStatObserved]],1,0)</f>
        <v>1</v>
      </c>
    </row>
    <row r="411" spans="1:25" x14ac:dyDescent="0.3">
      <c r="A411" t="s">
        <v>66</v>
      </c>
      <c r="B411" t="s">
        <v>68</v>
      </c>
      <c r="C411">
        <v>14</v>
      </c>
      <c r="D411" t="s">
        <v>84</v>
      </c>
      <c r="E411" t="s">
        <v>87</v>
      </c>
      <c r="F411" t="s">
        <v>86</v>
      </c>
      <c r="G411">
        <v>0</v>
      </c>
      <c r="H411">
        <v>2E+20</v>
      </c>
      <c r="I411">
        <v>0</v>
      </c>
      <c r="J411">
        <v>0</v>
      </c>
      <c r="K411">
        <v>126</v>
      </c>
      <c r="L411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30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0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0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0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0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0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11" s="5">
        <f>IF((DiscreteStatsTable[[#This Row],[RepsRequested]]&gt;1),DiscreteStatsTable[[#This Row],[HalfWidth]],DiscreteStatsTable[[#This Row],[BatchMeansHalfWidth]])</f>
        <v>0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30</v>
      </c>
      <c r="Y411" s="5">
        <f>IF(DiscreteStatsTable[[#This Row],[RepsRequested]]=DiscreteStatsTable[[#This Row],[RepsWithStatObserved]],1,0)</f>
        <v>1</v>
      </c>
    </row>
    <row r="412" spans="1:25" x14ac:dyDescent="0.3">
      <c r="A412" t="s">
        <v>66</v>
      </c>
      <c r="B412" t="s">
        <v>68</v>
      </c>
      <c r="C412">
        <v>14</v>
      </c>
      <c r="D412" t="s">
        <v>84</v>
      </c>
      <c r="E412" t="s">
        <v>88</v>
      </c>
      <c r="F412" t="s">
        <v>86</v>
      </c>
      <c r="G412">
        <v>1.1082918465728999</v>
      </c>
      <c r="H412">
        <v>2E+20</v>
      </c>
      <c r="I412">
        <v>0.63950156553207005</v>
      </c>
      <c r="J412">
        <v>1.69640545652521</v>
      </c>
      <c r="K412">
        <v>126</v>
      </c>
      <c r="L412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30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1.2678871334176696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1.0239727314929401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1.6751220567766201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0.54240657991611196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2.7561776708620398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12" s="5">
        <f>IF((DiscreteStatsTable[[#This Row],[RepsRequested]]&gt;1),DiscreteStatsTable[[#This Row],[HalfWidth]],DiscreteStatsTable[[#This Row],[BatchMeansHalfWidth]])</f>
        <v>5.9219230019787336E-2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30</v>
      </c>
      <c r="Y412" s="5">
        <f>IF(DiscreteStatsTable[[#This Row],[RepsRequested]]=DiscreteStatsTable[[#This Row],[RepsWithStatObserved]],1,0)</f>
        <v>1</v>
      </c>
    </row>
    <row r="413" spans="1:25" x14ac:dyDescent="0.3">
      <c r="A413" t="s">
        <v>66</v>
      </c>
      <c r="B413" t="s">
        <v>68</v>
      </c>
      <c r="C413">
        <v>14</v>
      </c>
      <c r="D413" t="s">
        <v>84</v>
      </c>
      <c r="E413" t="s">
        <v>89</v>
      </c>
      <c r="F413" t="s">
        <v>86</v>
      </c>
      <c r="G413">
        <v>0.29136751986244602</v>
      </c>
      <c r="H413">
        <v>2E+20</v>
      </c>
      <c r="I413">
        <v>0.21401024996707699</v>
      </c>
      <c r="J413">
        <v>0.46816162665000899</v>
      </c>
      <c r="K413">
        <v>126</v>
      </c>
      <c r="L413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30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0.28507753690424381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0.27840426452549899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0.29234258706294097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0.17212578810766199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0.61921751163804895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13" s="5">
        <f>IF((DiscreteStatsTable[[#This Row],[RepsRequested]]&gt;1),DiscreteStatsTable[[#This Row],[HalfWidth]],DiscreteStatsTable[[#This Row],[BatchMeansHalfWidth]])</f>
        <v>1.354482514359579E-3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30</v>
      </c>
      <c r="Y413" s="5">
        <f>IF(DiscreteStatsTable[[#This Row],[RepsRequested]]=DiscreteStatsTable[[#This Row],[RepsWithStatObserved]],1,0)</f>
        <v>1</v>
      </c>
    </row>
    <row r="414" spans="1:25" x14ac:dyDescent="0.3">
      <c r="A414" t="s">
        <v>66</v>
      </c>
      <c r="B414" t="s">
        <v>68</v>
      </c>
      <c r="C414">
        <v>14</v>
      </c>
      <c r="D414" t="s">
        <v>84</v>
      </c>
      <c r="E414" t="s">
        <v>90</v>
      </c>
      <c r="F414" t="s">
        <v>86</v>
      </c>
      <c r="G414">
        <v>0.593262104121005</v>
      </c>
      <c r="H414">
        <v>2E+20</v>
      </c>
      <c r="I414">
        <v>0.287744624910861</v>
      </c>
      <c r="J414">
        <v>0.945951623456182</v>
      </c>
      <c r="K414">
        <v>126</v>
      </c>
      <c r="L414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30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0.58001710844338794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0.55455631375636005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0.60577999264634597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0.24460429945259299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1.5050291241368301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14" s="5">
        <f>IF((DiscreteStatsTable[[#This Row],[RepsRequested]]&gt;1),DiscreteStatsTable[[#This Row],[HalfWidth]],DiscreteStatsTable[[#This Row],[BatchMeansHalfWidth]])</f>
        <v>5.0783400785183869E-3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30</v>
      </c>
      <c r="Y414" s="5">
        <f>IF(DiscreteStatsTable[[#This Row],[RepsRequested]]=DiscreteStatsTable[[#This Row],[RepsWithStatObserved]],1,0)</f>
        <v>1</v>
      </c>
    </row>
    <row r="415" spans="1:25" x14ac:dyDescent="0.3">
      <c r="A415" t="s">
        <v>66</v>
      </c>
      <c r="B415" t="s">
        <v>68</v>
      </c>
      <c r="C415">
        <v>14</v>
      </c>
      <c r="D415" t="s">
        <v>84</v>
      </c>
      <c r="E415" t="s">
        <v>91</v>
      </c>
      <c r="F415" t="s">
        <v>86</v>
      </c>
      <c r="G415">
        <v>0.22366222258944399</v>
      </c>
      <c r="H415">
        <v>2E+20</v>
      </c>
      <c r="I415">
        <v>0</v>
      </c>
      <c r="J415">
        <v>0.49707297850578702</v>
      </c>
      <c r="K415">
        <v>126</v>
      </c>
      <c r="L415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30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0.40279248807003726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0.177937316910317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0.814020685592315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1.24972436277344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15" s="5">
        <f>IF((DiscreteStatsTable[[#This Row],[RepsRequested]]&gt;1),DiscreteStatsTable[[#This Row],[HalfWidth]],DiscreteStatsTable[[#This Row],[BatchMeansHalfWidth]])</f>
        <v>5.8740635024535484E-2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30</v>
      </c>
      <c r="Y415" s="5">
        <f>IF(DiscreteStatsTable[[#This Row],[RepsRequested]]=DiscreteStatsTable[[#This Row],[RepsWithStatObserved]],1,0)</f>
        <v>1</v>
      </c>
    </row>
    <row r="416" spans="1:25" x14ac:dyDescent="0.3">
      <c r="A416" t="s">
        <v>66</v>
      </c>
      <c r="B416" t="s">
        <v>68</v>
      </c>
      <c r="C416">
        <v>15</v>
      </c>
      <c r="D416" t="s">
        <v>84</v>
      </c>
      <c r="E416" t="s">
        <v>85</v>
      </c>
      <c r="F416" t="s">
        <v>86</v>
      </c>
      <c r="G416">
        <v>0</v>
      </c>
      <c r="H416">
        <v>2E+20</v>
      </c>
      <c r="I416">
        <v>0</v>
      </c>
      <c r="J416">
        <v>0</v>
      </c>
      <c r="K416">
        <v>138</v>
      </c>
      <c r="L416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30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0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0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0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0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0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0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16" s="5">
        <f>IF((DiscreteStatsTable[[#This Row],[RepsRequested]]&gt;1),DiscreteStatsTable[[#This Row],[HalfWidth]],DiscreteStatsTable[[#This Row],[BatchMeansHalfWidth]])</f>
        <v>0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30</v>
      </c>
      <c r="Y416" s="5">
        <f>IF(DiscreteStatsTable[[#This Row],[RepsRequested]]=DiscreteStatsTable[[#This Row],[RepsWithStatObserved]],1,0)</f>
        <v>1</v>
      </c>
    </row>
    <row r="417" spans="1:25" x14ac:dyDescent="0.3">
      <c r="A417" t="s">
        <v>66</v>
      </c>
      <c r="B417" t="s">
        <v>68</v>
      </c>
      <c r="C417">
        <v>15</v>
      </c>
      <c r="D417" t="s">
        <v>84</v>
      </c>
      <c r="E417" t="s">
        <v>87</v>
      </c>
      <c r="F417" t="s">
        <v>86</v>
      </c>
      <c r="G417">
        <v>0</v>
      </c>
      <c r="H417">
        <v>2E+20</v>
      </c>
      <c r="I417">
        <v>0</v>
      </c>
      <c r="J417">
        <v>0</v>
      </c>
      <c r="K417">
        <v>138</v>
      </c>
      <c r="L417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30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0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0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0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0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0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17" s="5">
        <f>IF((DiscreteStatsTable[[#This Row],[RepsRequested]]&gt;1),DiscreteStatsTable[[#This Row],[HalfWidth]],DiscreteStatsTable[[#This Row],[BatchMeansHalfWidth]])</f>
        <v>0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30</v>
      </c>
      <c r="Y417" s="5">
        <f>IF(DiscreteStatsTable[[#This Row],[RepsRequested]]=DiscreteStatsTable[[#This Row],[RepsWithStatObserved]],1,0)</f>
        <v>1</v>
      </c>
    </row>
    <row r="418" spans="1:25" x14ac:dyDescent="0.3">
      <c r="A418" t="s">
        <v>66</v>
      </c>
      <c r="B418" t="s">
        <v>68</v>
      </c>
      <c r="C418">
        <v>15</v>
      </c>
      <c r="D418" t="s">
        <v>84</v>
      </c>
      <c r="E418" t="s">
        <v>88</v>
      </c>
      <c r="F418" t="s">
        <v>86</v>
      </c>
      <c r="G418">
        <v>1.0734816122159401</v>
      </c>
      <c r="H418">
        <v>2E+20</v>
      </c>
      <c r="I418">
        <v>0.62585626659277804</v>
      </c>
      <c r="J418">
        <v>1.67490540060237</v>
      </c>
      <c r="K418">
        <v>138</v>
      </c>
      <c r="L418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30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1.2678871334176696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1.0239727314929401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1.6751220567766201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0.54240657991611196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2.7561776708620398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18" s="5">
        <f>IF((DiscreteStatsTable[[#This Row],[RepsRequested]]&gt;1),DiscreteStatsTable[[#This Row],[HalfWidth]],DiscreteStatsTable[[#This Row],[BatchMeansHalfWidth]])</f>
        <v>5.9219230019787336E-2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30</v>
      </c>
      <c r="Y418" s="5">
        <f>IF(DiscreteStatsTable[[#This Row],[RepsRequested]]=DiscreteStatsTable[[#This Row],[RepsWithStatObserved]],1,0)</f>
        <v>1</v>
      </c>
    </row>
    <row r="419" spans="1:25" x14ac:dyDescent="0.3">
      <c r="A419" t="s">
        <v>66</v>
      </c>
      <c r="B419" t="s">
        <v>68</v>
      </c>
      <c r="C419">
        <v>15</v>
      </c>
      <c r="D419" t="s">
        <v>84</v>
      </c>
      <c r="E419" t="s">
        <v>89</v>
      </c>
      <c r="F419" t="s">
        <v>86</v>
      </c>
      <c r="G419">
        <v>0.281873563451215</v>
      </c>
      <c r="H419">
        <v>2E+20</v>
      </c>
      <c r="I419">
        <v>0.191515219457848</v>
      </c>
      <c r="J419">
        <v>0.50396049982454505</v>
      </c>
      <c r="K419">
        <v>138</v>
      </c>
      <c r="L419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30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0.28507753690424381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0.27840426452549899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0.29234258706294097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0.17212578810766199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0.61921751163804895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19" s="5">
        <f>IF((DiscreteStatsTable[[#This Row],[RepsRequested]]&gt;1),DiscreteStatsTable[[#This Row],[HalfWidth]],DiscreteStatsTable[[#This Row],[BatchMeansHalfWidth]])</f>
        <v>1.354482514359579E-3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30</v>
      </c>
      <c r="Y419" s="5">
        <f>IF(DiscreteStatsTable[[#This Row],[RepsRequested]]=DiscreteStatsTable[[#This Row],[RepsWithStatObserved]],1,0)</f>
        <v>1</v>
      </c>
    </row>
    <row r="420" spans="1:25" x14ac:dyDescent="0.3">
      <c r="A420" t="s">
        <v>66</v>
      </c>
      <c r="B420" t="s">
        <v>68</v>
      </c>
      <c r="C420">
        <v>15</v>
      </c>
      <c r="D420" t="s">
        <v>84</v>
      </c>
      <c r="E420" t="s">
        <v>90</v>
      </c>
      <c r="F420" t="s">
        <v>86</v>
      </c>
      <c r="G420">
        <v>0.57151429312519797</v>
      </c>
      <c r="H420">
        <v>2E+20</v>
      </c>
      <c r="I420">
        <v>0.29735890282060601</v>
      </c>
      <c r="J420">
        <v>0.97229355316459698</v>
      </c>
      <c r="K420">
        <v>138</v>
      </c>
      <c r="L420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30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0.58001710844338794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0.55455631375636005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0.60577999264634597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0.24460429945259299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1.5050291241368301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20" s="5">
        <f>IF((DiscreteStatsTable[[#This Row],[RepsRequested]]&gt;1),DiscreteStatsTable[[#This Row],[HalfWidth]],DiscreteStatsTable[[#This Row],[BatchMeansHalfWidth]])</f>
        <v>5.0783400785183869E-3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30</v>
      </c>
      <c r="Y420" s="5">
        <f>IF(DiscreteStatsTable[[#This Row],[RepsRequested]]=DiscreteStatsTable[[#This Row],[RepsWithStatObserved]],1,0)</f>
        <v>1</v>
      </c>
    </row>
    <row r="421" spans="1:25" x14ac:dyDescent="0.3">
      <c r="A421" t="s">
        <v>66</v>
      </c>
      <c r="B421" t="s">
        <v>68</v>
      </c>
      <c r="C421">
        <v>15</v>
      </c>
      <c r="D421" t="s">
        <v>84</v>
      </c>
      <c r="E421" t="s">
        <v>91</v>
      </c>
      <c r="F421" t="s">
        <v>86</v>
      </c>
      <c r="G421">
        <v>0.22009375563952499</v>
      </c>
      <c r="H421">
        <v>2E+20</v>
      </c>
      <c r="I421">
        <v>0</v>
      </c>
      <c r="J421">
        <v>0.47141204718512397</v>
      </c>
      <c r="K421">
        <v>138</v>
      </c>
      <c r="L421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30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0.40279248807003726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0.177937316910317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0.814020685592315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1.24972436277344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21" s="5">
        <f>IF((DiscreteStatsTable[[#This Row],[RepsRequested]]&gt;1),DiscreteStatsTable[[#This Row],[HalfWidth]],DiscreteStatsTable[[#This Row],[BatchMeansHalfWidth]])</f>
        <v>5.8740635024535484E-2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30</v>
      </c>
      <c r="Y421" s="5">
        <f>IF(DiscreteStatsTable[[#This Row],[RepsRequested]]=DiscreteStatsTable[[#This Row],[RepsWithStatObserved]],1,0)</f>
        <v>1</v>
      </c>
    </row>
    <row r="422" spans="1:25" x14ac:dyDescent="0.3">
      <c r="A422" t="s">
        <v>66</v>
      </c>
      <c r="B422" t="s">
        <v>68</v>
      </c>
      <c r="C422">
        <v>16</v>
      </c>
      <c r="D422" t="s">
        <v>84</v>
      </c>
      <c r="E422" t="s">
        <v>85</v>
      </c>
      <c r="F422" t="s">
        <v>86</v>
      </c>
      <c r="G422">
        <v>0</v>
      </c>
      <c r="H422">
        <v>2E+20</v>
      </c>
      <c r="I422">
        <v>0</v>
      </c>
      <c r="J422">
        <v>0</v>
      </c>
      <c r="K422">
        <v>145</v>
      </c>
      <c r="L422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30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0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0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0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0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0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0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22" s="5">
        <f>IF((DiscreteStatsTable[[#This Row],[RepsRequested]]&gt;1),DiscreteStatsTable[[#This Row],[HalfWidth]],DiscreteStatsTable[[#This Row],[BatchMeansHalfWidth]])</f>
        <v>0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30</v>
      </c>
      <c r="Y422" s="5">
        <f>IF(DiscreteStatsTable[[#This Row],[RepsRequested]]=DiscreteStatsTable[[#This Row],[RepsWithStatObserved]],1,0)</f>
        <v>1</v>
      </c>
    </row>
    <row r="423" spans="1:25" x14ac:dyDescent="0.3">
      <c r="A423" t="s">
        <v>66</v>
      </c>
      <c r="B423" t="s">
        <v>68</v>
      </c>
      <c r="C423">
        <v>16</v>
      </c>
      <c r="D423" t="s">
        <v>84</v>
      </c>
      <c r="E423" t="s">
        <v>87</v>
      </c>
      <c r="F423" t="s">
        <v>86</v>
      </c>
      <c r="G423">
        <v>0</v>
      </c>
      <c r="H423">
        <v>2E+20</v>
      </c>
      <c r="I423">
        <v>0</v>
      </c>
      <c r="J423">
        <v>0</v>
      </c>
      <c r="K423">
        <v>145</v>
      </c>
      <c r="L423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30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0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0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0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0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0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23" s="5">
        <f>IF((DiscreteStatsTable[[#This Row],[RepsRequested]]&gt;1),DiscreteStatsTable[[#This Row],[HalfWidth]],DiscreteStatsTable[[#This Row],[BatchMeansHalfWidth]])</f>
        <v>0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30</v>
      </c>
      <c r="Y423" s="5">
        <f>IF(DiscreteStatsTable[[#This Row],[RepsRequested]]=DiscreteStatsTable[[#This Row],[RepsWithStatObserved]],1,0)</f>
        <v>1</v>
      </c>
    </row>
    <row r="424" spans="1:25" x14ac:dyDescent="0.3">
      <c r="A424" t="s">
        <v>66</v>
      </c>
      <c r="B424" t="s">
        <v>68</v>
      </c>
      <c r="C424">
        <v>16</v>
      </c>
      <c r="D424" t="s">
        <v>84</v>
      </c>
      <c r="E424" t="s">
        <v>88</v>
      </c>
      <c r="F424" t="s">
        <v>86</v>
      </c>
      <c r="G424">
        <v>1.51177118901033</v>
      </c>
      <c r="H424">
        <v>2E+20</v>
      </c>
      <c r="I424">
        <v>0.74066502566469905</v>
      </c>
      <c r="J424">
        <v>2.7172135616429198</v>
      </c>
      <c r="K424">
        <v>145</v>
      </c>
      <c r="L424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30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1.2678871334176696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1.0239727314929401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1.6751220567766201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0.54240657991611196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2.7561776708620398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24" s="5">
        <f>IF((DiscreteStatsTable[[#This Row],[RepsRequested]]&gt;1),DiscreteStatsTable[[#This Row],[HalfWidth]],DiscreteStatsTable[[#This Row],[BatchMeansHalfWidth]])</f>
        <v>5.9219230019787336E-2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30</v>
      </c>
      <c r="Y424" s="5">
        <f>IF(DiscreteStatsTable[[#This Row],[RepsRequested]]=DiscreteStatsTable[[#This Row],[RepsWithStatObserved]],1,0)</f>
        <v>1</v>
      </c>
    </row>
    <row r="425" spans="1:25" x14ac:dyDescent="0.3">
      <c r="A425" t="s">
        <v>66</v>
      </c>
      <c r="B425" t="s">
        <v>68</v>
      </c>
      <c r="C425">
        <v>16</v>
      </c>
      <c r="D425" t="s">
        <v>84</v>
      </c>
      <c r="E425" t="s">
        <v>89</v>
      </c>
      <c r="F425" t="s">
        <v>86</v>
      </c>
      <c r="G425">
        <v>0.29227768939634302</v>
      </c>
      <c r="H425">
        <v>2E+20</v>
      </c>
      <c r="I425">
        <v>0.196218408510937</v>
      </c>
      <c r="J425">
        <v>0.61921751163804895</v>
      </c>
      <c r="K425">
        <v>145</v>
      </c>
      <c r="L425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30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0.28507753690424381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0.27840426452549899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0.29234258706294097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0.17212578810766199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0.61921751163804895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25" s="5">
        <f>IF((DiscreteStatsTable[[#This Row],[RepsRequested]]&gt;1),DiscreteStatsTable[[#This Row],[HalfWidth]],DiscreteStatsTable[[#This Row],[BatchMeansHalfWidth]])</f>
        <v>1.354482514359579E-3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30</v>
      </c>
      <c r="Y425" s="5">
        <f>IF(DiscreteStatsTable[[#This Row],[RepsRequested]]=DiscreteStatsTable[[#This Row],[RepsWithStatObserved]],1,0)</f>
        <v>1</v>
      </c>
    </row>
    <row r="426" spans="1:25" x14ac:dyDescent="0.3">
      <c r="A426" t="s">
        <v>66</v>
      </c>
      <c r="B426" t="s">
        <v>68</v>
      </c>
      <c r="C426">
        <v>16</v>
      </c>
      <c r="D426" t="s">
        <v>84</v>
      </c>
      <c r="E426" t="s">
        <v>90</v>
      </c>
      <c r="F426" t="s">
        <v>86</v>
      </c>
      <c r="G426">
        <v>0.58123474898620198</v>
      </c>
      <c r="H426">
        <v>2E+20</v>
      </c>
      <c r="I426">
        <v>0.29834592135390597</v>
      </c>
      <c r="J426">
        <v>0.99661484325054905</v>
      </c>
      <c r="K426">
        <v>145</v>
      </c>
      <c r="L426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30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0.58001710844338794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0.55455631375636005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0.60577999264634597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0.24460429945259299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1.5050291241368301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26" s="5">
        <f>IF((DiscreteStatsTable[[#This Row],[RepsRequested]]&gt;1),DiscreteStatsTable[[#This Row],[HalfWidth]],DiscreteStatsTable[[#This Row],[BatchMeansHalfWidth]])</f>
        <v>5.0783400785183869E-3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30</v>
      </c>
      <c r="Y426" s="5">
        <f>IF(DiscreteStatsTable[[#This Row],[RepsRequested]]=DiscreteStatsTable[[#This Row],[RepsWithStatObserved]],1,0)</f>
        <v>1</v>
      </c>
    </row>
    <row r="427" spans="1:25" x14ac:dyDescent="0.3">
      <c r="A427" t="s">
        <v>66</v>
      </c>
      <c r="B427" t="s">
        <v>68</v>
      </c>
      <c r="C427">
        <v>16</v>
      </c>
      <c r="D427" t="s">
        <v>84</v>
      </c>
      <c r="E427" t="s">
        <v>91</v>
      </c>
      <c r="F427" t="s">
        <v>86</v>
      </c>
      <c r="G427">
        <v>0.63825875062778004</v>
      </c>
      <c r="H427">
        <v>2E+20</v>
      </c>
      <c r="I427">
        <v>0.11715925075294201</v>
      </c>
      <c r="J427">
        <v>1.1013812067543201</v>
      </c>
      <c r="K427">
        <v>145</v>
      </c>
      <c r="L427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30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0.40279248807003726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0.177937316910317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0.814020685592315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1.24972436277344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27" s="5">
        <f>IF((DiscreteStatsTable[[#This Row],[RepsRequested]]&gt;1),DiscreteStatsTable[[#This Row],[HalfWidth]],DiscreteStatsTable[[#This Row],[BatchMeansHalfWidth]])</f>
        <v>5.8740635024535484E-2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30</v>
      </c>
      <c r="Y427" s="5">
        <f>IF(DiscreteStatsTable[[#This Row],[RepsRequested]]=DiscreteStatsTable[[#This Row],[RepsWithStatObserved]],1,0)</f>
        <v>1</v>
      </c>
    </row>
    <row r="428" spans="1:25" x14ac:dyDescent="0.3">
      <c r="A428" t="s">
        <v>66</v>
      </c>
      <c r="B428" t="s">
        <v>68</v>
      </c>
      <c r="C428">
        <v>17</v>
      </c>
      <c r="D428" t="s">
        <v>84</v>
      </c>
      <c r="E428" t="s">
        <v>85</v>
      </c>
      <c r="F428" t="s">
        <v>86</v>
      </c>
      <c r="G428">
        <v>0</v>
      </c>
      <c r="H428">
        <v>2E+20</v>
      </c>
      <c r="I428">
        <v>0</v>
      </c>
      <c r="J428">
        <v>0</v>
      </c>
      <c r="K428">
        <v>125</v>
      </c>
      <c r="L428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30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0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0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0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0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0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0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28" s="5">
        <f>IF((DiscreteStatsTable[[#This Row],[RepsRequested]]&gt;1),DiscreteStatsTable[[#This Row],[HalfWidth]],DiscreteStatsTable[[#This Row],[BatchMeansHalfWidth]])</f>
        <v>0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30</v>
      </c>
      <c r="Y428" s="5">
        <f>IF(DiscreteStatsTable[[#This Row],[RepsRequested]]=DiscreteStatsTable[[#This Row],[RepsWithStatObserved]],1,0)</f>
        <v>1</v>
      </c>
    </row>
    <row r="429" spans="1:25" x14ac:dyDescent="0.3">
      <c r="A429" t="s">
        <v>66</v>
      </c>
      <c r="B429" t="s">
        <v>68</v>
      </c>
      <c r="C429">
        <v>17</v>
      </c>
      <c r="D429" t="s">
        <v>84</v>
      </c>
      <c r="E429" t="s">
        <v>87</v>
      </c>
      <c r="F429" t="s">
        <v>86</v>
      </c>
      <c r="G429">
        <v>0</v>
      </c>
      <c r="H429">
        <v>2E+20</v>
      </c>
      <c r="I429">
        <v>0</v>
      </c>
      <c r="J429">
        <v>0</v>
      </c>
      <c r="K429">
        <v>125</v>
      </c>
      <c r="L429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30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0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0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0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0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0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29" s="5">
        <f>IF((DiscreteStatsTable[[#This Row],[RepsRequested]]&gt;1),DiscreteStatsTable[[#This Row],[HalfWidth]],DiscreteStatsTable[[#This Row],[BatchMeansHalfWidth]])</f>
        <v>0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30</v>
      </c>
      <c r="Y429" s="5">
        <f>IF(DiscreteStatsTable[[#This Row],[RepsRequested]]=DiscreteStatsTable[[#This Row],[RepsWithStatObserved]],1,0)</f>
        <v>1</v>
      </c>
    </row>
    <row r="430" spans="1:25" x14ac:dyDescent="0.3">
      <c r="A430" t="s">
        <v>66</v>
      </c>
      <c r="B430" t="s">
        <v>68</v>
      </c>
      <c r="C430">
        <v>17</v>
      </c>
      <c r="D430" t="s">
        <v>84</v>
      </c>
      <c r="E430" t="s">
        <v>88</v>
      </c>
      <c r="F430" t="s">
        <v>86</v>
      </c>
      <c r="G430">
        <v>1.2357737106579301</v>
      </c>
      <c r="H430">
        <v>2E+20</v>
      </c>
      <c r="I430">
        <v>0.66696279950513004</v>
      </c>
      <c r="J430">
        <v>2.1079168314297299</v>
      </c>
      <c r="K430">
        <v>125</v>
      </c>
      <c r="L430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30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1.2678871334176696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1.0239727314929401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1.6751220567766201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0.54240657991611196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2.7561776708620398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30" s="5">
        <f>IF((DiscreteStatsTable[[#This Row],[RepsRequested]]&gt;1),DiscreteStatsTable[[#This Row],[HalfWidth]],DiscreteStatsTable[[#This Row],[BatchMeansHalfWidth]])</f>
        <v>5.9219230019787336E-2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30</v>
      </c>
      <c r="Y430" s="5">
        <f>IF(DiscreteStatsTable[[#This Row],[RepsRequested]]=DiscreteStatsTable[[#This Row],[RepsWithStatObserved]],1,0)</f>
        <v>1</v>
      </c>
    </row>
    <row r="431" spans="1:25" x14ac:dyDescent="0.3">
      <c r="A431" t="s">
        <v>66</v>
      </c>
      <c r="B431" t="s">
        <v>68</v>
      </c>
      <c r="C431">
        <v>17</v>
      </c>
      <c r="D431" t="s">
        <v>84</v>
      </c>
      <c r="E431" t="s">
        <v>89</v>
      </c>
      <c r="F431" t="s">
        <v>86</v>
      </c>
      <c r="G431">
        <v>0.28633122299049901</v>
      </c>
      <c r="H431">
        <v>2E+20</v>
      </c>
      <c r="I431">
        <v>0.196088058985872</v>
      </c>
      <c r="J431">
        <v>0.49245012737480598</v>
      </c>
      <c r="K431">
        <v>125</v>
      </c>
      <c r="L431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30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0.28507753690424381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0.27840426452549899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0.29234258706294097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0.17212578810766199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0.61921751163804895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31" s="5">
        <f>IF((DiscreteStatsTable[[#This Row],[RepsRequested]]&gt;1),DiscreteStatsTable[[#This Row],[HalfWidth]],DiscreteStatsTable[[#This Row],[BatchMeansHalfWidth]])</f>
        <v>1.354482514359579E-3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30</v>
      </c>
      <c r="Y431" s="5">
        <f>IF(DiscreteStatsTable[[#This Row],[RepsRequested]]=DiscreteStatsTable[[#This Row],[RepsWithStatObserved]],1,0)</f>
        <v>1</v>
      </c>
    </row>
    <row r="432" spans="1:25" x14ac:dyDescent="0.3">
      <c r="A432" t="s">
        <v>66</v>
      </c>
      <c r="B432" t="s">
        <v>68</v>
      </c>
      <c r="C432">
        <v>17</v>
      </c>
      <c r="D432" t="s">
        <v>84</v>
      </c>
      <c r="E432" t="s">
        <v>90</v>
      </c>
      <c r="F432" t="s">
        <v>86</v>
      </c>
      <c r="G432">
        <v>0.60577999264634597</v>
      </c>
      <c r="H432">
        <v>2E+20</v>
      </c>
      <c r="I432">
        <v>0.27920870663460101</v>
      </c>
      <c r="J432">
        <v>1.0446456344588499</v>
      </c>
      <c r="K432">
        <v>125</v>
      </c>
      <c r="L432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30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0.58001710844338794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0.55455631375636005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0.60577999264634597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0.24460429945259299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1.5050291241368301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32" s="5">
        <f>IF((DiscreteStatsTable[[#This Row],[RepsRequested]]&gt;1),DiscreteStatsTable[[#This Row],[HalfWidth]],DiscreteStatsTable[[#This Row],[BatchMeansHalfWidth]])</f>
        <v>5.0783400785183869E-3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30</v>
      </c>
      <c r="Y432" s="5">
        <f>IF(DiscreteStatsTable[[#This Row],[RepsRequested]]=DiscreteStatsTable[[#This Row],[RepsWithStatObserved]],1,0)</f>
        <v>1</v>
      </c>
    </row>
    <row r="433" spans="1:25" x14ac:dyDescent="0.3">
      <c r="A433" t="s">
        <v>66</v>
      </c>
      <c r="B433" t="s">
        <v>68</v>
      </c>
      <c r="C433">
        <v>17</v>
      </c>
      <c r="D433" t="s">
        <v>84</v>
      </c>
      <c r="E433" t="s">
        <v>91</v>
      </c>
      <c r="F433" t="s">
        <v>86</v>
      </c>
      <c r="G433">
        <v>0.34366249502108398</v>
      </c>
      <c r="H433">
        <v>2E+20</v>
      </c>
      <c r="I433">
        <v>0</v>
      </c>
      <c r="J433">
        <v>0.62122981930660404</v>
      </c>
      <c r="K433">
        <v>125</v>
      </c>
      <c r="L433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30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0.40279248807003726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0.177937316910317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0.814020685592315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1.24972436277344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33" s="5">
        <f>IF((DiscreteStatsTable[[#This Row],[RepsRequested]]&gt;1),DiscreteStatsTable[[#This Row],[HalfWidth]],DiscreteStatsTable[[#This Row],[BatchMeansHalfWidth]])</f>
        <v>5.8740635024535484E-2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30</v>
      </c>
      <c r="Y433" s="5">
        <f>IF(DiscreteStatsTable[[#This Row],[RepsRequested]]=DiscreteStatsTable[[#This Row],[RepsWithStatObserved]],1,0)</f>
        <v>1</v>
      </c>
    </row>
    <row r="434" spans="1:25" x14ac:dyDescent="0.3">
      <c r="A434" t="s">
        <v>66</v>
      </c>
      <c r="B434" t="s">
        <v>68</v>
      </c>
      <c r="C434">
        <v>18</v>
      </c>
      <c r="D434" t="s">
        <v>84</v>
      </c>
      <c r="E434" t="s">
        <v>85</v>
      </c>
      <c r="F434" t="s">
        <v>86</v>
      </c>
      <c r="G434">
        <v>0</v>
      </c>
      <c r="H434">
        <v>2E+20</v>
      </c>
      <c r="I434">
        <v>0</v>
      </c>
      <c r="J434">
        <v>0</v>
      </c>
      <c r="K434">
        <v>140</v>
      </c>
      <c r="L434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30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0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0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0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0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0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0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34" s="5">
        <f>IF((DiscreteStatsTable[[#This Row],[RepsRequested]]&gt;1),DiscreteStatsTable[[#This Row],[HalfWidth]],DiscreteStatsTable[[#This Row],[BatchMeansHalfWidth]])</f>
        <v>0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30</v>
      </c>
      <c r="Y434" s="5">
        <f>IF(DiscreteStatsTable[[#This Row],[RepsRequested]]=DiscreteStatsTable[[#This Row],[RepsWithStatObserved]],1,0)</f>
        <v>1</v>
      </c>
    </row>
    <row r="435" spans="1:25" x14ac:dyDescent="0.3">
      <c r="A435" t="s">
        <v>66</v>
      </c>
      <c r="B435" t="s">
        <v>68</v>
      </c>
      <c r="C435">
        <v>18</v>
      </c>
      <c r="D435" t="s">
        <v>84</v>
      </c>
      <c r="E435" t="s">
        <v>87</v>
      </c>
      <c r="F435" t="s">
        <v>86</v>
      </c>
      <c r="G435">
        <v>0</v>
      </c>
      <c r="H435">
        <v>2E+20</v>
      </c>
      <c r="I435">
        <v>0</v>
      </c>
      <c r="J435">
        <v>0</v>
      </c>
      <c r="K435">
        <v>140</v>
      </c>
      <c r="L435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30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0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0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0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0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0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35" s="5">
        <f>IF((DiscreteStatsTable[[#This Row],[RepsRequested]]&gt;1),DiscreteStatsTable[[#This Row],[HalfWidth]],DiscreteStatsTable[[#This Row],[BatchMeansHalfWidth]])</f>
        <v>0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30</v>
      </c>
      <c r="Y435" s="5">
        <f>IF(DiscreteStatsTable[[#This Row],[RepsRequested]]=DiscreteStatsTable[[#This Row],[RepsWithStatObserved]],1,0)</f>
        <v>1</v>
      </c>
    </row>
    <row r="436" spans="1:25" x14ac:dyDescent="0.3">
      <c r="A436" t="s">
        <v>66</v>
      </c>
      <c r="B436" t="s">
        <v>68</v>
      </c>
      <c r="C436">
        <v>18</v>
      </c>
      <c r="D436" t="s">
        <v>84</v>
      </c>
      <c r="E436" t="s">
        <v>88</v>
      </c>
      <c r="F436" t="s">
        <v>86</v>
      </c>
      <c r="G436">
        <v>1.24953287830908</v>
      </c>
      <c r="H436">
        <v>2E+20</v>
      </c>
      <c r="I436">
        <v>0.66356453684231298</v>
      </c>
      <c r="J436">
        <v>1.8954853514241901</v>
      </c>
      <c r="K436">
        <v>140</v>
      </c>
      <c r="L436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30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1.2678871334176696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1.0239727314929401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1.6751220567766201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0.54240657991611196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2.7561776708620398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36" s="5">
        <f>IF((DiscreteStatsTable[[#This Row],[RepsRequested]]&gt;1),DiscreteStatsTable[[#This Row],[HalfWidth]],DiscreteStatsTable[[#This Row],[BatchMeansHalfWidth]])</f>
        <v>5.9219230019787336E-2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30</v>
      </c>
      <c r="Y436" s="5">
        <f>IF(DiscreteStatsTable[[#This Row],[RepsRequested]]=DiscreteStatsTable[[#This Row],[RepsWithStatObserved]],1,0)</f>
        <v>1</v>
      </c>
    </row>
    <row r="437" spans="1:25" x14ac:dyDescent="0.3">
      <c r="A437" t="s">
        <v>66</v>
      </c>
      <c r="B437" t="s">
        <v>68</v>
      </c>
      <c r="C437">
        <v>18</v>
      </c>
      <c r="D437" t="s">
        <v>84</v>
      </c>
      <c r="E437" t="s">
        <v>89</v>
      </c>
      <c r="F437" t="s">
        <v>86</v>
      </c>
      <c r="G437">
        <v>0.28449344996914</v>
      </c>
      <c r="H437">
        <v>2E+20</v>
      </c>
      <c r="I437">
        <v>0.207097372117757</v>
      </c>
      <c r="J437">
        <v>0.50625193693036197</v>
      </c>
      <c r="K437">
        <v>140</v>
      </c>
      <c r="L437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30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0.28507753690424381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0.27840426452549899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0.29234258706294097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0.17212578810766199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0.61921751163804895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37" s="5">
        <f>IF((DiscreteStatsTable[[#This Row],[RepsRequested]]&gt;1),DiscreteStatsTable[[#This Row],[HalfWidth]],DiscreteStatsTable[[#This Row],[BatchMeansHalfWidth]])</f>
        <v>1.354482514359579E-3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30</v>
      </c>
      <c r="Y437" s="5">
        <f>IF(DiscreteStatsTable[[#This Row],[RepsRequested]]=DiscreteStatsTable[[#This Row],[RepsWithStatObserved]],1,0)</f>
        <v>1</v>
      </c>
    </row>
    <row r="438" spans="1:25" x14ac:dyDescent="0.3">
      <c r="A438" t="s">
        <v>66</v>
      </c>
      <c r="B438" t="s">
        <v>68</v>
      </c>
      <c r="C438">
        <v>18</v>
      </c>
      <c r="D438" t="s">
        <v>84</v>
      </c>
      <c r="E438" t="s">
        <v>90</v>
      </c>
      <c r="F438" t="s">
        <v>86</v>
      </c>
      <c r="G438">
        <v>0.56901999432046702</v>
      </c>
      <c r="H438">
        <v>2E+20</v>
      </c>
      <c r="I438">
        <v>0.275126596992882</v>
      </c>
      <c r="J438">
        <v>1.0441844590651701</v>
      </c>
      <c r="K438">
        <v>140</v>
      </c>
      <c r="L438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30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0.58001710844338794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0.55455631375636005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0.60577999264634597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0.24460429945259299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1.5050291241368301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38" s="5">
        <f>IF((DiscreteStatsTable[[#This Row],[RepsRequested]]&gt;1),DiscreteStatsTable[[#This Row],[HalfWidth]],DiscreteStatsTable[[#This Row],[BatchMeansHalfWidth]])</f>
        <v>5.0783400785183869E-3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30</v>
      </c>
      <c r="Y438" s="5">
        <f>IF(DiscreteStatsTable[[#This Row],[RepsRequested]]=DiscreteStatsTable[[#This Row],[RepsWithStatObserved]],1,0)</f>
        <v>1</v>
      </c>
    </row>
    <row r="439" spans="1:25" x14ac:dyDescent="0.3">
      <c r="A439" t="s">
        <v>66</v>
      </c>
      <c r="B439" t="s">
        <v>68</v>
      </c>
      <c r="C439">
        <v>18</v>
      </c>
      <c r="D439" t="s">
        <v>84</v>
      </c>
      <c r="E439" t="s">
        <v>91</v>
      </c>
      <c r="F439" t="s">
        <v>86</v>
      </c>
      <c r="G439">
        <v>0.39601943401947198</v>
      </c>
      <c r="H439">
        <v>2E+20</v>
      </c>
      <c r="I439">
        <v>4.8457926238637601E-2</v>
      </c>
      <c r="J439">
        <v>0.60181483610203201</v>
      </c>
      <c r="K439">
        <v>140</v>
      </c>
      <c r="L439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30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0.40279248807003726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0.177937316910317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0.814020685592315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1.24972436277344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39" s="5">
        <f>IF((DiscreteStatsTable[[#This Row],[RepsRequested]]&gt;1),DiscreteStatsTable[[#This Row],[HalfWidth]],DiscreteStatsTable[[#This Row],[BatchMeansHalfWidth]])</f>
        <v>5.8740635024535484E-2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30</v>
      </c>
      <c r="Y439" s="5">
        <f>IF(DiscreteStatsTable[[#This Row],[RepsRequested]]=DiscreteStatsTable[[#This Row],[RepsWithStatObserved]],1,0)</f>
        <v>1</v>
      </c>
    </row>
    <row r="440" spans="1:25" x14ac:dyDescent="0.3">
      <c r="A440" t="s">
        <v>66</v>
      </c>
      <c r="B440" t="s">
        <v>68</v>
      </c>
      <c r="C440">
        <v>19</v>
      </c>
      <c r="D440" t="s">
        <v>84</v>
      </c>
      <c r="E440" t="s">
        <v>85</v>
      </c>
      <c r="F440" t="s">
        <v>86</v>
      </c>
      <c r="G440">
        <v>0</v>
      </c>
      <c r="H440">
        <v>2E+20</v>
      </c>
      <c r="I440">
        <v>0</v>
      </c>
      <c r="J440">
        <v>0</v>
      </c>
      <c r="K440">
        <v>140</v>
      </c>
      <c r="L440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30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0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0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0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0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0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0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40" s="5">
        <f>IF((DiscreteStatsTable[[#This Row],[RepsRequested]]&gt;1),DiscreteStatsTable[[#This Row],[HalfWidth]],DiscreteStatsTable[[#This Row],[BatchMeansHalfWidth]])</f>
        <v>0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30</v>
      </c>
      <c r="Y440" s="5">
        <f>IF(DiscreteStatsTable[[#This Row],[RepsRequested]]=DiscreteStatsTable[[#This Row],[RepsWithStatObserved]],1,0)</f>
        <v>1</v>
      </c>
    </row>
    <row r="441" spans="1:25" x14ac:dyDescent="0.3">
      <c r="A441" t="s">
        <v>66</v>
      </c>
      <c r="B441" t="s">
        <v>68</v>
      </c>
      <c r="C441">
        <v>19</v>
      </c>
      <c r="D441" t="s">
        <v>84</v>
      </c>
      <c r="E441" t="s">
        <v>87</v>
      </c>
      <c r="F441" t="s">
        <v>86</v>
      </c>
      <c r="G441">
        <v>0</v>
      </c>
      <c r="H441">
        <v>2E+20</v>
      </c>
      <c r="I441">
        <v>0</v>
      </c>
      <c r="J441">
        <v>0</v>
      </c>
      <c r="K441">
        <v>140</v>
      </c>
      <c r="L441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30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0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0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0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0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0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41" s="5">
        <f>IF((DiscreteStatsTable[[#This Row],[RepsRequested]]&gt;1),DiscreteStatsTable[[#This Row],[HalfWidth]],DiscreteStatsTable[[#This Row],[BatchMeansHalfWidth]])</f>
        <v>0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30</v>
      </c>
      <c r="Y441" s="5">
        <f>IF(DiscreteStatsTable[[#This Row],[RepsRequested]]=DiscreteStatsTable[[#This Row],[RepsWithStatObserved]],1,0)</f>
        <v>1</v>
      </c>
    </row>
    <row r="442" spans="1:25" x14ac:dyDescent="0.3">
      <c r="A442" t="s">
        <v>66</v>
      </c>
      <c r="B442" t="s">
        <v>68</v>
      </c>
      <c r="C442">
        <v>19</v>
      </c>
      <c r="D442" t="s">
        <v>84</v>
      </c>
      <c r="E442" t="s">
        <v>88</v>
      </c>
      <c r="F442" t="s">
        <v>86</v>
      </c>
      <c r="G442">
        <v>1.1757133705642799</v>
      </c>
      <c r="H442">
        <v>2E+20</v>
      </c>
      <c r="I442">
        <v>0.60689829089434</v>
      </c>
      <c r="J442">
        <v>1.60607974482213</v>
      </c>
      <c r="K442">
        <v>140</v>
      </c>
      <c r="L442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30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1.2678871334176696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1.0239727314929401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1.6751220567766201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0.54240657991611196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2.7561776708620398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42" s="5">
        <f>IF((DiscreteStatsTable[[#This Row],[RepsRequested]]&gt;1),DiscreteStatsTable[[#This Row],[HalfWidth]],DiscreteStatsTable[[#This Row],[BatchMeansHalfWidth]])</f>
        <v>5.9219230019787336E-2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30</v>
      </c>
      <c r="Y442" s="5">
        <f>IF(DiscreteStatsTable[[#This Row],[RepsRequested]]=DiscreteStatsTable[[#This Row],[RepsWithStatObserved]],1,0)</f>
        <v>1</v>
      </c>
    </row>
    <row r="443" spans="1:25" x14ac:dyDescent="0.3">
      <c r="A443" t="s">
        <v>66</v>
      </c>
      <c r="B443" t="s">
        <v>68</v>
      </c>
      <c r="C443">
        <v>19</v>
      </c>
      <c r="D443" t="s">
        <v>84</v>
      </c>
      <c r="E443" t="s">
        <v>89</v>
      </c>
      <c r="F443" t="s">
        <v>86</v>
      </c>
      <c r="G443">
        <v>0.28694873108735203</v>
      </c>
      <c r="H443">
        <v>2E+20</v>
      </c>
      <c r="I443">
        <v>0.202004538015849</v>
      </c>
      <c r="J443">
        <v>0.45872547875078001</v>
      </c>
      <c r="K443">
        <v>140</v>
      </c>
      <c r="L443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30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0.28507753690424381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0.27840426452549899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0.29234258706294097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0.17212578810766199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0.61921751163804895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43" s="5">
        <f>IF((DiscreteStatsTable[[#This Row],[RepsRequested]]&gt;1),DiscreteStatsTable[[#This Row],[HalfWidth]],DiscreteStatsTable[[#This Row],[BatchMeansHalfWidth]])</f>
        <v>1.354482514359579E-3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30</v>
      </c>
      <c r="Y443" s="5">
        <f>IF(DiscreteStatsTable[[#This Row],[RepsRequested]]=DiscreteStatsTable[[#This Row],[RepsWithStatObserved]],1,0)</f>
        <v>1</v>
      </c>
    </row>
    <row r="444" spans="1:25" x14ac:dyDescent="0.3">
      <c r="A444" t="s">
        <v>66</v>
      </c>
      <c r="B444" t="s">
        <v>68</v>
      </c>
      <c r="C444">
        <v>19</v>
      </c>
      <c r="D444" t="s">
        <v>84</v>
      </c>
      <c r="E444" t="s">
        <v>90</v>
      </c>
      <c r="F444" t="s">
        <v>86</v>
      </c>
      <c r="G444">
        <v>0.57593843615430795</v>
      </c>
      <c r="H444">
        <v>2E+20</v>
      </c>
      <c r="I444">
        <v>0.31067745784213502</v>
      </c>
      <c r="J444">
        <v>0.99892014546307795</v>
      </c>
      <c r="K444">
        <v>140</v>
      </c>
      <c r="L444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30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0.58001710844338794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0.55455631375636005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0.60577999264634597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0.24460429945259299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1.5050291241368301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44" s="5">
        <f>IF((DiscreteStatsTable[[#This Row],[RepsRequested]]&gt;1),DiscreteStatsTable[[#This Row],[HalfWidth]],DiscreteStatsTable[[#This Row],[BatchMeansHalfWidth]])</f>
        <v>5.0783400785183869E-3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30</v>
      </c>
      <c r="Y444" s="5">
        <f>IF(DiscreteStatsTable[[#This Row],[RepsRequested]]=DiscreteStatsTable[[#This Row],[RepsWithStatObserved]],1,0)</f>
        <v>1</v>
      </c>
    </row>
    <row r="445" spans="1:25" x14ac:dyDescent="0.3">
      <c r="A445" t="s">
        <v>66</v>
      </c>
      <c r="B445" t="s">
        <v>68</v>
      </c>
      <c r="C445">
        <v>19</v>
      </c>
      <c r="D445" t="s">
        <v>84</v>
      </c>
      <c r="E445" t="s">
        <v>91</v>
      </c>
      <c r="F445" t="s">
        <v>86</v>
      </c>
      <c r="G445">
        <v>0.31282620332261502</v>
      </c>
      <c r="H445">
        <v>2E+20</v>
      </c>
      <c r="I445">
        <v>0</v>
      </c>
      <c r="J445">
        <v>0.57470076197314701</v>
      </c>
      <c r="K445">
        <v>140</v>
      </c>
      <c r="L445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30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0.40279248807003726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0.177937316910317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0.814020685592315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1.24972436277344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45" s="5">
        <f>IF((DiscreteStatsTable[[#This Row],[RepsRequested]]&gt;1),DiscreteStatsTable[[#This Row],[HalfWidth]],DiscreteStatsTable[[#This Row],[BatchMeansHalfWidth]])</f>
        <v>5.8740635024535484E-2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30</v>
      </c>
      <c r="Y445" s="5">
        <f>IF(DiscreteStatsTable[[#This Row],[RepsRequested]]=DiscreteStatsTable[[#This Row],[RepsWithStatObserved]],1,0)</f>
        <v>1</v>
      </c>
    </row>
    <row r="446" spans="1:25" x14ac:dyDescent="0.3">
      <c r="A446" t="s">
        <v>66</v>
      </c>
      <c r="B446" t="s">
        <v>68</v>
      </c>
      <c r="C446">
        <v>20</v>
      </c>
      <c r="D446" t="s">
        <v>84</v>
      </c>
      <c r="E446" t="s">
        <v>85</v>
      </c>
      <c r="F446" t="s">
        <v>86</v>
      </c>
      <c r="G446">
        <v>0</v>
      </c>
      <c r="H446">
        <v>2E+20</v>
      </c>
      <c r="I446">
        <v>0</v>
      </c>
      <c r="J446">
        <v>0</v>
      </c>
      <c r="K446">
        <v>157</v>
      </c>
      <c r="L446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30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0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0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0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0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0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0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46" s="5">
        <f>IF((DiscreteStatsTable[[#This Row],[RepsRequested]]&gt;1),DiscreteStatsTable[[#This Row],[HalfWidth]],DiscreteStatsTable[[#This Row],[BatchMeansHalfWidth]])</f>
        <v>0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30</v>
      </c>
      <c r="Y446" s="5">
        <f>IF(DiscreteStatsTable[[#This Row],[RepsRequested]]=DiscreteStatsTable[[#This Row],[RepsWithStatObserved]],1,0)</f>
        <v>1</v>
      </c>
    </row>
    <row r="447" spans="1:25" x14ac:dyDescent="0.3">
      <c r="A447" t="s">
        <v>66</v>
      </c>
      <c r="B447" t="s">
        <v>68</v>
      </c>
      <c r="C447">
        <v>20</v>
      </c>
      <c r="D447" t="s">
        <v>84</v>
      </c>
      <c r="E447" t="s">
        <v>87</v>
      </c>
      <c r="F447" t="s">
        <v>86</v>
      </c>
      <c r="G447">
        <v>0</v>
      </c>
      <c r="H447">
        <v>2E+20</v>
      </c>
      <c r="I447">
        <v>0</v>
      </c>
      <c r="J447">
        <v>0</v>
      </c>
      <c r="K447">
        <v>157</v>
      </c>
      <c r="L447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30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0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0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0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0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0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47" s="5">
        <f>IF((DiscreteStatsTable[[#This Row],[RepsRequested]]&gt;1),DiscreteStatsTable[[#This Row],[HalfWidth]],DiscreteStatsTable[[#This Row],[BatchMeansHalfWidth]])</f>
        <v>0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30</v>
      </c>
      <c r="Y447" s="5">
        <f>IF(DiscreteStatsTable[[#This Row],[RepsRequested]]=DiscreteStatsTable[[#This Row],[RepsWithStatObserved]],1,0)</f>
        <v>1</v>
      </c>
    </row>
    <row r="448" spans="1:25" x14ac:dyDescent="0.3">
      <c r="A448" t="s">
        <v>66</v>
      </c>
      <c r="B448" t="s">
        <v>68</v>
      </c>
      <c r="C448">
        <v>20</v>
      </c>
      <c r="D448" t="s">
        <v>84</v>
      </c>
      <c r="E448" t="s">
        <v>88</v>
      </c>
      <c r="F448" t="s">
        <v>86</v>
      </c>
      <c r="G448">
        <v>1.5153237547509999</v>
      </c>
      <c r="H448">
        <v>2E+20</v>
      </c>
      <c r="I448">
        <v>0.73835022124916305</v>
      </c>
      <c r="J448">
        <v>2.7561776708620398</v>
      </c>
      <c r="K448">
        <v>157</v>
      </c>
      <c r="L448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30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1.2678871334176696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1.0239727314929401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1.6751220567766201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0.54240657991611196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2.7561776708620398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48" s="5">
        <f>IF((DiscreteStatsTable[[#This Row],[RepsRequested]]&gt;1),DiscreteStatsTable[[#This Row],[HalfWidth]],DiscreteStatsTable[[#This Row],[BatchMeansHalfWidth]])</f>
        <v>5.9219230019787336E-2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30</v>
      </c>
      <c r="Y448" s="5">
        <f>IF(DiscreteStatsTable[[#This Row],[RepsRequested]]=DiscreteStatsTable[[#This Row],[RepsWithStatObserved]],1,0)</f>
        <v>1</v>
      </c>
    </row>
    <row r="449" spans="1:25" x14ac:dyDescent="0.3">
      <c r="A449" t="s">
        <v>66</v>
      </c>
      <c r="B449" t="s">
        <v>68</v>
      </c>
      <c r="C449">
        <v>20</v>
      </c>
      <c r="D449" t="s">
        <v>84</v>
      </c>
      <c r="E449" t="s">
        <v>89</v>
      </c>
      <c r="F449" t="s">
        <v>86</v>
      </c>
      <c r="G449">
        <v>0.28471475311428901</v>
      </c>
      <c r="H449">
        <v>2E+20</v>
      </c>
      <c r="I449">
        <v>0.20357207279654699</v>
      </c>
      <c r="J449">
        <v>0.56399698609922999</v>
      </c>
      <c r="K449">
        <v>157</v>
      </c>
      <c r="L449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30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0.28507753690424381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0.27840426452549899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0.29234258706294097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0.17212578810766199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0.61921751163804895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49" s="5">
        <f>IF((DiscreteStatsTable[[#This Row],[RepsRequested]]&gt;1),DiscreteStatsTable[[#This Row],[HalfWidth]],DiscreteStatsTable[[#This Row],[BatchMeansHalfWidth]])</f>
        <v>1.354482514359579E-3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30</v>
      </c>
      <c r="Y449" s="5">
        <f>IF(DiscreteStatsTable[[#This Row],[RepsRequested]]=DiscreteStatsTable[[#This Row],[RepsWithStatObserved]],1,0)</f>
        <v>1</v>
      </c>
    </row>
    <row r="450" spans="1:25" x14ac:dyDescent="0.3">
      <c r="A450" t="s">
        <v>66</v>
      </c>
      <c r="B450" t="s">
        <v>68</v>
      </c>
      <c r="C450">
        <v>20</v>
      </c>
      <c r="D450" t="s">
        <v>84</v>
      </c>
      <c r="E450" t="s">
        <v>90</v>
      </c>
      <c r="F450" t="s">
        <v>86</v>
      </c>
      <c r="G450">
        <v>0.57424744922926996</v>
      </c>
      <c r="H450">
        <v>2E+20</v>
      </c>
      <c r="I450">
        <v>0.27020811445189102</v>
      </c>
      <c r="J450">
        <v>1.31714168700597</v>
      </c>
      <c r="K450">
        <v>157</v>
      </c>
      <c r="L450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30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0.58001710844338794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0.55455631375636005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0.60577999264634597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0.24460429945259299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1.5050291241368301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50" s="5">
        <f>IF((DiscreteStatsTable[[#This Row],[RepsRequested]]&gt;1),DiscreteStatsTable[[#This Row],[HalfWidth]],DiscreteStatsTable[[#This Row],[BatchMeansHalfWidth]])</f>
        <v>5.0783400785183869E-3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30</v>
      </c>
      <c r="Y450" s="5">
        <f>IF(DiscreteStatsTable[[#This Row],[RepsRequested]]=DiscreteStatsTable[[#This Row],[RepsWithStatObserved]],1,0)</f>
        <v>1</v>
      </c>
    </row>
    <row r="451" spans="1:25" x14ac:dyDescent="0.3">
      <c r="A451" t="s">
        <v>66</v>
      </c>
      <c r="B451" t="s">
        <v>68</v>
      </c>
      <c r="C451">
        <v>20</v>
      </c>
      <c r="D451" t="s">
        <v>84</v>
      </c>
      <c r="E451" t="s">
        <v>91</v>
      </c>
      <c r="F451" t="s">
        <v>86</v>
      </c>
      <c r="G451">
        <v>0.65636155240744298</v>
      </c>
      <c r="H451">
        <v>2E+20</v>
      </c>
      <c r="I451">
        <v>4.2135032316281497E-2</v>
      </c>
      <c r="J451">
        <v>1.0781340840293201</v>
      </c>
      <c r="K451">
        <v>157</v>
      </c>
      <c r="L451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30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0.40279248807003726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0.177937316910317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0.814020685592315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1.24972436277344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51" s="5">
        <f>IF((DiscreteStatsTable[[#This Row],[RepsRequested]]&gt;1),DiscreteStatsTable[[#This Row],[HalfWidth]],DiscreteStatsTable[[#This Row],[BatchMeansHalfWidth]])</f>
        <v>5.8740635024535484E-2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30</v>
      </c>
      <c r="Y451" s="5">
        <f>IF(DiscreteStatsTable[[#This Row],[RepsRequested]]=DiscreteStatsTable[[#This Row],[RepsWithStatObserved]],1,0)</f>
        <v>1</v>
      </c>
    </row>
    <row r="452" spans="1:25" x14ac:dyDescent="0.3">
      <c r="A452" t="s">
        <v>66</v>
      </c>
      <c r="B452" t="s">
        <v>68</v>
      </c>
      <c r="C452">
        <v>21</v>
      </c>
      <c r="D452" t="s">
        <v>84</v>
      </c>
      <c r="E452" t="s">
        <v>85</v>
      </c>
      <c r="F452" t="s">
        <v>86</v>
      </c>
      <c r="G452">
        <v>0</v>
      </c>
      <c r="H452">
        <v>2E+20</v>
      </c>
      <c r="I452">
        <v>0</v>
      </c>
      <c r="J452">
        <v>0</v>
      </c>
      <c r="K452">
        <v>158</v>
      </c>
      <c r="L452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30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0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0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0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0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0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0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52" s="5">
        <f>IF((DiscreteStatsTable[[#This Row],[RepsRequested]]&gt;1),DiscreteStatsTable[[#This Row],[HalfWidth]],DiscreteStatsTable[[#This Row],[BatchMeansHalfWidth]])</f>
        <v>0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30</v>
      </c>
      <c r="Y452" s="5">
        <f>IF(DiscreteStatsTable[[#This Row],[RepsRequested]]=DiscreteStatsTable[[#This Row],[RepsWithStatObserved]],1,0)</f>
        <v>1</v>
      </c>
    </row>
    <row r="453" spans="1:25" x14ac:dyDescent="0.3">
      <c r="A453" t="s">
        <v>66</v>
      </c>
      <c r="B453" t="s">
        <v>68</v>
      </c>
      <c r="C453">
        <v>21</v>
      </c>
      <c r="D453" t="s">
        <v>84</v>
      </c>
      <c r="E453" t="s">
        <v>87</v>
      </c>
      <c r="F453" t="s">
        <v>86</v>
      </c>
      <c r="G453">
        <v>0</v>
      </c>
      <c r="H453">
        <v>2E+20</v>
      </c>
      <c r="I453">
        <v>0</v>
      </c>
      <c r="J453">
        <v>0</v>
      </c>
      <c r="K453">
        <v>158</v>
      </c>
      <c r="L453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30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0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0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0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0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0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53" s="5">
        <f>IF((DiscreteStatsTable[[#This Row],[RepsRequested]]&gt;1),DiscreteStatsTable[[#This Row],[HalfWidth]],DiscreteStatsTable[[#This Row],[BatchMeansHalfWidth]])</f>
        <v>0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30</v>
      </c>
      <c r="Y453" s="5">
        <f>IF(DiscreteStatsTable[[#This Row],[RepsRequested]]=DiscreteStatsTable[[#This Row],[RepsWithStatObserved]],1,0)</f>
        <v>1</v>
      </c>
    </row>
    <row r="454" spans="1:25" x14ac:dyDescent="0.3">
      <c r="A454" t="s">
        <v>66</v>
      </c>
      <c r="B454" t="s">
        <v>68</v>
      </c>
      <c r="C454">
        <v>21</v>
      </c>
      <c r="D454" t="s">
        <v>84</v>
      </c>
      <c r="E454" t="s">
        <v>88</v>
      </c>
      <c r="F454" t="s">
        <v>86</v>
      </c>
      <c r="G454">
        <v>1.5352621683140699</v>
      </c>
      <c r="H454">
        <v>2E+20</v>
      </c>
      <c r="I454">
        <v>0.73549383756281705</v>
      </c>
      <c r="J454">
        <v>1.93901829456504</v>
      </c>
      <c r="K454">
        <v>158</v>
      </c>
      <c r="L454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30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1.2678871334176696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1.0239727314929401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1.6751220567766201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0.54240657991611196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2.7561776708620398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54" s="5">
        <f>IF((DiscreteStatsTable[[#This Row],[RepsRequested]]&gt;1),DiscreteStatsTable[[#This Row],[HalfWidth]],DiscreteStatsTable[[#This Row],[BatchMeansHalfWidth]])</f>
        <v>5.9219230019787336E-2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30</v>
      </c>
      <c r="Y454" s="5">
        <f>IF(DiscreteStatsTable[[#This Row],[RepsRequested]]=DiscreteStatsTable[[#This Row],[RepsWithStatObserved]],1,0)</f>
        <v>1</v>
      </c>
    </row>
    <row r="455" spans="1:25" x14ac:dyDescent="0.3">
      <c r="A455" t="s">
        <v>66</v>
      </c>
      <c r="B455" t="s">
        <v>68</v>
      </c>
      <c r="C455">
        <v>21</v>
      </c>
      <c r="D455" t="s">
        <v>84</v>
      </c>
      <c r="E455" t="s">
        <v>89</v>
      </c>
      <c r="F455" t="s">
        <v>86</v>
      </c>
      <c r="G455">
        <v>0.28533713834045799</v>
      </c>
      <c r="H455">
        <v>2E+20</v>
      </c>
      <c r="I455">
        <v>0.19757617835886401</v>
      </c>
      <c r="J455">
        <v>0.40768183952527698</v>
      </c>
      <c r="K455">
        <v>158</v>
      </c>
      <c r="L455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30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0.28507753690424381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0.27840426452549899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0.29234258706294097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0.17212578810766199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0.61921751163804895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55" s="5">
        <f>IF((DiscreteStatsTable[[#This Row],[RepsRequested]]&gt;1),DiscreteStatsTable[[#This Row],[HalfWidth]],DiscreteStatsTable[[#This Row],[BatchMeansHalfWidth]])</f>
        <v>1.354482514359579E-3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30</v>
      </c>
      <c r="Y455" s="5">
        <f>IF(DiscreteStatsTable[[#This Row],[RepsRequested]]=DiscreteStatsTable[[#This Row],[RepsWithStatObserved]],1,0)</f>
        <v>1</v>
      </c>
    </row>
    <row r="456" spans="1:25" x14ac:dyDescent="0.3">
      <c r="A456" t="s">
        <v>66</v>
      </c>
      <c r="B456" t="s">
        <v>68</v>
      </c>
      <c r="C456">
        <v>21</v>
      </c>
      <c r="D456" t="s">
        <v>84</v>
      </c>
      <c r="E456" t="s">
        <v>90</v>
      </c>
      <c r="F456" t="s">
        <v>86</v>
      </c>
      <c r="G456">
        <v>0.57275135391955201</v>
      </c>
      <c r="H456">
        <v>2E+20</v>
      </c>
      <c r="I456">
        <v>0.288075143521694</v>
      </c>
      <c r="J456">
        <v>0.97653841914985196</v>
      </c>
      <c r="K456">
        <v>158</v>
      </c>
      <c r="L456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30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0.58001710844338794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0.55455631375636005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0.60577999264634597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0.24460429945259299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1.5050291241368301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56" s="5">
        <f>IF((DiscreteStatsTable[[#This Row],[RepsRequested]]&gt;1),DiscreteStatsTable[[#This Row],[HalfWidth]],DiscreteStatsTable[[#This Row],[BatchMeansHalfWidth]])</f>
        <v>5.0783400785183869E-3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30</v>
      </c>
      <c r="Y456" s="5">
        <f>IF(DiscreteStatsTable[[#This Row],[RepsRequested]]=DiscreteStatsTable[[#This Row],[RepsWithStatObserved]],1,0)</f>
        <v>1</v>
      </c>
    </row>
    <row r="457" spans="1:25" x14ac:dyDescent="0.3">
      <c r="A457" t="s">
        <v>66</v>
      </c>
      <c r="B457" t="s">
        <v>68</v>
      </c>
      <c r="C457">
        <v>21</v>
      </c>
      <c r="D457" t="s">
        <v>84</v>
      </c>
      <c r="E457" t="s">
        <v>91</v>
      </c>
      <c r="F457" t="s">
        <v>86</v>
      </c>
      <c r="G457">
        <v>0.67717367605406398</v>
      </c>
      <c r="H457">
        <v>2E+20</v>
      </c>
      <c r="I457">
        <v>0.204124927785092</v>
      </c>
      <c r="J457">
        <v>1.0509638139402699</v>
      </c>
      <c r="K457">
        <v>158</v>
      </c>
      <c r="L457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30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0.40279248807003726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0.177937316910317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0.814020685592315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1.24972436277344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57" s="5">
        <f>IF((DiscreteStatsTable[[#This Row],[RepsRequested]]&gt;1),DiscreteStatsTable[[#This Row],[HalfWidth]],DiscreteStatsTable[[#This Row],[BatchMeansHalfWidth]])</f>
        <v>5.8740635024535484E-2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30</v>
      </c>
      <c r="Y457" s="5">
        <f>IF(DiscreteStatsTable[[#This Row],[RepsRequested]]=DiscreteStatsTable[[#This Row],[RepsWithStatObserved]],1,0)</f>
        <v>1</v>
      </c>
    </row>
    <row r="458" spans="1:25" x14ac:dyDescent="0.3">
      <c r="A458" t="s">
        <v>66</v>
      </c>
      <c r="B458" t="s">
        <v>68</v>
      </c>
      <c r="C458">
        <v>22</v>
      </c>
      <c r="D458" t="s">
        <v>84</v>
      </c>
      <c r="E458" t="s">
        <v>85</v>
      </c>
      <c r="F458" t="s">
        <v>86</v>
      </c>
      <c r="G458">
        <v>0</v>
      </c>
      <c r="H458">
        <v>2E+20</v>
      </c>
      <c r="I458">
        <v>0</v>
      </c>
      <c r="J458">
        <v>0</v>
      </c>
      <c r="K458">
        <v>132</v>
      </c>
      <c r="L458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30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0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0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0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0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0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0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58" s="5">
        <f>IF((DiscreteStatsTable[[#This Row],[RepsRequested]]&gt;1),DiscreteStatsTable[[#This Row],[HalfWidth]],DiscreteStatsTable[[#This Row],[BatchMeansHalfWidth]])</f>
        <v>0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30</v>
      </c>
      <c r="Y458" s="5">
        <f>IF(DiscreteStatsTable[[#This Row],[RepsRequested]]=DiscreteStatsTable[[#This Row],[RepsWithStatObserved]],1,0)</f>
        <v>1</v>
      </c>
    </row>
    <row r="459" spans="1:25" x14ac:dyDescent="0.3">
      <c r="A459" t="s">
        <v>66</v>
      </c>
      <c r="B459" t="s">
        <v>68</v>
      </c>
      <c r="C459">
        <v>22</v>
      </c>
      <c r="D459" t="s">
        <v>84</v>
      </c>
      <c r="E459" t="s">
        <v>87</v>
      </c>
      <c r="F459" t="s">
        <v>86</v>
      </c>
      <c r="G459">
        <v>0</v>
      </c>
      <c r="H459">
        <v>2E+20</v>
      </c>
      <c r="I459">
        <v>0</v>
      </c>
      <c r="J459">
        <v>0</v>
      </c>
      <c r="K459">
        <v>132</v>
      </c>
      <c r="L459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30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0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0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0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0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0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59" s="5">
        <f>IF((DiscreteStatsTable[[#This Row],[RepsRequested]]&gt;1),DiscreteStatsTable[[#This Row],[HalfWidth]],DiscreteStatsTable[[#This Row],[BatchMeansHalfWidth]])</f>
        <v>0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30</v>
      </c>
      <c r="Y459" s="5">
        <f>IF(DiscreteStatsTable[[#This Row],[RepsRequested]]=DiscreteStatsTable[[#This Row],[RepsWithStatObserved]],1,0)</f>
        <v>1</v>
      </c>
    </row>
    <row r="460" spans="1:25" x14ac:dyDescent="0.3">
      <c r="A460" t="s">
        <v>66</v>
      </c>
      <c r="B460" t="s">
        <v>68</v>
      </c>
      <c r="C460">
        <v>22</v>
      </c>
      <c r="D460" t="s">
        <v>84</v>
      </c>
      <c r="E460" t="s">
        <v>88</v>
      </c>
      <c r="F460" t="s">
        <v>86</v>
      </c>
      <c r="G460">
        <v>1.158107230868</v>
      </c>
      <c r="H460">
        <v>2E+20</v>
      </c>
      <c r="I460">
        <v>0.63680173252596395</v>
      </c>
      <c r="J460">
        <v>1.95020707767559</v>
      </c>
      <c r="K460">
        <v>132</v>
      </c>
      <c r="L460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30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1.2678871334176696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1.0239727314929401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1.6751220567766201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0.54240657991611196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2.7561776708620398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60" s="5">
        <f>IF((DiscreteStatsTable[[#This Row],[RepsRequested]]&gt;1),DiscreteStatsTable[[#This Row],[HalfWidth]],DiscreteStatsTable[[#This Row],[BatchMeansHalfWidth]])</f>
        <v>5.9219230019787336E-2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30</v>
      </c>
      <c r="Y460" s="5">
        <f>IF(DiscreteStatsTable[[#This Row],[RepsRequested]]=DiscreteStatsTable[[#This Row],[RepsWithStatObserved]],1,0)</f>
        <v>1</v>
      </c>
    </row>
    <row r="461" spans="1:25" x14ac:dyDescent="0.3">
      <c r="A461" t="s">
        <v>66</v>
      </c>
      <c r="B461" t="s">
        <v>68</v>
      </c>
      <c r="C461">
        <v>22</v>
      </c>
      <c r="D461" t="s">
        <v>84</v>
      </c>
      <c r="E461" t="s">
        <v>89</v>
      </c>
      <c r="F461" t="s">
        <v>86</v>
      </c>
      <c r="G461">
        <v>0.28710550758527698</v>
      </c>
      <c r="H461">
        <v>2E+20</v>
      </c>
      <c r="I461">
        <v>0.196521057775775</v>
      </c>
      <c r="J461">
        <v>0.53972103061102805</v>
      </c>
      <c r="K461">
        <v>132</v>
      </c>
      <c r="L461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30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0.28507753690424381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0.27840426452549899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0.29234258706294097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0.17212578810766199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0.61921751163804895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61" s="5">
        <f>IF((DiscreteStatsTable[[#This Row],[RepsRequested]]&gt;1),DiscreteStatsTable[[#This Row],[HalfWidth]],DiscreteStatsTable[[#This Row],[BatchMeansHalfWidth]])</f>
        <v>1.354482514359579E-3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30</v>
      </c>
      <c r="Y461" s="5">
        <f>IF(DiscreteStatsTable[[#This Row],[RepsRequested]]=DiscreteStatsTable[[#This Row],[RepsWithStatObserved]],1,0)</f>
        <v>1</v>
      </c>
    </row>
    <row r="462" spans="1:25" x14ac:dyDescent="0.3">
      <c r="A462" t="s">
        <v>66</v>
      </c>
      <c r="B462" t="s">
        <v>68</v>
      </c>
      <c r="C462">
        <v>22</v>
      </c>
      <c r="D462" t="s">
        <v>84</v>
      </c>
      <c r="E462" t="s">
        <v>90</v>
      </c>
      <c r="F462" t="s">
        <v>86</v>
      </c>
      <c r="G462">
        <v>0.57995582604144902</v>
      </c>
      <c r="H462">
        <v>2E+20</v>
      </c>
      <c r="I462">
        <v>0.27984815958201098</v>
      </c>
      <c r="J462">
        <v>0.99276741821180903</v>
      </c>
      <c r="K462">
        <v>132</v>
      </c>
      <c r="L462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30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0.58001710844338794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0.55455631375636005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0.60577999264634597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0.24460429945259299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1.5050291241368301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62" s="5">
        <f>IF((DiscreteStatsTable[[#This Row],[RepsRequested]]&gt;1),DiscreteStatsTable[[#This Row],[HalfWidth]],DiscreteStatsTable[[#This Row],[BatchMeansHalfWidth]])</f>
        <v>5.0783400785183869E-3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30</v>
      </c>
      <c r="Y462" s="5">
        <f>IF(DiscreteStatsTable[[#This Row],[RepsRequested]]=DiscreteStatsTable[[#This Row],[RepsWithStatObserved]],1,0)</f>
        <v>1</v>
      </c>
    </row>
    <row r="463" spans="1:25" x14ac:dyDescent="0.3">
      <c r="A463" t="s">
        <v>66</v>
      </c>
      <c r="B463" t="s">
        <v>68</v>
      </c>
      <c r="C463">
        <v>22</v>
      </c>
      <c r="D463" t="s">
        <v>84</v>
      </c>
      <c r="E463" t="s">
        <v>91</v>
      </c>
      <c r="F463" t="s">
        <v>86</v>
      </c>
      <c r="G463">
        <v>0.291045897241278</v>
      </c>
      <c r="H463">
        <v>2E+20</v>
      </c>
      <c r="I463">
        <v>0</v>
      </c>
      <c r="J463">
        <v>0.632177737482984</v>
      </c>
      <c r="K463">
        <v>132</v>
      </c>
      <c r="L463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30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0.40279248807003726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0.177937316910317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0.814020685592315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1.24972436277344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63" s="5">
        <f>IF((DiscreteStatsTable[[#This Row],[RepsRequested]]&gt;1),DiscreteStatsTable[[#This Row],[HalfWidth]],DiscreteStatsTable[[#This Row],[BatchMeansHalfWidth]])</f>
        <v>5.8740635024535484E-2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30</v>
      </c>
      <c r="Y463" s="5">
        <f>IF(DiscreteStatsTable[[#This Row],[RepsRequested]]=DiscreteStatsTable[[#This Row],[RepsWithStatObserved]],1,0)</f>
        <v>1</v>
      </c>
    </row>
    <row r="464" spans="1:25" x14ac:dyDescent="0.3">
      <c r="A464" t="s">
        <v>66</v>
      </c>
      <c r="B464" t="s">
        <v>68</v>
      </c>
      <c r="C464">
        <v>23</v>
      </c>
      <c r="D464" t="s">
        <v>84</v>
      </c>
      <c r="E464" t="s">
        <v>85</v>
      </c>
      <c r="F464" t="s">
        <v>86</v>
      </c>
      <c r="G464">
        <v>0</v>
      </c>
      <c r="H464">
        <v>2E+20</v>
      </c>
      <c r="I464">
        <v>0</v>
      </c>
      <c r="J464">
        <v>0</v>
      </c>
      <c r="K464">
        <v>122</v>
      </c>
      <c r="L464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30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0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0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0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0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0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0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64" s="5">
        <f>IF((DiscreteStatsTable[[#This Row],[RepsRequested]]&gt;1),DiscreteStatsTable[[#This Row],[HalfWidth]],DiscreteStatsTable[[#This Row],[BatchMeansHalfWidth]])</f>
        <v>0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30</v>
      </c>
      <c r="Y464" s="5">
        <f>IF(DiscreteStatsTable[[#This Row],[RepsRequested]]=DiscreteStatsTable[[#This Row],[RepsWithStatObserved]],1,0)</f>
        <v>1</v>
      </c>
    </row>
    <row r="465" spans="1:25" x14ac:dyDescent="0.3">
      <c r="A465" t="s">
        <v>66</v>
      </c>
      <c r="B465" t="s">
        <v>68</v>
      </c>
      <c r="C465">
        <v>23</v>
      </c>
      <c r="D465" t="s">
        <v>84</v>
      </c>
      <c r="E465" t="s">
        <v>87</v>
      </c>
      <c r="F465" t="s">
        <v>86</v>
      </c>
      <c r="G465">
        <v>0</v>
      </c>
      <c r="H465">
        <v>2E+20</v>
      </c>
      <c r="I465">
        <v>0</v>
      </c>
      <c r="J465">
        <v>0</v>
      </c>
      <c r="K465">
        <v>122</v>
      </c>
      <c r="L465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30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0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0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0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0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0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65" s="5">
        <f>IF((DiscreteStatsTable[[#This Row],[RepsRequested]]&gt;1),DiscreteStatsTable[[#This Row],[HalfWidth]],DiscreteStatsTable[[#This Row],[BatchMeansHalfWidth]])</f>
        <v>0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30</v>
      </c>
      <c r="Y465" s="5">
        <f>IF(DiscreteStatsTable[[#This Row],[RepsRequested]]=DiscreteStatsTable[[#This Row],[RepsWithStatObserved]],1,0)</f>
        <v>1</v>
      </c>
    </row>
    <row r="466" spans="1:25" x14ac:dyDescent="0.3">
      <c r="A466" t="s">
        <v>66</v>
      </c>
      <c r="B466" t="s">
        <v>68</v>
      </c>
      <c r="C466">
        <v>23</v>
      </c>
      <c r="D466" t="s">
        <v>84</v>
      </c>
      <c r="E466" t="s">
        <v>88</v>
      </c>
      <c r="F466" t="s">
        <v>86</v>
      </c>
      <c r="G466">
        <v>1.0773445027352</v>
      </c>
      <c r="H466">
        <v>2E+20</v>
      </c>
      <c r="I466">
        <v>0.61027734755067897</v>
      </c>
      <c r="J466">
        <v>2.09859931633921</v>
      </c>
      <c r="K466">
        <v>122</v>
      </c>
      <c r="L466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30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1.2678871334176696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1.0239727314929401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1.6751220567766201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0.54240657991611196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2.7561776708620398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66" s="5">
        <f>IF((DiscreteStatsTable[[#This Row],[RepsRequested]]&gt;1),DiscreteStatsTable[[#This Row],[HalfWidth]],DiscreteStatsTable[[#This Row],[BatchMeansHalfWidth]])</f>
        <v>5.9219230019787336E-2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30</v>
      </c>
      <c r="Y466" s="5">
        <f>IF(DiscreteStatsTable[[#This Row],[RepsRequested]]=DiscreteStatsTable[[#This Row],[RepsWithStatObserved]],1,0)</f>
        <v>1</v>
      </c>
    </row>
    <row r="467" spans="1:25" x14ac:dyDescent="0.3">
      <c r="A467" t="s">
        <v>66</v>
      </c>
      <c r="B467" t="s">
        <v>68</v>
      </c>
      <c r="C467">
        <v>23</v>
      </c>
      <c r="D467" t="s">
        <v>84</v>
      </c>
      <c r="E467" t="s">
        <v>89</v>
      </c>
      <c r="F467" t="s">
        <v>86</v>
      </c>
      <c r="G467">
        <v>0.28588070653284298</v>
      </c>
      <c r="H467">
        <v>2E+20</v>
      </c>
      <c r="I467">
        <v>0.20112911341597201</v>
      </c>
      <c r="J467">
        <v>0.53857648671393099</v>
      </c>
      <c r="K467">
        <v>122</v>
      </c>
      <c r="L467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30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0.28507753690424381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0.27840426452549899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0.29234258706294097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0.17212578810766199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0.61921751163804895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67" s="5">
        <f>IF((DiscreteStatsTable[[#This Row],[RepsRequested]]&gt;1),DiscreteStatsTable[[#This Row],[HalfWidth]],DiscreteStatsTable[[#This Row],[BatchMeansHalfWidth]])</f>
        <v>1.354482514359579E-3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30</v>
      </c>
      <c r="Y467" s="5">
        <f>IF(DiscreteStatsTable[[#This Row],[RepsRequested]]=DiscreteStatsTable[[#This Row],[RepsWithStatObserved]],1,0)</f>
        <v>1</v>
      </c>
    </row>
    <row r="468" spans="1:25" x14ac:dyDescent="0.3">
      <c r="A468" t="s">
        <v>66</v>
      </c>
      <c r="B468" t="s">
        <v>68</v>
      </c>
      <c r="C468">
        <v>23</v>
      </c>
      <c r="D468" t="s">
        <v>84</v>
      </c>
      <c r="E468" t="s">
        <v>90</v>
      </c>
      <c r="F468" t="s">
        <v>86</v>
      </c>
      <c r="G468">
        <v>0.59499498280249397</v>
      </c>
      <c r="H468">
        <v>2E+20</v>
      </c>
      <c r="I468">
        <v>0.31279256241578801</v>
      </c>
      <c r="J468">
        <v>1.15300560744272</v>
      </c>
      <c r="K468">
        <v>122</v>
      </c>
      <c r="L468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30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0.58001710844338794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0.55455631375636005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0.60577999264634597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0.24460429945259299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1.5050291241368301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68" s="5">
        <f>IF((DiscreteStatsTable[[#This Row],[RepsRequested]]&gt;1),DiscreteStatsTable[[#This Row],[HalfWidth]],DiscreteStatsTable[[#This Row],[BatchMeansHalfWidth]])</f>
        <v>5.0783400785183869E-3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30</v>
      </c>
      <c r="Y468" s="5">
        <f>IF(DiscreteStatsTable[[#This Row],[RepsRequested]]=DiscreteStatsTable[[#This Row],[RepsWithStatObserved]],1,0)</f>
        <v>1</v>
      </c>
    </row>
    <row r="469" spans="1:25" x14ac:dyDescent="0.3">
      <c r="A469" t="s">
        <v>66</v>
      </c>
      <c r="B469" t="s">
        <v>68</v>
      </c>
      <c r="C469">
        <v>23</v>
      </c>
      <c r="D469" t="s">
        <v>84</v>
      </c>
      <c r="E469" t="s">
        <v>91</v>
      </c>
      <c r="F469" t="s">
        <v>86</v>
      </c>
      <c r="G469">
        <v>0.196468813399861</v>
      </c>
      <c r="H469">
        <v>2E+20</v>
      </c>
      <c r="I469">
        <v>0</v>
      </c>
      <c r="J469">
        <v>0.47722456895915899</v>
      </c>
      <c r="K469">
        <v>122</v>
      </c>
      <c r="L469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30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0.40279248807003726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0.177937316910317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0.814020685592315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1.24972436277344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69" s="5">
        <f>IF((DiscreteStatsTable[[#This Row],[RepsRequested]]&gt;1),DiscreteStatsTable[[#This Row],[HalfWidth]],DiscreteStatsTable[[#This Row],[BatchMeansHalfWidth]])</f>
        <v>5.8740635024535484E-2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30</v>
      </c>
      <c r="Y469" s="5">
        <f>IF(DiscreteStatsTable[[#This Row],[RepsRequested]]=DiscreteStatsTable[[#This Row],[RepsWithStatObserved]],1,0)</f>
        <v>1</v>
      </c>
    </row>
    <row r="470" spans="1:25" x14ac:dyDescent="0.3">
      <c r="A470" t="s">
        <v>66</v>
      </c>
      <c r="B470" t="s">
        <v>68</v>
      </c>
      <c r="C470">
        <v>24</v>
      </c>
      <c r="D470" t="s">
        <v>84</v>
      </c>
      <c r="E470" t="s">
        <v>85</v>
      </c>
      <c r="F470" t="s">
        <v>86</v>
      </c>
      <c r="G470">
        <v>0</v>
      </c>
      <c r="H470">
        <v>2E+20</v>
      </c>
      <c r="I470">
        <v>0</v>
      </c>
      <c r="J470">
        <v>0</v>
      </c>
      <c r="K470">
        <v>125</v>
      </c>
      <c r="L470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30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0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0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0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0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0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0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70" s="5">
        <f>IF((DiscreteStatsTable[[#This Row],[RepsRequested]]&gt;1),DiscreteStatsTable[[#This Row],[HalfWidth]],DiscreteStatsTable[[#This Row],[BatchMeansHalfWidth]])</f>
        <v>0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30</v>
      </c>
      <c r="Y470" s="5">
        <f>IF(DiscreteStatsTable[[#This Row],[RepsRequested]]=DiscreteStatsTable[[#This Row],[RepsWithStatObserved]],1,0)</f>
        <v>1</v>
      </c>
    </row>
    <row r="471" spans="1:25" x14ac:dyDescent="0.3">
      <c r="A471" t="s">
        <v>66</v>
      </c>
      <c r="B471" t="s">
        <v>68</v>
      </c>
      <c r="C471">
        <v>24</v>
      </c>
      <c r="D471" t="s">
        <v>84</v>
      </c>
      <c r="E471" t="s">
        <v>87</v>
      </c>
      <c r="F471" t="s">
        <v>86</v>
      </c>
      <c r="G471">
        <v>0</v>
      </c>
      <c r="H471">
        <v>2E+20</v>
      </c>
      <c r="I471">
        <v>0</v>
      </c>
      <c r="J471">
        <v>0</v>
      </c>
      <c r="K471">
        <v>125</v>
      </c>
      <c r="L471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30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0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0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0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0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0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71" s="5">
        <f>IF((DiscreteStatsTable[[#This Row],[RepsRequested]]&gt;1),DiscreteStatsTable[[#This Row],[HalfWidth]],DiscreteStatsTable[[#This Row],[BatchMeansHalfWidth]])</f>
        <v>0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30</v>
      </c>
      <c r="Y471" s="5">
        <f>IF(DiscreteStatsTable[[#This Row],[RepsRequested]]=DiscreteStatsTable[[#This Row],[RepsWithStatObserved]],1,0)</f>
        <v>1</v>
      </c>
    </row>
    <row r="472" spans="1:25" x14ac:dyDescent="0.3">
      <c r="A472" t="s">
        <v>66</v>
      </c>
      <c r="B472" t="s">
        <v>68</v>
      </c>
      <c r="C472">
        <v>24</v>
      </c>
      <c r="D472" t="s">
        <v>84</v>
      </c>
      <c r="E472" t="s">
        <v>88</v>
      </c>
      <c r="F472" t="s">
        <v>86</v>
      </c>
      <c r="G472">
        <v>1.2310364866161601</v>
      </c>
      <c r="H472">
        <v>2E+20</v>
      </c>
      <c r="I472">
        <v>0.74845261694267595</v>
      </c>
      <c r="J472">
        <v>1.8113660140340599</v>
      </c>
      <c r="K472">
        <v>125</v>
      </c>
      <c r="L472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30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1.2678871334176696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1.0239727314929401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1.6751220567766201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0.54240657991611196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2.7561776708620398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72" s="5">
        <f>IF((DiscreteStatsTable[[#This Row],[RepsRequested]]&gt;1),DiscreteStatsTable[[#This Row],[HalfWidth]],DiscreteStatsTable[[#This Row],[BatchMeansHalfWidth]])</f>
        <v>5.9219230019787336E-2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30</v>
      </c>
      <c r="Y472" s="5">
        <f>IF(DiscreteStatsTable[[#This Row],[RepsRequested]]=DiscreteStatsTable[[#This Row],[RepsWithStatObserved]],1,0)</f>
        <v>1</v>
      </c>
    </row>
    <row r="473" spans="1:25" x14ac:dyDescent="0.3">
      <c r="A473" t="s">
        <v>66</v>
      </c>
      <c r="B473" t="s">
        <v>68</v>
      </c>
      <c r="C473">
        <v>24</v>
      </c>
      <c r="D473" t="s">
        <v>84</v>
      </c>
      <c r="E473" t="s">
        <v>89</v>
      </c>
      <c r="F473" t="s">
        <v>86</v>
      </c>
      <c r="G473">
        <v>0.285193186327316</v>
      </c>
      <c r="H473">
        <v>2E+20</v>
      </c>
      <c r="I473">
        <v>0.20996616647865601</v>
      </c>
      <c r="J473">
        <v>0.40628784393384698</v>
      </c>
      <c r="K473">
        <v>125</v>
      </c>
      <c r="L473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30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0.28507753690424381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0.27840426452549899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0.29234258706294097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0.17212578810766199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0.61921751163804895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73" s="5">
        <f>IF((DiscreteStatsTable[[#This Row],[RepsRequested]]&gt;1),DiscreteStatsTable[[#This Row],[HalfWidth]],DiscreteStatsTable[[#This Row],[BatchMeansHalfWidth]])</f>
        <v>1.354482514359579E-3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30</v>
      </c>
      <c r="Y473" s="5">
        <f>IF(DiscreteStatsTable[[#This Row],[RepsRequested]]=DiscreteStatsTable[[#This Row],[RepsWithStatObserved]],1,0)</f>
        <v>1</v>
      </c>
    </row>
    <row r="474" spans="1:25" x14ac:dyDescent="0.3">
      <c r="A474" t="s">
        <v>66</v>
      </c>
      <c r="B474" t="s">
        <v>68</v>
      </c>
      <c r="C474">
        <v>24</v>
      </c>
      <c r="D474" t="s">
        <v>84</v>
      </c>
      <c r="E474" t="s">
        <v>90</v>
      </c>
      <c r="F474" t="s">
        <v>86</v>
      </c>
      <c r="G474">
        <v>0.59780998858143797</v>
      </c>
      <c r="H474">
        <v>2E+20</v>
      </c>
      <c r="I474">
        <v>0.29572766165237901</v>
      </c>
      <c r="J474">
        <v>1.1831553111161801</v>
      </c>
      <c r="K474">
        <v>125</v>
      </c>
      <c r="L474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30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0.58001710844338794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0.55455631375636005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0.60577999264634597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0.24460429945259299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1.5050291241368301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74" s="5">
        <f>IF((DiscreteStatsTable[[#This Row],[RepsRequested]]&gt;1),DiscreteStatsTable[[#This Row],[HalfWidth]],DiscreteStatsTable[[#This Row],[BatchMeansHalfWidth]])</f>
        <v>5.0783400785183869E-3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30</v>
      </c>
      <c r="Y474" s="5">
        <f>IF(DiscreteStatsTable[[#This Row],[RepsRequested]]=DiscreteStatsTable[[#This Row],[RepsWithStatObserved]],1,0)</f>
        <v>1</v>
      </c>
    </row>
    <row r="475" spans="1:25" x14ac:dyDescent="0.3">
      <c r="A475" t="s">
        <v>66</v>
      </c>
      <c r="B475" t="s">
        <v>68</v>
      </c>
      <c r="C475">
        <v>24</v>
      </c>
      <c r="D475" t="s">
        <v>84</v>
      </c>
      <c r="E475" t="s">
        <v>91</v>
      </c>
      <c r="F475" t="s">
        <v>86</v>
      </c>
      <c r="G475">
        <v>0.34803331170740598</v>
      </c>
      <c r="H475">
        <v>2E+20</v>
      </c>
      <c r="I475">
        <v>0</v>
      </c>
      <c r="J475">
        <v>0.73761671484532498</v>
      </c>
      <c r="K475">
        <v>125</v>
      </c>
      <c r="L475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30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0.40279248807003726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0.177937316910317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0.814020685592315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1.24972436277344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75" s="5">
        <f>IF((DiscreteStatsTable[[#This Row],[RepsRequested]]&gt;1),DiscreteStatsTable[[#This Row],[HalfWidth]],DiscreteStatsTable[[#This Row],[BatchMeansHalfWidth]])</f>
        <v>5.8740635024535484E-2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30</v>
      </c>
      <c r="Y475" s="5">
        <f>IF(DiscreteStatsTable[[#This Row],[RepsRequested]]=DiscreteStatsTable[[#This Row],[RepsWithStatObserved]],1,0)</f>
        <v>1</v>
      </c>
    </row>
    <row r="476" spans="1:25" x14ac:dyDescent="0.3">
      <c r="A476" t="s">
        <v>66</v>
      </c>
      <c r="B476" t="s">
        <v>68</v>
      </c>
      <c r="C476">
        <v>25</v>
      </c>
      <c r="D476" t="s">
        <v>84</v>
      </c>
      <c r="E476" t="s">
        <v>85</v>
      </c>
      <c r="F476" t="s">
        <v>86</v>
      </c>
      <c r="G476">
        <v>0</v>
      </c>
      <c r="H476">
        <v>2E+20</v>
      </c>
      <c r="I476">
        <v>0</v>
      </c>
      <c r="J476">
        <v>0</v>
      </c>
      <c r="K476">
        <v>135</v>
      </c>
      <c r="L476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30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0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0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0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0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0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0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76" s="5">
        <f>IF((DiscreteStatsTable[[#This Row],[RepsRequested]]&gt;1),DiscreteStatsTable[[#This Row],[HalfWidth]],DiscreteStatsTable[[#This Row],[BatchMeansHalfWidth]])</f>
        <v>0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30</v>
      </c>
      <c r="Y476" s="5">
        <f>IF(DiscreteStatsTable[[#This Row],[RepsRequested]]=DiscreteStatsTable[[#This Row],[RepsWithStatObserved]],1,0)</f>
        <v>1</v>
      </c>
    </row>
    <row r="477" spans="1:25" x14ac:dyDescent="0.3">
      <c r="A477" t="s">
        <v>66</v>
      </c>
      <c r="B477" t="s">
        <v>68</v>
      </c>
      <c r="C477">
        <v>25</v>
      </c>
      <c r="D477" t="s">
        <v>84</v>
      </c>
      <c r="E477" t="s">
        <v>87</v>
      </c>
      <c r="F477" t="s">
        <v>86</v>
      </c>
      <c r="G477">
        <v>0</v>
      </c>
      <c r="H477">
        <v>2E+20</v>
      </c>
      <c r="I477">
        <v>0</v>
      </c>
      <c r="J477">
        <v>0</v>
      </c>
      <c r="K477">
        <v>135</v>
      </c>
      <c r="L477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30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0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0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0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0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0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77" s="5">
        <f>IF((DiscreteStatsTable[[#This Row],[RepsRequested]]&gt;1),DiscreteStatsTable[[#This Row],[HalfWidth]],DiscreteStatsTable[[#This Row],[BatchMeansHalfWidth]])</f>
        <v>0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30</v>
      </c>
      <c r="Y477" s="5">
        <f>IF(DiscreteStatsTable[[#This Row],[RepsRequested]]=DiscreteStatsTable[[#This Row],[RepsWithStatObserved]],1,0)</f>
        <v>1</v>
      </c>
    </row>
    <row r="478" spans="1:25" x14ac:dyDescent="0.3">
      <c r="A478" t="s">
        <v>66</v>
      </c>
      <c r="B478" t="s">
        <v>68</v>
      </c>
      <c r="C478">
        <v>25</v>
      </c>
      <c r="D478" t="s">
        <v>84</v>
      </c>
      <c r="E478" t="s">
        <v>88</v>
      </c>
      <c r="F478" t="s">
        <v>86</v>
      </c>
      <c r="G478">
        <v>1.15366892525509</v>
      </c>
      <c r="H478">
        <v>2E+20</v>
      </c>
      <c r="I478">
        <v>0.65917357450295</v>
      </c>
      <c r="J478">
        <v>1.88764061763423</v>
      </c>
      <c r="K478">
        <v>135</v>
      </c>
      <c r="L478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30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1.2678871334176696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1.0239727314929401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1.6751220567766201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0.54240657991611196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2.7561776708620398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78" s="5">
        <f>IF((DiscreteStatsTable[[#This Row],[RepsRequested]]&gt;1),DiscreteStatsTable[[#This Row],[HalfWidth]],DiscreteStatsTable[[#This Row],[BatchMeansHalfWidth]])</f>
        <v>5.9219230019787336E-2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30</v>
      </c>
      <c r="Y478" s="5">
        <f>IF(DiscreteStatsTable[[#This Row],[RepsRequested]]=DiscreteStatsTable[[#This Row],[RepsWithStatObserved]],1,0)</f>
        <v>1</v>
      </c>
    </row>
    <row r="479" spans="1:25" x14ac:dyDescent="0.3">
      <c r="A479" t="s">
        <v>66</v>
      </c>
      <c r="B479" t="s">
        <v>68</v>
      </c>
      <c r="C479">
        <v>25</v>
      </c>
      <c r="D479" t="s">
        <v>84</v>
      </c>
      <c r="E479" t="s">
        <v>89</v>
      </c>
      <c r="F479" t="s">
        <v>86</v>
      </c>
      <c r="G479">
        <v>0.28304080351795302</v>
      </c>
      <c r="H479">
        <v>2E+20</v>
      </c>
      <c r="I479">
        <v>0.18653897331953001</v>
      </c>
      <c r="J479">
        <v>0.59926393044341997</v>
      </c>
      <c r="K479">
        <v>135</v>
      </c>
      <c r="L479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30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0.28507753690424381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0.27840426452549899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0.29234258706294097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0.17212578810766199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0.61921751163804895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79" s="5">
        <f>IF((DiscreteStatsTable[[#This Row],[RepsRequested]]&gt;1),DiscreteStatsTable[[#This Row],[HalfWidth]],DiscreteStatsTable[[#This Row],[BatchMeansHalfWidth]])</f>
        <v>1.354482514359579E-3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30</v>
      </c>
      <c r="Y479" s="5">
        <f>IF(DiscreteStatsTable[[#This Row],[RepsRequested]]=DiscreteStatsTable[[#This Row],[RepsWithStatObserved]],1,0)</f>
        <v>1</v>
      </c>
    </row>
    <row r="480" spans="1:25" x14ac:dyDescent="0.3">
      <c r="A480" t="s">
        <v>66</v>
      </c>
      <c r="B480" t="s">
        <v>68</v>
      </c>
      <c r="C480">
        <v>25</v>
      </c>
      <c r="D480" t="s">
        <v>84</v>
      </c>
      <c r="E480" t="s">
        <v>90</v>
      </c>
      <c r="F480" t="s">
        <v>86</v>
      </c>
      <c r="G480">
        <v>0.56769686990408097</v>
      </c>
      <c r="H480">
        <v>2E+20</v>
      </c>
      <c r="I480">
        <v>0.29453294860914397</v>
      </c>
      <c r="J480">
        <v>1.5050291241368301</v>
      </c>
      <c r="K480">
        <v>135</v>
      </c>
      <c r="L480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30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0.58001710844338794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0.55455631375636005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0.60577999264634597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0.24460429945259299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1.5050291241368301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80" s="5">
        <f>IF((DiscreteStatsTable[[#This Row],[RepsRequested]]&gt;1),DiscreteStatsTable[[#This Row],[HalfWidth]],DiscreteStatsTable[[#This Row],[BatchMeansHalfWidth]])</f>
        <v>5.0783400785183869E-3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30</v>
      </c>
      <c r="Y480" s="5">
        <f>IF(DiscreteStatsTable[[#This Row],[RepsRequested]]=DiscreteStatsTable[[#This Row],[RepsWithStatObserved]],1,0)</f>
        <v>1</v>
      </c>
    </row>
    <row r="481" spans="1:25" x14ac:dyDescent="0.3">
      <c r="A481" t="s">
        <v>66</v>
      </c>
      <c r="B481" t="s">
        <v>68</v>
      </c>
      <c r="C481">
        <v>25</v>
      </c>
      <c r="D481" t="s">
        <v>84</v>
      </c>
      <c r="E481" t="s">
        <v>91</v>
      </c>
      <c r="F481" t="s">
        <v>86</v>
      </c>
      <c r="G481">
        <v>0.30293125183305603</v>
      </c>
      <c r="H481">
        <v>2E+20</v>
      </c>
      <c r="I481">
        <v>0</v>
      </c>
      <c r="J481">
        <v>0.61018209815748603</v>
      </c>
      <c r="K481">
        <v>135</v>
      </c>
      <c r="L481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30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0.40279248807003726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0.177937316910317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0.814020685592315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1.24972436277344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81" s="5">
        <f>IF((DiscreteStatsTable[[#This Row],[RepsRequested]]&gt;1),DiscreteStatsTable[[#This Row],[HalfWidth]],DiscreteStatsTable[[#This Row],[BatchMeansHalfWidth]])</f>
        <v>5.8740635024535484E-2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30</v>
      </c>
      <c r="Y481" s="5">
        <f>IF(DiscreteStatsTable[[#This Row],[RepsRequested]]=DiscreteStatsTable[[#This Row],[RepsWithStatObserved]],1,0)</f>
        <v>1</v>
      </c>
    </row>
    <row r="482" spans="1:25" x14ac:dyDescent="0.3">
      <c r="A482" t="s">
        <v>66</v>
      </c>
      <c r="B482" t="s">
        <v>68</v>
      </c>
      <c r="C482">
        <v>26</v>
      </c>
      <c r="D482" t="s">
        <v>84</v>
      </c>
      <c r="E482" t="s">
        <v>85</v>
      </c>
      <c r="F482" t="s">
        <v>86</v>
      </c>
      <c r="G482">
        <v>0</v>
      </c>
      <c r="H482">
        <v>2E+20</v>
      </c>
      <c r="I482">
        <v>0</v>
      </c>
      <c r="J482">
        <v>0</v>
      </c>
      <c r="K482">
        <v>125</v>
      </c>
      <c r="L482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30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0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0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0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0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0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0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82" s="5">
        <f>IF((DiscreteStatsTable[[#This Row],[RepsRequested]]&gt;1),DiscreteStatsTable[[#This Row],[HalfWidth]],DiscreteStatsTable[[#This Row],[BatchMeansHalfWidth]])</f>
        <v>0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30</v>
      </c>
      <c r="Y482" s="5">
        <f>IF(DiscreteStatsTable[[#This Row],[RepsRequested]]=DiscreteStatsTable[[#This Row],[RepsWithStatObserved]],1,0)</f>
        <v>1</v>
      </c>
    </row>
    <row r="483" spans="1:25" x14ac:dyDescent="0.3">
      <c r="A483" t="s">
        <v>66</v>
      </c>
      <c r="B483" t="s">
        <v>68</v>
      </c>
      <c r="C483">
        <v>26</v>
      </c>
      <c r="D483" t="s">
        <v>84</v>
      </c>
      <c r="E483" t="s">
        <v>87</v>
      </c>
      <c r="F483" t="s">
        <v>86</v>
      </c>
      <c r="G483">
        <v>0</v>
      </c>
      <c r="H483">
        <v>2E+20</v>
      </c>
      <c r="I483">
        <v>0</v>
      </c>
      <c r="J483">
        <v>0</v>
      </c>
      <c r="K483">
        <v>125</v>
      </c>
      <c r="L483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30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0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0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0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0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0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83" s="5">
        <f>IF((DiscreteStatsTable[[#This Row],[RepsRequested]]&gt;1),DiscreteStatsTable[[#This Row],[HalfWidth]],DiscreteStatsTable[[#This Row],[BatchMeansHalfWidth]])</f>
        <v>0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30</v>
      </c>
      <c r="Y483" s="5">
        <f>IF(DiscreteStatsTable[[#This Row],[RepsRequested]]=DiscreteStatsTable[[#This Row],[RepsWithStatObserved]],1,0)</f>
        <v>1</v>
      </c>
    </row>
    <row r="484" spans="1:25" x14ac:dyDescent="0.3">
      <c r="A484" t="s">
        <v>66</v>
      </c>
      <c r="B484" t="s">
        <v>68</v>
      </c>
      <c r="C484">
        <v>26</v>
      </c>
      <c r="D484" t="s">
        <v>84</v>
      </c>
      <c r="E484" t="s">
        <v>88</v>
      </c>
      <c r="F484" t="s">
        <v>86</v>
      </c>
      <c r="G484">
        <v>1.0239727314929401</v>
      </c>
      <c r="H484">
        <v>2E+20</v>
      </c>
      <c r="I484">
        <v>0.62722915599361495</v>
      </c>
      <c r="J484">
        <v>1.4814298272766999</v>
      </c>
      <c r="K484">
        <v>125</v>
      </c>
      <c r="L484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30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1.2678871334176696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1.0239727314929401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1.6751220567766201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0.54240657991611196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2.7561776708620398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84" s="5">
        <f>IF((DiscreteStatsTable[[#This Row],[RepsRequested]]&gt;1),DiscreteStatsTable[[#This Row],[HalfWidth]],DiscreteStatsTable[[#This Row],[BatchMeansHalfWidth]])</f>
        <v>5.9219230019787336E-2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30</v>
      </c>
      <c r="Y484" s="5">
        <f>IF(DiscreteStatsTable[[#This Row],[RepsRequested]]=DiscreteStatsTable[[#This Row],[RepsWithStatObserved]],1,0)</f>
        <v>1</v>
      </c>
    </row>
    <row r="485" spans="1:25" x14ac:dyDescent="0.3">
      <c r="A485" t="s">
        <v>66</v>
      </c>
      <c r="B485" t="s">
        <v>68</v>
      </c>
      <c r="C485">
        <v>26</v>
      </c>
      <c r="D485" t="s">
        <v>84</v>
      </c>
      <c r="E485" t="s">
        <v>89</v>
      </c>
      <c r="F485" t="s">
        <v>86</v>
      </c>
      <c r="G485">
        <v>0.2818986058638</v>
      </c>
      <c r="H485">
        <v>2E+20</v>
      </c>
      <c r="I485">
        <v>0.20247088459760301</v>
      </c>
      <c r="J485">
        <v>0.42444187433227398</v>
      </c>
      <c r="K485">
        <v>125</v>
      </c>
      <c r="L485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30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0.28507753690424381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0.27840426452549899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0.29234258706294097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0.17212578810766199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0.61921751163804895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85" s="5">
        <f>IF((DiscreteStatsTable[[#This Row],[RepsRequested]]&gt;1),DiscreteStatsTable[[#This Row],[HalfWidth]],DiscreteStatsTable[[#This Row],[BatchMeansHalfWidth]])</f>
        <v>1.354482514359579E-3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30</v>
      </c>
      <c r="Y485" s="5">
        <f>IF(DiscreteStatsTable[[#This Row],[RepsRequested]]=DiscreteStatsTable[[#This Row],[RepsWithStatObserved]],1,0)</f>
        <v>1</v>
      </c>
    </row>
    <row r="486" spans="1:25" x14ac:dyDescent="0.3">
      <c r="A486" t="s">
        <v>66</v>
      </c>
      <c r="B486" t="s">
        <v>68</v>
      </c>
      <c r="C486">
        <v>26</v>
      </c>
      <c r="D486" t="s">
        <v>84</v>
      </c>
      <c r="E486" t="s">
        <v>90</v>
      </c>
      <c r="F486" t="s">
        <v>86</v>
      </c>
      <c r="G486">
        <v>0.56413680871881999</v>
      </c>
      <c r="H486">
        <v>2E+20</v>
      </c>
      <c r="I486">
        <v>0.310279208929015</v>
      </c>
      <c r="J486">
        <v>0.94087736862502802</v>
      </c>
      <c r="K486">
        <v>125</v>
      </c>
      <c r="L486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30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0.58001710844338794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0.55455631375636005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0.60577999264634597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0.24460429945259299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1.5050291241368301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86" s="5">
        <f>IF((DiscreteStatsTable[[#This Row],[RepsRequested]]&gt;1),DiscreteStatsTable[[#This Row],[HalfWidth]],DiscreteStatsTable[[#This Row],[BatchMeansHalfWidth]])</f>
        <v>5.0783400785183869E-3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30</v>
      </c>
      <c r="Y486" s="5">
        <f>IF(DiscreteStatsTable[[#This Row],[RepsRequested]]=DiscreteStatsTable[[#This Row],[RepsWithStatObserved]],1,0)</f>
        <v>1</v>
      </c>
    </row>
    <row r="487" spans="1:25" x14ac:dyDescent="0.3">
      <c r="A487" t="s">
        <v>66</v>
      </c>
      <c r="B487" t="s">
        <v>68</v>
      </c>
      <c r="C487">
        <v>26</v>
      </c>
      <c r="D487" t="s">
        <v>84</v>
      </c>
      <c r="E487" t="s">
        <v>91</v>
      </c>
      <c r="F487" t="s">
        <v>86</v>
      </c>
      <c r="G487">
        <v>0.177937316910317</v>
      </c>
      <c r="H487">
        <v>2E+20</v>
      </c>
      <c r="I487">
        <v>0</v>
      </c>
      <c r="J487">
        <v>0.38730070760715102</v>
      </c>
      <c r="K487">
        <v>125</v>
      </c>
      <c r="L487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30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0.40279248807003726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0.177937316910317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0.814020685592315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1.24972436277344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87" s="5">
        <f>IF((DiscreteStatsTable[[#This Row],[RepsRequested]]&gt;1),DiscreteStatsTable[[#This Row],[HalfWidth]],DiscreteStatsTable[[#This Row],[BatchMeansHalfWidth]])</f>
        <v>5.8740635024535484E-2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30</v>
      </c>
      <c r="Y487" s="5">
        <f>IF(DiscreteStatsTable[[#This Row],[RepsRequested]]=DiscreteStatsTable[[#This Row],[RepsWithStatObserved]],1,0)</f>
        <v>1</v>
      </c>
    </row>
    <row r="488" spans="1:25" x14ac:dyDescent="0.3">
      <c r="A488" t="s">
        <v>66</v>
      </c>
      <c r="B488" t="s">
        <v>68</v>
      </c>
      <c r="C488">
        <v>27</v>
      </c>
      <c r="D488" t="s">
        <v>84</v>
      </c>
      <c r="E488" t="s">
        <v>85</v>
      </c>
      <c r="F488" t="s">
        <v>86</v>
      </c>
      <c r="G488">
        <v>0</v>
      </c>
      <c r="H488">
        <v>2E+20</v>
      </c>
      <c r="I488">
        <v>0</v>
      </c>
      <c r="J488">
        <v>0</v>
      </c>
      <c r="K488">
        <v>148</v>
      </c>
      <c r="L488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30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0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0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0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0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0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0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88" s="5">
        <f>IF((DiscreteStatsTable[[#This Row],[RepsRequested]]&gt;1),DiscreteStatsTable[[#This Row],[HalfWidth]],DiscreteStatsTable[[#This Row],[BatchMeansHalfWidth]])</f>
        <v>0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30</v>
      </c>
      <c r="Y488" s="5">
        <f>IF(DiscreteStatsTable[[#This Row],[RepsRequested]]=DiscreteStatsTable[[#This Row],[RepsWithStatObserved]],1,0)</f>
        <v>1</v>
      </c>
    </row>
    <row r="489" spans="1:25" x14ac:dyDescent="0.3">
      <c r="A489" t="s">
        <v>66</v>
      </c>
      <c r="B489" t="s">
        <v>68</v>
      </c>
      <c r="C489">
        <v>27</v>
      </c>
      <c r="D489" t="s">
        <v>84</v>
      </c>
      <c r="E489" t="s">
        <v>87</v>
      </c>
      <c r="F489" t="s">
        <v>86</v>
      </c>
      <c r="G489">
        <v>0</v>
      </c>
      <c r="H489">
        <v>2E+20</v>
      </c>
      <c r="I489">
        <v>0</v>
      </c>
      <c r="J489">
        <v>0</v>
      </c>
      <c r="K489">
        <v>148</v>
      </c>
      <c r="L489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30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0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0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0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0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0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89" s="5">
        <f>IF((DiscreteStatsTable[[#This Row],[RepsRequested]]&gt;1),DiscreteStatsTable[[#This Row],[HalfWidth]],DiscreteStatsTable[[#This Row],[BatchMeansHalfWidth]])</f>
        <v>0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30</v>
      </c>
      <c r="Y489" s="5">
        <f>IF(DiscreteStatsTable[[#This Row],[RepsRequested]]=DiscreteStatsTable[[#This Row],[RepsWithStatObserved]],1,0)</f>
        <v>1</v>
      </c>
    </row>
    <row r="490" spans="1:25" x14ac:dyDescent="0.3">
      <c r="A490" t="s">
        <v>66</v>
      </c>
      <c r="B490" t="s">
        <v>68</v>
      </c>
      <c r="C490">
        <v>27</v>
      </c>
      <c r="D490" t="s">
        <v>84</v>
      </c>
      <c r="E490" t="s">
        <v>88</v>
      </c>
      <c r="F490" t="s">
        <v>86</v>
      </c>
      <c r="G490">
        <v>1.4792875362790101</v>
      </c>
      <c r="H490">
        <v>2E+20</v>
      </c>
      <c r="I490">
        <v>0.80297745794193598</v>
      </c>
      <c r="J490">
        <v>2.3044370140889998</v>
      </c>
      <c r="K490">
        <v>148</v>
      </c>
      <c r="L490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30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1.2678871334176696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1.0239727314929401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1.6751220567766201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0.54240657991611196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2.7561776708620398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90" s="5">
        <f>IF((DiscreteStatsTable[[#This Row],[RepsRequested]]&gt;1),DiscreteStatsTable[[#This Row],[HalfWidth]],DiscreteStatsTable[[#This Row],[BatchMeansHalfWidth]])</f>
        <v>5.9219230019787336E-2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30</v>
      </c>
      <c r="Y490" s="5">
        <f>IF(DiscreteStatsTable[[#This Row],[RepsRequested]]=DiscreteStatsTable[[#This Row],[RepsWithStatObserved]],1,0)</f>
        <v>1</v>
      </c>
    </row>
    <row r="491" spans="1:25" x14ac:dyDescent="0.3">
      <c r="A491" t="s">
        <v>66</v>
      </c>
      <c r="B491" t="s">
        <v>68</v>
      </c>
      <c r="C491">
        <v>27</v>
      </c>
      <c r="D491" t="s">
        <v>84</v>
      </c>
      <c r="E491" t="s">
        <v>89</v>
      </c>
      <c r="F491" t="s">
        <v>86</v>
      </c>
      <c r="G491">
        <v>0.28217396074609902</v>
      </c>
      <c r="H491">
        <v>2E+20</v>
      </c>
      <c r="I491">
        <v>0.17212578810766199</v>
      </c>
      <c r="J491">
        <v>0.50878418767816902</v>
      </c>
      <c r="K491">
        <v>148</v>
      </c>
      <c r="L491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30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0.28507753690424381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0.27840426452549899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0.29234258706294097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0.17212578810766199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0.61921751163804895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91" s="5">
        <f>IF((DiscreteStatsTable[[#This Row],[RepsRequested]]&gt;1),DiscreteStatsTable[[#This Row],[HalfWidth]],DiscreteStatsTable[[#This Row],[BatchMeansHalfWidth]])</f>
        <v>1.354482514359579E-3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30</v>
      </c>
      <c r="Y491" s="5">
        <f>IF(DiscreteStatsTable[[#This Row],[RepsRequested]]=DiscreteStatsTable[[#This Row],[RepsWithStatObserved]],1,0)</f>
        <v>1</v>
      </c>
    </row>
    <row r="492" spans="1:25" x14ac:dyDescent="0.3">
      <c r="A492" t="s">
        <v>66</v>
      </c>
      <c r="B492" t="s">
        <v>68</v>
      </c>
      <c r="C492">
        <v>27</v>
      </c>
      <c r="D492" t="s">
        <v>84</v>
      </c>
      <c r="E492" t="s">
        <v>90</v>
      </c>
      <c r="F492" t="s">
        <v>86</v>
      </c>
      <c r="G492">
        <v>0.58083801261891599</v>
      </c>
      <c r="H492">
        <v>2E+20</v>
      </c>
      <c r="I492">
        <v>0.299960846489985</v>
      </c>
      <c r="J492">
        <v>1.2015676630384799</v>
      </c>
      <c r="K492">
        <v>148</v>
      </c>
      <c r="L492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30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0.58001710844338794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0.55455631375636005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0.60577999264634597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0.24460429945259299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1.5050291241368301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92" s="5">
        <f>IF((DiscreteStatsTable[[#This Row],[RepsRequested]]&gt;1),DiscreteStatsTable[[#This Row],[HalfWidth]],DiscreteStatsTable[[#This Row],[BatchMeansHalfWidth]])</f>
        <v>5.0783400785183869E-3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30</v>
      </c>
      <c r="Y492" s="5">
        <f>IF(DiscreteStatsTable[[#This Row],[RepsRequested]]=DiscreteStatsTable[[#This Row],[RepsWithStatObserved]],1,0)</f>
        <v>1</v>
      </c>
    </row>
    <row r="493" spans="1:25" x14ac:dyDescent="0.3">
      <c r="A493" t="s">
        <v>66</v>
      </c>
      <c r="B493" t="s">
        <v>68</v>
      </c>
      <c r="C493">
        <v>27</v>
      </c>
      <c r="D493" t="s">
        <v>84</v>
      </c>
      <c r="E493" t="s">
        <v>91</v>
      </c>
      <c r="F493" t="s">
        <v>86</v>
      </c>
      <c r="G493">
        <v>0.61627556291399699</v>
      </c>
      <c r="H493">
        <v>2E+20</v>
      </c>
      <c r="I493">
        <v>7.4078083910072007E-2</v>
      </c>
      <c r="J493">
        <v>0.88751620931592701</v>
      </c>
      <c r="K493">
        <v>148</v>
      </c>
      <c r="L493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30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0.40279248807003726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0.177937316910317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0.814020685592315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1.24972436277344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93" s="5">
        <f>IF((DiscreteStatsTable[[#This Row],[RepsRequested]]&gt;1),DiscreteStatsTable[[#This Row],[HalfWidth]],DiscreteStatsTable[[#This Row],[BatchMeansHalfWidth]])</f>
        <v>5.8740635024535484E-2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30</v>
      </c>
      <c r="Y493" s="5">
        <f>IF(DiscreteStatsTable[[#This Row],[RepsRequested]]=DiscreteStatsTable[[#This Row],[RepsWithStatObserved]],1,0)</f>
        <v>1</v>
      </c>
    </row>
    <row r="494" spans="1:25" x14ac:dyDescent="0.3">
      <c r="A494" t="s">
        <v>66</v>
      </c>
      <c r="B494" t="s">
        <v>68</v>
      </c>
      <c r="C494">
        <v>28</v>
      </c>
      <c r="D494" t="s">
        <v>84</v>
      </c>
      <c r="E494" t="s">
        <v>85</v>
      </c>
      <c r="F494" t="s">
        <v>86</v>
      </c>
      <c r="G494">
        <v>0</v>
      </c>
      <c r="H494">
        <v>2E+20</v>
      </c>
      <c r="I494">
        <v>0</v>
      </c>
      <c r="J494">
        <v>0</v>
      </c>
      <c r="K494">
        <v>144</v>
      </c>
      <c r="L494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30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0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0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0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0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0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0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94" s="5">
        <f>IF((DiscreteStatsTable[[#This Row],[RepsRequested]]&gt;1),DiscreteStatsTable[[#This Row],[HalfWidth]],DiscreteStatsTable[[#This Row],[BatchMeansHalfWidth]])</f>
        <v>0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30</v>
      </c>
      <c r="Y494" s="5">
        <f>IF(DiscreteStatsTable[[#This Row],[RepsRequested]]=DiscreteStatsTable[[#This Row],[RepsWithStatObserved]],1,0)</f>
        <v>1</v>
      </c>
    </row>
    <row r="495" spans="1:25" x14ac:dyDescent="0.3">
      <c r="A495" t="s">
        <v>66</v>
      </c>
      <c r="B495" t="s">
        <v>68</v>
      </c>
      <c r="C495">
        <v>28</v>
      </c>
      <c r="D495" t="s">
        <v>84</v>
      </c>
      <c r="E495" t="s">
        <v>87</v>
      </c>
      <c r="F495" t="s">
        <v>86</v>
      </c>
      <c r="G495">
        <v>0</v>
      </c>
      <c r="H495">
        <v>2E+20</v>
      </c>
      <c r="I495">
        <v>0</v>
      </c>
      <c r="J495">
        <v>0</v>
      </c>
      <c r="K495">
        <v>144</v>
      </c>
      <c r="L495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30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0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0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0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0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0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95" s="5">
        <f>IF((DiscreteStatsTable[[#This Row],[RepsRequested]]&gt;1),DiscreteStatsTable[[#This Row],[HalfWidth]],DiscreteStatsTable[[#This Row],[BatchMeansHalfWidth]])</f>
        <v>0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30</v>
      </c>
      <c r="Y495" s="5">
        <f>IF(DiscreteStatsTable[[#This Row],[RepsRequested]]=DiscreteStatsTable[[#This Row],[RepsWithStatObserved]],1,0)</f>
        <v>1</v>
      </c>
    </row>
    <row r="496" spans="1:25" x14ac:dyDescent="0.3">
      <c r="A496" t="s">
        <v>66</v>
      </c>
      <c r="B496" t="s">
        <v>68</v>
      </c>
      <c r="C496">
        <v>28</v>
      </c>
      <c r="D496" t="s">
        <v>84</v>
      </c>
      <c r="E496" t="s">
        <v>88</v>
      </c>
      <c r="F496" t="s">
        <v>86</v>
      </c>
      <c r="G496">
        <v>1.24077082150278</v>
      </c>
      <c r="H496">
        <v>2E+20</v>
      </c>
      <c r="I496">
        <v>0.63725880081333197</v>
      </c>
      <c r="J496">
        <v>1.99178496019609</v>
      </c>
      <c r="K496">
        <v>144</v>
      </c>
      <c r="L496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30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1.2678871334176696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0.15859201065608289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1.0239727314929401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1.6751220567766201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0.54240657991611196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2.7561776708620398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96" s="5">
        <f>IF((DiscreteStatsTable[[#This Row],[RepsRequested]]&gt;1),DiscreteStatsTable[[#This Row],[HalfWidth]],DiscreteStatsTable[[#This Row],[BatchMeansHalfWidth]])</f>
        <v>5.9219230019787336E-2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30</v>
      </c>
      <c r="Y496" s="5">
        <f>IF(DiscreteStatsTable[[#This Row],[RepsRequested]]=DiscreteStatsTable[[#This Row],[RepsWithStatObserved]],1,0)</f>
        <v>1</v>
      </c>
    </row>
    <row r="497" spans="1:25" x14ac:dyDescent="0.3">
      <c r="A497" t="s">
        <v>66</v>
      </c>
      <c r="B497" t="s">
        <v>68</v>
      </c>
      <c r="C497">
        <v>28</v>
      </c>
      <c r="D497" t="s">
        <v>84</v>
      </c>
      <c r="E497" t="s">
        <v>89</v>
      </c>
      <c r="F497" t="s">
        <v>86</v>
      </c>
      <c r="G497">
        <v>0.28397684651627098</v>
      </c>
      <c r="H497">
        <v>2E+20</v>
      </c>
      <c r="I497">
        <v>0.18821983847669699</v>
      </c>
      <c r="J497">
        <v>0.51050257543336497</v>
      </c>
      <c r="K497">
        <v>144</v>
      </c>
      <c r="L497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30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0.28507753690424381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0.27840426452549899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0.29234258706294097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0.17212578810766199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0.61921751163804895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97" s="5">
        <f>IF((DiscreteStatsTable[[#This Row],[RepsRequested]]&gt;1),DiscreteStatsTable[[#This Row],[HalfWidth]],DiscreteStatsTable[[#This Row],[BatchMeansHalfWidth]])</f>
        <v>1.354482514359579E-3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30</v>
      </c>
      <c r="Y497" s="5">
        <f>IF(DiscreteStatsTable[[#This Row],[RepsRequested]]=DiscreteStatsTable[[#This Row],[RepsWithStatObserved]],1,0)</f>
        <v>1</v>
      </c>
    </row>
    <row r="498" spans="1:25" x14ac:dyDescent="0.3">
      <c r="A498" t="s">
        <v>66</v>
      </c>
      <c r="B498" t="s">
        <v>68</v>
      </c>
      <c r="C498">
        <v>28</v>
      </c>
      <c r="D498" t="s">
        <v>84</v>
      </c>
      <c r="E498" t="s">
        <v>90</v>
      </c>
      <c r="F498" t="s">
        <v>86</v>
      </c>
      <c r="G498">
        <v>0.57173404786383197</v>
      </c>
      <c r="H498">
        <v>2E+20</v>
      </c>
      <c r="I498">
        <v>0.284626133742925</v>
      </c>
      <c r="J498">
        <v>1.4121417916997001</v>
      </c>
      <c r="K498">
        <v>144</v>
      </c>
      <c r="L498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30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0.58001710844338794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0.55455631375636005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0.60577999264634597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0.24460429945259299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1.5050291241368301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98" s="5">
        <f>IF((DiscreteStatsTable[[#This Row],[RepsRequested]]&gt;1),DiscreteStatsTable[[#This Row],[HalfWidth]],DiscreteStatsTable[[#This Row],[BatchMeansHalfWidth]])</f>
        <v>5.0783400785183869E-3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30</v>
      </c>
      <c r="Y498" s="5">
        <f>IF(DiscreteStatsTable[[#This Row],[RepsRequested]]=DiscreteStatsTable[[#This Row],[RepsWithStatObserved]],1,0)</f>
        <v>1</v>
      </c>
    </row>
    <row r="499" spans="1:25" x14ac:dyDescent="0.3">
      <c r="A499" t="s">
        <v>66</v>
      </c>
      <c r="B499" t="s">
        <v>68</v>
      </c>
      <c r="C499">
        <v>28</v>
      </c>
      <c r="D499" t="s">
        <v>84</v>
      </c>
      <c r="E499" t="s">
        <v>91</v>
      </c>
      <c r="F499" t="s">
        <v>86</v>
      </c>
      <c r="G499">
        <v>0.38505992712268</v>
      </c>
      <c r="H499">
        <v>2E+20</v>
      </c>
      <c r="I499">
        <v>8.7696937100779394E-3</v>
      </c>
      <c r="J499">
        <v>0.61107675338976197</v>
      </c>
      <c r="K499">
        <v>144</v>
      </c>
      <c r="L499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30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0.40279248807003726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0.15731030971938431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0.177937316910317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0.814020685592315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1.24972436277344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499" s="5">
        <f>IF((DiscreteStatsTable[[#This Row],[RepsRequested]]&gt;1),DiscreteStatsTable[[#This Row],[HalfWidth]],DiscreteStatsTable[[#This Row],[BatchMeansHalfWidth]])</f>
        <v>5.8740635024535484E-2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30</v>
      </c>
      <c r="Y499" s="5">
        <f>IF(DiscreteStatsTable[[#This Row],[RepsRequested]]=DiscreteStatsTable[[#This Row],[RepsWithStatObserved]],1,0)</f>
        <v>1</v>
      </c>
    </row>
    <row r="500" spans="1:25" x14ac:dyDescent="0.3">
      <c r="A500" t="s">
        <v>66</v>
      </c>
      <c r="B500" t="s">
        <v>68</v>
      </c>
      <c r="C500">
        <v>29</v>
      </c>
      <c r="D500" t="s">
        <v>84</v>
      </c>
      <c r="E500" t="s">
        <v>85</v>
      </c>
      <c r="F500" t="s">
        <v>86</v>
      </c>
      <c r="G500">
        <v>0</v>
      </c>
      <c r="H500">
        <v>2E+20</v>
      </c>
      <c r="I500">
        <v>0</v>
      </c>
      <c r="J500">
        <v>0</v>
      </c>
      <c r="K500">
        <v>156</v>
      </c>
      <c r="L500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30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0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0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0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0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0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0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00" s="5">
        <f>IF((DiscreteStatsTable[[#This Row],[RepsRequested]]&gt;1),DiscreteStatsTable[[#This Row],[HalfWidth]],DiscreteStatsTable[[#This Row],[BatchMeansHalfWidth]])</f>
        <v>0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30</v>
      </c>
      <c r="Y500" s="5">
        <f>IF(DiscreteStatsTable[[#This Row],[RepsRequested]]=DiscreteStatsTable[[#This Row],[RepsWithStatObserved]],1,0)</f>
        <v>1</v>
      </c>
    </row>
    <row r="501" spans="1:25" x14ac:dyDescent="0.3">
      <c r="A501" t="s">
        <v>66</v>
      </c>
      <c r="B501" t="s">
        <v>68</v>
      </c>
      <c r="C501">
        <v>29</v>
      </c>
      <c r="D501" t="s">
        <v>84</v>
      </c>
      <c r="E501" t="s">
        <v>87</v>
      </c>
      <c r="F501" t="s">
        <v>86</v>
      </c>
      <c r="G501">
        <v>0</v>
      </c>
      <c r="H501">
        <v>2E+20</v>
      </c>
      <c r="I501">
        <v>0</v>
      </c>
      <c r="J501">
        <v>0</v>
      </c>
      <c r="K501">
        <v>156</v>
      </c>
      <c r="L501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30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0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0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0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0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0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01" s="5">
        <f>IF((DiscreteStatsTable[[#This Row],[RepsRequested]]&gt;1),DiscreteStatsTable[[#This Row],[HalfWidth]],DiscreteStatsTable[[#This Row],[BatchMeansHalfWidth]])</f>
        <v>0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30</v>
      </c>
      <c r="Y501" s="5">
        <f>IF(DiscreteStatsTable[[#This Row],[RepsRequested]]=DiscreteStatsTable[[#This Row],[RepsWithStatObserved]],1,0)</f>
        <v>1</v>
      </c>
    </row>
    <row r="502" spans="1:25" x14ac:dyDescent="0.3">
      <c r="A502" t="s">
        <v>66</v>
      </c>
      <c r="B502" t="s">
        <v>68</v>
      </c>
      <c r="C502">
        <v>29</v>
      </c>
      <c r="D502" t="s">
        <v>84</v>
      </c>
      <c r="E502" t="s">
        <v>88</v>
      </c>
      <c r="F502" t="s">
        <v>86</v>
      </c>
      <c r="G502">
        <v>1.3177076112488899</v>
      </c>
      <c r="H502">
        <v>2E+20</v>
      </c>
      <c r="I502">
        <v>0.66954541037734605</v>
      </c>
      <c r="J502">
        <v>2.0351927737577502</v>
      </c>
      <c r="K502">
        <v>156</v>
      </c>
      <c r="L502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30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1.2678871334176696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0.15859201065608289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1.0239727314929401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1.6751220567766201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0.54240657991611196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2.7561776708620398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02" s="5">
        <f>IF((DiscreteStatsTable[[#This Row],[RepsRequested]]&gt;1),DiscreteStatsTable[[#This Row],[HalfWidth]],DiscreteStatsTable[[#This Row],[BatchMeansHalfWidth]])</f>
        <v>5.9219230019787336E-2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30</v>
      </c>
      <c r="Y502" s="5">
        <f>IF(DiscreteStatsTable[[#This Row],[RepsRequested]]=DiscreteStatsTable[[#This Row],[RepsWithStatObserved]],1,0)</f>
        <v>1</v>
      </c>
    </row>
    <row r="503" spans="1:25" x14ac:dyDescent="0.3">
      <c r="A503" t="s">
        <v>66</v>
      </c>
      <c r="B503" t="s">
        <v>68</v>
      </c>
      <c r="C503">
        <v>29</v>
      </c>
      <c r="D503" t="s">
        <v>84</v>
      </c>
      <c r="E503" t="s">
        <v>89</v>
      </c>
      <c r="F503" t="s">
        <v>86</v>
      </c>
      <c r="G503">
        <v>0.281006964632879</v>
      </c>
      <c r="H503">
        <v>2E+20</v>
      </c>
      <c r="I503">
        <v>0.19038777006003901</v>
      </c>
      <c r="J503">
        <v>0.398927235399333</v>
      </c>
      <c r="K503">
        <v>156</v>
      </c>
      <c r="L503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30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0.28507753690424381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0.27840426452549899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0.29234258706294097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0.17212578810766199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0.61921751163804895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03" s="5">
        <f>IF((DiscreteStatsTable[[#This Row],[RepsRequested]]&gt;1),DiscreteStatsTable[[#This Row],[HalfWidth]],DiscreteStatsTable[[#This Row],[BatchMeansHalfWidth]])</f>
        <v>1.354482514359579E-3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30</v>
      </c>
      <c r="Y503" s="5">
        <f>IF(DiscreteStatsTable[[#This Row],[RepsRequested]]=DiscreteStatsTable[[#This Row],[RepsWithStatObserved]],1,0)</f>
        <v>1</v>
      </c>
    </row>
    <row r="504" spans="1:25" x14ac:dyDescent="0.3">
      <c r="A504" t="s">
        <v>66</v>
      </c>
      <c r="B504" t="s">
        <v>68</v>
      </c>
      <c r="C504">
        <v>29</v>
      </c>
      <c r="D504" t="s">
        <v>84</v>
      </c>
      <c r="E504" t="s">
        <v>90</v>
      </c>
      <c r="F504" t="s">
        <v>86</v>
      </c>
      <c r="G504">
        <v>0.58700042479436598</v>
      </c>
      <c r="H504">
        <v>2E+20</v>
      </c>
      <c r="I504">
        <v>0.32683752984746001</v>
      </c>
      <c r="J504">
        <v>0.96667098953373498</v>
      </c>
      <c r="K504">
        <v>156</v>
      </c>
      <c r="L504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30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0.58001710844338794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0.55455631375636005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0.60577999264634597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0.24460429945259299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1.5050291241368301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04" s="5">
        <f>IF((DiscreteStatsTable[[#This Row],[RepsRequested]]&gt;1),DiscreteStatsTable[[#This Row],[HalfWidth]],DiscreteStatsTable[[#This Row],[BatchMeansHalfWidth]])</f>
        <v>5.0783400785183869E-3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30</v>
      </c>
      <c r="Y504" s="5">
        <f>IF(DiscreteStatsTable[[#This Row],[RepsRequested]]=DiscreteStatsTable[[#This Row],[RepsWithStatObserved]],1,0)</f>
        <v>1</v>
      </c>
    </row>
    <row r="505" spans="1:25" x14ac:dyDescent="0.3">
      <c r="A505" t="s">
        <v>66</v>
      </c>
      <c r="B505" t="s">
        <v>68</v>
      </c>
      <c r="C505">
        <v>29</v>
      </c>
      <c r="D505" t="s">
        <v>84</v>
      </c>
      <c r="E505" t="s">
        <v>91</v>
      </c>
      <c r="F505" t="s">
        <v>86</v>
      </c>
      <c r="G505">
        <v>0.44970022182164199</v>
      </c>
      <c r="H505">
        <v>2E+20</v>
      </c>
      <c r="I505">
        <v>5.2276789021184497E-3</v>
      </c>
      <c r="J505">
        <v>0.88535353115833704</v>
      </c>
      <c r="K505">
        <v>156</v>
      </c>
      <c r="L505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30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0.40279248807003726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0.15731030971938431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0.177937316910317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0.814020685592315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1.24972436277344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05" s="5">
        <f>IF((DiscreteStatsTable[[#This Row],[RepsRequested]]&gt;1),DiscreteStatsTable[[#This Row],[HalfWidth]],DiscreteStatsTable[[#This Row],[BatchMeansHalfWidth]])</f>
        <v>5.8740635024535484E-2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30</v>
      </c>
      <c r="Y505" s="5">
        <f>IF(DiscreteStatsTable[[#This Row],[RepsRequested]]=DiscreteStatsTable[[#This Row],[RepsWithStatObserved]],1,0)</f>
        <v>1</v>
      </c>
    </row>
    <row r="506" spans="1:25" x14ac:dyDescent="0.3">
      <c r="A506" t="s">
        <v>66</v>
      </c>
      <c r="B506" t="s">
        <v>68</v>
      </c>
      <c r="C506">
        <v>30</v>
      </c>
      <c r="D506" t="s">
        <v>84</v>
      </c>
      <c r="E506" t="s">
        <v>85</v>
      </c>
      <c r="F506" t="s">
        <v>86</v>
      </c>
      <c r="G506">
        <v>0</v>
      </c>
      <c r="H506">
        <v>2E+20</v>
      </c>
      <c r="I506">
        <v>0</v>
      </c>
      <c r="J506">
        <v>0</v>
      </c>
      <c r="K506">
        <v>131</v>
      </c>
      <c r="L506" s="5" t="str">
        <f>DiscreteStatsTable[[#This Row],[ProjectName]]&amp;DiscreteStatsTable[[#This Row],[Name]]&amp;DiscreteStatsTable[[#This Row],[Type]]&amp;DiscreteStatsTable[[#This Row],[Source]]</f>
        <v>Unnamed ProjectVisitantesNVA TimeEntity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30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0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0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0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0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0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0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06" s="5">
        <f>IF((DiscreteStatsTable[[#This Row],[RepsRequested]]&gt;1),DiscreteStatsTable[[#This Row],[HalfWidth]],DiscreteStatsTable[[#This Row],[BatchMeansHalfWidth]])</f>
        <v>0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30</v>
      </c>
      <c r="Y506" s="5">
        <f>IF(DiscreteStatsTable[[#This Row],[RepsRequested]]=DiscreteStatsTable[[#This Row],[RepsWithStatObserved]],1,0)</f>
        <v>1</v>
      </c>
    </row>
    <row r="507" spans="1:25" x14ac:dyDescent="0.3">
      <c r="A507" t="s">
        <v>66</v>
      </c>
      <c r="B507" t="s">
        <v>68</v>
      </c>
      <c r="C507">
        <v>30</v>
      </c>
      <c r="D507" t="s">
        <v>84</v>
      </c>
      <c r="E507" t="s">
        <v>87</v>
      </c>
      <c r="F507" t="s">
        <v>86</v>
      </c>
      <c r="G507">
        <v>0</v>
      </c>
      <c r="H507">
        <v>2E+20</v>
      </c>
      <c r="I507">
        <v>0</v>
      </c>
      <c r="J507">
        <v>0</v>
      </c>
      <c r="K507">
        <v>131</v>
      </c>
      <c r="L507" s="5" t="str">
        <f>DiscreteStatsTable[[#This Row],[ProjectName]]&amp;DiscreteStatsTable[[#This Row],[Name]]&amp;DiscreteStatsTable[[#This Row],[Type]]&amp;DiscreteStatsTable[[#This Row],[Source]]</f>
        <v>Unnamed ProjectVisitantesOther TimeEntity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30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0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0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0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0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0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07" s="5">
        <f>IF((DiscreteStatsTable[[#This Row],[RepsRequested]]&gt;1),DiscreteStatsTable[[#This Row],[HalfWidth]],DiscreteStatsTable[[#This Row],[BatchMeansHalfWidth]])</f>
        <v>0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30</v>
      </c>
      <c r="Y507" s="5">
        <f>IF(DiscreteStatsTable[[#This Row],[RepsRequested]]=DiscreteStatsTable[[#This Row],[RepsWithStatObserved]],1,0)</f>
        <v>1</v>
      </c>
    </row>
    <row r="508" spans="1:25" x14ac:dyDescent="0.3">
      <c r="A508" t="s">
        <v>66</v>
      </c>
      <c r="B508" t="s">
        <v>68</v>
      </c>
      <c r="C508">
        <v>30</v>
      </c>
      <c r="D508" t="s">
        <v>84</v>
      </c>
      <c r="E508" t="s">
        <v>88</v>
      </c>
      <c r="F508" t="s">
        <v>86</v>
      </c>
      <c r="G508">
        <v>1.1430608465741601</v>
      </c>
      <c r="H508">
        <v>2E+20</v>
      </c>
      <c r="I508">
        <v>0.63854972612670002</v>
      </c>
      <c r="J508">
        <v>2.04750073380244</v>
      </c>
      <c r="K508">
        <v>131</v>
      </c>
      <c r="L508" s="5" t="str">
        <f>DiscreteStatsTable[[#This Row],[ProjectName]]&amp;DiscreteStatsTable[[#This Row],[Name]]&amp;DiscreteStatsTable[[#This Row],[Type]]&amp;DiscreteStatsTable[[#This Row],[Source]]</f>
        <v>Unnamed ProjectVisitantesTotal TimeEntity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30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1.2678871334176696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0.15859201065608289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5.9219230019787336E-2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1.0239727314929401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1.6751220567766201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0.54240657991611196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2.7561776708620398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08" s="5">
        <f>IF((DiscreteStatsTable[[#This Row],[RepsRequested]]&gt;1),DiscreteStatsTable[[#This Row],[HalfWidth]],DiscreteStatsTable[[#This Row],[BatchMeansHalfWidth]])</f>
        <v>5.9219230019787336E-2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30</v>
      </c>
      <c r="Y508" s="5">
        <f>IF(DiscreteStatsTable[[#This Row],[RepsRequested]]=DiscreteStatsTable[[#This Row],[RepsWithStatObserved]],1,0)</f>
        <v>1</v>
      </c>
    </row>
    <row r="509" spans="1:25" x14ac:dyDescent="0.3">
      <c r="A509" t="s">
        <v>66</v>
      </c>
      <c r="B509" t="s">
        <v>68</v>
      </c>
      <c r="C509">
        <v>30</v>
      </c>
      <c r="D509" t="s">
        <v>84</v>
      </c>
      <c r="E509" t="s">
        <v>89</v>
      </c>
      <c r="F509" t="s">
        <v>86</v>
      </c>
      <c r="G509">
        <v>0.28370365842327799</v>
      </c>
      <c r="H509">
        <v>2E+20</v>
      </c>
      <c r="I509">
        <v>0.204348769502913</v>
      </c>
      <c r="J509">
        <v>0.52401009263508203</v>
      </c>
      <c r="K509">
        <v>131</v>
      </c>
      <c r="L509" s="5" t="str">
        <f>DiscreteStatsTable[[#This Row],[ProjectName]]&amp;DiscreteStatsTable[[#This Row],[Name]]&amp;DiscreteStatsTable[[#This Row],[Type]]&amp;DiscreteStatsTable[[#This Row],[Source]]</f>
        <v>Unnamed ProjectVisitantesTransfer TimeEntity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30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0.28507753690424381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3.6273707928829251E-3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1.354482514359579E-3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0.27840426452549899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0.29234258706294097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0.17212578810766199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0.61921751163804895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09" s="5">
        <f>IF((DiscreteStatsTable[[#This Row],[RepsRequested]]&gt;1),DiscreteStatsTable[[#This Row],[HalfWidth]],DiscreteStatsTable[[#This Row],[BatchMeansHalfWidth]])</f>
        <v>1.354482514359579E-3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30</v>
      </c>
      <c r="Y509" s="5">
        <f>IF(DiscreteStatsTable[[#This Row],[RepsRequested]]=DiscreteStatsTable[[#This Row],[RepsWithStatObserved]],1,0)</f>
        <v>1</v>
      </c>
    </row>
    <row r="510" spans="1:25" x14ac:dyDescent="0.3">
      <c r="A510" t="s">
        <v>66</v>
      </c>
      <c r="B510" t="s">
        <v>68</v>
      </c>
      <c r="C510">
        <v>30</v>
      </c>
      <c r="D510" t="s">
        <v>84</v>
      </c>
      <c r="E510" t="s">
        <v>90</v>
      </c>
      <c r="F510" t="s">
        <v>86</v>
      </c>
      <c r="G510">
        <v>0.59333195409153405</v>
      </c>
      <c r="H510">
        <v>2E+20</v>
      </c>
      <c r="I510">
        <v>0.28804211690862502</v>
      </c>
      <c r="J510">
        <v>1.18369902297995</v>
      </c>
      <c r="K510">
        <v>131</v>
      </c>
      <c r="L510" s="5" t="str">
        <f>DiscreteStatsTable[[#This Row],[ProjectName]]&amp;DiscreteStatsTable[[#This Row],[Name]]&amp;DiscreteStatsTable[[#This Row],[Type]]&amp;DiscreteStatsTable[[#This Row],[Source]]</f>
        <v>Unnamed ProjectVisitantesVA TimeEntity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30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0.58001710844338794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1.360004450545021E-2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5.0783400785183869E-3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0.55455631375636005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0.60577999264634597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0.24460429945259299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1.5050291241368301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10" s="5">
        <f>IF((DiscreteStatsTable[[#This Row],[RepsRequested]]&gt;1),DiscreteStatsTable[[#This Row],[HalfWidth]],DiscreteStatsTable[[#This Row],[BatchMeansHalfWidth]])</f>
        <v>5.0783400785183869E-3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30</v>
      </c>
      <c r="Y510" s="5">
        <f>IF(DiscreteStatsTable[[#This Row],[RepsRequested]]=DiscreteStatsTable[[#This Row],[RepsWithStatObserved]],1,0)</f>
        <v>1</v>
      </c>
    </row>
    <row r="511" spans="1:25" x14ac:dyDescent="0.3">
      <c r="A511" t="s">
        <v>66</v>
      </c>
      <c r="B511" t="s">
        <v>68</v>
      </c>
      <c r="C511">
        <v>30</v>
      </c>
      <c r="D511" t="s">
        <v>84</v>
      </c>
      <c r="E511" t="s">
        <v>91</v>
      </c>
      <c r="F511" t="s">
        <v>86</v>
      </c>
      <c r="G511">
        <v>0.26602523405934497</v>
      </c>
      <c r="H511">
        <v>2E+20</v>
      </c>
      <c r="I511">
        <v>3.1872153168140301E-2</v>
      </c>
      <c r="J511">
        <v>0.417953329414956</v>
      </c>
      <c r="K511">
        <v>131</v>
      </c>
      <c r="L511" s="5" t="str">
        <f>DiscreteStatsTable[[#This Row],[ProjectName]]&amp;DiscreteStatsTable[[#This Row],[Name]]&amp;DiscreteStatsTable[[#This Row],[Type]]&amp;DiscreteStatsTable[[#This Row],[Source]]</f>
        <v>Unnamed ProjectVisitantesWait TimeEntity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30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0.40279248807003726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0.15731030971938431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5.8740635024535484E-2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0.177937316910317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0.814020685592315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1.24972436277344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138.66666666666666</v>
      </c>
      <c r="W511" s="5">
        <f>IF((DiscreteStatsTable[[#This Row],[RepsRequested]]&gt;1),DiscreteStatsTable[[#This Row],[HalfWidth]],DiscreteStatsTable[[#This Row],[BatchMeansHalfWidth]])</f>
        <v>5.8740635024535484E-2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30</v>
      </c>
      <c r="Y511" s="5">
        <f>IF(DiscreteStatsTable[[#This Row],[RepsRequested]]=DiscreteStatsTable[[#This Row],[RepsWithStatObserved]],1,0)</f>
        <v>1</v>
      </c>
    </row>
  </sheetData>
  <phoneticPr fontId="2" type="noConversion"/>
  <conditionalFormatting sqref="H2:H511 Q2:Q511">
    <cfRule type="expression" dxfId="27" priority="23">
      <formula>H2=200000000000000000000</formula>
    </cfRule>
  </conditionalFormatting>
  <conditionalFormatting sqref="H2:H511">
    <cfRule type="expression" dxfId="26" priority="21">
      <formula>H2=300000000000000000000</formula>
    </cfRule>
  </conditionalFormatting>
  <conditionalFormatting sqref="L2:Y511">
    <cfRule type="expression" dxfId="25" priority="19">
      <formula>MOD(ROW(),2)=0</formula>
    </cfRule>
  </conditionalFormatting>
  <conditionalFormatting sqref="Y2:Y511">
    <cfRule type="expression" dxfId="24" priority="14">
      <formula>Y2=0</formula>
    </cfRule>
    <cfRule type="expression" dxfId="23" priority="16">
      <formula>Y2=1</formula>
    </cfRule>
  </conditionalFormatting>
  <conditionalFormatting sqref="Y3:Y511">
    <cfRule type="expression" dxfId="22" priority="15">
      <formula>Y3=1</formula>
    </cfRule>
  </conditionalFormatting>
  <conditionalFormatting sqref="W2:W5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511 W2:W5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71"/>
  <sheetViews>
    <sheetView workbookViewId="0">
      <selection activeCell="D2" sqref="D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23.109375" bestFit="1" customWidth="1"/>
    <col min="5" max="5" width="21.5546875" bestFit="1" customWidth="1"/>
    <col min="6" max="6" width="9" bestFit="1" customWidth="1"/>
    <col min="7" max="7" width="12" bestFit="1" customWidth="1"/>
    <col min="8" max="8" width="22.21875" bestFit="1" customWidth="1"/>
    <col min="9" max="9" width="11.44140625" bestFit="1" customWidth="1"/>
    <col min="10" max="10" width="12" bestFit="1" customWidth="1"/>
    <col min="11" max="11" width="19.44140625" bestFit="1" customWidth="1"/>
    <col min="12" max="12" width="11.33203125" bestFit="1" customWidth="1"/>
    <col min="13" max="13" width="56.44140625" bestFit="1" customWidth="1"/>
    <col min="14" max="14" width="16.109375" bestFit="1" customWidth="1"/>
    <col min="15" max="15" width="19.109375" bestFit="1" customWidth="1"/>
    <col min="16" max="16" width="17" bestFit="1" customWidth="1"/>
    <col min="17" max="17" width="19.332031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1" width="19.8867187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92</v>
      </c>
      <c r="F2" t="s">
        <v>71</v>
      </c>
      <c r="G2">
        <v>4.48407268276266</v>
      </c>
      <c r="H2">
        <v>2E+20</v>
      </c>
      <c r="I2">
        <v>0</v>
      </c>
      <c r="J2">
        <v>21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2.2853775994771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9.3827575078214593</v>
      </c>
      <c r="U2">
        <f>IF((ContinuousStatsTable[[#This Row],[RepsRequested]]&gt;1),ContinuousStatsTable[[#This Row],[HalfWidth]],ContinuousStatsTable[[#This Row],[BatchMeansHalfWidth]])</f>
        <v>0.70373665421471332</v>
      </c>
    </row>
    <row r="3" spans="1:21" x14ac:dyDescent="0.3">
      <c r="A3" t="s">
        <v>66</v>
      </c>
      <c r="B3" t="s">
        <v>68</v>
      </c>
      <c r="C3">
        <v>1</v>
      </c>
      <c r="D3" t="s">
        <v>72</v>
      </c>
      <c r="E3" t="s">
        <v>92</v>
      </c>
      <c r="F3" t="s">
        <v>71</v>
      </c>
      <c r="G3">
        <v>2.2009446862503301</v>
      </c>
      <c r="H3">
        <v>2E+20</v>
      </c>
      <c r="I3">
        <v>0</v>
      </c>
      <c r="J3">
        <v>15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1.4754093813695901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8.0603747791942499</v>
      </c>
      <c r="U3">
        <f>IF((ContinuousStatsTable[[#This Row],[RepsRequested]]&gt;1),ContinuousStatsTable[[#This Row],[HalfWidth]],ContinuousStatsTable[[#This Row],[BatchMeansHalfWidth]])</f>
        <v>0.5936172943910426</v>
      </c>
    </row>
    <row r="4" spans="1:21" x14ac:dyDescent="0.3">
      <c r="A4" t="s">
        <v>66</v>
      </c>
      <c r="B4" t="s">
        <v>68</v>
      </c>
      <c r="C4">
        <v>1</v>
      </c>
      <c r="D4" t="s">
        <v>73</v>
      </c>
      <c r="E4" t="s">
        <v>92</v>
      </c>
      <c r="F4" t="s">
        <v>71</v>
      </c>
      <c r="G4">
        <v>4.0100457953335704</v>
      </c>
      <c r="H4">
        <v>2E+20</v>
      </c>
      <c r="I4">
        <v>0</v>
      </c>
      <c r="J4">
        <v>18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1.3305593103954101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29.356614544212601</v>
      </c>
      <c r="U4">
        <f>IF((ContinuousStatsTable[[#This Row],[RepsRequested]]&gt;1),ContinuousStatsTable[[#This Row],[HalfWidth]],ContinuousStatsTable[[#This Row],[BatchMeansHalfWidth]])</f>
        <v>2.162177461749093</v>
      </c>
    </row>
    <row r="5" spans="1:21" x14ac:dyDescent="0.3">
      <c r="A5" t="s">
        <v>66</v>
      </c>
      <c r="B5" t="s">
        <v>68</v>
      </c>
      <c r="C5">
        <v>1</v>
      </c>
      <c r="D5" t="s">
        <v>74</v>
      </c>
      <c r="E5" t="s">
        <v>92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75</v>
      </c>
      <c r="E6" t="s">
        <v>92</v>
      </c>
      <c r="F6" t="s">
        <v>71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A7" t="s">
        <v>66</v>
      </c>
      <c r="B7" t="s">
        <v>68</v>
      </c>
      <c r="C7">
        <v>1</v>
      </c>
      <c r="D7" t="s">
        <v>76</v>
      </c>
      <c r="E7" t="s">
        <v>92</v>
      </c>
      <c r="F7" t="s">
        <v>71</v>
      </c>
      <c r="G7">
        <v>1.04939044833559</v>
      </c>
      <c r="H7">
        <v>2E+20</v>
      </c>
      <c r="I7">
        <v>0</v>
      </c>
      <c r="J7">
        <v>9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4.5869485136026601E-2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4.1119263103435699</v>
      </c>
      <c r="U7">
        <f>IF((ContinuousStatsTable[[#This Row],[RepsRequested]]&gt;1),ContinuousStatsTable[[#This Row],[HalfWidth]],ContinuousStatsTable[[#This Row],[BatchMeansHalfWidth]])</f>
        <v>0.43252967563899991</v>
      </c>
    </row>
    <row r="8" spans="1:21" x14ac:dyDescent="0.3">
      <c r="A8" t="s">
        <v>66</v>
      </c>
      <c r="B8" t="s">
        <v>68</v>
      </c>
      <c r="C8">
        <v>1</v>
      </c>
      <c r="D8" t="s">
        <v>77</v>
      </c>
      <c r="E8" t="s">
        <v>92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3">
      <c r="A9" t="s">
        <v>66</v>
      </c>
      <c r="B9" t="s">
        <v>68</v>
      </c>
      <c r="C9">
        <v>1</v>
      </c>
      <c r="D9" t="s">
        <v>78</v>
      </c>
      <c r="E9" t="s">
        <v>92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3">
      <c r="A10" t="s">
        <v>66</v>
      </c>
      <c r="B10" t="s">
        <v>68</v>
      </c>
      <c r="C10">
        <v>1</v>
      </c>
      <c r="D10" t="s">
        <v>93</v>
      </c>
      <c r="E10" t="s">
        <v>94</v>
      </c>
      <c r="F10" t="s">
        <v>95</v>
      </c>
      <c r="G10">
        <v>2.81222721054891E-2</v>
      </c>
      <c r="H10">
        <v>2E+20</v>
      </c>
      <c r="I10">
        <v>0</v>
      </c>
      <c r="J10">
        <v>0.15</v>
      </c>
      <c r="K10">
        <v>0.1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2.3718114155243601E-2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4.8583931724403701E-2</v>
      </c>
      <c r="U10">
        <f>IF((ContinuousStatsTable[[#This Row],[RepsRequested]]&gt;1),ContinuousStatsTable[[#This Row],[HalfWidth]],ContinuousStatsTable[[#This Row],[BatchMeansHalfWidth]])</f>
        <v>2.4839579632442289E-3</v>
      </c>
    </row>
    <row r="11" spans="1:21" x14ac:dyDescent="0.3">
      <c r="A11" t="s">
        <v>66</v>
      </c>
      <c r="B11" t="s">
        <v>68</v>
      </c>
      <c r="C11">
        <v>1</v>
      </c>
      <c r="D11" t="s">
        <v>93</v>
      </c>
      <c r="E11" t="s">
        <v>96</v>
      </c>
      <c r="F11" t="s">
        <v>95</v>
      </c>
      <c r="G11">
        <v>0.56244544210978298</v>
      </c>
      <c r="H11">
        <v>2E+20</v>
      </c>
      <c r="I11">
        <v>0</v>
      </c>
      <c r="J11">
        <v>3</v>
      </c>
      <c r="K11">
        <v>2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0.47436228310487299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0.97167863448807401</v>
      </c>
      <c r="U11">
        <f>IF((ContinuousStatsTable[[#This Row],[RepsRequested]]&gt;1),ContinuousStatsTable[[#This Row],[HalfWidth]],ContinuousStatsTable[[#This Row],[BatchMeansHalfWidth]])</f>
        <v>4.9679159264885281E-2</v>
      </c>
    </row>
    <row r="12" spans="1:21" x14ac:dyDescent="0.3">
      <c r="A12" t="s">
        <v>66</v>
      </c>
      <c r="B12" t="s">
        <v>68</v>
      </c>
      <c r="C12">
        <v>1</v>
      </c>
      <c r="D12" t="s">
        <v>93</v>
      </c>
      <c r="E12" t="s">
        <v>97</v>
      </c>
      <c r="F12" t="s">
        <v>95</v>
      </c>
      <c r="G12">
        <v>20</v>
      </c>
      <c r="H12">
        <v>2E+20</v>
      </c>
      <c r="I12">
        <v>20</v>
      </c>
      <c r="J12">
        <v>20</v>
      </c>
      <c r="K12">
        <v>20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20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20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20</v>
      </c>
      <c r="U12">
        <f>IF((ContinuousStatsTable[[#This Row],[RepsRequested]]&gt;1),ContinuousStatsTable[[#This Row],[HalfWidth]],ContinuousStatsTable[[#This Row],[BatchMeansHalfWidth]])</f>
        <v>0</v>
      </c>
    </row>
    <row r="13" spans="1:21" x14ac:dyDescent="0.3">
      <c r="A13" t="s">
        <v>66</v>
      </c>
      <c r="B13" t="s">
        <v>68</v>
      </c>
      <c r="C13">
        <v>1</v>
      </c>
      <c r="D13" t="s">
        <v>98</v>
      </c>
      <c r="E13" t="s">
        <v>94</v>
      </c>
      <c r="F13" t="s">
        <v>95</v>
      </c>
      <c r="G13">
        <v>0.21309577097801799</v>
      </c>
      <c r="H13">
        <v>2E+20</v>
      </c>
      <c r="I13">
        <v>0</v>
      </c>
      <c r="J13">
        <v>0.6</v>
      </c>
      <c r="K13">
        <v>0.25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0.20767736113278101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0.28501162927715501</v>
      </c>
      <c r="U13">
        <f>IF((ContinuousStatsTable[[#This Row],[RepsRequested]]&gt;1),ContinuousStatsTable[[#This Row],[HalfWidth]],ContinuousStatsTable[[#This Row],[BatchMeansHalfWidth]])</f>
        <v>8.7273384073404715E-3</v>
      </c>
    </row>
    <row r="14" spans="1:21" x14ac:dyDescent="0.3">
      <c r="A14" t="s">
        <v>66</v>
      </c>
      <c r="B14" t="s">
        <v>68</v>
      </c>
      <c r="C14">
        <v>1</v>
      </c>
      <c r="D14" t="s">
        <v>98</v>
      </c>
      <c r="E14" t="s">
        <v>96</v>
      </c>
      <c r="F14" t="s">
        <v>95</v>
      </c>
      <c r="G14">
        <v>4.2619154195603599</v>
      </c>
      <c r="H14">
        <v>2E+20</v>
      </c>
      <c r="I14">
        <v>0</v>
      </c>
      <c r="J14">
        <v>12</v>
      </c>
      <c r="K14">
        <v>5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4.15354722265561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5.7002325855431097</v>
      </c>
      <c r="U14">
        <f>IF((ContinuousStatsTable[[#This Row],[RepsRequested]]&gt;1),ContinuousStatsTable[[#This Row],[HalfWidth]],ContinuousStatsTable[[#This Row],[BatchMeansHalfWidth]])</f>
        <v>0.17454676814681078</v>
      </c>
    </row>
    <row r="15" spans="1:21" x14ac:dyDescent="0.3">
      <c r="A15" t="s">
        <v>66</v>
      </c>
      <c r="B15" t="s">
        <v>68</v>
      </c>
      <c r="C15">
        <v>1</v>
      </c>
      <c r="D15" t="s">
        <v>98</v>
      </c>
      <c r="E15" t="s">
        <v>97</v>
      </c>
      <c r="F15" t="s">
        <v>95</v>
      </c>
      <c r="G15">
        <v>20</v>
      </c>
      <c r="H15">
        <v>2E+20</v>
      </c>
      <c r="I15">
        <v>20</v>
      </c>
      <c r="J15">
        <v>20</v>
      </c>
      <c r="K15">
        <v>20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20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20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20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1</v>
      </c>
      <c r="D16" t="s">
        <v>99</v>
      </c>
      <c r="E16" t="s">
        <v>94</v>
      </c>
      <c r="F16" t="s">
        <v>95</v>
      </c>
      <c r="G16">
        <v>0.59070684422967801</v>
      </c>
      <c r="H16">
        <v>2E+20</v>
      </c>
      <c r="I16">
        <v>0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0.517215348442703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0.67770389283754395</v>
      </c>
      <c r="U16">
        <f>IF((ContinuousStatsTable[[#This Row],[RepsRequested]]&gt;1),ContinuousStatsTable[[#This Row],[HalfWidth]],ContinuousStatsTable[[#This Row],[BatchMeansHalfWidth]])</f>
        <v>1.8059192833960565E-2</v>
      </c>
    </row>
    <row r="17" spans="1:21" x14ac:dyDescent="0.3">
      <c r="A17" t="s">
        <v>66</v>
      </c>
      <c r="B17" t="s">
        <v>68</v>
      </c>
      <c r="C17">
        <v>1</v>
      </c>
      <c r="D17" t="s">
        <v>99</v>
      </c>
      <c r="E17" t="s">
        <v>96</v>
      </c>
      <c r="F17" t="s">
        <v>95</v>
      </c>
      <c r="G17">
        <v>5.9070684422967803</v>
      </c>
      <c r="H17">
        <v>2E+20</v>
      </c>
      <c r="I17">
        <v>0</v>
      </c>
      <c r="J17">
        <v>10</v>
      </c>
      <c r="K17">
        <v>10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5.1721534844270298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6.7770389283754398</v>
      </c>
      <c r="U17">
        <f>IF((ContinuousStatsTable[[#This Row],[RepsRequested]]&gt;1),ContinuousStatsTable[[#This Row],[HalfWidth]],ContinuousStatsTable[[#This Row],[BatchMeansHalfWidth]])</f>
        <v>0.18059192833960558</v>
      </c>
    </row>
    <row r="18" spans="1:21" x14ac:dyDescent="0.3">
      <c r="A18" t="s">
        <v>66</v>
      </c>
      <c r="B18" t="s">
        <v>68</v>
      </c>
      <c r="C18">
        <v>1</v>
      </c>
      <c r="D18" t="s">
        <v>99</v>
      </c>
      <c r="E18" t="s">
        <v>97</v>
      </c>
      <c r="F18" t="s">
        <v>95</v>
      </c>
      <c r="G18">
        <v>10</v>
      </c>
      <c r="H18">
        <v>2E+20</v>
      </c>
      <c r="I18">
        <v>10</v>
      </c>
      <c r="J18">
        <v>10</v>
      </c>
      <c r="K18">
        <v>10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10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10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10</v>
      </c>
      <c r="U18">
        <f>IF((ContinuousStatsTable[[#This Row],[RepsRequested]]&gt;1),ContinuousStatsTable[[#This Row],[HalfWidth]],ContinuousStatsTable[[#This Row],[BatchMeansHalfWidth]])</f>
        <v>0</v>
      </c>
    </row>
    <row r="19" spans="1:21" x14ac:dyDescent="0.3">
      <c r="A19" t="s">
        <v>66</v>
      </c>
      <c r="B19" t="s">
        <v>68</v>
      </c>
      <c r="C19">
        <v>1</v>
      </c>
      <c r="D19" t="s">
        <v>100</v>
      </c>
      <c r="E19" t="s">
        <v>94</v>
      </c>
      <c r="F19" t="s">
        <v>95</v>
      </c>
      <c r="G19">
        <v>0.16446573665407899</v>
      </c>
      <c r="H19">
        <v>2E+20</v>
      </c>
      <c r="I19">
        <v>0</v>
      </c>
      <c r="J19">
        <v>0.4</v>
      </c>
      <c r="K19">
        <v>0.24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0.14484829778125299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0.19609322315655101</v>
      </c>
      <c r="U19">
        <f>IF((ContinuousStatsTable[[#This Row],[RepsRequested]]&gt;1),ContinuousStatsTable[[#This Row],[HalfWidth]],ContinuousStatsTable[[#This Row],[BatchMeansHalfWidth]])</f>
        <v>4.9714113556225048E-3</v>
      </c>
    </row>
    <row r="20" spans="1:21" x14ac:dyDescent="0.3">
      <c r="A20" t="s">
        <v>66</v>
      </c>
      <c r="B20" t="s">
        <v>68</v>
      </c>
      <c r="C20">
        <v>1</v>
      </c>
      <c r="D20" t="s">
        <v>100</v>
      </c>
      <c r="E20" t="s">
        <v>96</v>
      </c>
      <c r="F20" t="s">
        <v>95</v>
      </c>
      <c r="G20">
        <v>8.2232868327039697</v>
      </c>
      <c r="H20">
        <v>2E+20</v>
      </c>
      <c r="I20">
        <v>0</v>
      </c>
      <c r="J20">
        <v>20</v>
      </c>
      <c r="K20">
        <v>12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7.2424148890626396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9.8046611578275602</v>
      </c>
      <c r="U20">
        <f>IF((ContinuousStatsTable[[#This Row],[RepsRequested]]&gt;1),ContinuousStatsTable[[#This Row],[HalfWidth]],ContinuousStatsTable[[#This Row],[BatchMeansHalfWidth]])</f>
        <v>0.24857056778112663</v>
      </c>
    </row>
    <row r="21" spans="1:21" x14ac:dyDescent="0.3">
      <c r="A21" t="s">
        <v>66</v>
      </c>
      <c r="B21" t="s">
        <v>68</v>
      </c>
      <c r="C21">
        <v>1</v>
      </c>
      <c r="D21" t="s">
        <v>100</v>
      </c>
      <c r="E21" t="s">
        <v>97</v>
      </c>
      <c r="F21" t="s">
        <v>95</v>
      </c>
      <c r="G21">
        <v>50</v>
      </c>
      <c r="H21">
        <v>2E+20</v>
      </c>
      <c r="I21">
        <v>50</v>
      </c>
      <c r="J21">
        <v>50</v>
      </c>
      <c r="K21">
        <v>50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50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50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50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66</v>
      </c>
      <c r="B22" t="s">
        <v>68</v>
      </c>
      <c r="C22">
        <v>1</v>
      </c>
      <c r="D22" t="s">
        <v>101</v>
      </c>
      <c r="E22" t="s">
        <v>94</v>
      </c>
      <c r="F22" t="s">
        <v>95</v>
      </c>
      <c r="G22">
        <v>9.6605552921482304E-2</v>
      </c>
      <c r="H22">
        <v>2E+20</v>
      </c>
      <c r="I22">
        <v>0</v>
      </c>
      <c r="J22">
        <v>0.33333333333333298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7.4778736536586704E-2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0.111025455742452</v>
      </c>
      <c r="U22">
        <f>IF((ContinuousStatsTable[[#This Row],[RepsRequested]]&gt;1),ContinuousStatsTable[[#This Row],[HalfWidth]],ContinuousStatsTable[[#This Row],[BatchMeansHalfWidth]])</f>
        <v>4.1821462690338805E-3</v>
      </c>
    </row>
    <row r="23" spans="1:21" x14ac:dyDescent="0.3">
      <c r="A23" t="s">
        <v>66</v>
      </c>
      <c r="B23" t="s">
        <v>68</v>
      </c>
      <c r="C23">
        <v>1</v>
      </c>
      <c r="D23" t="s">
        <v>101</v>
      </c>
      <c r="E23" t="s">
        <v>96</v>
      </c>
      <c r="F23" t="s">
        <v>95</v>
      </c>
      <c r="G23">
        <v>1.44908329382223</v>
      </c>
      <c r="H23">
        <v>2E+20</v>
      </c>
      <c r="I23">
        <v>0</v>
      </c>
      <c r="J23">
        <v>5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1.1216810480488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1.66538183613678</v>
      </c>
      <c r="U23">
        <f>IF((ContinuousStatsTable[[#This Row],[RepsRequested]]&gt;1),ContinuousStatsTable[[#This Row],[HalfWidth]],ContinuousStatsTable[[#This Row],[BatchMeansHalfWidth]])</f>
        <v>6.2732194035507963E-2</v>
      </c>
    </row>
    <row r="24" spans="1:21" x14ac:dyDescent="0.3">
      <c r="A24" t="s">
        <v>66</v>
      </c>
      <c r="B24" t="s">
        <v>68</v>
      </c>
      <c r="C24">
        <v>1</v>
      </c>
      <c r="D24" t="s">
        <v>101</v>
      </c>
      <c r="E24" t="s">
        <v>97</v>
      </c>
      <c r="F24" t="s">
        <v>95</v>
      </c>
      <c r="G24">
        <v>15</v>
      </c>
      <c r="H24">
        <v>2E+20</v>
      </c>
      <c r="I24">
        <v>15</v>
      </c>
      <c r="J24">
        <v>15</v>
      </c>
      <c r="K24">
        <v>15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15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15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15</v>
      </c>
      <c r="U24">
        <f>IF((ContinuousStatsTable[[#This Row],[RepsRequested]]&gt;1),ContinuousStatsTable[[#This Row],[HalfWidth]],ContinuousStatsTable[[#This Row],[BatchMeansHalfWidth]])</f>
        <v>0</v>
      </c>
    </row>
    <row r="25" spans="1:21" x14ac:dyDescent="0.3">
      <c r="A25" t="s">
        <v>66</v>
      </c>
      <c r="B25" t="s">
        <v>68</v>
      </c>
      <c r="C25">
        <v>1</v>
      </c>
      <c r="D25" t="s">
        <v>102</v>
      </c>
      <c r="E25" t="s">
        <v>94</v>
      </c>
      <c r="F25" t="s">
        <v>95</v>
      </c>
      <c r="G25">
        <v>0.747854945604429</v>
      </c>
      <c r="H25">
        <v>2E+20</v>
      </c>
      <c r="I25">
        <v>0</v>
      </c>
      <c r="J25">
        <v>1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0.73673947391417804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0.90592850818388704</v>
      </c>
      <c r="U25">
        <f>IF((ContinuousStatsTable[[#This Row],[RepsRequested]]&gt;1),ContinuousStatsTable[[#This Row],[HalfWidth]],ContinuousStatsTable[[#This Row],[BatchMeansHalfWidth]])</f>
        <v>1.8636241798384946E-2</v>
      </c>
    </row>
    <row r="26" spans="1:21" x14ac:dyDescent="0.3">
      <c r="A26" t="s">
        <v>66</v>
      </c>
      <c r="B26" t="s">
        <v>68</v>
      </c>
      <c r="C26">
        <v>1</v>
      </c>
      <c r="D26" t="s">
        <v>102</v>
      </c>
      <c r="E26" t="s">
        <v>96</v>
      </c>
      <c r="F26" t="s">
        <v>95</v>
      </c>
      <c r="G26">
        <v>1.5075726570233401</v>
      </c>
      <c r="H26">
        <v>2E+20</v>
      </c>
      <c r="I26">
        <v>0</v>
      </c>
      <c r="J26">
        <v>3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1.3726163545041801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1.7968913949876599</v>
      </c>
      <c r="U26">
        <f>IF((ContinuousStatsTable[[#This Row],[RepsRequested]]&gt;1),ContinuousStatsTable[[#This Row],[HalfWidth]],ContinuousStatsTable[[#This Row],[BatchMeansHalfWidth]])</f>
        <v>4.3123628688677348E-2</v>
      </c>
    </row>
    <row r="27" spans="1:21" x14ac:dyDescent="0.3">
      <c r="A27" t="s">
        <v>66</v>
      </c>
      <c r="B27" t="s">
        <v>68</v>
      </c>
      <c r="C27">
        <v>1</v>
      </c>
      <c r="D27" t="s">
        <v>102</v>
      </c>
      <c r="E27" t="s">
        <v>97</v>
      </c>
      <c r="F27" t="s">
        <v>95</v>
      </c>
      <c r="G27">
        <v>2</v>
      </c>
      <c r="H27">
        <v>2E+20</v>
      </c>
      <c r="I27">
        <v>1</v>
      </c>
      <c r="J27">
        <v>3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2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2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</v>
      </c>
      <c r="U27">
        <f>IF((ContinuousStatsTable[[#This Row],[RepsRequested]]&gt;1),ContinuousStatsTable[[#This Row],[HalfWidth]],ContinuousStatsTable[[#This Row],[BatchMeansHalfWidth]])</f>
        <v>0</v>
      </c>
    </row>
    <row r="28" spans="1:21" x14ac:dyDescent="0.3">
      <c r="A28" t="s">
        <v>66</v>
      </c>
      <c r="B28" t="s">
        <v>68</v>
      </c>
      <c r="C28">
        <v>1</v>
      </c>
      <c r="D28" t="s">
        <v>84</v>
      </c>
      <c r="E28" t="s">
        <v>103</v>
      </c>
      <c r="F28" t="s">
        <v>86</v>
      </c>
      <c r="G28">
        <v>45.360172440774903</v>
      </c>
      <c r="H28">
        <v>2E+20</v>
      </c>
      <c r="I28">
        <v>0</v>
      </c>
      <c r="J28">
        <v>80</v>
      </c>
      <c r="K28">
        <v>49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36.709886237305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84.594951996708403</v>
      </c>
      <c r="U28">
        <f>IF((ContinuousStatsTable[[#This Row],[RepsRequested]]&gt;1),ContinuousStatsTable[[#This Row],[HalfWidth]],ContinuousStatsTable[[#This Row],[BatchMeansHalfWidth]])</f>
        <v>4.0384933567271259</v>
      </c>
    </row>
    <row r="29" spans="1:21" x14ac:dyDescent="0.3">
      <c r="A29" t="s">
        <v>66</v>
      </c>
      <c r="B29" t="s">
        <v>68</v>
      </c>
      <c r="C29">
        <v>1</v>
      </c>
      <c r="D29" t="s">
        <v>104</v>
      </c>
      <c r="E29" t="s">
        <v>94</v>
      </c>
      <c r="F29" t="s">
        <v>95</v>
      </c>
      <c r="G29">
        <v>0</v>
      </c>
      <c r="H29">
        <v>2E+20</v>
      </c>
      <c r="I29">
        <v>0</v>
      </c>
      <c r="J29">
        <v>0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</v>
      </c>
      <c r="U29">
        <f>IF((ContinuousStatsTable[[#This Row],[RepsRequested]]&gt;1),ContinuousStatsTable[[#This Row],[HalfWidth]],ContinuousStatsTable[[#This Row],[BatchMeansHalfWidth]])</f>
        <v>0</v>
      </c>
    </row>
    <row r="30" spans="1:21" x14ac:dyDescent="0.3">
      <c r="A30" t="s">
        <v>66</v>
      </c>
      <c r="B30" t="s">
        <v>68</v>
      </c>
      <c r="C30">
        <v>1</v>
      </c>
      <c r="D30" t="s">
        <v>104</v>
      </c>
      <c r="E30" t="s">
        <v>96</v>
      </c>
      <c r="F30" t="s">
        <v>95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1</v>
      </c>
      <c r="D31" t="s">
        <v>104</v>
      </c>
      <c r="E31" t="s">
        <v>97</v>
      </c>
      <c r="F31" t="s">
        <v>95</v>
      </c>
      <c r="G31">
        <v>3</v>
      </c>
      <c r="H31">
        <v>2E+20</v>
      </c>
      <c r="I31">
        <v>3</v>
      </c>
      <c r="J31">
        <v>3</v>
      </c>
      <c r="K31">
        <v>3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3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3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3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3">
      <c r="A32" t="s">
        <v>66</v>
      </c>
      <c r="B32" t="s">
        <v>68</v>
      </c>
      <c r="C32">
        <v>1</v>
      </c>
      <c r="D32" t="s">
        <v>105</v>
      </c>
      <c r="E32" t="s">
        <v>94</v>
      </c>
      <c r="F32" t="s">
        <v>95</v>
      </c>
      <c r="G32">
        <v>0.79972424005424603</v>
      </c>
      <c r="H32">
        <v>2E+20</v>
      </c>
      <c r="I32">
        <v>0</v>
      </c>
      <c r="J32">
        <v>1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0.634589476164233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0.99383259650362799</v>
      </c>
      <c r="U32">
        <f>IF((ContinuousStatsTable[[#This Row],[RepsRequested]]&gt;1),ContinuousStatsTable[[#This Row],[HalfWidth]],ContinuousStatsTable[[#This Row],[BatchMeansHalfWidth]])</f>
        <v>3.9940526897700258E-2</v>
      </c>
    </row>
    <row r="33" spans="1:21" x14ac:dyDescent="0.3">
      <c r="A33" t="s">
        <v>66</v>
      </c>
      <c r="B33" t="s">
        <v>68</v>
      </c>
      <c r="C33">
        <v>1</v>
      </c>
      <c r="D33" t="s">
        <v>105</v>
      </c>
      <c r="E33" t="s">
        <v>96</v>
      </c>
      <c r="F33" t="s">
        <v>95</v>
      </c>
      <c r="G33">
        <v>0.79972424005424603</v>
      </c>
      <c r="H33">
        <v>2E+20</v>
      </c>
      <c r="I33">
        <v>0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0.634589476164233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0.99383259650362799</v>
      </c>
      <c r="U33">
        <f>IF((ContinuousStatsTable[[#This Row],[RepsRequested]]&gt;1),ContinuousStatsTable[[#This Row],[HalfWidth]],ContinuousStatsTable[[#This Row],[BatchMeansHalfWidth]])</f>
        <v>3.9940526897700258E-2</v>
      </c>
    </row>
    <row r="34" spans="1:21" x14ac:dyDescent="0.3">
      <c r="A34" t="s">
        <v>66</v>
      </c>
      <c r="B34" t="s">
        <v>68</v>
      </c>
      <c r="C34">
        <v>1</v>
      </c>
      <c r="D34" t="s">
        <v>105</v>
      </c>
      <c r="E34" t="s">
        <v>97</v>
      </c>
      <c r="F34" t="s">
        <v>95</v>
      </c>
      <c r="G34">
        <v>1</v>
      </c>
      <c r="H34">
        <v>2E+20</v>
      </c>
      <c r="I34">
        <v>1</v>
      </c>
      <c r="J34">
        <v>1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1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</v>
      </c>
      <c r="U34">
        <f>IF((ContinuousStatsTable[[#This Row],[RepsRequested]]&gt;1),ContinuousStatsTable[[#This Row],[HalfWidth]],ContinuousStatsTable[[#This Row],[BatchMeansHalfWidth]])</f>
        <v>0</v>
      </c>
    </row>
    <row r="35" spans="1:21" x14ac:dyDescent="0.3">
      <c r="A35" t="s">
        <v>66</v>
      </c>
      <c r="B35" t="s">
        <v>68</v>
      </c>
      <c r="C35">
        <v>1</v>
      </c>
      <c r="D35" t="s">
        <v>106</v>
      </c>
      <c r="E35" t="s">
        <v>94</v>
      </c>
      <c r="F35" t="s">
        <v>95</v>
      </c>
      <c r="G35">
        <v>0.84932132364788404</v>
      </c>
      <c r="H35">
        <v>2E+20</v>
      </c>
      <c r="I35">
        <v>0</v>
      </c>
      <c r="J35">
        <v>1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0.74061105631083801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0.99245161744166299</v>
      </c>
      <c r="U35">
        <f>IF((ContinuousStatsTable[[#This Row],[RepsRequested]]&gt;1),ContinuousStatsTable[[#This Row],[HalfWidth]],ContinuousStatsTable[[#This Row],[BatchMeansHalfWidth]])</f>
        <v>2.8912497794626357E-2</v>
      </c>
    </row>
    <row r="36" spans="1:21" x14ac:dyDescent="0.3">
      <c r="A36" t="s">
        <v>66</v>
      </c>
      <c r="B36" t="s">
        <v>68</v>
      </c>
      <c r="C36">
        <v>1</v>
      </c>
      <c r="D36" t="s">
        <v>106</v>
      </c>
      <c r="E36" t="s">
        <v>96</v>
      </c>
      <c r="F36" t="s">
        <v>95</v>
      </c>
      <c r="G36">
        <v>0.84932132364788404</v>
      </c>
      <c r="H36">
        <v>2E+20</v>
      </c>
      <c r="I36">
        <v>0</v>
      </c>
      <c r="J36">
        <v>1</v>
      </c>
      <c r="K36">
        <v>1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0.74061105631083801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0.99245161744166299</v>
      </c>
      <c r="U36">
        <f>IF((ContinuousStatsTable[[#This Row],[RepsRequested]]&gt;1),ContinuousStatsTable[[#This Row],[HalfWidth]],ContinuousStatsTable[[#This Row],[BatchMeansHalfWidth]])</f>
        <v>2.8912497794626357E-2</v>
      </c>
    </row>
    <row r="37" spans="1:21" x14ac:dyDescent="0.3">
      <c r="A37" t="s">
        <v>66</v>
      </c>
      <c r="B37" t="s">
        <v>68</v>
      </c>
      <c r="C37">
        <v>1</v>
      </c>
      <c r="D37" t="s">
        <v>106</v>
      </c>
      <c r="E37" t="s">
        <v>97</v>
      </c>
      <c r="F37" t="s">
        <v>95</v>
      </c>
      <c r="G37">
        <v>1</v>
      </c>
      <c r="H37">
        <v>2E+20</v>
      </c>
      <c r="I37">
        <v>1</v>
      </c>
      <c r="J37">
        <v>1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1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</v>
      </c>
      <c r="U37">
        <f>IF((ContinuousStatsTable[[#This Row],[RepsRequested]]&gt;1),ContinuousStatsTable[[#This Row],[HalfWidth]],ContinuousStatsTable[[#This Row],[BatchMeansHalfWidth]])</f>
        <v>0</v>
      </c>
    </row>
    <row r="38" spans="1:21" x14ac:dyDescent="0.3">
      <c r="A38" t="s">
        <v>66</v>
      </c>
      <c r="B38" t="s">
        <v>68</v>
      </c>
      <c r="C38">
        <v>1</v>
      </c>
      <c r="D38" t="s">
        <v>107</v>
      </c>
      <c r="E38" t="s">
        <v>94</v>
      </c>
      <c r="F38" t="s">
        <v>95</v>
      </c>
      <c r="G38">
        <v>0.83589421484019499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0.73843386001690303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0.99245161744166299</v>
      </c>
      <c r="U38">
        <f>IF((ContinuousStatsTable[[#This Row],[RepsRequested]]&gt;1),ContinuousStatsTable[[#This Row],[HalfWidth]],ContinuousStatsTable[[#This Row],[BatchMeansHalfWidth]])</f>
        <v>2.6057642646860522E-2</v>
      </c>
    </row>
    <row r="39" spans="1:21" x14ac:dyDescent="0.3">
      <c r="A39" t="s">
        <v>66</v>
      </c>
      <c r="B39" t="s">
        <v>68</v>
      </c>
      <c r="C39">
        <v>1</v>
      </c>
      <c r="D39" t="s">
        <v>107</v>
      </c>
      <c r="E39" t="s">
        <v>96</v>
      </c>
      <c r="F39" t="s">
        <v>95</v>
      </c>
      <c r="G39">
        <v>0.83589421484019499</v>
      </c>
      <c r="H39">
        <v>2E+20</v>
      </c>
      <c r="I39">
        <v>0</v>
      </c>
      <c r="J39">
        <v>1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0.73843386001690303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0.99245161744166299</v>
      </c>
      <c r="U39">
        <f>IF((ContinuousStatsTable[[#This Row],[RepsRequested]]&gt;1),ContinuousStatsTable[[#This Row],[HalfWidth]],ContinuousStatsTable[[#This Row],[BatchMeansHalfWidth]])</f>
        <v>2.6057642646860522E-2</v>
      </c>
    </row>
    <row r="40" spans="1:21" x14ac:dyDescent="0.3">
      <c r="A40" t="s">
        <v>66</v>
      </c>
      <c r="B40" t="s">
        <v>68</v>
      </c>
      <c r="C40">
        <v>1</v>
      </c>
      <c r="D40" t="s">
        <v>107</v>
      </c>
      <c r="E40" t="s">
        <v>97</v>
      </c>
      <c r="F40" t="s">
        <v>95</v>
      </c>
      <c r="G40">
        <v>1</v>
      </c>
      <c r="H40">
        <v>2E+20</v>
      </c>
      <c r="I40">
        <v>1</v>
      </c>
      <c r="J40">
        <v>1</v>
      </c>
      <c r="K40">
        <v>1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1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1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1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2</v>
      </c>
      <c r="D41" t="s">
        <v>69</v>
      </c>
      <c r="E41" t="s">
        <v>92</v>
      </c>
      <c r="F41" t="s">
        <v>71</v>
      </c>
      <c r="G41">
        <v>4.7759679244851903</v>
      </c>
      <c r="H41">
        <v>2E+20</v>
      </c>
      <c r="I41">
        <v>0</v>
      </c>
      <c r="J41">
        <v>25</v>
      </c>
      <c r="K41">
        <v>1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2.2853775994771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9.3827575078214593</v>
      </c>
      <c r="U41">
        <f>IF((ContinuousStatsTable[[#This Row],[RepsRequested]]&gt;1),ContinuousStatsTable[[#This Row],[HalfWidth]],ContinuousStatsTable[[#This Row],[BatchMeansHalfWidth]])</f>
        <v>0.70373665421471332</v>
      </c>
    </row>
    <row r="42" spans="1:21" x14ac:dyDescent="0.3">
      <c r="A42" t="s">
        <v>66</v>
      </c>
      <c r="B42" t="s">
        <v>68</v>
      </c>
      <c r="C42">
        <v>2</v>
      </c>
      <c r="D42" t="s">
        <v>72</v>
      </c>
      <c r="E42" t="s">
        <v>92</v>
      </c>
      <c r="F42" t="s">
        <v>71</v>
      </c>
      <c r="G42">
        <v>4.2389430637458299</v>
      </c>
      <c r="H42">
        <v>2E+20</v>
      </c>
      <c r="I42">
        <v>0</v>
      </c>
      <c r="J42">
        <v>20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1.4754093813695901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8.0603747791942499</v>
      </c>
      <c r="U42">
        <f>IF((ContinuousStatsTable[[#This Row],[RepsRequested]]&gt;1),ContinuousStatsTable[[#This Row],[HalfWidth]],ContinuousStatsTable[[#This Row],[BatchMeansHalfWidth]])</f>
        <v>0.5936172943910426</v>
      </c>
    </row>
    <row r="43" spans="1:21" x14ac:dyDescent="0.3">
      <c r="A43" t="s">
        <v>66</v>
      </c>
      <c r="B43" t="s">
        <v>68</v>
      </c>
      <c r="C43">
        <v>2</v>
      </c>
      <c r="D43" t="s">
        <v>73</v>
      </c>
      <c r="E43" t="s">
        <v>92</v>
      </c>
      <c r="F43" t="s">
        <v>71</v>
      </c>
      <c r="G43">
        <v>1.8318013133154301</v>
      </c>
      <c r="H43">
        <v>2E+20</v>
      </c>
      <c r="I43">
        <v>0</v>
      </c>
      <c r="J43">
        <v>9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1.3305593103954101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29.356614544212601</v>
      </c>
      <c r="U43">
        <f>IF((ContinuousStatsTable[[#This Row],[RepsRequested]]&gt;1),ContinuousStatsTable[[#This Row],[HalfWidth]],ContinuousStatsTable[[#This Row],[BatchMeansHalfWidth]])</f>
        <v>2.162177461749093</v>
      </c>
    </row>
    <row r="44" spans="1:21" x14ac:dyDescent="0.3">
      <c r="A44" t="s">
        <v>66</v>
      </c>
      <c r="B44" t="s">
        <v>68</v>
      </c>
      <c r="C44">
        <v>2</v>
      </c>
      <c r="D44" t="s">
        <v>74</v>
      </c>
      <c r="E44" t="s">
        <v>92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3">
      <c r="A45" t="s">
        <v>66</v>
      </c>
      <c r="B45" t="s">
        <v>68</v>
      </c>
      <c r="C45">
        <v>2</v>
      </c>
      <c r="D45" t="s">
        <v>75</v>
      </c>
      <c r="E45" t="s">
        <v>92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2</v>
      </c>
      <c r="D46" t="s">
        <v>76</v>
      </c>
      <c r="E46" t="s">
        <v>92</v>
      </c>
      <c r="F46" t="s">
        <v>71</v>
      </c>
      <c r="G46">
        <v>1.839588370929</v>
      </c>
      <c r="H46">
        <v>2E+20</v>
      </c>
      <c r="I46">
        <v>0</v>
      </c>
      <c r="J46">
        <v>12</v>
      </c>
      <c r="K46">
        <v>3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4.5869485136026601E-2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4.1119263103435699</v>
      </c>
      <c r="U46">
        <f>IF((ContinuousStatsTable[[#This Row],[RepsRequested]]&gt;1),ContinuousStatsTable[[#This Row],[HalfWidth]],ContinuousStatsTable[[#This Row],[BatchMeansHalfWidth]])</f>
        <v>0.43252967563899991</v>
      </c>
    </row>
    <row r="47" spans="1:21" x14ac:dyDescent="0.3">
      <c r="A47" t="s">
        <v>66</v>
      </c>
      <c r="B47" t="s">
        <v>68</v>
      </c>
      <c r="C47">
        <v>2</v>
      </c>
      <c r="D47" t="s">
        <v>77</v>
      </c>
      <c r="E47" t="s">
        <v>92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</v>
      </c>
      <c r="U47">
        <f>IF((ContinuousStatsTable[[#This Row],[RepsRequested]]&gt;1),ContinuousStatsTable[[#This Row],[HalfWidth]],ContinuousStatsTable[[#This Row],[BatchMeansHalfWidth]])</f>
        <v>0</v>
      </c>
    </row>
    <row r="48" spans="1:21" x14ac:dyDescent="0.3">
      <c r="A48" t="s">
        <v>66</v>
      </c>
      <c r="B48" t="s">
        <v>68</v>
      </c>
      <c r="C48">
        <v>2</v>
      </c>
      <c r="D48" t="s">
        <v>78</v>
      </c>
      <c r="E48" t="s">
        <v>92</v>
      </c>
      <c r="F48" t="s">
        <v>71</v>
      </c>
      <c r="G48">
        <v>0</v>
      </c>
      <c r="H48">
        <v>2E+20</v>
      </c>
      <c r="I48">
        <v>0</v>
      </c>
      <c r="J48">
        <v>0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</v>
      </c>
      <c r="U48">
        <f>IF((ContinuousStatsTable[[#This Row],[RepsRequested]]&gt;1),ContinuousStatsTable[[#This Row],[HalfWidth]],ContinuousStatsTable[[#This Row],[BatchMeansHalfWidth]])</f>
        <v>0</v>
      </c>
    </row>
    <row r="49" spans="1:21" x14ac:dyDescent="0.3">
      <c r="A49" t="s">
        <v>66</v>
      </c>
      <c r="B49" t="s">
        <v>68</v>
      </c>
      <c r="C49">
        <v>2</v>
      </c>
      <c r="D49" t="s">
        <v>93</v>
      </c>
      <c r="E49" t="s">
        <v>94</v>
      </c>
      <c r="F49" t="s">
        <v>95</v>
      </c>
      <c r="G49">
        <v>3.1644266456003101E-2</v>
      </c>
      <c r="H49">
        <v>2E+20</v>
      </c>
      <c r="I49">
        <v>0</v>
      </c>
      <c r="J49">
        <v>0.25</v>
      </c>
      <c r="K49">
        <v>0.05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2.3718114155243601E-2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4.8583931724403701E-2</v>
      </c>
      <c r="U49">
        <f>IF((ContinuousStatsTable[[#This Row],[RepsRequested]]&gt;1),ContinuousStatsTable[[#This Row],[HalfWidth]],ContinuousStatsTable[[#This Row],[BatchMeansHalfWidth]])</f>
        <v>2.4839579632442289E-3</v>
      </c>
    </row>
    <row r="50" spans="1:21" x14ac:dyDescent="0.3">
      <c r="A50" t="s">
        <v>66</v>
      </c>
      <c r="B50" t="s">
        <v>68</v>
      </c>
      <c r="C50">
        <v>2</v>
      </c>
      <c r="D50" t="s">
        <v>93</v>
      </c>
      <c r="E50" t="s">
        <v>96</v>
      </c>
      <c r="F50" t="s">
        <v>95</v>
      </c>
      <c r="G50">
        <v>0.63288532912006201</v>
      </c>
      <c r="H50">
        <v>2E+20</v>
      </c>
      <c r="I50">
        <v>0</v>
      </c>
      <c r="J50">
        <v>5</v>
      </c>
      <c r="K50">
        <v>1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0.47436228310487299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0.97167863448807401</v>
      </c>
      <c r="U50">
        <f>IF((ContinuousStatsTable[[#This Row],[RepsRequested]]&gt;1),ContinuousStatsTable[[#This Row],[HalfWidth]],ContinuousStatsTable[[#This Row],[BatchMeansHalfWidth]])</f>
        <v>4.9679159264885281E-2</v>
      </c>
    </row>
    <row r="51" spans="1:21" x14ac:dyDescent="0.3">
      <c r="A51" t="s">
        <v>66</v>
      </c>
      <c r="B51" t="s">
        <v>68</v>
      </c>
      <c r="C51">
        <v>2</v>
      </c>
      <c r="D51" t="s">
        <v>93</v>
      </c>
      <c r="E51" t="s">
        <v>97</v>
      </c>
      <c r="F51" t="s">
        <v>95</v>
      </c>
      <c r="G51">
        <v>20</v>
      </c>
      <c r="H51">
        <v>2E+20</v>
      </c>
      <c r="I51">
        <v>20</v>
      </c>
      <c r="J51">
        <v>20</v>
      </c>
      <c r="K51">
        <v>20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20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20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20</v>
      </c>
      <c r="U51">
        <f>IF((ContinuousStatsTable[[#This Row],[RepsRequested]]&gt;1),ContinuousStatsTable[[#This Row],[HalfWidth]],ContinuousStatsTable[[#This Row],[BatchMeansHalfWidth]])</f>
        <v>0</v>
      </c>
    </row>
    <row r="52" spans="1:21" x14ac:dyDescent="0.3">
      <c r="A52" t="s">
        <v>66</v>
      </c>
      <c r="B52" t="s">
        <v>68</v>
      </c>
      <c r="C52">
        <v>2</v>
      </c>
      <c r="D52" t="s">
        <v>98</v>
      </c>
      <c r="E52" t="s">
        <v>94</v>
      </c>
      <c r="F52" t="s">
        <v>95</v>
      </c>
      <c r="G52">
        <v>0.25549170878254701</v>
      </c>
      <c r="H52">
        <v>2E+20</v>
      </c>
      <c r="I52">
        <v>0</v>
      </c>
      <c r="J52">
        <v>0.65</v>
      </c>
      <c r="K52">
        <v>0.25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0.20767736113278101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0.28501162927715501</v>
      </c>
      <c r="U52">
        <f>IF((ContinuousStatsTable[[#This Row],[RepsRequested]]&gt;1),ContinuousStatsTable[[#This Row],[HalfWidth]],ContinuousStatsTable[[#This Row],[BatchMeansHalfWidth]])</f>
        <v>8.7273384073404715E-3</v>
      </c>
    </row>
    <row r="53" spans="1:21" x14ac:dyDescent="0.3">
      <c r="A53" t="s">
        <v>66</v>
      </c>
      <c r="B53" t="s">
        <v>68</v>
      </c>
      <c r="C53">
        <v>2</v>
      </c>
      <c r="D53" t="s">
        <v>98</v>
      </c>
      <c r="E53" t="s">
        <v>96</v>
      </c>
      <c r="F53" t="s">
        <v>95</v>
      </c>
      <c r="G53">
        <v>5.1098341756509402</v>
      </c>
      <c r="H53">
        <v>2E+20</v>
      </c>
      <c r="I53">
        <v>0</v>
      </c>
      <c r="J53">
        <v>13</v>
      </c>
      <c r="K53">
        <v>5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4.15354722265561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5.7002325855431097</v>
      </c>
      <c r="U53">
        <f>IF((ContinuousStatsTable[[#This Row],[RepsRequested]]&gt;1),ContinuousStatsTable[[#This Row],[HalfWidth]],ContinuousStatsTable[[#This Row],[BatchMeansHalfWidth]])</f>
        <v>0.17454676814681078</v>
      </c>
    </row>
    <row r="54" spans="1:21" x14ac:dyDescent="0.3">
      <c r="A54" t="s">
        <v>66</v>
      </c>
      <c r="B54" t="s">
        <v>68</v>
      </c>
      <c r="C54">
        <v>2</v>
      </c>
      <c r="D54" t="s">
        <v>98</v>
      </c>
      <c r="E54" t="s">
        <v>97</v>
      </c>
      <c r="F54" t="s">
        <v>95</v>
      </c>
      <c r="G54">
        <v>20</v>
      </c>
      <c r="H54">
        <v>2E+20</v>
      </c>
      <c r="I54">
        <v>20</v>
      </c>
      <c r="J54">
        <v>20</v>
      </c>
      <c r="K54">
        <v>20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20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20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20</v>
      </c>
      <c r="U54">
        <f>IF((ContinuousStatsTable[[#This Row],[RepsRequested]]&gt;1),ContinuousStatsTable[[#This Row],[HalfWidth]],ContinuousStatsTable[[#This Row],[BatchMeansHalfWidth]])</f>
        <v>0</v>
      </c>
    </row>
    <row r="55" spans="1:21" x14ac:dyDescent="0.3">
      <c r="A55" t="s">
        <v>66</v>
      </c>
      <c r="B55" t="s">
        <v>68</v>
      </c>
      <c r="C55">
        <v>2</v>
      </c>
      <c r="D55" t="s">
        <v>99</v>
      </c>
      <c r="E55" t="s">
        <v>94</v>
      </c>
      <c r="F55" t="s">
        <v>95</v>
      </c>
      <c r="G55">
        <v>0.64733714125893704</v>
      </c>
      <c r="H55">
        <v>2E+20</v>
      </c>
      <c r="I55">
        <v>0</v>
      </c>
      <c r="J55">
        <v>1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0.517215348442703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0.67770389283754395</v>
      </c>
      <c r="U55">
        <f>IF((ContinuousStatsTable[[#This Row],[RepsRequested]]&gt;1),ContinuousStatsTable[[#This Row],[HalfWidth]],ContinuousStatsTable[[#This Row],[BatchMeansHalfWidth]])</f>
        <v>1.8059192833960565E-2</v>
      </c>
    </row>
    <row r="56" spans="1:21" x14ac:dyDescent="0.3">
      <c r="A56" t="s">
        <v>66</v>
      </c>
      <c r="B56" t="s">
        <v>68</v>
      </c>
      <c r="C56">
        <v>2</v>
      </c>
      <c r="D56" t="s">
        <v>99</v>
      </c>
      <c r="E56" t="s">
        <v>96</v>
      </c>
      <c r="F56" t="s">
        <v>95</v>
      </c>
      <c r="G56">
        <v>6.47337141258937</v>
      </c>
      <c r="H56">
        <v>2E+20</v>
      </c>
      <c r="I56">
        <v>0</v>
      </c>
      <c r="J56">
        <v>10</v>
      </c>
      <c r="K56">
        <v>10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5.1721534844270298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6.7770389283754398</v>
      </c>
      <c r="U56">
        <f>IF((ContinuousStatsTable[[#This Row],[RepsRequested]]&gt;1),ContinuousStatsTable[[#This Row],[HalfWidth]],ContinuousStatsTable[[#This Row],[BatchMeansHalfWidth]])</f>
        <v>0.18059192833960558</v>
      </c>
    </row>
    <row r="57" spans="1:21" x14ac:dyDescent="0.3">
      <c r="A57" t="s">
        <v>66</v>
      </c>
      <c r="B57" t="s">
        <v>68</v>
      </c>
      <c r="C57">
        <v>2</v>
      </c>
      <c r="D57" t="s">
        <v>99</v>
      </c>
      <c r="E57" t="s">
        <v>97</v>
      </c>
      <c r="F57" t="s">
        <v>95</v>
      </c>
      <c r="G57">
        <v>10</v>
      </c>
      <c r="H57">
        <v>2E+20</v>
      </c>
      <c r="I57">
        <v>10</v>
      </c>
      <c r="J57">
        <v>10</v>
      </c>
      <c r="K57">
        <v>10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10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10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10</v>
      </c>
      <c r="U57">
        <f>IF((ContinuousStatsTable[[#This Row],[RepsRequested]]&gt;1),ContinuousStatsTable[[#This Row],[HalfWidth]],ContinuousStatsTable[[#This Row],[BatchMeansHalfWidth]])</f>
        <v>0</v>
      </c>
    </row>
    <row r="58" spans="1:21" x14ac:dyDescent="0.3">
      <c r="A58" t="s">
        <v>66</v>
      </c>
      <c r="B58" t="s">
        <v>68</v>
      </c>
      <c r="C58">
        <v>2</v>
      </c>
      <c r="D58" t="s">
        <v>100</v>
      </c>
      <c r="E58" t="s">
        <v>94</v>
      </c>
      <c r="F58" t="s">
        <v>95</v>
      </c>
      <c r="G58">
        <v>0.16461650215295101</v>
      </c>
      <c r="H58">
        <v>2E+20</v>
      </c>
      <c r="I58">
        <v>0</v>
      </c>
      <c r="J58">
        <v>0.34</v>
      </c>
      <c r="K58">
        <v>0.22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0.14484829778125299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0.19609322315655101</v>
      </c>
      <c r="U58">
        <f>IF((ContinuousStatsTable[[#This Row],[RepsRequested]]&gt;1),ContinuousStatsTable[[#This Row],[HalfWidth]],ContinuousStatsTable[[#This Row],[BatchMeansHalfWidth]])</f>
        <v>4.9714113556225048E-3</v>
      </c>
    </row>
    <row r="59" spans="1:21" x14ac:dyDescent="0.3">
      <c r="A59" t="s">
        <v>66</v>
      </c>
      <c r="B59" t="s">
        <v>68</v>
      </c>
      <c r="C59">
        <v>2</v>
      </c>
      <c r="D59" t="s">
        <v>100</v>
      </c>
      <c r="E59" t="s">
        <v>96</v>
      </c>
      <c r="F59" t="s">
        <v>95</v>
      </c>
      <c r="G59">
        <v>8.2308251076475294</v>
      </c>
      <c r="H59">
        <v>2E+20</v>
      </c>
      <c r="I59">
        <v>0</v>
      </c>
      <c r="J59">
        <v>17</v>
      </c>
      <c r="K59">
        <v>11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7.2424148890626396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9.8046611578275602</v>
      </c>
      <c r="U59">
        <f>IF((ContinuousStatsTable[[#This Row],[RepsRequested]]&gt;1),ContinuousStatsTable[[#This Row],[HalfWidth]],ContinuousStatsTable[[#This Row],[BatchMeansHalfWidth]])</f>
        <v>0.24857056778112663</v>
      </c>
    </row>
    <row r="60" spans="1:21" x14ac:dyDescent="0.3">
      <c r="A60" t="s">
        <v>66</v>
      </c>
      <c r="B60" t="s">
        <v>68</v>
      </c>
      <c r="C60">
        <v>2</v>
      </c>
      <c r="D60" t="s">
        <v>100</v>
      </c>
      <c r="E60" t="s">
        <v>97</v>
      </c>
      <c r="F60" t="s">
        <v>95</v>
      </c>
      <c r="G60">
        <v>50</v>
      </c>
      <c r="H60">
        <v>2E+20</v>
      </c>
      <c r="I60">
        <v>50</v>
      </c>
      <c r="J60">
        <v>50</v>
      </c>
      <c r="K60">
        <v>50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50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50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50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2</v>
      </c>
      <c r="D61" t="s">
        <v>101</v>
      </c>
      <c r="E61" t="s">
        <v>94</v>
      </c>
      <c r="F61" t="s">
        <v>95</v>
      </c>
      <c r="G61">
        <v>8.3026697671413505E-2</v>
      </c>
      <c r="H61">
        <v>2E+20</v>
      </c>
      <c r="I61">
        <v>0</v>
      </c>
      <c r="J61">
        <v>0.33333333333333298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7.4778736536586704E-2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0.111025455742452</v>
      </c>
      <c r="U61">
        <f>IF((ContinuousStatsTable[[#This Row],[RepsRequested]]&gt;1),ContinuousStatsTable[[#This Row],[HalfWidth]],ContinuousStatsTable[[#This Row],[BatchMeansHalfWidth]])</f>
        <v>4.1821462690338805E-3</v>
      </c>
    </row>
    <row r="62" spans="1:21" x14ac:dyDescent="0.3">
      <c r="A62" t="s">
        <v>66</v>
      </c>
      <c r="B62" t="s">
        <v>68</v>
      </c>
      <c r="C62">
        <v>2</v>
      </c>
      <c r="D62" t="s">
        <v>101</v>
      </c>
      <c r="E62" t="s">
        <v>96</v>
      </c>
      <c r="F62" t="s">
        <v>95</v>
      </c>
      <c r="G62">
        <v>1.2454004650712001</v>
      </c>
      <c r="H62">
        <v>2E+20</v>
      </c>
      <c r="I62">
        <v>0</v>
      </c>
      <c r="J62">
        <v>5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1.1216810480488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1.66538183613678</v>
      </c>
      <c r="U62">
        <f>IF((ContinuousStatsTable[[#This Row],[RepsRequested]]&gt;1),ContinuousStatsTable[[#This Row],[HalfWidth]],ContinuousStatsTable[[#This Row],[BatchMeansHalfWidth]])</f>
        <v>6.2732194035507963E-2</v>
      </c>
    </row>
    <row r="63" spans="1:21" x14ac:dyDescent="0.3">
      <c r="A63" t="s">
        <v>66</v>
      </c>
      <c r="B63" t="s">
        <v>68</v>
      </c>
      <c r="C63">
        <v>2</v>
      </c>
      <c r="D63" t="s">
        <v>101</v>
      </c>
      <c r="E63" t="s">
        <v>97</v>
      </c>
      <c r="F63" t="s">
        <v>95</v>
      </c>
      <c r="G63">
        <v>15</v>
      </c>
      <c r="H63">
        <v>2E+20</v>
      </c>
      <c r="I63">
        <v>15</v>
      </c>
      <c r="J63">
        <v>15</v>
      </c>
      <c r="K63">
        <v>15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15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15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15</v>
      </c>
      <c r="U63">
        <f>IF((ContinuousStatsTable[[#This Row],[RepsRequested]]&gt;1),ContinuousStatsTable[[#This Row],[HalfWidth]],ContinuousStatsTable[[#This Row],[BatchMeansHalfWidth]])</f>
        <v>0</v>
      </c>
    </row>
    <row r="64" spans="1:21" x14ac:dyDescent="0.3">
      <c r="A64" t="s">
        <v>66</v>
      </c>
      <c r="B64" t="s">
        <v>68</v>
      </c>
      <c r="C64">
        <v>2</v>
      </c>
      <c r="D64" t="s">
        <v>102</v>
      </c>
      <c r="E64" t="s">
        <v>94</v>
      </c>
      <c r="F64" t="s">
        <v>95</v>
      </c>
      <c r="G64">
        <v>0.81774315094533401</v>
      </c>
      <c r="H64">
        <v>2E+20</v>
      </c>
      <c r="I64">
        <v>0</v>
      </c>
      <c r="J64">
        <v>1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0.73673947391417804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0.90592850818388704</v>
      </c>
      <c r="U64">
        <f>IF((ContinuousStatsTable[[#This Row],[RepsRequested]]&gt;1),ContinuousStatsTable[[#This Row],[HalfWidth]],ContinuousStatsTable[[#This Row],[BatchMeansHalfWidth]])</f>
        <v>1.8636241798384946E-2</v>
      </c>
    </row>
    <row r="65" spans="1:21" x14ac:dyDescent="0.3">
      <c r="A65" t="s">
        <v>66</v>
      </c>
      <c r="B65" t="s">
        <v>68</v>
      </c>
      <c r="C65">
        <v>2</v>
      </c>
      <c r="D65" t="s">
        <v>102</v>
      </c>
      <c r="E65" t="s">
        <v>96</v>
      </c>
      <c r="F65" t="s">
        <v>95</v>
      </c>
      <c r="G65">
        <v>1.5317553403128199</v>
      </c>
      <c r="H65">
        <v>2E+20</v>
      </c>
      <c r="I65">
        <v>0</v>
      </c>
      <c r="J65">
        <v>3</v>
      </c>
      <c r="K65">
        <v>3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1.3726163545041801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1.7968913949876599</v>
      </c>
      <c r="U65">
        <f>IF((ContinuousStatsTable[[#This Row],[RepsRequested]]&gt;1),ContinuousStatsTable[[#This Row],[HalfWidth]],ContinuousStatsTable[[#This Row],[BatchMeansHalfWidth]])</f>
        <v>4.3123628688677348E-2</v>
      </c>
    </row>
    <row r="66" spans="1:21" x14ac:dyDescent="0.3">
      <c r="A66" t="s">
        <v>66</v>
      </c>
      <c r="B66" t="s">
        <v>68</v>
      </c>
      <c r="C66">
        <v>2</v>
      </c>
      <c r="D66" t="s">
        <v>102</v>
      </c>
      <c r="E66" t="s">
        <v>97</v>
      </c>
      <c r="F66" t="s">
        <v>95</v>
      </c>
      <c r="G66">
        <v>2</v>
      </c>
      <c r="H66">
        <v>2E+20</v>
      </c>
      <c r="I66">
        <v>1</v>
      </c>
      <c r="J66">
        <v>3</v>
      </c>
      <c r="K66">
        <v>1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>
        <f>IF((ContinuousStatsTable[[#This Row],[RepsRequested]]&gt;1),ContinuousStatsTable[[#This Row],[HalfWidth]],ContinuousStatsTable[[#This Row],[BatchMeansHalfWidth]])</f>
        <v>0</v>
      </c>
    </row>
    <row r="67" spans="1:21" x14ac:dyDescent="0.3">
      <c r="A67" t="s">
        <v>66</v>
      </c>
      <c r="B67" t="s">
        <v>68</v>
      </c>
      <c r="C67">
        <v>2</v>
      </c>
      <c r="D67" t="s">
        <v>84</v>
      </c>
      <c r="E67" t="s">
        <v>103</v>
      </c>
      <c r="F67" t="s">
        <v>86</v>
      </c>
      <c r="G67">
        <v>47.774703944709699</v>
      </c>
      <c r="H67">
        <v>2E+20</v>
      </c>
      <c r="I67">
        <v>0</v>
      </c>
      <c r="J67">
        <v>67</v>
      </c>
      <c r="K67">
        <v>44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36.709886237305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84.594951996708403</v>
      </c>
      <c r="U67">
        <f>IF((ContinuousStatsTable[[#This Row],[RepsRequested]]&gt;1),ContinuousStatsTable[[#This Row],[HalfWidth]],ContinuousStatsTable[[#This Row],[BatchMeansHalfWidth]])</f>
        <v>4.0384933567271259</v>
      </c>
    </row>
    <row r="68" spans="1:21" x14ac:dyDescent="0.3">
      <c r="A68" t="s">
        <v>66</v>
      </c>
      <c r="B68" t="s">
        <v>68</v>
      </c>
      <c r="C68">
        <v>2</v>
      </c>
      <c r="D68" t="s">
        <v>104</v>
      </c>
      <c r="E68" t="s">
        <v>94</v>
      </c>
      <c r="F68" t="s">
        <v>95</v>
      </c>
      <c r="G68">
        <v>0</v>
      </c>
      <c r="H68">
        <v>2E+20</v>
      </c>
      <c r="I68">
        <v>0</v>
      </c>
      <c r="J68">
        <v>0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>
        <f>IF((ContinuousStatsTable[[#This Row],[RepsRequested]]&gt;1),ContinuousStatsTable[[#This Row],[HalfWidth]],ContinuousStatsTable[[#This Row],[BatchMeansHalfWidth]])</f>
        <v>0</v>
      </c>
    </row>
    <row r="69" spans="1:21" x14ac:dyDescent="0.3">
      <c r="A69" t="s">
        <v>66</v>
      </c>
      <c r="B69" t="s">
        <v>68</v>
      </c>
      <c r="C69">
        <v>2</v>
      </c>
      <c r="D69" t="s">
        <v>104</v>
      </c>
      <c r="E69" t="s">
        <v>96</v>
      </c>
      <c r="F69" t="s">
        <v>95</v>
      </c>
      <c r="G69">
        <v>0</v>
      </c>
      <c r="H69">
        <v>2E+20</v>
      </c>
      <c r="I69">
        <v>0</v>
      </c>
      <c r="J69">
        <v>0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</v>
      </c>
      <c r="U69">
        <f>IF((ContinuousStatsTable[[#This Row],[RepsRequested]]&gt;1),ContinuousStatsTable[[#This Row],[HalfWidth]],ContinuousStatsTable[[#This Row],[BatchMeansHalfWidth]])</f>
        <v>0</v>
      </c>
    </row>
    <row r="70" spans="1:21" x14ac:dyDescent="0.3">
      <c r="A70" t="s">
        <v>66</v>
      </c>
      <c r="B70" t="s">
        <v>68</v>
      </c>
      <c r="C70">
        <v>2</v>
      </c>
      <c r="D70" t="s">
        <v>104</v>
      </c>
      <c r="E70" t="s">
        <v>97</v>
      </c>
      <c r="F70" t="s">
        <v>95</v>
      </c>
      <c r="G70">
        <v>3</v>
      </c>
      <c r="H70">
        <v>2E+20</v>
      </c>
      <c r="I70">
        <v>3</v>
      </c>
      <c r="J70">
        <v>3</v>
      </c>
      <c r="K70">
        <v>3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3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3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3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2</v>
      </c>
      <c r="D71" t="s">
        <v>105</v>
      </c>
      <c r="E71" t="s">
        <v>94</v>
      </c>
      <c r="F71" t="s">
        <v>95</v>
      </c>
      <c r="G71">
        <v>0.71520550213035405</v>
      </c>
      <c r="H71">
        <v>2E+20</v>
      </c>
      <c r="I71">
        <v>0</v>
      </c>
      <c r="J71">
        <v>1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0.634589476164233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0.99383259650362799</v>
      </c>
      <c r="U71">
        <f>IF((ContinuousStatsTable[[#This Row],[RepsRequested]]&gt;1),ContinuousStatsTable[[#This Row],[HalfWidth]],ContinuousStatsTable[[#This Row],[BatchMeansHalfWidth]])</f>
        <v>3.9940526897700258E-2</v>
      </c>
    </row>
    <row r="72" spans="1:21" x14ac:dyDescent="0.3">
      <c r="A72" t="s">
        <v>66</v>
      </c>
      <c r="B72" t="s">
        <v>68</v>
      </c>
      <c r="C72">
        <v>2</v>
      </c>
      <c r="D72" t="s">
        <v>105</v>
      </c>
      <c r="E72" t="s">
        <v>96</v>
      </c>
      <c r="F72" t="s">
        <v>95</v>
      </c>
      <c r="G72">
        <v>0.71520550213035405</v>
      </c>
      <c r="H72">
        <v>2E+20</v>
      </c>
      <c r="I72">
        <v>0</v>
      </c>
      <c r="J72">
        <v>1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0.634589476164233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0.99383259650362799</v>
      </c>
      <c r="U72">
        <f>IF((ContinuousStatsTable[[#This Row],[RepsRequested]]&gt;1),ContinuousStatsTable[[#This Row],[HalfWidth]],ContinuousStatsTable[[#This Row],[BatchMeansHalfWidth]])</f>
        <v>3.9940526897700258E-2</v>
      </c>
    </row>
    <row r="73" spans="1:21" x14ac:dyDescent="0.3">
      <c r="A73" t="s">
        <v>66</v>
      </c>
      <c r="B73" t="s">
        <v>68</v>
      </c>
      <c r="C73">
        <v>2</v>
      </c>
      <c r="D73" t="s">
        <v>105</v>
      </c>
      <c r="E73" t="s">
        <v>97</v>
      </c>
      <c r="F73" t="s">
        <v>95</v>
      </c>
      <c r="G73">
        <v>1</v>
      </c>
      <c r="H73">
        <v>2E+20</v>
      </c>
      <c r="I73">
        <v>1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1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1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1</v>
      </c>
      <c r="U73">
        <f>IF((ContinuousStatsTable[[#This Row],[RepsRequested]]&gt;1),ContinuousStatsTable[[#This Row],[HalfWidth]],ContinuousStatsTable[[#This Row],[BatchMeansHalfWidth]])</f>
        <v>0</v>
      </c>
    </row>
    <row r="74" spans="1:21" x14ac:dyDescent="0.3">
      <c r="A74" t="s">
        <v>66</v>
      </c>
      <c r="B74" t="s">
        <v>68</v>
      </c>
      <c r="C74">
        <v>2</v>
      </c>
      <c r="D74" t="s">
        <v>106</v>
      </c>
      <c r="E74" t="s">
        <v>94</v>
      </c>
      <c r="F74" t="s">
        <v>95</v>
      </c>
      <c r="G74">
        <v>0.84553205540298404</v>
      </c>
      <c r="H74">
        <v>2E+20</v>
      </c>
      <c r="I74">
        <v>0</v>
      </c>
      <c r="J74">
        <v>1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0.74061105631083801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0.99245161744166299</v>
      </c>
      <c r="U74">
        <f>IF((ContinuousStatsTable[[#This Row],[RepsRequested]]&gt;1),ContinuousStatsTable[[#This Row],[HalfWidth]],ContinuousStatsTable[[#This Row],[BatchMeansHalfWidth]])</f>
        <v>2.8912497794626357E-2</v>
      </c>
    </row>
    <row r="75" spans="1:21" x14ac:dyDescent="0.3">
      <c r="A75" t="s">
        <v>66</v>
      </c>
      <c r="B75" t="s">
        <v>68</v>
      </c>
      <c r="C75">
        <v>2</v>
      </c>
      <c r="D75" t="s">
        <v>106</v>
      </c>
      <c r="E75" t="s">
        <v>96</v>
      </c>
      <c r="F75" t="s">
        <v>95</v>
      </c>
      <c r="G75">
        <v>0.84553205540298404</v>
      </c>
      <c r="H75">
        <v>2E+20</v>
      </c>
      <c r="I75">
        <v>0</v>
      </c>
      <c r="J75">
        <v>1</v>
      </c>
      <c r="K75">
        <v>1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0.74061105631083801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0.99245161744166299</v>
      </c>
      <c r="U75">
        <f>IF((ContinuousStatsTable[[#This Row],[RepsRequested]]&gt;1),ContinuousStatsTable[[#This Row],[HalfWidth]],ContinuousStatsTable[[#This Row],[BatchMeansHalfWidth]])</f>
        <v>2.8912497794626357E-2</v>
      </c>
    </row>
    <row r="76" spans="1:21" x14ac:dyDescent="0.3">
      <c r="A76" t="s">
        <v>66</v>
      </c>
      <c r="B76" t="s">
        <v>68</v>
      </c>
      <c r="C76">
        <v>2</v>
      </c>
      <c r="D76" t="s">
        <v>106</v>
      </c>
      <c r="E76" t="s">
        <v>97</v>
      </c>
      <c r="F76" t="s">
        <v>95</v>
      </c>
      <c r="G76">
        <v>1</v>
      </c>
      <c r="H76">
        <v>2E+20</v>
      </c>
      <c r="I76">
        <v>1</v>
      </c>
      <c r="J76">
        <v>1</v>
      </c>
      <c r="K76">
        <v>1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1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1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1</v>
      </c>
      <c r="U76">
        <f>IF((ContinuousStatsTable[[#This Row],[RepsRequested]]&gt;1),ContinuousStatsTable[[#This Row],[HalfWidth]],ContinuousStatsTable[[#This Row],[BatchMeansHalfWidth]])</f>
        <v>0</v>
      </c>
    </row>
    <row r="77" spans="1:21" x14ac:dyDescent="0.3">
      <c r="A77" t="s">
        <v>66</v>
      </c>
      <c r="B77" t="s">
        <v>68</v>
      </c>
      <c r="C77">
        <v>2</v>
      </c>
      <c r="D77" t="s">
        <v>107</v>
      </c>
      <c r="E77" t="s">
        <v>94</v>
      </c>
      <c r="F77" t="s">
        <v>95</v>
      </c>
      <c r="G77">
        <v>0.82933186101531098</v>
      </c>
      <c r="H77">
        <v>2E+20</v>
      </c>
      <c r="I77">
        <v>0</v>
      </c>
      <c r="J77">
        <v>1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0.73843386001690303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0.99245161744166299</v>
      </c>
      <c r="U77">
        <f>IF((ContinuousStatsTable[[#This Row],[RepsRequested]]&gt;1),ContinuousStatsTable[[#This Row],[HalfWidth]],ContinuousStatsTable[[#This Row],[BatchMeansHalfWidth]])</f>
        <v>2.6057642646860522E-2</v>
      </c>
    </row>
    <row r="78" spans="1:21" x14ac:dyDescent="0.3">
      <c r="A78" t="s">
        <v>66</v>
      </c>
      <c r="B78" t="s">
        <v>68</v>
      </c>
      <c r="C78">
        <v>2</v>
      </c>
      <c r="D78" t="s">
        <v>107</v>
      </c>
      <c r="E78" t="s">
        <v>96</v>
      </c>
      <c r="F78" t="s">
        <v>95</v>
      </c>
      <c r="G78">
        <v>0.82933186101531098</v>
      </c>
      <c r="H78">
        <v>2E+20</v>
      </c>
      <c r="I78">
        <v>0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0.73843386001690303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0.99245161744166299</v>
      </c>
      <c r="U78">
        <f>IF((ContinuousStatsTable[[#This Row],[RepsRequested]]&gt;1),ContinuousStatsTable[[#This Row],[HalfWidth]],ContinuousStatsTable[[#This Row],[BatchMeansHalfWidth]])</f>
        <v>2.6057642646860522E-2</v>
      </c>
    </row>
    <row r="79" spans="1:21" x14ac:dyDescent="0.3">
      <c r="A79" t="s">
        <v>66</v>
      </c>
      <c r="B79" t="s">
        <v>68</v>
      </c>
      <c r="C79">
        <v>2</v>
      </c>
      <c r="D79" t="s">
        <v>107</v>
      </c>
      <c r="E79" t="s">
        <v>97</v>
      </c>
      <c r="F79" t="s">
        <v>95</v>
      </c>
      <c r="G79">
        <v>1</v>
      </c>
      <c r="H79">
        <v>2E+20</v>
      </c>
      <c r="I79">
        <v>1</v>
      </c>
      <c r="J79">
        <v>1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1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</v>
      </c>
      <c r="U79">
        <f>IF((ContinuousStatsTable[[#This Row],[RepsRequested]]&gt;1),ContinuousStatsTable[[#This Row],[HalfWidth]],ContinuousStatsTable[[#This Row],[BatchMeansHalfWidth]])</f>
        <v>0</v>
      </c>
    </row>
    <row r="80" spans="1:21" x14ac:dyDescent="0.3">
      <c r="A80" t="s">
        <v>66</v>
      </c>
      <c r="B80" t="s">
        <v>68</v>
      </c>
      <c r="C80">
        <v>3</v>
      </c>
      <c r="D80" t="s">
        <v>69</v>
      </c>
      <c r="E80" t="s">
        <v>92</v>
      </c>
      <c r="F80" t="s">
        <v>71</v>
      </c>
      <c r="G80">
        <v>6.6559035805396896</v>
      </c>
      <c r="H80">
        <v>2E+20</v>
      </c>
      <c r="I80">
        <v>0</v>
      </c>
      <c r="J80">
        <v>29</v>
      </c>
      <c r="K80">
        <v>0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2.2853775994771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9.3827575078214593</v>
      </c>
      <c r="U80">
        <f>IF((ContinuousStatsTable[[#This Row],[RepsRequested]]&gt;1),ContinuousStatsTable[[#This Row],[HalfWidth]],ContinuousStatsTable[[#This Row],[BatchMeansHalfWidth]])</f>
        <v>0.70373665421471332</v>
      </c>
    </row>
    <row r="81" spans="1:21" x14ac:dyDescent="0.3">
      <c r="A81" t="s">
        <v>66</v>
      </c>
      <c r="B81" t="s">
        <v>68</v>
      </c>
      <c r="C81">
        <v>3</v>
      </c>
      <c r="D81" t="s">
        <v>72</v>
      </c>
      <c r="E81" t="s">
        <v>92</v>
      </c>
      <c r="F81" t="s">
        <v>71</v>
      </c>
      <c r="G81">
        <v>4.6740067832938799</v>
      </c>
      <c r="H81">
        <v>2E+20</v>
      </c>
      <c r="I81">
        <v>0</v>
      </c>
      <c r="J81">
        <v>20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1.4754093813695901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8.0603747791942499</v>
      </c>
      <c r="U81">
        <f>IF((ContinuousStatsTable[[#This Row],[RepsRequested]]&gt;1),ContinuousStatsTable[[#This Row],[HalfWidth]],ContinuousStatsTable[[#This Row],[BatchMeansHalfWidth]])</f>
        <v>0.5936172943910426</v>
      </c>
    </row>
    <row r="82" spans="1:21" x14ac:dyDescent="0.3">
      <c r="A82" t="s">
        <v>66</v>
      </c>
      <c r="B82" t="s">
        <v>68</v>
      </c>
      <c r="C82">
        <v>3</v>
      </c>
      <c r="D82" t="s">
        <v>73</v>
      </c>
      <c r="E82" t="s">
        <v>92</v>
      </c>
      <c r="F82" t="s">
        <v>71</v>
      </c>
      <c r="G82">
        <v>1.3305593103954101</v>
      </c>
      <c r="H82">
        <v>2E+20</v>
      </c>
      <c r="I82">
        <v>0</v>
      </c>
      <c r="J82">
        <v>8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1.3305593103954101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29.356614544212601</v>
      </c>
      <c r="U82">
        <f>IF((ContinuousStatsTable[[#This Row],[RepsRequested]]&gt;1),ContinuousStatsTable[[#This Row],[HalfWidth]],ContinuousStatsTable[[#This Row],[BatchMeansHalfWidth]])</f>
        <v>2.162177461749093</v>
      </c>
    </row>
    <row r="83" spans="1:21" x14ac:dyDescent="0.3">
      <c r="A83" t="s">
        <v>66</v>
      </c>
      <c r="B83" t="s">
        <v>68</v>
      </c>
      <c r="C83">
        <v>3</v>
      </c>
      <c r="D83" t="s">
        <v>74</v>
      </c>
      <c r="E83" t="s">
        <v>92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>
        <f>IF((ContinuousStatsTable[[#This Row],[RepsRequested]]&gt;1),ContinuousStatsTable[[#This Row],[HalfWidth]],ContinuousStatsTable[[#This Row],[BatchMeansHalfWidth]])</f>
        <v>0</v>
      </c>
    </row>
    <row r="84" spans="1:21" x14ac:dyDescent="0.3">
      <c r="A84" t="s">
        <v>66</v>
      </c>
      <c r="B84" t="s">
        <v>68</v>
      </c>
      <c r="C84">
        <v>3</v>
      </c>
      <c r="D84" t="s">
        <v>75</v>
      </c>
      <c r="E84" t="s">
        <v>92</v>
      </c>
      <c r="F84" t="s">
        <v>71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>
        <f>IF((ContinuousStatsTable[[#This Row],[RepsRequested]]&gt;1),ContinuousStatsTable[[#This Row],[HalfWidth]],ContinuousStatsTable[[#This Row],[BatchMeansHalfWidth]])</f>
        <v>0</v>
      </c>
    </row>
    <row r="85" spans="1:21" x14ac:dyDescent="0.3">
      <c r="A85" t="s">
        <v>66</v>
      </c>
      <c r="B85" t="s">
        <v>68</v>
      </c>
      <c r="C85">
        <v>3</v>
      </c>
      <c r="D85" t="s">
        <v>76</v>
      </c>
      <c r="E85" t="s">
        <v>92</v>
      </c>
      <c r="F85" t="s">
        <v>71</v>
      </c>
      <c r="G85">
        <v>3.5982629927804601</v>
      </c>
      <c r="H85">
        <v>2E+20</v>
      </c>
      <c r="I85">
        <v>0</v>
      </c>
      <c r="J85">
        <v>15</v>
      </c>
      <c r="K85">
        <v>5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4.5869485136026601E-2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4.1119263103435699</v>
      </c>
      <c r="U85">
        <f>IF((ContinuousStatsTable[[#This Row],[RepsRequested]]&gt;1),ContinuousStatsTable[[#This Row],[HalfWidth]],ContinuousStatsTable[[#This Row],[BatchMeansHalfWidth]])</f>
        <v>0.43252967563899991</v>
      </c>
    </row>
    <row r="86" spans="1:21" x14ac:dyDescent="0.3">
      <c r="A86" t="s">
        <v>66</v>
      </c>
      <c r="B86" t="s">
        <v>68</v>
      </c>
      <c r="C86">
        <v>3</v>
      </c>
      <c r="D86" t="s">
        <v>77</v>
      </c>
      <c r="E86" t="s">
        <v>92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</v>
      </c>
      <c r="U86">
        <f>IF((ContinuousStatsTable[[#This Row],[RepsRequested]]&gt;1),ContinuousStatsTable[[#This Row],[HalfWidth]],ContinuousStatsTable[[#This Row],[BatchMeansHalfWidth]])</f>
        <v>0</v>
      </c>
    </row>
    <row r="87" spans="1:21" x14ac:dyDescent="0.3">
      <c r="A87" t="s">
        <v>66</v>
      </c>
      <c r="B87" t="s">
        <v>68</v>
      </c>
      <c r="C87">
        <v>3</v>
      </c>
      <c r="D87" t="s">
        <v>78</v>
      </c>
      <c r="E87" t="s">
        <v>92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0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0</v>
      </c>
      <c r="U87">
        <f>IF((ContinuousStatsTable[[#This Row],[RepsRequested]]&gt;1),ContinuousStatsTable[[#This Row],[HalfWidth]],ContinuousStatsTable[[#This Row],[BatchMeansHalfWidth]])</f>
        <v>0</v>
      </c>
    </row>
    <row r="88" spans="1:21" x14ac:dyDescent="0.3">
      <c r="A88" t="s">
        <v>66</v>
      </c>
      <c r="B88" t="s">
        <v>68</v>
      </c>
      <c r="C88">
        <v>3</v>
      </c>
      <c r="D88" t="s">
        <v>93</v>
      </c>
      <c r="E88" t="s">
        <v>94</v>
      </c>
      <c r="F88" t="s">
        <v>95</v>
      </c>
      <c r="G88">
        <v>4.2250301377172401E-2</v>
      </c>
      <c r="H88">
        <v>2E+20</v>
      </c>
      <c r="I88">
        <v>0</v>
      </c>
      <c r="J88">
        <v>0.2</v>
      </c>
      <c r="K88">
        <v>0.1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2.3718114155243601E-2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4.8583931724403701E-2</v>
      </c>
      <c r="U88">
        <f>IF((ContinuousStatsTable[[#This Row],[RepsRequested]]&gt;1),ContinuousStatsTable[[#This Row],[HalfWidth]],ContinuousStatsTable[[#This Row],[BatchMeansHalfWidth]])</f>
        <v>2.4839579632442289E-3</v>
      </c>
    </row>
    <row r="89" spans="1:21" x14ac:dyDescent="0.3">
      <c r="A89" t="s">
        <v>66</v>
      </c>
      <c r="B89" t="s">
        <v>68</v>
      </c>
      <c r="C89">
        <v>3</v>
      </c>
      <c r="D89" t="s">
        <v>93</v>
      </c>
      <c r="E89" t="s">
        <v>96</v>
      </c>
      <c r="F89" t="s">
        <v>95</v>
      </c>
      <c r="G89">
        <v>0.845006027543448</v>
      </c>
      <c r="H89">
        <v>2E+20</v>
      </c>
      <c r="I89">
        <v>0</v>
      </c>
      <c r="J89">
        <v>4</v>
      </c>
      <c r="K89">
        <v>2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0.47436228310487299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0.97167863448807401</v>
      </c>
      <c r="U89">
        <f>IF((ContinuousStatsTable[[#This Row],[RepsRequested]]&gt;1),ContinuousStatsTable[[#This Row],[HalfWidth]],ContinuousStatsTable[[#This Row],[BatchMeansHalfWidth]])</f>
        <v>4.9679159264885281E-2</v>
      </c>
    </row>
    <row r="90" spans="1:21" x14ac:dyDescent="0.3">
      <c r="A90" t="s">
        <v>66</v>
      </c>
      <c r="B90" t="s">
        <v>68</v>
      </c>
      <c r="C90">
        <v>3</v>
      </c>
      <c r="D90" t="s">
        <v>93</v>
      </c>
      <c r="E90" t="s">
        <v>97</v>
      </c>
      <c r="F90" t="s">
        <v>95</v>
      </c>
      <c r="G90">
        <v>20</v>
      </c>
      <c r="H90">
        <v>2E+20</v>
      </c>
      <c r="I90">
        <v>20</v>
      </c>
      <c r="J90">
        <v>20</v>
      </c>
      <c r="K90">
        <v>20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20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20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20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3</v>
      </c>
      <c r="D91" t="s">
        <v>98</v>
      </c>
      <c r="E91" t="s">
        <v>94</v>
      </c>
      <c r="F91" t="s">
        <v>95</v>
      </c>
      <c r="G91">
        <v>0.230838690267714</v>
      </c>
      <c r="H91">
        <v>2E+20</v>
      </c>
      <c r="I91">
        <v>0</v>
      </c>
      <c r="J91">
        <v>0.65</v>
      </c>
      <c r="K91">
        <v>0.2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0.20767736113278101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0.28501162927715501</v>
      </c>
      <c r="U91">
        <f>IF((ContinuousStatsTable[[#This Row],[RepsRequested]]&gt;1),ContinuousStatsTable[[#This Row],[HalfWidth]],ContinuousStatsTable[[#This Row],[BatchMeansHalfWidth]])</f>
        <v>8.7273384073404715E-3</v>
      </c>
    </row>
    <row r="92" spans="1:21" x14ac:dyDescent="0.3">
      <c r="A92" t="s">
        <v>66</v>
      </c>
      <c r="B92" t="s">
        <v>68</v>
      </c>
      <c r="C92">
        <v>3</v>
      </c>
      <c r="D92" t="s">
        <v>98</v>
      </c>
      <c r="E92" t="s">
        <v>96</v>
      </c>
      <c r="F92" t="s">
        <v>95</v>
      </c>
      <c r="G92">
        <v>4.6167738053542804</v>
      </c>
      <c r="H92">
        <v>2E+20</v>
      </c>
      <c r="I92">
        <v>0</v>
      </c>
      <c r="J92">
        <v>13</v>
      </c>
      <c r="K92">
        <v>4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4.15354722265561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5.7002325855431097</v>
      </c>
      <c r="U92">
        <f>IF((ContinuousStatsTable[[#This Row],[RepsRequested]]&gt;1),ContinuousStatsTable[[#This Row],[HalfWidth]],ContinuousStatsTable[[#This Row],[BatchMeansHalfWidth]])</f>
        <v>0.17454676814681078</v>
      </c>
    </row>
    <row r="93" spans="1:21" x14ac:dyDescent="0.3">
      <c r="A93" t="s">
        <v>66</v>
      </c>
      <c r="B93" t="s">
        <v>68</v>
      </c>
      <c r="C93">
        <v>3</v>
      </c>
      <c r="D93" t="s">
        <v>98</v>
      </c>
      <c r="E93" t="s">
        <v>97</v>
      </c>
      <c r="F93" t="s">
        <v>95</v>
      </c>
      <c r="G93">
        <v>20</v>
      </c>
      <c r="H93">
        <v>2E+20</v>
      </c>
      <c r="I93">
        <v>20</v>
      </c>
      <c r="J93">
        <v>20</v>
      </c>
      <c r="K93">
        <v>20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20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20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20</v>
      </c>
      <c r="U93">
        <f>IF((ContinuousStatsTable[[#This Row],[RepsRequested]]&gt;1),ContinuousStatsTable[[#This Row],[HalfWidth]],ContinuousStatsTable[[#This Row],[BatchMeansHalfWidth]])</f>
        <v>0</v>
      </c>
    </row>
    <row r="94" spans="1:21" x14ac:dyDescent="0.3">
      <c r="A94" t="s">
        <v>66</v>
      </c>
      <c r="B94" t="s">
        <v>68</v>
      </c>
      <c r="C94">
        <v>3</v>
      </c>
      <c r="D94" t="s">
        <v>99</v>
      </c>
      <c r="E94" t="s">
        <v>94</v>
      </c>
      <c r="F94" t="s">
        <v>95</v>
      </c>
      <c r="G94">
        <v>0.604726885596782</v>
      </c>
      <c r="H94">
        <v>2E+20</v>
      </c>
      <c r="I94">
        <v>0</v>
      </c>
      <c r="J94">
        <v>1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0.517215348442703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0.67770389283754395</v>
      </c>
      <c r="U94">
        <f>IF((ContinuousStatsTable[[#This Row],[RepsRequested]]&gt;1),ContinuousStatsTable[[#This Row],[HalfWidth]],ContinuousStatsTable[[#This Row],[BatchMeansHalfWidth]])</f>
        <v>1.8059192833960565E-2</v>
      </c>
    </row>
    <row r="95" spans="1:21" x14ac:dyDescent="0.3">
      <c r="A95" t="s">
        <v>66</v>
      </c>
      <c r="B95" t="s">
        <v>68</v>
      </c>
      <c r="C95">
        <v>3</v>
      </c>
      <c r="D95" t="s">
        <v>99</v>
      </c>
      <c r="E95" t="s">
        <v>96</v>
      </c>
      <c r="F95" t="s">
        <v>95</v>
      </c>
      <c r="G95">
        <v>6.04726885596782</v>
      </c>
      <c r="H95">
        <v>2E+20</v>
      </c>
      <c r="I95">
        <v>0</v>
      </c>
      <c r="J95">
        <v>10</v>
      </c>
      <c r="K95">
        <v>10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5.1721534844270298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6.7770389283754398</v>
      </c>
      <c r="U95">
        <f>IF((ContinuousStatsTable[[#This Row],[RepsRequested]]&gt;1),ContinuousStatsTable[[#This Row],[HalfWidth]],ContinuousStatsTable[[#This Row],[BatchMeansHalfWidth]])</f>
        <v>0.18059192833960558</v>
      </c>
    </row>
    <row r="96" spans="1:21" x14ac:dyDescent="0.3">
      <c r="A96" t="s">
        <v>66</v>
      </c>
      <c r="B96" t="s">
        <v>68</v>
      </c>
      <c r="C96">
        <v>3</v>
      </c>
      <c r="D96" t="s">
        <v>99</v>
      </c>
      <c r="E96" t="s">
        <v>97</v>
      </c>
      <c r="F96" t="s">
        <v>95</v>
      </c>
      <c r="G96">
        <v>10</v>
      </c>
      <c r="H96">
        <v>2E+20</v>
      </c>
      <c r="I96">
        <v>10</v>
      </c>
      <c r="J96">
        <v>10</v>
      </c>
      <c r="K96">
        <v>10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10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10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10</v>
      </c>
      <c r="U96">
        <f>IF((ContinuousStatsTable[[#This Row],[RepsRequested]]&gt;1),ContinuousStatsTable[[#This Row],[HalfWidth]],ContinuousStatsTable[[#This Row],[BatchMeansHalfWidth]])</f>
        <v>0</v>
      </c>
    </row>
    <row r="97" spans="1:21" x14ac:dyDescent="0.3">
      <c r="A97" t="s">
        <v>66</v>
      </c>
      <c r="B97" t="s">
        <v>68</v>
      </c>
      <c r="C97">
        <v>3</v>
      </c>
      <c r="D97" t="s">
        <v>100</v>
      </c>
      <c r="E97" t="s">
        <v>94</v>
      </c>
      <c r="F97" t="s">
        <v>95</v>
      </c>
      <c r="G97">
        <v>0.17683466225159</v>
      </c>
      <c r="H97">
        <v>2E+20</v>
      </c>
      <c r="I97">
        <v>0</v>
      </c>
      <c r="J97">
        <v>0.38</v>
      </c>
      <c r="K97">
        <v>0.2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0.14484829778125299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0.19609322315655101</v>
      </c>
      <c r="U97">
        <f>IF((ContinuousStatsTable[[#This Row],[RepsRequested]]&gt;1),ContinuousStatsTable[[#This Row],[HalfWidth]],ContinuousStatsTable[[#This Row],[BatchMeansHalfWidth]])</f>
        <v>4.9714113556225048E-3</v>
      </c>
    </row>
    <row r="98" spans="1:21" x14ac:dyDescent="0.3">
      <c r="A98" t="s">
        <v>66</v>
      </c>
      <c r="B98" t="s">
        <v>68</v>
      </c>
      <c r="C98">
        <v>3</v>
      </c>
      <c r="D98" t="s">
        <v>100</v>
      </c>
      <c r="E98" t="s">
        <v>96</v>
      </c>
      <c r="F98" t="s">
        <v>95</v>
      </c>
      <c r="G98">
        <v>8.8417331125795098</v>
      </c>
      <c r="H98">
        <v>2E+20</v>
      </c>
      <c r="I98">
        <v>0</v>
      </c>
      <c r="J98">
        <v>19</v>
      </c>
      <c r="K98">
        <v>10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7.2424148890626396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9.8046611578275602</v>
      </c>
      <c r="U98">
        <f>IF((ContinuousStatsTable[[#This Row],[RepsRequested]]&gt;1),ContinuousStatsTable[[#This Row],[HalfWidth]],ContinuousStatsTable[[#This Row],[BatchMeansHalfWidth]])</f>
        <v>0.24857056778112663</v>
      </c>
    </row>
    <row r="99" spans="1:21" x14ac:dyDescent="0.3">
      <c r="A99" t="s">
        <v>66</v>
      </c>
      <c r="B99" t="s">
        <v>68</v>
      </c>
      <c r="C99">
        <v>3</v>
      </c>
      <c r="D99" t="s">
        <v>100</v>
      </c>
      <c r="E99" t="s">
        <v>97</v>
      </c>
      <c r="F99" t="s">
        <v>95</v>
      </c>
      <c r="G99">
        <v>50</v>
      </c>
      <c r="H99">
        <v>2E+20</v>
      </c>
      <c r="I99">
        <v>50</v>
      </c>
      <c r="J99">
        <v>50</v>
      </c>
      <c r="K99">
        <v>50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50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50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50</v>
      </c>
      <c r="U99">
        <f>IF((ContinuousStatsTable[[#This Row],[RepsRequested]]&gt;1),ContinuousStatsTable[[#This Row],[HalfWidth]],ContinuousStatsTable[[#This Row],[BatchMeansHalfWidth]])</f>
        <v>0</v>
      </c>
    </row>
    <row r="100" spans="1:21" x14ac:dyDescent="0.3">
      <c r="A100" t="s">
        <v>66</v>
      </c>
      <c r="B100" t="s">
        <v>68</v>
      </c>
      <c r="C100">
        <v>3</v>
      </c>
      <c r="D100" t="s">
        <v>101</v>
      </c>
      <c r="E100" t="s">
        <v>94</v>
      </c>
      <c r="F100" t="s">
        <v>95</v>
      </c>
      <c r="G100">
        <v>0.111025455742452</v>
      </c>
      <c r="H100">
        <v>2E+20</v>
      </c>
      <c r="I100">
        <v>0</v>
      </c>
      <c r="J100">
        <v>0.4</v>
      </c>
      <c r="K100">
        <v>0.133333333333333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7.4778736536586704E-2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0.111025455742452</v>
      </c>
      <c r="U100">
        <f>IF((ContinuousStatsTable[[#This Row],[RepsRequested]]&gt;1),ContinuousStatsTable[[#This Row],[HalfWidth]],ContinuousStatsTable[[#This Row],[BatchMeansHalfWidth]])</f>
        <v>4.1821462690338805E-3</v>
      </c>
    </row>
    <row r="101" spans="1:21" x14ac:dyDescent="0.3">
      <c r="A101" t="s">
        <v>66</v>
      </c>
      <c r="B101" t="s">
        <v>68</v>
      </c>
      <c r="C101">
        <v>3</v>
      </c>
      <c r="D101" t="s">
        <v>101</v>
      </c>
      <c r="E101" t="s">
        <v>96</v>
      </c>
      <c r="F101" t="s">
        <v>95</v>
      </c>
      <c r="G101">
        <v>1.66538183613678</v>
      </c>
      <c r="H101">
        <v>2E+20</v>
      </c>
      <c r="I101">
        <v>0</v>
      </c>
      <c r="J101">
        <v>6</v>
      </c>
      <c r="K101">
        <v>2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1.1216810480488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1.66538183613678</v>
      </c>
      <c r="U101">
        <f>IF((ContinuousStatsTable[[#This Row],[RepsRequested]]&gt;1),ContinuousStatsTable[[#This Row],[HalfWidth]],ContinuousStatsTable[[#This Row],[BatchMeansHalfWidth]])</f>
        <v>6.2732194035507963E-2</v>
      </c>
    </row>
    <row r="102" spans="1:21" x14ac:dyDescent="0.3">
      <c r="A102" t="s">
        <v>66</v>
      </c>
      <c r="B102" t="s">
        <v>68</v>
      </c>
      <c r="C102">
        <v>3</v>
      </c>
      <c r="D102" t="s">
        <v>101</v>
      </c>
      <c r="E102" t="s">
        <v>97</v>
      </c>
      <c r="F102" t="s">
        <v>95</v>
      </c>
      <c r="G102">
        <v>15</v>
      </c>
      <c r="H102">
        <v>2E+20</v>
      </c>
      <c r="I102">
        <v>15</v>
      </c>
      <c r="J102">
        <v>15</v>
      </c>
      <c r="K102">
        <v>15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15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15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15</v>
      </c>
      <c r="U102">
        <f>IF((ContinuousStatsTable[[#This Row],[RepsRequested]]&gt;1),ContinuousStatsTable[[#This Row],[HalfWidth]],ContinuousStatsTable[[#This Row],[BatchMeansHalfWidth]])</f>
        <v>0</v>
      </c>
    </row>
    <row r="103" spans="1:21" x14ac:dyDescent="0.3">
      <c r="A103" t="s">
        <v>66</v>
      </c>
      <c r="B103" t="s">
        <v>68</v>
      </c>
      <c r="C103">
        <v>3</v>
      </c>
      <c r="D103" t="s">
        <v>102</v>
      </c>
      <c r="E103" t="s">
        <v>94</v>
      </c>
      <c r="F103" t="s">
        <v>95</v>
      </c>
      <c r="G103">
        <v>0.84441868836399203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0.73673947391417804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0.90592850818388704</v>
      </c>
      <c r="U103">
        <f>IF((ContinuousStatsTable[[#This Row],[RepsRequested]]&gt;1),ContinuousStatsTable[[#This Row],[HalfWidth]],ContinuousStatsTable[[#This Row],[BatchMeansHalfWidth]])</f>
        <v>1.8636241798384946E-2</v>
      </c>
    </row>
    <row r="104" spans="1:21" x14ac:dyDescent="0.3">
      <c r="A104" t="s">
        <v>66</v>
      </c>
      <c r="B104" t="s">
        <v>68</v>
      </c>
      <c r="C104">
        <v>3</v>
      </c>
      <c r="D104" t="s">
        <v>102</v>
      </c>
      <c r="E104" t="s">
        <v>96</v>
      </c>
      <c r="F104" t="s">
        <v>95</v>
      </c>
      <c r="G104">
        <v>1.5904048492046601</v>
      </c>
      <c r="H104">
        <v>2E+20</v>
      </c>
      <c r="I104">
        <v>0</v>
      </c>
      <c r="J104">
        <v>3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1.3726163545041801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1.7968913949876599</v>
      </c>
      <c r="U104">
        <f>IF((ContinuousStatsTable[[#This Row],[RepsRequested]]&gt;1),ContinuousStatsTable[[#This Row],[HalfWidth]],ContinuousStatsTable[[#This Row],[BatchMeansHalfWidth]])</f>
        <v>4.3123628688677348E-2</v>
      </c>
    </row>
    <row r="105" spans="1:21" x14ac:dyDescent="0.3">
      <c r="A105" t="s">
        <v>66</v>
      </c>
      <c r="B105" t="s">
        <v>68</v>
      </c>
      <c r="C105">
        <v>3</v>
      </c>
      <c r="D105" t="s">
        <v>102</v>
      </c>
      <c r="E105" t="s">
        <v>97</v>
      </c>
      <c r="F105" t="s">
        <v>95</v>
      </c>
      <c r="G105">
        <v>2</v>
      </c>
      <c r="H105">
        <v>2E+20</v>
      </c>
      <c r="I105">
        <v>1</v>
      </c>
      <c r="J105">
        <v>3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3</v>
      </c>
      <c r="D106" t="s">
        <v>84</v>
      </c>
      <c r="E106" t="s">
        <v>103</v>
      </c>
      <c r="F106" t="s">
        <v>86</v>
      </c>
      <c r="G106">
        <v>52.3011364846273</v>
      </c>
      <c r="H106">
        <v>2E+20</v>
      </c>
      <c r="I106">
        <v>0</v>
      </c>
      <c r="J106">
        <v>73</v>
      </c>
      <c r="K106">
        <v>47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36.709886237305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84.594951996708403</v>
      </c>
      <c r="U106">
        <f>IF((ContinuousStatsTable[[#This Row],[RepsRequested]]&gt;1),ContinuousStatsTable[[#This Row],[HalfWidth]],ContinuousStatsTable[[#This Row],[BatchMeansHalfWidth]])</f>
        <v>4.0384933567271259</v>
      </c>
    </row>
    <row r="107" spans="1:21" x14ac:dyDescent="0.3">
      <c r="A107" t="s">
        <v>66</v>
      </c>
      <c r="B107" t="s">
        <v>68</v>
      </c>
      <c r="C107">
        <v>3</v>
      </c>
      <c r="D107" t="s">
        <v>104</v>
      </c>
      <c r="E107" t="s">
        <v>94</v>
      </c>
      <c r="F107" t="s">
        <v>95</v>
      </c>
      <c r="G107">
        <v>0</v>
      </c>
      <c r="H107">
        <v>2E+20</v>
      </c>
      <c r="I107">
        <v>0</v>
      </c>
      <c r="J107">
        <v>0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</v>
      </c>
      <c r="U107">
        <f>IF((ContinuousStatsTable[[#This Row],[RepsRequested]]&gt;1),ContinuousStatsTable[[#This Row],[HalfWidth]],ContinuousStatsTable[[#This Row],[BatchMeansHalfWidth]])</f>
        <v>0</v>
      </c>
    </row>
    <row r="108" spans="1:21" x14ac:dyDescent="0.3">
      <c r="A108" t="s">
        <v>66</v>
      </c>
      <c r="B108" t="s">
        <v>68</v>
      </c>
      <c r="C108">
        <v>3</v>
      </c>
      <c r="D108" t="s">
        <v>104</v>
      </c>
      <c r="E108" t="s">
        <v>96</v>
      </c>
      <c r="F108" t="s">
        <v>95</v>
      </c>
      <c r="G108">
        <v>0</v>
      </c>
      <c r="H108">
        <v>2E+20</v>
      </c>
      <c r="I108">
        <v>0</v>
      </c>
      <c r="J108">
        <v>0</v>
      </c>
      <c r="K108">
        <v>0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</v>
      </c>
      <c r="U108">
        <f>IF((ContinuousStatsTable[[#This Row],[RepsRequested]]&gt;1),ContinuousStatsTable[[#This Row],[HalfWidth]],ContinuousStatsTable[[#This Row],[BatchMeansHalfWidth]])</f>
        <v>0</v>
      </c>
    </row>
    <row r="109" spans="1:21" x14ac:dyDescent="0.3">
      <c r="A109" t="s">
        <v>66</v>
      </c>
      <c r="B109" t="s">
        <v>68</v>
      </c>
      <c r="C109">
        <v>3</v>
      </c>
      <c r="D109" t="s">
        <v>104</v>
      </c>
      <c r="E109" t="s">
        <v>97</v>
      </c>
      <c r="F109" t="s">
        <v>95</v>
      </c>
      <c r="G109">
        <v>3</v>
      </c>
      <c r="H109">
        <v>2E+20</v>
      </c>
      <c r="I109">
        <v>3</v>
      </c>
      <c r="J109">
        <v>3</v>
      </c>
      <c r="K109">
        <v>3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3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3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3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3">
      <c r="A110" t="s">
        <v>66</v>
      </c>
      <c r="B110" t="s">
        <v>68</v>
      </c>
      <c r="C110">
        <v>3</v>
      </c>
      <c r="D110" t="s">
        <v>105</v>
      </c>
      <c r="E110" t="s">
        <v>94</v>
      </c>
      <c r="F110" t="s">
        <v>95</v>
      </c>
      <c r="G110">
        <v>0.64622591858609302</v>
      </c>
      <c r="H110">
        <v>2E+20</v>
      </c>
      <c r="I110">
        <v>0</v>
      </c>
      <c r="J110">
        <v>1</v>
      </c>
      <c r="K110">
        <v>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0.634589476164233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0.99383259650362799</v>
      </c>
      <c r="U110">
        <f>IF((ContinuousStatsTable[[#This Row],[RepsRequested]]&gt;1),ContinuousStatsTable[[#This Row],[HalfWidth]],ContinuousStatsTable[[#This Row],[BatchMeansHalfWidth]])</f>
        <v>3.9940526897700258E-2</v>
      </c>
    </row>
    <row r="111" spans="1:21" x14ac:dyDescent="0.3">
      <c r="A111" t="s">
        <v>66</v>
      </c>
      <c r="B111" t="s">
        <v>68</v>
      </c>
      <c r="C111">
        <v>3</v>
      </c>
      <c r="D111" t="s">
        <v>105</v>
      </c>
      <c r="E111" t="s">
        <v>96</v>
      </c>
      <c r="F111" t="s">
        <v>95</v>
      </c>
      <c r="G111">
        <v>0.64622591858609302</v>
      </c>
      <c r="H111">
        <v>2E+20</v>
      </c>
      <c r="I111">
        <v>0</v>
      </c>
      <c r="J111">
        <v>1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0.634589476164233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0.99383259650362799</v>
      </c>
      <c r="U111">
        <f>IF((ContinuousStatsTable[[#This Row],[RepsRequested]]&gt;1),ContinuousStatsTable[[#This Row],[HalfWidth]],ContinuousStatsTable[[#This Row],[BatchMeansHalfWidth]])</f>
        <v>3.9940526897700258E-2</v>
      </c>
    </row>
    <row r="112" spans="1:21" x14ac:dyDescent="0.3">
      <c r="A112" t="s">
        <v>66</v>
      </c>
      <c r="B112" t="s">
        <v>68</v>
      </c>
      <c r="C112">
        <v>3</v>
      </c>
      <c r="D112" t="s">
        <v>105</v>
      </c>
      <c r="E112" t="s">
        <v>97</v>
      </c>
      <c r="F112" t="s">
        <v>95</v>
      </c>
      <c r="G112">
        <v>1</v>
      </c>
      <c r="H112">
        <v>2E+20</v>
      </c>
      <c r="I112">
        <v>1</v>
      </c>
      <c r="J112">
        <v>1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</v>
      </c>
      <c r="U112">
        <f>IF((ContinuousStatsTable[[#This Row],[RepsRequested]]&gt;1),ContinuousStatsTable[[#This Row],[HalfWidth]],ContinuousStatsTable[[#This Row],[BatchMeansHalfWidth]])</f>
        <v>0</v>
      </c>
    </row>
    <row r="113" spans="1:21" x14ac:dyDescent="0.3">
      <c r="A113" t="s">
        <v>66</v>
      </c>
      <c r="B113" t="s">
        <v>68</v>
      </c>
      <c r="C113">
        <v>3</v>
      </c>
      <c r="D113" t="s">
        <v>106</v>
      </c>
      <c r="E113" t="s">
        <v>94</v>
      </c>
      <c r="F113" t="s">
        <v>95</v>
      </c>
      <c r="G113">
        <v>0.76739170261446499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0.74061105631083801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0.99245161744166299</v>
      </c>
      <c r="U113">
        <f>IF((ContinuousStatsTable[[#This Row],[RepsRequested]]&gt;1),ContinuousStatsTable[[#This Row],[HalfWidth]],ContinuousStatsTable[[#This Row],[BatchMeansHalfWidth]])</f>
        <v>2.8912497794626357E-2</v>
      </c>
    </row>
    <row r="114" spans="1:21" x14ac:dyDescent="0.3">
      <c r="A114" t="s">
        <v>66</v>
      </c>
      <c r="B114" t="s">
        <v>68</v>
      </c>
      <c r="C114">
        <v>3</v>
      </c>
      <c r="D114" t="s">
        <v>106</v>
      </c>
      <c r="E114" t="s">
        <v>96</v>
      </c>
      <c r="F114" t="s">
        <v>95</v>
      </c>
      <c r="G114">
        <v>0.76739170261446499</v>
      </c>
      <c r="H114">
        <v>2E+20</v>
      </c>
      <c r="I114">
        <v>0</v>
      </c>
      <c r="J114">
        <v>1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0.74061105631083801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0.99245161744166299</v>
      </c>
      <c r="U114">
        <f>IF((ContinuousStatsTable[[#This Row],[RepsRequested]]&gt;1),ContinuousStatsTable[[#This Row],[HalfWidth]],ContinuousStatsTable[[#This Row],[BatchMeansHalfWidth]])</f>
        <v>2.8912497794626357E-2</v>
      </c>
    </row>
    <row r="115" spans="1:21" x14ac:dyDescent="0.3">
      <c r="A115" t="s">
        <v>66</v>
      </c>
      <c r="B115" t="s">
        <v>68</v>
      </c>
      <c r="C115">
        <v>3</v>
      </c>
      <c r="D115" t="s">
        <v>106</v>
      </c>
      <c r="E115" t="s">
        <v>97</v>
      </c>
      <c r="F115" t="s">
        <v>95</v>
      </c>
      <c r="G115">
        <v>1</v>
      </c>
      <c r="H115">
        <v>2E+20</v>
      </c>
      <c r="I115">
        <v>1</v>
      </c>
      <c r="J115">
        <v>1</v>
      </c>
      <c r="K115">
        <v>1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1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1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1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3</v>
      </c>
      <c r="D116" t="s">
        <v>107</v>
      </c>
      <c r="E116" t="s">
        <v>94</v>
      </c>
      <c r="F116" t="s">
        <v>95</v>
      </c>
      <c r="G116">
        <v>0.80616303072059503</v>
      </c>
      <c r="H116">
        <v>2E+20</v>
      </c>
      <c r="I116">
        <v>0</v>
      </c>
      <c r="J116">
        <v>1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0.73843386001690303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0.99245161744166299</v>
      </c>
      <c r="U116">
        <f>IF((ContinuousStatsTable[[#This Row],[RepsRequested]]&gt;1),ContinuousStatsTable[[#This Row],[HalfWidth]],ContinuousStatsTable[[#This Row],[BatchMeansHalfWidth]])</f>
        <v>2.6057642646860522E-2</v>
      </c>
    </row>
    <row r="117" spans="1:21" x14ac:dyDescent="0.3">
      <c r="A117" t="s">
        <v>66</v>
      </c>
      <c r="B117" t="s">
        <v>68</v>
      </c>
      <c r="C117">
        <v>3</v>
      </c>
      <c r="D117" t="s">
        <v>107</v>
      </c>
      <c r="E117" t="s">
        <v>96</v>
      </c>
      <c r="F117" t="s">
        <v>95</v>
      </c>
      <c r="G117">
        <v>0.80616303072059503</v>
      </c>
      <c r="H117">
        <v>2E+20</v>
      </c>
      <c r="I117">
        <v>0</v>
      </c>
      <c r="J117">
        <v>1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0.73843386001690303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0.99245161744166299</v>
      </c>
      <c r="U117">
        <f>IF((ContinuousStatsTable[[#This Row],[RepsRequested]]&gt;1),ContinuousStatsTable[[#This Row],[HalfWidth]],ContinuousStatsTable[[#This Row],[BatchMeansHalfWidth]])</f>
        <v>2.6057642646860522E-2</v>
      </c>
    </row>
    <row r="118" spans="1:21" x14ac:dyDescent="0.3">
      <c r="A118" t="s">
        <v>66</v>
      </c>
      <c r="B118" t="s">
        <v>68</v>
      </c>
      <c r="C118">
        <v>3</v>
      </c>
      <c r="D118" t="s">
        <v>107</v>
      </c>
      <c r="E118" t="s">
        <v>97</v>
      </c>
      <c r="F118" t="s">
        <v>95</v>
      </c>
      <c r="G118">
        <v>1</v>
      </c>
      <c r="H118">
        <v>2E+20</v>
      </c>
      <c r="I118">
        <v>1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1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1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1</v>
      </c>
      <c r="U118">
        <f>IF((ContinuousStatsTable[[#This Row],[RepsRequested]]&gt;1),ContinuousStatsTable[[#This Row],[HalfWidth]],ContinuousStatsTable[[#This Row],[BatchMeansHalfWidth]])</f>
        <v>0</v>
      </c>
    </row>
    <row r="119" spans="1:21" x14ac:dyDescent="0.3">
      <c r="A119" t="s">
        <v>66</v>
      </c>
      <c r="B119" t="s">
        <v>68</v>
      </c>
      <c r="C119">
        <v>4</v>
      </c>
      <c r="D119" t="s">
        <v>69</v>
      </c>
      <c r="E119" t="s">
        <v>92</v>
      </c>
      <c r="F119" t="s">
        <v>71</v>
      </c>
      <c r="G119">
        <v>6.0901200357913803</v>
      </c>
      <c r="H119">
        <v>2E+20</v>
      </c>
      <c r="I119">
        <v>0</v>
      </c>
      <c r="J119">
        <v>23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2.2853775994771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9.3827575078214593</v>
      </c>
      <c r="U119">
        <f>IF((ContinuousStatsTable[[#This Row],[RepsRequested]]&gt;1),ContinuousStatsTable[[#This Row],[HalfWidth]],ContinuousStatsTable[[#This Row],[BatchMeansHalfWidth]])</f>
        <v>0.70373665421471332</v>
      </c>
    </row>
    <row r="120" spans="1:21" x14ac:dyDescent="0.3">
      <c r="A120" t="s">
        <v>66</v>
      </c>
      <c r="B120" t="s">
        <v>68</v>
      </c>
      <c r="C120">
        <v>4</v>
      </c>
      <c r="D120" t="s">
        <v>72</v>
      </c>
      <c r="E120" t="s">
        <v>92</v>
      </c>
      <c r="F120" t="s">
        <v>71</v>
      </c>
      <c r="G120">
        <v>4.7834018470984798</v>
      </c>
      <c r="H120">
        <v>2E+20</v>
      </c>
      <c r="I120">
        <v>0</v>
      </c>
      <c r="J120">
        <v>24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1.4754093813695901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8.0603747791942499</v>
      </c>
      <c r="U120">
        <f>IF((ContinuousStatsTable[[#This Row],[RepsRequested]]&gt;1),ContinuousStatsTable[[#This Row],[HalfWidth]],ContinuousStatsTable[[#This Row],[BatchMeansHalfWidth]])</f>
        <v>0.5936172943910426</v>
      </c>
    </row>
    <row r="121" spans="1:21" x14ac:dyDescent="0.3">
      <c r="A121" t="s">
        <v>66</v>
      </c>
      <c r="B121" t="s">
        <v>68</v>
      </c>
      <c r="C121">
        <v>4</v>
      </c>
      <c r="D121" t="s">
        <v>73</v>
      </c>
      <c r="E121" t="s">
        <v>92</v>
      </c>
      <c r="F121" t="s">
        <v>71</v>
      </c>
      <c r="G121">
        <v>7.5162620910234699</v>
      </c>
      <c r="H121">
        <v>2E+20</v>
      </c>
      <c r="I121">
        <v>0</v>
      </c>
      <c r="J121">
        <v>28</v>
      </c>
      <c r="K121">
        <v>20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1.3305593103954101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29.356614544212601</v>
      </c>
      <c r="U121">
        <f>IF((ContinuousStatsTable[[#This Row],[RepsRequested]]&gt;1),ContinuousStatsTable[[#This Row],[HalfWidth]],ContinuousStatsTable[[#This Row],[BatchMeansHalfWidth]])</f>
        <v>2.162177461749093</v>
      </c>
    </row>
    <row r="122" spans="1:21" x14ac:dyDescent="0.3">
      <c r="A122" t="s">
        <v>66</v>
      </c>
      <c r="B122" t="s">
        <v>68</v>
      </c>
      <c r="C122">
        <v>4</v>
      </c>
      <c r="D122" t="s">
        <v>74</v>
      </c>
      <c r="E122" t="s">
        <v>92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>
        <f>IF((ContinuousStatsTable[[#This Row],[RepsRequested]]&gt;1),ContinuousStatsTable[[#This Row],[HalfWidth]],ContinuousStatsTable[[#This Row],[BatchMeansHalfWidth]])</f>
        <v>0</v>
      </c>
    </row>
    <row r="123" spans="1:21" x14ac:dyDescent="0.3">
      <c r="A123" t="s">
        <v>66</v>
      </c>
      <c r="B123" t="s">
        <v>68</v>
      </c>
      <c r="C123">
        <v>4</v>
      </c>
      <c r="D123" t="s">
        <v>75</v>
      </c>
      <c r="E123" t="s">
        <v>92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>
        <f>IF((ContinuousStatsTable[[#This Row],[RepsRequested]]&gt;1),ContinuousStatsTable[[#This Row],[HalfWidth]],ContinuousStatsTable[[#This Row],[BatchMeansHalfWidth]])</f>
        <v>0</v>
      </c>
    </row>
    <row r="124" spans="1:21" x14ac:dyDescent="0.3">
      <c r="A124" t="s">
        <v>66</v>
      </c>
      <c r="B124" t="s">
        <v>68</v>
      </c>
      <c r="C124">
        <v>4</v>
      </c>
      <c r="D124" t="s">
        <v>76</v>
      </c>
      <c r="E124" t="s">
        <v>92</v>
      </c>
      <c r="F124" t="s">
        <v>71</v>
      </c>
      <c r="G124">
        <v>1.8076153021263199</v>
      </c>
      <c r="H124">
        <v>2E+20</v>
      </c>
      <c r="I124">
        <v>0</v>
      </c>
      <c r="J124">
        <v>12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4.5869485136026601E-2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4.1119263103435699</v>
      </c>
      <c r="U124">
        <f>IF((ContinuousStatsTable[[#This Row],[RepsRequested]]&gt;1),ContinuousStatsTable[[#This Row],[HalfWidth]],ContinuousStatsTable[[#This Row],[BatchMeansHalfWidth]])</f>
        <v>0.43252967563899991</v>
      </c>
    </row>
    <row r="125" spans="1:21" x14ac:dyDescent="0.3">
      <c r="A125" t="s">
        <v>66</v>
      </c>
      <c r="B125" t="s">
        <v>68</v>
      </c>
      <c r="C125">
        <v>4</v>
      </c>
      <c r="D125" t="s">
        <v>77</v>
      </c>
      <c r="E125" t="s">
        <v>92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0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4</v>
      </c>
      <c r="D126" t="s">
        <v>78</v>
      </c>
      <c r="E126" t="s">
        <v>92</v>
      </c>
      <c r="F126" t="s">
        <v>71</v>
      </c>
      <c r="G126">
        <v>0</v>
      </c>
      <c r="H126">
        <v>2E+20</v>
      </c>
      <c r="I126">
        <v>0</v>
      </c>
      <c r="J126">
        <v>0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</v>
      </c>
      <c r="U126">
        <f>IF((ContinuousStatsTable[[#This Row],[RepsRequested]]&gt;1),ContinuousStatsTable[[#This Row],[HalfWidth]],ContinuousStatsTable[[#This Row],[BatchMeansHalfWidth]])</f>
        <v>0</v>
      </c>
    </row>
    <row r="127" spans="1:21" x14ac:dyDescent="0.3">
      <c r="A127" t="s">
        <v>66</v>
      </c>
      <c r="B127" t="s">
        <v>68</v>
      </c>
      <c r="C127">
        <v>4</v>
      </c>
      <c r="D127" t="s">
        <v>93</v>
      </c>
      <c r="E127" t="s">
        <v>94</v>
      </c>
      <c r="F127" t="s">
        <v>95</v>
      </c>
      <c r="G127">
        <v>3.6446279088106097E-2</v>
      </c>
      <c r="H127">
        <v>2E+20</v>
      </c>
      <c r="I127">
        <v>0</v>
      </c>
      <c r="J127">
        <v>0.2</v>
      </c>
      <c r="K127">
        <v>0.05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2.3718114155243601E-2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4.8583931724403701E-2</v>
      </c>
      <c r="U127">
        <f>IF((ContinuousStatsTable[[#This Row],[RepsRequested]]&gt;1),ContinuousStatsTable[[#This Row],[HalfWidth]],ContinuousStatsTable[[#This Row],[BatchMeansHalfWidth]])</f>
        <v>2.4839579632442289E-3</v>
      </c>
    </row>
    <row r="128" spans="1:21" x14ac:dyDescent="0.3">
      <c r="A128" t="s">
        <v>66</v>
      </c>
      <c r="B128" t="s">
        <v>68</v>
      </c>
      <c r="C128">
        <v>4</v>
      </c>
      <c r="D128" t="s">
        <v>93</v>
      </c>
      <c r="E128" t="s">
        <v>96</v>
      </c>
      <c r="F128" t="s">
        <v>95</v>
      </c>
      <c r="G128">
        <v>0.72892558176212097</v>
      </c>
      <c r="H128">
        <v>2E+20</v>
      </c>
      <c r="I128">
        <v>0</v>
      </c>
      <c r="J128">
        <v>4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0.47436228310487299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0.97167863448807401</v>
      </c>
      <c r="U128">
        <f>IF((ContinuousStatsTable[[#This Row],[RepsRequested]]&gt;1),ContinuousStatsTable[[#This Row],[HalfWidth]],ContinuousStatsTable[[#This Row],[BatchMeansHalfWidth]])</f>
        <v>4.9679159264885281E-2</v>
      </c>
    </row>
    <row r="129" spans="1:21" x14ac:dyDescent="0.3">
      <c r="A129" t="s">
        <v>66</v>
      </c>
      <c r="B129" t="s">
        <v>68</v>
      </c>
      <c r="C129">
        <v>4</v>
      </c>
      <c r="D129" t="s">
        <v>93</v>
      </c>
      <c r="E129" t="s">
        <v>97</v>
      </c>
      <c r="F129" t="s">
        <v>95</v>
      </c>
      <c r="G129">
        <v>20</v>
      </c>
      <c r="H129">
        <v>2E+20</v>
      </c>
      <c r="I129">
        <v>20</v>
      </c>
      <c r="J129">
        <v>20</v>
      </c>
      <c r="K129">
        <v>20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20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20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20</v>
      </c>
      <c r="U129">
        <f>IF((ContinuousStatsTable[[#This Row],[RepsRequested]]&gt;1),ContinuousStatsTable[[#This Row],[HalfWidth]],ContinuousStatsTable[[#This Row],[BatchMeansHalfWidth]])</f>
        <v>0</v>
      </c>
    </row>
    <row r="130" spans="1:21" x14ac:dyDescent="0.3">
      <c r="A130" t="s">
        <v>66</v>
      </c>
      <c r="B130" t="s">
        <v>68</v>
      </c>
      <c r="C130">
        <v>4</v>
      </c>
      <c r="D130" t="s">
        <v>98</v>
      </c>
      <c r="E130" t="s">
        <v>94</v>
      </c>
      <c r="F130" t="s">
        <v>95</v>
      </c>
      <c r="G130">
        <v>0.245229931678109</v>
      </c>
      <c r="H130">
        <v>2E+20</v>
      </c>
      <c r="I130">
        <v>0</v>
      </c>
      <c r="J130">
        <v>0.7</v>
      </c>
      <c r="K130">
        <v>0.15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0.20767736113278101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0.28501162927715501</v>
      </c>
      <c r="U130">
        <f>IF((ContinuousStatsTable[[#This Row],[RepsRequested]]&gt;1),ContinuousStatsTable[[#This Row],[HalfWidth]],ContinuousStatsTable[[#This Row],[BatchMeansHalfWidth]])</f>
        <v>8.7273384073404715E-3</v>
      </c>
    </row>
    <row r="131" spans="1:21" x14ac:dyDescent="0.3">
      <c r="A131" t="s">
        <v>66</v>
      </c>
      <c r="B131" t="s">
        <v>68</v>
      </c>
      <c r="C131">
        <v>4</v>
      </c>
      <c r="D131" t="s">
        <v>98</v>
      </c>
      <c r="E131" t="s">
        <v>96</v>
      </c>
      <c r="F131" t="s">
        <v>95</v>
      </c>
      <c r="G131">
        <v>4.9045986335621699</v>
      </c>
      <c r="H131">
        <v>2E+20</v>
      </c>
      <c r="I131">
        <v>0</v>
      </c>
      <c r="J131">
        <v>14</v>
      </c>
      <c r="K131">
        <v>3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4.15354722265561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5.7002325855431097</v>
      </c>
      <c r="U131">
        <f>IF((ContinuousStatsTable[[#This Row],[RepsRequested]]&gt;1),ContinuousStatsTable[[#This Row],[HalfWidth]],ContinuousStatsTable[[#This Row],[BatchMeansHalfWidth]])</f>
        <v>0.17454676814681078</v>
      </c>
    </row>
    <row r="132" spans="1:21" x14ac:dyDescent="0.3">
      <c r="A132" t="s">
        <v>66</v>
      </c>
      <c r="B132" t="s">
        <v>68</v>
      </c>
      <c r="C132">
        <v>4</v>
      </c>
      <c r="D132" t="s">
        <v>98</v>
      </c>
      <c r="E132" t="s">
        <v>97</v>
      </c>
      <c r="F132" t="s">
        <v>95</v>
      </c>
      <c r="G132">
        <v>20</v>
      </c>
      <c r="H132">
        <v>2E+20</v>
      </c>
      <c r="I132">
        <v>20</v>
      </c>
      <c r="J132">
        <v>20</v>
      </c>
      <c r="K132">
        <v>20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20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20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20</v>
      </c>
      <c r="U132">
        <f>IF((ContinuousStatsTable[[#This Row],[RepsRequested]]&gt;1),ContinuousStatsTable[[#This Row],[HalfWidth]],ContinuousStatsTable[[#This Row],[BatchMeansHalfWidth]])</f>
        <v>0</v>
      </c>
    </row>
    <row r="133" spans="1:21" x14ac:dyDescent="0.3">
      <c r="A133" t="s">
        <v>66</v>
      </c>
      <c r="B133" t="s">
        <v>68</v>
      </c>
      <c r="C133">
        <v>4</v>
      </c>
      <c r="D133" t="s">
        <v>99</v>
      </c>
      <c r="E133" t="s">
        <v>94</v>
      </c>
      <c r="F133" t="s">
        <v>95</v>
      </c>
      <c r="G133">
        <v>0.65846113222333702</v>
      </c>
      <c r="H133">
        <v>2E+20</v>
      </c>
      <c r="I133">
        <v>0</v>
      </c>
      <c r="J133">
        <v>1</v>
      </c>
      <c r="K133">
        <v>0.9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0.517215348442703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0.67770389283754395</v>
      </c>
      <c r="U133">
        <f>IF((ContinuousStatsTable[[#This Row],[RepsRequested]]&gt;1),ContinuousStatsTable[[#This Row],[HalfWidth]],ContinuousStatsTable[[#This Row],[BatchMeansHalfWidth]])</f>
        <v>1.8059192833960565E-2</v>
      </c>
    </row>
    <row r="134" spans="1:21" x14ac:dyDescent="0.3">
      <c r="A134" t="s">
        <v>66</v>
      </c>
      <c r="B134" t="s">
        <v>68</v>
      </c>
      <c r="C134">
        <v>4</v>
      </c>
      <c r="D134" t="s">
        <v>99</v>
      </c>
      <c r="E134" t="s">
        <v>96</v>
      </c>
      <c r="F134" t="s">
        <v>95</v>
      </c>
      <c r="G134">
        <v>6.5846113222333704</v>
      </c>
      <c r="H134">
        <v>2E+20</v>
      </c>
      <c r="I134">
        <v>0</v>
      </c>
      <c r="J134">
        <v>10</v>
      </c>
      <c r="K134">
        <v>9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5.1721534844270298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6.7770389283754398</v>
      </c>
      <c r="U134">
        <f>IF((ContinuousStatsTable[[#This Row],[RepsRequested]]&gt;1),ContinuousStatsTable[[#This Row],[HalfWidth]],ContinuousStatsTable[[#This Row],[BatchMeansHalfWidth]])</f>
        <v>0.18059192833960558</v>
      </c>
    </row>
    <row r="135" spans="1:21" x14ac:dyDescent="0.3">
      <c r="A135" t="s">
        <v>66</v>
      </c>
      <c r="B135" t="s">
        <v>68</v>
      </c>
      <c r="C135">
        <v>4</v>
      </c>
      <c r="D135" t="s">
        <v>99</v>
      </c>
      <c r="E135" t="s">
        <v>97</v>
      </c>
      <c r="F135" t="s">
        <v>95</v>
      </c>
      <c r="G135">
        <v>10</v>
      </c>
      <c r="H135">
        <v>2E+20</v>
      </c>
      <c r="I135">
        <v>10</v>
      </c>
      <c r="J135">
        <v>10</v>
      </c>
      <c r="K135">
        <v>10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10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10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10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4</v>
      </c>
      <c r="D136" t="s">
        <v>100</v>
      </c>
      <c r="E136" t="s">
        <v>94</v>
      </c>
      <c r="F136" t="s">
        <v>95</v>
      </c>
      <c r="G136">
        <v>0.17459217930915699</v>
      </c>
      <c r="H136">
        <v>2E+20</v>
      </c>
      <c r="I136">
        <v>0</v>
      </c>
      <c r="J136">
        <v>0.42</v>
      </c>
      <c r="K136">
        <v>0.22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0.14484829778125299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0.19609322315655101</v>
      </c>
      <c r="U136">
        <f>IF((ContinuousStatsTable[[#This Row],[RepsRequested]]&gt;1),ContinuousStatsTable[[#This Row],[HalfWidth]],ContinuousStatsTable[[#This Row],[BatchMeansHalfWidth]])</f>
        <v>4.9714113556225048E-3</v>
      </c>
    </row>
    <row r="137" spans="1:21" x14ac:dyDescent="0.3">
      <c r="A137" t="s">
        <v>66</v>
      </c>
      <c r="B137" t="s">
        <v>68</v>
      </c>
      <c r="C137">
        <v>4</v>
      </c>
      <c r="D137" t="s">
        <v>100</v>
      </c>
      <c r="E137" t="s">
        <v>96</v>
      </c>
      <c r="F137" t="s">
        <v>95</v>
      </c>
      <c r="G137">
        <v>8.7296089654578406</v>
      </c>
      <c r="H137">
        <v>2E+20</v>
      </c>
      <c r="I137">
        <v>0</v>
      </c>
      <c r="J137">
        <v>21</v>
      </c>
      <c r="K137">
        <v>11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7.2424148890626396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9.8046611578275602</v>
      </c>
      <c r="U137">
        <f>IF((ContinuousStatsTable[[#This Row],[RepsRequested]]&gt;1),ContinuousStatsTable[[#This Row],[HalfWidth]],ContinuousStatsTable[[#This Row],[BatchMeansHalfWidth]])</f>
        <v>0.24857056778112663</v>
      </c>
    </row>
    <row r="138" spans="1:21" x14ac:dyDescent="0.3">
      <c r="A138" t="s">
        <v>66</v>
      </c>
      <c r="B138" t="s">
        <v>68</v>
      </c>
      <c r="C138">
        <v>4</v>
      </c>
      <c r="D138" t="s">
        <v>100</v>
      </c>
      <c r="E138" t="s">
        <v>97</v>
      </c>
      <c r="F138" t="s">
        <v>95</v>
      </c>
      <c r="G138">
        <v>50</v>
      </c>
      <c r="H138">
        <v>2E+20</v>
      </c>
      <c r="I138">
        <v>50</v>
      </c>
      <c r="J138">
        <v>50</v>
      </c>
      <c r="K138">
        <v>50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50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50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50</v>
      </c>
      <c r="U138">
        <f>IF((ContinuousStatsTable[[#This Row],[RepsRequested]]&gt;1),ContinuousStatsTable[[#This Row],[HalfWidth]],ContinuousStatsTable[[#This Row],[BatchMeansHalfWidth]])</f>
        <v>0</v>
      </c>
    </row>
    <row r="139" spans="1:21" x14ac:dyDescent="0.3">
      <c r="A139" t="s">
        <v>66</v>
      </c>
      <c r="B139" t="s">
        <v>68</v>
      </c>
      <c r="C139">
        <v>4</v>
      </c>
      <c r="D139" t="s">
        <v>101</v>
      </c>
      <c r="E139" t="s">
        <v>94</v>
      </c>
      <c r="F139" t="s">
        <v>95</v>
      </c>
      <c r="G139">
        <v>9.7637339496751796E-2</v>
      </c>
      <c r="H139">
        <v>2E+20</v>
      </c>
      <c r="I139">
        <v>0</v>
      </c>
      <c r="J139">
        <v>0.33333333333333298</v>
      </c>
      <c r="K139">
        <v>6.6666666666666693E-2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7.4778736536586704E-2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0.111025455742452</v>
      </c>
      <c r="U139">
        <f>IF((ContinuousStatsTable[[#This Row],[RepsRequested]]&gt;1),ContinuousStatsTable[[#This Row],[HalfWidth]],ContinuousStatsTable[[#This Row],[BatchMeansHalfWidth]])</f>
        <v>4.1821462690338805E-3</v>
      </c>
    </row>
    <row r="140" spans="1:21" x14ac:dyDescent="0.3">
      <c r="A140" t="s">
        <v>66</v>
      </c>
      <c r="B140" t="s">
        <v>68</v>
      </c>
      <c r="C140">
        <v>4</v>
      </c>
      <c r="D140" t="s">
        <v>101</v>
      </c>
      <c r="E140" t="s">
        <v>96</v>
      </c>
      <c r="F140" t="s">
        <v>95</v>
      </c>
      <c r="G140">
        <v>1.46456009245128</v>
      </c>
      <c r="H140">
        <v>2E+20</v>
      </c>
      <c r="I140">
        <v>0</v>
      </c>
      <c r="J140">
        <v>5</v>
      </c>
      <c r="K140">
        <v>1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1.1216810480488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1.66538183613678</v>
      </c>
      <c r="U140">
        <f>IF((ContinuousStatsTable[[#This Row],[RepsRequested]]&gt;1),ContinuousStatsTable[[#This Row],[HalfWidth]],ContinuousStatsTable[[#This Row],[BatchMeansHalfWidth]])</f>
        <v>6.2732194035507963E-2</v>
      </c>
    </row>
    <row r="141" spans="1:21" x14ac:dyDescent="0.3">
      <c r="A141" t="s">
        <v>66</v>
      </c>
      <c r="B141" t="s">
        <v>68</v>
      </c>
      <c r="C141">
        <v>4</v>
      </c>
      <c r="D141" t="s">
        <v>101</v>
      </c>
      <c r="E141" t="s">
        <v>97</v>
      </c>
      <c r="F141" t="s">
        <v>95</v>
      </c>
      <c r="G141">
        <v>15</v>
      </c>
      <c r="H141">
        <v>2E+20</v>
      </c>
      <c r="I141">
        <v>15</v>
      </c>
      <c r="J141">
        <v>15</v>
      </c>
      <c r="K141">
        <v>15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15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15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15</v>
      </c>
      <c r="U141">
        <f>IF((ContinuousStatsTable[[#This Row],[RepsRequested]]&gt;1),ContinuousStatsTable[[#This Row],[HalfWidth]],ContinuousStatsTable[[#This Row],[BatchMeansHalfWidth]])</f>
        <v>0</v>
      </c>
    </row>
    <row r="142" spans="1:21" x14ac:dyDescent="0.3">
      <c r="A142" t="s">
        <v>66</v>
      </c>
      <c r="B142" t="s">
        <v>68</v>
      </c>
      <c r="C142">
        <v>4</v>
      </c>
      <c r="D142" t="s">
        <v>102</v>
      </c>
      <c r="E142" t="s">
        <v>94</v>
      </c>
      <c r="F142" t="s">
        <v>95</v>
      </c>
      <c r="G142">
        <v>0.82631443691188</v>
      </c>
      <c r="H142">
        <v>2E+20</v>
      </c>
      <c r="I142">
        <v>0</v>
      </c>
      <c r="J142">
        <v>1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0.73673947391417804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0.90592850818388704</v>
      </c>
      <c r="U142">
        <f>IF((ContinuousStatsTable[[#This Row],[RepsRequested]]&gt;1),ContinuousStatsTable[[#This Row],[HalfWidth]],ContinuousStatsTable[[#This Row],[BatchMeansHalfWidth]])</f>
        <v>1.8636241798384946E-2</v>
      </c>
    </row>
    <row r="143" spans="1:21" x14ac:dyDescent="0.3">
      <c r="A143" t="s">
        <v>66</v>
      </c>
      <c r="B143" t="s">
        <v>68</v>
      </c>
      <c r="C143">
        <v>4</v>
      </c>
      <c r="D143" t="s">
        <v>102</v>
      </c>
      <c r="E143" t="s">
        <v>96</v>
      </c>
      <c r="F143" t="s">
        <v>95</v>
      </c>
      <c r="G143">
        <v>1.59791023101998</v>
      </c>
      <c r="H143">
        <v>2E+20</v>
      </c>
      <c r="I143">
        <v>0</v>
      </c>
      <c r="J143">
        <v>3</v>
      </c>
      <c r="K143">
        <v>2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1.3726163545041801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1.7968913949876599</v>
      </c>
      <c r="U143">
        <f>IF((ContinuousStatsTable[[#This Row],[RepsRequested]]&gt;1),ContinuousStatsTable[[#This Row],[HalfWidth]],ContinuousStatsTable[[#This Row],[BatchMeansHalfWidth]])</f>
        <v>4.3123628688677348E-2</v>
      </c>
    </row>
    <row r="144" spans="1:21" x14ac:dyDescent="0.3">
      <c r="A144" t="s">
        <v>66</v>
      </c>
      <c r="B144" t="s">
        <v>68</v>
      </c>
      <c r="C144">
        <v>4</v>
      </c>
      <c r="D144" t="s">
        <v>102</v>
      </c>
      <c r="E144" t="s">
        <v>97</v>
      </c>
      <c r="F144" t="s">
        <v>95</v>
      </c>
      <c r="G144">
        <v>2</v>
      </c>
      <c r="H144">
        <v>2E+20</v>
      </c>
      <c r="I144">
        <v>1</v>
      </c>
      <c r="J144">
        <v>3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>
        <f>IF((ContinuousStatsTable[[#This Row],[RepsRequested]]&gt;1),ContinuousStatsTable[[#This Row],[HalfWidth]],ContinuousStatsTable[[#This Row],[BatchMeansHalfWidth]])</f>
        <v>0</v>
      </c>
    </row>
    <row r="145" spans="1:21" x14ac:dyDescent="0.3">
      <c r="A145" t="s">
        <v>66</v>
      </c>
      <c r="B145" t="s">
        <v>68</v>
      </c>
      <c r="C145">
        <v>4</v>
      </c>
      <c r="D145" t="s">
        <v>84</v>
      </c>
      <c r="E145" t="s">
        <v>103</v>
      </c>
      <c r="F145" t="s">
        <v>86</v>
      </c>
      <c r="G145">
        <v>57.024803619676597</v>
      </c>
      <c r="H145">
        <v>2E+20</v>
      </c>
      <c r="I145">
        <v>0</v>
      </c>
      <c r="J145">
        <v>89</v>
      </c>
      <c r="K145">
        <v>62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36.709886237305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84.594951996708403</v>
      </c>
      <c r="U145">
        <f>IF((ContinuousStatsTable[[#This Row],[RepsRequested]]&gt;1),ContinuousStatsTable[[#This Row],[HalfWidth]],ContinuousStatsTable[[#This Row],[BatchMeansHalfWidth]])</f>
        <v>4.0384933567271259</v>
      </c>
    </row>
    <row r="146" spans="1:21" x14ac:dyDescent="0.3">
      <c r="A146" t="s">
        <v>66</v>
      </c>
      <c r="B146" t="s">
        <v>68</v>
      </c>
      <c r="C146">
        <v>4</v>
      </c>
      <c r="D146" t="s">
        <v>104</v>
      </c>
      <c r="E146" t="s">
        <v>94</v>
      </c>
      <c r="F146" t="s">
        <v>95</v>
      </c>
      <c r="G146">
        <v>0</v>
      </c>
      <c r="H146">
        <v>2E+20</v>
      </c>
      <c r="I146">
        <v>0</v>
      </c>
      <c r="J146">
        <v>0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</v>
      </c>
      <c r="U146">
        <f>IF((ContinuousStatsTable[[#This Row],[RepsRequested]]&gt;1),ContinuousStatsTable[[#This Row],[HalfWidth]],ContinuousStatsTable[[#This Row],[BatchMeansHalfWidth]])</f>
        <v>0</v>
      </c>
    </row>
    <row r="147" spans="1:21" x14ac:dyDescent="0.3">
      <c r="A147" t="s">
        <v>66</v>
      </c>
      <c r="B147" t="s">
        <v>68</v>
      </c>
      <c r="C147">
        <v>4</v>
      </c>
      <c r="D147" t="s">
        <v>104</v>
      </c>
      <c r="E147" t="s">
        <v>96</v>
      </c>
      <c r="F147" t="s">
        <v>95</v>
      </c>
      <c r="G147">
        <v>0</v>
      </c>
      <c r="H147">
        <v>2E+20</v>
      </c>
      <c r="I147">
        <v>0</v>
      </c>
      <c r="J147">
        <v>0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0</v>
      </c>
      <c r="U147">
        <f>IF((ContinuousStatsTable[[#This Row],[RepsRequested]]&gt;1),ContinuousStatsTable[[#This Row],[HalfWidth]],ContinuousStatsTable[[#This Row],[BatchMeansHalfWidth]])</f>
        <v>0</v>
      </c>
    </row>
    <row r="148" spans="1:21" x14ac:dyDescent="0.3">
      <c r="A148" t="s">
        <v>66</v>
      </c>
      <c r="B148" t="s">
        <v>68</v>
      </c>
      <c r="C148">
        <v>4</v>
      </c>
      <c r="D148" t="s">
        <v>104</v>
      </c>
      <c r="E148" t="s">
        <v>97</v>
      </c>
      <c r="F148" t="s">
        <v>95</v>
      </c>
      <c r="G148">
        <v>3</v>
      </c>
      <c r="H148">
        <v>2E+20</v>
      </c>
      <c r="I148">
        <v>3</v>
      </c>
      <c r="J148">
        <v>3</v>
      </c>
      <c r="K148">
        <v>3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3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3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3</v>
      </c>
      <c r="U148">
        <f>IF((ContinuousStatsTable[[#This Row],[RepsRequested]]&gt;1),ContinuousStatsTable[[#This Row],[HalfWidth]],ContinuousStatsTable[[#This Row],[BatchMeansHalfWidth]])</f>
        <v>0</v>
      </c>
    </row>
    <row r="149" spans="1:21" x14ac:dyDescent="0.3">
      <c r="A149" t="s">
        <v>66</v>
      </c>
      <c r="B149" t="s">
        <v>68</v>
      </c>
      <c r="C149">
        <v>4</v>
      </c>
      <c r="D149" t="s">
        <v>105</v>
      </c>
      <c r="E149" t="s">
        <v>94</v>
      </c>
      <c r="F149" t="s">
        <v>95</v>
      </c>
      <c r="G149">
        <v>0.81746613194190698</v>
      </c>
      <c r="H149">
        <v>2E+20</v>
      </c>
      <c r="I149">
        <v>0</v>
      </c>
      <c r="J149">
        <v>1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0.634589476164233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0.99383259650362799</v>
      </c>
      <c r="U149">
        <f>IF((ContinuousStatsTable[[#This Row],[RepsRequested]]&gt;1),ContinuousStatsTable[[#This Row],[HalfWidth]],ContinuousStatsTable[[#This Row],[BatchMeansHalfWidth]])</f>
        <v>3.9940526897700258E-2</v>
      </c>
    </row>
    <row r="150" spans="1:21" x14ac:dyDescent="0.3">
      <c r="A150" t="s">
        <v>66</v>
      </c>
      <c r="B150" t="s">
        <v>68</v>
      </c>
      <c r="C150">
        <v>4</v>
      </c>
      <c r="D150" t="s">
        <v>105</v>
      </c>
      <c r="E150" t="s">
        <v>96</v>
      </c>
      <c r="F150" t="s">
        <v>95</v>
      </c>
      <c r="G150">
        <v>0.81746613194190698</v>
      </c>
      <c r="H150">
        <v>2E+20</v>
      </c>
      <c r="I150">
        <v>0</v>
      </c>
      <c r="J150">
        <v>1</v>
      </c>
      <c r="K150">
        <v>1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0.634589476164233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0.99383259650362799</v>
      </c>
      <c r="U150">
        <f>IF((ContinuousStatsTable[[#This Row],[RepsRequested]]&gt;1),ContinuousStatsTable[[#This Row],[HalfWidth]],ContinuousStatsTable[[#This Row],[BatchMeansHalfWidth]])</f>
        <v>3.9940526897700258E-2</v>
      </c>
    </row>
    <row r="151" spans="1:21" x14ac:dyDescent="0.3">
      <c r="A151" t="s">
        <v>66</v>
      </c>
      <c r="B151" t="s">
        <v>68</v>
      </c>
      <c r="C151">
        <v>4</v>
      </c>
      <c r="D151" t="s">
        <v>105</v>
      </c>
      <c r="E151" t="s">
        <v>97</v>
      </c>
      <c r="F151" t="s">
        <v>95</v>
      </c>
      <c r="G151">
        <v>1</v>
      </c>
      <c r="H151">
        <v>2E+20</v>
      </c>
      <c r="I151">
        <v>1</v>
      </c>
      <c r="J151">
        <v>1</v>
      </c>
      <c r="K151">
        <v>1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1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1</v>
      </c>
      <c r="U151">
        <f>IF((ContinuousStatsTable[[#This Row],[RepsRequested]]&gt;1),ContinuousStatsTable[[#This Row],[HalfWidth]],ContinuousStatsTable[[#This Row],[BatchMeansHalfWidth]])</f>
        <v>0</v>
      </c>
    </row>
    <row r="152" spans="1:21" x14ac:dyDescent="0.3">
      <c r="A152" t="s">
        <v>66</v>
      </c>
      <c r="B152" t="s">
        <v>68</v>
      </c>
      <c r="C152">
        <v>4</v>
      </c>
      <c r="D152" t="s">
        <v>106</v>
      </c>
      <c r="E152" t="s">
        <v>94</v>
      </c>
      <c r="F152" t="s">
        <v>95</v>
      </c>
      <c r="G152">
        <v>0.89600129938766304</v>
      </c>
      <c r="H152">
        <v>2E+20</v>
      </c>
      <c r="I152">
        <v>0</v>
      </c>
      <c r="J152">
        <v>1</v>
      </c>
      <c r="K152">
        <v>1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30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0.74061105631083801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0.99245161744166299</v>
      </c>
      <c r="U152">
        <f>IF((ContinuousStatsTable[[#This Row],[RepsRequested]]&gt;1),ContinuousStatsTable[[#This Row],[HalfWidth]],ContinuousStatsTable[[#This Row],[BatchMeansHalfWidth]])</f>
        <v>2.8912497794626357E-2</v>
      </c>
    </row>
    <row r="153" spans="1:21" x14ac:dyDescent="0.3">
      <c r="A153" t="s">
        <v>66</v>
      </c>
      <c r="B153" t="s">
        <v>68</v>
      </c>
      <c r="C153">
        <v>4</v>
      </c>
      <c r="D153" t="s">
        <v>106</v>
      </c>
      <c r="E153" t="s">
        <v>96</v>
      </c>
      <c r="F153" t="s">
        <v>95</v>
      </c>
      <c r="G153">
        <v>0.89600129938766304</v>
      </c>
      <c r="H153">
        <v>2E+20</v>
      </c>
      <c r="I153">
        <v>0</v>
      </c>
      <c r="J153">
        <v>1</v>
      </c>
      <c r="K153">
        <v>1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30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0.74061105631083801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0.99245161744166299</v>
      </c>
      <c r="U153">
        <f>IF((ContinuousStatsTable[[#This Row],[RepsRequested]]&gt;1),ContinuousStatsTable[[#This Row],[HalfWidth]],ContinuousStatsTable[[#This Row],[BatchMeansHalfWidth]])</f>
        <v>2.8912497794626357E-2</v>
      </c>
    </row>
    <row r="154" spans="1:21" x14ac:dyDescent="0.3">
      <c r="A154" t="s">
        <v>66</v>
      </c>
      <c r="B154" t="s">
        <v>68</v>
      </c>
      <c r="C154">
        <v>4</v>
      </c>
      <c r="D154" t="s">
        <v>106</v>
      </c>
      <c r="E154" t="s">
        <v>97</v>
      </c>
      <c r="F154" t="s">
        <v>95</v>
      </c>
      <c r="G154">
        <v>1</v>
      </c>
      <c r="H154">
        <v>2E+20</v>
      </c>
      <c r="I154">
        <v>1</v>
      </c>
      <c r="J154">
        <v>1</v>
      </c>
      <c r="K154">
        <v>1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30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1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1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1</v>
      </c>
      <c r="U154">
        <f>IF((ContinuousStatsTable[[#This Row],[RepsRequested]]&gt;1),ContinuousStatsTable[[#This Row],[HalfWidth]],ContinuousStatsTable[[#This Row],[BatchMeansHalfWidth]])</f>
        <v>0</v>
      </c>
    </row>
    <row r="155" spans="1:21" x14ac:dyDescent="0.3">
      <c r="A155" t="s">
        <v>66</v>
      </c>
      <c r="B155" t="s">
        <v>68</v>
      </c>
      <c r="C155">
        <v>4</v>
      </c>
      <c r="D155" t="s">
        <v>107</v>
      </c>
      <c r="E155" t="s">
        <v>94</v>
      </c>
      <c r="F155" t="s">
        <v>95</v>
      </c>
      <c r="G155">
        <v>0.92722724423202596</v>
      </c>
      <c r="H155">
        <v>2E+20</v>
      </c>
      <c r="I155">
        <v>0</v>
      </c>
      <c r="J155">
        <v>1</v>
      </c>
      <c r="K155">
        <v>1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30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0.73843386001690303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0.99245161744166299</v>
      </c>
      <c r="U155">
        <f>IF((ContinuousStatsTable[[#This Row],[RepsRequested]]&gt;1),ContinuousStatsTable[[#This Row],[HalfWidth]],ContinuousStatsTable[[#This Row],[BatchMeansHalfWidth]])</f>
        <v>2.6057642646860522E-2</v>
      </c>
    </row>
    <row r="156" spans="1:21" x14ac:dyDescent="0.3">
      <c r="A156" t="s">
        <v>66</v>
      </c>
      <c r="B156" t="s">
        <v>68</v>
      </c>
      <c r="C156">
        <v>4</v>
      </c>
      <c r="D156" t="s">
        <v>107</v>
      </c>
      <c r="E156" t="s">
        <v>96</v>
      </c>
      <c r="F156" t="s">
        <v>95</v>
      </c>
      <c r="G156">
        <v>0.92722724423202596</v>
      </c>
      <c r="H156">
        <v>2E+20</v>
      </c>
      <c r="I156">
        <v>0</v>
      </c>
      <c r="J156">
        <v>1</v>
      </c>
      <c r="K156">
        <v>1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30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0.73843386001690303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0.99245161744166299</v>
      </c>
      <c r="U156">
        <f>IF((ContinuousStatsTable[[#This Row],[RepsRequested]]&gt;1),ContinuousStatsTable[[#This Row],[HalfWidth]],ContinuousStatsTable[[#This Row],[BatchMeansHalfWidth]])</f>
        <v>2.6057642646860522E-2</v>
      </c>
    </row>
    <row r="157" spans="1:21" x14ac:dyDescent="0.3">
      <c r="A157" t="s">
        <v>66</v>
      </c>
      <c r="B157" t="s">
        <v>68</v>
      </c>
      <c r="C157">
        <v>4</v>
      </c>
      <c r="D157" t="s">
        <v>107</v>
      </c>
      <c r="E157" t="s">
        <v>97</v>
      </c>
      <c r="F157" t="s">
        <v>95</v>
      </c>
      <c r="G157">
        <v>1</v>
      </c>
      <c r="H157">
        <v>2E+20</v>
      </c>
      <c r="I157">
        <v>1</v>
      </c>
      <c r="J157">
        <v>1</v>
      </c>
      <c r="K157">
        <v>1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30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1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1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1</v>
      </c>
      <c r="U157">
        <f>IF((ContinuousStatsTable[[#This Row],[RepsRequested]]&gt;1),ContinuousStatsTable[[#This Row],[HalfWidth]],ContinuousStatsTable[[#This Row],[BatchMeansHalfWidth]])</f>
        <v>0</v>
      </c>
    </row>
    <row r="158" spans="1:21" x14ac:dyDescent="0.3">
      <c r="A158" t="s">
        <v>66</v>
      </c>
      <c r="B158" t="s">
        <v>68</v>
      </c>
      <c r="C158">
        <v>5</v>
      </c>
      <c r="D158" t="s">
        <v>69</v>
      </c>
      <c r="E158" t="s">
        <v>92</v>
      </c>
      <c r="F158" t="s">
        <v>71</v>
      </c>
      <c r="G158">
        <v>3.3688879448146198</v>
      </c>
      <c r="H158">
        <v>2E+20</v>
      </c>
      <c r="I158">
        <v>0</v>
      </c>
      <c r="J158">
        <v>17</v>
      </c>
      <c r="K158">
        <v>1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30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2.2853775994771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9.3827575078214593</v>
      </c>
      <c r="U158">
        <f>IF((ContinuousStatsTable[[#This Row],[RepsRequested]]&gt;1),ContinuousStatsTable[[#This Row],[HalfWidth]],ContinuousStatsTable[[#This Row],[BatchMeansHalfWidth]])</f>
        <v>0.70373665421471332</v>
      </c>
    </row>
    <row r="159" spans="1:21" x14ac:dyDescent="0.3">
      <c r="A159" t="s">
        <v>66</v>
      </c>
      <c r="B159" t="s">
        <v>68</v>
      </c>
      <c r="C159">
        <v>5</v>
      </c>
      <c r="D159" t="s">
        <v>72</v>
      </c>
      <c r="E159" t="s">
        <v>92</v>
      </c>
      <c r="F159" t="s">
        <v>71</v>
      </c>
      <c r="G159">
        <v>2.6833114706650099</v>
      </c>
      <c r="H159">
        <v>2E+20</v>
      </c>
      <c r="I159">
        <v>0</v>
      </c>
      <c r="J159">
        <v>13</v>
      </c>
      <c r="K159">
        <v>1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30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1.4754093813695901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8.0603747791942499</v>
      </c>
      <c r="U159">
        <f>IF((ContinuousStatsTable[[#This Row],[RepsRequested]]&gt;1),ContinuousStatsTable[[#This Row],[HalfWidth]],ContinuousStatsTable[[#This Row],[BatchMeansHalfWidth]])</f>
        <v>0.5936172943910426</v>
      </c>
    </row>
    <row r="160" spans="1:21" x14ac:dyDescent="0.3">
      <c r="A160" t="s">
        <v>66</v>
      </c>
      <c r="B160" t="s">
        <v>68</v>
      </c>
      <c r="C160">
        <v>5</v>
      </c>
      <c r="D160" t="s">
        <v>73</v>
      </c>
      <c r="E160" t="s">
        <v>92</v>
      </c>
      <c r="F160" t="s">
        <v>71</v>
      </c>
      <c r="G160">
        <v>2.6862686561707401</v>
      </c>
      <c r="H160">
        <v>2E+20</v>
      </c>
      <c r="I160">
        <v>0</v>
      </c>
      <c r="J160">
        <v>17</v>
      </c>
      <c r="K160">
        <v>4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30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1.3305593103954101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29.356614544212601</v>
      </c>
      <c r="U160">
        <f>IF((ContinuousStatsTable[[#This Row],[RepsRequested]]&gt;1),ContinuousStatsTable[[#This Row],[HalfWidth]],ContinuousStatsTable[[#This Row],[BatchMeansHalfWidth]])</f>
        <v>2.162177461749093</v>
      </c>
    </row>
    <row r="161" spans="1:21" x14ac:dyDescent="0.3">
      <c r="A161" t="s">
        <v>66</v>
      </c>
      <c r="B161" t="s">
        <v>68</v>
      </c>
      <c r="C161">
        <v>5</v>
      </c>
      <c r="D161" t="s">
        <v>74</v>
      </c>
      <c r="E161" t="s">
        <v>92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30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</v>
      </c>
      <c r="U161">
        <f>IF((ContinuousStatsTable[[#This Row],[RepsRequested]]&gt;1),ContinuousStatsTable[[#This Row],[HalfWidth]],ContinuousStatsTable[[#This Row],[BatchMeansHalfWidth]])</f>
        <v>0</v>
      </c>
    </row>
    <row r="162" spans="1:21" x14ac:dyDescent="0.3">
      <c r="A162" t="s">
        <v>66</v>
      </c>
      <c r="B162" t="s">
        <v>68</v>
      </c>
      <c r="C162">
        <v>5</v>
      </c>
      <c r="D162" t="s">
        <v>75</v>
      </c>
      <c r="E162" t="s">
        <v>92</v>
      </c>
      <c r="F162" t="s">
        <v>71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30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>
        <f>IF((ContinuousStatsTable[[#This Row],[RepsRequested]]&gt;1),ContinuousStatsTable[[#This Row],[HalfWidth]],ContinuousStatsTable[[#This Row],[BatchMeansHalfWidth]])</f>
        <v>0</v>
      </c>
    </row>
    <row r="163" spans="1:21" x14ac:dyDescent="0.3">
      <c r="A163" t="s">
        <v>66</v>
      </c>
      <c r="B163" t="s">
        <v>68</v>
      </c>
      <c r="C163">
        <v>5</v>
      </c>
      <c r="D163" t="s">
        <v>76</v>
      </c>
      <c r="E163" t="s">
        <v>92</v>
      </c>
      <c r="F163" t="s">
        <v>71</v>
      </c>
      <c r="G163">
        <v>0.102536201698247</v>
      </c>
      <c r="H163">
        <v>2E+20</v>
      </c>
      <c r="I163">
        <v>0</v>
      </c>
      <c r="J163">
        <v>4</v>
      </c>
      <c r="K163">
        <v>2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30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4.5869485136026601E-2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4.1119263103435699</v>
      </c>
      <c r="U163">
        <f>IF((ContinuousStatsTable[[#This Row],[RepsRequested]]&gt;1),ContinuousStatsTable[[#This Row],[HalfWidth]],ContinuousStatsTable[[#This Row],[BatchMeansHalfWidth]])</f>
        <v>0.43252967563899991</v>
      </c>
    </row>
    <row r="164" spans="1:21" x14ac:dyDescent="0.3">
      <c r="A164" t="s">
        <v>66</v>
      </c>
      <c r="B164" t="s">
        <v>68</v>
      </c>
      <c r="C164">
        <v>5</v>
      </c>
      <c r="D164" t="s">
        <v>77</v>
      </c>
      <c r="E164" t="s">
        <v>92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0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30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</v>
      </c>
      <c r="U164">
        <f>IF((ContinuousStatsTable[[#This Row],[RepsRequested]]&gt;1),ContinuousStatsTable[[#This Row],[HalfWidth]],ContinuousStatsTable[[#This Row],[BatchMeansHalfWidth]])</f>
        <v>0</v>
      </c>
    </row>
    <row r="165" spans="1:21" x14ac:dyDescent="0.3">
      <c r="A165" t="s">
        <v>66</v>
      </c>
      <c r="B165" t="s">
        <v>68</v>
      </c>
      <c r="C165">
        <v>5</v>
      </c>
      <c r="D165" t="s">
        <v>78</v>
      </c>
      <c r="E165" t="s">
        <v>92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0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30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0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0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0</v>
      </c>
      <c r="U165">
        <f>IF((ContinuousStatsTable[[#This Row],[RepsRequested]]&gt;1),ContinuousStatsTable[[#This Row],[HalfWidth]],ContinuousStatsTable[[#This Row],[BatchMeansHalfWidth]])</f>
        <v>0</v>
      </c>
    </row>
    <row r="166" spans="1:21" x14ac:dyDescent="0.3">
      <c r="A166" t="s">
        <v>66</v>
      </c>
      <c r="B166" t="s">
        <v>68</v>
      </c>
      <c r="C166">
        <v>5</v>
      </c>
      <c r="D166" t="s">
        <v>93</v>
      </c>
      <c r="E166" t="s">
        <v>94</v>
      </c>
      <c r="F166" t="s">
        <v>95</v>
      </c>
      <c r="G166">
        <v>3.1058814808150401E-2</v>
      </c>
      <c r="H166">
        <v>2E+20</v>
      </c>
      <c r="I166">
        <v>0</v>
      </c>
      <c r="J166">
        <v>0.2</v>
      </c>
      <c r="K166">
        <v>0.1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30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2.3718114155243601E-2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4.8583931724403701E-2</v>
      </c>
      <c r="U166">
        <f>IF((ContinuousStatsTable[[#This Row],[RepsRequested]]&gt;1),ContinuousStatsTable[[#This Row],[HalfWidth]],ContinuousStatsTable[[#This Row],[BatchMeansHalfWidth]])</f>
        <v>2.4839579632442289E-3</v>
      </c>
    </row>
    <row r="167" spans="1:21" x14ac:dyDescent="0.3">
      <c r="A167" t="s">
        <v>66</v>
      </c>
      <c r="B167" t="s">
        <v>68</v>
      </c>
      <c r="C167">
        <v>5</v>
      </c>
      <c r="D167" t="s">
        <v>93</v>
      </c>
      <c r="E167" t="s">
        <v>96</v>
      </c>
      <c r="F167" t="s">
        <v>95</v>
      </c>
      <c r="G167">
        <v>0.62117629616300796</v>
      </c>
      <c r="H167">
        <v>2E+20</v>
      </c>
      <c r="I167">
        <v>0</v>
      </c>
      <c r="J167">
        <v>4</v>
      </c>
      <c r="K167">
        <v>2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30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0.47436228310487299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0.97167863448807401</v>
      </c>
      <c r="U167">
        <f>IF((ContinuousStatsTable[[#This Row],[RepsRequested]]&gt;1),ContinuousStatsTable[[#This Row],[HalfWidth]],ContinuousStatsTable[[#This Row],[BatchMeansHalfWidth]])</f>
        <v>4.9679159264885281E-2</v>
      </c>
    </row>
    <row r="168" spans="1:21" x14ac:dyDescent="0.3">
      <c r="A168" t="s">
        <v>66</v>
      </c>
      <c r="B168" t="s">
        <v>68</v>
      </c>
      <c r="C168">
        <v>5</v>
      </c>
      <c r="D168" t="s">
        <v>93</v>
      </c>
      <c r="E168" t="s">
        <v>97</v>
      </c>
      <c r="F168" t="s">
        <v>95</v>
      </c>
      <c r="G168">
        <v>20</v>
      </c>
      <c r="H168">
        <v>2E+20</v>
      </c>
      <c r="I168">
        <v>20</v>
      </c>
      <c r="J168">
        <v>20</v>
      </c>
      <c r="K168">
        <v>20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30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20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0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20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20</v>
      </c>
      <c r="U168">
        <f>IF((ContinuousStatsTable[[#This Row],[RepsRequested]]&gt;1),ContinuousStatsTable[[#This Row],[HalfWidth]],ContinuousStatsTable[[#This Row],[BatchMeansHalfWidth]])</f>
        <v>0</v>
      </c>
    </row>
    <row r="169" spans="1:21" x14ac:dyDescent="0.3">
      <c r="A169" t="s">
        <v>66</v>
      </c>
      <c r="B169" t="s">
        <v>68</v>
      </c>
      <c r="C169">
        <v>5</v>
      </c>
      <c r="D169" t="s">
        <v>98</v>
      </c>
      <c r="E169" t="s">
        <v>94</v>
      </c>
      <c r="F169" t="s">
        <v>95</v>
      </c>
      <c r="G169">
        <v>0.23077095315059301</v>
      </c>
      <c r="H169">
        <v>2E+20</v>
      </c>
      <c r="I169">
        <v>0</v>
      </c>
      <c r="J169">
        <v>0.8</v>
      </c>
      <c r="K169">
        <v>0.45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30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0.20767736113278101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0.28501162927715501</v>
      </c>
      <c r="U169">
        <f>IF((ContinuousStatsTable[[#This Row],[RepsRequested]]&gt;1),ContinuousStatsTable[[#This Row],[HalfWidth]],ContinuousStatsTable[[#This Row],[BatchMeansHalfWidth]])</f>
        <v>8.7273384073404715E-3</v>
      </c>
    </row>
    <row r="170" spans="1:21" x14ac:dyDescent="0.3">
      <c r="A170" t="s">
        <v>66</v>
      </c>
      <c r="B170" t="s">
        <v>68</v>
      </c>
      <c r="C170">
        <v>5</v>
      </c>
      <c r="D170" t="s">
        <v>98</v>
      </c>
      <c r="E170" t="s">
        <v>96</v>
      </c>
      <c r="F170" t="s">
        <v>95</v>
      </c>
      <c r="G170">
        <v>4.6154190630118599</v>
      </c>
      <c r="H170">
        <v>2E+20</v>
      </c>
      <c r="I170">
        <v>0</v>
      </c>
      <c r="J170">
        <v>16</v>
      </c>
      <c r="K170">
        <v>9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30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4.15354722265561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5.7002325855431097</v>
      </c>
      <c r="U170">
        <f>IF((ContinuousStatsTable[[#This Row],[RepsRequested]]&gt;1),ContinuousStatsTable[[#This Row],[HalfWidth]],ContinuousStatsTable[[#This Row],[BatchMeansHalfWidth]])</f>
        <v>0.17454676814681078</v>
      </c>
    </row>
    <row r="171" spans="1:21" x14ac:dyDescent="0.3">
      <c r="A171" t="s">
        <v>66</v>
      </c>
      <c r="B171" t="s">
        <v>68</v>
      </c>
      <c r="C171">
        <v>5</v>
      </c>
      <c r="D171" t="s">
        <v>98</v>
      </c>
      <c r="E171" t="s">
        <v>97</v>
      </c>
      <c r="F171" t="s">
        <v>95</v>
      </c>
      <c r="G171">
        <v>20</v>
      </c>
      <c r="H171">
        <v>2E+20</v>
      </c>
      <c r="I171">
        <v>20</v>
      </c>
      <c r="J171">
        <v>20</v>
      </c>
      <c r="K171">
        <v>20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30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20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20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20</v>
      </c>
      <c r="U171">
        <f>IF((ContinuousStatsTable[[#This Row],[RepsRequested]]&gt;1),ContinuousStatsTable[[#This Row],[HalfWidth]],ContinuousStatsTable[[#This Row],[BatchMeansHalfWidth]])</f>
        <v>0</v>
      </c>
    </row>
    <row r="172" spans="1:21" x14ac:dyDescent="0.3">
      <c r="A172" t="s">
        <v>66</v>
      </c>
      <c r="B172" t="s">
        <v>68</v>
      </c>
      <c r="C172">
        <v>5</v>
      </c>
      <c r="D172" t="s">
        <v>99</v>
      </c>
      <c r="E172" t="s">
        <v>94</v>
      </c>
      <c r="F172" t="s">
        <v>95</v>
      </c>
      <c r="G172">
        <v>0.517215348442703</v>
      </c>
      <c r="H172">
        <v>2E+20</v>
      </c>
      <c r="I172">
        <v>0</v>
      </c>
      <c r="J172">
        <v>1</v>
      </c>
      <c r="K172">
        <v>1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30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0.517215348442703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0.67770389283754395</v>
      </c>
      <c r="U172">
        <f>IF((ContinuousStatsTable[[#This Row],[RepsRequested]]&gt;1),ContinuousStatsTable[[#This Row],[HalfWidth]],ContinuousStatsTable[[#This Row],[BatchMeansHalfWidth]])</f>
        <v>1.8059192833960565E-2</v>
      </c>
    </row>
    <row r="173" spans="1:21" x14ac:dyDescent="0.3">
      <c r="A173" t="s">
        <v>66</v>
      </c>
      <c r="B173" t="s">
        <v>68</v>
      </c>
      <c r="C173">
        <v>5</v>
      </c>
      <c r="D173" t="s">
        <v>99</v>
      </c>
      <c r="E173" t="s">
        <v>96</v>
      </c>
      <c r="F173" t="s">
        <v>95</v>
      </c>
      <c r="G173">
        <v>5.1721534844270298</v>
      </c>
      <c r="H173">
        <v>2E+20</v>
      </c>
      <c r="I173">
        <v>0</v>
      </c>
      <c r="J173">
        <v>10</v>
      </c>
      <c r="K173">
        <v>10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30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5.1721534844270298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6.7770389283754398</v>
      </c>
      <c r="U173">
        <f>IF((ContinuousStatsTable[[#This Row],[RepsRequested]]&gt;1),ContinuousStatsTable[[#This Row],[HalfWidth]],ContinuousStatsTable[[#This Row],[BatchMeansHalfWidth]])</f>
        <v>0.18059192833960558</v>
      </c>
    </row>
    <row r="174" spans="1:21" x14ac:dyDescent="0.3">
      <c r="A174" t="s">
        <v>66</v>
      </c>
      <c r="B174" t="s">
        <v>68</v>
      </c>
      <c r="C174">
        <v>5</v>
      </c>
      <c r="D174" t="s">
        <v>99</v>
      </c>
      <c r="E174" t="s">
        <v>97</v>
      </c>
      <c r="F174" t="s">
        <v>95</v>
      </c>
      <c r="G174">
        <v>10</v>
      </c>
      <c r="H174">
        <v>2E+20</v>
      </c>
      <c r="I174">
        <v>10</v>
      </c>
      <c r="J174">
        <v>10</v>
      </c>
      <c r="K174">
        <v>10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30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10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10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10</v>
      </c>
      <c r="U174">
        <f>IF((ContinuousStatsTable[[#This Row],[RepsRequested]]&gt;1),ContinuousStatsTable[[#This Row],[HalfWidth]],ContinuousStatsTable[[#This Row],[BatchMeansHalfWidth]])</f>
        <v>0</v>
      </c>
    </row>
    <row r="175" spans="1:21" x14ac:dyDescent="0.3">
      <c r="A175" t="s">
        <v>66</v>
      </c>
      <c r="B175" t="s">
        <v>68</v>
      </c>
      <c r="C175">
        <v>5</v>
      </c>
      <c r="D175" t="s">
        <v>100</v>
      </c>
      <c r="E175" t="s">
        <v>94</v>
      </c>
      <c r="F175" t="s">
        <v>95</v>
      </c>
      <c r="G175">
        <v>0.15393301977749099</v>
      </c>
      <c r="H175">
        <v>2E+20</v>
      </c>
      <c r="I175">
        <v>0</v>
      </c>
      <c r="J175">
        <v>0.32</v>
      </c>
      <c r="K175">
        <v>0.1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30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0.14484829778125299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0.19609322315655101</v>
      </c>
      <c r="U175">
        <f>IF((ContinuousStatsTable[[#This Row],[RepsRequested]]&gt;1),ContinuousStatsTable[[#This Row],[HalfWidth]],ContinuousStatsTable[[#This Row],[BatchMeansHalfWidth]])</f>
        <v>4.9714113556225048E-3</v>
      </c>
    </row>
    <row r="176" spans="1:21" x14ac:dyDescent="0.3">
      <c r="A176" t="s">
        <v>66</v>
      </c>
      <c r="B176" t="s">
        <v>68</v>
      </c>
      <c r="C176">
        <v>5</v>
      </c>
      <c r="D176" t="s">
        <v>100</v>
      </c>
      <c r="E176" t="s">
        <v>96</v>
      </c>
      <c r="F176" t="s">
        <v>95</v>
      </c>
      <c r="G176">
        <v>7.6966509888745396</v>
      </c>
      <c r="H176">
        <v>2E+20</v>
      </c>
      <c r="I176">
        <v>0</v>
      </c>
      <c r="J176">
        <v>16</v>
      </c>
      <c r="K176">
        <v>5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30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7.2424148890626396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9.8046611578275602</v>
      </c>
      <c r="U176">
        <f>IF((ContinuousStatsTable[[#This Row],[RepsRequested]]&gt;1),ContinuousStatsTable[[#This Row],[HalfWidth]],ContinuousStatsTable[[#This Row],[BatchMeansHalfWidth]])</f>
        <v>0.24857056778112663</v>
      </c>
    </row>
    <row r="177" spans="1:21" x14ac:dyDescent="0.3">
      <c r="A177" t="s">
        <v>66</v>
      </c>
      <c r="B177" t="s">
        <v>68</v>
      </c>
      <c r="C177">
        <v>5</v>
      </c>
      <c r="D177" t="s">
        <v>100</v>
      </c>
      <c r="E177" t="s">
        <v>97</v>
      </c>
      <c r="F177" t="s">
        <v>95</v>
      </c>
      <c r="G177">
        <v>50</v>
      </c>
      <c r="H177">
        <v>2E+20</v>
      </c>
      <c r="I177">
        <v>50</v>
      </c>
      <c r="J177">
        <v>50</v>
      </c>
      <c r="K177">
        <v>50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30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50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50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50</v>
      </c>
      <c r="U177">
        <f>IF((ContinuousStatsTable[[#This Row],[RepsRequested]]&gt;1),ContinuousStatsTable[[#This Row],[HalfWidth]],ContinuousStatsTable[[#This Row],[BatchMeansHalfWidth]])</f>
        <v>0</v>
      </c>
    </row>
    <row r="178" spans="1:21" x14ac:dyDescent="0.3">
      <c r="A178" t="s">
        <v>66</v>
      </c>
      <c r="B178" t="s">
        <v>68</v>
      </c>
      <c r="C178">
        <v>5</v>
      </c>
      <c r="D178" t="s">
        <v>101</v>
      </c>
      <c r="E178" t="s">
        <v>94</v>
      </c>
      <c r="F178" t="s">
        <v>95</v>
      </c>
      <c r="G178">
        <v>8.6372494314967199E-2</v>
      </c>
      <c r="H178">
        <v>2E+20</v>
      </c>
      <c r="I178">
        <v>0</v>
      </c>
      <c r="J178">
        <v>0.4</v>
      </c>
      <c r="K178">
        <v>6.6666666666666693E-2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30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7.4778736536586704E-2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0.111025455742452</v>
      </c>
      <c r="U178">
        <f>IF((ContinuousStatsTable[[#This Row],[RepsRequested]]&gt;1),ContinuousStatsTable[[#This Row],[HalfWidth]],ContinuousStatsTable[[#This Row],[BatchMeansHalfWidth]])</f>
        <v>4.1821462690338805E-3</v>
      </c>
    </row>
    <row r="179" spans="1:21" x14ac:dyDescent="0.3">
      <c r="A179" t="s">
        <v>66</v>
      </c>
      <c r="B179" t="s">
        <v>68</v>
      </c>
      <c r="C179">
        <v>5</v>
      </c>
      <c r="D179" t="s">
        <v>101</v>
      </c>
      <c r="E179" t="s">
        <v>96</v>
      </c>
      <c r="F179" t="s">
        <v>95</v>
      </c>
      <c r="G179">
        <v>1.2955874147245099</v>
      </c>
      <c r="H179">
        <v>2E+20</v>
      </c>
      <c r="I179">
        <v>0</v>
      </c>
      <c r="J179">
        <v>6</v>
      </c>
      <c r="K179">
        <v>1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30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1.1216810480488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1.66538183613678</v>
      </c>
      <c r="U179">
        <f>IF((ContinuousStatsTable[[#This Row],[RepsRequested]]&gt;1),ContinuousStatsTable[[#This Row],[HalfWidth]],ContinuousStatsTable[[#This Row],[BatchMeansHalfWidth]])</f>
        <v>6.2732194035507963E-2</v>
      </c>
    </row>
    <row r="180" spans="1:21" x14ac:dyDescent="0.3">
      <c r="A180" t="s">
        <v>66</v>
      </c>
      <c r="B180" t="s">
        <v>68</v>
      </c>
      <c r="C180">
        <v>5</v>
      </c>
      <c r="D180" t="s">
        <v>101</v>
      </c>
      <c r="E180" t="s">
        <v>97</v>
      </c>
      <c r="F180" t="s">
        <v>95</v>
      </c>
      <c r="G180">
        <v>15</v>
      </c>
      <c r="H180">
        <v>2E+20</v>
      </c>
      <c r="I180">
        <v>15</v>
      </c>
      <c r="J180">
        <v>15</v>
      </c>
      <c r="K180">
        <v>15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30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15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15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15</v>
      </c>
      <c r="U180">
        <f>IF((ContinuousStatsTable[[#This Row],[RepsRequested]]&gt;1),ContinuousStatsTable[[#This Row],[HalfWidth]],ContinuousStatsTable[[#This Row],[BatchMeansHalfWidth]])</f>
        <v>0</v>
      </c>
    </row>
    <row r="181" spans="1:21" x14ac:dyDescent="0.3">
      <c r="A181" t="s">
        <v>66</v>
      </c>
      <c r="B181" t="s">
        <v>68</v>
      </c>
      <c r="C181">
        <v>5</v>
      </c>
      <c r="D181" t="s">
        <v>102</v>
      </c>
      <c r="E181" t="s">
        <v>94</v>
      </c>
      <c r="F181" t="s">
        <v>95</v>
      </c>
      <c r="G181">
        <v>0.79073777826139502</v>
      </c>
      <c r="H181">
        <v>2E+20</v>
      </c>
      <c r="I181">
        <v>0</v>
      </c>
      <c r="J181">
        <v>1</v>
      </c>
      <c r="K181">
        <v>1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30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0.73673947391417804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0.90592850818388704</v>
      </c>
      <c r="U181">
        <f>IF((ContinuousStatsTable[[#This Row],[RepsRequested]]&gt;1),ContinuousStatsTable[[#This Row],[HalfWidth]],ContinuousStatsTable[[#This Row],[BatchMeansHalfWidth]])</f>
        <v>1.8636241798384946E-2</v>
      </c>
    </row>
    <row r="182" spans="1:21" x14ac:dyDescent="0.3">
      <c r="A182" t="s">
        <v>66</v>
      </c>
      <c r="B182" t="s">
        <v>68</v>
      </c>
      <c r="C182">
        <v>5</v>
      </c>
      <c r="D182" t="s">
        <v>102</v>
      </c>
      <c r="E182" t="s">
        <v>96</v>
      </c>
      <c r="F182" t="s">
        <v>95</v>
      </c>
      <c r="G182">
        <v>1.47959740437836</v>
      </c>
      <c r="H182">
        <v>2E+20</v>
      </c>
      <c r="I182">
        <v>0</v>
      </c>
      <c r="J182">
        <v>3</v>
      </c>
      <c r="K182">
        <v>3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30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1.3726163545041801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1.7968913949876599</v>
      </c>
      <c r="U182" s="5">
        <f>IF((ContinuousStatsTable[[#This Row],[RepsRequested]]&gt;1),ContinuousStatsTable[[#This Row],[HalfWidth]],ContinuousStatsTable[[#This Row],[BatchMeansHalfWidth]])</f>
        <v>4.3123628688677348E-2</v>
      </c>
    </row>
    <row r="183" spans="1:21" x14ac:dyDescent="0.3">
      <c r="A183" t="s">
        <v>66</v>
      </c>
      <c r="B183" t="s">
        <v>68</v>
      </c>
      <c r="C183">
        <v>5</v>
      </c>
      <c r="D183" t="s">
        <v>102</v>
      </c>
      <c r="E183" t="s">
        <v>97</v>
      </c>
      <c r="F183" t="s">
        <v>95</v>
      </c>
      <c r="G183">
        <v>2</v>
      </c>
      <c r="H183">
        <v>2E+20</v>
      </c>
      <c r="I183">
        <v>1</v>
      </c>
      <c r="J183">
        <v>3</v>
      </c>
      <c r="K183">
        <v>1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30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2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2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3">
      <c r="A184" t="s">
        <v>66</v>
      </c>
      <c r="B184" t="s">
        <v>68</v>
      </c>
      <c r="C184">
        <v>5</v>
      </c>
      <c r="D184" t="s">
        <v>84</v>
      </c>
      <c r="E184" t="s">
        <v>103</v>
      </c>
      <c r="F184" t="s">
        <v>86</v>
      </c>
      <c r="G184">
        <v>40.8463834456009</v>
      </c>
      <c r="H184">
        <v>2E+20</v>
      </c>
      <c r="I184">
        <v>0</v>
      </c>
      <c r="J184">
        <v>61</v>
      </c>
      <c r="K184">
        <v>58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30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36.709886237305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84.594951996708403</v>
      </c>
      <c r="U184" s="5">
        <f>IF((ContinuousStatsTable[[#This Row],[RepsRequested]]&gt;1),ContinuousStatsTable[[#This Row],[HalfWidth]],ContinuousStatsTable[[#This Row],[BatchMeansHalfWidth]])</f>
        <v>4.0384933567271259</v>
      </c>
    </row>
    <row r="185" spans="1:21" x14ac:dyDescent="0.3">
      <c r="A185" t="s">
        <v>66</v>
      </c>
      <c r="B185" t="s">
        <v>68</v>
      </c>
      <c r="C185">
        <v>5</v>
      </c>
      <c r="D185" t="s">
        <v>104</v>
      </c>
      <c r="E185" t="s">
        <v>94</v>
      </c>
      <c r="F185" t="s">
        <v>95</v>
      </c>
      <c r="G185">
        <v>0</v>
      </c>
      <c r="H185">
        <v>2E+20</v>
      </c>
      <c r="I185">
        <v>0</v>
      </c>
      <c r="J185">
        <v>0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30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</v>
      </c>
      <c r="U185" s="5">
        <f>IF((ContinuousStatsTable[[#This Row],[RepsRequested]]&gt;1),ContinuousStatsTable[[#This Row],[HalfWidth]],ContinuousStatsTable[[#This Row],[BatchMeansHalfWidth]])</f>
        <v>0</v>
      </c>
    </row>
    <row r="186" spans="1:21" x14ac:dyDescent="0.3">
      <c r="A186" t="s">
        <v>66</v>
      </c>
      <c r="B186" t="s">
        <v>68</v>
      </c>
      <c r="C186">
        <v>5</v>
      </c>
      <c r="D186" t="s">
        <v>104</v>
      </c>
      <c r="E186" t="s">
        <v>96</v>
      </c>
      <c r="F186" t="s">
        <v>95</v>
      </c>
      <c r="G186">
        <v>0</v>
      </c>
      <c r="H186">
        <v>2E+20</v>
      </c>
      <c r="I186">
        <v>0</v>
      </c>
      <c r="J186">
        <v>0</v>
      </c>
      <c r="K186">
        <v>0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30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</v>
      </c>
      <c r="U186" s="5">
        <f>IF((ContinuousStatsTable[[#This Row],[RepsRequested]]&gt;1),ContinuousStatsTable[[#This Row],[HalfWidth]],ContinuousStatsTable[[#This Row],[BatchMeansHalfWidth]])</f>
        <v>0</v>
      </c>
    </row>
    <row r="187" spans="1:21" x14ac:dyDescent="0.3">
      <c r="A187" t="s">
        <v>66</v>
      </c>
      <c r="B187" t="s">
        <v>68</v>
      </c>
      <c r="C187">
        <v>5</v>
      </c>
      <c r="D187" t="s">
        <v>104</v>
      </c>
      <c r="E187" t="s">
        <v>97</v>
      </c>
      <c r="F187" t="s">
        <v>95</v>
      </c>
      <c r="G187">
        <v>3</v>
      </c>
      <c r="H187">
        <v>2E+20</v>
      </c>
      <c r="I187">
        <v>3</v>
      </c>
      <c r="J187">
        <v>3</v>
      </c>
      <c r="K187">
        <v>3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30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3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3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3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3">
      <c r="A188" t="s">
        <v>66</v>
      </c>
      <c r="B188" t="s">
        <v>68</v>
      </c>
      <c r="C188">
        <v>5</v>
      </c>
      <c r="D188" t="s">
        <v>105</v>
      </c>
      <c r="E188" t="s">
        <v>94</v>
      </c>
      <c r="F188" t="s">
        <v>95</v>
      </c>
      <c r="G188">
        <v>0.68101151474133004</v>
      </c>
      <c r="H188">
        <v>2E+20</v>
      </c>
      <c r="I188">
        <v>0</v>
      </c>
      <c r="J188">
        <v>1</v>
      </c>
      <c r="K188">
        <v>1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30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0.634589476164233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0.99383259650362799</v>
      </c>
      <c r="U188" s="5">
        <f>IF((ContinuousStatsTable[[#This Row],[RepsRequested]]&gt;1),ContinuousStatsTable[[#This Row],[HalfWidth]],ContinuousStatsTable[[#This Row],[BatchMeansHalfWidth]])</f>
        <v>3.9940526897700258E-2</v>
      </c>
    </row>
    <row r="189" spans="1:21" x14ac:dyDescent="0.3">
      <c r="A189" t="s">
        <v>66</v>
      </c>
      <c r="B189" t="s">
        <v>68</v>
      </c>
      <c r="C189">
        <v>5</v>
      </c>
      <c r="D189" t="s">
        <v>105</v>
      </c>
      <c r="E189" t="s">
        <v>96</v>
      </c>
      <c r="F189" t="s">
        <v>95</v>
      </c>
      <c r="G189">
        <v>0.68101151474133004</v>
      </c>
      <c r="H189">
        <v>2E+20</v>
      </c>
      <c r="I189">
        <v>0</v>
      </c>
      <c r="J189">
        <v>1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30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0.634589476164233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0.99383259650362799</v>
      </c>
      <c r="U189" s="5">
        <f>IF((ContinuousStatsTable[[#This Row],[RepsRequested]]&gt;1),ContinuousStatsTable[[#This Row],[HalfWidth]],ContinuousStatsTable[[#This Row],[BatchMeansHalfWidth]])</f>
        <v>3.9940526897700258E-2</v>
      </c>
    </row>
    <row r="190" spans="1:21" x14ac:dyDescent="0.3">
      <c r="A190" t="s">
        <v>66</v>
      </c>
      <c r="B190" t="s">
        <v>68</v>
      </c>
      <c r="C190">
        <v>5</v>
      </c>
      <c r="D190" t="s">
        <v>105</v>
      </c>
      <c r="E190" t="s">
        <v>97</v>
      </c>
      <c r="F190" t="s">
        <v>95</v>
      </c>
      <c r="G190">
        <v>1</v>
      </c>
      <c r="H190">
        <v>2E+20</v>
      </c>
      <c r="I190">
        <v>1</v>
      </c>
      <c r="J190">
        <v>1</v>
      </c>
      <c r="K190">
        <v>1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30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1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1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1</v>
      </c>
      <c r="U190" s="5">
        <f>IF((ContinuousStatsTable[[#This Row],[RepsRequested]]&gt;1),ContinuousStatsTable[[#This Row],[HalfWidth]],ContinuousStatsTable[[#This Row],[BatchMeansHalfWidth]])</f>
        <v>0</v>
      </c>
    </row>
    <row r="191" spans="1:21" x14ac:dyDescent="0.3">
      <c r="A191" t="s">
        <v>66</v>
      </c>
      <c r="B191" t="s">
        <v>68</v>
      </c>
      <c r="C191">
        <v>5</v>
      </c>
      <c r="D191" t="s">
        <v>106</v>
      </c>
      <c r="E191" t="s">
        <v>94</v>
      </c>
      <c r="F191" t="s">
        <v>95</v>
      </c>
      <c r="G191">
        <v>0.74061105631083801</v>
      </c>
      <c r="H191">
        <v>2E+20</v>
      </c>
      <c r="I191">
        <v>0</v>
      </c>
      <c r="J191">
        <v>1</v>
      </c>
      <c r="K191">
        <v>1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30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0.74061105631083801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0.99245161744166299</v>
      </c>
      <c r="U191" s="5">
        <f>IF((ContinuousStatsTable[[#This Row],[RepsRequested]]&gt;1),ContinuousStatsTable[[#This Row],[HalfWidth]],ContinuousStatsTable[[#This Row],[BatchMeansHalfWidth]])</f>
        <v>2.8912497794626357E-2</v>
      </c>
    </row>
    <row r="192" spans="1:21" x14ac:dyDescent="0.3">
      <c r="A192" t="s">
        <v>66</v>
      </c>
      <c r="B192" t="s">
        <v>68</v>
      </c>
      <c r="C192">
        <v>5</v>
      </c>
      <c r="D192" t="s">
        <v>106</v>
      </c>
      <c r="E192" t="s">
        <v>96</v>
      </c>
      <c r="F192" t="s">
        <v>95</v>
      </c>
      <c r="G192">
        <v>0.74061105631083801</v>
      </c>
      <c r="H192">
        <v>2E+20</v>
      </c>
      <c r="I192">
        <v>0</v>
      </c>
      <c r="J192">
        <v>1</v>
      </c>
      <c r="K192">
        <v>1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30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0.74061105631083801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0.99245161744166299</v>
      </c>
      <c r="U192" s="5">
        <f>IF((ContinuousStatsTable[[#This Row],[RepsRequested]]&gt;1),ContinuousStatsTable[[#This Row],[HalfWidth]],ContinuousStatsTable[[#This Row],[BatchMeansHalfWidth]])</f>
        <v>2.8912497794626357E-2</v>
      </c>
    </row>
    <row r="193" spans="1:21" x14ac:dyDescent="0.3">
      <c r="A193" t="s">
        <v>66</v>
      </c>
      <c r="B193" t="s">
        <v>68</v>
      </c>
      <c r="C193">
        <v>5</v>
      </c>
      <c r="D193" t="s">
        <v>106</v>
      </c>
      <c r="E193" t="s">
        <v>97</v>
      </c>
      <c r="F193" t="s">
        <v>95</v>
      </c>
      <c r="G193">
        <v>1</v>
      </c>
      <c r="H193">
        <v>2E+20</v>
      </c>
      <c r="I193">
        <v>1</v>
      </c>
      <c r="J193">
        <v>1</v>
      </c>
      <c r="K193">
        <v>1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30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1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1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1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3">
      <c r="A194" t="s">
        <v>66</v>
      </c>
      <c r="B194" t="s">
        <v>68</v>
      </c>
      <c r="C194">
        <v>5</v>
      </c>
      <c r="D194" t="s">
        <v>107</v>
      </c>
      <c r="E194" t="s">
        <v>94</v>
      </c>
      <c r="F194" t="s">
        <v>95</v>
      </c>
      <c r="G194">
        <v>0.77153842336211698</v>
      </c>
      <c r="H194">
        <v>2E+20</v>
      </c>
      <c r="I194">
        <v>0</v>
      </c>
      <c r="J194">
        <v>1</v>
      </c>
      <c r="K194">
        <v>1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30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0.73843386001690303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0.99245161744166299</v>
      </c>
      <c r="U194" s="5">
        <f>IF((ContinuousStatsTable[[#This Row],[RepsRequested]]&gt;1),ContinuousStatsTable[[#This Row],[HalfWidth]],ContinuousStatsTable[[#This Row],[BatchMeansHalfWidth]])</f>
        <v>2.6057642646860522E-2</v>
      </c>
    </row>
    <row r="195" spans="1:21" x14ac:dyDescent="0.3">
      <c r="A195" t="s">
        <v>66</v>
      </c>
      <c r="B195" t="s">
        <v>68</v>
      </c>
      <c r="C195">
        <v>5</v>
      </c>
      <c r="D195" t="s">
        <v>107</v>
      </c>
      <c r="E195" t="s">
        <v>96</v>
      </c>
      <c r="F195" t="s">
        <v>95</v>
      </c>
      <c r="G195">
        <v>0.77153842336211698</v>
      </c>
      <c r="H195">
        <v>2E+20</v>
      </c>
      <c r="I195">
        <v>0</v>
      </c>
      <c r="J195">
        <v>1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30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0.73843386001690303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0.99245161744166299</v>
      </c>
      <c r="U195" s="5">
        <f>IF((ContinuousStatsTable[[#This Row],[RepsRequested]]&gt;1),ContinuousStatsTable[[#This Row],[HalfWidth]],ContinuousStatsTable[[#This Row],[BatchMeansHalfWidth]])</f>
        <v>2.6057642646860522E-2</v>
      </c>
    </row>
    <row r="196" spans="1:21" x14ac:dyDescent="0.3">
      <c r="A196" t="s">
        <v>66</v>
      </c>
      <c r="B196" t="s">
        <v>68</v>
      </c>
      <c r="C196">
        <v>5</v>
      </c>
      <c r="D196" t="s">
        <v>107</v>
      </c>
      <c r="E196" t="s">
        <v>97</v>
      </c>
      <c r="F196" t="s">
        <v>95</v>
      </c>
      <c r="G196">
        <v>1</v>
      </c>
      <c r="H196">
        <v>2E+20</v>
      </c>
      <c r="I196">
        <v>1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30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1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1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1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3">
      <c r="A197" t="s">
        <v>66</v>
      </c>
      <c r="B197" t="s">
        <v>68</v>
      </c>
      <c r="C197">
        <v>6</v>
      </c>
      <c r="D197" t="s">
        <v>69</v>
      </c>
      <c r="E197" t="s">
        <v>92</v>
      </c>
      <c r="F197" t="s">
        <v>71</v>
      </c>
      <c r="G197">
        <v>5.42025503062301</v>
      </c>
      <c r="H197">
        <v>2E+20</v>
      </c>
      <c r="I197">
        <v>0</v>
      </c>
      <c r="J197">
        <v>27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30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2.2853775994771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9.3827575078214593</v>
      </c>
      <c r="U197" s="5">
        <f>IF((ContinuousStatsTable[[#This Row],[RepsRequested]]&gt;1),ContinuousStatsTable[[#This Row],[HalfWidth]],ContinuousStatsTable[[#This Row],[BatchMeansHalfWidth]])</f>
        <v>0.70373665421471332</v>
      </c>
    </row>
    <row r="198" spans="1:21" x14ac:dyDescent="0.3">
      <c r="A198" t="s">
        <v>66</v>
      </c>
      <c r="B198" t="s">
        <v>68</v>
      </c>
      <c r="C198">
        <v>6</v>
      </c>
      <c r="D198" t="s">
        <v>72</v>
      </c>
      <c r="E198" t="s">
        <v>92</v>
      </c>
      <c r="F198" t="s">
        <v>71</v>
      </c>
      <c r="G198">
        <v>3.4436733526075498</v>
      </c>
      <c r="H198">
        <v>2E+20</v>
      </c>
      <c r="I198">
        <v>0</v>
      </c>
      <c r="J198">
        <v>15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30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1.4754093813695901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8.0603747791942499</v>
      </c>
      <c r="U198" s="5">
        <f>IF((ContinuousStatsTable[[#This Row],[RepsRequested]]&gt;1),ContinuousStatsTable[[#This Row],[HalfWidth]],ContinuousStatsTable[[#This Row],[BatchMeansHalfWidth]])</f>
        <v>0.5936172943910426</v>
      </c>
    </row>
    <row r="199" spans="1:21" x14ac:dyDescent="0.3">
      <c r="A199" t="s">
        <v>66</v>
      </c>
      <c r="B199" t="s">
        <v>68</v>
      </c>
      <c r="C199">
        <v>6</v>
      </c>
      <c r="D199" t="s">
        <v>73</v>
      </c>
      <c r="E199" t="s">
        <v>92</v>
      </c>
      <c r="F199" t="s">
        <v>71</v>
      </c>
      <c r="G199">
        <v>3.4609540291409102</v>
      </c>
      <c r="H199">
        <v>2E+20</v>
      </c>
      <c r="I199">
        <v>0</v>
      </c>
      <c r="J199">
        <v>18</v>
      </c>
      <c r="K199">
        <v>11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30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1.3305593103954101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29.356614544212601</v>
      </c>
      <c r="U199" s="5">
        <f>IF((ContinuousStatsTable[[#This Row],[RepsRequested]]&gt;1),ContinuousStatsTable[[#This Row],[HalfWidth]],ContinuousStatsTable[[#This Row],[BatchMeansHalfWidth]])</f>
        <v>2.162177461749093</v>
      </c>
    </row>
    <row r="200" spans="1:21" x14ac:dyDescent="0.3">
      <c r="A200" t="s">
        <v>66</v>
      </c>
      <c r="B200" t="s">
        <v>68</v>
      </c>
      <c r="C200">
        <v>6</v>
      </c>
      <c r="D200" t="s">
        <v>74</v>
      </c>
      <c r="E200" t="s">
        <v>92</v>
      </c>
      <c r="F200" t="s">
        <v>71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30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3">
      <c r="A201" t="s">
        <v>66</v>
      </c>
      <c r="B201" t="s">
        <v>68</v>
      </c>
      <c r="C201">
        <v>6</v>
      </c>
      <c r="D201" t="s">
        <v>75</v>
      </c>
      <c r="E201" t="s">
        <v>92</v>
      </c>
      <c r="F201" t="s">
        <v>71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30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3">
      <c r="A202" t="s">
        <v>66</v>
      </c>
      <c r="B202" t="s">
        <v>68</v>
      </c>
      <c r="C202">
        <v>6</v>
      </c>
      <c r="D202" t="s">
        <v>76</v>
      </c>
      <c r="E202" t="s">
        <v>92</v>
      </c>
      <c r="F202" t="s">
        <v>71</v>
      </c>
      <c r="G202">
        <v>0.96023379604104697</v>
      </c>
      <c r="H202">
        <v>2E+20</v>
      </c>
      <c r="I202">
        <v>0</v>
      </c>
      <c r="J202">
        <v>10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30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4.5869485136026601E-2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4.1119263103435699</v>
      </c>
      <c r="U202" s="5">
        <f>IF((ContinuousStatsTable[[#This Row],[RepsRequested]]&gt;1),ContinuousStatsTable[[#This Row],[HalfWidth]],ContinuousStatsTable[[#This Row],[BatchMeansHalfWidth]])</f>
        <v>0.43252967563899991</v>
      </c>
    </row>
    <row r="203" spans="1:21" x14ac:dyDescent="0.3">
      <c r="A203" t="s">
        <v>66</v>
      </c>
      <c r="B203" t="s">
        <v>68</v>
      </c>
      <c r="C203">
        <v>6</v>
      </c>
      <c r="D203" t="s">
        <v>77</v>
      </c>
      <c r="E203" t="s">
        <v>92</v>
      </c>
      <c r="F203" t="s">
        <v>71</v>
      </c>
      <c r="G203">
        <v>0</v>
      </c>
      <c r="H203">
        <v>2E+20</v>
      </c>
      <c r="I203">
        <v>0</v>
      </c>
      <c r="J203">
        <v>0</v>
      </c>
      <c r="K203">
        <v>0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30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0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</v>
      </c>
      <c r="U203" s="5">
        <f>IF((ContinuousStatsTable[[#This Row],[RepsRequested]]&gt;1),ContinuousStatsTable[[#This Row],[HalfWidth]],ContinuousStatsTable[[#This Row],[BatchMeansHalfWidth]])</f>
        <v>0</v>
      </c>
    </row>
    <row r="204" spans="1:21" x14ac:dyDescent="0.3">
      <c r="A204" t="s">
        <v>66</v>
      </c>
      <c r="B204" t="s">
        <v>68</v>
      </c>
      <c r="C204">
        <v>6</v>
      </c>
      <c r="D204" t="s">
        <v>78</v>
      </c>
      <c r="E204" t="s">
        <v>92</v>
      </c>
      <c r="F204" t="s">
        <v>71</v>
      </c>
      <c r="G204">
        <v>0</v>
      </c>
      <c r="H204">
        <v>2E+20</v>
      </c>
      <c r="I204">
        <v>0</v>
      </c>
      <c r="J204">
        <v>0</v>
      </c>
      <c r="K204">
        <v>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30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0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0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0</v>
      </c>
      <c r="U204" s="5">
        <f>IF((ContinuousStatsTable[[#This Row],[RepsRequested]]&gt;1),ContinuousStatsTable[[#This Row],[HalfWidth]],ContinuousStatsTable[[#This Row],[BatchMeansHalfWidth]])</f>
        <v>0</v>
      </c>
    </row>
    <row r="205" spans="1:21" x14ac:dyDescent="0.3">
      <c r="A205" t="s">
        <v>66</v>
      </c>
      <c r="B205" t="s">
        <v>68</v>
      </c>
      <c r="C205">
        <v>6</v>
      </c>
      <c r="D205" t="s">
        <v>93</v>
      </c>
      <c r="E205" t="s">
        <v>94</v>
      </c>
      <c r="F205" t="s">
        <v>95</v>
      </c>
      <c r="G205">
        <v>3.8309903990688898E-2</v>
      </c>
      <c r="H205">
        <v>2E+20</v>
      </c>
      <c r="I205">
        <v>0</v>
      </c>
      <c r="J205">
        <v>0.15</v>
      </c>
      <c r="K205">
        <v>0.05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30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2.3718114155243601E-2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4.8583931724403701E-2</v>
      </c>
      <c r="U205" s="5">
        <f>IF((ContinuousStatsTable[[#This Row],[RepsRequested]]&gt;1),ContinuousStatsTable[[#This Row],[HalfWidth]],ContinuousStatsTable[[#This Row],[BatchMeansHalfWidth]])</f>
        <v>2.4839579632442289E-3</v>
      </c>
    </row>
    <row r="206" spans="1:21" x14ac:dyDescent="0.3">
      <c r="A206" t="s">
        <v>66</v>
      </c>
      <c r="B206" t="s">
        <v>68</v>
      </c>
      <c r="C206">
        <v>6</v>
      </c>
      <c r="D206" t="s">
        <v>93</v>
      </c>
      <c r="E206" t="s">
        <v>96</v>
      </c>
      <c r="F206" t="s">
        <v>95</v>
      </c>
      <c r="G206">
        <v>0.76619807981377797</v>
      </c>
      <c r="H206">
        <v>2E+20</v>
      </c>
      <c r="I206">
        <v>0</v>
      </c>
      <c r="J206">
        <v>3</v>
      </c>
      <c r="K206">
        <v>1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30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0.47436228310487299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0.97167863448807401</v>
      </c>
      <c r="U206" s="5">
        <f>IF((ContinuousStatsTable[[#This Row],[RepsRequested]]&gt;1),ContinuousStatsTable[[#This Row],[HalfWidth]],ContinuousStatsTable[[#This Row],[BatchMeansHalfWidth]])</f>
        <v>4.9679159264885281E-2</v>
      </c>
    </row>
    <row r="207" spans="1:21" x14ac:dyDescent="0.3">
      <c r="A207" t="s">
        <v>66</v>
      </c>
      <c r="B207" t="s">
        <v>68</v>
      </c>
      <c r="C207">
        <v>6</v>
      </c>
      <c r="D207" t="s">
        <v>93</v>
      </c>
      <c r="E207" t="s">
        <v>97</v>
      </c>
      <c r="F207" t="s">
        <v>95</v>
      </c>
      <c r="G207">
        <v>20</v>
      </c>
      <c r="H207">
        <v>2E+20</v>
      </c>
      <c r="I207">
        <v>20</v>
      </c>
      <c r="J207">
        <v>20</v>
      </c>
      <c r="K207">
        <v>20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30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20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20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20</v>
      </c>
      <c r="U207" s="5">
        <f>IF((ContinuousStatsTable[[#This Row],[RepsRequested]]&gt;1),ContinuousStatsTable[[#This Row],[HalfWidth]],ContinuousStatsTable[[#This Row],[BatchMeansHalfWidth]])</f>
        <v>0</v>
      </c>
    </row>
    <row r="208" spans="1:21" x14ac:dyDescent="0.3">
      <c r="A208" t="s">
        <v>66</v>
      </c>
      <c r="B208" t="s">
        <v>68</v>
      </c>
      <c r="C208">
        <v>6</v>
      </c>
      <c r="D208" t="s">
        <v>98</v>
      </c>
      <c r="E208" t="s">
        <v>94</v>
      </c>
      <c r="F208" t="s">
        <v>95</v>
      </c>
      <c r="G208">
        <v>0.25199689966710198</v>
      </c>
      <c r="H208">
        <v>2E+20</v>
      </c>
      <c r="I208">
        <v>0</v>
      </c>
      <c r="J208">
        <v>0.75</v>
      </c>
      <c r="K208">
        <v>0.2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30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0.20767736113278101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0.28501162927715501</v>
      </c>
      <c r="U208" s="5">
        <f>IF((ContinuousStatsTable[[#This Row],[RepsRequested]]&gt;1),ContinuousStatsTable[[#This Row],[HalfWidth]],ContinuousStatsTable[[#This Row],[BatchMeansHalfWidth]])</f>
        <v>8.7273384073404715E-3</v>
      </c>
    </row>
    <row r="209" spans="1:21" x14ac:dyDescent="0.3">
      <c r="A209" t="s">
        <v>66</v>
      </c>
      <c r="B209" t="s">
        <v>68</v>
      </c>
      <c r="C209">
        <v>6</v>
      </c>
      <c r="D209" t="s">
        <v>98</v>
      </c>
      <c r="E209" t="s">
        <v>96</v>
      </c>
      <c r="F209" t="s">
        <v>95</v>
      </c>
      <c r="G209">
        <v>5.0399379933420496</v>
      </c>
      <c r="H209">
        <v>2E+20</v>
      </c>
      <c r="I209">
        <v>0</v>
      </c>
      <c r="J209">
        <v>15</v>
      </c>
      <c r="K209">
        <v>4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30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4.15354722265561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5.7002325855431097</v>
      </c>
      <c r="U209" s="5">
        <f>IF((ContinuousStatsTable[[#This Row],[RepsRequested]]&gt;1),ContinuousStatsTable[[#This Row],[HalfWidth]],ContinuousStatsTable[[#This Row],[BatchMeansHalfWidth]])</f>
        <v>0.17454676814681078</v>
      </c>
    </row>
    <row r="210" spans="1:21" x14ac:dyDescent="0.3">
      <c r="A210" t="s">
        <v>66</v>
      </c>
      <c r="B210" t="s">
        <v>68</v>
      </c>
      <c r="C210">
        <v>6</v>
      </c>
      <c r="D210" t="s">
        <v>98</v>
      </c>
      <c r="E210" t="s">
        <v>97</v>
      </c>
      <c r="F210" t="s">
        <v>95</v>
      </c>
      <c r="G210">
        <v>20</v>
      </c>
      <c r="H210">
        <v>2E+20</v>
      </c>
      <c r="I210">
        <v>20</v>
      </c>
      <c r="J210">
        <v>20</v>
      </c>
      <c r="K210">
        <v>20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30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20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20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20</v>
      </c>
      <c r="U210" s="5">
        <f>IF((ContinuousStatsTable[[#This Row],[RepsRequested]]&gt;1),ContinuousStatsTable[[#This Row],[HalfWidth]],ContinuousStatsTable[[#This Row],[BatchMeansHalfWidth]])</f>
        <v>0</v>
      </c>
    </row>
    <row r="211" spans="1:21" x14ac:dyDescent="0.3">
      <c r="A211" t="s">
        <v>66</v>
      </c>
      <c r="B211" t="s">
        <v>68</v>
      </c>
      <c r="C211">
        <v>6</v>
      </c>
      <c r="D211" t="s">
        <v>99</v>
      </c>
      <c r="E211" t="s">
        <v>94</v>
      </c>
      <c r="F211" t="s">
        <v>95</v>
      </c>
      <c r="G211">
        <v>0.57034814605345796</v>
      </c>
      <c r="H211">
        <v>2E+20</v>
      </c>
      <c r="I211">
        <v>0</v>
      </c>
      <c r="J211">
        <v>1</v>
      </c>
      <c r="K211">
        <v>0.9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30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0.517215348442703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0.67770389283754395</v>
      </c>
      <c r="U211" s="5">
        <f>IF((ContinuousStatsTable[[#This Row],[RepsRequested]]&gt;1),ContinuousStatsTable[[#This Row],[HalfWidth]],ContinuousStatsTable[[#This Row],[BatchMeansHalfWidth]])</f>
        <v>1.8059192833960565E-2</v>
      </c>
    </row>
    <row r="212" spans="1:21" x14ac:dyDescent="0.3">
      <c r="A212" t="s">
        <v>66</v>
      </c>
      <c r="B212" t="s">
        <v>68</v>
      </c>
      <c r="C212">
        <v>6</v>
      </c>
      <c r="D212" t="s">
        <v>99</v>
      </c>
      <c r="E212" t="s">
        <v>96</v>
      </c>
      <c r="F212" t="s">
        <v>95</v>
      </c>
      <c r="G212">
        <v>5.7034814605345803</v>
      </c>
      <c r="H212">
        <v>2E+20</v>
      </c>
      <c r="I212">
        <v>0</v>
      </c>
      <c r="J212">
        <v>10</v>
      </c>
      <c r="K212">
        <v>9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30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5.1721534844270298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6.7770389283754398</v>
      </c>
      <c r="U212" s="5">
        <f>IF((ContinuousStatsTable[[#This Row],[RepsRequested]]&gt;1),ContinuousStatsTable[[#This Row],[HalfWidth]],ContinuousStatsTable[[#This Row],[BatchMeansHalfWidth]])</f>
        <v>0.18059192833960558</v>
      </c>
    </row>
    <row r="213" spans="1:21" x14ac:dyDescent="0.3">
      <c r="A213" t="s">
        <v>66</v>
      </c>
      <c r="B213" t="s">
        <v>68</v>
      </c>
      <c r="C213">
        <v>6</v>
      </c>
      <c r="D213" t="s">
        <v>99</v>
      </c>
      <c r="E213" t="s">
        <v>97</v>
      </c>
      <c r="F213" t="s">
        <v>95</v>
      </c>
      <c r="G213">
        <v>10</v>
      </c>
      <c r="H213">
        <v>2E+20</v>
      </c>
      <c r="I213">
        <v>10</v>
      </c>
      <c r="J213">
        <v>10</v>
      </c>
      <c r="K213">
        <v>10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30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10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10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10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3">
      <c r="A214" t="s">
        <v>66</v>
      </c>
      <c r="B214" t="s">
        <v>68</v>
      </c>
      <c r="C214">
        <v>6</v>
      </c>
      <c r="D214" t="s">
        <v>100</v>
      </c>
      <c r="E214" t="s">
        <v>94</v>
      </c>
      <c r="F214" t="s">
        <v>95</v>
      </c>
      <c r="G214">
        <v>0.157945734363475</v>
      </c>
      <c r="H214">
        <v>2E+20</v>
      </c>
      <c r="I214">
        <v>0</v>
      </c>
      <c r="J214">
        <v>0.36</v>
      </c>
      <c r="K214">
        <v>0.18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30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0.14484829778125299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0.19609322315655101</v>
      </c>
      <c r="U214" s="5">
        <f>IF((ContinuousStatsTable[[#This Row],[RepsRequested]]&gt;1),ContinuousStatsTable[[#This Row],[HalfWidth]],ContinuousStatsTable[[#This Row],[BatchMeansHalfWidth]])</f>
        <v>4.9714113556225048E-3</v>
      </c>
    </row>
    <row r="215" spans="1:21" x14ac:dyDescent="0.3">
      <c r="A215" t="s">
        <v>66</v>
      </c>
      <c r="B215" t="s">
        <v>68</v>
      </c>
      <c r="C215">
        <v>6</v>
      </c>
      <c r="D215" t="s">
        <v>100</v>
      </c>
      <c r="E215" t="s">
        <v>96</v>
      </c>
      <c r="F215" t="s">
        <v>95</v>
      </c>
      <c r="G215">
        <v>7.8972867181737199</v>
      </c>
      <c r="H215">
        <v>2E+20</v>
      </c>
      <c r="I215">
        <v>0</v>
      </c>
      <c r="J215">
        <v>18</v>
      </c>
      <c r="K215">
        <v>9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30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7.2424148890626396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9.8046611578275602</v>
      </c>
      <c r="U215" s="5">
        <f>IF((ContinuousStatsTable[[#This Row],[RepsRequested]]&gt;1),ContinuousStatsTable[[#This Row],[HalfWidth]],ContinuousStatsTable[[#This Row],[BatchMeansHalfWidth]])</f>
        <v>0.24857056778112663</v>
      </c>
    </row>
    <row r="216" spans="1:21" x14ac:dyDescent="0.3">
      <c r="A216" t="s">
        <v>66</v>
      </c>
      <c r="B216" t="s">
        <v>68</v>
      </c>
      <c r="C216">
        <v>6</v>
      </c>
      <c r="D216" t="s">
        <v>100</v>
      </c>
      <c r="E216" t="s">
        <v>97</v>
      </c>
      <c r="F216" t="s">
        <v>95</v>
      </c>
      <c r="G216">
        <v>50</v>
      </c>
      <c r="H216">
        <v>2E+20</v>
      </c>
      <c r="I216">
        <v>50</v>
      </c>
      <c r="J216">
        <v>50</v>
      </c>
      <c r="K216">
        <v>50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30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50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50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50</v>
      </c>
      <c r="U216" s="5">
        <f>IF((ContinuousStatsTable[[#This Row],[RepsRequested]]&gt;1),ContinuousStatsTable[[#This Row],[HalfWidth]],ContinuousStatsTable[[#This Row],[BatchMeansHalfWidth]])</f>
        <v>0</v>
      </c>
    </row>
    <row r="217" spans="1:21" x14ac:dyDescent="0.3">
      <c r="A217" t="s">
        <v>66</v>
      </c>
      <c r="B217" t="s">
        <v>68</v>
      </c>
      <c r="C217">
        <v>6</v>
      </c>
      <c r="D217" t="s">
        <v>101</v>
      </c>
      <c r="E217" t="s">
        <v>94</v>
      </c>
      <c r="F217" t="s">
        <v>95</v>
      </c>
      <c r="G217">
        <v>9.6023643193360098E-2</v>
      </c>
      <c r="H217">
        <v>2E+20</v>
      </c>
      <c r="I217">
        <v>0</v>
      </c>
      <c r="J217">
        <v>0.33333333333333298</v>
      </c>
      <c r="K217">
        <v>0.2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30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7.4778736536586704E-2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0.111025455742452</v>
      </c>
      <c r="U217" s="5">
        <f>IF((ContinuousStatsTable[[#This Row],[RepsRequested]]&gt;1),ContinuousStatsTable[[#This Row],[HalfWidth]],ContinuousStatsTable[[#This Row],[BatchMeansHalfWidth]])</f>
        <v>4.1821462690338805E-3</v>
      </c>
    </row>
    <row r="218" spans="1:21" x14ac:dyDescent="0.3">
      <c r="A218" t="s">
        <v>66</v>
      </c>
      <c r="B218" t="s">
        <v>68</v>
      </c>
      <c r="C218">
        <v>6</v>
      </c>
      <c r="D218" t="s">
        <v>101</v>
      </c>
      <c r="E218" t="s">
        <v>96</v>
      </c>
      <c r="F218" t="s">
        <v>95</v>
      </c>
      <c r="G218">
        <v>1.4403546479003999</v>
      </c>
      <c r="H218">
        <v>2E+20</v>
      </c>
      <c r="I218">
        <v>0</v>
      </c>
      <c r="J218">
        <v>5</v>
      </c>
      <c r="K218">
        <v>3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30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1.1216810480488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1.66538183613678</v>
      </c>
      <c r="U218" s="5">
        <f>IF((ContinuousStatsTable[[#This Row],[RepsRequested]]&gt;1),ContinuousStatsTable[[#This Row],[HalfWidth]],ContinuousStatsTable[[#This Row],[BatchMeansHalfWidth]])</f>
        <v>6.2732194035507963E-2</v>
      </c>
    </row>
    <row r="219" spans="1:21" x14ac:dyDescent="0.3">
      <c r="A219" t="s">
        <v>66</v>
      </c>
      <c r="B219" t="s">
        <v>68</v>
      </c>
      <c r="C219">
        <v>6</v>
      </c>
      <c r="D219" t="s">
        <v>101</v>
      </c>
      <c r="E219" t="s">
        <v>97</v>
      </c>
      <c r="F219" t="s">
        <v>95</v>
      </c>
      <c r="G219">
        <v>15</v>
      </c>
      <c r="H219">
        <v>2E+20</v>
      </c>
      <c r="I219">
        <v>15</v>
      </c>
      <c r="J219">
        <v>15</v>
      </c>
      <c r="K219">
        <v>15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30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15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15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15</v>
      </c>
      <c r="U219" s="5">
        <f>IF((ContinuousStatsTable[[#This Row],[RepsRequested]]&gt;1),ContinuousStatsTable[[#This Row],[HalfWidth]],ContinuousStatsTable[[#This Row],[BatchMeansHalfWidth]])</f>
        <v>0</v>
      </c>
    </row>
    <row r="220" spans="1:21" x14ac:dyDescent="0.3">
      <c r="A220" t="s">
        <v>66</v>
      </c>
      <c r="B220" t="s">
        <v>68</v>
      </c>
      <c r="C220">
        <v>6</v>
      </c>
      <c r="D220" t="s">
        <v>102</v>
      </c>
      <c r="E220" t="s">
        <v>94</v>
      </c>
      <c r="F220" t="s">
        <v>95</v>
      </c>
      <c r="G220">
        <v>0.79935200205997203</v>
      </c>
      <c r="H220">
        <v>2E+20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30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0.73673947391417804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0.90592850818388704</v>
      </c>
      <c r="U220" s="5">
        <f>IF((ContinuousStatsTable[[#This Row],[RepsRequested]]&gt;1),ContinuousStatsTable[[#This Row],[HalfWidth]],ContinuousStatsTable[[#This Row],[BatchMeansHalfWidth]])</f>
        <v>1.8636241798384946E-2</v>
      </c>
    </row>
    <row r="221" spans="1:21" x14ac:dyDescent="0.3">
      <c r="A221" t="s">
        <v>66</v>
      </c>
      <c r="B221" t="s">
        <v>68</v>
      </c>
      <c r="C221">
        <v>6</v>
      </c>
      <c r="D221" t="s">
        <v>102</v>
      </c>
      <c r="E221" t="s">
        <v>96</v>
      </c>
      <c r="F221" t="s">
        <v>95</v>
      </c>
      <c r="G221">
        <v>1.5323848597612799</v>
      </c>
      <c r="H221">
        <v>2E+20</v>
      </c>
      <c r="I221">
        <v>0</v>
      </c>
      <c r="J221">
        <v>3</v>
      </c>
      <c r="K221">
        <v>3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30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1.3726163545041801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1.7968913949876599</v>
      </c>
      <c r="U221" s="5">
        <f>IF((ContinuousStatsTable[[#This Row],[RepsRequested]]&gt;1),ContinuousStatsTable[[#This Row],[HalfWidth]],ContinuousStatsTable[[#This Row],[BatchMeansHalfWidth]])</f>
        <v>4.3123628688677348E-2</v>
      </c>
    </row>
    <row r="222" spans="1:21" x14ac:dyDescent="0.3">
      <c r="A222" t="s">
        <v>66</v>
      </c>
      <c r="B222" t="s">
        <v>68</v>
      </c>
      <c r="C222">
        <v>6</v>
      </c>
      <c r="D222" t="s">
        <v>102</v>
      </c>
      <c r="E222" t="s">
        <v>97</v>
      </c>
      <c r="F222" t="s">
        <v>95</v>
      </c>
      <c r="G222">
        <v>2</v>
      </c>
      <c r="H222">
        <v>2E+20</v>
      </c>
      <c r="I222">
        <v>1</v>
      </c>
      <c r="J222">
        <v>3</v>
      </c>
      <c r="K222">
        <v>1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30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2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2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2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3">
      <c r="A223" t="s">
        <v>66</v>
      </c>
      <c r="B223" t="s">
        <v>68</v>
      </c>
      <c r="C223">
        <v>6</v>
      </c>
      <c r="D223" t="s">
        <v>84</v>
      </c>
      <c r="E223" t="s">
        <v>103</v>
      </c>
      <c r="F223" t="s">
        <v>86</v>
      </c>
      <c r="G223">
        <v>47.476856255164101</v>
      </c>
      <c r="H223">
        <v>2E+20</v>
      </c>
      <c r="I223">
        <v>0</v>
      </c>
      <c r="J223">
        <v>68</v>
      </c>
      <c r="K223">
        <v>51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30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36.709886237305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84.594951996708403</v>
      </c>
      <c r="U223" s="5">
        <f>IF((ContinuousStatsTable[[#This Row],[RepsRequested]]&gt;1),ContinuousStatsTable[[#This Row],[HalfWidth]],ContinuousStatsTable[[#This Row],[BatchMeansHalfWidth]])</f>
        <v>4.0384933567271259</v>
      </c>
    </row>
    <row r="224" spans="1:21" x14ac:dyDescent="0.3">
      <c r="A224" t="s">
        <v>66</v>
      </c>
      <c r="B224" t="s">
        <v>68</v>
      </c>
      <c r="C224">
        <v>6</v>
      </c>
      <c r="D224" t="s">
        <v>104</v>
      </c>
      <c r="E224" t="s">
        <v>94</v>
      </c>
      <c r="F224" t="s">
        <v>95</v>
      </c>
      <c r="G224">
        <v>0</v>
      </c>
      <c r="H224">
        <v>2E+20</v>
      </c>
      <c r="I224">
        <v>0</v>
      </c>
      <c r="J224">
        <v>0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30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0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0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</v>
      </c>
      <c r="U224" s="5">
        <f>IF((ContinuousStatsTable[[#This Row],[RepsRequested]]&gt;1),ContinuousStatsTable[[#This Row],[HalfWidth]],ContinuousStatsTable[[#This Row],[BatchMeansHalfWidth]])</f>
        <v>0</v>
      </c>
    </row>
    <row r="225" spans="1:21" x14ac:dyDescent="0.3">
      <c r="A225" t="s">
        <v>66</v>
      </c>
      <c r="B225" t="s">
        <v>68</v>
      </c>
      <c r="C225">
        <v>6</v>
      </c>
      <c r="D225" t="s">
        <v>104</v>
      </c>
      <c r="E225" t="s">
        <v>96</v>
      </c>
      <c r="F225" t="s">
        <v>95</v>
      </c>
      <c r="G225">
        <v>0</v>
      </c>
      <c r="H225">
        <v>2E+20</v>
      </c>
      <c r="I225">
        <v>0</v>
      </c>
      <c r="J225">
        <v>0</v>
      </c>
      <c r="K225">
        <v>0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30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</v>
      </c>
      <c r="U225" s="5">
        <f>IF((ContinuousStatsTable[[#This Row],[RepsRequested]]&gt;1),ContinuousStatsTable[[#This Row],[HalfWidth]],ContinuousStatsTable[[#This Row],[BatchMeansHalfWidth]])</f>
        <v>0</v>
      </c>
    </row>
    <row r="226" spans="1:21" x14ac:dyDescent="0.3">
      <c r="A226" t="s">
        <v>66</v>
      </c>
      <c r="B226" t="s">
        <v>68</v>
      </c>
      <c r="C226">
        <v>6</v>
      </c>
      <c r="D226" t="s">
        <v>104</v>
      </c>
      <c r="E226" t="s">
        <v>97</v>
      </c>
      <c r="F226" t="s">
        <v>95</v>
      </c>
      <c r="G226">
        <v>3</v>
      </c>
      <c r="H226">
        <v>2E+20</v>
      </c>
      <c r="I226">
        <v>3</v>
      </c>
      <c r="J226">
        <v>3</v>
      </c>
      <c r="K226">
        <v>3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30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3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3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3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3">
      <c r="A227" t="s">
        <v>66</v>
      </c>
      <c r="B227" t="s">
        <v>68</v>
      </c>
      <c r="C227">
        <v>6</v>
      </c>
      <c r="D227" t="s">
        <v>105</v>
      </c>
      <c r="E227" t="s">
        <v>94</v>
      </c>
      <c r="F227" t="s">
        <v>95</v>
      </c>
      <c r="G227">
        <v>0.73885214121423304</v>
      </c>
      <c r="H227">
        <v>2E+20</v>
      </c>
      <c r="I227">
        <v>0</v>
      </c>
      <c r="J227">
        <v>1</v>
      </c>
      <c r="K227">
        <v>1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30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0.634589476164233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0.99383259650362799</v>
      </c>
      <c r="U227" s="5">
        <f>IF((ContinuousStatsTable[[#This Row],[RepsRequested]]&gt;1),ContinuousStatsTable[[#This Row],[HalfWidth]],ContinuousStatsTable[[#This Row],[BatchMeansHalfWidth]])</f>
        <v>3.9940526897700258E-2</v>
      </c>
    </row>
    <row r="228" spans="1:21" x14ac:dyDescent="0.3">
      <c r="A228" t="s">
        <v>66</v>
      </c>
      <c r="B228" t="s">
        <v>68</v>
      </c>
      <c r="C228">
        <v>6</v>
      </c>
      <c r="D228" t="s">
        <v>105</v>
      </c>
      <c r="E228" t="s">
        <v>96</v>
      </c>
      <c r="F228" t="s">
        <v>95</v>
      </c>
      <c r="G228">
        <v>0.73885214121423304</v>
      </c>
      <c r="H228">
        <v>2E+20</v>
      </c>
      <c r="I228">
        <v>0</v>
      </c>
      <c r="J228">
        <v>1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30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0.634589476164233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0.99383259650362799</v>
      </c>
      <c r="U228" s="5">
        <f>IF((ContinuousStatsTable[[#This Row],[RepsRequested]]&gt;1),ContinuousStatsTable[[#This Row],[HalfWidth]],ContinuousStatsTable[[#This Row],[BatchMeansHalfWidth]])</f>
        <v>3.9940526897700258E-2</v>
      </c>
    </row>
    <row r="229" spans="1:21" x14ac:dyDescent="0.3">
      <c r="A229" t="s">
        <v>66</v>
      </c>
      <c r="B229" t="s">
        <v>68</v>
      </c>
      <c r="C229">
        <v>6</v>
      </c>
      <c r="D229" t="s">
        <v>105</v>
      </c>
      <c r="E229" t="s">
        <v>97</v>
      </c>
      <c r="F229" t="s">
        <v>95</v>
      </c>
      <c r="G229">
        <v>1</v>
      </c>
      <c r="H229">
        <v>2E+20</v>
      </c>
      <c r="I229">
        <v>1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30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1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1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1</v>
      </c>
      <c r="U229" s="5">
        <f>IF((ContinuousStatsTable[[#This Row],[RepsRequested]]&gt;1),ContinuousStatsTable[[#This Row],[HalfWidth]],ContinuousStatsTable[[#This Row],[BatchMeansHalfWidth]])</f>
        <v>0</v>
      </c>
    </row>
    <row r="230" spans="1:21" x14ac:dyDescent="0.3">
      <c r="A230" t="s">
        <v>66</v>
      </c>
      <c r="B230" t="s">
        <v>68</v>
      </c>
      <c r="C230">
        <v>6</v>
      </c>
      <c r="D230" t="s">
        <v>106</v>
      </c>
      <c r="E230" t="s">
        <v>94</v>
      </c>
      <c r="F230" t="s">
        <v>95</v>
      </c>
      <c r="G230">
        <v>0.78122037467546601</v>
      </c>
      <c r="H230">
        <v>2E+20</v>
      </c>
      <c r="I230">
        <v>0</v>
      </c>
      <c r="J230">
        <v>1</v>
      </c>
      <c r="K230">
        <v>1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30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0.74061105631083801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0.99245161744166299</v>
      </c>
      <c r="U230" s="5">
        <f>IF((ContinuousStatsTable[[#This Row],[RepsRequested]]&gt;1),ContinuousStatsTable[[#This Row],[HalfWidth]],ContinuousStatsTable[[#This Row],[BatchMeansHalfWidth]])</f>
        <v>2.8912497794626357E-2</v>
      </c>
    </row>
    <row r="231" spans="1:21" x14ac:dyDescent="0.3">
      <c r="A231" t="s">
        <v>66</v>
      </c>
      <c r="B231" t="s">
        <v>68</v>
      </c>
      <c r="C231">
        <v>6</v>
      </c>
      <c r="D231" t="s">
        <v>106</v>
      </c>
      <c r="E231" t="s">
        <v>96</v>
      </c>
      <c r="F231" t="s">
        <v>95</v>
      </c>
      <c r="G231">
        <v>0.78122037467546601</v>
      </c>
      <c r="H231">
        <v>2E+20</v>
      </c>
      <c r="I231">
        <v>0</v>
      </c>
      <c r="J231">
        <v>1</v>
      </c>
      <c r="K231">
        <v>1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30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0.74061105631083801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0.99245161744166299</v>
      </c>
      <c r="U231" s="5">
        <f>IF((ContinuousStatsTable[[#This Row],[RepsRequested]]&gt;1),ContinuousStatsTable[[#This Row],[HalfWidth]],ContinuousStatsTable[[#This Row],[BatchMeansHalfWidth]])</f>
        <v>2.8912497794626357E-2</v>
      </c>
    </row>
    <row r="232" spans="1:21" x14ac:dyDescent="0.3">
      <c r="A232" t="s">
        <v>66</v>
      </c>
      <c r="B232" t="s">
        <v>68</v>
      </c>
      <c r="C232">
        <v>6</v>
      </c>
      <c r="D232" t="s">
        <v>106</v>
      </c>
      <c r="E232" t="s">
        <v>97</v>
      </c>
      <c r="F232" t="s">
        <v>95</v>
      </c>
      <c r="G232">
        <v>1</v>
      </c>
      <c r="H232">
        <v>2E+20</v>
      </c>
      <c r="I232">
        <v>1</v>
      </c>
      <c r="J232">
        <v>1</v>
      </c>
      <c r="K232">
        <v>1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30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1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1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1</v>
      </c>
      <c r="U232" s="5">
        <f>IF((ContinuousStatsTable[[#This Row],[RepsRequested]]&gt;1),ContinuousStatsTable[[#This Row],[HalfWidth]],ContinuousStatsTable[[#This Row],[BatchMeansHalfWidth]])</f>
        <v>0</v>
      </c>
    </row>
    <row r="233" spans="1:21" x14ac:dyDescent="0.3">
      <c r="A233" t="s">
        <v>66</v>
      </c>
      <c r="B233" t="s">
        <v>68</v>
      </c>
      <c r="C233">
        <v>6</v>
      </c>
      <c r="D233" t="s">
        <v>107</v>
      </c>
      <c r="E233" t="s">
        <v>94</v>
      </c>
      <c r="F233" t="s">
        <v>95</v>
      </c>
      <c r="G233">
        <v>0.89951220908042195</v>
      </c>
      <c r="H233">
        <v>2E+20</v>
      </c>
      <c r="I233">
        <v>0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30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0.73843386001690303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0.99245161744166299</v>
      </c>
      <c r="U233" s="5">
        <f>IF((ContinuousStatsTable[[#This Row],[RepsRequested]]&gt;1),ContinuousStatsTable[[#This Row],[HalfWidth]],ContinuousStatsTable[[#This Row],[BatchMeansHalfWidth]])</f>
        <v>2.6057642646860522E-2</v>
      </c>
    </row>
    <row r="234" spans="1:21" x14ac:dyDescent="0.3">
      <c r="A234" t="s">
        <v>66</v>
      </c>
      <c r="B234" t="s">
        <v>68</v>
      </c>
      <c r="C234">
        <v>6</v>
      </c>
      <c r="D234" t="s">
        <v>107</v>
      </c>
      <c r="E234" t="s">
        <v>96</v>
      </c>
      <c r="F234" t="s">
        <v>95</v>
      </c>
      <c r="G234">
        <v>0.89951220908042195</v>
      </c>
      <c r="H234">
        <v>2E+20</v>
      </c>
      <c r="I234">
        <v>0</v>
      </c>
      <c r="J234">
        <v>1</v>
      </c>
      <c r="K234">
        <v>1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30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0.73843386001690303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0.99245161744166299</v>
      </c>
      <c r="U234" s="5">
        <f>IF((ContinuousStatsTable[[#This Row],[RepsRequested]]&gt;1),ContinuousStatsTable[[#This Row],[HalfWidth]],ContinuousStatsTable[[#This Row],[BatchMeansHalfWidth]])</f>
        <v>2.6057642646860522E-2</v>
      </c>
    </row>
    <row r="235" spans="1:21" x14ac:dyDescent="0.3">
      <c r="A235" t="s">
        <v>66</v>
      </c>
      <c r="B235" t="s">
        <v>68</v>
      </c>
      <c r="C235">
        <v>6</v>
      </c>
      <c r="D235" t="s">
        <v>107</v>
      </c>
      <c r="E235" t="s">
        <v>97</v>
      </c>
      <c r="F235" t="s">
        <v>95</v>
      </c>
      <c r="G235">
        <v>1</v>
      </c>
      <c r="H235">
        <v>2E+20</v>
      </c>
      <c r="I235">
        <v>1</v>
      </c>
      <c r="J235">
        <v>1</v>
      </c>
      <c r="K235">
        <v>1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30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1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1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1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3">
      <c r="A236" t="s">
        <v>66</v>
      </c>
      <c r="B236" t="s">
        <v>68</v>
      </c>
      <c r="C236">
        <v>7</v>
      </c>
      <c r="D236" t="s">
        <v>69</v>
      </c>
      <c r="E236" t="s">
        <v>92</v>
      </c>
      <c r="F236" t="s">
        <v>71</v>
      </c>
      <c r="G236">
        <v>7.4470321118533001</v>
      </c>
      <c r="H236">
        <v>2E+20</v>
      </c>
      <c r="I236">
        <v>0</v>
      </c>
      <c r="J236">
        <v>26</v>
      </c>
      <c r="K236">
        <v>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30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2.2853775994771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9.3827575078214593</v>
      </c>
      <c r="U236" s="5">
        <f>IF((ContinuousStatsTable[[#This Row],[RepsRequested]]&gt;1),ContinuousStatsTable[[#This Row],[HalfWidth]],ContinuousStatsTable[[#This Row],[BatchMeansHalfWidth]])</f>
        <v>0.70373665421471332</v>
      </c>
    </row>
    <row r="237" spans="1:21" x14ac:dyDescent="0.3">
      <c r="A237" t="s">
        <v>66</v>
      </c>
      <c r="B237" t="s">
        <v>68</v>
      </c>
      <c r="C237">
        <v>7</v>
      </c>
      <c r="D237" t="s">
        <v>72</v>
      </c>
      <c r="E237" t="s">
        <v>92</v>
      </c>
      <c r="F237" t="s">
        <v>71</v>
      </c>
      <c r="G237">
        <v>5.5077349962673701</v>
      </c>
      <c r="H237">
        <v>2E+20</v>
      </c>
      <c r="I237">
        <v>0</v>
      </c>
      <c r="J237">
        <v>22</v>
      </c>
      <c r="K237">
        <v>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30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1.4754093813695901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8.0603747791942499</v>
      </c>
      <c r="U237" s="5">
        <f>IF((ContinuousStatsTable[[#This Row],[RepsRequested]]&gt;1),ContinuousStatsTable[[#This Row],[HalfWidth]],ContinuousStatsTable[[#This Row],[BatchMeansHalfWidth]])</f>
        <v>0.5936172943910426</v>
      </c>
    </row>
    <row r="238" spans="1:21" x14ac:dyDescent="0.3">
      <c r="A238" t="s">
        <v>66</v>
      </c>
      <c r="B238" t="s">
        <v>68</v>
      </c>
      <c r="C238">
        <v>7</v>
      </c>
      <c r="D238" t="s">
        <v>73</v>
      </c>
      <c r="E238" t="s">
        <v>92</v>
      </c>
      <c r="F238" t="s">
        <v>71</v>
      </c>
      <c r="G238">
        <v>3.6953503360428801</v>
      </c>
      <c r="H238">
        <v>2E+20</v>
      </c>
      <c r="I238">
        <v>0</v>
      </c>
      <c r="J238">
        <v>17</v>
      </c>
      <c r="K238">
        <v>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30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1.3305593103954101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29.356614544212601</v>
      </c>
      <c r="U238" s="5">
        <f>IF((ContinuousStatsTable[[#This Row],[RepsRequested]]&gt;1),ContinuousStatsTable[[#This Row],[HalfWidth]],ContinuousStatsTable[[#This Row],[BatchMeansHalfWidth]])</f>
        <v>2.162177461749093</v>
      </c>
    </row>
    <row r="239" spans="1:21" x14ac:dyDescent="0.3">
      <c r="A239" t="s">
        <v>66</v>
      </c>
      <c r="B239" t="s">
        <v>68</v>
      </c>
      <c r="C239">
        <v>7</v>
      </c>
      <c r="D239" t="s">
        <v>74</v>
      </c>
      <c r="E239" t="s">
        <v>92</v>
      </c>
      <c r="F239" t="s">
        <v>71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30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3">
      <c r="A240" t="s">
        <v>66</v>
      </c>
      <c r="B240" t="s">
        <v>68</v>
      </c>
      <c r="C240">
        <v>7</v>
      </c>
      <c r="D240" t="s">
        <v>75</v>
      </c>
      <c r="E240" t="s">
        <v>92</v>
      </c>
      <c r="F240" t="s">
        <v>71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30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3">
      <c r="A241" t="s">
        <v>66</v>
      </c>
      <c r="B241" t="s">
        <v>68</v>
      </c>
      <c r="C241">
        <v>7</v>
      </c>
      <c r="D241" t="s">
        <v>76</v>
      </c>
      <c r="E241" t="s">
        <v>92</v>
      </c>
      <c r="F241" t="s">
        <v>71</v>
      </c>
      <c r="G241">
        <v>1.7069170013528201</v>
      </c>
      <c r="H241">
        <v>2E+20</v>
      </c>
      <c r="I241">
        <v>0</v>
      </c>
      <c r="J241">
        <v>14</v>
      </c>
      <c r="K241">
        <v>0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30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4.5869485136026601E-2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4.1119263103435699</v>
      </c>
      <c r="U241" s="5">
        <f>IF((ContinuousStatsTable[[#This Row],[RepsRequested]]&gt;1),ContinuousStatsTable[[#This Row],[HalfWidth]],ContinuousStatsTable[[#This Row],[BatchMeansHalfWidth]])</f>
        <v>0.43252967563899991</v>
      </c>
    </row>
    <row r="242" spans="1:21" x14ac:dyDescent="0.3">
      <c r="A242" t="s">
        <v>66</v>
      </c>
      <c r="B242" t="s">
        <v>68</v>
      </c>
      <c r="C242">
        <v>7</v>
      </c>
      <c r="D242" t="s">
        <v>77</v>
      </c>
      <c r="E242" t="s">
        <v>92</v>
      </c>
      <c r="F242" t="s">
        <v>71</v>
      </c>
      <c r="G242">
        <v>0</v>
      </c>
      <c r="H242">
        <v>2E+20</v>
      </c>
      <c r="I242">
        <v>0</v>
      </c>
      <c r="J242">
        <v>0</v>
      </c>
      <c r="K242">
        <v>0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30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0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0</v>
      </c>
      <c r="U242" s="5">
        <f>IF((ContinuousStatsTable[[#This Row],[RepsRequested]]&gt;1),ContinuousStatsTable[[#This Row],[HalfWidth]],ContinuousStatsTable[[#This Row],[BatchMeansHalfWidth]])</f>
        <v>0</v>
      </c>
    </row>
    <row r="243" spans="1:21" x14ac:dyDescent="0.3">
      <c r="A243" t="s">
        <v>66</v>
      </c>
      <c r="B243" t="s">
        <v>68</v>
      </c>
      <c r="C243">
        <v>7</v>
      </c>
      <c r="D243" t="s">
        <v>78</v>
      </c>
      <c r="E243" t="s">
        <v>92</v>
      </c>
      <c r="F243" t="s">
        <v>71</v>
      </c>
      <c r="G243">
        <v>0</v>
      </c>
      <c r="H243">
        <v>2E+20</v>
      </c>
      <c r="I243">
        <v>0</v>
      </c>
      <c r="J243">
        <v>0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30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0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0</v>
      </c>
      <c r="U243" s="5">
        <f>IF((ContinuousStatsTable[[#This Row],[RepsRequested]]&gt;1),ContinuousStatsTable[[#This Row],[HalfWidth]],ContinuousStatsTable[[#This Row],[BatchMeansHalfWidth]])</f>
        <v>0</v>
      </c>
    </row>
    <row r="244" spans="1:21" x14ac:dyDescent="0.3">
      <c r="A244" t="s">
        <v>66</v>
      </c>
      <c r="B244" t="s">
        <v>68</v>
      </c>
      <c r="C244">
        <v>7</v>
      </c>
      <c r="D244" t="s">
        <v>93</v>
      </c>
      <c r="E244" t="s">
        <v>94</v>
      </c>
      <c r="F244" t="s">
        <v>95</v>
      </c>
      <c r="G244">
        <v>4.2390596261205601E-2</v>
      </c>
      <c r="H244">
        <v>2E+20</v>
      </c>
      <c r="I244">
        <v>0</v>
      </c>
      <c r="J244">
        <v>0.2</v>
      </c>
      <c r="K244">
        <v>0.15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30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2.3718114155243601E-2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4.8583931724403701E-2</v>
      </c>
      <c r="U244" s="5">
        <f>IF((ContinuousStatsTable[[#This Row],[RepsRequested]]&gt;1),ContinuousStatsTable[[#This Row],[HalfWidth]],ContinuousStatsTable[[#This Row],[BatchMeansHalfWidth]])</f>
        <v>2.4839579632442289E-3</v>
      </c>
    </row>
    <row r="245" spans="1:21" x14ac:dyDescent="0.3">
      <c r="A245" t="s">
        <v>66</v>
      </c>
      <c r="B245" t="s">
        <v>68</v>
      </c>
      <c r="C245">
        <v>7</v>
      </c>
      <c r="D245" t="s">
        <v>93</v>
      </c>
      <c r="E245" t="s">
        <v>96</v>
      </c>
      <c r="F245" t="s">
        <v>95</v>
      </c>
      <c r="G245">
        <v>0.84781192522411297</v>
      </c>
      <c r="H245">
        <v>2E+20</v>
      </c>
      <c r="I245">
        <v>0</v>
      </c>
      <c r="J245">
        <v>4</v>
      </c>
      <c r="K245">
        <v>3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30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0.47436228310487299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0.97167863448807401</v>
      </c>
      <c r="U245" s="5">
        <f>IF((ContinuousStatsTable[[#This Row],[RepsRequested]]&gt;1),ContinuousStatsTable[[#This Row],[HalfWidth]],ContinuousStatsTable[[#This Row],[BatchMeansHalfWidth]])</f>
        <v>4.9679159264885281E-2</v>
      </c>
    </row>
    <row r="246" spans="1:21" x14ac:dyDescent="0.3">
      <c r="A246" t="s">
        <v>66</v>
      </c>
      <c r="B246" t="s">
        <v>68</v>
      </c>
      <c r="C246">
        <v>7</v>
      </c>
      <c r="D246" t="s">
        <v>93</v>
      </c>
      <c r="E246" t="s">
        <v>97</v>
      </c>
      <c r="F246" t="s">
        <v>95</v>
      </c>
      <c r="G246">
        <v>20</v>
      </c>
      <c r="H246">
        <v>2E+20</v>
      </c>
      <c r="I246">
        <v>20</v>
      </c>
      <c r="J246">
        <v>20</v>
      </c>
      <c r="K246">
        <v>20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30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20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0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20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20</v>
      </c>
      <c r="U246" s="5">
        <f>IF((ContinuousStatsTable[[#This Row],[RepsRequested]]&gt;1),ContinuousStatsTable[[#This Row],[HalfWidth]],ContinuousStatsTable[[#This Row],[BatchMeansHalfWidth]])</f>
        <v>0</v>
      </c>
    </row>
    <row r="247" spans="1:21" x14ac:dyDescent="0.3">
      <c r="A247" t="s">
        <v>66</v>
      </c>
      <c r="B247" t="s">
        <v>68</v>
      </c>
      <c r="C247">
        <v>7</v>
      </c>
      <c r="D247" t="s">
        <v>98</v>
      </c>
      <c r="E247" t="s">
        <v>94</v>
      </c>
      <c r="F247" t="s">
        <v>95</v>
      </c>
      <c r="G247">
        <v>0.245853772157101</v>
      </c>
      <c r="H247">
        <v>2E+20</v>
      </c>
      <c r="I247">
        <v>0</v>
      </c>
      <c r="J247">
        <v>0.95</v>
      </c>
      <c r="K247">
        <v>0.5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30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0.20767736113278101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0.28501162927715501</v>
      </c>
      <c r="U247" s="5">
        <f>IF((ContinuousStatsTable[[#This Row],[RepsRequested]]&gt;1),ContinuousStatsTable[[#This Row],[HalfWidth]],ContinuousStatsTable[[#This Row],[BatchMeansHalfWidth]])</f>
        <v>8.7273384073404715E-3</v>
      </c>
    </row>
    <row r="248" spans="1:21" x14ac:dyDescent="0.3">
      <c r="A248" t="s">
        <v>66</v>
      </c>
      <c r="B248" t="s">
        <v>68</v>
      </c>
      <c r="C248">
        <v>7</v>
      </c>
      <c r="D248" t="s">
        <v>98</v>
      </c>
      <c r="E248" t="s">
        <v>96</v>
      </c>
      <c r="F248" t="s">
        <v>95</v>
      </c>
      <c r="G248">
        <v>4.9170754431420303</v>
      </c>
      <c r="H248">
        <v>2E+20</v>
      </c>
      <c r="I248">
        <v>0</v>
      </c>
      <c r="J248">
        <v>19</v>
      </c>
      <c r="K248">
        <v>10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30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4.15354722265561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5.7002325855431097</v>
      </c>
      <c r="U248" s="5">
        <f>IF((ContinuousStatsTable[[#This Row],[RepsRequested]]&gt;1),ContinuousStatsTable[[#This Row],[HalfWidth]],ContinuousStatsTable[[#This Row],[BatchMeansHalfWidth]])</f>
        <v>0.17454676814681078</v>
      </c>
    </row>
    <row r="249" spans="1:21" x14ac:dyDescent="0.3">
      <c r="A249" t="s">
        <v>66</v>
      </c>
      <c r="B249" t="s">
        <v>68</v>
      </c>
      <c r="C249">
        <v>7</v>
      </c>
      <c r="D249" t="s">
        <v>98</v>
      </c>
      <c r="E249" t="s">
        <v>97</v>
      </c>
      <c r="F249" t="s">
        <v>95</v>
      </c>
      <c r="G249">
        <v>20</v>
      </c>
      <c r="H249">
        <v>2E+20</v>
      </c>
      <c r="I249">
        <v>20</v>
      </c>
      <c r="J249">
        <v>20</v>
      </c>
      <c r="K249">
        <v>20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30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20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20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20</v>
      </c>
      <c r="U249" s="5">
        <f>IF((ContinuousStatsTable[[#This Row],[RepsRequested]]&gt;1),ContinuousStatsTable[[#This Row],[HalfWidth]],ContinuousStatsTable[[#This Row],[BatchMeansHalfWidth]])</f>
        <v>0</v>
      </c>
    </row>
    <row r="250" spans="1:21" x14ac:dyDescent="0.3">
      <c r="A250" t="s">
        <v>66</v>
      </c>
      <c r="B250" t="s">
        <v>68</v>
      </c>
      <c r="C250">
        <v>7</v>
      </c>
      <c r="D250" t="s">
        <v>99</v>
      </c>
      <c r="E250" t="s">
        <v>94</v>
      </c>
      <c r="F250" t="s">
        <v>95</v>
      </c>
      <c r="G250">
        <v>0.64834188804173898</v>
      </c>
      <c r="H250">
        <v>2E+20</v>
      </c>
      <c r="I250">
        <v>0</v>
      </c>
      <c r="J250">
        <v>1</v>
      </c>
      <c r="K250">
        <v>0.8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30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0.517215348442703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0.67770389283754395</v>
      </c>
      <c r="U250" s="5">
        <f>IF((ContinuousStatsTable[[#This Row],[RepsRequested]]&gt;1),ContinuousStatsTable[[#This Row],[HalfWidth]],ContinuousStatsTable[[#This Row],[BatchMeansHalfWidth]])</f>
        <v>1.8059192833960565E-2</v>
      </c>
    </row>
    <row r="251" spans="1:21" x14ac:dyDescent="0.3">
      <c r="A251" t="s">
        <v>66</v>
      </c>
      <c r="B251" t="s">
        <v>68</v>
      </c>
      <c r="C251">
        <v>7</v>
      </c>
      <c r="D251" t="s">
        <v>99</v>
      </c>
      <c r="E251" t="s">
        <v>96</v>
      </c>
      <c r="F251" t="s">
        <v>95</v>
      </c>
      <c r="G251">
        <v>6.48341888041739</v>
      </c>
      <c r="H251">
        <v>2E+20</v>
      </c>
      <c r="I251">
        <v>0</v>
      </c>
      <c r="J251">
        <v>10</v>
      </c>
      <c r="K251">
        <v>8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30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5.1721534844270298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6.7770389283754398</v>
      </c>
      <c r="U251" s="5">
        <f>IF((ContinuousStatsTable[[#This Row],[RepsRequested]]&gt;1),ContinuousStatsTable[[#This Row],[HalfWidth]],ContinuousStatsTable[[#This Row],[BatchMeansHalfWidth]])</f>
        <v>0.18059192833960558</v>
      </c>
    </row>
    <row r="252" spans="1:21" x14ac:dyDescent="0.3">
      <c r="A252" t="s">
        <v>66</v>
      </c>
      <c r="B252" t="s">
        <v>68</v>
      </c>
      <c r="C252">
        <v>7</v>
      </c>
      <c r="D252" t="s">
        <v>99</v>
      </c>
      <c r="E252" t="s">
        <v>97</v>
      </c>
      <c r="F252" t="s">
        <v>95</v>
      </c>
      <c r="G252">
        <v>10</v>
      </c>
      <c r="H252">
        <v>2E+20</v>
      </c>
      <c r="I252">
        <v>10</v>
      </c>
      <c r="J252">
        <v>10</v>
      </c>
      <c r="K252">
        <v>10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30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10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10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10</v>
      </c>
      <c r="U252" s="5">
        <f>IF((ContinuousStatsTable[[#This Row],[RepsRequested]]&gt;1),ContinuousStatsTable[[#This Row],[HalfWidth]],ContinuousStatsTable[[#This Row],[BatchMeansHalfWidth]])</f>
        <v>0</v>
      </c>
    </row>
    <row r="253" spans="1:21" x14ac:dyDescent="0.3">
      <c r="A253" t="s">
        <v>66</v>
      </c>
      <c r="B253" t="s">
        <v>68</v>
      </c>
      <c r="C253">
        <v>7</v>
      </c>
      <c r="D253" t="s">
        <v>100</v>
      </c>
      <c r="E253" t="s">
        <v>94</v>
      </c>
      <c r="F253" t="s">
        <v>95</v>
      </c>
      <c r="G253">
        <v>0.170962037766936</v>
      </c>
      <c r="H253">
        <v>2E+20</v>
      </c>
      <c r="I253">
        <v>0</v>
      </c>
      <c r="J253">
        <v>0.38</v>
      </c>
      <c r="K253">
        <v>0.24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30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0.14484829778125299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0.19609322315655101</v>
      </c>
      <c r="U253" s="5">
        <f>IF((ContinuousStatsTable[[#This Row],[RepsRequested]]&gt;1),ContinuousStatsTable[[#This Row],[HalfWidth]],ContinuousStatsTable[[#This Row],[BatchMeansHalfWidth]])</f>
        <v>4.9714113556225048E-3</v>
      </c>
    </row>
    <row r="254" spans="1:21" x14ac:dyDescent="0.3">
      <c r="A254" t="s">
        <v>66</v>
      </c>
      <c r="B254" t="s">
        <v>68</v>
      </c>
      <c r="C254">
        <v>7</v>
      </c>
      <c r="D254" t="s">
        <v>100</v>
      </c>
      <c r="E254" t="s">
        <v>96</v>
      </c>
      <c r="F254" t="s">
        <v>95</v>
      </c>
      <c r="G254">
        <v>8.5481018883467907</v>
      </c>
      <c r="H254">
        <v>2E+20</v>
      </c>
      <c r="I254">
        <v>0</v>
      </c>
      <c r="J254">
        <v>19</v>
      </c>
      <c r="K254">
        <v>12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30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7.2424148890626396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9.8046611578275602</v>
      </c>
      <c r="U254" s="5">
        <f>IF((ContinuousStatsTable[[#This Row],[RepsRequested]]&gt;1),ContinuousStatsTable[[#This Row],[HalfWidth]],ContinuousStatsTable[[#This Row],[BatchMeansHalfWidth]])</f>
        <v>0.24857056778112663</v>
      </c>
    </row>
    <row r="255" spans="1:21" x14ac:dyDescent="0.3">
      <c r="A255" t="s">
        <v>66</v>
      </c>
      <c r="B255" t="s">
        <v>68</v>
      </c>
      <c r="C255">
        <v>7</v>
      </c>
      <c r="D255" t="s">
        <v>100</v>
      </c>
      <c r="E255" t="s">
        <v>97</v>
      </c>
      <c r="F255" t="s">
        <v>95</v>
      </c>
      <c r="G255">
        <v>50</v>
      </c>
      <c r="H255">
        <v>2E+20</v>
      </c>
      <c r="I255">
        <v>50</v>
      </c>
      <c r="J255">
        <v>50</v>
      </c>
      <c r="K255">
        <v>50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30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50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50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50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3">
      <c r="A256" t="s">
        <v>66</v>
      </c>
      <c r="B256" t="s">
        <v>68</v>
      </c>
      <c r="C256">
        <v>7</v>
      </c>
      <c r="D256" t="s">
        <v>101</v>
      </c>
      <c r="E256" t="s">
        <v>94</v>
      </c>
      <c r="F256" t="s">
        <v>95</v>
      </c>
      <c r="G256">
        <v>9.8781048970964902E-2</v>
      </c>
      <c r="H256">
        <v>2E+20</v>
      </c>
      <c r="I256">
        <v>0</v>
      </c>
      <c r="J256">
        <v>0.4</v>
      </c>
      <c r="K256">
        <v>0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30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7.4778736536586704E-2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0.111025455742452</v>
      </c>
      <c r="U256" s="5">
        <f>IF((ContinuousStatsTable[[#This Row],[RepsRequested]]&gt;1),ContinuousStatsTable[[#This Row],[HalfWidth]],ContinuousStatsTable[[#This Row],[BatchMeansHalfWidth]])</f>
        <v>4.1821462690338805E-3</v>
      </c>
    </row>
    <row r="257" spans="1:21" x14ac:dyDescent="0.3">
      <c r="A257" t="s">
        <v>66</v>
      </c>
      <c r="B257" t="s">
        <v>68</v>
      </c>
      <c r="C257">
        <v>7</v>
      </c>
      <c r="D257" t="s">
        <v>101</v>
      </c>
      <c r="E257" t="s">
        <v>96</v>
      </c>
      <c r="F257" t="s">
        <v>95</v>
      </c>
      <c r="G257">
        <v>1.48171573456447</v>
      </c>
      <c r="H257">
        <v>2E+20</v>
      </c>
      <c r="I257">
        <v>0</v>
      </c>
      <c r="J257">
        <v>6</v>
      </c>
      <c r="K257">
        <v>0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30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1.1216810480488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1.66538183613678</v>
      </c>
      <c r="U257" s="5">
        <f>IF((ContinuousStatsTable[[#This Row],[RepsRequested]]&gt;1),ContinuousStatsTable[[#This Row],[HalfWidth]],ContinuousStatsTable[[#This Row],[BatchMeansHalfWidth]])</f>
        <v>6.2732194035507963E-2</v>
      </c>
    </row>
    <row r="258" spans="1:21" x14ac:dyDescent="0.3">
      <c r="A258" t="s">
        <v>66</v>
      </c>
      <c r="B258" t="s">
        <v>68</v>
      </c>
      <c r="C258">
        <v>7</v>
      </c>
      <c r="D258" t="s">
        <v>101</v>
      </c>
      <c r="E258" t="s">
        <v>97</v>
      </c>
      <c r="F258" t="s">
        <v>95</v>
      </c>
      <c r="G258">
        <v>15</v>
      </c>
      <c r="H258">
        <v>2E+20</v>
      </c>
      <c r="I258">
        <v>15</v>
      </c>
      <c r="J258">
        <v>15</v>
      </c>
      <c r="K258">
        <v>15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30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15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15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15</v>
      </c>
      <c r="U258" s="5">
        <f>IF((ContinuousStatsTable[[#This Row],[RepsRequested]]&gt;1),ContinuousStatsTable[[#This Row],[HalfWidth]],ContinuousStatsTable[[#This Row],[BatchMeansHalfWidth]])</f>
        <v>0</v>
      </c>
    </row>
    <row r="259" spans="1:21" x14ac:dyDescent="0.3">
      <c r="A259" t="s">
        <v>66</v>
      </c>
      <c r="B259" t="s">
        <v>68</v>
      </c>
      <c r="C259">
        <v>7</v>
      </c>
      <c r="D259" t="s">
        <v>102</v>
      </c>
      <c r="E259" t="s">
        <v>94</v>
      </c>
      <c r="F259" t="s">
        <v>95</v>
      </c>
      <c r="G259">
        <v>0.85328830270807698</v>
      </c>
      <c r="H259">
        <v>2E+20</v>
      </c>
      <c r="I259">
        <v>0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30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0.73673947391417804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0.90592850818388704</v>
      </c>
      <c r="U259" s="5">
        <f>IF((ContinuousStatsTable[[#This Row],[RepsRequested]]&gt;1),ContinuousStatsTable[[#This Row],[HalfWidth]],ContinuousStatsTable[[#This Row],[BatchMeansHalfWidth]])</f>
        <v>1.8636241798384946E-2</v>
      </c>
    </row>
    <row r="260" spans="1:21" x14ac:dyDescent="0.3">
      <c r="A260" t="s">
        <v>66</v>
      </c>
      <c r="B260" t="s">
        <v>68</v>
      </c>
      <c r="C260">
        <v>7</v>
      </c>
      <c r="D260" t="s">
        <v>102</v>
      </c>
      <c r="E260" t="s">
        <v>96</v>
      </c>
      <c r="F260" t="s">
        <v>95</v>
      </c>
      <c r="G260">
        <v>1.5902425918116601</v>
      </c>
      <c r="H260">
        <v>2E+20</v>
      </c>
      <c r="I260">
        <v>0</v>
      </c>
      <c r="J260">
        <v>3</v>
      </c>
      <c r="K260">
        <v>3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30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1.3726163545041801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1.7968913949876599</v>
      </c>
      <c r="U260" s="5">
        <f>IF((ContinuousStatsTable[[#This Row],[RepsRequested]]&gt;1),ContinuousStatsTable[[#This Row],[HalfWidth]],ContinuousStatsTable[[#This Row],[BatchMeansHalfWidth]])</f>
        <v>4.3123628688677348E-2</v>
      </c>
    </row>
    <row r="261" spans="1:21" x14ac:dyDescent="0.3">
      <c r="A261" t="s">
        <v>66</v>
      </c>
      <c r="B261" t="s">
        <v>68</v>
      </c>
      <c r="C261">
        <v>7</v>
      </c>
      <c r="D261" t="s">
        <v>102</v>
      </c>
      <c r="E261" t="s">
        <v>97</v>
      </c>
      <c r="F261" t="s">
        <v>95</v>
      </c>
      <c r="G261">
        <v>2</v>
      </c>
      <c r="H261">
        <v>2E+20</v>
      </c>
      <c r="I261">
        <v>1</v>
      </c>
      <c r="J261">
        <v>3</v>
      </c>
      <c r="K261">
        <v>1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30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2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2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2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3">
      <c r="A262" t="s">
        <v>66</v>
      </c>
      <c r="B262" t="s">
        <v>68</v>
      </c>
      <c r="C262">
        <v>7</v>
      </c>
      <c r="D262" t="s">
        <v>84</v>
      </c>
      <c r="E262" t="s">
        <v>103</v>
      </c>
      <c r="F262" t="s">
        <v>86</v>
      </c>
      <c r="G262">
        <v>54.785998362307403</v>
      </c>
      <c r="H262">
        <v>2E+20</v>
      </c>
      <c r="I262">
        <v>0</v>
      </c>
      <c r="J262">
        <v>81</v>
      </c>
      <c r="K262">
        <v>55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30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36.709886237305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84.594951996708403</v>
      </c>
      <c r="U262" s="5">
        <f>IF((ContinuousStatsTable[[#This Row],[RepsRequested]]&gt;1),ContinuousStatsTable[[#This Row],[HalfWidth]],ContinuousStatsTable[[#This Row],[BatchMeansHalfWidth]])</f>
        <v>4.0384933567271259</v>
      </c>
    </row>
    <row r="263" spans="1:21" x14ac:dyDescent="0.3">
      <c r="A263" t="s">
        <v>66</v>
      </c>
      <c r="B263" t="s">
        <v>68</v>
      </c>
      <c r="C263">
        <v>7</v>
      </c>
      <c r="D263" t="s">
        <v>104</v>
      </c>
      <c r="E263" t="s">
        <v>94</v>
      </c>
      <c r="F263" t="s">
        <v>95</v>
      </c>
      <c r="G263">
        <v>0</v>
      </c>
      <c r="H263">
        <v>2E+20</v>
      </c>
      <c r="I263">
        <v>0</v>
      </c>
      <c r="J263">
        <v>0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30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0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0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0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</v>
      </c>
      <c r="U263" s="5">
        <f>IF((ContinuousStatsTable[[#This Row],[RepsRequested]]&gt;1),ContinuousStatsTable[[#This Row],[HalfWidth]],ContinuousStatsTable[[#This Row],[BatchMeansHalfWidth]])</f>
        <v>0</v>
      </c>
    </row>
    <row r="264" spans="1:21" x14ac:dyDescent="0.3">
      <c r="A264" t="s">
        <v>66</v>
      </c>
      <c r="B264" t="s">
        <v>68</v>
      </c>
      <c r="C264">
        <v>7</v>
      </c>
      <c r="D264" t="s">
        <v>104</v>
      </c>
      <c r="E264" t="s">
        <v>96</v>
      </c>
      <c r="F264" t="s">
        <v>95</v>
      </c>
      <c r="G264">
        <v>0</v>
      </c>
      <c r="H264">
        <v>2E+20</v>
      </c>
      <c r="I264">
        <v>0</v>
      </c>
      <c r="J264">
        <v>0</v>
      </c>
      <c r="K264">
        <v>0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30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0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0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0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3">
      <c r="A265" t="s">
        <v>66</v>
      </c>
      <c r="B265" t="s">
        <v>68</v>
      </c>
      <c r="C265">
        <v>7</v>
      </c>
      <c r="D265" t="s">
        <v>104</v>
      </c>
      <c r="E265" t="s">
        <v>97</v>
      </c>
      <c r="F265" t="s">
        <v>95</v>
      </c>
      <c r="G265">
        <v>3</v>
      </c>
      <c r="H265">
        <v>2E+20</v>
      </c>
      <c r="I265">
        <v>3</v>
      </c>
      <c r="J265">
        <v>3</v>
      </c>
      <c r="K265">
        <v>3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30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3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3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3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3">
      <c r="A266" t="s">
        <v>66</v>
      </c>
      <c r="B266" t="s">
        <v>68</v>
      </c>
      <c r="C266">
        <v>7</v>
      </c>
      <c r="D266" t="s">
        <v>105</v>
      </c>
      <c r="E266" t="s">
        <v>94</v>
      </c>
      <c r="F266" t="s">
        <v>95</v>
      </c>
      <c r="G266">
        <v>0.87558796078330503</v>
      </c>
      <c r="H266">
        <v>2E+20</v>
      </c>
      <c r="I266">
        <v>0</v>
      </c>
      <c r="J266">
        <v>1</v>
      </c>
      <c r="K266">
        <v>1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30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0.634589476164233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0.99383259650362799</v>
      </c>
      <c r="U266" s="5">
        <f>IF((ContinuousStatsTable[[#This Row],[RepsRequested]]&gt;1),ContinuousStatsTable[[#This Row],[HalfWidth]],ContinuousStatsTable[[#This Row],[BatchMeansHalfWidth]])</f>
        <v>3.9940526897700258E-2</v>
      </c>
    </row>
    <row r="267" spans="1:21" x14ac:dyDescent="0.3">
      <c r="A267" t="s">
        <v>66</v>
      </c>
      <c r="B267" t="s">
        <v>68</v>
      </c>
      <c r="C267">
        <v>7</v>
      </c>
      <c r="D267" t="s">
        <v>105</v>
      </c>
      <c r="E267" t="s">
        <v>96</v>
      </c>
      <c r="F267" t="s">
        <v>95</v>
      </c>
      <c r="G267">
        <v>0.87558796078330503</v>
      </c>
      <c r="H267">
        <v>2E+20</v>
      </c>
      <c r="I267">
        <v>0</v>
      </c>
      <c r="J267">
        <v>1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30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0.634589476164233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0.99383259650362799</v>
      </c>
      <c r="U267" s="5">
        <f>IF((ContinuousStatsTable[[#This Row],[RepsRequested]]&gt;1),ContinuousStatsTable[[#This Row],[HalfWidth]],ContinuousStatsTable[[#This Row],[BatchMeansHalfWidth]])</f>
        <v>3.9940526897700258E-2</v>
      </c>
    </row>
    <row r="268" spans="1:21" x14ac:dyDescent="0.3">
      <c r="A268" t="s">
        <v>66</v>
      </c>
      <c r="B268" t="s">
        <v>68</v>
      </c>
      <c r="C268">
        <v>7</v>
      </c>
      <c r="D268" t="s">
        <v>105</v>
      </c>
      <c r="E268" t="s">
        <v>97</v>
      </c>
      <c r="F268" t="s">
        <v>95</v>
      </c>
      <c r="G268">
        <v>1</v>
      </c>
      <c r="H268">
        <v>2E+20</v>
      </c>
      <c r="I268">
        <v>1</v>
      </c>
      <c r="J268">
        <v>1</v>
      </c>
      <c r="K268">
        <v>1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30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1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0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1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1</v>
      </c>
      <c r="U268" s="5">
        <f>IF((ContinuousStatsTable[[#This Row],[RepsRequested]]&gt;1),ContinuousStatsTable[[#This Row],[HalfWidth]],ContinuousStatsTable[[#This Row],[BatchMeansHalfWidth]])</f>
        <v>0</v>
      </c>
    </row>
    <row r="269" spans="1:21" x14ac:dyDescent="0.3">
      <c r="A269" t="s">
        <v>66</v>
      </c>
      <c r="B269" t="s">
        <v>68</v>
      </c>
      <c r="C269">
        <v>7</v>
      </c>
      <c r="D269" t="s">
        <v>106</v>
      </c>
      <c r="E269" t="s">
        <v>94</v>
      </c>
      <c r="F269" t="s">
        <v>95</v>
      </c>
      <c r="G269">
        <v>0.81925656722940299</v>
      </c>
      <c r="H269">
        <v>2E+20</v>
      </c>
      <c r="I269">
        <v>0</v>
      </c>
      <c r="J269">
        <v>1</v>
      </c>
      <c r="K269">
        <v>0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30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0.74061105631083801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0.99245161744166299</v>
      </c>
      <c r="U269" s="5">
        <f>IF((ContinuousStatsTable[[#This Row],[RepsRequested]]&gt;1),ContinuousStatsTable[[#This Row],[HalfWidth]],ContinuousStatsTable[[#This Row],[BatchMeansHalfWidth]])</f>
        <v>2.8912497794626357E-2</v>
      </c>
    </row>
    <row r="270" spans="1:21" x14ac:dyDescent="0.3">
      <c r="A270" t="s">
        <v>66</v>
      </c>
      <c r="B270" t="s">
        <v>68</v>
      </c>
      <c r="C270">
        <v>7</v>
      </c>
      <c r="D270" t="s">
        <v>106</v>
      </c>
      <c r="E270" t="s">
        <v>96</v>
      </c>
      <c r="F270" t="s">
        <v>95</v>
      </c>
      <c r="G270">
        <v>0.81925656722940299</v>
      </c>
      <c r="H270">
        <v>2E+20</v>
      </c>
      <c r="I270">
        <v>0</v>
      </c>
      <c r="J270">
        <v>1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30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0.74061105631083801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0.99245161744166299</v>
      </c>
      <c r="U270" s="5">
        <f>IF((ContinuousStatsTable[[#This Row],[RepsRequested]]&gt;1),ContinuousStatsTable[[#This Row],[HalfWidth]],ContinuousStatsTable[[#This Row],[BatchMeansHalfWidth]])</f>
        <v>2.8912497794626357E-2</v>
      </c>
    </row>
    <row r="271" spans="1:21" x14ac:dyDescent="0.3">
      <c r="A271" t="s">
        <v>66</v>
      </c>
      <c r="B271" t="s">
        <v>68</v>
      </c>
      <c r="C271">
        <v>7</v>
      </c>
      <c r="D271" t="s">
        <v>106</v>
      </c>
      <c r="E271" t="s">
        <v>97</v>
      </c>
      <c r="F271" t="s">
        <v>95</v>
      </c>
      <c r="G271">
        <v>1</v>
      </c>
      <c r="H271">
        <v>2E+20</v>
      </c>
      <c r="I271">
        <v>1</v>
      </c>
      <c r="J271">
        <v>1</v>
      </c>
      <c r="K271">
        <v>1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30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1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1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</v>
      </c>
      <c r="U271" s="5">
        <f>IF((ContinuousStatsTable[[#This Row],[RepsRequested]]&gt;1),ContinuousStatsTable[[#This Row],[HalfWidth]],ContinuousStatsTable[[#This Row],[BatchMeansHalfWidth]])</f>
        <v>0</v>
      </c>
    </row>
    <row r="272" spans="1:21" x14ac:dyDescent="0.3">
      <c r="A272" t="s">
        <v>66</v>
      </c>
      <c r="B272" t="s">
        <v>68</v>
      </c>
      <c r="C272">
        <v>7</v>
      </c>
      <c r="D272" t="s">
        <v>107</v>
      </c>
      <c r="E272" t="s">
        <v>94</v>
      </c>
      <c r="F272" t="s">
        <v>95</v>
      </c>
      <c r="G272">
        <v>0.89702580167172297</v>
      </c>
      <c r="H272">
        <v>2E+20</v>
      </c>
      <c r="I272">
        <v>0</v>
      </c>
      <c r="J272">
        <v>1</v>
      </c>
      <c r="K272">
        <v>1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30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0.73843386001690303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0.99245161744166299</v>
      </c>
      <c r="U272" s="5">
        <f>IF((ContinuousStatsTable[[#This Row],[RepsRequested]]&gt;1),ContinuousStatsTable[[#This Row],[HalfWidth]],ContinuousStatsTable[[#This Row],[BatchMeansHalfWidth]])</f>
        <v>2.6057642646860522E-2</v>
      </c>
    </row>
    <row r="273" spans="1:21" x14ac:dyDescent="0.3">
      <c r="A273" t="s">
        <v>66</v>
      </c>
      <c r="B273" t="s">
        <v>68</v>
      </c>
      <c r="C273">
        <v>7</v>
      </c>
      <c r="D273" t="s">
        <v>107</v>
      </c>
      <c r="E273" t="s">
        <v>96</v>
      </c>
      <c r="F273" t="s">
        <v>95</v>
      </c>
      <c r="G273">
        <v>0.89702580167172297</v>
      </c>
      <c r="H273">
        <v>2E+20</v>
      </c>
      <c r="I273">
        <v>0</v>
      </c>
      <c r="J273">
        <v>1</v>
      </c>
      <c r="K273">
        <v>1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30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0.73843386001690303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0.99245161744166299</v>
      </c>
      <c r="U273" s="5">
        <f>IF((ContinuousStatsTable[[#This Row],[RepsRequested]]&gt;1),ContinuousStatsTable[[#This Row],[HalfWidth]],ContinuousStatsTable[[#This Row],[BatchMeansHalfWidth]])</f>
        <v>2.6057642646860522E-2</v>
      </c>
    </row>
    <row r="274" spans="1:21" x14ac:dyDescent="0.3">
      <c r="A274" t="s">
        <v>66</v>
      </c>
      <c r="B274" t="s">
        <v>68</v>
      </c>
      <c r="C274">
        <v>7</v>
      </c>
      <c r="D274" t="s">
        <v>107</v>
      </c>
      <c r="E274" t="s">
        <v>97</v>
      </c>
      <c r="F274" t="s">
        <v>95</v>
      </c>
      <c r="G274">
        <v>1</v>
      </c>
      <c r="H274">
        <v>2E+20</v>
      </c>
      <c r="I274">
        <v>1</v>
      </c>
      <c r="J274">
        <v>1</v>
      </c>
      <c r="K274">
        <v>1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30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1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1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1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3">
      <c r="A275" t="s">
        <v>66</v>
      </c>
      <c r="B275" t="s">
        <v>68</v>
      </c>
      <c r="C275">
        <v>8</v>
      </c>
      <c r="D275" t="s">
        <v>69</v>
      </c>
      <c r="E275" t="s">
        <v>92</v>
      </c>
      <c r="F275" t="s">
        <v>71</v>
      </c>
      <c r="G275">
        <v>6.6261789405965699</v>
      </c>
      <c r="H275">
        <v>2E+20</v>
      </c>
      <c r="I275">
        <v>0</v>
      </c>
      <c r="J275">
        <v>21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30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2.2853775994771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9.3827575078214593</v>
      </c>
      <c r="U275" s="5">
        <f>IF((ContinuousStatsTable[[#This Row],[RepsRequested]]&gt;1),ContinuousStatsTable[[#This Row],[HalfWidth]],ContinuousStatsTable[[#This Row],[BatchMeansHalfWidth]])</f>
        <v>0.70373665421471332</v>
      </c>
    </row>
    <row r="276" spans="1:21" x14ac:dyDescent="0.3">
      <c r="A276" t="s">
        <v>66</v>
      </c>
      <c r="B276" t="s">
        <v>68</v>
      </c>
      <c r="C276">
        <v>8</v>
      </c>
      <c r="D276" t="s">
        <v>72</v>
      </c>
      <c r="E276" t="s">
        <v>92</v>
      </c>
      <c r="F276" t="s">
        <v>71</v>
      </c>
      <c r="G276">
        <v>5.0841401649150404</v>
      </c>
      <c r="H276">
        <v>2E+20</v>
      </c>
      <c r="I276">
        <v>0</v>
      </c>
      <c r="J276">
        <v>27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30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1.4754093813695901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8.0603747791942499</v>
      </c>
      <c r="U276" s="5">
        <f>IF((ContinuousStatsTable[[#This Row],[RepsRequested]]&gt;1),ContinuousStatsTable[[#This Row],[HalfWidth]],ContinuousStatsTable[[#This Row],[BatchMeansHalfWidth]])</f>
        <v>0.5936172943910426</v>
      </c>
    </row>
    <row r="277" spans="1:21" x14ac:dyDescent="0.3">
      <c r="A277" t="s">
        <v>66</v>
      </c>
      <c r="B277" t="s">
        <v>68</v>
      </c>
      <c r="C277">
        <v>8</v>
      </c>
      <c r="D277" t="s">
        <v>73</v>
      </c>
      <c r="E277" t="s">
        <v>92</v>
      </c>
      <c r="F277" t="s">
        <v>71</v>
      </c>
      <c r="G277">
        <v>5.9773563342760996</v>
      </c>
      <c r="H277">
        <v>2E+20</v>
      </c>
      <c r="I277">
        <v>0</v>
      </c>
      <c r="J277">
        <v>23</v>
      </c>
      <c r="K277">
        <v>3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30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1.3305593103954101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29.356614544212601</v>
      </c>
      <c r="U277" s="5">
        <f>IF((ContinuousStatsTable[[#This Row],[RepsRequested]]&gt;1),ContinuousStatsTable[[#This Row],[HalfWidth]],ContinuousStatsTable[[#This Row],[BatchMeansHalfWidth]])</f>
        <v>2.162177461749093</v>
      </c>
    </row>
    <row r="278" spans="1:21" x14ac:dyDescent="0.3">
      <c r="A278" t="s">
        <v>66</v>
      </c>
      <c r="B278" t="s">
        <v>68</v>
      </c>
      <c r="C278">
        <v>8</v>
      </c>
      <c r="D278" t="s">
        <v>74</v>
      </c>
      <c r="E278" t="s">
        <v>92</v>
      </c>
      <c r="F278" t="s">
        <v>71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30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</v>
      </c>
      <c r="U278" s="5">
        <f>IF((ContinuousStatsTable[[#This Row],[RepsRequested]]&gt;1),ContinuousStatsTable[[#This Row],[HalfWidth]],ContinuousStatsTable[[#This Row],[BatchMeansHalfWidth]])</f>
        <v>0</v>
      </c>
    </row>
    <row r="279" spans="1:21" x14ac:dyDescent="0.3">
      <c r="A279" t="s">
        <v>66</v>
      </c>
      <c r="B279" t="s">
        <v>68</v>
      </c>
      <c r="C279">
        <v>8</v>
      </c>
      <c r="D279" t="s">
        <v>75</v>
      </c>
      <c r="E279" t="s">
        <v>92</v>
      </c>
      <c r="F279" t="s">
        <v>71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30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3">
      <c r="A280" t="s">
        <v>66</v>
      </c>
      <c r="B280" t="s">
        <v>68</v>
      </c>
      <c r="C280">
        <v>8</v>
      </c>
      <c r="D280" t="s">
        <v>76</v>
      </c>
      <c r="E280" t="s">
        <v>92</v>
      </c>
      <c r="F280" t="s">
        <v>71</v>
      </c>
      <c r="G280">
        <v>2.4336568959657998</v>
      </c>
      <c r="H280">
        <v>2E+20</v>
      </c>
      <c r="I280">
        <v>0</v>
      </c>
      <c r="J280">
        <v>16</v>
      </c>
      <c r="K280">
        <v>0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30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4.5869485136026601E-2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4.1119263103435699</v>
      </c>
      <c r="U280" s="5">
        <f>IF((ContinuousStatsTable[[#This Row],[RepsRequested]]&gt;1),ContinuousStatsTable[[#This Row],[HalfWidth]],ContinuousStatsTable[[#This Row],[BatchMeansHalfWidth]])</f>
        <v>0.43252967563899991</v>
      </c>
    </row>
    <row r="281" spans="1:21" x14ac:dyDescent="0.3">
      <c r="A281" t="s">
        <v>66</v>
      </c>
      <c r="B281" t="s">
        <v>68</v>
      </c>
      <c r="C281">
        <v>8</v>
      </c>
      <c r="D281" t="s">
        <v>77</v>
      </c>
      <c r="E281" t="s">
        <v>92</v>
      </c>
      <c r="F281" t="s">
        <v>71</v>
      </c>
      <c r="G281">
        <v>0</v>
      </c>
      <c r="H281">
        <v>2E+20</v>
      </c>
      <c r="I281">
        <v>0</v>
      </c>
      <c r="J281">
        <v>0</v>
      </c>
      <c r="K281">
        <v>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30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0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</v>
      </c>
      <c r="U281" s="5">
        <f>IF((ContinuousStatsTable[[#This Row],[RepsRequested]]&gt;1),ContinuousStatsTable[[#This Row],[HalfWidth]],ContinuousStatsTable[[#This Row],[BatchMeansHalfWidth]])</f>
        <v>0</v>
      </c>
    </row>
    <row r="282" spans="1:21" x14ac:dyDescent="0.3">
      <c r="A282" t="s">
        <v>66</v>
      </c>
      <c r="B282" t="s">
        <v>68</v>
      </c>
      <c r="C282">
        <v>8</v>
      </c>
      <c r="D282" t="s">
        <v>78</v>
      </c>
      <c r="E282" t="s">
        <v>92</v>
      </c>
      <c r="F282" t="s">
        <v>71</v>
      </c>
      <c r="G282">
        <v>0</v>
      </c>
      <c r="H282">
        <v>2E+20</v>
      </c>
      <c r="I282">
        <v>0</v>
      </c>
      <c r="J282">
        <v>0</v>
      </c>
      <c r="K282">
        <v>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30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0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0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0</v>
      </c>
      <c r="U282" s="5">
        <f>IF((ContinuousStatsTable[[#This Row],[RepsRequested]]&gt;1),ContinuousStatsTable[[#This Row],[HalfWidth]],ContinuousStatsTable[[#This Row],[BatchMeansHalfWidth]])</f>
        <v>0</v>
      </c>
    </row>
    <row r="283" spans="1:21" x14ac:dyDescent="0.3">
      <c r="A283" t="s">
        <v>66</v>
      </c>
      <c r="B283" t="s">
        <v>68</v>
      </c>
      <c r="C283">
        <v>8</v>
      </c>
      <c r="D283" t="s">
        <v>93</v>
      </c>
      <c r="E283" t="s">
        <v>94</v>
      </c>
      <c r="F283" t="s">
        <v>95</v>
      </c>
      <c r="G283">
        <v>3.36326834653402E-2</v>
      </c>
      <c r="H283">
        <v>2E+20</v>
      </c>
      <c r="I283">
        <v>0</v>
      </c>
      <c r="J283">
        <v>0.15</v>
      </c>
      <c r="K283">
        <v>0.05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30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2.3718114155243601E-2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4.8583931724403701E-2</v>
      </c>
      <c r="U283" s="5">
        <f>IF((ContinuousStatsTable[[#This Row],[RepsRequested]]&gt;1),ContinuousStatsTable[[#This Row],[HalfWidth]],ContinuousStatsTable[[#This Row],[BatchMeansHalfWidth]])</f>
        <v>2.4839579632442289E-3</v>
      </c>
    </row>
    <row r="284" spans="1:21" x14ac:dyDescent="0.3">
      <c r="A284" t="s">
        <v>66</v>
      </c>
      <c r="B284" t="s">
        <v>68</v>
      </c>
      <c r="C284">
        <v>8</v>
      </c>
      <c r="D284" t="s">
        <v>93</v>
      </c>
      <c r="E284" t="s">
        <v>96</v>
      </c>
      <c r="F284" t="s">
        <v>95</v>
      </c>
      <c r="G284">
        <v>0.67265366930680404</v>
      </c>
      <c r="H284">
        <v>2E+20</v>
      </c>
      <c r="I284">
        <v>0</v>
      </c>
      <c r="J284">
        <v>3</v>
      </c>
      <c r="K284">
        <v>1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30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0.47436228310487299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0.97167863448807401</v>
      </c>
      <c r="U284" s="5">
        <f>IF((ContinuousStatsTable[[#This Row],[RepsRequested]]&gt;1),ContinuousStatsTable[[#This Row],[HalfWidth]],ContinuousStatsTable[[#This Row],[BatchMeansHalfWidth]])</f>
        <v>4.9679159264885281E-2</v>
      </c>
    </row>
    <row r="285" spans="1:21" x14ac:dyDescent="0.3">
      <c r="A285" t="s">
        <v>66</v>
      </c>
      <c r="B285" t="s">
        <v>68</v>
      </c>
      <c r="C285">
        <v>8</v>
      </c>
      <c r="D285" t="s">
        <v>93</v>
      </c>
      <c r="E285" t="s">
        <v>97</v>
      </c>
      <c r="F285" t="s">
        <v>95</v>
      </c>
      <c r="G285">
        <v>20</v>
      </c>
      <c r="H285">
        <v>2E+20</v>
      </c>
      <c r="I285">
        <v>20</v>
      </c>
      <c r="J285">
        <v>20</v>
      </c>
      <c r="K285">
        <v>20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30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20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0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20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20</v>
      </c>
      <c r="U285" s="5">
        <f>IF((ContinuousStatsTable[[#This Row],[RepsRequested]]&gt;1),ContinuousStatsTable[[#This Row],[HalfWidth]],ContinuousStatsTable[[#This Row],[BatchMeansHalfWidth]])</f>
        <v>0</v>
      </c>
    </row>
    <row r="286" spans="1:21" x14ac:dyDescent="0.3">
      <c r="A286" t="s">
        <v>66</v>
      </c>
      <c r="B286" t="s">
        <v>68</v>
      </c>
      <c r="C286">
        <v>8</v>
      </c>
      <c r="D286" t="s">
        <v>98</v>
      </c>
      <c r="E286" t="s">
        <v>94</v>
      </c>
      <c r="F286" t="s">
        <v>95</v>
      </c>
      <c r="G286">
        <v>0.234236882354284</v>
      </c>
      <c r="H286">
        <v>2E+20</v>
      </c>
      <c r="I286">
        <v>0</v>
      </c>
      <c r="J286">
        <v>0.75</v>
      </c>
      <c r="K286">
        <v>0.1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30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0.20767736113278101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0.28501162927715501</v>
      </c>
      <c r="U286" s="5">
        <f>IF((ContinuousStatsTable[[#This Row],[RepsRequested]]&gt;1),ContinuousStatsTable[[#This Row],[HalfWidth]],ContinuousStatsTable[[#This Row],[BatchMeansHalfWidth]])</f>
        <v>8.7273384073404715E-3</v>
      </c>
    </row>
    <row r="287" spans="1:21" x14ac:dyDescent="0.3">
      <c r="A287" t="s">
        <v>66</v>
      </c>
      <c r="B287" t="s">
        <v>68</v>
      </c>
      <c r="C287">
        <v>8</v>
      </c>
      <c r="D287" t="s">
        <v>98</v>
      </c>
      <c r="E287" t="s">
        <v>96</v>
      </c>
      <c r="F287" t="s">
        <v>95</v>
      </c>
      <c r="G287">
        <v>4.6847376470856696</v>
      </c>
      <c r="H287">
        <v>2E+20</v>
      </c>
      <c r="I287">
        <v>0</v>
      </c>
      <c r="J287">
        <v>15</v>
      </c>
      <c r="K287">
        <v>2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30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4.15354722265561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5.7002325855431097</v>
      </c>
      <c r="U287" s="5">
        <f>IF((ContinuousStatsTable[[#This Row],[RepsRequested]]&gt;1),ContinuousStatsTable[[#This Row],[HalfWidth]],ContinuousStatsTable[[#This Row],[BatchMeansHalfWidth]])</f>
        <v>0.17454676814681078</v>
      </c>
    </row>
    <row r="288" spans="1:21" x14ac:dyDescent="0.3">
      <c r="A288" t="s">
        <v>66</v>
      </c>
      <c r="B288" t="s">
        <v>68</v>
      </c>
      <c r="C288">
        <v>8</v>
      </c>
      <c r="D288" t="s">
        <v>98</v>
      </c>
      <c r="E288" t="s">
        <v>97</v>
      </c>
      <c r="F288" t="s">
        <v>95</v>
      </c>
      <c r="G288">
        <v>20</v>
      </c>
      <c r="H288">
        <v>2E+20</v>
      </c>
      <c r="I288">
        <v>20</v>
      </c>
      <c r="J288">
        <v>20</v>
      </c>
      <c r="K288">
        <v>20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30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20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20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20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3">
      <c r="A289" t="s">
        <v>66</v>
      </c>
      <c r="B289" t="s">
        <v>68</v>
      </c>
      <c r="C289">
        <v>8</v>
      </c>
      <c r="D289" t="s">
        <v>99</v>
      </c>
      <c r="E289" t="s">
        <v>94</v>
      </c>
      <c r="F289" t="s">
        <v>95</v>
      </c>
      <c r="G289">
        <v>0.65997051406998897</v>
      </c>
      <c r="H289">
        <v>2E+20</v>
      </c>
      <c r="I289">
        <v>0</v>
      </c>
      <c r="J289">
        <v>1</v>
      </c>
      <c r="K289">
        <v>0.3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30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0.517215348442703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0.67770389283754395</v>
      </c>
      <c r="U289" s="5">
        <f>IF((ContinuousStatsTable[[#This Row],[RepsRequested]]&gt;1),ContinuousStatsTable[[#This Row],[HalfWidth]],ContinuousStatsTable[[#This Row],[BatchMeansHalfWidth]])</f>
        <v>1.8059192833960565E-2</v>
      </c>
    </row>
    <row r="290" spans="1:21" x14ac:dyDescent="0.3">
      <c r="A290" t="s">
        <v>66</v>
      </c>
      <c r="B290" t="s">
        <v>68</v>
      </c>
      <c r="C290">
        <v>8</v>
      </c>
      <c r="D290" t="s">
        <v>99</v>
      </c>
      <c r="E290" t="s">
        <v>96</v>
      </c>
      <c r="F290" t="s">
        <v>95</v>
      </c>
      <c r="G290">
        <v>6.5997051406998999</v>
      </c>
      <c r="H290">
        <v>2E+20</v>
      </c>
      <c r="I290">
        <v>0</v>
      </c>
      <c r="J290">
        <v>10</v>
      </c>
      <c r="K290">
        <v>3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30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5.1721534844270298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6.7770389283754398</v>
      </c>
      <c r="U290" s="5">
        <f>IF((ContinuousStatsTable[[#This Row],[RepsRequested]]&gt;1),ContinuousStatsTable[[#This Row],[HalfWidth]],ContinuousStatsTable[[#This Row],[BatchMeansHalfWidth]])</f>
        <v>0.18059192833960558</v>
      </c>
    </row>
    <row r="291" spans="1:21" x14ac:dyDescent="0.3">
      <c r="A291" t="s">
        <v>66</v>
      </c>
      <c r="B291" t="s">
        <v>68</v>
      </c>
      <c r="C291">
        <v>8</v>
      </c>
      <c r="D291" t="s">
        <v>99</v>
      </c>
      <c r="E291" t="s">
        <v>97</v>
      </c>
      <c r="F291" t="s">
        <v>95</v>
      </c>
      <c r="G291">
        <v>10</v>
      </c>
      <c r="H291">
        <v>2E+20</v>
      </c>
      <c r="I291">
        <v>10</v>
      </c>
      <c r="J291">
        <v>10</v>
      </c>
      <c r="K291">
        <v>10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30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10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10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10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3">
      <c r="A292" t="s">
        <v>66</v>
      </c>
      <c r="B292" t="s">
        <v>68</v>
      </c>
      <c r="C292">
        <v>8</v>
      </c>
      <c r="D292" t="s">
        <v>100</v>
      </c>
      <c r="E292" t="s">
        <v>94</v>
      </c>
      <c r="F292" t="s">
        <v>95</v>
      </c>
      <c r="G292">
        <v>0.17449546305163599</v>
      </c>
      <c r="H292">
        <v>2E+20</v>
      </c>
      <c r="I292">
        <v>0</v>
      </c>
      <c r="J292">
        <v>0.4</v>
      </c>
      <c r="K292">
        <v>0.16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30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0.14484829778125299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0.19609322315655101</v>
      </c>
      <c r="U292" s="5">
        <f>IF((ContinuousStatsTable[[#This Row],[RepsRequested]]&gt;1),ContinuousStatsTable[[#This Row],[HalfWidth]],ContinuousStatsTable[[#This Row],[BatchMeansHalfWidth]])</f>
        <v>4.9714113556225048E-3</v>
      </c>
    </row>
    <row r="293" spans="1:21" x14ac:dyDescent="0.3">
      <c r="A293" t="s">
        <v>66</v>
      </c>
      <c r="B293" t="s">
        <v>68</v>
      </c>
      <c r="C293">
        <v>8</v>
      </c>
      <c r="D293" t="s">
        <v>100</v>
      </c>
      <c r="E293" t="s">
        <v>96</v>
      </c>
      <c r="F293" t="s">
        <v>95</v>
      </c>
      <c r="G293">
        <v>8.72477315258182</v>
      </c>
      <c r="H293">
        <v>2E+20</v>
      </c>
      <c r="I293">
        <v>0</v>
      </c>
      <c r="J293">
        <v>20</v>
      </c>
      <c r="K293">
        <v>8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30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7.2424148890626396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9.8046611578275602</v>
      </c>
      <c r="U293" s="5">
        <f>IF((ContinuousStatsTable[[#This Row],[RepsRequested]]&gt;1),ContinuousStatsTable[[#This Row],[HalfWidth]],ContinuousStatsTable[[#This Row],[BatchMeansHalfWidth]])</f>
        <v>0.24857056778112663</v>
      </c>
    </row>
    <row r="294" spans="1:21" x14ac:dyDescent="0.3">
      <c r="A294" t="s">
        <v>66</v>
      </c>
      <c r="B294" t="s">
        <v>68</v>
      </c>
      <c r="C294">
        <v>8</v>
      </c>
      <c r="D294" t="s">
        <v>100</v>
      </c>
      <c r="E294" t="s">
        <v>97</v>
      </c>
      <c r="F294" t="s">
        <v>95</v>
      </c>
      <c r="G294">
        <v>50</v>
      </c>
      <c r="H294">
        <v>2E+20</v>
      </c>
      <c r="I294">
        <v>50</v>
      </c>
      <c r="J294">
        <v>50</v>
      </c>
      <c r="K294">
        <v>50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30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50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50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50</v>
      </c>
      <c r="U294" s="5">
        <f>IF((ContinuousStatsTable[[#This Row],[RepsRequested]]&gt;1),ContinuousStatsTable[[#This Row],[HalfWidth]],ContinuousStatsTable[[#This Row],[BatchMeansHalfWidth]])</f>
        <v>0</v>
      </c>
    </row>
    <row r="295" spans="1:21" x14ac:dyDescent="0.3">
      <c r="A295" t="s">
        <v>66</v>
      </c>
      <c r="B295" t="s">
        <v>68</v>
      </c>
      <c r="C295">
        <v>8</v>
      </c>
      <c r="D295" t="s">
        <v>101</v>
      </c>
      <c r="E295" t="s">
        <v>94</v>
      </c>
      <c r="F295" t="s">
        <v>95</v>
      </c>
      <c r="G295">
        <v>9.3675128784135905E-2</v>
      </c>
      <c r="H295">
        <v>2E+20</v>
      </c>
      <c r="I295">
        <v>0</v>
      </c>
      <c r="J295">
        <v>0.4</v>
      </c>
      <c r="K295">
        <v>0.133333333333333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30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7.4778736536586704E-2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0.111025455742452</v>
      </c>
      <c r="U295" s="5">
        <f>IF((ContinuousStatsTable[[#This Row],[RepsRequested]]&gt;1),ContinuousStatsTable[[#This Row],[HalfWidth]],ContinuousStatsTable[[#This Row],[BatchMeansHalfWidth]])</f>
        <v>4.1821462690338805E-3</v>
      </c>
    </row>
    <row r="296" spans="1:21" x14ac:dyDescent="0.3">
      <c r="A296" t="s">
        <v>66</v>
      </c>
      <c r="B296" t="s">
        <v>68</v>
      </c>
      <c r="C296">
        <v>8</v>
      </c>
      <c r="D296" t="s">
        <v>101</v>
      </c>
      <c r="E296" t="s">
        <v>96</v>
      </c>
      <c r="F296" t="s">
        <v>95</v>
      </c>
      <c r="G296">
        <v>1.4051269317620401</v>
      </c>
      <c r="H296">
        <v>2E+20</v>
      </c>
      <c r="I296">
        <v>0</v>
      </c>
      <c r="J296">
        <v>6</v>
      </c>
      <c r="K296">
        <v>2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30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1.1216810480488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1.66538183613678</v>
      </c>
      <c r="U296" s="5">
        <f>IF((ContinuousStatsTable[[#This Row],[RepsRequested]]&gt;1),ContinuousStatsTable[[#This Row],[HalfWidth]],ContinuousStatsTable[[#This Row],[BatchMeansHalfWidth]])</f>
        <v>6.2732194035507963E-2</v>
      </c>
    </row>
    <row r="297" spans="1:21" x14ac:dyDescent="0.3">
      <c r="A297" t="s">
        <v>66</v>
      </c>
      <c r="B297" t="s">
        <v>68</v>
      </c>
      <c r="C297">
        <v>8</v>
      </c>
      <c r="D297" t="s">
        <v>101</v>
      </c>
      <c r="E297" t="s">
        <v>97</v>
      </c>
      <c r="F297" t="s">
        <v>95</v>
      </c>
      <c r="G297">
        <v>15</v>
      </c>
      <c r="H297">
        <v>2E+20</v>
      </c>
      <c r="I297">
        <v>15</v>
      </c>
      <c r="J297">
        <v>15</v>
      </c>
      <c r="K297">
        <v>15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30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15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15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15</v>
      </c>
      <c r="U297" s="5">
        <f>IF((ContinuousStatsTable[[#This Row],[RepsRequested]]&gt;1),ContinuousStatsTable[[#This Row],[HalfWidth]],ContinuousStatsTable[[#This Row],[BatchMeansHalfWidth]])</f>
        <v>0</v>
      </c>
    </row>
    <row r="298" spans="1:21" x14ac:dyDescent="0.3">
      <c r="A298" t="s">
        <v>66</v>
      </c>
      <c r="B298" t="s">
        <v>68</v>
      </c>
      <c r="C298">
        <v>8</v>
      </c>
      <c r="D298" t="s">
        <v>102</v>
      </c>
      <c r="E298" t="s">
        <v>94</v>
      </c>
      <c r="F298" t="s">
        <v>95</v>
      </c>
      <c r="G298">
        <v>0.82347130139268299</v>
      </c>
      <c r="H298">
        <v>2E+20</v>
      </c>
      <c r="I298">
        <v>0</v>
      </c>
      <c r="J298">
        <v>1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30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0.73673947391417804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0.90592850818388704</v>
      </c>
      <c r="U298" s="5">
        <f>IF((ContinuousStatsTable[[#This Row],[RepsRequested]]&gt;1),ContinuousStatsTable[[#This Row],[HalfWidth]],ContinuousStatsTable[[#This Row],[BatchMeansHalfWidth]])</f>
        <v>1.8636241798384946E-2</v>
      </c>
    </row>
    <row r="299" spans="1:21" x14ac:dyDescent="0.3">
      <c r="A299" t="s">
        <v>66</v>
      </c>
      <c r="B299" t="s">
        <v>68</v>
      </c>
      <c r="C299">
        <v>8</v>
      </c>
      <c r="D299" t="s">
        <v>102</v>
      </c>
      <c r="E299" t="s">
        <v>96</v>
      </c>
      <c r="F299" t="s">
        <v>95</v>
      </c>
      <c r="G299">
        <v>1.6127702095006</v>
      </c>
      <c r="H299">
        <v>2E+20</v>
      </c>
      <c r="I299">
        <v>0</v>
      </c>
      <c r="J299">
        <v>3</v>
      </c>
      <c r="K299">
        <v>1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30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1.3726163545041801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1.7968913949876599</v>
      </c>
      <c r="U299" s="5">
        <f>IF((ContinuousStatsTable[[#This Row],[RepsRequested]]&gt;1),ContinuousStatsTable[[#This Row],[HalfWidth]],ContinuousStatsTable[[#This Row],[BatchMeansHalfWidth]])</f>
        <v>4.3123628688677348E-2</v>
      </c>
    </row>
    <row r="300" spans="1:21" x14ac:dyDescent="0.3">
      <c r="A300" t="s">
        <v>66</v>
      </c>
      <c r="B300" t="s">
        <v>68</v>
      </c>
      <c r="C300">
        <v>8</v>
      </c>
      <c r="D300" t="s">
        <v>102</v>
      </c>
      <c r="E300" t="s">
        <v>97</v>
      </c>
      <c r="F300" t="s">
        <v>95</v>
      </c>
      <c r="G300">
        <v>2</v>
      </c>
      <c r="H300">
        <v>2E+20</v>
      </c>
      <c r="I300">
        <v>1</v>
      </c>
      <c r="J300">
        <v>3</v>
      </c>
      <c r="K300">
        <v>1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30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2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2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2</v>
      </c>
      <c r="U300" s="5">
        <f>IF((ContinuousStatsTable[[#This Row],[RepsRequested]]&gt;1),ContinuousStatsTable[[#This Row],[HalfWidth]],ContinuousStatsTable[[#This Row],[BatchMeansHalfWidth]])</f>
        <v>0</v>
      </c>
    </row>
    <row r="301" spans="1:21" x14ac:dyDescent="0.3">
      <c r="A301" t="s">
        <v>66</v>
      </c>
      <c r="B301" t="s">
        <v>68</v>
      </c>
      <c r="C301">
        <v>8</v>
      </c>
      <c r="D301" t="s">
        <v>84</v>
      </c>
      <c r="E301" t="s">
        <v>103</v>
      </c>
      <c r="F301" t="s">
        <v>86</v>
      </c>
      <c r="G301">
        <v>56.543628695919899</v>
      </c>
      <c r="H301">
        <v>2E+20</v>
      </c>
      <c r="I301">
        <v>0</v>
      </c>
      <c r="J301">
        <v>98</v>
      </c>
      <c r="K301">
        <v>38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30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36.709886237305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84.594951996708403</v>
      </c>
      <c r="U301" s="5">
        <f>IF((ContinuousStatsTable[[#This Row],[RepsRequested]]&gt;1),ContinuousStatsTable[[#This Row],[HalfWidth]],ContinuousStatsTable[[#This Row],[BatchMeansHalfWidth]])</f>
        <v>4.0384933567271259</v>
      </c>
    </row>
    <row r="302" spans="1:21" x14ac:dyDescent="0.3">
      <c r="A302" t="s">
        <v>66</v>
      </c>
      <c r="B302" t="s">
        <v>68</v>
      </c>
      <c r="C302">
        <v>8</v>
      </c>
      <c r="D302" t="s">
        <v>104</v>
      </c>
      <c r="E302" t="s">
        <v>94</v>
      </c>
      <c r="F302" t="s">
        <v>95</v>
      </c>
      <c r="G302">
        <v>0</v>
      </c>
      <c r="H302">
        <v>2E+20</v>
      </c>
      <c r="I302">
        <v>0</v>
      </c>
      <c r="J302">
        <v>0</v>
      </c>
      <c r="K302">
        <v>0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30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0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0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</v>
      </c>
      <c r="U302" s="5">
        <f>IF((ContinuousStatsTable[[#This Row],[RepsRequested]]&gt;1),ContinuousStatsTable[[#This Row],[HalfWidth]],ContinuousStatsTable[[#This Row],[BatchMeansHalfWidth]])</f>
        <v>0</v>
      </c>
    </row>
    <row r="303" spans="1:21" x14ac:dyDescent="0.3">
      <c r="A303" t="s">
        <v>66</v>
      </c>
      <c r="B303" t="s">
        <v>68</v>
      </c>
      <c r="C303">
        <v>8</v>
      </c>
      <c r="D303" t="s">
        <v>104</v>
      </c>
      <c r="E303" t="s">
        <v>96</v>
      </c>
      <c r="F303" t="s">
        <v>95</v>
      </c>
      <c r="G303">
        <v>0</v>
      </c>
      <c r="H303">
        <v>2E+20</v>
      </c>
      <c r="I303">
        <v>0</v>
      </c>
      <c r="J303">
        <v>0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30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0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0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</v>
      </c>
      <c r="U303" s="5">
        <f>IF((ContinuousStatsTable[[#This Row],[RepsRequested]]&gt;1),ContinuousStatsTable[[#This Row],[HalfWidth]],ContinuousStatsTable[[#This Row],[BatchMeansHalfWidth]])</f>
        <v>0</v>
      </c>
    </row>
    <row r="304" spans="1:21" x14ac:dyDescent="0.3">
      <c r="A304" t="s">
        <v>66</v>
      </c>
      <c r="B304" t="s">
        <v>68</v>
      </c>
      <c r="C304">
        <v>8</v>
      </c>
      <c r="D304" t="s">
        <v>104</v>
      </c>
      <c r="E304" t="s">
        <v>97</v>
      </c>
      <c r="F304" t="s">
        <v>95</v>
      </c>
      <c r="G304">
        <v>3</v>
      </c>
      <c r="H304">
        <v>2E+20</v>
      </c>
      <c r="I304">
        <v>3</v>
      </c>
      <c r="J304">
        <v>3</v>
      </c>
      <c r="K304">
        <v>3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30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3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3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3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3">
      <c r="A305" t="s">
        <v>66</v>
      </c>
      <c r="B305" t="s">
        <v>68</v>
      </c>
      <c r="C305">
        <v>8</v>
      </c>
      <c r="D305" t="s">
        <v>105</v>
      </c>
      <c r="E305" t="s">
        <v>94</v>
      </c>
      <c r="F305" t="s">
        <v>95</v>
      </c>
      <c r="G305">
        <v>0.85504992561347204</v>
      </c>
      <c r="H305">
        <v>2E+20</v>
      </c>
      <c r="I305">
        <v>0</v>
      </c>
      <c r="J305">
        <v>1</v>
      </c>
      <c r="K305">
        <v>1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30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0.634589476164233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0.99383259650362799</v>
      </c>
      <c r="U305" s="5">
        <f>IF((ContinuousStatsTable[[#This Row],[RepsRequested]]&gt;1),ContinuousStatsTable[[#This Row],[HalfWidth]],ContinuousStatsTable[[#This Row],[BatchMeansHalfWidth]])</f>
        <v>3.9940526897700258E-2</v>
      </c>
    </row>
    <row r="306" spans="1:21" x14ac:dyDescent="0.3">
      <c r="A306" t="s">
        <v>66</v>
      </c>
      <c r="B306" t="s">
        <v>68</v>
      </c>
      <c r="C306">
        <v>8</v>
      </c>
      <c r="D306" t="s">
        <v>105</v>
      </c>
      <c r="E306" t="s">
        <v>96</v>
      </c>
      <c r="F306" t="s">
        <v>95</v>
      </c>
      <c r="G306">
        <v>0.85504992561347204</v>
      </c>
      <c r="H306">
        <v>2E+20</v>
      </c>
      <c r="I306">
        <v>0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30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0.634589476164233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0.99383259650362799</v>
      </c>
      <c r="U306" s="5">
        <f>IF((ContinuousStatsTable[[#This Row],[RepsRequested]]&gt;1),ContinuousStatsTable[[#This Row],[HalfWidth]],ContinuousStatsTable[[#This Row],[BatchMeansHalfWidth]])</f>
        <v>3.9940526897700258E-2</v>
      </c>
    </row>
    <row r="307" spans="1:21" x14ac:dyDescent="0.3">
      <c r="A307" t="s">
        <v>66</v>
      </c>
      <c r="B307" t="s">
        <v>68</v>
      </c>
      <c r="C307">
        <v>8</v>
      </c>
      <c r="D307" t="s">
        <v>105</v>
      </c>
      <c r="E307" t="s">
        <v>97</v>
      </c>
      <c r="F307" t="s">
        <v>95</v>
      </c>
      <c r="G307">
        <v>1</v>
      </c>
      <c r="H307">
        <v>2E+20</v>
      </c>
      <c r="I307">
        <v>1</v>
      </c>
      <c r="J307">
        <v>1</v>
      </c>
      <c r="K307">
        <v>1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30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1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1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1</v>
      </c>
      <c r="U307" s="5">
        <f>IF((ContinuousStatsTable[[#This Row],[RepsRequested]]&gt;1),ContinuousStatsTable[[#This Row],[HalfWidth]],ContinuousStatsTable[[#This Row],[BatchMeansHalfWidth]])</f>
        <v>0</v>
      </c>
    </row>
    <row r="308" spans="1:21" x14ac:dyDescent="0.3">
      <c r="A308" t="s">
        <v>66</v>
      </c>
      <c r="B308" t="s">
        <v>68</v>
      </c>
      <c r="C308">
        <v>8</v>
      </c>
      <c r="D308" t="s">
        <v>106</v>
      </c>
      <c r="E308" t="s">
        <v>94</v>
      </c>
      <c r="F308" t="s">
        <v>95</v>
      </c>
      <c r="G308">
        <v>0.85719230705826099</v>
      </c>
      <c r="H308">
        <v>2E+20</v>
      </c>
      <c r="I308">
        <v>0</v>
      </c>
      <c r="J308">
        <v>1</v>
      </c>
      <c r="K308">
        <v>1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30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0.74061105631083801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0.99245161744166299</v>
      </c>
      <c r="U308" s="5">
        <f>IF((ContinuousStatsTable[[#This Row],[RepsRequested]]&gt;1),ContinuousStatsTable[[#This Row],[HalfWidth]],ContinuousStatsTable[[#This Row],[BatchMeansHalfWidth]])</f>
        <v>2.8912497794626357E-2</v>
      </c>
    </row>
    <row r="309" spans="1:21" x14ac:dyDescent="0.3">
      <c r="A309" t="s">
        <v>66</v>
      </c>
      <c r="B309" t="s">
        <v>68</v>
      </c>
      <c r="C309">
        <v>8</v>
      </c>
      <c r="D309" t="s">
        <v>106</v>
      </c>
      <c r="E309" t="s">
        <v>96</v>
      </c>
      <c r="F309" t="s">
        <v>95</v>
      </c>
      <c r="G309">
        <v>0.85719230705826099</v>
      </c>
      <c r="H309">
        <v>2E+20</v>
      </c>
      <c r="I309">
        <v>0</v>
      </c>
      <c r="J309">
        <v>1</v>
      </c>
      <c r="K309">
        <v>1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30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0.74061105631083801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0.99245161744166299</v>
      </c>
      <c r="U309" s="5">
        <f>IF((ContinuousStatsTable[[#This Row],[RepsRequested]]&gt;1),ContinuousStatsTable[[#This Row],[HalfWidth]],ContinuousStatsTable[[#This Row],[BatchMeansHalfWidth]])</f>
        <v>2.8912497794626357E-2</v>
      </c>
    </row>
    <row r="310" spans="1:21" x14ac:dyDescent="0.3">
      <c r="A310" t="s">
        <v>66</v>
      </c>
      <c r="B310" t="s">
        <v>68</v>
      </c>
      <c r="C310">
        <v>8</v>
      </c>
      <c r="D310" t="s">
        <v>106</v>
      </c>
      <c r="E310" t="s">
        <v>97</v>
      </c>
      <c r="F310" t="s">
        <v>95</v>
      </c>
      <c r="G310">
        <v>1</v>
      </c>
      <c r="H310">
        <v>2E+20</v>
      </c>
      <c r="I310">
        <v>1</v>
      </c>
      <c r="J310">
        <v>1</v>
      </c>
      <c r="K310">
        <v>1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30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1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1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1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3">
      <c r="A311" t="s">
        <v>66</v>
      </c>
      <c r="B311" t="s">
        <v>68</v>
      </c>
      <c r="C311">
        <v>8</v>
      </c>
      <c r="D311" t="s">
        <v>107</v>
      </c>
      <c r="E311" t="s">
        <v>94</v>
      </c>
      <c r="F311" t="s">
        <v>95</v>
      </c>
      <c r="G311">
        <v>0.91658316619310198</v>
      </c>
      <c r="H311">
        <v>2E+20</v>
      </c>
      <c r="I311">
        <v>0</v>
      </c>
      <c r="J311">
        <v>1</v>
      </c>
      <c r="K311">
        <v>1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30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0.73843386001690303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0.99245161744166299</v>
      </c>
      <c r="U311" s="5">
        <f>IF((ContinuousStatsTable[[#This Row],[RepsRequested]]&gt;1),ContinuousStatsTable[[#This Row],[HalfWidth]],ContinuousStatsTable[[#This Row],[BatchMeansHalfWidth]])</f>
        <v>2.6057642646860522E-2</v>
      </c>
    </row>
    <row r="312" spans="1:21" x14ac:dyDescent="0.3">
      <c r="A312" t="s">
        <v>66</v>
      </c>
      <c r="B312" t="s">
        <v>68</v>
      </c>
      <c r="C312">
        <v>8</v>
      </c>
      <c r="D312" t="s">
        <v>107</v>
      </c>
      <c r="E312" t="s">
        <v>96</v>
      </c>
      <c r="F312" t="s">
        <v>95</v>
      </c>
      <c r="G312">
        <v>0.91658316619310198</v>
      </c>
      <c r="H312">
        <v>2E+20</v>
      </c>
      <c r="I312">
        <v>0</v>
      </c>
      <c r="J312">
        <v>1</v>
      </c>
      <c r="K312">
        <v>1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30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0.73843386001690303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0.99245161744166299</v>
      </c>
      <c r="U312" s="5">
        <f>IF((ContinuousStatsTable[[#This Row],[RepsRequested]]&gt;1),ContinuousStatsTable[[#This Row],[HalfWidth]],ContinuousStatsTable[[#This Row],[BatchMeansHalfWidth]])</f>
        <v>2.6057642646860522E-2</v>
      </c>
    </row>
    <row r="313" spans="1:21" x14ac:dyDescent="0.3">
      <c r="A313" t="s">
        <v>66</v>
      </c>
      <c r="B313" t="s">
        <v>68</v>
      </c>
      <c r="C313">
        <v>8</v>
      </c>
      <c r="D313" t="s">
        <v>107</v>
      </c>
      <c r="E313" t="s">
        <v>97</v>
      </c>
      <c r="F313" t="s">
        <v>95</v>
      </c>
      <c r="G313">
        <v>1</v>
      </c>
      <c r="H313">
        <v>2E+20</v>
      </c>
      <c r="I313">
        <v>1</v>
      </c>
      <c r="J313">
        <v>1</v>
      </c>
      <c r="K313">
        <v>1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30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1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1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1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3">
      <c r="A314" t="s">
        <v>66</v>
      </c>
      <c r="B314" t="s">
        <v>68</v>
      </c>
      <c r="C314">
        <v>9</v>
      </c>
      <c r="D314" t="s">
        <v>69</v>
      </c>
      <c r="E314" t="s">
        <v>92</v>
      </c>
      <c r="F314" t="s">
        <v>71</v>
      </c>
      <c r="G314">
        <v>7.3139462832397504</v>
      </c>
      <c r="H314">
        <v>2E+20</v>
      </c>
      <c r="I314">
        <v>0</v>
      </c>
      <c r="J314">
        <v>28</v>
      </c>
      <c r="K314">
        <v>2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30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2.2853775994771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9.3827575078214593</v>
      </c>
      <c r="U314" s="5">
        <f>IF((ContinuousStatsTable[[#This Row],[RepsRequested]]&gt;1),ContinuousStatsTable[[#This Row],[HalfWidth]],ContinuousStatsTable[[#This Row],[BatchMeansHalfWidth]])</f>
        <v>0.70373665421471332</v>
      </c>
    </row>
    <row r="315" spans="1:21" x14ac:dyDescent="0.3">
      <c r="A315" t="s">
        <v>66</v>
      </c>
      <c r="B315" t="s">
        <v>68</v>
      </c>
      <c r="C315">
        <v>9</v>
      </c>
      <c r="D315" t="s">
        <v>72</v>
      </c>
      <c r="E315" t="s">
        <v>92</v>
      </c>
      <c r="F315" t="s">
        <v>71</v>
      </c>
      <c r="G315">
        <v>6.6011366875362896</v>
      </c>
      <c r="H315">
        <v>2E+20</v>
      </c>
      <c r="I315">
        <v>0</v>
      </c>
      <c r="J315">
        <v>27</v>
      </c>
      <c r="K315">
        <v>3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30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1.4754093813695901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8.0603747791942499</v>
      </c>
      <c r="U315" s="5">
        <f>IF((ContinuousStatsTable[[#This Row],[RepsRequested]]&gt;1),ContinuousStatsTable[[#This Row],[HalfWidth]],ContinuousStatsTable[[#This Row],[BatchMeansHalfWidth]])</f>
        <v>0.5936172943910426</v>
      </c>
    </row>
    <row r="316" spans="1:21" x14ac:dyDescent="0.3">
      <c r="A316" t="s">
        <v>66</v>
      </c>
      <c r="B316" t="s">
        <v>68</v>
      </c>
      <c r="C316">
        <v>9</v>
      </c>
      <c r="D316" t="s">
        <v>73</v>
      </c>
      <c r="E316" t="s">
        <v>92</v>
      </c>
      <c r="F316" t="s">
        <v>71</v>
      </c>
      <c r="G316">
        <v>4.1139573615335001</v>
      </c>
      <c r="H316">
        <v>2E+20</v>
      </c>
      <c r="I316">
        <v>0</v>
      </c>
      <c r="J316">
        <v>18</v>
      </c>
      <c r="K316">
        <v>1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30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1.3305593103954101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29.356614544212601</v>
      </c>
      <c r="U316" s="5">
        <f>IF((ContinuousStatsTable[[#This Row],[RepsRequested]]&gt;1),ContinuousStatsTable[[#This Row],[HalfWidth]],ContinuousStatsTable[[#This Row],[BatchMeansHalfWidth]])</f>
        <v>2.162177461749093</v>
      </c>
    </row>
    <row r="317" spans="1:21" x14ac:dyDescent="0.3">
      <c r="A317" t="s">
        <v>66</v>
      </c>
      <c r="B317" t="s">
        <v>68</v>
      </c>
      <c r="C317">
        <v>9</v>
      </c>
      <c r="D317" t="s">
        <v>74</v>
      </c>
      <c r="E317" t="s">
        <v>92</v>
      </c>
      <c r="F317" t="s">
        <v>71</v>
      </c>
      <c r="G317">
        <v>0</v>
      </c>
      <c r="H317">
        <v>2E+20</v>
      </c>
      <c r="I317">
        <v>0</v>
      </c>
      <c r="J317">
        <v>0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30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</v>
      </c>
      <c r="U317" s="5">
        <f>IF((ContinuousStatsTable[[#This Row],[RepsRequested]]&gt;1),ContinuousStatsTable[[#This Row],[HalfWidth]],ContinuousStatsTable[[#This Row],[BatchMeansHalfWidth]])</f>
        <v>0</v>
      </c>
    </row>
    <row r="318" spans="1:21" x14ac:dyDescent="0.3">
      <c r="A318" t="s">
        <v>66</v>
      </c>
      <c r="B318" t="s">
        <v>68</v>
      </c>
      <c r="C318">
        <v>9</v>
      </c>
      <c r="D318" t="s">
        <v>75</v>
      </c>
      <c r="E318" t="s">
        <v>92</v>
      </c>
      <c r="F318" t="s">
        <v>71</v>
      </c>
      <c r="G318">
        <v>0</v>
      </c>
      <c r="H318">
        <v>2E+20</v>
      </c>
      <c r="I318">
        <v>0</v>
      </c>
      <c r="J318">
        <v>0</v>
      </c>
      <c r="K318">
        <v>0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30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0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0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3">
      <c r="A319" t="s">
        <v>66</v>
      </c>
      <c r="B319" t="s">
        <v>68</v>
      </c>
      <c r="C319">
        <v>9</v>
      </c>
      <c r="D319" t="s">
        <v>76</v>
      </c>
      <c r="E319" t="s">
        <v>92</v>
      </c>
      <c r="F319" t="s">
        <v>71</v>
      </c>
      <c r="G319">
        <v>1.2679145581062099</v>
      </c>
      <c r="H319">
        <v>2E+20</v>
      </c>
      <c r="I319">
        <v>0</v>
      </c>
      <c r="J319">
        <v>10</v>
      </c>
      <c r="K319">
        <v>0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30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4.5869485136026601E-2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4.1119263103435699</v>
      </c>
      <c r="U319" s="5">
        <f>IF((ContinuousStatsTable[[#This Row],[RepsRequested]]&gt;1),ContinuousStatsTable[[#This Row],[HalfWidth]],ContinuousStatsTable[[#This Row],[BatchMeansHalfWidth]])</f>
        <v>0.43252967563899991</v>
      </c>
    </row>
    <row r="320" spans="1:21" x14ac:dyDescent="0.3">
      <c r="A320" t="s">
        <v>66</v>
      </c>
      <c r="B320" t="s">
        <v>68</v>
      </c>
      <c r="C320">
        <v>9</v>
      </c>
      <c r="D320" t="s">
        <v>77</v>
      </c>
      <c r="E320" t="s">
        <v>92</v>
      </c>
      <c r="F320" t="s">
        <v>71</v>
      </c>
      <c r="G320">
        <v>0</v>
      </c>
      <c r="H320">
        <v>2E+20</v>
      </c>
      <c r="I320">
        <v>0</v>
      </c>
      <c r="J320">
        <v>0</v>
      </c>
      <c r="K320">
        <v>0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30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0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0</v>
      </c>
      <c r="U320" s="5">
        <f>IF((ContinuousStatsTable[[#This Row],[RepsRequested]]&gt;1),ContinuousStatsTable[[#This Row],[HalfWidth]],ContinuousStatsTable[[#This Row],[BatchMeansHalfWidth]])</f>
        <v>0</v>
      </c>
    </row>
    <row r="321" spans="1:21" x14ac:dyDescent="0.3">
      <c r="A321" t="s">
        <v>66</v>
      </c>
      <c r="B321" t="s">
        <v>68</v>
      </c>
      <c r="C321">
        <v>9</v>
      </c>
      <c r="D321" t="s">
        <v>78</v>
      </c>
      <c r="E321" t="s">
        <v>92</v>
      </c>
      <c r="F321" t="s">
        <v>71</v>
      </c>
      <c r="G321">
        <v>0</v>
      </c>
      <c r="H321">
        <v>2E+20</v>
      </c>
      <c r="I321">
        <v>0</v>
      </c>
      <c r="J321">
        <v>0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30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</v>
      </c>
      <c r="U321" s="5">
        <f>IF((ContinuousStatsTable[[#This Row],[RepsRequested]]&gt;1),ContinuousStatsTable[[#This Row],[HalfWidth]],ContinuousStatsTable[[#This Row],[BatchMeansHalfWidth]])</f>
        <v>0</v>
      </c>
    </row>
    <row r="322" spans="1:21" x14ac:dyDescent="0.3">
      <c r="A322" t="s">
        <v>66</v>
      </c>
      <c r="B322" t="s">
        <v>68</v>
      </c>
      <c r="C322">
        <v>9</v>
      </c>
      <c r="D322" t="s">
        <v>93</v>
      </c>
      <c r="E322" t="s">
        <v>94</v>
      </c>
      <c r="F322" t="s">
        <v>95</v>
      </c>
      <c r="G322">
        <v>2.8335636718683398E-2</v>
      </c>
      <c r="H322">
        <v>2E+20</v>
      </c>
      <c r="I322">
        <v>0</v>
      </c>
      <c r="J322">
        <v>0.35</v>
      </c>
      <c r="K322">
        <v>0.05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30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2.3718114155243601E-2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4.8583931724403701E-2</v>
      </c>
      <c r="U322" s="5">
        <f>IF((ContinuousStatsTable[[#This Row],[RepsRequested]]&gt;1),ContinuousStatsTable[[#This Row],[HalfWidth]],ContinuousStatsTable[[#This Row],[BatchMeansHalfWidth]])</f>
        <v>2.4839579632442289E-3</v>
      </c>
    </row>
    <row r="323" spans="1:21" x14ac:dyDescent="0.3">
      <c r="A323" t="s">
        <v>66</v>
      </c>
      <c r="B323" t="s">
        <v>68</v>
      </c>
      <c r="C323">
        <v>9</v>
      </c>
      <c r="D323" t="s">
        <v>93</v>
      </c>
      <c r="E323" t="s">
        <v>96</v>
      </c>
      <c r="F323" t="s">
        <v>95</v>
      </c>
      <c r="G323">
        <v>0.56671273437366798</v>
      </c>
      <c r="H323">
        <v>2E+20</v>
      </c>
      <c r="I323">
        <v>0</v>
      </c>
      <c r="J323">
        <v>7</v>
      </c>
      <c r="K323">
        <v>1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30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0.47436228310487299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0.97167863448807401</v>
      </c>
      <c r="U323" s="5">
        <f>IF((ContinuousStatsTable[[#This Row],[RepsRequested]]&gt;1),ContinuousStatsTable[[#This Row],[HalfWidth]],ContinuousStatsTable[[#This Row],[BatchMeansHalfWidth]])</f>
        <v>4.9679159264885281E-2</v>
      </c>
    </row>
    <row r="324" spans="1:21" x14ac:dyDescent="0.3">
      <c r="A324" t="s">
        <v>66</v>
      </c>
      <c r="B324" t="s">
        <v>68</v>
      </c>
      <c r="C324">
        <v>9</v>
      </c>
      <c r="D324" t="s">
        <v>93</v>
      </c>
      <c r="E324" t="s">
        <v>97</v>
      </c>
      <c r="F324" t="s">
        <v>95</v>
      </c>
      <c r="G324">
        <v>20</v>
      </c>
      <c r="H324">
        <v>2E+20</v>
      </c>
      <c r="I324">
        <v>20</v>
      </c>
      <c r="J324">
        <v>20</v>
      </c>
      <c r="K324">
        <v>20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30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20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0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20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20</v>
      </c>
      <c r="U324" s="5">
        <f>IF((ContinuousStatsTable[[#This Row],[RepsRequested]]&gt;1),ContinuousStatsTable[[#This Row],[HalfWidth]],ContinuousStatsTable[[#This Row],[BatchMeansHalfWidth]])</f>
        <v>0</v>
      </c>
    </row>
    <row r="325" spans="1:21" x14ac:dyDescent="0.3">
      <c r="A325" t="s">
        <v>66</v>
      </c>
      <c r="B325" t="s">
        <v>68</v>
      </c>
      <c r="C325">
        <v>9</v>
      </c>
      <c r="D325" t="s">
        <v>98</v>
      </c>
      <c r="E325" t="s">
        <v>94</v>
      </c>
      <c r="F325" t="s">
        <v>95</v>
      </c>
      <c r="G325">
        <v>0.28501162927715501</v>
      </c>
      <c r="H325">
        <v>2E+20</v>
      </c>
      <c r="I325">
        <v>0</v>
      </c>
      <c r="J325">
        <v>0.8</v>
      </c>
      <c r="K325">
        <v>0.55000000000000004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30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0.20767736113278101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0.28501162927715501</v>
      </c>
      <c r="U325" s="5">
        <f>IF((ContinuousStatsTable[[#This Row],[RepsRequested]]&gt;1),ContinuousStatsTable[[#This Row],[HalfWidth]],ContinuousStatsTable[[#This Row],[BatchMeansHalfWidth]])</f>
        <v>8.7273384073404715E-3</v>
      </c>
    </row>
    <row r="326" spans="1:21" x14ac:dyDescent="0.3">
      <c r="A326" t="s">
        <v>66</v>
      </c>
      <c r="B326" t="s">
        <v>68</v>
      </c>
      <c r="C326">
        <v>9</v>
      </c>
      <c r="D326" t="s">
        <v>98</v>
      </c>
      <c r="E326" t="s">
        <v>96</v>
      </c>
      <c r="F326" t="s">
        <v>95</v>
      </c>
      <c r="G326">
        <v>5.7002325855431097</v>
      </c>
      <c r="H326">
        <v>2E+20</v>
      </c>
      <c r="I326">
        <v>0</v>
      </c>
      <c r="J326">
        <v>16</v>
      </c>
      <c r="K326">
        <v>11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30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4.15354722265561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5.7002325855431097</v>
      </c>
      <c r="U326" s="5">
        <f>IF((ContinuousStatsTable[[#This Row],[RepsRequested]]&gt;1),ContinuousStatsTable[[#This Row],[HalfWidth]],ContinuousStatsTable[[#This Row],[BatchMeansHalfWidth]])</f>
        <v>0.17454676814681078</v>
      </c>
    </row>
    <row r="327" spans="1:21" x14ac:dyDescent="0.3">
      <c r="A327" t="s">
        <v>66</v>
      </c>
      <c r="B327" t="s">
        <v>68</v>
      </c>
      <c r="C327">
        <v>9</v>
      </c>
      <c r="D327" t="s">
        <v>98</v>
      </c>
      <c r="E327" t="s">
        <v>97</v>
      </c>
      <c r="F327" t="s">
        <v>95</v>
      </c>
      <c r="G327">
        <v>20</v>
      </c>
      <c r="H327">
        <v>2E+20</v>
      </c>
      <c r="I327">
        <v>20</v>
      </c>
      <c r="J327">
        <v>20</v>
      </c>
      <c r="K327">
        <v>20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30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20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20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20</v>
      </c>
      <c r="U327" s="5">
        <f>IF((ContinuousStatsTable[[#This Row],[RepsRequested]]&gt;1),ContinuousStatsTable[[#This Row],[HalfWidth]],ContinuousStatsTable[[#This Row],[BatchMeansHalfWidth]])</f>
        <v>0</v>
      </c>
    </row>
    <row r="328" spans="1:21" x14ac:dyDescent="0.3">
      <c r="A328" t="s">
        <v>66</v>
      </c>
      <c r="B328" t="s">
        <v>68</v>
      </c>
      <c r="C328">
        <v>9</v>
      </c>
      <c r="D328" t="s">
        <v>99</v>
      </c>
      <c r="E328" t="s">
        <v>94</v>
      </c>
      <c r="F328" t="s">
        <v>95</v>
      </c>
      <c r="G328">
        <v>0.64432488968538404</v>
      </c>
      <c r="H328">
        <v>2E+20</v>
      </c>
      <c r="I328">
        <v>0</v>
      </c>
      <c r="J328">
        <v>1</v>
      </c>
      <c r="K328">
        <v>0.6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30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0.517215348442703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0.67770389283754395</v>
      </c>
      <c r="U328" s="5">
        <f>IF((ContinuousStatsTable[[#This Row],[RepsRequested]]&gt;1),ContinuousStatsTable[[#This Row],[HalfWidth]],ContinuousStatsTable[[#This Row],[BatchMeansHalfWidth]])</f>
        <v>1.8059192833960565E-2</v>
      </c>
    </row>
    <row r="329" spans="1:21" x14ac:dyDescent="0.3">
      <c r="A329" t="s">
        <v>66</v>
      </c>
      <c r="B329" t="s">
        <v>68</v>
      </c>
      <c r="C329">
        <v>9</v>
      </c>
      <c r="D329" t="s">
        <v>99</v>
      </c>
      <c r="E329" t="s">
        <v>96</v>
      </c>
      <c r="F329" t="s">
        <v>95</v>
      </c>
      <c r="G329">
        <v>6.4432488968538504</v>
      </c>
      <c r="H329">
        <v>2E+20</v>
      </c>
      <c r="I329">
        <v>0</v>
      </c>
      <c r="J329">
        <v>10</v>
      </c>
      <c r="K329">
        <v>6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30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5.1721534844270298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6.7770389283754398</v>
      </c>
      <c r="U329" s="5">
        <f>IF((ContinuousStatsTable[[#This Row],[RepsRequested]]&gt;1),ContinuousStatsTable[[#This Row],[HalfWidth]],ContinuousStatsTable[[#This Row],[BatchMeansHalfWidth]])</f>
        <v>0.18059192833960558</v>
      </c>
    </row>
    <row r="330" spans="1:21" x14ac:dyDescent="0.3">
      <c r="A330" t="s">
        <v>66</v>
      </c>
      <c r="B330" t="s">
        <v>68</v>
      </c>
      <c r="C330">
        <v>9</v>
      </c>
      <c r="D330" t="s">
        <v>99</v>
      </c>
      <c r="E330" t="s">
        <v>97</v>
      </c>
      <c r="F330" t="s">
        <v>95</v>
      </c>
      <c r="G330">
        <v>10</v>
      </c>
      <c r="H330">
        <v>2E+20</v>
      </c>
      <c r="I330">
        <v>10</v>
      </c>
      <c r="J330">
        <v>10</v>
      </c>
      <c r="K330">
        <v>10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30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10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10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10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3">
      <c r="A331" t="s">
        <v>66</v>
      </c>
      <c r="B331" t="s">
        <v>68</v>
      </c>
      <c r="C331">
        <v>9</v>
      </c>
      <c r="D331" t="s">
        <v>100</v>
      </c>
      <c r="E331" t="s">
        <v>94</v>
      </c>
      <c r="F331" t="s">
        <v>95</v>
      </c>
      <c r="G331">
        <v>0.171633185515042</v>
      </c>
      <c r="H331">
        <v>2E+20</v>
      </c>
      <c r="I331">
        <v>0</v>
      </c>
      <c r="J331">
        <v>0.36</v>
      </c>
      <c r="K331">
        <v>0.22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30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0.14484829778125299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0.19609322315655101</v>
      </c>
      <c r="U331" s="5">
        <f>IF((ContinuousStatsTable[[#This Row],[RepsRequested]]&gt;1),ContinuousStatsTable[[#This Row],[HalfWidth]],ContinuousStatsTable[[#This Row],[BatchMeansHalfWidth]])</f>
        <v>4.9714113556225048E-3</v>
      </c>
    </row>
    <row r="332" spans="1:21" x14ac:dyDescent="0.3">
      <c r="A332" t="s">
        <v>66</v>
      </c>
      <c r="B332" t="s">
        <v>68</v>
      </c>
      <c r="C332">
        <v>9</v>
      </c>
      <c r="D332" t="s">
        <v>100</v>
      </c>
      <c r="E332" t="s">
        <v>96</v>
      </c>
      <c r="F332" t="s">
        <v>95</v>
      </c>
      <c r="G332">
        <v>8.58165927575212</v>
      </c>
      <c r="H332">
        <v>2E+20</v>
      </c>
      <c r="I332">
        <v>0</v>
      </c>
      <c r="J332">
        <v>18</v>
      </c>
      <c r="K332">
        <v>11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30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7.2424148890626396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9.8046611578275602</v>
      </c>
      <c r="U332" s="5">
        <f>IF((ContinuousStatsTable[[#This Row],[RepsRequested]]&gt;1),ContinuousStatsTable[[#This Row],[HalfWidth]],ContinuousStatsTable[[#This Row],[BatchMeansHalfWidth]])</f>
        <v>0.24857056778112663</v>
      </c>
    </row>
    <row r="333" spans="1:21" x14ac:dyDescent="0.3">
      <c r="A333" t="s">
        <v>66</v>
      </c>
      <c r="B333" t="s">
        <v>68</v>
      </c>
      <c r="C333">
        <v>9</v>
      </c>
      <c r="D333" t="s">
        <v>100</v>
      </c>
      <c r="E333" t="s">
        <v>97</v>
      </c>
      <c r="F333" t="s">
        <v>95</v>
      </c>
      <c r="G333">
        <v>50</v>
      </c>
      <c r="H333">
        <v>2E+20</v>
      </c>
      <c r="I333">
        <v>50</v>
      </c>
      <c r="J333">
        <v>50</v>
      </c>
      <c r="K333">
        <v>50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30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50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0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50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50</v>
      </c>
      <c r="U333" s="5">
        <f>IF((ContinuousStatsTable[[#This Row],[RepsRequested]]&gt;1),ContinuousStatsTable[[#This Row],[HalfWidth]],ContinuousStatsTable[[#This Row],[BatchMeansHalfWidth]])</f>
        <v>0</v>
      </c>
    </row>
    <row r="334" spans="1:21" x14ac:dyDescent="0.3">
      <c r="A334" t="s">
        <v>66</v>
      </c>
      <c r="B334" t="s">
        <v>68</v>
      </c>
      <c r="C334">
        <v>9</v>
      </c>
      <c r="D334" t="s">
        <v>101</v>
      </c>
      <c r="E334" t="s">
        <v>94</v>
      </c>
      <c r="F334" t="s">
        <v>95</v>
      </c>
      <c r="G334">
        <v>7.5307466052223798E-2</v>
      </c>
      <c r="H334">
        <v>2E+20</v>
      </c>
      <c r="I334">
        <v>0</v>
      </c>
      <c r="J334">
        <v>0.46666666666666701</v>
      </c>
      <c r="K334">
        <v>0.133333333333333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30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7.4778736536586704E-2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0.111025455742452</v>
      </c>
      <c r="U334" s="5">
        <f>IF((ContinuousStatsTable[[#This Row],[RepsRequested]]&gt;1),ContinuousStatsTable[[#This Row],[HalfWidth]],ContinuousStatsTable[[#This Row],[BatchMeansHalfWidth]])</f>
        <v>4.1821462690338805E-3</v>
      </c>
    </row>
    <row r="335" spans="1:21" x14ac:dyDescent="0.3">
      <c r="A335" t="s">
        <v>66</v>
      </c>
      <c r="B335" t="s">
        <v>68</v>
      </c>
      <c r="C335">
        <v>9</v>
      </c>
      <c r="D335" t="s">
        <v>101</v>
      </c>
      <c r="E335" t="s">
        <v>96</v>
      </c>
      <c r="F335" t="s">
        <v>95</v>
      </c>
      <c r="G335">
        <v>1.1296119907833599</v>
      </c>
      <c r="H335">
        <v>2E+20</v>
      </c>
      <c r="I335">
        <v>0</v>
      </c>
      <c r="J335">
        <v>7</v>
      </c>
      <c r="K335">
        <v>2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30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1.1216810480488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1.66538183613678</v>
      </c>
      <c r="U335" s="5">
        <f>IF((ContinuousStatsTable[[#This Row],[RepsRequested]]&gt;1),ContinuousStatsTable[[#This Row],[HalfWidth]],ContinuousStatsTable[[#This Row],[BatchMeansHalfWidth]])</f>
        <v>6.2732194035507963E-2</v>
      </c>
    </row>
    <row r="336" spans="1:21" x14ac:dyDescent="0.3">
      <c r="A336" t="s">
        <v>66</v>
      </c>
      <c r="B336" t="s">
        <v>68</v>
      </c>
      <c r="C336">
        <v>9</v>
      </c>
      <c r="D336" t="s">
        <v>101</v>
      </c>
      <c r="E336" t="s">
        <v>97</v>
      </c>
      <c r="F336" t="s">
        <v>95</v>
      </c>
      <c r="G336">
        <v>15</v>
      </c>
      <c r="H336">
        <v>2E+20</v>
      </c>
      <c r="I336">
        <v>15</v>
      </c>
      <c r="J336">
        <v>15</v>
      </c>
      <c r="K336">
        <v>15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30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15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15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15</v>
      </c>
      <c r="U336" s="5">
        <f>IF((ContinuousStatsTable[[#This Row],[RepsRequested]]&gt;1),ContinuousStatsTable[[#This Row],[HalfWidth]],ContinuousStatsTable[[#This Row],[BatchMeansHalfWidth]])</f>
        <v>0</v>
      </c>
    </row>
    <row r="337" spans="1:21" x14ac:dyDescent="0.3">
      <c r="A337" t="s">
        <v>66</v>
      </c>
      <c r="B337" t="s">
        <v>68</v>
      </c>
      <c r="C337">
        <v>9</v>
      </c>
      <c r="D337" t="s">
        <v>102</v>
      </c>
      <c r="E337" t="s">
        <v>94</v>
      </c>
      <c r="F337" t="s">
        <v>95</v>
      </c>
      <c r="G337">
        <v>0.83685097466666303</v>
      </c>
      <c r="H337">
        <v>2E+20</v>
      </c>
      <c r="I337">
        <v>0</v>
      </c>
      <c r="J337">
        <v>1</v>
      </c>
      <c r="K337">
        <v>1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30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0.73673947391417804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0.90592850818388704</v>
      </c>
      <c r="U337" s="5">
        <f>IF((ContinuousStatsTable[[#This Row],[RepsRequested]]&gt;1),ContinuousStatsTable[[#This Row],[HalfWidth]],ContinuousStatsTable[[#This Row],[BatchMeansHalfWidth]])</f>
        <v>1.8636241798384946E-2</v>
      </c>
    </row>
    <row r="338" spans="1:21" x14ac:dyDescent="0.3">
      <c r="A338" t="s">
        <v>66</v>
      </c>
      <c r="B338" t="s">
        <v>68</v>
      </c>
      <c r="C338">
        <v>9</v>
      </c>
      <c r="D338" t="s">
        <v>102</v>
      </c>
      <c r="E338" t="s">
        <v>96</v>
      </c>
      <c r="F338" t="s">
        <v>95</v>
      </c>
      <c r="G338">
        <v>1.5841369800493601</v>
      </c>
      <c r="H338">
        <v>2E+20</v>
      </c>
      <c r="I338">
        <v>0</v>
      </c>
      <c r="J338">
        <v>3</v>
      </c>
      <c r="K338">
        <v>3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30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1.3726163545041801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1.7968913949876599</v>
      </c>
      <c r="U338" s="5">
        <f>IF((ContinuousStatsTable[[#This Row],[RepsRequested]]&gt;1),ContinuousStatsTable[[#This Row],[HalfWidth]],ContinuousStatsTable[[#This Row],[BatchMeansHalfWidth]])</f>
        <v>4.3123628688677348E-2</v>
      </c>
    </row>
    <row r="339" spans="1:21" x14ac:dyDescent="0.3">
      <c r="A339" t="s">
        <v>66</v>
      </c>
      <c r="B339" t="s">
        <v>68</v>
      </c>
      <c r="C339">
        <v>9</v>
      </c>
      <c r="D339" t="s">
        <v>102</v>
      </c>
      <c r="E339" t="s">
        <v>97</v>
      </c>
      <c r="F339" t="s">
        <v>95</v>
      </c>
      <c r="G339">
        <v>2</v>
      </c>
      <c r="H339">
        <v>2E+20</v>
      </c>
      <c r="I339">
        <v>1</v>
      </c>
      <c r="J339">
        <v>3</v>
      </c>
      <c r="K339">
        <v>1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30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2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2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2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3">
      <c r="A340" t="s">
        <v>66</v>
      </c>
      <c r="B340" t="s">
        <v>68</v>
      </c>
      <c r="C340">
        <v>9</v>
      </c>
      <c r="D340" t="s">
        <v>84</v>
      </c>
      <c r="E340" t="s">
        <v>103</v>
      </c>
      <c r="F340" t="s">
        <v>86</v>
      </c>
      <c r="G340">
        <v>55.500802665722397</v>
      </c>
      <c r="H340">
        <v>2E+20</v>
      </c>
      <c r="I340">
        <v>0</v>
      </c>
      <c r="J340">
        <v>78</v>
      </c>
      <c r="K340">
        <v>58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30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36.709886237305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84.594951996708403</v>
      </c>
      <c r="U340" s="5">
        <f>IF((ContinuousStatsTable[[#This Row],[RepsRequested]]&gt;1),ContinuousStatsTable[[#This Row],[HalfWidth]],ContinuousStatsTable[[#This Row],[BatchMeansHalfWidth]])</f>
        <v>4.0384933567271259</v>
      </c>
    </row>
    <row r="341" spans="1:21" x14ac:dyDescent="0.3">
      <c r="A341" t="s">
        <v>66</v>
      </c>
      <c r="B341" t="s">
        <v>68</v>
      </c>
      <c r="C341">
        <v>9</v>
      </c>
      <c r="D341" t="s">
        <v>104</v>
      </c>
      <c r="E341" t="s">
        <v>94</v>
      </c>
      <c r="F341" t="s">
        <v>95</v>
      </c>
      <c r="G341">
        <v>0</v>
      </c>
      <c r="H341">
        <v>2E+20</v>
      </c>
      <c r="I341">
        <v>0</v>
      </c>
      <c r="J341">
        <v>0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30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0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0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0</v>
      </c>
      <c r="U341" s="5">
        <f>IF((ContinuousStatsTable[[#This Row],[RepsRequested]]&gt;1),ContinuousStatsTable[[#This Row],[HalfWidth]],ContinuousStatsTable[[#This Row],[BatchMeansHalfWidth]])</f>
        <v>0</v>
      </c>
    </row>
    <row r="342" spans="1:21" x14ac:dyDescent="0.3">
      <c r="A342" t="s">
        <v>66</v>
      </c>
      <c r="B342" t="s">
        <v>68</v>
      </c>
      <c r="C342">
        <v>9</v>
      </c>
      <c r="D342" t="s">
        <v>104</v>
      </c>
      <c r="E342" t="s">
        <v>96</v>
      </c>
      <c r="F342" t="s">
        <v>95</v>
      </c>
      <c r="G342">
        <v>0</v>
      </c>
      <c r="H342">
        <v>2E+20</v>
      </c>
      <c r="I342">
        <v>0</v>
      </c>
      <c r="J342">
        <v>0</v>
      </c>
      <c r="K342">
        <v>0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30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0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0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0</v>
      </c>
      <c r="U342" s="5">
        <f>IF((ContinuousStatsTable[[#This Row],[RepsRequested]]&gt;1),ContinuousStatsTable[[#This Row],[HalfWidth]],ContinuousStatsTable[[#This Row],[BatchMeansHalfWidth]])</f>
        <v>0</v>
      </c>
    </row>
    <row r="343" spans="1:21" x14ac:dyDescent="0.3">
      <c r="A343" t="s">
        <v>66</v>
      </c>
      <c r="B343" t="s">
        <v>68</v>
      </c>
      <c r="C343">
        <v>9</v>
      </c>
      <c r="D343" t="s">
        <v>104</v>
      </c>
      <c r="E343" t="s">
        <v>97</v>
      </c>
      <c r="F343" t="s">
        <v>95</v>
      </c>
      <c r="G343">
        <v>3</v>
      </c>
      <c r="H343">
        <v>2E+20</v>
      </c>
      <c r="I343">
        <v>3</v>
      </c>
      <c r="J343">
        <v>3</v>
      </c>
      <c r="K343">
        <v>3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30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3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3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3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3">
      <c r="A344" t="s">
        <v>66</v>
      </c>
      <c r="B344" t="s">
        <v>68</v>
      </c>
      <c r="C344">
        <v>9</v>
      </c>
      <c r="D344" t="s">
        <v>105</v>
      </c>
      <c r="E344" t="s">
        <v>94</v>
      </c>
      <c r="F344" t="s">
        <v>95</v>
      </c>
      <c r="G344">
        <v>0.76550090061679799</v>
      </c>
      <c r="H344">
        <v>2E+20</v>
      </c>
      <c r="I344">
        <v>0</v>
      </c>
      <c r="J344">
        <v>1</v>
      </c>
      <c r="K344">
        <v>1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30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0.634589476164233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0.99383259650362799</v>
      </c>
      <c r="U344" s="5">
        <f>IF((ContinuousStatsTable[[#This Row],[RepsRequested]]&gt;1),ContinuousStatsTable[[#This Row],[HalfWidth]],ContinuousStatsTable[[#This Row],[BatchMeansHalfWidth]])</f>
        <v>3.9940526897700258E-2</v>
      </c>
    </row>
    <row r="345" spans="1:21" x14ac:dyDescent="0.3">
      <c r="A345" t="s">
        <v>66</v>
      </c>
      <c r="B345" t="s">
        <v>68</v>
      </c>
      <c r="C345">
        <v>9</v>
      </c>
      <c r="D345" t="s">
        <v>105</v>
      </c>
      <c r="E345" t="s">
        <v>96</v>
      </c>
      <c r="F345" t="s">
        <v>95</v>
      </c>
      <c r="G345">
        <v>0.76550090061679799</v>
      </c>
      <c r="H345">
        <v>2E+20</v>
      </c>
      <c r="I345">
        <v>0</v>
      </c>
      <c r="J345">
        <v>1</v>
      </c>
      <c r="K345">
        <v>1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30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0.634589476164233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0.99383259650362799</v>
      </c>
      <c r="U345" s="5">
        <f>IF((ContinuousStatsTable[[#This Row],[RepsRequested]]&gt;1),ContinuousStatsTable[[#This Row],[HalfWidth]],ContinuousStatsTable[[#This Row],[BatchMeansHalfWidth]])</f>
        <v>3.9940526897700258E-2</v>
      </c>
    </row>
    <row r="346" spans="1:21" x14ac:dyDescent="0.3">
      <c r="A346" t="s">
        <v>66</v>
      </c>
      <c r="B346" t="s">
        <v>68</v>
      </c>
      <c r="C346">
        <v>9</v>
      </c>
      <c r="D346" t="s">
        <v>105</v>
      </c>
      <c r="E346" t="s">
        <v>97</v>
      </c>
      <c r="F346" t="s">
        <v>95</v>
      </c>
      <c r="G346">
        <v>1</v>
      </c>
      <c r="H346">
        <v>2E+20</v>
      </c>
      <c r="I346">
        <v>1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30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1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1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1</v>
      </c>
      <c r="U346" s="5">
        <f>IF((ContinuousStatsTable[[#This Row],[RepsRequested]]&gt;1),ContinuousStatsTable[[#This Row],[HalfWidth]],ContinuousStatsTable[[#This Row],[BatchMeansHalfWidth]])</f>
        <v>0</v>
      </c>
    </row>
    <row r="347" spans="1:21" x14ac:dyDescent="0.3">
      <c r="A347" t="s">
        <v>66</v>
      </c>
      <c r="B347" t="s">
        <v>68</v>
      </c>
      <c r="C347">
        <v>9</v>
      </c>
      <c r="D347" t="s">
        <v>106</v>
      </c>
      <c r="E347" t="s">
        <v>94</v>
      </c>
      <c r="F347" t="s">
        <v>95</v>
      </c>
      <c r="G347">
        <v>0.85434139310061796</v>
      </c>
      <c r="H347">
        <v>2E+20</v>
      </c>
      <c r="I347">
        <v>0</v>
      </c>
      <c r="J347">
        <v>1</v>
      </c>
      <c r="K347">
        <v>1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30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0.74061105631083801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0.99245161744166299</v>
      </c>
      <c r="U347" s="5">
        <f>IF((ContinuousStatsTable[[#This Row],[RepsRequested]]&gt;1),ContinuousStatsTable[[#This Row],[HalfWidth]],ContinuousStatsTable[[#This Row],[BatchMeansHalfWidth]])</f>
        <v>2.8912497794626357E-2</v>
      </c>
    </row>
    <row r="348" spans="1:21" x14ac:dyDescent="0.3">
      <c r="A348" t="s">
        <v>66</v>
      </c>
      <c r="B348" t="s">
        <v>68</v>
      </c>
      <c r="C348">
        <v>9</v>
      </c>
      <c r="D348" t="s">
        <v>106</v>
      </c>
      <c r="E348" t="s">
        <v>96</v>
      </c>
      <c r="F348" t="s">
        <v>95</v>
      </c>
      <c r="G348">
        <v>0.85434139310061796</v>
      </c>
      <c r="H348">
        <v>2E+20</v>
      </c>
      <c r="I348">
        <v>0</v>
      </c>
      <c r="J348">
        <v>1</v>
      </c>
      <c r="K348">
        <v>1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30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0.74061105631083801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0.99245161744166299</v>
      </c>
      <c r="U348" s="5">
        <f>IF((ContinuousStatsTable[[#This Row],[RepsRequested]]&gt;1),ContinuousStatsTable[[#This Row],[HalfWidth]],ContinuousStatsTable[[#This Row],[BatchMeansHalfWidth]])</f>
        <v>2.8912497794626357E-2</v>
      </c>
    </row>
    <row r="349" spans="1:21" x14ac:dyDescent="0.3">
      <c r="A349" t="s">
        <v>66</v>
      </c>
      <c r="B349" t="s">
        <v>68</v>
      </c>
      <c r="C349">
        <v>9</v>
      </c>
      <c r="D349" t="s">
        <v>106</v>
      </c>
      <c r="E349" t="s">
        <v>97</v>
      </c>
      <c r="F349" t="s">
        <v>95</v>
      </c>
      <c r="G349">
        <v>1</v>
      </c>
      <c r="H349">
        <v>2E+20</v>
      </c>
      <c r="I349">
        <v>1</v>
      </c>
      <c r="J349">
        <v>1</v>
      </c>
      <c r="K349">
        <v>1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30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1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1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1</v>
      </c>
      <c r="U349" s="5">
        <f>IF((ContinuousStatsTable[[#This Row],[RepsRequested]]&gt;1),ContinuousStatsTable[[#This Row],[HalfWidth]],ContinuousStatsTable[[#This Row],[BatchMeansHalfWidth]])</f>
        <v>0</v>
      </c>
    </row>
    <row r="350" spans="1:21" x14ac:dyDescent="0.3">
      <c r="A350" t="s">
        <v>66</v>
      </c>
      <c r="B350" t="s">
        <v>68</v>
      </c>
      <c r="C350">
        <v>9</v>
      </c>
      <c r="D350" t="s">
        <v>107</v>
      </c>
      <c r="E350" t="s">
        <v>94</v>
      </c>
      <c r="F350" t="s">
        <v>95</v>
      </c>
      <c r="G350">
        <v>0.88251459474826</v>
      </c>
      <c r="H350">
        <v>2E+20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30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0.73843386001690303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0.99245161744166299</v>
      </c>
      <c r="U350" s="5">
        <f>IF((ContinuousStatsTable[[#This Row],[RepsRequested]]&gt;1),ContinuousStatsTable[[#This Row],[HalfWidth]],ContinuousStatsTable[[#This Row],[BatchMeansHalfWidth]])</f>
        <v>2.6057642646860522E-2</v>
      </c>
    </row>
    <row r="351" spans="1:21" x14ac:dyDescent="0.3">
      <c r="A351" t="s">
        <v>66</v>
      </c>
      <c r="B351" t="s">
        <v>68</v>
      </c>
      <c r="C351">
        <v>9</v>
      </c>
      <c r="D351" t="s">
        <v>107</v>
      </c>
      <c r="E351" t="s">
        <v>96</v>
      </c>
      <c r="F351" t="s">
        <v>95</v>
      </c>
      <c r="G351">
        <v>0.88251459474826</v>
      </c>
      <c r="H351">
        <v>2E+20</v>
      </c>
      <c r="I351">
        <v>0</v>
      </c>
      <c r="J351">
        <v>1</v>
      </c>
      <c r="K351">
        <v>1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30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0.73843386001690303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0.99245161744166299</v>
      </c>
      <c r="U351" s="5">
        <f>IF((ContinuousStatsTable[[#This Row],[RepsRequested]]&gt;1),ContinuousStatsTable[[#This Row],[HalfWidth]],ContinuousStatsTable[[#This Row],[BatchMeansHalfWidth]])</f>
        <v>2.6057642646860522E-2</v>
      </c>
    </row>
    <row r="352" spans="1:21" x14ac:dyDescent="0.3">
      <c r="A352" t="s">
        <v>66</v>
      </c>
      <c r="B352" t="s">
        <v>68</v>
      </c>
      <c r="C352">
        <v>9</v>
      </c>
      <c r="D352" t="s">
        <v>107</v>
      </c>
      <c r="E352" t="s">
        <v>97</v>
      </c>
      <c r="F352" t="s">
        <v>95</v>
      </c>
      <c r="G352">
        <v>1</v>
      </c>
      <c r="H352">
        <v>2E+20</v>
      </c>
      <c r="I352">
        <v>1</v>
      </c>
      <c r="J352">
        <v>1</v>
      </c>
      <c r="K352">
        <v>1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30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1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1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1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3">
      <c r="A353" t="s">
        <v>66</v>
      </c>
      <c r="B353" t="s">
        <v>68</v>
      </c>
      <c r="C353">
        <v>10</v>
      </c>
      <c r="D353" t="s">
        <v>69</v>
      </c>
      <c r="E353" t="s">
        <v>92</v>
      </c>
      <c r="F353" t="s">
        <v>71</v>
      </c>
      <c r="G353">
        <v>7.0879052715564201</v>
      </c>
      <c r="H353">
        <v>2E+20</v>
      </c>
      <c r="I353">
        <v>0</v>
      </c>
      <c r="J353">
        <v>28</v>
      </c>
      <c r="K353">
        <v>2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30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2.2853775994771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9.3827575078214593</v>
      </c>
      <c r="U353" s="5">
        <f>IF((ContinuousStatsTable[[#This Row],[RepsRequested]]&gt;1),ContinuousStatsTable[[#This Row],[HalfWidth]],ContinuousStatsTable[[#This Row],[BatchMeansHalfWidth]])</f>
        <v>0.70373665421471332</v>
      </c>
    </row>
    <row r="354" spans="1:21" x14ac:dyDescent="0.3">
      <c r="A354" t="s">
        <v>66</v>
      </c>
      <c r="B354" t="s">
        <v>68</v>
      </c>
      <c r="C354">
        <v>10</v>
      </c>
      <c r="D354" t="s">
        <v>72</v>
      </c>
      <c r="E354" t="s">
        <v>92</v>
      </c>
      <c r="F354" t="s">
        <v>71</v>
      </c>
      <c r="G354">
        <v>5.5061623350406403</v>
      </c>
      <c r="H354">
        <v>2E+20</v>
      </c>
      <c r="I354">
        <v>0</v>
      </c>
      <c r="J354">
        <v>26</v>
      </c>
      <c r="K354">
        <v>1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30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1.4754093813695901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8.0603747791942499</v>
      </c>
      <c r="U354" s="5">
        <f>IF((ContinuousStatsTable[[#This Row],[RepsRequested]]&gt;1),ContinuousStatsTable[[#This Row],[HalfWidth]],ContinuousStatsTable[[#This Row],[BatchMeansHalfWidth]])</f>
        <v>0.5936172943910426</v>
      </c>
    </row>
    <row r="355" spans="1:21" x14ac:dyDescent="0.3">
      <c r="A355" t="s">
        <v>66</v>
      </c>
      <c r="B355" t="s">
        <v>68</v>
      </c>
      <c r="C355">
        <v>10</v>
      </c>
      <c r="D355" t="s">
        <v>73</v>
      </c>
      <c r="E355" t="s">
        <v>92</v>
      </c>
      <c r="F355" t="s">
        <v>71</v>
      </c>
      <c r="G355">
        <v>29.356614544212601</v>
      </c>
      <c r="H355">
        <v>2E+20</v>
      </c>
      <c r="I355">
        <v>0</v>
      </c>
      <c r="J355">
        <v>50</v>
      </c>
      <c r="K355">
        <v>36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30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1.3305593103954101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29.356614544212601</v>
      </c>
      <c r="U355" s="5">
        <f>IF((ContinuousStatsTable[[#This Row],[RepsRequested]]&gt;1),ContinuousStatsTable[[#This Row],[HalfWidth]],ContinuousStatsTable[[#This Row],[BatchMeansHalfWidth]])</f>
        <v>2.162177461749093</v>
      </c>
    </row>
    <row r="356" spans="1:21" x14ac:dyDescent="0.3">
      <c r="A356" t="s">
        <v>66</v>
      </c>
      <c r="B356" t="s">
        <v>68</v>
      </c>
      <c r="C356">
        <v>10</v>
      </c>
      <c r="D356" t="s">
        <v>74</v>
      </c>
      <c r="E356" t="s">
        <v>92</v>
      </c>
      <c r="F356" t="s">
        <v>71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30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 s="5">
        <f>IF((ContinuousStatsTable[[#This Row],[RepsRequested]]&gt;1),ContinuousStatsTable[[#This Row],[HalfWidth]],ContinuousStatsTable[[#This Row],[BatchMeansHalfWidth]])</f>
        <v>0</v>
      </c>
    </row>
    <row r="357" spans="1:21" x14ac:dyDescent="0.3">
      <c r="A357" t="s">
        <v>66</v>
      </c>
      <c r="B357" t="s">
        <v>68</v>
      </c>
      <c r="C357">
        <v>10</v>
      </c>
      <c r="D357" t="s">
        <v>75</v>
      </c>
      <c r="E357" t="s">
        <v>92</v>
      </c>
      <c r="F357" t="s">
        <v>71</v>
      </c>
      <c r="G357">
        <v>0</v>
      </c>
      <c r="H357">
        <v>2E+20</v>
      </c>
      <c r="I357">
        <v>0</v>
      </c>
      <c r="J357">
        <v>0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30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</v>
      </c>
      <c r="U357" s="5">
        <f>IF((ContinuousStatsTable[[#This Row],[RepsRequested]]&gt;1),ContinuousStatsTable[[#This Row],[HalfWidth]],ContinuousStatsTable[[#This Row],[BatchMeansHalfWidth]])</f>
        <v>0</v>
      </c>
    </row>
    <row r="358" spans="1:21" x14ac:dyDescent="0.3">
      <c r="A358" t="s">
        <v>66</v>
      </c>
      <c r="B358" t="s">
        <v>68</v>
      </c>
      <c r="C358">
        <v>10</v>
      </c>
      <c r="D358" t="s">
        <v>76</v>
      </c>
      <c r="E358" t="s">
        <v>92</v>
      </c>
      <c r="F358" t="s">
        <v>71</v>
      </c>
      <c r="G358">
        <v>2.5310746608187502</v>
      </c>
      <c r="H358">
        <v>2E+20</v>
      </c>
      <c r="I358">
        <v>0</v>
      </c>
      <c r="J358">
        <v>17</v>
      </c>
      <c r="K358">
        <v>4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30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4.5869485136026601E-2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4.1119263103435699</v>
      </c>
      <c r="U358" s="5">
        <f>IF((ContinuousStatsTable[[#This Row],[RepsRequested]]&gt;1),ContinuousStatsTable[[#This Row],[HalfWidth]],ContinuousStatsTable[[#This Row],[BatchMeansHalfWidth]])</f>
        <v>0.43252967563899991</v>
      </c>
    </row>
    <row r="359" spans="1:21" x14ac:dyDescent="0.3">
      <c r="A359" t="s">
        <v>66</v>
      </c>
      <c r="B359" t="s">
        <v>68</v>
      </c>
      <c r="C359">
        <v>10</v>
      </c>
      <c r="D359" t="s">
        <v>77</v>
      </c>
      <c r="E359" t="s">
        <v>92</v>
      </c>
      <c r="F359" t="s">
        <v>71</v>
      </c>
      <c r="G359">
        <v>0</v>
      </c>
      <c r="H359">
        <v>2E+20</v>
      </c>
      <c r="I359">
        <v>0</v>
      </c>
      <c r="J359">
        <v>0</v>
      </c>
      <c r="K359">
        <v>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30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0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3">
      <c r="A360" t="s">
        <v>66</v>
      </c>
      <c r="B360" t="s">
        <v>68</v>
      </c>
      <c r="C360">
        <v>10</v>
      </c>
      <c r="D360" t="s">
        <v>78</v>
      </c>
      <c r="E360" t="s">
        <v>92</v>
      </c>
      <c r="F360" t="s">
        <v>71</v>
      </c>
      <c r="G360">
        <v>0</v>
      </c>
      <c r="H360">
        <v>2E+20</v>
      </c>
      <c r="I360">
        <v>0</v>
      </c>
      <c r="J360">
        <v>0</v>
      </c>
      <c r="K360">
        <v>0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30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0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0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0</v>
      </c>
      <c r="U360" s="5">
        <f>IF((ContinuousStatsTable[[#This Row],[RepsRequested]]&gt;1),ContinuousStatsTable[[#This Row],[HalfWidth]],ContinuousStatsTable[[#This Row],[BatchMeansHalfWidth]])</f>
        <v>0</v>
      </c>
    </row>
    <row r="361" spans="1:21" x14ac:dyDescent="0.3">
      <c r="A361" t="s">
        <v>66</v>
      </c>
      <c r="B361" t="s">
        <v>68</v>
      </c>
      <c r="C361">
        <v>10</v>
      </c>
      <c r="D361" t="s">
        <v>93</v>
      </c>
      <c r="E361" t="s">
        <v>94</v>
      </c>
      <c r="F361" t="s">
        <v>95</v>
      </c>
      <c r="G361">
        <v>4.3017010240736599E-2</v>
      </c>
      <c r="H361">
        <v>2E+20</v>
      </c>
      <c r="I361">
        <v>0</v>
      </c>
      <c r="J361">
        <v>0.25</v>
      </c>
      <c r="K361">
        <v>0.05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30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2.3718114155243601E-2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4.8583931724403701E-2</v>
      </c>
      <c r="U361" s="5">
        <f>IF((ContinuousStatsTable[[#This Row],[RepsRequested]]&gt;1),ContinuousStatsTable[[#This Row],[HalfWidth]],ContinuousStatsTable[[#This Row],[BatchMeansHalfWidth]])</f>
        <v>2.4839579632442289E-3</v>
      </c>
    </row>
    <row r="362" spans="1:21" x14ac:dyDescent="0.3">
      <c r="A362" t="s">
        <v>66</v>
      </c>
      <c r="B362" t="s">
        <v>68</v>
      </c>
      <c r="C362">
        <v>10</v>
      </c>
      <c r="D362" t="s">
        <v>93</v>
      </c>
      <c r="E362" t="s">
        <v>96</v>
      </c>
      <c r="F362" t="s">
        <v>95</v>
      </c>
      <c r="G362">
        <v>0.86034020481473195</v>
      </c>
      <c r="H362">
        <v>2E+20</v>
      </c>
      <c r="I362">
        <v>0</v>
      </c>
      <c r="J362">
        <v>5</v>
      </c>
      <c r="K362">
        <v>1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30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0.47436228310487299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0.97167863448807401</v>
      </c>
      <c r="U362" s="5">
        <f>IF((ContinuousStatsTable[[#This Row],[RepsRequested]]&gt;1),ContinuousStatsTable[[#This Row],[HalfWidth]],ContinuousStatsTable[[#This Row],[BatchMeansHalfWidth]])</f>
        <v>4.9679159264885281E-2</v>
      </c>
    </row>
    <row r="363" spans="1:21" x14ac:dyDescent="0.3">
      <c r="A363" t="s">
        <v>66</v>
      </c>
      <c r="B363" t="s">
        <v>68</v>
      </c>
      <c r="C363">
        <v>10</v>
      </c>
      <c r="D363" t="s">
        <v>93</v>
      </c>
      <c r="E363" t="s">
        <v>97</v>
      </c>
      <c r="F363" t="s">
        <v>95</v>
      </c>
      <c r="G363">
        <v>20</v>
      </c>
      <c r="H363">
        <v>2E+20</v>
      </c>
      <c r="I363">
        <v>20</v>
      </c>
      <c r="J363">
        <v>20</v>
      </c>
      <c r="K363">
        <v>20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30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20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20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20</v>
      </c>
      <c r="U363" s="5">
        <f>IF((ContinuousStatsTable[[#This Row],[RepsRequested]]&gt;1),ContinuousStatsTable[[#This Row],[HalfWidth]],ContinuousStatsTable[[#This Row],[BatchMeansHalfWidth]])</f>
        <v>0</v>
      </c>
    </row>
    <row r="364" spans="1:21" x14ac:dyDescent="0.3">
      <c r="A364" t="s">
        <v>66</v>
      </c>
      <c r="B364" t="s">
        <v>68</v>
      </c>
      <c r="C364">
        <v>10</v>
      </c>
      <c r="D364" t="s">
        <v>98</v>
      </c>
      <c r="E364" t="s">
        <v>94</v>
      </c>
      <c r="F364" t="s">
        <v>95</v>
      </c>
      <c r="G364">
        <v>0.27666209107690698</v>
      </c>
      <c r="H364">
        <v>2E+20</v>
      </c>
      <c r="I364">
        <v>0</v>
      </c>
      <c r="J364">
        <v>0.8</v>
      </c>
      <c r="K364">
        <v>0.3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30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0.20767736113278101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0.28501162927715501</v>
      </c>
      <c r="U364" s="5">
        <f>IF((ContinuousStatsTable[[#This Row],[RepsRequested]]&gt;1),ContinuousStatsTable[[#This Row],[HalfWidth]],ContinuousStatsTable[[#This Row],[BatchMeansHalfWidth]])</f>
        <v>8.7273384073404715E-3</v>
      </c>
    </row>
    <row r="365" spans="1:21" x14ac:dyDescent="0.3">
      <c r="A365" t="s">
        <v>66</v>
      </c>
      <c r="B365" t="s">
        <v>68</v>
      </c>
      <c r="C365">
        <v>10</v>
      </c>
      <c r="D365" t="s">
        <v>98</v>
      </c>
      <c r="E365" t="s">
        <v>96</v>
      </c>
      <c r="F365" t="s">
        <v>95</v>
      </c>
      <c r="G365">
        <v>5.5332418215381498</v>
      </c>
      <c r="H365">
        <v>2E+20</v>
      </c>
      <c r="I365">
        <v>0</v>
      </c>
      <c r="J365">
        <v>16</v>
      </c>
      <c r="K365">
        <v>6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30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4.15354722265561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5.7002325855431097</v>
      </c>
      <c r="U365" s="5">
        <f>IF((ContinuousStatsTable[[#This Row],[RepsRequested]]&gt;1),ContinuousStatsTable[[#This Row],[HalfWidth]],ContinuousStatsTable[[#This Row],[BatchMeansHalfWidth]])</f>
        <v>0.17454676814681078</v>
      </c>
    </row>
    <row r="366" spans="1:21" x14ac:dyDescent="0.3">
      <c r="A366" t="s">
        <v>66</v>
      </c>
      <c r="B366" t="s">
        <v>68</v>
      </c>
      <c r="C366">
        <v>10</v>
      </c>
      <c r="D366" t="s">
        <v>98</v>
      </c>
      <c r="E366" t="s">
        <v>97</v>
      </c>
      <c r="F366" t="s">
        <v>95</v>
      </c>
      <c r="G366">
        <v>20</v>
      </c>
      <c r="H366">
        <v>2E+20</v>
      </c>
      <c r="I366">
        <v>20</v>
      </c>
      <c r="J366">
        <v>20</v>
      </c>
      <c r="K366">
        <v>20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30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20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0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20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20</v>
      </c>
      <c r="U366" s="5">
        <f>IF((ContinuousStatsTable[[#This Row],[RepsRequested]]&gt;1),ContinuousStatsTable[[#This Row],[HalfWidth]],ContinuousStatsTable[[#This Row],[BatchMeansHalfWidth]])</f>
        <v>0</v>
      </c>
    </row>
    <row r="367" spans="1:21" x14ac:dyDescent="0.3">
      <c r="A367" t="s">
        <v>66</v>
      </c>
      <c r="B367" t="s">
        <v>68</v>
      </c>
      <c r="C367">
        <v>10</v>
      </c>
      <c r="D367" t="s">
        <v>99</v>
      </c>
      <c r="E367" t="s">
        <v>94</v>
      </c>
      <c r="F367" t="s">
        <v>95</v>
      </c>
      <c r="G367">
        <v>0.66863306738199402</v>
      </c>
      <c r="H367">
        <v>2E+20</v>
      </c>
      <c r="I367">
        <v>0</v>
      </c>
      <c r="J367">
        <v>1</v>
      </c>
      <c r="K367">
        <v>1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30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0.517215348442703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0.67770389283754395</v>
      </c>
      <c r="U367" s="5">
        <f>IF((ContinuousStatsTable[[#This Row],[RepsRequested]]&gt;1),ContinuousStatsTable[[#This Row],[HalfWidth]],ContinuousStatsTable[[#This Row],[BatchMeansHalfWidth]])</f>
        <v>1.8059192833960565E-2</v>
      </c>
    </row>
    <row r="368" spans="1:21" x14ac:dyDescent="0.3">
      <c r="A368" t="s">
        <v>66</v>
      </c>
      <c r="B368" t="s">
        <v>68</v>
      </c>
      <c r="C368">
        <v>10</v>
      </c>
      <c r="D368" t="s">
        <v>99</v>
      </c>
      <c r="E368" t="s">
        <v>96</v>
      </c>
      <c r="F368" t="s">
        <v>95</v>
      </c>
      <c r="G368">
        <v>6.6863306738199304</v>
      </c>
      <c r="H368">
        <v>2E+20</v>
      </c>
      <c r="I368">
        <v>0</v>
      </c>
      <c r="J368">
        <v>10</v>
      </c>
      <c r="K368">
        <v>10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30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5.1721534844270298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6.7770389283754398</v>
      </c>
      <c r="U368" s="5">
        <f>IF((ContinuousStatsTable[[#This Row],[RepsRequested]]&gt;1),ContinuousStatsTable[[#This Row],[HalfWidth]],ContinuousStatsTable[[#This Row],[BatchMeansHalfWidth]])</f>
        <v>0.18059192833960558</v>
      </c>
    </row>
    <row r="369" spans="1:21" x14ac:dyDescent="0.3">
      <c r="A369" t="s">
        <v>66</v>
      </c>
      <c r="B369" t="s">
        <v>68</v>
      </c>
      <c r="C369">
        <v>10</v>
      </c>
      <c r="D369" t="s">
        <v>99</v>
      </c>
      <c r="E369" t="s">
        <v>97</v>
      </c>
      <c r="F369" t="s">
        <v>95</v>
      </c>
      <c r="G369">
        <v>10</v>
      </c>
      <c r="H369">
        <v>2E+20</v>
      </c>
      <c r="I369">
        <v>10</v>
      </c>
      <c r="J369">
        <v>10</v>
      </c>
      <c r="K369">
        <v>10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30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10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10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10</v>
      </c>
      <c r="U369" s="5">
        <f>IF((ContinuousStatsTable[[#This Row],[RepsRequested]]&gt;1),ContinuousStatsTable[[#This Row],[HalfWidth]],ContinuousStatsTable[[#This Row],[BatchMeansHalfWidth]])</f>
        <v>0</v>
      </c>
    </row>
    <row r="370" spans="1:21" x14ac:dyDescent="0.3">
      <c r="A370" t="s">
        <v>66</v>
      </c>
      <c r="B370" t="s">
        <v>68</v>
      </c>
      <c r="C370">
        <v>10</v>
      </c>
      <c r="D370" t="s">
        <v>100</v>
      </c>
      <c r="E370" t="s">
        <v>94</v>
      </c>
      <c r="F370" t="s">
        <v>95</v>
      </c>
      <c r="G370">
        <v>0.19586315465507301</v>
      </c>
      <c r="H370">
        <v>2E+20</v>
      </c>
      <c r="I370">
        <v>0</v>
      </c>
      <c r="J370">
        <v>0.46</v>
      </c>
      <c r="K370">
        <v>0.26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30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0.14484829778125299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0.19609322315655101</v>
      </c>
      <c r="U370" s="5">
        <f>IF((ContinuousStatsTable[[#This Row],[RepsRequested]]&gt;1),ContinuousStatsTable[[#This Row],[HalfWidth]],ContinuousStatsTable[[#This Row],[BatchMeansHalfWidth]])</f>
        <v>4.9714113556225048E-3</v>
      </c>
    </row>
    <row r="371" spans="1:21" x14ac:dyDescent="0.3">
      <c r="A371" t="s">
        <v>66</v>
      </c>
      <c r="B371" t="s">
        <v>68</v>
      </c>
      <c r="C371">
        <v>10</v>
      </c>
      <c r="D371" t="s">
        <v>100</v>
      </c>
      <c r="E371" t="s">
        <v>96</v>
      </c>
      <c r="F371" t="s">
        <v>95</v>
      </c>
      <c r="G371">
        <v>9.7931577327536594</v>
      </c>
      <c r="H371">
        <v>2E+20</v>
      </c>
      <c r="I371">
        <v>0</v>
      </c>
      <c r="J371">
        <v>23</v>
      </c>
      <c r="K371">
        <v>13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30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7.2424148890626396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9.8046611578275602</v>
      </c>
      <c r="U371" s="5">
        <f>IF((ContinuousStatsTable[[#This Row],[RepsRequested]]&gt;1),ContinuousStatsTable[[#This Row],[HalfWidth]],ContinuousStatsTable[[#This Row],[BatchMeansHalfWidth]])</f>
        <v>0.24857056778112663</v>
      </c>
    </row>
    <row r="372" spans="1:21" x14ac:dyDescent="0.3">
      <c r="A372" t="s">
        <v>66</v>
      </c>
      <c r="B372" t="s">
        <v>68</v>
      </c>
      <c r="C372">
        <v>10</v>
      </c>
      <c r="D372" t="s">
        <v>100</v>
      </c>
      <c r="E372" t="s">
        <v>97</v>
      </c>
      <c r="F372" t="s">
        <v>95</v>
      </c>
      <c r="G372">
        <v>50</v>
      </c>
      <c r="H372">
        <v>2E+20</v>
      </c>
      <c r="I372">
        <v>50</v>
      </c>
      <c r="J372">
        <v>50</v>
      </c>
      <c r="K372">
        <v>50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30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50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0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50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50</v>
      </c>
      <c r="U372" s="5">
        <f>IF((ContinuousStatsTable[[#This Row],[RepsRequested]]&gt;1),ContinuousStatsTable[[#This Row],[HalfWidth]],ContinuousStatsTable[[#This Row],[BatchMeansHalfWidth]])</f>
        <v>0</v>
      </c>
    </row>
    <row r="373" spans="1:21" x14ac:dyDescent="0.3">
      <c r="A373" t="s">
        <v>66</v>
      </c>
      <c r="B373" t="s">
        <v>68</v>
      </c>
      <c r="C373">
        <v>10</v>
      </c>
      <c r="D373" t="s">
        <v>101</v>
      </c>
      <c r="E373" t="s">
        <v>94</v>
      </c>
      <c r="F373" t="s">
        <v>95</v>
      </c>
      <c r="G373">
        <v>0.105961263892736</v>
      </c>
      <c r="H373">
        <v>2E+20</v>
      </c>
      <c r="I373">
        <v>0</v>
      </c>
      <c r="J373">
        <v>0.4</v>
      </c>
      <c r="K373">
        <v>0.133333333333333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30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7.4778736536586704E-2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0.111025455742452</v>
      </c>
      <c r="U373" s="5">
        <f>IF((ContinuousStatsTable[[#This Row],[RepsRequested]]&gt;1),ContinuousStatsTable[[#This Row],[HalfWidth]],ContinuousStatsTable[[#This Row],[BatchMeansHalfWidth]])</f>
        <v>4.1821462690338805E-3</v>
      </c>
    </row>
    <row r="374" spans="1:21" x14ac:dyDescent="0.3">
      <c r="A374" t="s">
        <v>66</v>
      </c>
      <c r="B374" t="s">
        <v>68</v>
      </c>
      <c r="C374">
        <v>10</v>
      </c>
      <c r="D374" t="s">
        <v>101</v>
      </c>
      <c r="E374" t="s">
        <v>96</v>
      </c>
      <c r="F374" t="s">
        <v>95</v>
      </c>
      <c r="G374">
        <v>1.5894189583910401</v>
      </c>
      <c r="H374">
        <v>2E+20</v>
      </c>
      <c r="I374">
        <v>0</v>
      </c>
      <c r="J374">
        <v>6</v>
      </c>
      <c r="K374">
        <v>2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30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1.1216810480488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1.66538183613678</v>
      </c>
      <c r="U374" s="5">
        <f>IF((ContinuousStatsTable[[#This Row],[RepsRequested]]&gt;1),ContinuousStatsTable[[#This Row],[HalfWidth]],ContinuousStatsTable[[#This Row],[BatchMeansHalfWidth]])</f>
        <v>6.2732194035507963E-2</v>
      </c>
    </row>
    <row r="375" spans="1:21" x14ac:dyDescent="0.3">
      <c r="A375" t="s">
        <v>66</v>
      </c>
      <c r="B375" t="s">
        <v>68</v>
      </c>
      <c r="C375">
        <v>10</v>
      </c>
      <c r="D375" t="s">
        <v>101</v>
      </c>
      <c r="E375" t="s">
        <v>97</v>
      </c>
      <c r="F375" t="s">
        <v>95</v>
      </c>
      <c r="G375">
        <v>15</v>
      </c>
      <c r="H375">
        <v>2E+20</v>
      </c>
      <c r="I375">
        <v>15</v>
      </c>
      <c r="J375">
        <v>15</v>
      </c>
      <c r="K375">
        <v>15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30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15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15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15</v>
      </c>
      <c r="U375" s="5">
        <f>IF((ContinuousStatsTable[[#This Row],[RepsRequested]]&gt;1),ContinuousStatsTable[[#This Row],[HalfWidth]],ContinuousStatsTable[[#This Row],[BatchMeansHalfWidth]])</f>
        <v>0</v>
      </c>
    </row>
    <row r="376" spans="1:21" x14ac:dyDescent="0.3">
      <c r="A376" t="s">
        <v>66</v>
      </c>
      <c r="B376" t="s">
        <v>68</v>
      </c>
      <c r="C376">
        <v>10</v>
      </c>
      <c r="D376" t="s">
        <v>102</v>
      </c>
      <c r="E376" t="s">
        <v>94</v>
      </c>
      <c r="F376" t="s">
        <v>95</v>
      </c>
      <c r="G376">
        <v>0.89322835502019504</v>
      </c>
      <c r="H376">
        <v>2E+20</v>
      </c>
      <c r="I376">
        <v>0</v>
      </c>
      <c r="J376">
        <v>1</v>
      </c>
      <c r="K376">
        <v>1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30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0.73673947391417804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0.90592850818388704</v>
      </c>
      <c r="U376" s="5">
        <f>IF((ContinuousStatsTable[[#This Row],[RepsRequested]]&gt;1),ContinuousStatsTable[[#This Row],[HalfWidth]],ContinuousStatsTable[[#This Row],[BatchMeansHalfWidth]])</f>
        <v>1.8636241798384946E-2</v>
      </c>
    </row>
    <row r="377" spans="1:21" x14ac:dyDescent="0.3">
      <c r="A377" t="s">
        <v>66</v>
      </c>
      <c r="B377" t="s">
        <v>68</v>
      </c>
      <c r="C377">
        <v>10</v>
      </c>
      <c r="D377" t="s">
        <v>102</v>
      </c>
      <c r="E377" t="s">
        <v>96</v>
      </c>
      <c r="F377" t="s">
        <v>95</v>
      </c>
      <c r="G377">
        <v>1.7968913949876599</v>
      </c>
      <c r="H377">
        <v>2E+20</v>
      </c>
      <c r="I377">
        <v>0</v>
      </c>
      <c r="J377">
        <v>3</v>
      </c>
      <c r="K377">
        <v>3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30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1.3726163545041801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1.7968913949876599</v>
      </c>
      <c r="U377" s="5">
        <f>IF((ContinuousStatsTable[[#This Row],[RepsRequested]]&gt;1),ContinuousStatsTable[[#This Row],[HalfWidth]],ContinuousStatsTable[[#This Row],[BatchMeansHalfWidth]])</f>
        <v>4.3123628688677348E-2</v>
      </c>
    </row>
    <row r="378" spans="1:21" x14ac:dyDescent="0.3">
      <c r="A378" t="s">
        <v>66</v>
      </c>
      <c r="B378" t="s">
        <v>68</v>
      </c>
      <c r="C378">
        <v>10</v>
      </c>
      <c r="D378" t="s">
        <v>102</v>
      </c>
      <c r="E378" t="s">
        <v>97</v>
      </c>
      <c r="F378" t="s">
        <v>95</v>
      </c>
      <c r="G378">
        <v>2</v>
      </c>
      <c r="H378">
        <v>2E+20</v>
      </c>
      <c r="I378">
        <v>1</v>
      </c>
      <c r="J378">
        <v>3</v>
      </c>
      <c r="K378">
        <v>1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30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2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2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3">
      <c r="A379" t="s">
        <v>66</v>
      </c>
      <c r="B379" t="s">
        <v>68</v>
      </c>
      <c r="C379">
        <v>10</v>
      </c>
      <c r="D379" t="s">
        <v>84</v>
      </c>
      <c r="E379" t="s">
        <v>103</v>
      </c>
      <c r="F379" t="s">
        <v>86</v>
      </c>
      <c r="G379">
        <v>84.594951996708403</v>
      </c>
      <c r="H379">
        <v>2E+20</v>
      </c>
      <c r="I379">
        <v>0</v>
      </c>
      <c r="J379">
        <v>126</v>
      </c>
      <c r="K379">
        <v>100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30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36.709886237305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84.594951996708403</v>
      </c>
      <c r="U379" s="5">
        <f>IF((ContinuousStatsTable[[#This Row],[RepsRequested]]&gt;1),ContinuousStatsTable[[#This Row],[HalfWidth]],ContinuousStatsTable[[#This Row],[BatchMeansHalfWidth]])</f>
        <v>4.0384933567271259</v>
      </c>
    </row>
    <row r="380" spans="1:21" x14ac:dyDescent="0.3">
      <c r="A380" t="s">
        <v>66</v>
      </c>
      <c r="B380" t="s">
        <v>68</v>
      </c>
      <c r="C380">
        <v>10</v>
      </c>
      <c r="D380" t="s">
        <v>104</v>
      </c>
      <c r="E380" t="s">
        <v>94</v>
      </c>
      <c r="F380" t="s">
        <v>95</v>
      </c>
      <c r="G380">
        <v>0</v>
      </c>
      <c r="H380">
        <v>2E+20</v>
      </c>
      <c r="I380">
        <v>0</v>
      </c>
      <c r="J380">
        <v>0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30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0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0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0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0</v>
      </c>
      <c r="U380" s="5">
        <f>IF((ContinuousStatsTable[[#This Row],[RepsRequested]]&gt;1),ContinuousStatsTable[[#This Row],[HalfWidth]],ContinuousStatsTable[[#This Row],[BatchMeansHalfWidth]])</f>
        <v>0</v>
      </c>
    </row>
    <row r="381" spans="1:21" x14ac:dyDescent="0.3">
      <c r="A381" t="s">
        <v>66</v>
      </c>
      <c r="B381" t="s">
        <v>68</v>
      </c>
      <c r="C381">
        <v>10</v>
      </c>
      <c r="D381" t="s">
        <v>104</v>
      </c>
      <c r="E381" t="s">
        <v>96</v>
      </c>
      <c r="F381" t="s">
        <v>95</v>
      </c>
      <c r="G381">
        <v>0</v>
      </c>
      <c r="H381">
        <v>2E+20</v>
      </c>
      <c r="I381">
        <v>0</v>
      </c>
      <c r="J381">
        <v>0</v>
      </c>
      <c r="K381">
        <v>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30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0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0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0</v>
      </c>
      <c r="U381" s="5">
        <f>IF((ContinuousStatsTable[[#This Row],[RepsRequested]]&gt;1),ContinuousStatsTable[[#This Row],[HalfWidth]],ContinuousStatsTable[[#This Row],[BatchMeansHalfWidth]])</f>
        <v>0</v>
      </c>
    </row>
    <row r="382" spans="1:21" x14ac:dyDescent="0.3">
      <c r="A382" t="s">
        <v>66</v>
      </c>
      <c r="B382" t="s">
        <v>68</v>
      </c>
      <c r="C382">
        <v>10</v>
      </c>
      <c r="D382" t="s">
        <v>104</v>
      </c>
      <c r="E382" t="s">
        <v>97</v>
      </c>
      <c r="F382" t="s">
        <v>95</v>
      </c>
      <c r="G382">
        <v>3</v>
      </c>
      <c r="H382">
        <v>2E+20</v>
      </c>
      <c r="I382">
        <v>3</v>
      </c>
      <c r="J382">
        <v>3</v>
      </c>
      <c r="K382">
        <v>3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30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3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3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3</v>
      </c>
      <c r="U382" s="5">
        <f>IF((ContinuousStatsTable[[#This Row],[RepsRequested]]&gt;1),ContinuousStatsTable[[#This Row],[HalfWidth]],ContinuousStatsTable[[#This Row],[BatchMeansHalfWidth]])</f>
        <v>0</v>
      </c>
    </row>
    <row r="383" spans="1:21" x14ac:dyDescent="0.3">
      <c r="A383" t="s">
        <v>66</v>
      </c>
      <c r="B383" t="s">
        <v>68</v>
      </c>
      <c r="C383">
        <v>10</v>
      </c>
      <c r="D383" t="s">
        <v>105</v>
      </c>
      <c r="E383" t="s">
        <v>94</v>
      </c>
      <c r="F383" t="s">
        <v>95</v>
      </c>
      <c r="G383">
        <v>0.98690384340996296</v>
      </c>
      <c r="H383">
        <v>2E+20</v>
      </c>
      <c r="I383">
        <v>0</v>
      </c>
      <c r="J383">
        <v>1</v>
      </c>
      <c r="K383">
        <v>1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30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0.634589476164233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0.99383259650362799</v>
      </c>
      <c r="U383" s="5">
        <f>IF((ContinuousStatsTable[[#This Row],[RepsRequested]]&gt;1),ContinuousStatsTable[[#This Row],[HalfWidth]],ContinuousStatsTable[[#This Row],[BatchMeansHalfWidth]])</f>
        <v>3.9940526897700258E-2</v>
      </c>
    </row>
    <row r="384" spans="1:21" x14ac:dyDescent="0.3">
      <c r="A384" t="s">
        <v>66</v>
      </c>
      <c r="B384" t="s">
        <v>68</v>
      </c>
      <c r="C384">
        <v>10</v>
      </c>
      <c r="D384" t="s">
        <v>105</v>
      </c>
      <c r="E384" t="s">
        <v>96</v>
      </c>
      <c r="F384" t="s">
        <v>95</v>
      </c>
      <c r="G384">
        <v>0.98690384340996296</v>
      </c>
      <c r="H384">
        <v>2E+20</v>
      </c>
      <c r="I384">
        <v>0</v>
      </c>
      <c r="J384">
        <v>1</v>
      </c>
      <c r="K384">
        <v>1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30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0.634589476164233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0.99383259650362799</v>
      </c>
      <c r="U384" s="5">
        <f>IF((ContinuousStatsTable[[#This Row],[RepsRequested]]&gt;1),ContinuousStatsTable[[#This Row],[HalfWidth]],ContinuousStatsTable[[#This Row],[BatchMeansHalfWidth]])</f>
        <v>3.9940526897700258E-2</v>
      </c>
    </row>
    <row r="385" spans="1:21" x14ac:dyDescent="0.3">
      <c r="A385" t="s">
        <v>66</v>
      </c>
      <c r="B385" t="s">
        <v>68</v>
      </c>
      <c r="C385">
        <v>10</v>
      </c>
      <c r="D385" t="s">
        <v>105</v>
      </c>
      <c r="E385" t="s">
        <v>97</v>
      </c>
      <c r="F385" t="s">
        <v>95</v>
      </c>
      <c r="G385">
        <v>1</v>
      </c>
      <c r="H385">
        <v>2E+20</v>
      </c>
      <c r="I385">
        <v>1</v>
      </c>
      <c r="J385">
        <v>1</v>
      </c>
      <c r="K385">
        <v>1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30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1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1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1</v>
      </c>
      <c r="U385" s="5">
        <f>IF((ContinuousStatsTable[[#This Row],[RepsRequested]]&gt;1),ContinuousStatsTable[[#This Row],[HalfWidth]],ContinuousStatsTable[[#This Row],[BatchMeansHalfWidth]])</f>
        <v>0</v>
      </c>
    </row>
    <row r="386" spans="1:21" x14ac:dyDescent="0.3">
      <c r="A386" t="s">
        <v>66</v>
      </c>
      <c r="B386" t="s">
        <v>68</v>
      </c>
      <c r="C386">
        <v>10</v>
      </c>
      <c r="D386" t="s">
        <v>106</v>
      </c>
      <c r="E386" t="s">
        <v>94</v>
      </c>
      <c r="F386" t="s">
        <v>95</v>
      </c>
      <c r="G386">
        <v>0.98313807304046597</v>
      </c>
      <c r="H386">
        <v>2E+20</v>
      </c>
      <c r="I386">
        <v>0</v>
      </c>
      <c r="J386">
        <v>1</v>
      </c>
      <c r="K386">
        <v>1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30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0.74061105631083801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0.99245161744166299</v>
      </c>
      <c r="U386" s="5">
        <f>IF((ContinuousStatsTable[[#This Row],[RepsRequested]]&gt;1),ContinuousStatsTable[[#This Row],[HalfWidth]],ContinuousStatsTable[[#This Row],[BatchMeansHalfWidth]])</f>
        <v>2.8912497794626357E-2</v>
      </c>
    </row>
    <row r="387" spans="1:21" x14ac:dyDescent="0.3">
      <c r="A387" t="s">
        <v>66</v>
      </c>
      <c r="B387" t="s">
        <v>68</v>
      </c>
      <c r="C387">
        <v>10</v>
      </c>
      <c r="D387" t="s">
        <v>106</v>
      </c>
      <c r="E387" t="s">
        <v>96</v>
      </c>
      <c r="F387" t="s">
        <v>95</v>
      </c>
      <c r="G387">
        <v>0.98313807304046597</v>
      </c>
      <c r="H387">
        <v>2E+20</v>
      </c>
      <c r="I387">
        <v>0</v>
      </c>
      <c r="J387">
        <v>1</v>
      </c>
      <c r="K387">
        <v>1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30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0.74061105631083801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0.99245161744166299</v>
      </c>
      <c r="U387" s="5">
        <f>IF((ContinuousStatsTable[[#This Row],[RepsRequested]]&gt;1),ContinuousStatsTable[[#This Row],[HalfWidth]],ContinuousStatsTable[[#This Row],[BatchMeansHalfWidth]])</f>
        <v>2.8912497794626357E-2</v>
      </c>
    </row>
    <row r="388" spans="1:21" x14ac:dyDescent="0.3">
      <c r="A388" t="s">
        <v>66</v>
      </c>
      <c r="B388" t="s">
        <v>68</v>
      </c>
      <c r="C388">
        <v>10</v>
      </c>
      <c r="D388" t="s">
        <v>106</v>
      </c>
      <c r="E388" t="s">
        <v>97</v>
      </c>
      <c r="F388" t="s">
        <v>95</v>
      </c>
      <c r="G388">
        <v>1</v>
      </c>
      <c r="H388">
        <v>2E+20</v>
      </c>
      <c r="I388">
        <v>1</v>
      </c>
      <c r="J388">
        <v>1</v>
      </c>
      <c r="K388">
        <v>1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30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1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1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1</v>
      </c>
      <c r="U388" s="5">
        <f>IF((ContinuousStatsTable[[#This Row],[RepsRequested]]&gt;1),ContinuousStatsTable[[#This Row],[HalfWidth]],ContinuousStatsTable[[#This Row],[BatchMeansHalfWidth]])</f>
        <v>0</v>
      </c>
    </row>
    <row r="389" spans="1:21" x14ac:dyDescent="0.3">
      <c r="A389" t="s">
        <v>66</v>
      </c>
      <c r="B389" t="s">
        <v>68</v>
      </c>
      <c r="C389">
        <v>10</v>
      </c>
      <c r="D389" t="s">
        <v>107</v>
      </c>
      <c r="E389" t="s">
        <v>94</v>
      </c>
      <c r="F389" t="s">
        <v>95</v>
      </c>
      <c r="G389">
        <v>0.98361198881928302</v>
      </c>
      <c r="H389">
        <v>2E+20</v>
      </c>
      <c r="I389">
        <v>0</v>
      </c>
      <c r="J389">
        <v>1</v>
      </c>
      <c r="K389">
        <v>1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30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0.73843386001690303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0.99245161744166299</v>
      </c>
      <c r="U389" s="5">
        <f>IF((ContinuousStatsTable[[#This Row],[RepsRequested]]&gt;1),ContinuousStatsTable[[#This Row],[HalfWidth]],ContinuousStatsTable[[#This Row],[BatchMeansHalfWidth]])</f>
        <v>2.6057642646860522E-2</v>
      </c>
    </row>
    <row r="390" spans="1:21" x14ac:dyDescent="0.3">
      <c r="A390" t="s">
        <v>66</v>
      </c>
      <c r="B390" t="s">
        <v>68</v>
      </c>
      <c r="C390">
        <v>10</v>
      </c>
      <c r="D390" t="s">
        <v>107</v>
      </c>
      <c r="E390" t="s">
        <v>96</v>
      </c>
      <c r="F390" t="s">
        <v>95</v>
      </c>
      <c r="G390">
        <v>0.98361198881928302</v>
      </c>
      <c r="H390">
        <v>2E+20</v>
      </c>
      <c r="I390">
        <v>0</v>
      </c>
      <c r="J390">
        <v>1</v>
      </c>
      <c r="K390">
        <v>1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30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0.73843386001690303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0.99245161744166299</v>
      </c>
      <c r="U390" s="5">
        <f>IF((ContinuousStatsTable[[#This Row],[RepsRequested]]&gt;1),ContinuousStatsTable[[#This Row],[HalfWidth]],ContinuousStatsTable[[#This Row],[BatchMeansHalfWidth]])</f>
        <v>2.6057642646860522E-2</v>
      </c>
    </row>
    <row r="391" spans="1:21" x14ac:dyDescent="0.3">
      <c r="A391" t="s">
        <v>66</v>
      </c>
      <c r="B391" t="s">
        <v>68</v>
      </c>
      <c r="C391">
        <v>10</v>
      </c>
      <c r="D391" t="s">
        <v>107</v>
      </c>
      <c r="E391" t="s">
        <v>97</v>
      </c>
      <c r="F391" t="s">
        <v>95</v>
      </c>
      <c r="G391">
        <v>1</v>
      </c>
      <c r="H391">
        <v>2E+20</v>
      </c>
      <c r="I391">
        <v>1</v>
      </c>
      <c r="J391">
        <v>1</v>
      </c>
      <c r="K391">
        <v>1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30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1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1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1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3">
      <c r="A392" t="s">
        <v>66</v>
      </c>
      <c r="B392" t="s">
        <v>68</v>
      </c>
      <c r="C392">
        <v>11</v>
      </c>
      <c r="D392" t="s">
        <v>69</v>
      </c>
      <c r="E392" t="s">
        <v>92</v>
      </c>
      <c r="F392" t="s">
        <v>71</v>
      </c>
      <c r="G392">
        <v>6.2550245587323401</v>
      </c>
      <c r="H392">
        <v>2E+20</v>
      </c>
      <c r="I392">
        <v>0</v>
      </c>
      <c r="J392">
        <v>31</v>
      </c>
      <c r="K392">
        <v>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30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2.2853775994771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9.3827575078214593</v>
      </c>
      <c r="U392" s="5">
        <f>IF((ContinuousStatsTable[[#This Row],[RepsRequested]]&gt;1),ContinuousStatsTable[[#This Row],[HalfWidth]],ContinuousStatsTable[[#This Row],[BatchMeansHalfWidth]])</f>
        <v>0.70373665421471332</v>
      </c>
    </row>
    <row r="393" spans="1:21" x14ac:dyDescent="0.3">
      <c r="A393" t="s">
        <v>66</v>
      </c>
      <c r="B393" t="s">
        <v>68</v>
      </c>
      <c r="C393">
        <v>11</v>
      </c>
      <c r="D393" t="s">
        <v>72</v>
      </c>
      <c r="E393" t="s">
        <v>92</v>
      </c>
      <c r="F393" t="s">
        <v>71</v>
      </c>
      <c r="G393">
        <v>3.75080621044052</v>
      </c>
      <c r="H393">
        <v>2E+20</v>
      </c>
      <c r="I393">
        <v>0</v>
      </c>
      <c r="J393">
        <v>18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30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1.4754093813695901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8.0603747791942499</v>
      </c>
      <c r="U393" s="5">
        <f>IF((ContinuousStatsTable[[#This Row],[RepsRequested]]&gt;1),ContinuousStatsTable[[#This Row],[HalfWidth]],ContinuousStatsTable[[#This Row],[BatchMeansHalfWidth]])</f>
        <v>0.5936172943910426</v>
      </c>
    </row>
    <row r="394" spans="1:21" x14ac:dyDescent="0.3">
      <c r="A394" t="s">
        <v>66</v>
      </c>
      <c r="B394" t="s">
        <v>68</v>
      </c>
      <c r="C394">
        <v>11</v>
      </c>
      <c r="D394" t="s">
        <v>73</v>
      </c>
      <c r="E394" t="s">
        <v>92</v>
      </c>
      <c r="F394" t="s">
        <v>71</v>
      </c>
      <c r="G394">
        <v>3.3533385609948301</v>
      </c>
      <c r="H394">
        <v>2E+20</v>
      </c>
      <c r="I394">
        <v>0</v>
      </c>
      <c r="J394">
        <v>13</v>
      </c>
      <c r="K394">
        <v>5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30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1.3305593103954101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29.356614544212601</v>
      </c>
      <c r="U394" s="5">
        <f>IF((ContinuousStatsTable[[#This Row],[RepsRequested]]&gt;1),ContinuousStatsTable[[#This Row],[HalfWidth]],ContinuousStatsTable[[#This Row],[BatchMeansHalfWidth]])</f>
        <v>2.162177461749093</v>
      </c>
    </row>
    <row r="395" spans="1:21" x14ac:dyDescent="0.3">
      <c r="A395" t="s">
        <v>66</v>
      </c>
      <c r="B395" t="s">
        <v>68</v>
      </c>
      <c r="C395">
        <v>11</v>
      </c>
      <c r="D395" t="s">
        <v>74</v>
      </c>
      <c r="E395" t="s">
        <v>92</v>
      </c>
      <c r="F395" t="s">
        <v>71</v>
      </c>
      <c r="G395">
        <v>0</v>
      </c>
      <c r="H395">
        <v>2E+20</v>
      </c>
      <c r="I395">
        <v>0</v>
      </c>
      <c r="J395">
        <v>0</v>
      </c>
      <c r="K395">
        <v>0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30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</v>
      </c>
      <c r="U395" s="5">
        <f>IF((ContinuousStatsTable[[#This Row],[RepsRequested]]&gt;1),ContinuousStatsTable[[#This Row],[HalfWidth]],ContinuousStatsTable[[#This Row],[BatchMeansHalfWidth]])</f>
        <v>0</v>
      </c>
    </row>
    <row r="396" spans="1:21" x14ac:dyDescent="0.3">
      <c r="A396" t="s">
        <v>66</v>
      </c>
      <c r="B396" t="s">
        <v>68</v>
      </c>
      <c r="C396">
        <v>11</v>
      </c>
      <c r="D396" t="s">
        <v>75</v>
      </c>
      <c r="E396" t="s">
        <v>92</v>
      </c>
      <c r="F396" t="s">
        <v>71</v>
      </c>
      <c r="G396">
        <v>0</v>
      </c>
      <c r="H396">
        <v>2E+20</v>
      </c>
      <c r="I396">
        <v>0</v>
      </c>
      <c r="J396">
        <v>0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30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0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0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3">
      <c r="A397" t="s">
        <v>66</v>
      </c>
      <c r="B397" t="s">
        <v>68</v>
      </c>
      <c r="C397">
        <v>11</v>
      </c>
      <c r="D397" t="s">
        <v>76</v>
      </c>
      <c r="E397" t="s">
        <v>92</v>
      </c>
      <c r="F397" t="s">
        <v>71</v>
      </c>
      <c r="G397">
        <v>1.15189013557857</v>
      </c>
      <c r="H397">
        <v>2E+20</v>
      </c>
      <c r="I397">
        <v>0</v>
      </c>
      <c r="J397">
        <v>9</v>
      </c>
      <c r="K397">
        <v>6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30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4.5869485136026601E-2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4.1119263103435699</v>
      </c>
      <c r="U397" s="5">
        <f>IF((ContinuousStatsTable[[#This Row],[RepsRequested]]&gt;1),ContinuousStatsTable[[#This Row],[HalfWidth]],ContinuousStatsTable[[#This Row],[BatchMeansHalfWidth]])</f>
        <v>0.43252967563899991</v>
      </c>
    </row>
    <row r="398" spans="1:21" x14ac:dyDescent="0.3">
      <c r="A398" t="s">
        <v>66</v>
      </c>
      <c r="B398" t="s">
        <v>68</v>
      </c>
      <c r="C398">
        <v>11</v>
      </c>
      <c r="D398" t="s">
        <v>77</v>
      </c>
      <c r="E398" t="s">
        <v>92</v>
      </c>
      <c r="F398" t="s">
        <v>71</v>
      </c>
      <c r="G398">
        <v>0</v>
      </c>
      <c r="H398">
        <v>2E+20</v>
      </c>
      <c r="I398">
        <v>0</v>
      </c>
      <c r="J398">
        <v>0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30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</v>
      </c>
      <c r="U398" s="5">
        <f>IF((ContinuousStatsTable[[#This Row],[RepsRequested]]&gt;1),ContinuousStatsTable[[#This Row],[HalfWidth]],ContinuousStatsTable[[#This Row],[BatchMeansHalfWidth]])</f>
        <v>0</v>
      </c>
    </row>
    <row r="399" spans="1:21" x14ac:dyDescent="0.3">
      <c r="A399" t="s">
        <v>66</v>
      </c>
      <c r="B399" t="s">
        <v>68</v>
      </c>
      <c r="C399">
        <v>11</v>
      </c>
      <c r="D399" t="s">
        <v>78</v>
      </c>
      <c r="E399" t="s">
        <v>92</v>
      </c>
      <c r="F399" t="s">
        <v>71</v>
      </c>
      <c r="G399">
        <v>0</v>
      </c>
      <c r="H399">
        <v>2E+20</v>
      </c>
      <c r="I399">
        <v>0</v>
      </c>
      <c r="J399">
        <v>0</v>
      </c>
      <c r="K399">
        <v>0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30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0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0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0</v>
      </c>
      <c r="U399" s="5">
        <f>IF((ContinuousStatsTable[[#This Row],[RepsRequested]]&gt;1),ContinuousStatsTable[[#This Row],[HalfWidth]],ContinuousStatsTable[[#This Row],[BatchMeansHalfWidth]])</f>
        <v>0</v>
      </c>
    </row>
    <row r="400" spans="1:21" x14ac:dyDescent="0.3">
      <c r="A400" t="s">
        <v>66</v>
      </c>
      <c r="B400" t="s">
        <v>68</v>
      </c>
      <c r="C400">
        <v>11</v>
      </c>
      <c r="D400" t="s">
        <v>93</v>
      </c>
      <c r="E400" t="s">
        <v>94</v>
      </c>
      <c r="F400" t="s">
        <v>95</v>
      </c>
      <c r="G400">
        <v>3.5523138114882301E-2</v>
      </c>
      <c r="H400">
        <v>2E+20</v>
      </c>
      <c r="I400">
        <v>0</v>
      </c>
      <c r="J400">
        <v>0.2</v>
      </c>
      <c r="K400">
        <v>0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30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2.3718114155243601E-2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4.8583931724403701E-2</v>
      </c>
      <c r="U400" s="5">
        <f>IF((ContinuousStatsTable[[#This Row],[RepsRequested]]&gt;1),ContinuousStatsTable[[#This Row],[HalfWidth]],ContinuousStatsTable[[#This Row],[BatchMeansHalfWidth]])</f>
        <v>2.4839579632442289E-3</v>
      </c>
    </row>
    <row r="401" spans="1:21" x14ac:dyDescent="0.3">
      <c r="A401" t="s">
        <v>66</v>
      </c>
      <c r="B401" t="s">
        <v>68</v>
      </c>
      <c r="C401">
        <v>11</v>
      </c>
      <c r="D401" t="s">
        <v>93</v>
      </c>
      <c r="E401" t="s">
        <v>96</v>
      </c>
      <c r="F401" t="s">
        <v>95</v>
      </c>
      <c r="G401">
        <v>0.71046276229764704</v>
      </c>
      <c r="H401">
        <v>2E+20</v>
      </c>
      <c r="I401">
        <v>0</v>
      </c>
      <c r="J401">
        <v>4</v>
      </c>
      <c r="K401">
        <v>0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30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0.47436228310487299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0.97167863448807401</v>
      </c>
      <c r="U401" s="5">
        <f>IF((ContinuousStatsTable[[#This Row],[RepsRequested]]&gt;1),ContinuousStatsTable[[#This Row],[HalfWidth]],ContinuousStatsTable[[#This Row],[BatchMeansHalfWidth]])</f>
        <v>4.9679159264885281E-2</v>
      </c>
    </row>
    <row r="402" spans="1:21" x14ac:dyDescent="0.3">
      <c r="A402" t="s">
        <v>66</v>
      </c>
      <c r="B402" t="s">
        <v>68</v>
      </c>
      <c r="C402">
        <v>11</v>
      </c>
      <c r="D402" t="s">
        <v>93</v>
      </c>
      <c r="E402" t="s">
        <v>97</v>
      </c>
      <c r="F402" t="s">
        <v>95</v>
      </c>
      <c r="G402">
        <v>20</v>
      </c>
      <c r="H402">
        <v>2E+20</v>
      </c>
      <c r="I402">
        <v>20</v>
      </c>
      <c r="J402">
        <v>20</v>
      </c>
      <c r="K402">
        <v>20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30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20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0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20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20</v>
      </c>
      <c r="U402" s="5">
        <f>IF((ContinuousStatsTable[[#This Row],[RepsRequested]]&gt;1),ContinuousStatsTable[[#This Row],[HalfWidth]],ContinuousStatsTable[[#This Row],[BatchMeansHalfWidth]])</f>
        <v>0</v>
      </c>
    </row>
    <row r="403" spans="1:21" x14ac:dyDescent="0.3">
      <c r="A403" t="s">
        <v>66</v>
      </c>
      <c r="B403" t="s">
        <v>68</v>
      </c>
      <c r="C403">
        <v>11</v>
      </c>
      <c r="D403" t="s">
        <v>98</v>
      </c>
      <c r="E403" t="s">
        <v>94</v>
      </c>
      <c r="F403" t="s">
        <v>95</v>
      </c>
      <c r="G403">
        <v>0.27496885846621</v>
      </c>
      <c r="H403">
        <v>2E+20</v>
      </c>
      <c r="I403">
        <v>0</v>
      </c>
      <c r="J403">
        <v>0.7</v>
      </c>
      <c r="K403">
        <v>0.2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30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0.20767736113278101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0.28501162927715501</v>
      </c>
      <c r="U403" s="5">
        <f>IF((ContinuousStatsTable[[#This Row],[RepsRequested]]&gt;1),ContinuousStatsTable[[#This Row],[HalfWidth]],ContinuousStatsTable[[#This Row],[BatchMeansHalfWidth]])</f>
        <v>8.7273384073404715E-3</v>
      </c>
    </row>
    <row r="404" spans="1:21" x14ac:dyDescent="0.3">
      <c r="A404" t="s">
        <v>66</v>
      </c>
      <c r="B404" t="s">
        <v>68</v>
      </c>
      <c r="C404">
        <v>11</v>
      </c>
      <c r="D404" t="s">
        <v>98</v>
      </c>
      <c r="E404" t="s">
        <v>96</v>
      </c>
      <c r="F404" t="s">
        <v>95</v>
      </c>
      <c r="G404">
        <v>5.4993771693242</v>
      </c>
      <c r="H404">
        <v>2E+20</v>
      </c>
      <c r="I404">
        <v>0</v>
      </c>
      <c r="J404">
        <v>14</v>
      </c>
      <c r="K404">
        <v>4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30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4.15354722265561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5.7002325855431097</v>
      </c>
      <c r="U404" s="5">
        <f>IF((ContinuousStatsTable[[#This Row],[RepsRequested]]&gt;1),ContinuousStatsTable[[#This Row],[HalfWidth]],ContinuousStatsTable[[#This Row],[BatchMeansHalfWidth]])</f>
        <v>0.17454676814681078</v>
      </c>
    </row>
    <row r="405" spans="1:21" x14ac:dyDescent="0.3">
      <c r="A405" t="s">
        <v>66</v>
      </c>
      <c r="B405" t="s">
        <v>68</v>
      </c>
      <c r="C405">
        <v>11</v>
      </c>
      <c r="D405" t="s">
        <v>98</v>
      </c>
      <c r="E405" t="s">
        <v>97</v>
      </c>
      <c r="F405" t="s">
        <v>95</v>
      </c>
      <c r="G405">
        <v>20</v>
      </c>
      <c r="H405">
        <v>2E+20</v>
      </c>
      <c r="I405">
        <v>20</v>
      </c>
      <c r="J405">
        <v>20</v>
      </c>
      <c r="K405">
        <v>20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30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20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0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20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20</v>
      </c>
      <c r="U405" s="5">
        <f>IF((ContinuousStatsTable[[#This Row],[RepsRequested]]&gt;1),ContinuousStatsTable[[#This Row],[HalfWidth]],ContinuousStatsTable[[#This Row],[BatchMeansHalfWidth]])</f>
        <v>0</v>
      </c>
    </row>
    <row r="406" spans="1:21" x14ac:dyDescent="0.3">
      <c r="A406" t="s">
        <v>66</v>
      </c>
      <c r="B406" t="s">
        <v>68</v>
      </c>
      <c r="C406">
        <v>11</v>
      </c>
      <c r="D406" t="s">
        <v>99</v>
      </c>
      <c r="E406" t="s">
        <v>94</v>
      </c>
      <c r="F406" t="s">
        <v>95</v>
      </c>
      <c r="G406">
        <v>0.66772673585284703</v>
      </c>
      <c r="H406">
        <v>2E+20</v>
      </c>
      <c r="I406">
        <v>0</v>
      </c>
      <c r="J406">
        <v>1</v>
      </c>
      <c r="K406">
        <v>1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30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0.517215348442703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0.67770389283754395</v>
      </c>
      <c r="U406" s="5">
        <f>IF((ContinuousStatsTable[[#This Row],[RepsRequested]]&gt;1),ContinuousStatsTable[[#This Row],[HalfWidth]],ContinuousStatsTable[[#This Row],[BatchMeansHalfWidth]])</f>
        <v>1.8059192833960565E-2</v>
      </c>
    </row>
    <row r="407" spans="1:21" x14ac:dyDescent="0.3">
      <c r="A407" t="s">
        <v>66</v>
      </c>
      <c r="B407" t="s">
        <v>68</v>
      </c>
      <c r="C407">
        <v>11</v>
      </c>
      <c r="D407" t="s">
        <v>99</v>
      </c>
      <c r="E407" t="s">
        <v>96</v>
      </c>
      <c r="F407" t="s">
        <v>95</v>
      </c>
      <c r="G407">
        <v>6.6772673585284696</v>
      </c>
      <c r="H407">
        <v>2E+20</v>
      </c>
      <c r="I407">
        <v>0</v>
      </c>
      <c r="J407">
        <v>10</v>
      </c>
      <c r="K407">
        <v>10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30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5.1721534844270298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6.7770389283754398</v>
      </c>
      <c r="U407" s="5">
        <f>IF((ContinuousStatsTable[[#This Row],[RepsRequested]]&gt;1),ContinuousStatsTable[[#This Row],[HalfWidth]],ContinuousStatsTable[[#This Row],[BatchMeansHalfWidth]])</f>
        <v>0.18059192833960558</v>
      </c>
    </row>
    <row r="408" spans="1:21" x14ac:dyDescent="0.3">
      <c r="A408" t="s">
        <v>66</v>
      </c>
      <c r="B408" t="s">
        <v>68</v>
      </c>
      <c r="C408">
        <v>11</v>
      </c>
      <c r="D408" t="s">
        <v>99</v>
      </c>
      <c r="E408" t="s">
        <v>97</v>
      </c>
      <c r="F408" t="s">
        <v>95</v>
      </c>
      <c r="G408">
        <v>10</v>
      </c>
      <c r="H408">
        <v>2E+20</v>
      </c>
      <c r="I408">
        <v>10</v>
      </c>
      <c r="J408">
        <v>10</v>
      </c>
      <c r="K408">
        <v>10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30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10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10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10</v>
      </c>
      <c r="U408" s="5">
        <f>IF((ContinuousStatsTable[[#This Row],[RepsRequested]]&gt;1),ContinuousStatsTable[[#This Row],[HalfWidth]],ContinuousStatsTable[[#This Row],[BatchMeansHalfWidth]])</f>
        <v>0</v>
      </c>
    </row>
    <row r="409" spans="1:21" x14ac:dyDescent="0.3">
      <c r="A409" t="s">
        <v>66</v>
      </c>
      <c r="B409" t="s">
        <v>68</v>
      </c>
      <c r="C409">
        <v>11</v>
      </c>
      <c r="D409" t="s">
        <v>100</v>
      </c>
      <c r="E409" t="s">
        <v>94</v>
      </c>
      <c r="F409" t="s">
        <v>95</v>
      </c>
      <c r="G409">
        <v>0.181186689002104</v>
      </c>
      <c r="H409">
        <v>2E+20</v>
      </c>
      <c r="I409">
        <v>0</v>
      </c>
      <c r="J409">
        <v>0.42</v>
      </c>
      <c r="K409">
        <v>0.14000000000000001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30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0.14484829778125299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0.19609322315655101</v>
      </c>
      <c r="U409" s="5">
        <f>IF((ContinuousStatsTable[[#This Row],[RepsRequested]]&gt;1),ContinuousStatsTable[[#This Row],[HalfWidth]],ContinuousStatsTable[[#This Row],[BatchMeansHalfWidth]])</f>
        <v>4.9714113556225048E-3</v>
      </c>
    </row>
    <row r="410" spans="1:21" x14ac:dyDescent="0.3">
      <c r="A410" t="s">
        <v>66</v>
      </c>
      <c r="B410" t="s">
        <v>68</v>
      </c>
      <c r="C410">
        <v>11</v>
      </c>
      <c r="D410" t="s">
        <v>100</v>
      </c>
      <c r="E410" t="s">
        <v>96</v>
      </c>
      <c r="F410" t="s">
        <v>95</v>
      </c>
      <c r="G410">
        <v>9.0593344501051902</v>
      </c>
      <c r="H410">
        <v>2E+20</v>
      </c>
      <c r="I410">
        <v>0</v>
      </c>
      <c r="J410">
        <v>21</v>
      </c>
      <c r="K410">
        <v>7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30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7.2424148890626396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9.8046611578275602</v>
      </c>
      <c r="U410" s="5">
        <f>IF((ContinuousStatsTable[[#This Row],[RepsRequested]]&gt;1),ContinuousStatsTable[[#This Row],[HalfWidth]],ContinuousStatsTable[[#This Row],[BatchMeansHalfWidth]])</f>
        <v>0.24857056778112663</v>
      </c>
    </row>
    <row r="411" spans="1:21" x14ac:dyDescent="0.3">
      <c r="A411" t="s">
        <v>66</v>
      </c>
      <c r="B411" t="s">
        <v>68</v>
      </c>
      <c r="C411">
        <v>11</v>
      </c>
      <c r="D411" t="s">
        <v>100</v>
      </c>
      <c r="E411" t="s">
        <v>97</v>
      </c>
      <c r="F411" t="s">
        <v>95</v>
      </c>
      <c r="G411">
        <v>50</v>
      </c>
      <c r="H411">
        <v>2E+20</v>
      </c>
      <c r="I411">
        <v>50</v>
      </c>
      <c r="J411">
        <v>50</v>
      </c>
      <c r="K411">
        <v>50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30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50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0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50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50</v>
      </c>
      <c r="U411" s="5">
        <f>IF((ContinuousStatsTable[[#This Row],[RepsRequested]]&gt;1),ContinuousStatsTable[[#This Row],[HalfWidth]],ContinuousStatsTable[[#This Row],[BatchMeansHalfWidth]])</f>
        <v>0</v>
      </c>
    </row>
    <row r="412" spans="1:21" x14ac:dyDescent="0.3">
      <c r="A412" t="s">
        <v>66</v>
      </c>
      <c r="B412" t="s">
        <v>68</v>
      </c>
      <c r="C412">
        <v>11</v>
      </c>
      <c r="D412" t="s">
        <v>101</v>
      </c>
      <c r="E412" t="s">
        <v>94</v>
      </c>
      <c r="F412" t="s">
        <v>95</v>
      </c>
      <c r="G412">
        <v>0.100802419981702</v>
      </c>
      <c r="H412">
        <v>2E+20</v>
      </c>
      <c r="I412">
        <v>0</v>
      </c>
      <c r="J412">
        <v>0.46666666666666701</v>
      </c>
      <c r="K412">
        <v>0.133333333333333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30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7.4778736536586704E-2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0.111025455742452</v>
      </c>
      <c r="U412" s="5">
        <f>IF((ContinuousStatsTable[[#This Row],[RepsRequested]]&gt;1),ContinuousStatsTable[[#This Row],[HalfWidth]],ContinuousStatsTable[[#This Row],[BatchMeansHalfWidth]])</f>
        <v>4.1821462690338805E-3</v>
      </c>
    </row>
    <row r="413" spans="1:21" x14ac:dyDescent="0.3">
      <c r="A413" t="s">
        <v>66</v>
      </c>
      <c r="B413" t="s">
        <v>68</v>
      </c>
      <c r="C413">
        <v>11</v>
      </c>
      <c r="D413" t="s">
        <v>101</v>
      </c>
      <c r="E413" t="s">
        <v>96</v>
      </c>
      <c r="F413" t="s">
        <v>95</v>
      </c>
      <c r="G413">
        <v>1.5120362997255199</v>
      </c>
      <c r="H413">
        <v>2E+20</v>
      </c>
      <c r="I413">
        <v>0</v>
      </c>
      <c r="J413">
        <v>7</v>
      </c>
      <c r="K413">
        <v>2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30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1.1216810480488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1.66538183613678</v>
      </c>
      <c r="U413" s="5">
        <f>IF((ContinuousStatsTable[[#This Row],[RepsRequested]]&gt;1),ContinuousStatsTable[[#This Row],[HalfWidth]],ContinuousStatsTable[[#This Row],[BatchMeansHalfWidth]])</f>
        <v>6.2732194035507963E-2</v>
      </c>
    </row>
    <row r="414" spans="1:21" x14ac:dyDescent="0.3">
      <c r="A414" t="s">
        <v>66</v>
      </c>
      <c r="B414" t="s">
        <v>68</v>
      </c>
      <c r="C414">
        <v>11</v>
      </c>
      <c r="D414" t="s">
        <v>101</v>
      </c>
      <c r="E414" t="s">
        <v>97</v>
      </c>
      <c r="F414" t="s">
        <v>95</v>
      </c>
      <c r="G414">
        <v>15</v>
      </c>
      <c r="H414">
        <v>2E+20</v>
      </c>
      <c r="I414">
        <v>15</v>
      </c>
      <c r="J414">
        <v>15</v>
      </c>
      <c r="K414">
        <v>15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30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15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15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15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3">
      <c r="A415" t="s">
        <v>66</v>
      </c>
      <c r="B415" t="s">
        <v>68</v>
      </c>
      <c r="C415">
        <v>11</v>
      </c>
      <c r="D415" t="s">
        <v>102</v>
      </c>
      <c r="E415" t="s">
        <v>94</v>
      </c>
      <c r="F415" t="s">
        <v>95</v>
      </c>
      <c r="G415">
        <v>0.859353529309685</v>
      </c>
      <c r="H415">
        <v>2E+20</v>
      </c>
      <c r="I415">
        <v>0</v>
      </c>
      <c r="J415">
        <v>1</v>
      </c>
      <c r="K415">
        <v>1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30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0.73673947391417804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0.90592850818388704</v>
      </c>
      <c r="U415" s="5">
        <f>IF((ContinuousStatsTable[[#This Row],[RepsRequested]]&gt;1),ContinuousStatsTable[[#This Row],[HalfWidth]],ContinuousStatsTable[[#This Row],[BatchMeansHalfWidth]])</f>
        <v>1.8636241798384946E-2</v>
      </c>
    </row>
    <row r="416" spans="1:21" x14ac:dyDescent="0.3">
      <c r="A416" t="s">
        <v>66</v>
      </c>
      <c r="B416" t="s">
        <v>68</v>
      </c>
      <c r="C416">
        <v>11</v>
      </c>
      <c r="D416" t="s">
        <v>102</v>
      </c>
      <c r="E416" t="s">
        <v>96</v>
      </c>
      <c r="F416" t="s">
        <v>95</v>
      </c>
      <c r="G416">
        <v>1.6952634947713301</v>
      </c>
      <c r="H416">
        <v>2E+20</v>
      </c>
      <c r="I416">
        <v>0</v>
      </c>
      <c r="J416">
        <v>3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30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1.3726163545041801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1.7968913949876599</v>
      </c>
      <c r="U416" s="5">
        <f>IF((ContinuousStatsTable[[#This Row],[RepsRequested]]&gt;1),ContinuousStatsTable[[#This Row],[HalfWidth]],ContinuousStatsTable[[#This Row],[BatchMeansHalfWidth]])</f>
        <v>4.3123628688677348E-2</v>
      </c>
    </row>
    <row r="417" spans="1:21" x14ac:dyDescent="0.3">
      <c r="A417" t="s">
        <v>66</v>
      </c>
      <c r="B417" t="s">
        <v>68</v>
      </c>
      <c r="C417">
        <v>11</v>
      </c>
      <c r="D417" t="s">
        <v>102</v>
      </c>
      <c r="E417" t="s">
        <v>97</v>
      </c>
      <c r="F417" t="s">
        <v>95</v>
      </c>
      <c r="G417">
        <v>2</v>
      </c>
      <c r="H417">
        <v>2E+20</v>
      </c>
      <c r="I417">
        <v>1</v>
      </c>
      <c r="J417">
        <v>3</v>
      </c>
      <c r="K417">
        <v>1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30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2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2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3">
      <c r="A418" t="s">
        <v>66</v>
      </c>
      <c r="B418" t="s">
        <v>68</v>
      </c>
      <c r="C418">
        <v>11</v>
      </c>
      <c r="D418" t="s">
        <v>84</v>
      </c>
      <c r="E418" t="s">
        <v>103</v>
      </c>
      <c r="F418" t="s">
        <v>86</v>
      </c>
      <c r="G418">
        <v>52.730732006888204</v>
      </c>
      <c r="H418">
        <v>2E+20</v>
      </c>
      <c r="I418">
        <v>0</v>
      </c>
      <c r="J418">
        <v>82</v>
      </c>
      <c r="K418">
        <v>49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30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36.709886237305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84.594951996708403</v>
      </c>
      <c r="U418" s="5">
        <f>IF((ContinuousStatsTable[[#This Row],[RepsRequested]]&gt;1),ContinuousStatsTable[[#This Row],[HalfWidth]],ContinuousStatsTable[[#This Row],[BatchMeansHalfWidth]])</f>
        <v>4.0384933567271259</v>
      </c>
    </row>
    <row r="419" spans="1:21" x14ac:dyDescent="0.3">
      <c r="A419" t="s">
        <v>66</v>
      </c>
      <c r="B419" t="s">
        <v>68</v>
      </c>
      <c r="C419">
        <v>11</v>
      </c>
      <c r="D419" t="s">
        <v>104</v>
      </c>
      <c r="E419" t="s">
        <v>94</v>
      </c>
      <c r="F419" t="s">
        <v>95</v>
      </c>
      <c r="G419">
        <v>0</v>
      </c>
      <c r="H419">
        <v>2E+20</v>
      </c>
      <c r="I419">
        <v>0</v>
      </c>
      <c r="J419">
        <v>0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30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0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0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</v>
      </c>
      <c r="U419" s="5">
        <f>IF((ContinuousStatsTable[[#This Row],[RepsRequested]]&gt;1),ContinuousStatsTable[[#This Row],[HalfWidth]],ContinuousStatsTable[[#This Row],[BatchMeansHalfWidth]])</f>
        <v>0</v>
      </c>
    </row>
    <row r="420" spans="1:21" x14ac:dyDescent="0.3">
      <c r="A420" t="s">
        <v>66</v>
      </c>
      <c r="B420" t="s">
        <v>68</v>
      </c>
      <c r="C420">
        <v>11</v>
      </c>
      <c r="D420" t="s">
        <v>104</v>
      </c>
      <c r="E420" t="s">
        <v>96</v>
      </c>
      <c r="F420" t="s">
        <v>95</v>
      </c>
      <c r="G420">
        <v>0</v>
      </c>
      <c r="H420">
        <v>2E+20</v>
      </c>
      <c r="I420">
        <v>0</v>
      </c>
      <c r="J420">
        <v>0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30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0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0</v>
      </c>
      <c r="U420" s="5">
        <f>IF((ContinuousStatsTable[[#This Row],[RepsRequested]]&gt;1),ContinuousStatsTable[[#This Row],[HalfWidth]],ContinuousStatsTable[[#This Row],[BatchMeansHalfWidth]])</f>
        <v>0</v>
      </c>
    </row>
    <row r="421" spans="1:21" x14ac:dyDescent="0.3">
      <c r="A421" t="s">
        <v>66</v>
      </c>
      <c r="B421" t="s">
        <v>68</v>
      </c>
      <c r="C421">
        <v>11</v>
      </c>
      <c r="D421" t="s">
        <v>104</v>
      </c>
      <c r="E421" t="s">
        <v>97</v>
      </c>
      <c r="F421" t="s">
        <v>95</v>
      </c>
      <c r="G421">
        <v>3</v>
      </c>
      <c r="H421">
        <v>2E+20</v>
      </c>
      <c r="I421">
        <v>3</v>
      </c>
      <c r="J421">
        <v>3</v>
      </c>
      <c r="K421">
        <v>3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30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3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3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3</v>
      </c>
      <c r="U421" s="5">
        <f>IF((ContinuousStatsTable[[#This Row],[RepsRequested]]&gt;1),ContinuousStatsTable[[#This Row],[HalfWidth]],ContinuousStatsTable[[#This Row],[BatchMeansHalfWidth]])</f>
        <v>0</v>
      </c>
    </row>
    <row r="422" spans="1:21" x14ac:dyDescent="0.3">
      <c r="A422" t="s">
        <v>66</v>
      </c>
      <c r="B422" t="s">
        <v>68</v>
      </c>
      <c r="C422">
        <v>11</v>
      </c>
      <c r="D422" t="s">
        <v>105</v>
      </c>
      <c r="E422" t="s">
        <v>94</v>
      </c>
      <c r="F422" t="s">
        <v>95</v>
      </c>
      <c r="G422">
        <v>0.75077130981181806</v>
      </c>
      <c r="H422">
        <v>2E+20</v>
      </c>
      <c r="I422">
        <v>0</v>
      </c>
      <c r="J422">
        <v>1</v>
      </c>
      <c r="K422">
        <v>1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30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0.634589476164233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0.99383259650362799</v>
      </c>
      <c r="U422" s="5">
        <f>IF((ContinuousStatsTable[[#This Row],[RepsRequested]]&gt;1),ContinuousStatsTable[[#This Row],[HalfWidth]],ContinuousStatsTable[[#This Row],[BatchMeansHalfWidth]])</f>
        <v>3.9940526897700258E-2</v>
      </c>
    </row>
    <row r="423" spans="1:21" x14ac:dyDescent="0.3">
      <c r="A423" t="s">
        <v>66</v>
      </c>
      <c r="B423" t="s">
        <v>68</v>
      </c>
      <c r="C423">
        <v>11</v>
      </c>
      <c r="D423" t="s">
        <v>105</v>
      </c>
      <c r="E423" t="s">
        <v>96</v>
      </c>
      <c r="F423" t="s">
        <v>95</v>
      </c>
      <c r="G423">
        <v>0.75077130981181806</v>
      </c>
      <c r="H423">
        <v>2E+20</v>
      </c>
      <c r="I423">
        <v>0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30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0.634589476164233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0.99383259650362799</v>
      </c>
      <c r="U423" s="5">
        <f>IF((ContinuousStatsTable[[#This Row],[RepsRequested]]&gt;1),ContinuousStatsTable[[#This Row],[HalfWidth]],ContinuousStatsTable[[#This Row],[BatchMeansHalfWidth]])</f>
        <v>3.9940526897700258E-2</v>
      </c>
    </row>
    <row r="424" spans="1:21" x14ac:dyDescent="0.3">
      <c r="A424" t="s">
        <v>66</v>
      </c>
      <c r="B424" t="s">
        <v>68</v>
      </c>
      <c r="C424">
        <v>11</v>
      </c>
      <c r="D424" t="s">
        <v>105</v>
      </c>
      <c r="E424" t="s">
        <v>97</v>
      </c>
      <c r="F424" t="s">
        <v>95</v>
      </c>
      <c r="G424">
        <v>1</v>
      </c>
      <c r="H424">
        <v>2E+20</v>
      </c>
      <c r="I424">
        <v>1</v>
      </c>
      <c r="J424">
        <v>1</v>
      </c>
      <c r="K424">
        <v>1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30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1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0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1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1</v>
      </c>
      <c r="U424" s="5">
        <f>IF((ContinuousStatsTable[[#This Row],[RepsRequested]]&gt;1),ContinuousStatsTable[[#This Row],[HalfWidth]],ContinuousStatsTable[[#This Row],[BatchMeansHalfWidth]])</f>
        <v>0</v>
      </c>
    </row>
    <row r="425" spans="1:21" x14ac:dyDescent="0.3">
      <c r="A425" t="s">
        <v>66</v>
      </c>
      <c r="B425" t="s">
        <v>68</v>
      </c>
      <c r="C425">
        <v>11</v>
      </c>
      <c r="D425" t="s">
        <v>106</v>
      </c>
      <c r="E425" t="s">
        <v>94</v>
      </c>
      <c r="F425" t="s">
        <v>95</v>
      </c>
      <c r="G425">
        <v>0.81599937008005397</v>
      </c>
      <c r="H425">
        <v>2E+20</v>
      </c>
      <c r="I425">
        <v>0</v>
      </c>
      <c r="J425">
        <v>1</v>
      </c>
      <c r="K425">
        <v>1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30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0.74061105631083801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0.99245161744166299</v>
      </c>
      <c r="U425" s="5">
        <f>IF((ContinuousStatsTable[[#This Row],[RepsRequested]]&gt;1),ContinuousStatsTable[[#This Row],[HalfWidth]],ContinuousStatsTable[[#This Row],[BatchMeansHalfWidth]])</f>
        <v>2.8912497794626357E-2</v>
      </c>
    </row>
    <row r="426" spans="1:21" x14ac:dyDescent="0.3">
      <c r="A426" t="s">
        <v>66</v>
      </c>
      <c r="B426" t="s">
        <v>68</v>
      </c>
      <c r="C426">
        <v>11</v>
      </c>
      <c r="D426" t="s">
        <v>106</v>
      </c>
      <c r="E426" t="s">
        <v>96</v>
      </c>
      <c r="F426" t="s">
        <v>95</v>
      </c>
      <c r="G426">
        <v>0.81599937008005397</v>
      </c>
      <c r="H426">
        <v>2E+20</v>
      </c>
      <c r="I426">
        <v>0</v>
      </c>
      <c r="J426">
        <v>1</v>
      </c>
      <c r="K426">
        <v>1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30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0.74061105631083801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0.99245161744166299</v>
      </c>
      <c r="U426" s="5">
        <f>IF((ContinuousStatsTable[[#This Row],[RepsRequested]]&gt;1),ContinuousStatsTable[[#This Row],[HalfWidth]],ContinuousStatsTable[[#This Row],[BatchMeansHalfWidth]])</f>
        <v>2.8912497794626357E-2</v>
      </c>
    </row>
    <row r="427" spans="1:21" x14ac:dyDescent="0.3">
      <c r="A427" t="s">
        <v>66</v>
      </c>
      <c r="B427" t="s">
        <v>68</v>
      </c>
      <c r="C427">
        <v>11</v>
      </c>
      <c r="D427" t="s">
        <v>106</v>
      </c>
      <c r="E427" t="s">
        <v>97</v>
      </c>
      <c r="F427" t="s">
        <v>95</v>
      </c>
      <c r="G427">
        <v>1</v>
      </c>
      <c r="H427">
        <v>2E+20</v>
      </c>
      <c r="I427">
        <v>1</v>
      </c>
      <c r="J427">
        <v>1</v>
      </c>
      <c r="K427">
        <v>1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30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1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1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1</v>
      </c>
      <c r="U427" s="5">
        <f>IF((ContinuousStatsTable[[#This Row],[RepsRequested]]&gt;1),ContinuousStatsTable[[#This Row],[HalfWidth]],ContinuousStatsTable[[#This Row],[BatchMeansHalfWidth]])</f>
        <v>0</v>
      </c>
    </row>
    <row r="428" spans="1:21" x14ac:dyDescent="0.3">
      <c r="A428" t="s">
        <v>66</v>
      </c>
      <c r="B428" t="s">
        <v>68</v>
      </c>
      <c r="C428">
        <v>11</v>
      </c>
      <c r="D428" t="s">
        <v>107</v>
      </c>
      <c r="E428" t="s">
        <v>94</v>
      </c>
      <c r="F428" t="s">
        <v>95</v>
      </c>
      <c r="G428">
        <v>0.87145477591520804</v>
      </c>
      <c r="H428">
        <v>2E+20</v>
      </c>
      <c r="I428">
        <v>0</v>
      </c>
      <c r="J428">
        <v>1</v>
      </c>
      <c r="K428">
        <v>1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30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0.73843386001690303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0.99245161744166299</v>
      </c>
      <c r="U428" s="5">
        <f>IF((ContinuousStatsTable[[#This Row],[RepsRequested]]&gt;1),ContinuousStatsTable[[#This Row],[HalfWidth]],ContinuousStatsTable[[#This Row],[BatchMeansHalfWidth]])</f>
        <v>2.6057642646860522E-2</v>
      </c>
    </row>
    <row r="429" spans="1:21" x14ac:dyDescent="0.3">
      <c r="A429" t="s">
        <v>66</v>
      </c>
      <c r="B429" t="s">
        <v>68</v>
      </c>
      <c r="C429">
        <v>11</v>
      </c>
      <c r="D429" t="s">
        <v>107</v>
      </c>
      <c r="E429" t="s">
        <v>96</v>
      </c>
      <c r="F429" t="s">
        <v>95</v>
      </c>
      <c r="G429">
        <v>0.87145477591520804</v>
      </c>
      <c r="H429">
        <v>2E+20</v>
      </c>
      <c r="I429">
        <v>0</v>
      </c>
      <c r="J429">
        <v>1</v>
      </c>
      <c r="K429">
        <v>1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30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0.73843386001690303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0.99245161744166299</v>
      </c>
      <c r="U429" s="5">
        <f>IF((ContinuousStatsTable[[#This Row],[RepsRequested]]&gt;1),ContinuousStatsTable[[#This Row],[HalfWidth]],ContinuousStatsTable[[#This Row],[BatchMeansHalfWidth]])</f>
        <v>2.6057642646860522E-2</v>
      </c>
    </row>
    <row r="430" spans="1:21" x14ac:dyDescent="0.3">
      <c r="A430" t="s">
        <v>66</v>
      </c>
      <c r="B430" t="s">
        <v>68</v>
      </c>
      <c r="C430">
        <v>11</v>
      </c>
      <c r="D430" t="s">
        <v>107</v>
      </c>
      <c r="E430" t="s">
        <v>97</v>
      </c>
      <c r="F430" t="s">
        <v>95</v>
      </c>
      <c r="G430">
        <v>1</v>
      </c>
      <c r="H430">
        <v>2E+20</v>
      </c>
      <c r="I430">
        <v>1</v>
      </c>
      <c r="J430">
        <v>1</v>
      </c>
      <c r="K430">
        <v>1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30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1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1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1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3">
      <c r="A431" t="s">
        <v>66</v>
      </c>
      <c r="B431" t="s">
        <v>68</v>
      </c>
      <c r="C431">
        <v>12</v>
      </c>
      <c r="D431" t="s">
        <v>69</v>
      </c>
      <c r="E431" t="s">
        <v>92</v>
      </c>
      <c r="F431" t="s">
        <v>71</v>
      </c>
      <c r="G431">
        <v>5.0390704921782401</v>
      </c>
      <c r="H431">
        <v>2E+20</v>
      </c>
      <c r="I431">
        <v>0</v>
      </c>
      <c r="J431">
        <v>21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30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2.2853775994771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9.3827575078214593</v>
      </c>
      <c r="U431" s="5">
        <f>IF((ContinuousStatsTable[[#This Row],[RepsRequested]]&gt;1),ContinuousStatsTable[[#This Row],[HalfWidth]],ContinuousStatsTable[[#This Row],[BatchMeansHalfWidth]])</f>
        <v>0.70373665421471332</v>
      </c>
    </row>
    <row r="432" spans="1:21" x14ac:dyDescent="0.3">
      <c r="A432" t="s">
        <v>66</v>
      </c>
      <c r="B432" t="s">
        <v>68</v>
      </c>
      <c r="C432">
        <v>12</v>
      </c>
      <c r="D432" t="s">
        <v>72</v>
      </c>
      <c r="E432" t="s">
        <v>92</v>
      </c>
      <c r="F432" t="s">
        <v>71</v>
      </c>
      <c r="G432">
        <v>3.6356366836184399</v>
      </c>
      <c r="H432">
        <v>2E+20</v>
      </c>
      <c r="I432">
        <v>0</v>
      </c>
      <c r="J432">
        <v>16</v>
      </c>
      <c r="K432">
        <v>0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30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1.4754093813695901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8.0603747791942499</v>
      </c>
      <c r="U432" s="5">
        <f>IF((ContinuousStatsTable[[#This Row],[RepsRequested]]&gt;1),ContinuousStatsTable[[#This Row],[HalfWidth]],ContinuousStatsTable[[#This Row],[BatchMeansHalfWidth]])</f>
        <v>0.5936172943910426</v>
      </c>
    </row>
    <row r="433" spans="1:21" x14ac:dyDescent="0.3">
      <c r="A433" t="s">
        <v>66</v>
      </c>
      <c r="B433" t="s">
        <v>68</v>
      </c>
      <c r="C433">
        <v>12</v>
      </c>
      <c r="D433" t="s">
        <v>73</v>
      </c>
      <c r="E433" t="s">
        <v>92</v>
      </c>
      <c r="F433" t="s">
        <v>71</v>
      </c>
      <c r="G433">
        <v>6.2514956573035203</v>
      </c>
      <c r="H433">
        <v>2E+20</v>
      </c>
      <c r="I433">
        <v>0</v>
      </c>
      <c r="J433">
        <v>18</v>
      </c>
      <c r="K433">
        <v>2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30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1.3305593103954101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29.356614544212601</v>
      </c>
      <c r="U433" s="5">
        <f>IF((ContinuousStatsTable[[#This Row],[RepsRequested]]&gt;1),ContinuousStatsTable[[#This Row],[HalfWidth]],ContinuousStatsTable[[#This Row],[BatchMeansHalfWidth]])</f>
        <v>2.162177461749093</v>
      </c>
    </row>
    <row r="434" spans="1:21" x14ac:dyDescent="0.3">
      <c r="A434" t="s">
        <v>66</v>
      </c>
      <c r="B434" t="s">
        <v>68</v>
      </c>
      <c r="C434">
        <v>12</v>
      </c>
      <c r="D434" t="s">
        <v>74</v>
      </c>
      <c r="E434" t="s">
        <v>92</v>
      </c>
      <c r="F434" t="s">
        <v>71</v>
      </c>
      <c r="G434">
        <v>0</v>
      </c>
      <c r="H434">
        <v>2E+20</v>
      </c>
      <c r="I434">
        <v>0</v>
      </c>
      <c r="J434">
        <v>0</v>
      </c>
      <c r="K434">
        <v>0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30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</v>
      </c>
      <c r="U434" s="5">
        <f>IF((ContinuousStatsTable[[#This Row],[RepsRequested]]&gt;1),ContinuousStatsTable[[#This Row],[HalfWidth]],ContinuousStatsTable[[#This Row],[BatchMeansHalfWidth]])</f>
        <v>0</v>
      </c>
    </row>
    <row r="435" spans="1:21" x14ac:dyDescent="0.3">
      <c r="A435" t="s">
        <v>66</v>
      </c>
      <c r="B435" t="s">
        <v>68</v>
      </c>
      <c r="C435">
        <v>12</v>
      </c>
      <c r="D435" t="s">
        <v>75</v>
      </c>
      <c r="E435" t="s">
        <v>92</v>
      </c>
      <c r="F435" t="s">
        <v>71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30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 s="5">
        <f>IF((ContinuousStatsTable[[#This Row],[RepsRequested]]&gt;1),ContinuousStatsTable[[#This Row],[HalfWidth]],ContinuousStatsTable[[#This Row],[BatchMeansHalfWidth]])</f>
        <v>0</v>
      </c>
    </row>
    <row r="436" spans="1:21" x14ac:dyDescent="0.3">
      <c r="A436" t="s">
        <v>66</v>
      </c>
      <c r="B436" t="s">
        <v>68</v>
      </c>
      <c r="C436">
        <v>12</v>
      </c>
      <c r="D436" t="s">
        <v>76</v>
      </c>
      <c r="E436" t="s">
        <v>92</v>
      </c>
      <c r="F436" t="s">
        <v>71</v>
      </c>
      <c r="G436">
        <v>0.663527741450048</v>
      </c>
      <c r="H436">
        <v>2E+20</v>
      </c>
      <c r="I436">
        <v>0</v>
      </c>
      <c r="J436">
        <v>7</v>
      </c>
      <c r="K436">
        <v>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30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4.5869485136026601E-2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4.1119263103435699</v>
      </c>
      <c r="U436" s="5">
        <f>IF((ContinuousStatsTable[[#This Row],[RepsRequested]]&gt;1),ContinuousStatsTable[[#This Row],[HalfWidth]],ContinuousStatsTable[[#This Row],[BatchMeansHalfWidth]])</f>
        <v>0.43252967563899991</v>
      </c>
    </row>
    <row r="437" spans="1:21" x14ac:dyDescent="0.3">
      <c r="A437" t="s">
        <v>66</v>
      </c>
      <c r="B437" t="s">
        <v>68</v>
      </c>
      <c r="C437">
        <v>12</v>
      </c>
      <c r="D437" t="s">
        <v>77</v>
      </c>
      <c r="E437" t="s">
        <v>92</v>
      </c>
      <c r="F437" t="s">
        <v>71</v>
      </c>
      <c r="G437">
        <v>0</v>
      </c>
      <c r="H437">
        <v>2E+20</v>
      </c>
      <c r="I437">
        <v>0</v>
      </c>
      <c r="J437">
        <v>0</v>
      </c>
      <c r="K437">
        <v>0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30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0</v>
      </c>
      <c r="U437" s="5">
        <f>IF((ContinuousStatsTable[[#This Row],[RepsRequested]]&gt;1),ContinuousStatsTable[[#This Row],[HalfWidth]],ContinuousStatsTable[[#This Row],[BatchMeansHalfWidth]])</f>
        <v>0</v>
      </c>
    </row>
    <row r="438" spans="1:21" x14ac:dyDescent="0.3">
      <c r="A438" t="s">
        <v>66</v>
      </c>
      <c r="B438" t="s">
        <v>68</v>
      </c>
      <c r="C438">
        <v>12</v>
      </c>
      <c r="D438" t="s">
        <v>78</v>
      </c>
      <c r="E438" t="s">
        <v>92</v>
      </c>
      <c r="F438" t="s">
        <v>71</v>
      </c>
      <c r="G438">
        <v>0</v>
      </c>
      <c r="H438">
        <v>2E+20</v>
      </c>
      <c r="I438">
        <v>0</v>
      </c>
      <c r="J438">
        <v>0</v>
      </c>
      <c r="K438">
        <v>0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30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0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0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0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0</v>
      </c>
      <c r="U438" s="5">
        <f>IF((ContinuousStatsTable[[#This Row],[RepsRequested]]&gt;1),ContinuousStatsTable[[#This Row],[HalfWidth]],ContinuousStatsTable[[#This Row],[BatchMeansHalfWidth]])</f>
        <v>0</v>
      </c>
    </row>
    <row r="439" spans="1:21" x14ac:dyDescent="0.3">
      <c r="A439" t="s">
        <v>66</v>
      </c>
      <c r="B439" t="s">
        <v>68</v>
      </c>
      <c r="C439">
        <v>12</v>
      </c>
      <c r="D439" t="s">
        <v>93</v>
      </c>
      <c r="E439" t="s">
        <v>94</v>
      </c>
      <c r="F439" t="s">
        <v>95</v>
      </c>
      <c r="G439">
        <v>2.9507417656767201E-2</v>
      </c>
      <c r="H439">
        <v>2E+20</v>
      </c>
      <c r="I439">
        <v>0</v>
      </c>
      <c r="J439">
        <v>0.2</v>
      </c>
      <c r="K439">
        <v>0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30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2.3718114155243601E-2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4.8583931724403701E-2</v>
      </c>
      <c r="U439" s="5">
        <f>IF((ContinuousStatsTable[[#This Row],[RepsRequested]]&gt;1),ContinuousStatsTable[[#This Row],[HalfWidth]],ContinuousStatsTable[[#This Row],[BatchMeansHalfWidth]])</f>
        <v>2.4839579632442289E-3</v>
      </c>
    </row>
    <row r="440" spans="1:21" x14ac:dyDescent="0.3">
      <c r="A440" t="s">
        <v>66</v>
      </c>
      <c r="B440" t="s">
        <v>68</v>
      </c>
      <c r="C440">
        <v>12</v>
      </c>
      <c r="D440" t="s">
        <v>93</v>
      </c>
      <c r="E440" t="s">
        <v>96</v>
      </c>
      <c r="F440" t="s">
        <v>95</v>
      </c>
      <c r="G440">
        <v>0.59014835313534397</v>
      </c>
      <c r="H440">
        <v>2E+20</v>
      </c>
      <c r="I440">
        <v>0</v>
      </c>
      <c r="J440">
        <v>4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30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0.47436228310487299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0.97167863448807401</v>
      </c>
      <c r="U440" s="5">
        <f>IF((ContinuousStatsTable[[#This Row],[RepsRequested]]&gt;1),ContinuousStatsTable[[#This Row],[HalfWidth]],ContinuousStatsTable[[#This Row],[BatchMeansHalfWidth]])</f>
        <v>4.9679159264885281E-2</v>
      </c>
    </row>
    <row r="441" spans="1:21" x14ac:dyDescent="0.3">
      <c r="A441" t="s">
        <v>66</v>
      </c>
      <c r="B441" t="s">
        <v>68</v>
      </c>
      <c r="C441">
        <v>12</v>
      </c>
      <c r="D441" t="s">
        <v>93</v>
      </c>
      <c r="E441" t="s">
        <v>97</v>
      </c>
      <c r="F441" t="s">
        <v>95</v>
      </c>
      <c r="G441">
        <v>20</v>
      </c>
      <c r="H441">
        <v>2E+20</v>
      </c>
      <c r="I441">
        <v>20</v>
      </c>
      <c r="J441">
        <v>20</v>
      </c>
      <c r="K441">
        <v>20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30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20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20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20</v>
      </c>
      <c r="U441" s="5">
        <f>IF((ContinuousStatsTable[[#This Row],[RepsRequested]]&gt;1),ContinuousStatsTable[[#This Row],[HalfWidth]],ContinuousStatsTable[[#This Row],[BatchMeansHalfWidth]])</f>
        <v>0</v>
      </c>
    </row>
    <row r="442" spans="1:21" x14ac:dyDescent="0.3">
      <c r="A442" t="s">
        <v>66</v>
      </c>
      <c r="B442" t="s">
        <v>68</v>
      </c>
      <c r="C442">
        <v>12</v>
      </c>
      <c r="D442" t="s">
        <v>98</v>
      </c>
      <c r="E442" t="s">
        <v>94</v>
      </c>
      <c r="F442" t="s">
        <v>95</v>
      </c>
      <c r="G442">
        <v>0.21491141235396499</v>
      </c>
      <c r="H442">
        <v>2E+20</v>
      </c>
      <c r="I442">
        <v>0</v>
      </c>
      <c r="J442">
        <v>0.65</v>
      </c>
      <c r="K442">
        <v>0.15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30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0.20767736113278101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0.28501162927715501</v>
      </c>
      <c r="U442" s="5">
        <f>IF((ContinuousStatsTable[[#This Row],[RepsRequested]]&gt;1),ContinuousStatsTable[[#This Row],[HalfWidth]],ContinuousStatsTable[[#This Row],[BatchMeansHalfWidth]])</f>
        <v>8.7273384073404715E-3</v>
      </c>
    </row>
    <row r="443" spans="1:21" x14ac:dyDescent="0.3">
      <c r="A443" t="s">
        <v>66</v>
      </c>
      <c r="B443" t="s">
        <v>68</v>
      </c>
      <c r="C443">
        <v>12</v>
      </c>
      <c r="D443" t="s">
        <v>98</v>
      </c>
      <c r="E443" t="s">
        <v>96</v>
      </c>
      <c r="F443" t="s">
        <v>95</v>
      </c>
      <c r="G443">
        <v>4.2982282470793001</v>
      </c>
      <c r="H443">
        <v>2E+20</v>
      </c>
      <c r="I443">
        <v>0</v>
      </c>
      <c r="J443">
        <v>13</v>
      </c>
      <c r="K443">
        <v>3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30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4.15354722265561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5.7002325855431097</v>
      </c>
      <c r="U443" s="5">
        <f>IF((ContinuousStatsTable[[#This Row],[RepsRequested]]&gt;1),ContinuousStatsTable[[#This Row],[HalfWidth]],ContinuousStatsTable[[#This Row],[BatchMeansHalfWidth]])</f>
        <v>0.17454676814681078</v>
      </c>
    </row>
    <row r="444" spans="1:21" x14ac:dyDescent="0.3">
      <c r="A444" t="s">
        <v>66</v>
      </c>
      <c r="B444" t="s">
        <v>68</v>
      </c>
      <c r="C444">
        <v>12</v>
      </c>
      <c r="D444" t="s">
        <v>98</v>
      </c>
      <c r="E444" t="s">
        <v>97</v>
      </c>
      <c r="F444" t="s">
        <v>95</v>
      </c>
      <c r="G444">
        <v>20</v>
      </c>
      <c r="H444">
        <v>2E+20</v>
      </c>
      <c r="I444">
        <v>20</v>
      </c>
      <c r="J444">
        <v>20</v>
      </c>
      <c r="K444">
        <v>20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30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20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0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20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20</v>
      </c>
      <c r="U444" s="5">
        <f>IF((ContinuousStatsTable[[#This Row],[RepsRequested]]&gt;1),ContinuousStatsTable[[#This Row],[HalfWidth]],ContinuousStatsTable[[#This Row],[BatchMeansHalfWidth]])</f>
        <v>0</v>
      </c>
    </row>
    <row r="445" spans="1:21" x14ac:dyDescent="0.3">
      <c r="A445" t="s">
        <v>66</v>
      </c>
      <c r="B445" t="s">
        <v>68</v>
      </c>
      <c r="C445">
        <v>12</v>
      </c>
      <c r="D445" t="s">
        <v>99</v>
      </c>
      <c r="E445" t="s">
        <v>94</v>
      </c>
      <c r="F445" t="s">
        <v>95</v>
      </c>
      <c r="G445">
        <v>0.60252520259327202</v>
      </c>
      <c r="H445">
        <v>2E+20</v>
      </c>
      <c r="I445">
        <v>0</v>
      </c>
      <c r="J445">
        <v>1</v>
      </c>
      <c r="K445">
        <v>0.8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30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0.517215348442703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0.67770389283754395</v>
      </c>
      <c r="U445" s="5">
        <f>IF((ContinuousStatsTable[[#This Row],[RepsRequested]]&gt;1),ContinuousStatsTable[[#This Row],[HalfWidth]],ContinuousStatsTable[[#This Row],[BatchMeansHalfWidth]])</f>
        <v>1.8059192833960565E-2</v>
      </c>
    </row>
    <row r="446" spans="1:21" x14ac:dyDescent="0.3">
      <c r="A446" t="s">
        <v>66</v>
      </c>
      <c r="B446" t="s">
        <v>68</v>
      </c>
      <c r="C446">
        <v>12</v>
      </c>
      <c r="D446" t="s">
        <v>99</v>
      </c>
      <c r="E446" t="s">
        <v>96</v>
      </c>
      <c r="F446" t="s">
        <v>95</v>
      </c>
      <c r="G446">
        <v>6.02525202593272</v>
      </c>
      <c r="H446">
        <v>2E+20</v>
      </c>
      <c r="I446">
        <v>0</v>
      </c>
      <c r="J446">
        <v>10</v>
      </c>
      <c r="K446">
        <v>8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30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5.1721534844270298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6.7770389283754398</v>
      </c>
      <c r="U446" s="5">
        <f>IF((ContinuousStatsTable[[#This Row],[RepsRequested]]&gt;1),ContinuousStatsTable[[#This Row],[HalfWidth]],ContinuousStatsTable[[#This Row],[BatchMeansHalfWidth]])</f>
        <v>0.18059192833960558</v>
      </c>
    </row>
    <row r="447" spans="1:21" x14ac:dyDescent="0.3">
      <c r="A447" t="s">
        <v>66</v>
      </c>
      <c r="B447" t="s">
        <v>68</v>
      </c>
      <c r="C447">
        <v>12</v>
      </c>
      <c r="D447" t="s">
        <v>99</v>
      </c>
      <c r="E447" t="s">
        <v>97</v>
      </c>
      <c r="F447" t="s">
        <v>95</v>
      </c>
      <c r="G447">
        <v>10</v>
      </c>
      <c r="H447">
        <v>2E+20</v>
      </c>
      <c r="I447">
        <v>10</v>
      </c>
      <c r="J447">
        <v>10</v>
      </c>
      <c r="K447">
        <v>10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30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10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10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10</v>
      </c>
      <c r="U447" s="5">
        <f>IF((ContinuousStatsTable[[#This Row],[RepsRequested]]&gt;1),ContinuousStatsTable[[#This Row],[HalfWidth]],ContinuousStatsTable[[#This Row],[BatchMeansHalfWidth]])</f>
        <v>0</v>
      </c>
    </row>
    <row r="448" spans="1:21" x14ac:dyDescent="0.3">
      <c r="A448" t="s">
        <v>66</v>
      </c>
      <c r="B448" t="s">
        <v>68</v>
      </c>
      <c r="C448">
        <v>12</v>
      </c>
      <c r="D448" t="s">
        <v>100</v>
      </c>
      <c r="E448" t="s">
        <v>94</v>
      </c>
      <c r="F448" t="s">
        <v>95</v>
      </c>
      <c r="G448">
        <v>0.16551692449424399</v>
      </c>
      <c r="H448">
        <v>2E+20</v>
      </c>
      <c r="I448">
        <v>0</v>
      </c>
      <c r="J448">
        <v>0.4</v>
      </c>
      <c r="K448">
        <v>0.16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30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0.14484829778125299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0.19609322315655101</v>
      </c>
      <c r="U448" s="5">
        <f>IF((ContinuousStatsTable[[#This Row],[RepsRequested]]&gt;1),ContinuousStatsTable[[#This Row],[HalfWidth]],ContinuousStatsTable[[#This Row],[BatchMeansHalfWidth]])</f>
        <v>4.9714113556225048E-3</v>
      </c>
    </row>
    <row r="449" spans="1:21" x14ac:dyDescent="0.3">
      <c r="A449" t="s">
        <v>66</v>
      </c>
      <c r="B449" t="s">
        <v>68</v>
      </c>
      <c r="C449">
        <v>12</v>
      </c>
      <c r="D449" t="s">
        <v>100</v>
      </c>
      <c r="E449" t="s">
        <v>96</v>
      </c>
      <c r="F449" t="s">
        <v>95</v>
      </c>
      <c r="G449">
        <v>8.2758462247121791</v>
      </c>
      <c r="H449">
        <v>2E+20</v>
      </c>
      <c r="I449">
        <v>0</v>
      </c>
      <c r="J449">
        <v>20</v>
      </c>
      <c r="K449">
        <v>8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30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7.2424148890626396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9.8046611578275602</v>
      </c>
      <c r="U449" s="5">
        <f>IF((ContinuousStatsTable[[#This Row],[RepsRequested]]&gt;1),ContinuousStatsTable[[#This Row],[HalfWidth]],ContinuousStatsTable[[#This Row],[BatchMeansHalfWidth]])</f>
        <v>0.24857056778112663</v>
      </c>
    </row>
    <row r="450" spans="1:21" x14ac:dyDescent="0.3">
      <c r="A450" t="s">
        <v>66</v>
      </c>
      <c r="B450" t="s">
        <v>68</v>
      </c>
      <c r="C450">
        <v>12</v>
      </c>
      <c r="D450" t="s">
        <v>100</v>
      </c>
      <c r="E450" t="s">
        <v>97</v>
      </c>
      <c r="F450" t="s">
        <v>95</v>
      </c>
      <c r="G450">
        <v>50</v>
      </c>
      <c r="H450">
        <v>2E+20</v>
      </c>
      <c r="I450">
        <v>50</v>
      </c>
      <c r="J450">
        <v>50</v>
      </c>
      <c r="K450">
        <v>50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30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50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0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50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50</v>
      </c>
      <c r="U450" s="5">
        <f>IF((ContinuousStatsTable[[#This Row],[RepsRequested]]&gt;1),ContinuousStatsTable[[#This Row],[HalfWidth]],ContinuousStatsTable[[#This Row],[BatchMeansHalfWidth]])</f>
        <v>0</v>
      </c>
    </row>
    <row r="451" spans="1:21" x14ac:dyDescent="0.3">
      <c r="A451" t="s">
        <v>66</v>
      </c>
      <c r="B451" t="s">
        <v>68</v>
      </c>
      <c r="C451">
        <v>12</v>
      </c>
      <c r="D451" t="s">
        <v>101</v>
      </c>
      <c r="E451" t="s">
        <v>94</v>
      </c>
      <c r="F451" t="s">
        <v>95</v>
      </c>
      <c r="G451">
        <v>9.6372163840602001E-2</v>
      </c>
      <c r="H451">
        <v>2E+20</v>
      </c>
      <c r="I451">
        <v>0</v>
      </c>
      <c r="J451">
        <v>0.33333333333333298</v>
      </c>
      <c r="K451">
        <v>6.6666666666666693E-2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30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7.4778736536586704E-2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0.111025455742452</v>
      </c>
      <c r="U451" s="5">
        <f>IF((ContinuousStatsTable[[#This Row],[RepsRequested]]&gt;1),ContinuousStatsTable[[#This Row],[HalfWidth]],ContinuousStatsTable[[#This Row],[BatchMeansHalfWidth]])</f>
        <v>4.1821462690338805E-3</v>
      </c>
    </row>
    <row r="452" spans="1:21" x14ac:dyDescent="0.3">
      <c r="A452" t="s">
        <v>66</v>
      </c>
      <c r="B452" t="s">
        <v>68</v>
      </c>
      <c r="C452">
        <v>12</v>
      </c>
      <c r="D452" t="s">
        <v>101</v>
      </c>
      <c r="E452" t="s">
        <v>96</v>
      </c>
      <c r="F452" t="s">
        <v>95</v>
      </c>
      <c r="G452">
        <v>1.4455824576090299</v>
      </c>
      <c r="H452">
        <v>2E+20</v>
      </c>
      <c r="I452">
        <v>0</v>
      </c>
      <c r="J452">
        <v>5</v>
      </c>
      <c r="K452">
        <v>1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30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1.1216810480488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1.66538183613678</v>
      </c>
      <c r="U452" s="5">
        <f>IF((ContinuousStatsTable[[#This Row],[RepsRequested]]&gt;1),ContinuousStatsTable[[#This Row],[HalfWidth]],ContinuousStatsTable[[#This Row],[BatchMeansHalfWidth]])</f>
        <v>6.2732194035507963E-2</v>
      </c>
    </row>
    <row r="453" spans="1:21" x14ac:dyDescent="0.3">
      <c r="A453" t="s">
        <v>66</v>
      </c>
      <c r="B453" t="s">
        <v>68</v>
      </c>
      <c r="C453">
        <v>12</v>
      </c>
      <c r="D453" t="s">
        <v>101</v>
      </c>
      <c r="E453" t="s">
        <v>97</v>
      </c>
      <c r="F453" t="s">
        <v>95</v>
      </c>
      <c r="G453">
        <v>15</v>
      </c>
      <c r="H453">
        <v>2E+20</v>
      </c>
      <c r="I453">
        <v>15</v>
      </c>
      <c r="J453">
        <v>15</v>
      </c>
      <c r="K453">
        <v>15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30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15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15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15</v>
      </c>
      <c r="U453" s="5">
        <f>IF((ContinuousStatsTable[[#This Row],[RepsRequested]]&gt;1),ContinuousStatsTable[[#This Row],[HalfWidth]],ContinuousStatsTable[[#This Row],[BatchMeansHalfWidth]])</f>
        <v>0</v>
      </c>
    </row>
    <row r="454" spans="1:21" x14ac:dyDescent="0.3">
      <c r="A454" t="s">
        <v>66</v>
      </c>
      <c r="B454" t="s">
        <v>68</v>
      </c>
      <c r="C454">
        <v>12</v>
      </c>
      <c r="D454" t="s">
        <v>102</v>
      </c>
      <c r="E454" t="s">
        <v>94</v>
      </c>
      <c r="F454" t="s">
        <v>95</v>
      </c>
      <c r="G454">
        <v>0.80702828669744398</v>
      </c>
      <c r="H454">
        <v>2E+20</v>
      </c>
      <c r="I454">
        <v>0</v>
      </c>
      <c r="J454">
        <v>1</v>
      </c>
      <c r="K454">
        <v>1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30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0.73673947391417804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0.90592850818388704</v>
      </c>
      <c r="U454" s="5">
        <f>IF((ContinuousStatsTable[[#This Row],[RepsRequested]]&gt;1),ContinuousStatsTable[[#This Row],[HalfWidth]],ContinuousStatsTable[[#This Row],[BatchMeansHalfWidth]])</f>
        <v>1.8636241798384946E-2</v>
      </c>
    </row>
    <row r="455" spans="1:21" x14ac:dyDescent="0.3">
      <c r="A455" t="s">
        <v>66</v>
      </c>
      <c r="B455" t="s">
        <v>68</v>
      </c>
      <c r="C455">
        <v>12</v>
      </c>
      <c r="D455" t="s">
        <v>102</v>
      </c>
      <c r="E455" t="s">
        <v>96</v>
      </c>
      <c r="F455" t="s">
        <v>95</v>
      </c>
      <c r="G455">
        <v>1.55386041153988</v>
      </c>
      <c r="H455">
        <v>2E+20</v>
      </c>
      <c r="I455">
        <v>0</v>
      </c>
      <c r="J455">
        <v>3</v>
      </c>
      <c r="K455">
        <v>1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30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1.3726163545041801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1.7968913949876599</v>
      </c>
      <c r="U455" s="5">
        <f>IF((ContinuousStatsTable[[#This Row],[RepsRequested]]&gt;1),ContinuousStatsTable[[#This Row],[HalfWidth]],ContinuousStatsTable[[#This Row],[BatchMeansHalfWidth]])</f>
        <v>4.3123628688677348E-2</v>
      </c>
    </row>
    <row r="456" spans="1:21" x14ac:dyDescent="0.3">
      <c r="A456" t="s">
        <v>66</v>
      </c>
      <c r="B456" t="s">
        <v>68</v>
      </c>
      <c r="C456">
        <v>12</v>
      </c>
      <c r="D456" t="s">
        <v>102</v>
      </c>
      <c r="E456" t="s">
        <v>97</v>
      </c>
      <c r="F456" t="s">
        <v>95</v>
      </c>
      <c r="G456">
        <v>2</v>
      </c>
      <c r="H456">
        <v>2E+20</v>
      </c>
      <c r="I456">
        <v>1</v>
      </c>
      <c r="J456">
        <v>3</v>
      </c>
      <c r="K456">
        <v>1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30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2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2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2</v>
      </c>
      <c r="U456" s="5">
        <f>IF((ContinuousStatsTable[[#This Row],[RepsRequested]]&gt;1),ContinuousStatsTable[[#This Row],[HalfWidth]],ContinuousStatsTable[[#This Row],[BatchMeansHalfWidth]])</f>
        <v>0</v>
      </c>
    </row>
    <row r="457" spans="1:21" x14ac:dyDescent="0.3">
      <c r="A457" t="s">
        <v>66</v>
      </c>
      <c r="B457" t="s">
        <v>68</v>
      </c>
      <c r="C457">
        <v>12</v>
      </c>
      <c r="D457" t="s">
        <v>84</v>
      </c>
      <c r="E457" t="s">
        <v>103</v>
      </c>
      <c r="F457" t="s">
        <v>86</v>
      </c>
      <c r="G457">
        <v>50.008434931141899</v>
      </c>
      <c r="H457">
        <v>2E+20</v>
      </c>
      <c r="I457">
        <v>0</v>
      </c>
      <c r="J457">
        <v>82</v>
      </c>
      <c r="K457">
        <v>41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30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36.709886237305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84.594951996708403</v>
      </c>
      <c r="U457" s="5">
        <f>IF((ContinuousStatsTable[[#This Row],[RepsRequested]]&gt;1),ContinuousStatsTable[[#This Row],[HalfWidth]],ContinuousStatsTable[[#This Row],[BatchMeansHalfWidth]])</f>
        <v>4.0384933567271259</v>
      </c>
    </row>
    <row r="458" spans="1:21" x14ac:dyDescent="0.3">
      <c r="A458" t="s">
        <v>66</v>
      </c>
      <c r="B458" t="s">
        <v>68</v>
      </c>
      <c r="C458">
        <v>12</v>
      </c>
      <c r="D458" t="s">
        <v>104</v>
      </c>
      <c r="E458" t="s">
        <v>94</v>
      </c>
      <c r="F458" t="s">
        <v>95</v>
      </c>
      <c r="G458">
        <v>0</v>
      </c>
      <c r="H458">
        <v>2E+20</v>
      </c>
      <c r="I458">
        <v>0</v>
      </c>
      <c r="J458">
        <v>0</v>
      </c>
      <c r="K458">
        <v>0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30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0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0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0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0</v>
      </c>
      <c r="U458" s="5">
        <f>IF((ContinuousStatsTable[[#This Row],[RepsRequested]]&gt;1),ContinuousStatsTable[[#This Row],[HalfWidth]],ContinuousStatsTable[[#This Row],[BatchMeansHalfWidth]])</f>
        <v>0</v>
      </c>
    </row>
    <row r="459" spans="1:21" x14ac:dyDescent="0.3">
      <c r="A459" t="s">
        <v>66</v>
      </c>
      <c r="B459" t="s">
        <v>68</v>
      </c>
      <c r="C459">
        <v>12</v>
      </c>
      <c r="D459" t="s">
        <v>104</v>
      </c>
      <c r="E459" t="s">
        <v>96</v>
      </c>
      <c r="F459" t="s">
        <v>95</v>
      </c>
      <c r="G459">
        <v>0</v>
      </c>
      <c r="H459">
        <v>2E+20</v>
      </c>
      <c r="I459">
        <v>0</v>
      </c>
      <c r="J459">
        <v>0</v>
      </c>
      <c r="K459">
        <v>0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30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0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0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0</v>
      </c>
      <c r="U459" s="5">
        <f>IF((ContinuousStatsTable[[#This Row],[RepsRequested]]&gt;1),ContinuousStatsTable[[#This Row],[HalfWidth]],ContinuousStatsTable[[#This Row],[BatchMeansHalfWidth]])</f>
        <v>0</v>
      </c>
    </row>
    <row r="460" spans="1:21" x14ac:dyDescent="0.3">
      <c r="A460" t="s">
        <v>66</v>
      </c>
      <c r="B460" t="s">
        <v>68</v>
      </c>
      <c r="C460">
        <v>12</v>
      </c>
      <c r="D460" t="s">
        <v>104</v>
      </c>
      <c r="E460" t="s">
        <v>97</v>
      </c>
      <c r="F460" t="s">
        <v>95</v>
      </c>
      <c r="G460">
        <v>3</v>
      </c>
      <c r="H460">
        <v>2E+20</v>
      </c>
      <c r="I460">
        <v>3</v>
      </c>
      <c r="J460">
        <v>3</v>
      </c>
      <c r="K460">
        <v>3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30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3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3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3</v>
      </c>
      <c r="U460" s="5">
        <f>IF((ContinuousStatsTable[[#This Row],[RepsRequested]]&gt;1),ContinuousStatsTable[[#This Row],[HalfWidth]],ContinuousStatsTable[[#This Row],[BatchMeansHalfWidth]])</f>
        <v>0</v>
      </c>
    </row>
    <row r="461" spans="1:21" x14ac:dyDescent="0.3">
      <c r="A461" t="s">
        <v>66</v>
      </c>
      <c r="B461" t="s">
        <v>68</v>
      </c>
      <c r="C461">
        <v>12</v>
      </c>
      <c r="D461" t="s">
        <v>105</v>
      </c>
      <c r="E461" t="s">
        <v>94</v>
      </c>
      <c r="F461" t="s">
        <v>95</v>
      </c>
      <c r="G461">
        <v>0.86267190035330898</v>
      </c>
      <c r="H461">
        <v>2E+20</v>
      </c>
      <c r="I461">
        <v>0</v>
      </c>
      <c r="J461">
        <v>1</v>
      </c>
      <c r="K461">
        <v>1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30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0.634589476164233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0.99383259650362799</v>
      </c>
      <c r="U461" s="5">
        <f>IF((ContinuousStatsTable[[#This Row],[RepsRequested]]&gt;1),ContinuousStatsTable[[#This Row],[HalfWidth]],ContinuousStatsTable[[#This Row],[BatchMeansHalfWidth]])</f>
        <v>3.9940526897700258E-2</v>
      </c>
    </row>
    <row r="462" spans="1:21" x14ac:dyDescent="0.3">
      <c r="A462" t="s">
        <v>66</v>
      </c>
      <c r="B462" t="s">
        <v>68</v>
      </c>
      <c r="C462">
        <v>12</v>
      </c>
      <c r="D462" t="s">
        <v>105</v>
      </c>
      <c r="E462" t="s">
        <v>96</v>
      </c>
      <c r="F462" t="s">
        <v>95</v>
      </c>
      <c r="G462">
        <v>0.86267190035330898</v>
      </c>
      <c r="H462">
        <v>2E+20</v>
      </c>
      <c r="I462">
        <v>0</v>
      </c>
      <c r="J462">
        <v>1</v>
      </c>
      <c r="K462">
        <v>1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30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0.634589476164233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0.99383259650362799</v>
      </c>
      <c r="U462" s="5">
        <f>IF((ContinuousStatsTable[[#This Row],[RepsRequested]]&gt;1),ContinuousStatsTable[[#This Row],[HalfWidth]],ContinuousStatsTable[[#This Row],[BatchMeansHalfWidth]])</f>
        <v>3.9940526897700258E-2</v>
      </c>
    </row>
    <row r="463" spans="1:21" x14ac:dyDescent="0.3">
      <c r="A463" t="s">
        <v>66</v>
      </c>
      <c r="B463" t="s">
        <v>68</v>
      </c>
      <c r="C463">
        <v>12</v>
      </c>
      <c r="D463" t="s">
        <v>105</v>
      </c>
      <c r="E463" t="s">
        <v>97</v>
      </c>
      <c r="F463" t="s">
        <v>95</v>
      </c>
      <c r="G463">
        <v>1</v>
      </c>
      <c r="H463">
        <v>2E+20</v>
      </c>
      <c r="I463">
        <v>1</v>
      </c>
      <c r="J463">
        <v>1</v>
      </c>
      <c r="K463">
        <v>1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30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1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0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1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1</v>
      </c>
      <c r="U463" s="5">
        <f>IF((ContinuousStatsTable[[#This Row],[RepsRequested]]&gt;1),ContinuousStatsTable[[#This Row],[HalfWidth]],ContinuousStatsTable[[#This Row],[BatchMeansHalfWidth]])</f>
        <v>0</v>
      </c>
    </row>
    <row r="464" spans="1:21" x14ac:dyDescent="0.3">
      <c r="A464" t="s">
        <v>66</v>
      </c>
      <c r="B464" t="s">
        <v>68</v>
      </c>
      <c r="C464">
        <v>12</v>
      </c>
      <c r="D464" t="s">
        <v>106</v>
      </c>
      <c r="E464" t="s">
        <v>94</v>
      </c>
      <c r="F464" t="s">
        <v>95</v>
      </c>
      <c r="G464">
        <v>0.92215993565851195</v>
      </c>
      <c r="H464">
        <v>2E+20</v>
      </c>
      <c r="I464">
        <v>0</v>
      </c>
      <c r="J464">
        <v>1</v>
      </c>
      <c r="K464">
        <v>1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30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0.74061105631083801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0.99245161744166299</v>
      </c>
      <c r="U464" s="5">
        <f>IF((ContinuousStatsTable[[#This Row],[RepsRequested]]&gt;1),ContinuousStatsTable[[#This Row],[HalfWidth]],ContinuousStatsTable[[#This Row],[BatchMeansHalfWidth]])</f>
        <v>2.8912497794626357E-2</v>
      </c>
    </row>
    <row r="465" spans="1:21" x14ac:dyDescent="0.3">
      <c r="A465" t="s">
        <v>66</v>
      </c>
      <c r="B465" t="s">
        <v>68</v>
      </c>
      <c r="C465">
        <v>12</v>
      </c>
      <c r="D465" t="s">
        <v>106</v>
      </c>
      <c r="E465" t="s">
        <v>96</v>
      </c>
      <c r="F465" t="s">
        <v>95</v>
      </c>
      <c r="G465">
        <v>0.92215993565851195</v>
      </c>
      <c r="H465">
        <v>2E+20</v>
      </c>
      <c r="I465">
        <v>0</v>
      </c>
      <c r="J465">
        <v>1</v>
      </c>
      <c r="K465">
        <v>1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30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0.74061105631083801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0.99245161744166299</v>
      </c>
      <c r="U465" s="5">
        <f>IF((ContinuousStatsTable[[#This Row],[RepsRequested]]&gt;1),ContinuousStatsTable[[#This Row],[HalfWidth]],ContinuousStatsTable[[#This Row],[BatchMeansHalfWidth]])</f>
        <v>2.8912497794626357E-2</v>
      </c>
    </row>
    <row r="466" spans="1:21" x14ac:dyDescent="0.3">
      <c r="A466" t="s">
        <v>66</v>
      </c>
      <c r="B466" t="s">
        <v>68</v>
      </c>
      <c r="C466">
        <v>12</v>
      </c>
      <c r="D466" t="s">
        <v>106</v>
      </c>
      <c r="E466" t="s">
        <v>97</v>
      </c>
      <c r="F466" t="s">
        <v>95</v>
      </c>
      <c r="G466">
        <v>1</v>
      </c>
      <c r="H466">
        <v>2E+20</v>
      </c>
      <c r="I466">
        <v>1</v>
      </c>
      <c r="J466">
        <v>1</v>
      </c>
      <c r="K466">
        <v>1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30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1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1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1</v>
      </c>
      <c r="U466" s="5">
        <f>IF((ContinuousStatsTable[[#This Row],[RepsRequested]]&gt;1),ContinuousStatsTable[[#This Row],[HalfWidth]],ContinuousStatsTable[[#This Row],[BatchMeansHalfWidth]])</f>
        <v>0</v>
      </c>
    </row>
    <row r="467" spans="1:21" x14ac:dyDescent="0.3">
      <c r="A467" t="s">
        <v>66</v>
      </c>
      <c r="B467" t="s">
        <v>68</v>
      </c>
      <c r="C467">
        <v>12</v>
      </c>
      <c r="D467" t="s">
        <v>107</v>
      </c>
      <c r="E467" t="s">
        <v>94</v>
      </c>
      <c r="F467" t="s">
        <v>95</v>
      </c>
      <c r="G467">
        <v>0.92801019582311495</v>
      </c>
      <c r="H467">
        <v>2E+20</v>
      </c>
      <c r="I467">
        <v>0</v>
      </c>
      <c r="J467">
        <v>1</v>
      </c>
      <c r="K467">
        <v>1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30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0.73843386001690303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0.99245161744166299</v>
      </c>
      <c r="U467" s="5">
        <f>IF((ContinuousStatsTable[[#This Row],[RepsRequested]]&gt;1),ContinuousStatsTable[[#This Row],[HalfWidth]],ContinuousStatsTable[[#This Row],[BatchMeansHalfWidth]])</f>
        <v>2.6057642646860522E-2</v>
      </c>
    </row>
    <row r="468" spans="1:21" x14ac:dyDescent="0.3">
      <c r="A468" t="s">
        <v>66</v>
      </c>
      <c r="B468" t="s">
        <v>68</v>
      </c>
      <c r="C468">
        <v>12</v>
      </c>
      <c r="D468" t="s">
        <v>107</v>
      </c>
      <c r="E468" t="s">
        <v>96</v>
      </c>
      <c r="F468" t="s">
        <v>95</v>
      </c>
      <c r="G468">
        <v>0.92801019582311495</v>
      </c>
      <c r="H468">
        <v>2E+20</v>
      </c>
      <c r="I468">
        <v>0</v>
      </c>
      <c r="J468">
        <v>1</v>
      </c>
      <c r="K468">
        <v>1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30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0.73843386001690303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0.99245161744166299</v>
      </c>
      <c r="U468" s="5">
        <f>IF((ContinuousStatsTable[[#This Row],[RepsRequested]]&gt;1),ContinuousStatsTable[[#This Row],[HalfWidth]],ContinuousStatsTable[[#This Row],[BatchMeansHalfWidth]])</f>
        <v>2.6057642646860522E-2</v>
      </c>
    </row>
    <row r="469" spans="1:21" x14ac:dyDescent="0.3">
      <c r="A469" t="s">
        <v>66</v>
      </c>
      <c r="B469" t="s">
        <v>68</v>
      </c>
      <c r="C469">
        <v>12</v>
      </c>
      <c r="D469" t="s">
        <v>107</v>
      </c>
      <c r="E469" t="s">
        <v>97</v>
      </c>
      <c r="F469" t="s">
        <v>95</v>
      </c>
      <c r="G469">
        <v>1</v>
      </c>
      <c r="H469">
        <v>2E+20</v>
      </c>
      <c r="I469">
        <v>1</v>
      </c>
      <c r="J469">
        <v>1</v>
      </c>
      <c r="K469">
        <v>1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30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1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1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1</v>
      </c>
      <c r="U469" s="5">
        <f>IF((ContinuousStatsTable[[#This Row],[RepsRequested]]&gt;1),ContinuousStatsTable[[#This Row],[HalfWidth]],ContinuousStatsTable[[#This Row],[BatchMeansHalfWidth]])</f>
        <v>0</v>
      </c>
    </row>
    <row r="470" spans="1:21" x14ac:dyDescent="0.3">
      <c r="A470" t="s">
        <v>66</v>
      </c>
      <c r="B470" t="s">
        <v>68</v>
      </c>
      <c r="C470">
        <v>13</v>
      </c>
      <c r="D470" t="s">
        <v>69</v>
      </c>
      <c r="E470" t="s">
        <v>92</v>
      </c>
      <c r="F470" t="s">
        <v>71</v>
      </c>
      <c r="G470">
        <v>7.3756219403609498</v>
      </c>
      <c r="H470">
        <v>2E+20</v>
      </c>
      <c r="I470">
        <v>0</v>
      </c>
      <c r="J470">
        <v>35</v>
      </c>
      <c r="K470">
        <v>0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30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2.2853775994771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9.3827575078214593</v>
      </c>
      <c r="U470" s="5">
        <f>IF((ContinuousStatsTable[[#This Row],[RepsRequested]]&gt;1),ContinuousStatsTable[[#This Row],[HalfWidth]],ContinuousStatsTable[[#This Row],[BatchMeansHalfWidth]])</f>
        <v>0.70373665421471332</v>
      </c>
    </row>
    <row r="471" spans="1:21" x14ac:dyDescent="0.3">
      <c r="A471" t="s">
        <v>66</v>
      </c>
      <c r="B471" t="s">
        <v>68</v>
      </c>
      <c r="C471">
        <v>13</v>
      </c>
      <c r="D471" t="s">
        <v>72</v>
      </c>
      <c r="E471" t="s">
        <v>92</v>
      </c>
      <c r="F471" t="s">
        <v>71</v>
      </c>
      <c r="G471">
        <v>5.3428755488959396</v>
      </c>
      <c r="H471">
        <v>2E+20</v>
      </c>
      <c r="I471">
        <v>0</v>
      </c>
      <c r="J471">
        <v>26</v>
      </c>
      <c r="K471">
        <v>0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30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1.4754093813695901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8.0603747791942499</v>
      </c>
      <c r="U471" s="5">
        <f>IF((ContinuousStatsTable[[#This Row],[RepsRequested]]&gt;1),ContinuousStatsTable[[#This Row],[HalfWidth]],ContinuousStatsTable[[#This Row],[BatchMeansHalfWidth]])</f>
        <v>0.5936172943910426</v>
      </c>
    </row>
    <row r="472" spans="1:21" x14ac:dyDescent="0.3">
      <c r="A472" t="s">
        <v>66</v>
      </c>
      <c r="B472" t="s">
        <v>68</v>
      </c>
      <c r="C472">
        <v>13</v>
      </c>
      <c r="D472" t="s">
        <v>73</v>
      </c>
      <c r="E472" t="s">
        <v>92</v>
      </c>
      <c r="F472" t="s">
        <v>71</v>
      </c>
      <c r="G472">
        <v>5.0729948843121599</v>
      </c>
      <c r="H472">
        <v>2E+20</v>
      </c>
      <c r="I472">
        <v>0</v>
      </c>
      <c r="J472">
        <v>18</v>
      </c>
      <c r="K472">
        <v>0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30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1.3305593103954101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29.356614544212601</v>
      </c>
      <c r="U472" s="5">
        <f>IF((ContinuousStatsTable[[#This Row],[RepsRequested]]&gt;1),ContinuousStatsTable[[#This Row],[HalfWidth]],ContinuousStatsTable[[#This Row],[BatchMeansHalfWidth]])</f>
        <v>2.162177461749093</v>
      </c>
    </row>
    <row r="473" spans="1:21" x14ac:dyDescent="0.3">
      <c r="A473" t="s">
        <v>66</v>
      </c>
      <c r="B473" t="s">
        <v>68</v>
      </c>
      <c r="C473">
        <v>13</v>
      </c>
      <c r="D473" t="s">
        <v>74</v>
      </c>
      <c r="E473" t="s">
        <v>92</v>
      </c>
      <c r="F473" t="s">
        <v>71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30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3">
      <c r="A474" t="s">
        <v>66</v>
      </c>
      <c r="B474" t="s">
        <v>68</v>
      </c>
      <c r="C474">
        <v>13</v>
      </c>
      <c r="D474" t="s">
        <v>75</v>
      </c>
      <c r="E474" t="s">
        <v>92</v>
      </c>
      <c r="F474" t="s">
        <v>71</v>
      </c>
      <c r="G474">
        <v>0</v>
      </c>
      <c r="H474">
        <v>2E+20</v>
      </c>
      <c r="I474">
        <v>0</v>
      </c>
      <c r="J474">
        <v>0</v>
      </c>
      <c r="K474">
        <v>0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30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0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0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0</v>
      </c>
      <c r="U474" s="5">
        <f>IF((ContinuousStatsTable[[#This Row],[RepsRequested]]&gt;1),ContinuousStatsTable[[#This Row],[HalfWidth]],ContinuousStatsTable[[#This Row],[BatchMeansHalfWidth]])</f>
        <v>0</v>
      </c>
    </row>
    <row r="475" spans="1:21" x14ac:dyDescent="0.3">
      <c r="A475" t="s">
        <v>66</v>
      </c>
      <c r="B475" t="s">
        <v>68</v>
      </c>
      <c r="C475">
        <v>13</v>
      </c>
      <c r="D475" t="s">
        <v>76</v>
      </c>
      <c r="E475" t="s">
        <v>92</v>
      </c>
      <c r="F475" t="s">
        <v>71</v>
      </c>
      <c r="G475">
        <v>0.25569152916708399</v>
      </c>
      <c r="H475">
        <v>2E+20</v>
      </c>
      <c r="I475">
        <v>0</v>
      </c>
      <c r="J475">
        <v>5</v>
      </c>
      <c r="K475">
        <v>3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30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4.5869485136026601E-2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4.1119263103435699</v>
      </c>
      <c r="U475" s="5">
        <f>IF((ContinuousStatsTable[[#This Row],[RepsRequested]]&gt;1),ContinuousStatsTable[[#This Row],[HalfWidth]],ContinuousStatsTable[[#This Row],[BatchMeansHalfWidth]])</f>
        <v>0.43252967563899991</v>
      </c>
    </row>
    <row r="476" spans="1:21" x14ac:dyDescent="0.3">
      <c r="A476" t="s">
        <v>66</v>
      </c>
      <c r="B476" t="s">
        <v>68</v>
      </c>
      <c r="C476">
        <v>13</v>
      </c>
      <c r="D476" t="s">
        <v>77</v>
      </c>
      <c r="E476" t="s">
        <v>92</v>
      </c>
      <c r="F476" t="s">
        <v>71</v>
      </c>
      <c r="G476">
        <v>0</v>
      </c>
      <c r="H476">
        <v>2E+20</v>
      </c>
      <c r="I476">
        <v>0</v>
      </c>
      <c r="J476">
        <v>0</v>
      </c>
      <c r="K476">
        <v>0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30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0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0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0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0</v>
      </c>
      <c r="U476" s="5">
        <f>IF((ContinuousStatsTable[[#This Row],[RepsRequested]]&gt;1),ContinuousStatsTable[[#This Row],[HalfWidth]],ContinuousStatsTable[[#This Row],[BatchMeansHalfWidth]])</f>
        <v>0</v>
      </c>
    </row>
    <row r="477" spans="1:21" x14ac:dyDescent="0.3">
      <c r="A477" t="s">
        <v>66</v>
      </c>
      <c r="B477" t="s">
        <v>68</v>
      </c>
      <c r="C477">
        <v>13</v>
      </c>
      <c r="D477" t="s">
        <v>78</v>
      </c>
      <c r="E477" t="s">
        <v>92</v>
      </c>
      <c r="F477" t="s">
        <v>71</v>
      </c>
      <c r="G477">
        <v>0</v>
      </c>
      <c r="H477">
        <v>2E+20</v>
      </c>
      <c r="I477">
        <v>0</v>
      </c>
      <c r="J477">
        <v>0</v>
      </c>
      <c r="K477">
        <v>0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30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0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0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0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0</v>
      </c>
      <c r="U477" s="5">
        <f>IF((ContinuousStatsTable[[#This Row],[RepsRequested]]&gt;1),ContinuousStatsTable[[#This Row],[HalfWidth]],ContinuousStatsTable[[#This Row],[BatchMeansHalfWidth]])</f>
        <v>0</v>
      </c>
    </row>
    <row r="478" spans="1:21" x14ac:dyDescent="0.3">
      <c r="A478" t="s">
        <v>66</v>
      </c>
      <c r="B478" t="s">
        <v>68</v>
      </c>
      <c r="C478">
        <v>13</v>
      </c>
      <c r="D478" t="s">
        <v>93</v>
      </c>
      <c r="E478" t="s">
        <v>94</v>
      </c>
      <c r="F478" t="s">
        <v>95</v>
      </c>
      <c r="G478">
        <v>3.6206108576948497E-2</v>
      </c>
      <c r="H478">
        <v>2E+20</v>
      </c>
      <c r="I478">
        <v>0</v>
      </c>
      <c r="J478">
        <v>0.2</v>
      </c>
      <c r="K478">
        <v>0.1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30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2.3718114155243601E-2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4.8583931724403701E-2</v>
      </c>
      <c r="U478" s="5">
        <f>IF((ContinuousStatsTable[[#This Row],[RepsRequested]]&gt;1),ContinuousStatsTable[[#This Row],[HalfWidth]],ContinuousStatsTable[[#This Row],[BatchMeansHalfWidth]])</f>
        <v>2.4839579632442289E-3</v>
      </c>
    </row>
    <row r="479" spans="1:21" x14ac:dyDescent="0.3">
      <c r="A479" t="s">
        <v>66</v>
      </c>
      <c r="B479" t="s">
        <v>68</v>
      </c>
      <c r="C479">
        <v>13</v>
      </c>
      <c r="D479" t="s">
        <v>93</v>
      </c>
      <c r="E479" t="s">
        <v>96</v>
      </c>
      <c r="F479" t="s">
        <v>95</v>
      </c>
      <c r="G479">
        <v>0.72412217153896996</v>
      </c>
      <c r="H479">
        <v>2E+20</v>
      </c>
      <c r="I479">
        <v>0</v>
      </c>
      <c r="J479">
        <v>4</v>
      </c>
      <c r="K479">
        <v>2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30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0.47436228310487299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0.97167863448807401</v>
      </c>
      <c r="U479" s="5">
        <f>IF((ContinuousStatsTable[[#This Row],[RepsRequested]]&gt;1),ContinuousStatsTable[[#This Row],[HalfWidth]],ContinuousStatsTable[[#This Row],[BatchMeansHalfWidth]])</f>
        <v>4.9679159264885281E-2</v>
      </c>
    </row>
    <row r="480" spans="1:21" x14ac:dyDescent="0.3">
      <c r="A480" t="s">
        <v>66</v>
      </c>
      <c r="B480" t="s">
        <v>68</v>
      </c>
      <c r="C480">
        <v>13</v>
      </c>
      <c r="D480" t="s">
        <v>93</v>
      </c>
      <c r="E480" t="s">
        <v>97</v>
      </c>
      <c r="F480" t="s">
        <v>95</v>
      </c>
      <c r="G480">
        <v>20</v>
      </c>
      <c r="H480">
        <v>2E+20</v>
      </c>
      <c r="I480">
        <v>20</v>
      </c>
      <c r="J480">
        <v>20</v>
      </c>
      <c r="K480">
        <v>20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30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20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0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20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20</v>
      </c>
      <c r="U480" s="5">
        <f>IF((ContinuousStatsTable[[#This Row],[RepsRequested]]&gt;1),ContinuousStatsTable[[#This Row],[HalfWidth]],ContinuousStatsTable[[#This Row],[BatchMeansHalfWidth]])</f>
        <v>0</v>
      </c>
    </row>
    <row r="481" spans="1:21" x14ac:dyDescent="0.3">
      <c r="A481" t="s">
        <v>66</v>
      </c>
      <c r="B481" t="s">
        <v>68</v>
      </c>
      <c r="C481">
        <v>13</v>
      </c>
      <c r="D481" t="s">
        <v>98</v>
      </c>
      <c r="E481" t="s">
        <v>94</v>
      </c>
      <c r="F481" t="s">
        <v>95</v>
      </c>
      <c r="G481">
        <v>0.25194145829438302</v>
      </c>
      <c r="H481">
        <v>2E+20</v>
      </c>
      <c r="I481">
        <v>0</v>
      </c>
      <c r="J481">
        <v>0.65</v>
      </c>
      <c r="K481">
        <v>0.6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30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0.20767736113278101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0.28501162927715501</v>
      </c>
      <c r="U481" s="5">
        <f>IF((ContinuousStatsTable[[#This Row],[RepsRequested]]&gt;1),ContinuousStatsTable[[#This Row],[HalfWidth]],ContinuousStatsTable[[#This Row],[BatchMeansHalfWidth]])</f>
        <v>8.7273384073404715E-3</v>
      </c>
    </row>
    <row r="482" spans="1:21" x14ac:dyDescent="0.3">
      <c r="A482" t="s">
        <v>66</v>
      </c>
      <c r="B482" t="s">
        <v>68</v>
      </c>
      <c r="C482">
        <v>13</v>
      </c>
      <c r="D482" t="s">
        <v>98</v>
      </c>
      <c r="E482" t="s">
        <v>96</v>
      </c>
      <c r="F482" t="s">
        <v>95</v>
      </c>
      <c r="G482">
        <v>5.0388291658876598</v>
      </c>
      <c r="H482">
        <v>2E+20</v>
      </c>
      <c r="I482">
        <v>0</v>
      </c>
      <c r="J482">
        <v>13</v>
      </c>
      <c r="K482">
        <v>12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30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4.15354722265561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5.7002325855431097</v>
      </c>
      <c r="U482" s="5">
        <f>IF((ContinuousStatsTable[[#This Row],[RepsRequested]]&gt;1),ContinuousStatsTable[[#This Row],[HalfWidth]],ContinuousStatsTable[[#This Row],[BatchMeansHalfWidth]])</f>
        <v>0.17454676814681078</v>
      </c>
    </row>
    <row r="483" spans="1:21" x14ac:dyDescent="0.3">
      <c r="A483" t="s">
        <v>66</v>
      </c>
      <c r="B483" t="s">
        <v>68</v>
      </c>
      <c r="C483">
        <v>13</v>
      </c>
      <c r="D483" t="s">
        <v>98</v>
      </c>
      <c r="E483" t="s">
        <v>97</v>
      </c>
      <c r="F483" t="s">
        <v>95</v>
      </c>
      <c r="G483">
        <v>20</v>
      </c>
      <c r="H483">
        <v>2E+20</v>
      </c>
      <c r="I483">
        <v>20</v>
      </c>
      <c r="J483">
        <v>20</v>
      </c>
      <c r="K483">
        <v>20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30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20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0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20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20</v>
      </c>
      <c r="U483" s="5">
        <f>IF((ContinuousStatsTable[[#This Row],[RepsRequested]]&gt;1),ContinuousStatsTable[[#This Row],[HalfWidth]],ContinuousStatsTable[[#This Row],[BatchMeansHalfWidth]])</f>
        <v>0</v>
      </c>
    </row>
    <row r="484" spans="1:21" x14ac:dyDescent="0.3">
      <c r="A484" t="s">
        <v>66</v>
      </c>
      <c r="B484" t="s">
        <v>68</v>
      </c>
      <c r="C484">
        <v>13</v>
      </c>
      <c r="D484" t="s">
        <v>99</v>
      </c>
      <c r="E484" t="s">
        <v>94</v>
      </c>
      <c r="F484" t="s">
        <v>95</v>
      </c>
      <c r="G484">
        <v>0.56227626351082505</v>
      </c>
      <c r="H484">
        <v>2E+20</v>
      </c>
      <c r="I484">
        <v>0</v>
      </c>
      <c r="J484">
        <v>1</v>
      </c>
      <c r="K484">
        <v>1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30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0.517215348442703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0.67770389283754395</v>
      </c>
      <c r="U484" s="5">
        <f>IF((ContinuousStatsTable[[#This Row],[RepsRequested]]&gt;1),ContinuousStatsTable[[#This Row],[HalfWidth]],ContinuousStatsTable[[#This Row],[BatchMeansHalfWidth]])</f>
        <v>1.8059192833960565E-2</v>
      </c>
    </row>
    <row r="485" spans="1:21" x14ac:dyDescent="0.3">
      <c r="A485" t="s">
        <v>66</v>
      </c>
      <c r="B485" t="s">
        <v>68</v>
      </c>
      <c r="C485">
        <v>13</v>
      </c>
      <c r="D485" t="s">
        <v>99</v>
      </c>
      <c r="E485" t="s">
        <v>96</v>
      </c>
      <c r="F485" t="s">
        <v>95</v>
      </c>
      <c r="G485">
        <v>5.6227626351082503</v>
      </c>
      <c r="H485">
        <v>2E+20</v>
      </c>
      <c r="I485">
        <v>0</v>
      </c>
      <c r="J485">
        <v>10</v>
      </c>
      <c r="K485">
        <v>10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30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5.1721534844270298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6.7770389283754398</v>
      </c>
      <c r="U485" s="5">
        <f>IF((ContinuousStatsTable[[#This Row],[RepsRequested]]&gt;1),ContinuousStatsTable[[#This Row],[HalfWidth]],ContinuousStatsTable[[#This Row],[BatchMeansHalfWidth]])</f>
        <v>0.18059192833960558</v>
      </c>
    </row>
    <row r="486" spans="1:21" x14ac:dyDescent="0.3">
      <c r="A486" t="s">
        <v>66</v>
      </c>
      <c r="B486" t="s">
        <v>68</v>
      </c>
      <c r="C486">
        <v>13</v>
      </c>
      <c r="D486" t="s">
        <v>99</v>
      </c>
      <c r="E486" t="s">
        <v>97</v>
      </c>
      <c r="F486" t="s">
        <v>95</v>
      </c>
      <c r="G486">
        <v>10</v>
      </c>
      <c r="H486">
        <v>2E+20</v>
      </c>
      <c r="I486">
        <v>10</v>
      </c>
      <c r="J486">
        <v>10</v>
      </c>
      <c r="K486">
        <v>10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30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10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10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10</v>
      </c>
      <c r="U486" s="5">
        <f>IF((ContinuousStatsTable[[#This Row],[RepsRequested]]&gt;1),ContinuousStatsTable[[#This Row],[HalfWidth]],ContinuousStatsTable[[#This Row],[BatchMeansHalfWidth]])</f>
        <v>0</v>
      </c>
    </row>
    <row r="487" spans="1:21" x14ac:dyDescent="0.3">
      <c r="A487" t="s">
        <v>66</v>
      </c>
      <c r="B487" t="s">
        <v>68</v>
      </c>
      <c r="C487">
        <v>13</v>
      </c>
      <c r="D487" t="s">
        <v>100</v>
      </c>
      <c r="E487" t="s">
        <v>94</v>
      </c>
      <c r="F487" t="s">
        <v>95</v>
      </c>
      <c r="G487">
        <v>0.16392696373210799</v>
      </c>
      <c r="H487">
        <v>2E+20</v>
      </c>
      <c r="I487">
        <v>0</v>
      </c>
      <c r="J487">
        <v>0.38</v>
      </c>
      <c r="K487">
        <v>0.26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30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0.14484829778125299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0.19609322315655101</v>
      </c>
      <c r="U487" s="5">
        <f>IF((ContinuousStatsTable[[#This Row],[RepsRequested]]&gt;1),ContinuousStatsTable[[#This Row],[HalfWidth]],ContinuousStatsTable[[#This Row],[BatchMeansHalfWidth]])</f>
        <v>4.9714113556225048E-3</v>
      </c>
    </row>
    <row r="488" spans="1:21" x14ac:dyDescent="0.3">
      <c r="A488" t="s">
        <v>66</v>
      </c>
      <c r="B488" t="s">
        <v>68</v>
      </c>
      <c r="C488">
        <v>13</v>
      </c>
      <c r="D488" t="s">
        <v>100</v>
      </c>
      <c r="E488" t="s">
        <v>96</v>
      </c>
      <c r="F488" t="s">
        <v>95</v>
      </c>
      <c r="G488">
        <v>8.1963481866054195</v>
      </c>
      <c r="H488">
        <v>2E+20</v>
      </c>
      <c r="I488">
        <v>0</v>
      </c>
      <c r="J488">
        <v>19</v>
      </c>
      <c r="K488">
        <v>13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30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7.2424148890626396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9.8046611578275602</v>
      </c>
      <c r="U488" s="5">
        <f>IF((ContinuousStatsTable[[#This Row],[RepsRequested]]&gt;1),ContinuousStatsTable[[#This Row],[HalfWidth]],ContinuousStatsTable[[#This Row],[BatchMeansHalfWidth]])</f>
        <v>0.24857056778112663</v>
      </c>
    </row>
    <row r="489" spans="1:21" x14ac:dyDescent="0.3">
      <c r="A489" t="s">
        <v>66</v>
      </c>
      <c r="B489" t="s">
        <v>68</v>
      </c>
      <c r="C489">
        <v>13</v>
      </c>
      <c r="D489" t="s">
        <v>100</v>
      </c>
      <c r="E489" t="s">
        <v>97</v>
      </c>
      <c r="F489" t="s">
        <v>95</v>
      </c>
      <c r="G489">
        <v>50</v>
      </c>
      <c r="H489">
        <v>2E+20</v>
      </c>
      <c r="I489">
        <v>50</v>
      </c>
      <c r="J489">
        <v>50</v>
      </c>
      <c r="K489">
        <v>50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30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50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0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50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50</v>
      </c>
      <c r="U489" s="5">
        <f>IF((ContinuousStatsTable[[#This Row],[RepsRequested]]&gt;1),ContinuousStatsTable[[#This Row],[HalfWidth]],ContinuousStatsTable[[#This Row],[BatchMeansHalfWidth]])</f>
        <v>0</v>
      </c>
    </row>
    <row r="490" spans="1:21" x14ac:dyDescent="0.3">
      <c r="A490" t="s">
        <v>66</v>
      </c>
      <c r="B490" t="s">
        <v>68</v>
      </c>
      <c r="C490">
        <v>13</v>
      </c>
      <c r="D490" t="s">
        <v>101</v>
      </c>
      <c r="E490" t="s">
        <v>94</v>
      </c>
      <c r="F490" t="s">
        <v>95</v>
      </c>
      <c r="G490">
        <v>8.97347872480459E-2</v>
      </c>
      <c r="H490">
        <v>2E+20</v>
      </c>
      <c r="I490">
        <v>0</v>
      </c>
      <c r="J490">
        <v>0.4</v>
      </c>
      <c r="K490">
        <v>6.6666666666666693E-2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30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7.4778736536586704E-2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0.111025455742452</v>
      </c>
      <c r="U490" s="5">
        <f>IF((ContinuousStatsTable[[#This Row],[RepsRequested]]&gt;1),ContinuousStatsTable[[#This Row],[HalfWidth]],ContinuousStatsTable[[#This Row],[BatchMeansHalfWidth]])</f>
        <v>4.1821462690338805E-3</v>
      </c>
    </row>
    <row r="491" spans="1:21" x14ac:dyDescent="0.3">
      <c r="A491" t="s">
        <v>66</v>
      </c>
      <c r="B491" t="s">
        <v>68</v>
      </c>
      <c r="C491">
        <v>13</v>
      </c>
      <c r="D491" t="s">
        <v>101</v>
      </c>
      <c r="E491" t="s">
        <v>96</v>
      </c>
      <c r="F491" t="s">
        <v>95</v>
      </c>
      <c r="G491">
        <v>1.3460218087206901</v>
      </c>
      <c r="H491">
        <v>2E+20</v>
      </c>
      <c r="I491">
        <v>0</v>
      </c>
      <c r="J491">
        <v>6</v>
      </c>
      <c r="K491">
        <v>1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30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1.1216810480488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1.66538183613678</v>
      </c>
      <c r="U491" s="5">
        <f>IF((ContinuousStatsTable[[#This Row],[RepsRequested]]&gt;1),ContinuousStatsTable[[#This Row],[HalfWidth]],ContinuousStatsTable[[#This Row],[BatchMeansHalfWidth]])</f>
        <v>6.2732194035507963E-2</v>
      </c>
    </row>
    <row r="492" spans="1:21" x14ac:dyDescent="0.3">
      <c r="A492" t="s">
        <v>66</v>
      </c>
      <c r="B492" t="s">
        <v>68</v>
      </c>
      <c r="C492">
        <v>13</v>
      </c>
      <c r="D492" t="s">
        <v>101</v>
      </c>
      <c r="E492" t="s">
        <v>97</v>
      </c>
      <c r="F492" t="s">
        <v>95</v>
      </c>
      <c r="G492">
        <v>15</v>
      </c>
      <c r="H492">
        <v>2E+20</v>
      </c>
      <c r="I492">
        <v>15</v>
      </c>
      <c r="J492">
        <v>15</v>
      </c>
      <c r="K492">
        <v>15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492" s="5" cm="1">
        <f t="array" ref="N492">MAX(IF((ProjectInfoTable[ProjectName]=ContinuousStatsTable[[#This Row],[ProjectName]]),(ProjectInfoTable[ProjectName]=ContinuousStatsTable[[#This Row],[ProjectName]])*ProjectInfoTable[NumberOfReplications]))</f>
        <v>30</v>
      </c>
      <c r="O492" s="5" cm="1">
        <f t="array" ref="O492">IFERROR(AVERAGE(IF((ContinuousStatsTable[GroupByKey]=ContinuousStatsTable[[#This Row],[GroupByKey]]),(ContinuousStatsTable[GroupByKey]=ContinuousStatsTable[[#This Row],[GroupByKey]])*ContinuousStatsTable[Average])),0)</f>
        <v>15</v>
      </c>
      <c r="P492" s="5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0</v>
      </c>
      <c r="Q492" s="5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2" s="5" cm="1">
        <f t="array" ref="S492">MIN(IF((ContinuousStatsTable[GroupByKey]=ContinuousStatsTable[[#This Row],[GroupByKey]]),(ContinuousStatsTable[GroupByKey]=ContinuousStatsTable[[#This Row],[GroupByKey]])*ContinuousStatsTable[Average]))</f>
        <v>15</v>
      </c>
      <c r="T492" s="5" cm="1">
        <f t="array" ref="T492">MAX(IF((ContinuousStatsTable[GroupByKey]=ContinuousStatsTable[[#This Row],[GroupByKey]]),(ContinuousStatsTable[GroupByKey]=ContinuousStatsTable[[#This Row],[GroupByKey]])*ContinuousStatsTable[Average]))</f>
        <v>15</v>
      </c>
      <c r="U492" s="5">
        <f>IF((ContinuousStatsTable[[#This Row],[RepsRequested]]&gt;1),ContinuousStatsTable[[#This Row],[HalfWidth]],ContinuousStatsTable[[#This Row],[BatchMeansHalfWidth]])</f>
        <v>0</v>
      </c>
    </row>
    <row r="493" spans="1:21" x14ac:dyDescent="0.3">
      <c r="A493" t="s">
        <v>66</v>
      </c>
      <c r="B493" t="s">
        <v>68</v>
      </c>
      <c r="C493">
        <v>13</v>
      </c>
      <c r="D493" t="s">
        <v>102</v>
      </c>
      <c r="E493" t="s">
        <v>94</v>
      </c>
      <c r="F493" t="s">
        <v>95</v>
      </c>
      <c r="G493">
        <v>0.80667500828455596</v>
      </c>
      <c r="H493">
        <v>2E+20</v>
      </c>
      <c r="I493">
        <v>0</v>
      </c>
      <c r="J493">
        <v>1</v>
      </c>
      <c r="K493">
        <v>1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493" s="5" cm="1">
        <f t="array" ref="N493">MAX(IF((ProjectInfoTable[ProjectName]=ContinuousStatsTable[[#This Row],[ProjectName]]),(ProjectInfoTable[ProjectName]=ContinuousStatsTable[[#This Row],[ProjectName]])*ProjectInfoTable[NumberOfReplications]))</f>
        <v>30</v>
      </c>
      <c r="O493" s="5" cm="1">
        <f t="array" ref="O493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493" s="5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493" s="5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493" s="5" cm="1">
        <f t="array" ref="S493">MIN(IF((ContinuousStatsTable[GroupByKey]=ContinuousStatsTable[[#This Row],[GroupByKey]]),(ContinuousStatsTable[GroupByKey]=ContinuousStatsTable[[#This Row],[GroupByKey]])*ContinuousStatsTable[Average]))</f>
        <v>0.73673947391417804</v>
      </c>
      <c r="T493" s="5" cm="1">
        <f t="array" ref="T493">MAX(IF((ContinuousStatsTable[GroupByKey]=ContinuousStatsTable[[#This Row],[GroupByKey]]),(ContinuousStatsTable[GroupByKey]=ContinuousStatsTable[[#This Row],[GroupByKey]])*ContinuousStatsTable[Average]))</f>
        <v>0.90592850818388704</v>
      </c>
      <c r="U493" s="5">
        <f>IF((ContinuousStatsTable[[#This Row],[RepsRequested]]&gt;1),ContinuousStatsTable[[#This Row],[HalfWidth]],ContinuousStatsTable[[#This Row],[BatchMeansHalfWidth]])</f>
        <v>1.8636241798384946E-2</v>
      </c>
    </row>
    <row r="494" spans="1:21" x14ac:dyDescent="0.3">
      <c r="A494" t="s">
        <v>66</v>
      </c>
      <c r="B494" t="s">
        <v>68</v>
      </c>
      <c r="C494">
        <v>13</v>
      </c>
      <c r="D494" t="s">
        <v>102</v>
      </c>
      <c r="E494" t="s">
        <v>96</v>
      </c>
      <c r="F494" t="s">
        <v>95</v>
      </c>
      <c r="G494">
        <v>1.56944532617069</v>
      </c>
      <c r="H494">
        <v>2E+20</v>
      </c>
      <c r="I494">
        <v>0</v>
      </c>
      <c r="J494">
        <v>3</v>
      </c>
      <c r="K494">
        <v>1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494" s="5" cm="1">
        <f t="array" ref="N494">MAX(IF((ProjectInfoTable[ProjectName]=ContinuousStatsTable[[#This Row],[ProjectName]]),(ProjectInfoTable[ProjectName]=ContinuousStatsTable[[#This Row],[ProjectName]])*ProjectInfoTable[NumberOfReplications]))</f>
        <v>30</v>
      </c>
      <c r="O494" s="5" cm="1">
        <f t="array" ref="O494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494" s="5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494" s="5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494" s="5" cm="1">
        <f t="array" ref="S494">MIN(IF((ContinuousStatsTable[GroupByKey]=ContinuousStatsTable[[#This Row],[GroupByKey]]),(ContinuousStatsTable[GroupByKey]=ContinuousStatsTable[[#This Row],[GroupByKey]])*ContinuousStatsTable[Average]))</f>
        <v>1.3726163545041801</v>
      </c>
      <c r="T494" s="5" cm="1">
        <f t="array" ref="T494">MAX(IF((ContinuousStatsTable[GroupByKey]=ContinuousStatsTable[[#This Row],[GroupByKey]]),(ContinuousStatsTable[GroupByKey]=ContinuousStatsTable[[#This Row],[GroupByKey]])*ContinuousStatsTable[Average]))</f>
        <v>1.7968913949876599</v>
      </c>
      <c r="U494" s="5">
        <f>IF((ContinuousStatsTable[[#This Row],[RepsRequested]]&gt;1),ContinuousStatsTable[[#This Row],[HalfWidth]],ContinuousStatsTable[[#This Row],[BatchMeansHalfWidth]])</f>
        <v>4.3123628688677348E-2</v>
      </c>
    </row>
    <row r="495" spans="1:21" x14ac:dyDescent="0.3">
      <c r="A495" t="s">
        <v>66</v>
      </c>
      <c r="B495" t="s">
        <v>68</v>
      </c>
      <c r="C495">
        <v>13</v>
      </c>
      <c r="D495" t="s">
        <v>102</v>
      </c>
      <c r="E495" t="s">
        <v>97</v>
      </c>
      <c r="F495" t="s">
        <v>95</v>
      </c>
      <c r="G495">
        <v>2</v>
      </c>
      <c r="H495">
        <v>2E+20</v>
      </c>
      <c r="I495">
        <v>1</v>
      </c>
      <c r="J495">
        <v>3</v>
      </c>
      <c r="K495">
        <v>1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495" s="5" cm="1">
        <f t="array" ref="N495">MAX(IF((ProjectInfoTable[ProjectName]=ContinuousStatsTable[[#This Row],[ProjectName]]),(ProjectInfoTable[ProjectName]=ContinuousStatsTable[[#This Row],[ProjectName]])*ProjectInfoTable[NumberOfReplications]))</f>
        <v>30</v>
      </c>
      <c r="O495" s="5" cm="1">
        <f t="array" ref="O495">IFERROR(AVERAGE(IF((ContinuousStatsTable[GroupByKey]=ContinuousStatsTable[[#This Row],[GroupByKey]]),(ContinuousStatsTable[GroupByKey]=ContinuousStatsTable[[#This Row],[GroupByKey]])*ContinuousStatsTable[Average])),0)</f>
        <v>2</v>
      </c>
      <c r="P495" s="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s="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s="5" cm="1">
        <f t="array" ref="S495">MIN(IF((ContinuousStatsTable[GroupByKey]=ContinuousStatsTable[[#This Row],[GroupByKey]]),(ContinuousStatsTable[GroupByKey]=ContinuousStatsTable[[#This Row],[GroupByKey]])*ContinuousStatsTable[Average]))</f>
        <v>2</v>
      </c>
      <c r="T495" s="5" cm="1">
        <f t="array" ref="T495">MAX(IF((ContinuousStatsTable[GroupByKey]=ContinuousStatsTable[[#This Row],[GroupByKey]]),(ContinuousStatsTable[GroupByKey]=ContinuousStatsTable[[#This Row],[GroupByKey]])*ContinuousStatsTable[Average]))</f>
        <v>2</v>
      </c>
      <c r="U495" s="5">
        <f>IF((ContinuousStatsTable[[#This Row],[RepsRequested]]&gt;1),ContinuousStatsTable[[#This Row],[HalfWidth]],ContinuousStatsTable[[#This Row],[BatchMeansHalfWidth]])</f>
        <v>0</v>
      </c>
    </row>
    <row r="496" spans="1:21" x14ac:dyDescent="0.3">
      <c r="A496" t="s">
        <v>66</v>
      </c>
      <c r="B496" t="s">
        <v>68</v>
      </c>
      <c r="C496">
        <v>13</v>
      </c>
      <c r="D496" t="s">
        <v>84</v>
      </c>
      <c r="E496" t="s">
        <v>103</v>
      </c>
      <c r="F496" t="s">
        <v>86</v>
      </c>
      <c r="G496">
        <v>52.237657207398001</v>
      </c>
      <c r="H496">
        <v>2E+20</v>
      </c>
      <c r="I496">
        <v>0</v>
      </c>
      <c r="J496">
        <v>85</v>
      </c>
      <c r="K496">
        <v>56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496" s="5" cm="1">
        <f t="array" ref="N496">MAX(IF((ProjectInfoTable[ProjectName]=ContinuousStatsTable[[#This Row],[ProjectName]]),(ProjectInfoTable[ProjectName]=ContinuousStatsTable[[#This Row],[ProjectName]])*ProjectInfoTable[NumberOfReplications]))</f>
        <v>30</v>
      </c>
      <c r="O496" s="5" cm="1">
        <f t="array" ref="O496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496" s="5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496" s="5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496" s="5" cm="1">
        <f t="array" ref="S496">MIN(IF((ContinuousStatsTable[GroupByKey]=ContinuousStatsTable[[#This Row],[GroupByKey]]),(ContinuousStatsTable[GroupByKey]=ContinuousStatsTable[[#This Row],[GroupByKey]])*ContinuousStatsTable[Average]))</f>
        <v>36.709886237305</v>
      </c>
      <c r="T496" s="5" cm="1">
        <f t="array" ref="T496">MAX(IF((ContinuousStatsTable[GroupByKey]=ContinuousStatsTable[[#This Row],[GroupByKey]]),(ContinuousStatsTable[GroupByKey]=ContinuousStatsTable[[#This Row],[GroupByKey]])*ContinuousStatsTable[Average]))</f>
        <v>84.594951996708403</v>
      </c>
      <c r="U496" s="5">
        <f>IF((ContinuousStatsTable[[#This Row],[RepsRequested]]&gt;1),ContinuousStatsTable[[#This Row],[HalfWidth]],ContinuousStatsTable[[#This Row],[BatchMeansHalfWidth]])</f>
        <v>4.0384933567271259</v>
      </c>
    </row>
    <row r="497" spans="1:21" x14ac:dyDescent="0.3">
      <c r="A497" t="s">
        <v>66</v>
      </c>
      <c r="B497" t="s">
        <v>68</v>
      </c>
      <c r="C497">
        <v>13</v>
      </c>
      <c r="D497" t="s">
        <v>104</v>
      </c>
      <c r="E497" t="s">
        <v>94</v>
      </c>
      <c r="F497" t="s">
        <v>95</v>
      </c>
      <c r="G497">
        <v>0</v>
      </c>
      <c r="H497">
        <v>2E+20</v>
      </c>
      <c r="I497">
        <v>0</v>
      </c>
      <c r="J497">
        <v>0</v>
      </c>
      <c r="K497">
        <v>0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497" s="5" cm="1">
        <f t="array" ref="N497">MAX(IF((ProjectInfoTable[ProjectName]=ContinuousStatsTable[[#This Row],[ProjectName]]),(ProjectInfoTable[ProjectName]=ContinuousStatsTable[[#This Row],[ProjectName]])*ProjectInfoTable[NumberOfReplications]))</f>
        <v>30</v>
      </c>
      <c r="O497" s="5" cm="1">
        <f t="array" ref="O497">IFERROR(AVERAGE(IF((ContinuousStatsTable[GroupByKey]=ContinuousStatsTable[[#This Row],[GroupByKey]]),(ContinuousStatsTable[GroupByKey]=ContinuousStatsTable[[#This Row],[GroupByKey]])*ContinuousStatsTable[Average])),0)</f>
        <v>0</v>
      </c>
      <c r="P497" s="5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0</v>
      </c>
      <c r="Q497" s="5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7" s="5" cm="1">
        <f t="array" ref="S497">MIN(IF((ContinuousStatsTable[GroupByKey]=ContinuousStatsTable[[#This Row],[GroupByKey]]),(ContinuousStatsTable[GroupByKey]=ContinuousStatsTable[[#This Row],[GroupByKey]])*ContinuousStatsTable[Average]))</f>
        <v>0</v>
      </c>
      <c r="T497" s="5" cm="1">
        <f t="array" ref="T497">MAX(IF((ContinuousStatsTable[GroupByKey]=ContinuousStatsTable[[#This Row],[GroupByKey]]),(ContinuousStatsTable[GroupByKey]=ContinuousStatsTable[[#This Row],[GroupByKey]])*ContinuousStatsTable[Average]))</f>
        <v>0</v>
      </c>
      <c r="U497" s="5">
        <f>IF((ContinuousStatsTable[[#This Row],[RepsRequested]]&gt;1),ContinuousStatsTable[[#This Row],[HalfWidth]],ContinuousStatsTable[[#This Row],[BatchMeansHalfWidth]])</f>
        <v>0</v>
      </c>
    </row>
    <row r="498" spans="1:21" x14ac:dyDescent="0.3">
      <c r="A498" t="s">
        <v>66</v>
      </c>
      <c r="B498" t="s">
        <v>68</v>
      </c>
      <c r="C498">
        <v>13</v>
      </c>
      <c r="D498" t="s">
        <v>104</v>
      </c>
      <c r="E498" t="s">
        <v>96</v>
      </c>
      <c r="F498" t="s">
        <v>95</v>
      </c>
      <c r="G498">
        <v>0</v>
      </c>
      <c r="H498">
        <v>2E+20</v>
      </c>
      <c r="I498">
        <v>0</v>
      </c>
      <c r="J498">
        <v>0</v>
      </c>
      <c r="K498">
        <v>0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498" s="5" cm="1">
        <f t="array" ref="N498">MAX(IF((ProjectInfoTable[ProjectName]=ContinuousStatsTable[[#This Row],[ProjectName]]),(ProjectInfoTable[ProjectName]=ContinuousStatsTable[[#This Row],[ProjectName]])*ProjectInfoTable[NumberOfReplications]))</f>
        <v>30</v>
      </c>
      <c r="O498" s="5" cm="1">
        <f t="array" ref="O498">IFERROR(AVERAGE(IF((ContinuousStatsTable[GroupByKey]=ContinuousStatsTable[[#This Row],[GroupByKey]]),(ContinuousStatsTable[GroupByKey]=ContinuousStatsTable[[#This Row],[GroupByKey]])*ContinuousStatsTable[Average])),0)</f>
        <v>0</v>
      </c>
      <c r="P498" s="5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0</v>
      </c>
      <c r="Q498" s="5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8" s="5" cm="1">
        <f t="array" ref="S498">MIN(IF((ContinuousStatsTable[GroupByKey]=ContinuousStatsTable[[#This Row],[GroupByKey]]),(ContinuousStatsTable[GroupByKey]=ContinuousStatsTable[[#This Row],[GroupByKey]])*ContinuousStatsTable[Average]))</f>
        <v>0</v>
      </c>
      <c r="T498" s="5" cm="1">
        <f t="array" ref="T498">MAX(IF((ContinuousStatsTable[GroupByKey]=ContinuousStatsTable[[#This Row],[GroupByKey]]),(ContinuousStatsTable[GroupByKey]=ContinuousStatsTable[[#This Row],[GroupByKey]])*ContinuousStatsTable[Average]))</f>
        <v>0</v>
      </c>
      <c r="U498" s="5">
        <f>IF((ContinuousStatsTable[[#This Row],[RepsRequested]]&gt;1),ContinuousStatsTable[[#This Row],[HalfWidth]],ContinuousStatsTable[[#This Row],[BatchMeansHalfWidth]])</f>
        <v>0</v>
      </c>
    </row>
    <row r="499" spans="1:21" x14ac:dyDescent="0.3">
      <c r="A499" t="s">
        <v>66</v>
      </c>
      <c r="B499" t="s">
        <v>68</v>
      </c>
      <c r="C499">
        <v>13</v>
      </c>
      <c r="D499" t="s">
        <v>104</v>
      </c>
      <c r="E499" t="s">
        <v>97</v>
      </c>
      <c r="F499" t="s">
        <v>95</v>
      </c>
      <c r="G499">
        <v>3</v>
      </c>
      <c r="H499">
        <v>2E+20</v>
      </c>
      <c r="I499">
        <v>3</v>
      </c>
      <c r="J499">
        <v>3</v>
      </c>
      <c r="K499">
        <v>3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499" s="5" cm="1">
        <f t="array" ref="N499">MAX(IF((ProjectInfoTable[ProjectName]=ContinuousStatsTable[[#This Row],[ProjectName]]),(ProjectInfoTable[ProjectName]=ContinuousStatsTable[[#This Row],[ProjectName]])*ProjectInfoTable[NumberOfReplications]))</f>
        <v>30</v>
      </c>
      <c r="O499" s="5" cm="1">
        <f t="array" ref="O499">IFERROR(AVERAGE(IF((ContinuousStatsTable[GroupByKey]=ContinuousStatsTable[[#This Row],[GroupByKey]]),(ContinuousStatsTable[GroupByKey]=ContinuousStatsTable[[#This Row],[GroupByKey]])*ContinuousStatsTable[Average])),0)</f>
        <v>3</v>
      </c>
      <c r="P499" s="5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s="5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s="5" cm="1">
        <f t="array" ref="S499">MIN(IF((ContinuousStatsTable[GroupByKey]=ContinuousStatsTable[[#This Row],[GroupByKey]]),(ContinuousStatsTable[GroupByKey]=ContinuousStatsTable[[#This Row],[GroupByKey]])*ContinuousStatsTable[Average]))</f>
        <v>3</v>
      </c>
      <c r="T499" s="5" cm="1">
        <f t="array" ref="T499">MAX(IF((ContinuousStatsTable[GroupByKey]=ContinuousStatsTable[[#This Row],[GroupByKey]]),(ContinuousStatsTable[GroupByKey]=ContinuousStatsTable[[#This Row],[GroupByKey]])*ContinuousStatsTable[Average]))</f>
        <v>3</v>
      </c>
      <c r="U499" s="5">
        <f>IF((ContinuousStatsTable[[#This Row],[RepsRequested]]&gt;1),ContinuousStatsTable[[#This Row],[HalfWidth]],ContinuousStatsTable[[#This Row],[BatchMeansHalfWidth]])</f>
        <v>0</v>
      </c>
    </row>
    <row r="500" spans="1:21" x14ac:dyDescent="0.3">
      <c r="A500" t="s">
        <v>66</v>
      </c>
      <c r="B500" t="s">
        <v>68</v>
      </c>
      <c r="C500">
        <v>13</v>
      </c>
      <c r="D500" t="s">
        <v>105</v>
      </c>
      <c r="E500" t="s">
        <v>94</v>
      </c>
      <c r="F500" t="s">
        <v>95</v>
      </c>
      <c r="G500">
        <v>0.77915105395295903</v>
      </c>
      <c r="H500">
        <v>2E+20</v>
      </c>
      <c r="I500">
        <v>0</v>
      </c>
      <c r="J500">
        <v>1</v>
      </c>
      <c r="K500">
        <v>1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500" s="5" cm="1">
        <f t="array" ref="N500">MAX(IF((ProjectInfoTable[ProjectName]=ContinuousStatsTable[[#This Row],[ProjectName]]),(ProjectInfoTable[ProjectName]=ContinuousStatsTable[[#This Row],[ProjectName]])*ProjectInfoTable[NumberOfReplications]))</f>
        <v>30</v>
      </c>
      <c r="O500" s="5" cm="1">
        <f t="array" ref="O500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500" s="5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500" s="5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500" s="5" cm="1">
        <f t="array" ref="S500">MIN(IF((ContinuousStatsTable[GroupByKey]=ContinuousStatsTable[[#This Row],[GroupByKey]]),(ContinuousStatsTable[GroupByKey]=ContinuousStatsTable[[#This Row],[GroupByKey]])*ContinuousStatsTable[Average]))</f>
        <v>0.634589476164233</v>
      </c>
      <c r="T500" s="5" cm="1">
        <f t="array" ref="T500">MAX(IF((ContinuousStatsTable[GroupByKey]=ContinuousStatsTable[[#This Row],[GroupByKey]]),(ContinuousStatsTable[GroupByKey]=ContinuousStatsTable[[#This Row],[GroupByKey]])*ContinuousStatsTable[Average]))</f>
        <v>0.99383259650362799</v>
      </c>
      <c r="U500" s="5">
        <f>IF((ContinuousStatsTable[[#This Row],[RepsRequested]]&gt;1),ContinuousStatsTable[[#This Row],[HalfWidth]],ContinuousStatsTable[[#This Row],[BatchMeansHalfWidth]])</f>
        <v>3.9940526897700258E-2</v>
      </c>
    </row>
    <row r="501" spans="1:21" x14ac:dyDescent="0.3">
      <c r="A501" t="s">
        <v>66</v>
      </c>
      <c r="B501" t="s">
        <v>68</v>
      </c>
      <c r="C501">
        <v>13</v>
      </c>
      <c r="D501" t="s">
        <v>105</v>
      </c>
      <c r="E501" t="s">
        <v>96</v>
      </c>
      <c r="F501" t="s">
        <v>95</v>
      </c>
      <c r="G501">
        <v>0.77915105395295903</v>
      </c>
      <c r="H501">
        <v>2E+20</v>
      </c>
      <c r="I501">
        <v>0</v>
      </c>
      <c r="J501">
        <v>1</v>
      </c>
      <c r="K501">
        <v>1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501" s="5" cm="1">
        <f t="array" ref="N501">MAX(IF((ProjectInfoTable[ProjectName]=ContinuousStatsTable[[#This Row],[ProjectName]]),(ProjectInfoTable[ProjectName]=ContinuousStatsTable[[#This Row],[ProjectName]])*ProjectInfoTable[NumberOfReplications]))</f>
        <v>30</v>
      </c>
      <c r="O501" s="5" cm="1">
        <f t="array" ref="O501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501" s="5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501" s="5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501" s="5" cm="1">
        <f t="array" ref="S501">MIN(IF((ContinuousStatsTable[GroupByKey]=ContinuousStatsTable[[#This Row],[GroupByKey]]),(ContinuousStatsTable[GroupByKey]=ContinuousStatsTable[[#This Row],[GroupByKey]])*ContinuousStatsTable[Average]))</f>
        <v>0.634589476164233</v>
      </c>
      <c r="T501" s="5" cm="1">
        <f t="array" ref="T501">MAX(IF((ContinuousStatsTable[GroupByKey]=ContinuousStatsTable[[#This Row],[GroupByKey]]),(ContinuousStatsTable[GroupByKey]=ContinuousStatsTable[[#This Row],[GroupByKey]])*ContinuousStatsTable[Average]))</f>
        <v>0.99383259650362799</v>
      </c>
      <c r="U501" s="5">
        <f>IF((ContinuousStatsTable[[#This Row],[RepsRequested]]&gt;1),ContinuousStatsTable[[#This Row],[HalfWidth]],ContinuousStatsTable[[#This Row],[BatchMeansHalfWidth]])</f>
        <v>3.9940526897700258E-2</v>
      </c>
    </row>
    <row r="502" spans="1:21" x14ac:dyDescent="0.3">
      <c r="A502" t="s">
        <v>66</v>
      </c>
      <c r="B502" t="s">
        <v>68</v>
      </c>
      <c r="C502">
        <v>13</v>
      </c>
      <c r="D502" t="s">
        <v>105</v>
      </c>
      <c r="E502" t="s">
        <v>97</v>
      </c>
      <c r="F502" t="s">
        <v>95</v>
      </c>
      <c r="G502">
        <v>1</v>
      </c>
      <c r="H502">
        <v>2E+20</v>
      </c>
      <c r="I502">
        <v>1</v>
      </c>
      <c r="J502">
        <v>1</v>
      </c>
      <c r="K502">
        <v>1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502" s="5" cm="1">
        <f t="array" ref="N502">MAX(IF((ProjectInfoTable[ProjectName]=ContinuousStatsTable[[#This Row],[ProjectName]]),(ProjectInfoTable[ProjectName]=ContinuousStatsTable[[#This Row],[ProjectName]])*ProjectInfoTable[NumberOfReplications]))</f>
        <v>30</v>
      </c>
      <c r="O502" s="5" cm="1">
        <f t="array" ref="O502">IFERROR(AVERAGE(IF((ContinuousStatsTable[GroupByKey]=ContinuousStatsTable[[#This Row],[GroupByKey]]),(ContinuousStatsTable[GroupByKey]=ContinuousStatsTable[[#This Row],[GroupByKey]])*ContinuousStatsTable[Average])),0)</f>
        <v>1</v>
      </c>
      <c r="P502" s="5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0</v>
      </c>
      <c r="Q502" s="5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2" s="5" cm="1">
        <f t="array" ref="S502">MIN(IF((ContinuousStatsTable[GroupByKey]=ContinuousStatsTable[[#This Row],[GroupByKey]]),(ContinuousStatsTable[GroupByKey]=ContinuousStatsTable[[#This Row],[GroupByKey]])*ContinuousStatsTable[Average]))</f>
        <v>1</v>
      </c>
      <c r="T502" s="5" cm="1">
        <f t="array" ref="T502">MAX(IF((ContinuousStatsTable[GroupByKey]=ContinuousStatsTable[[#This Row],[GroupByKey]]),(ContinuousStatsTable[GroupByKey]=ContinuousStatsTable[[#This Row],[GroupByKey]])*ContinuousStatsTable[Average]))</f>
        <v>1</v>
      </c>
      <c r="U502" s="5">
        <f>IF((ContinuousStatsTable[[#This Row],[RepsRequested]]&gt;1),ContinuousStatsTable[[#This Row],[HalfWidth]],ContinuousStatsTable[[#This Row],[BatchMeansHalfWidth]])</f>
        <v>0</v>
      </c>
    </row>
    <row r="503" spans="1:21" x14ac:dyDescent="0.3">
      <c r="A503" t="s">
        <v>66</v>
      </c>
      <c r="B503" t="s">
        <v>68</v>
      </c>
      <c r="C503">
        <v>13</v>
      </c>
      <c r="D503" t="s">
        <v>106</v>
      </c>
      <c r="E503" t="s">
        <v>94</v>
      </c>
      <c r="F503" t="s">
        <v>95</v>
      </c>
      <c r="G503">
        <v>0.86787309610032204</v>
      </c>
      <c r="H503">
        <v>2E+20</v>
      </c>
      <c r="I503">
        <v>0</v>
      </c>
      <c r="J503">
        <v>1</v>
      </c>
      <c r="K503">
        <v>0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503" s="5" cm="1">
        <f t="array" ref="N503">MAX(IF((ProjectInfoTable[ProjectName]=ContinuousStatsTable[[#This Row],[ProjectName]]),(ProjectInfoTable[ProjectName]=ContinuousStatsTable[[#This Row],[ProjectName]])*ProjectInfoTable[NumberOfReplications]))</f>
        <v>30</v>
      </c>
      <c r="O503" s="5" cm="1">
        <f t="array" ref="O503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503" s="5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503" s="5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503" s="5" cm="1">
        <f t="array" ref="S503">MIN(IF((ContinuousStatsTable[GroupByKey]=ContinuousStatsTable[[#This Row],[GroupByKey]]),(ContinuousStatsTable[GroupByKey]=ContinuousStatsTable[[#This Row],[GroupByKey]])*ContinuousStatsTable[Average]))</f>
        <v>0.74061105631083801</v>
      </c>
      <c r="T503" s="5" cm="1">
        <f t="array" ref="T503">MAX(IF((ContinuousStatsTable[GroupByKey]=ContinuousStatsTable[[#This Row],[GroupByKey]]),(ContinuousStatsTable[GroupByKey]=ContinuousStatsTable[[#This Row],[GroupByKey]])*ContinuousStatsTable[Average]))</f>
        <v>0.99245161744166299</v>
      </c>
      <c r="U503" s="5">
        <f>IF((ContinuousStatsTable[[#This Row],[RepsRequested]]&gt;1),ContinuousStatsTable[[#This Row],[HalfWidth]],ContinuousStatsTable[[#This Row],[BatchMeansHalfWidth]])</f>
        <v>2.8912497794626357E-2</v>
      </c>
    </row>
    <row r="504" spans="1:21" x14ac:dyDescent="0.3">
      <c r="A504" t="s">
        <v>66</v>
      </c>
      <c r="B504" t="s">
        <v>68</v>
      </c>
      <c r="C504">
        <v>13</v>
      </c>
      <c r="D504" t="s">
        <v>106</v>
      </c>
      <c r="E504" t="s">
        <v>96</v>
      </c>
      <c r="F504" t="s">
        <v>95</v>
      </c>
      <c r="G504">
        <v>0.86787309610032204</v>
      </c>
      <c r="H504">
        <v>2E+20</v>
      </c>
      <c r="I504">
        <v>0</v>
      </c>
      <c r="J504">
        <v>1</v>
      </c>
      <c r="K504">
        <v>0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504" s="5" cm="1">
        <f t="array" ref="N504">MAX(IF((ProjectInfoTable[ProjectName]=ContinuousStatsTable[[#This Row],[ProjectName]]),(ProjectInfoTable[ProjectName]=ContinuousStatsTable[[#This Row],[ProjectName]])*ProjectInfoTable[NumberOfReplications]))</f>
        <v>30</v>
      </c>
      <c r="O504" s="5" cm="1">
        <f t="array" ref="O504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504" s="5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504" s="5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504" s="5" cm="1">
        <f t="array" ref="S504">MIN(IF((ContinuousStatsTable[GroupByKey]=ContinuousStatsTable[[#This Row],[GroupByKey]]),(ContinuousStatsTable[GroupByKey]=ContinuousStatsTable[[#This Row],[GroupByKey]])*ContinuousStatsTable[Average]))</f>
        <v>0.74061105631083801</v>
      </c>
      <c r="T504" s="5" cm="1">
        <f t="array" ref="T504">MAX(IF((ContinuousStatsTable[GroupByKey]=ContinuousStatsTable[[#This Row],[GroupByKey]]),(ContinuousStatsTable[GroupByKey]=ContinuousStatsTable[[#This Row],[GroupByKey]])*ContinuousStatsTable[Average]))</f>
        <v>0.99245161744166299</v>
      </c>
      <c r="U504" s="5">
        <f>IF((ContinuousStatsTable[[#This Row],[RepsRequested]]&gt;1),ContinuousStatsTable[[#This Row],[HalfWidth]],ContinuousStatsTable[[#This Row],[BatchMeansHalfWidth]])</f>
        <v>2.8912497794626357E-2</v>
      </c>
    </row>
    <row r="505" spans="1:21" x14ac:dyDescent="0.3">
      <c r="A505" t="s">
        <v>66</v>
      </c>
      <c r="B505" t="s">
        <v>68</v>
      </c>
      <c r="C505">
        <v>13</v>
      </c>
      <c r="D505" t="s">
        <v>106</v>
      </c>
      <c r="E505" t="s">
        <v>97</v>
      </c>
      <c r="F505" t="s">
        <v>95</v>
      </c>
      <c r="G505">
        <v>1</v>
      </c>
      <c r="H505">
        <v>2E+20</v>
      </c>
      <c r="I505">
        <v>1</v>
      </c>
      <c r="J505">
        <v>1</v>
      </c>
      <c r="K505">
        <v>1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505" s="5" cm="1">
        <f t="array" ref="N505">MAX(IF((ProjectInfoTable[ProjectName]=ContinuousStatsTable[[#This Row],[ProjectName]]),(ProjectInfoTable[ProjectName]=ContinuousStatsTable[[#This Row],[ProjectName]])*ProjectInfoTable[NumberOfReplications]))</f>
        <v>30</v>
      </c>
      <c r="O505" s="5" cm="1">
        <f t="array" ref="O505">IFERROR(AVERAGE(IF((ContinuousStatsTable[GroupByKey]=ContinuousStatsTable[[#This Row],[GroupByKey]]),(ContinuousStatsTable[GroupByKey]=ContinuousStatsTable[[#This Row],[GroupByKey]])*ContinuousStatsTable[Average])),0)</f>
        <v>1</v>
      </c>
      <c r="P505" s="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</v>
      </c>
      <c r="Q505" s="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5" s="5" cm="1">
        <f t="array" ref="S505">MIN(IF((ContinuousStatsTable[GroupByKey]=ContinuousStatsTable[[#This Row],[GroupByKey]]),(ContinuousStatsTable[GroupByKey]=ContinuousStatsTable[[#This Row],[GroupByKey]])*ContinuousStatsTable[Average]))</f>
        <v>1</v>
      </c>
      <c r="T505" s="5" cm="1">
        <f t="array" ref="T505">MAX(IF((ContinuousStatsTable[GroupByKey]=ContinuousStatsTable[[#This Row],[GroupByKey]]),(ContinuousStatsTable[GroupByKey]=ContinuousStatsTable[[#This Row],[GroupByKey]])*ContinuousStatsTable[Average]))</f>
        <v>1</v>
      </c>
      <c r="U505" s="5">
        <f>IF((ContinuousStatsTable[[#This Row],[RepsRequested]]&gt;1),ContinuousStatsTable[[#This Row],[HalfWidth]],ContinuousStatsTable[[#This Row],[BatchMeansHalfWidth]])</f>
        <v>0</v>
      </c>
    </row>
    <row r="506" spans="1:21" x14ac:dyDescent="0.3">
      <c r="A506" t="s">
        <v>66</v>
      </c>
      <c r="B506" t="s">
        <v>68</v>
      </c>
      <c r="C506">
        <v>13</v>
      </c>
      <c r="D506" t="s">
        <v>107</v>
      </c>
      <c r="E506" t="s">
        <v>94</v>
      </c>
      <c r="F506" t="s">
        <v>95</v>
      </c>
      <c r="G506">
        <v>0.84014877554720702</v>
      </c>
      <c r="H506">
        <v>2E+20</v>
      </c>
      <c r="I506">
        <v>0</v>
      </c>
      <c r="J506">
        <v>1</v>
      </c>
      <c r="K506">
        <v>1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506" s="5" cm="1">
        <f t="array" ref="N506">MAX(IF((ProjectInfoTable[ProjectName]=ContinuousStatsTable[[#This Row],[ProjectName]]),(ProjectInfoTable[ProjectName]=ContinuousStatsTable[[#This Row],[ProjectName]])*ProjectInfoTable[NumberOfReplications]))</f>
        <v>30</v>
      </c>
      <c r="O506" s="5" cm="1">
        <f t="array" ref="O506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506" s="5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506" s="5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506" s="5" cm="1">
        <f t="array" ref="S506">MIN(IF((ContinuousStatsTable[GroupByKey]=ContinuousStatsTable[[#This Row],[GroupByKey]]),(ContinuousStatsTable[GroupByKey]=ContinuousStatsTable[[#This Row],[GroupByKey]])*ContinuousStatsTable[Average]))</f>
        <v>0.73843386001690303</v>
      </c>
      <c r="T506" s="5" cm="1">
        <f t="array" ref="T506">MAX(IF((ContinuousStatsTable[GroupByKey]=ContinuousStatsTable[[#This Row],[GroupByKey]]),(ContinuousStatsTable[GroupByKey]=ContinuousStatsTable[[#This Row],[GroupByKey]])*ContinuousStatsTable[Average]))</f>
        <v>0.99245161744166299</v>
      </c>
      <c r="U506" s="5">
        <f>IF((ContinuousStatsTable[[#This Row],[RepsRequested]]&gt;1),ContinuousStatsTable[[#This Row],[HalfWidth]],ContinuousStatsTable[[#This Row],[BatchMeansHalfWidth]])</f>
        <v>2.6057642646860522E-2</v>
      </c>
    </row>
    <row r="507" spans="1:21" x14ac:dyDescent="0.3">
      <c r="A507" t="s">
        <v>66</v>
      </c>
      <c r="B507" t="s">
        <v>68</v>
      </c>
      <c r="C507">
        <v>13</v>
      </c>
      <c r="D507" t="s">
        <v>107</v>
      </c>
      <c r="E507" t="s">
        <v>96</v>
      </c>
      <c r="F507" t="s">
        <v>95</v>
      </c>
      <c r="G507">
        <v>0.84014877554720702</v>
      </c>
      <c r="H507">
        <v>2E+20</v>
      </c>
      <c r="I507">
        <v>0</v>
      </c>
      <c r="J507">
        <v>1</v>
      </c>
      <c r="K507">
        <v>1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507" s="5" cm="1">
        <f t="array" ref="N507">MAX(IF((ProjectInfoTable[ProjectName]=ContinuousStatsTable[[#This Row],[ProjectName]]),(ProjectInfoTable[ProjectName]=ContinuousStatsTable[[#This Row],[ProjectName]])*ProjectInfoTable[NumberOfReplications]))</f>
        <v>30</v>
      </c>
      <c r="O507" s="5" cm="1">
        <f t="array" ref="O507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507" s="5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507" s="5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507" s="5" cm="1">
        <f t="array" ref="S507">MIN(IF((ContinuousStatsTable[GroupByKey]=ContinuousStatsTable[[#This Row],[GroupByKey]]),(ContinuousStatsTable[GroupByKey]=ContinuousStatsTable[[#This Row],[GroupByKey]])*ContinuousStatsTable[Average]))</f>
        <v>0.73843386001690303</v>
      </c>
      <c r="T507" s="5" cm="1">
        <f t="array" ref="T507">MAX(IF((ContinuousStatsTable[GroupByKey]=ContinuousStatsTable[[#This Row],[GroupByKey]]),(ContinuousStatsTable[GroupByKey]=ContinuousStatsTable[[#This Row],[GroupByKey]])*ContinuousStatsTable[Average]))</f>
        <v>0.99245161744166299</v>
      </c>
      <c r="U507" s="5">
        <f>IF((ContinuousStatsTable[[#This Row],[RepsRequested]]&gt;1),ContinuousStatsTable[[#This Row],[HalfWidth]],ContinuousStatsTable[[#This Row],[BatchMeansHalfWidth]])</f>
        <v>2.6057642646860522E-2</v>
      </c>
    </row>
    <row r="508" spans="1:21" x14ac:dyDescent="0.3">
      <c r="A508" t="s">
        <v>66</v>
      </c>
      <c r="B508" t="s">
        <v>68</v>
      </c>
      <c r="C508">
        <v>13</v>
      </c>
      <c r="D508" t="s">
        <v>107</v>
      </c>
      <c r="E508" t="s">
        <v>97</v>
      </c>
      <c r="F508" t="s">
        <v>95</v>
      </c>
      <c r="G508">
        <v>1</v>
      </c>
      <c r="H508">
        <v>2E+20</v>
      </c>
      <c r="I508">
        <v>1</v>
      </c>
      <c r="J508">
        <v>1</v>
      </c>
      <c r="K508">
        <v>1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508" s="5" cm="1">
        <f t="array" ref="N508">MAX(IF((ProjectInfoTable[ProjectName]=ContinuousStatsTable[[#This Row],[ProjectName]]),(ProjectInfoTable[ProjectName]=ContinuousStatsTable[[#This Row],[ProjectName]])*ProjectInfoTable[NumberOfReplications]))</f>
        <v>30</v>
      </c>
      <c r="O508" s="5" cm="1">
        <f t="array" ref="O508">IFERROR(AVERAGE(IF((ContinuousStatsTable[GroupByKey]=ContinuousStatsTable[[#This Row],[GroupByKey]]),(ContinuousStatsTable[GroupByKey]=ContinuousStatsTable[[#This Row],[GroupByKey]])*ContinuousStatsTable[Average])),0)</f>
        <v>1</v>
      </c>
      <c r="P508" s="5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s="5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s="5" cm="1">
        <f t="array" ref="S508">MIN(IF((ContinuousStatsTable[GroupByKey]=ContinuousStatsTable[[#This Row],[GroupByKey]]),(ContinuousStatsTable[GroupByKey]=ContinuousStatsTable[[#This Row],[GroupByKey]])*ContinuousStatsTable[Average]))</f>
        <v>1</v>
      </c>
      <c r="T508" s="5" cm="1">
        <f t="array" ref="T508">MAX(IF((ContinuousStatsTable[GroupByKey]=ContinuousStatsTable[[#This Row],[GroupByKey]]),(ContinuousStatsTable[GroupByKey]=ContinuousStatsTable[[#This Row],[GroupByKey]])*ContinuousStatsTable[Average]))</f>
        <v>1</v>
      </c>
      <c r="U508" s="5">
        <f>IF((ContinuousStatsTable[[#This Row],[RepsRequested]]&gt;1),ContinuousStatsTable[[#This Row],[HalfWidth]],ContinuousStatsTable[[#This Row],[BatchMeansHalfWidth]])</f>
        <v>0</v>
      </c>
    </row>
    <row r="509" spans="1:21" x14ac:dyDescent="0.3">
      <c r="A509" t="s">
        <v>66</v>
      </c>
      <c r="B509" t="s">
        <v>68</v>
      </c>
      <c r="C509">
        <v>14</v>
      </c>
      <c r="D509" t="s">
        <v>69</v>
      </c>
      <c r="E509" t="s">
        <v>92</v>
      </c>
      <c r="F509" t="s">
        <v>71</v>
      </c>
      <c r="G509">
        <v>2.54942036426712</v>
      </c>
      <c r="H509">
        <v>2E+20</v>
      </c>
      <c r="I509">
        <v>0</v>
      </c>
      <c r="J509">
        <v>15</v>
      </c>
      <c r="K509">
        <v>0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509" s="5" cm="1">
        <f t="array" ref="N509">MAX(IF((ProjectInfoTable[ProjectName]=ContinuousStatsTable[[#This Row],[ProjectName]]),(ProjectInfoTable[ProjectName]=ContinuousStatsTable[[#This Row],[ProjectName]])*ProjectInfoTable[NumberOfReplications]))</f>
        <v>30</v>
      </c>
      <c r="O509" s="5" cm="1">
        <f t="array" ref="O509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509" s="5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509" s="5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509" s="5" cm="1">
        <f t="array" ref="S509">MIN(IF((ContinuousStatsTable[GroupByKey]=ContinuousStatsTable[[#This Row],[GroupByKey]]),(ContinuousStatsTable[GroupByKey]=ContinuousStatsTable[[#This Row],[GroupByKey]])*ContinuousStatsTable[Average]))</f>
        <v>2.2853775994771</v>
      </c>
      <c r="T509" s="5" cm="1">
        <f t="array" ref="T509">MAX(IF((ContinuousStatsTable[GroupByKey]=ContinuousStatsTable[[#This Row],[GroupByKey]]),(ContinuousStatsTable[GroupByKey]=ContinuousStatsTable[[#This Row],[GroupByKey]])*ContinuousStatsTable[Average]))</f>
        <v>9.3827575078214593</v>
      </c>
      <c r="U509" s="5">
        <f>IF((ContinuousStatsTable[[#This Row],[RepsRequested]]&gt;1),ContinuousStatsTable[[#This Row],[HalfWidth]],ContinuousStatsTable[[#This Row],[BatchMeansHalfWidth]])</f>
        <v>0.70373665421471332</v>
      </c>
    </row>
    <row r="510" spans="1:21" x14ac:dyDescent="0.3">
      <c r="A510" t="s">
        <v>66</v>
      </c>
      <c r="B510" t="s">
        <v>68</v>
      </c>
      <c r="C510">
        <v>14</v>
      </c>
      <c r="D510" t="s">
        <v>72</v>
      </c>
      <c r="E510" t="s">
        <v>92</v>
      </c>
      <c r="F510" t="s">
        <v>71</v>
      </c>
      <c r="G510">
        <v>1.89194307371314</v>
      </c>
      <c r="H510">
        <v>2E+20</v>
      </c>
      <c r="I510">
        <v>0</v>
      </c>
      <c r="J510">
        <v>10</v>
      </c>
      <c r="K510">
        <v>0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510" s="5" cm="1">
        <f t="array" ref="N510">MAX(IF((ProjectInfoTable[ProjectName]=ContinuousStatsTable[[#This Row],[ProjectName]]),(ProjectInfoTable[ProjectName]=ContinuousStatsTable[[#This Row],[ProjectName]])*ProjectInfoTable[NumberOfReplications]))</f>
        <v>30</v>
      </c>
      <c r="O510" s="5" cm="1">
        <f t="array" ref="O510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510" s="5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510" s="5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510" s="5" cm="1">
        <f t="array" ref="S510">MIN(IF((ContinuousStatsTable[GroupByKey]=ContinuousStatsTable[[#This Row],[GroupByKey]]),(ContinuousStatsTable[GroupByKey]=ContinuousStatsTable[[#This Row],[GroupByKey]])*ContinuousStatsTable[Average]))</f>
        <v>1.4754093813695901</v>
      </c>
      <c r="T510" s="5" cm="1">
        <f t="array" ref="T510">MAX(IF((ContinuousStatsTable[GroupByKey]=ContinuousStatsTable[[#This Row],[GroupByKey]]),(ContinuousStatsTable[GroupByKey]=ContinuousStatsTable[[#This Row],[GroupByKey]])*ContinuousStatsTable[Average]))</f>
        <v>8.0603747791942499</v>
      </c>
      <c r="U510" s="5">
        <f>IF((ContinuousStatsTable[[#This Row],[RepsRequested]]&gt;1),ContinuousStatsTable[[#This Row],[HalfWidth]],ContinuousStatsTable[[#This Row],[BatchMeansHalfWidth]])</f>
        <v>0.5936172943910426</v>
      </c>
    </row>
    <row r="511" spans="1:21" x14ac:dyDescent="0.3">
      <c r="A511" t="s">
        <v>66</v>
      </c>
      <c r="B511" t="s">
        <v>68</v>
      </c>
      <c r="C511">
        <v>14</v>
      </c>
      <c r="D511" t="s">
        <v>73</v>
      </c>
      <c r="E511" t="s">
        <v>92</v>
      </c>
      <c r="F511" t="s">
        <v>71</v>
      </c>
      <c r="G511">
        <v>2.86189791014713</v>
      </c>
      <c r="H511">
        <v>2E+20</v>
      </c>
      <c r="I511">
        <v>0</v>
      </c>
      <c r="J511">
        <v>16</v>
      </c>
      <c r="K511">
        <v>0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511" s="5" cm="1">
        <f t="array" ref="N511">MAX(IF((ProjectInfoTable[ProjectName]=ContinuousStatsTable[[#This Row],[ProjectName]]),(ProjectInfoTable[ProjectName]=ContinuousStatsTable[[#This Row],[ProjectName]])*ProjectInfoTable[NumberOfReplications]))</f>
        <v>30</v>
      </c>
      <c r="O511" s="5" cm="1">
        <f t="array" ref="O511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511" s="5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511" s="5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511" s="5" cm="1">
        <f t="array" ref="S511">MIN(IF((ContinuousStatsTable[GroupByKey]=ContinuousStatsTable[[#This Row],[GroupByKey]]),(ContinuousStatsTable[GroupByKey]=ContinuousStatsTable[[#This Row],[GroupByKey]])*ContinuousStatsTable[Average]))</f>
        <v>1.3305593103954101</v>
      </c>
      <c r="T511" s="5" cm="1">
        <f t="array" ref="T511">MAX(IF((ContinuousStatsTable[GroupByKey]=ContinuousStatsTable[[#This Row],[GroupByKey]]),(ContinuousStatsTable[GroupByKey]=ContinuousStatsTable[[#This Row],[GroupByKey]])*ContinuousStatsTable[Average]))</f>
        <v>29.356614544212601</v>
      </c>
      <c r="U511" s="5">
        <f>IF((ContinuousStatsTable[[#This Row],[RepsRequested]]&gt;1),ContinuousStatsTable[[#This Row],[HalfWidth]],ContinuousStatsTable[[#This Row],[BatchMeansHalfWidth]])</f>
        <v>2.162177461749093</v>
      </c>
    </row>
    <row r="512" spans="1:21" x14ac:dyDescent="0.3">
      <c r="A512" t="s">
        <v>66</v>
      </c>
      <c r="B512" t="s">
        <v>68</v>
      </c>
      <c r="C512">
        <v>14</v>
      </c>
      <c r="D512" t="s">
        <v>74</v>
      </c>
      <c r="E512" t="s">
        <v>92</v>
      </c>
      <c r="F512" t="s">
        <v>71</v>
      </c>
      <c r="G512">
        <v>0</v>
      </c>
      <c r="H512">
        <v>2E+20</v>
      </c>
      <c r="I512">
        <v>0</v>
      </c>
      <c r="J512">
        <v>0</v>
      </c>
      <c r="K512">
        <v>0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512" s="5" cm="1">
        <f t="array" ref="N512">MAX(IF((ProjectInfoTable[ProjectName]=ContinuousStatsTable[[#This Row],[ProjectName]]),(ProjectInfoTable[ProjectName]=ContinuousStatsTable[[#This Row],[ProjectName]])*ProjectInfoTable[NumberOfReplications]))</f>
        <v>30</v>
      </c>
      <c r="O512" s="5" cm="1">
        <f t="array" ref="O512">IFERROR(AVERAGE(IF((ContinuousStatsTable[GroupByKey]=ContinuousStatsTable[[#This Row],[GroupByKey]]),(ContinuousStatsTable[GroupByKey]=ContinuousStatsTable[[#This Row],[GroupByKey]])*ContinuousStatsTable[Average])),0)</f>
        <v>0</v>
      </c>
      <c r="P512" s="5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s="5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s="5" cm="1">
        <f t="array" ref="S512">MIN(IF((ContinuousStatsTable[GroupByKey]=ContinuousStatsTable[[#This Row],[GroupByKey]]),(ContinuousStatsTable[GroupByKey]=ContinuousStatsTable[[#This Row],[GroupByKey]])*ContinuousStatsTable[Average]))</f>
        <v>0</v>
      </c>
      <c r="T512" s="5" cm="1">
        <f t="array" ref="T512">MAX(IF((ContinuousStatsTable[GroupByKey]=ContinuousStatsTable[[#This Row],[GroupByKey]]),(ContinuousStatsTable[GroupByKey]=ContinuousStatsTable[[#This Row],[GroupByKey]])*ContinuousStatsTable[Average]))</f>
        <v>0</v>
      </c>
      <c r="U512" s="5">
        <f>IF((ContinuousStatsTable[[#This Row],[RepsRequested]]&gt;1),ContinuousStatsTable[[#This Row],[HalfWidth]],ContinuousStatsTable[[#This Row],[BatchMeansHalfWidth]])</f>
        <v>0</v>
      </c>
    </row>
    <row r="513" spans="1:21" x14ac:dyDescent="0.3">
      <c r="A513" t="s">
        <v>66</v>
      </c>
      <c r="B513" t="s">
        <v>68</v>
      </c>
      <c r="C513">
        <v>14</v>
      </c>
      <c r="D513" t="s">
        <v>75</v>
      </c>
      <c r="E513" t="s">
        <v>92</v>
      </c>
      <c r="F513" t="s">
        <v>71</v>
      </c>
      <c r="G513">
        <v>0</v>
      </c>
      <c r="H513">
        <v>2E+20</v>
      </c>
      <c r="I513">
        <v>0</v>
      </c>
      <c r="J513">
        <v>0</v>
      </c>
      <c r="K513">
        <v>0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513" s="5" cm="1">
        <f t="array" ref="N513">MAX(IF((ProjectInfoTable[ProjectName]=ContinuousStatsTable[[#This Row],[ProjectName]]),(ProjectInfoTable[ProjectName]=ContinuousStatsTable[[#This Row],[ProjectName]])*ProjectInfoTable[NumberOfReplications]))</f>
        <v>30</v>
      </c>
      <c r="O513" s="5" cm="1">
        <f t="array" ref="O513">IFERROR(AVERAGE(IF((ContinuousStatsTable[GroupByKey]=ContinuousStatsTable[[#This Row],[GroupByKey]]),(ContinuousStatsTable[GroupByKey]=ContinuousStatsTable[[#This Row],[GroupByKey]])*ContinuousStatsTable[Average])),0)</f>
        <v>0</v>
      </c>
      <c r="P513" s="5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</v>
      </c>
      <c r="Q513" s="5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3" s="5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s="5" cm="1">
        <f t="array" ref="T513">MAX(IF((ContinuousStatsTable[GroupByKey]=ContinuousStatsTable[[#This Row],[GroupByKey]]),(ContinuousStatsTable[GroupByKey]=ContinuousStatsTable[[#This Row],[GroupByKey]])*ContinuousStatsTable[Average]))</f>
        <v>0</v>
      </c>
      <c r="U513" s="5">
        <f>IF((ContinuousStatsTable[[#This Row],[RepsRequested]]&gt;1),ContinuousStatsTable[[#This Row],[HalfWidth]],ContinuousStatsTable[[#This Row],[BatchMeansHalfWidth]])</f>
        <v>0</v>
      </c>
    </row>
    <row r="514" spans="1:21" x14ac:dyDescent="0.3">
      <c r="A514" t="s">
        <v>66</v>
      </c>
      <c r="B514" t="s">
        <v>68</v>
      </c>
      <c r="C514">
        <v>14</v>
      </c>
      <c r="D514" t="s">
        <v>76</v>
      </c>
      <c r="E514" t="s">
        <v>92</v>
      </c>
      <c r="F514" t="s">
        <v>71</v>
      </c>
      <c r="G514">
        <v>0.38313136676056397</v>
      </c>
      <c r="H514">
        <v>2E+20</v>
      </c>
      <c r="I514">
        <v>0</v>
      </c>
      <c r="J514">
        <v>7</v>
      </c>
      <c r="K514">
        <v>0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514" s="5" cm="1">
        <f t="array" ref="N514">MAX(IF((ProjectInfoTable[ProjectName]=ContinuousStatsTable[[#This Row],[ProjectName]]),(ProjectInfoTable[ProjectName]=ContinuousStatsTable[[#This Row],[ProjectName]])*ProjectInfoTable[NumberOfReplications]))</f>
        <v>30</v>
      </c>
      <c r="O514" s="5" cm="1">
        <f t="array" ref="O514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514" s="5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514" s="5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514" s="5" cm="1">
        <f t="array" ref="S514">MIN(IF((ContinuousStatsTable[GroupByKey]=ContinuousStatsTable[[#This Row],[GroupByKey]]),(ContinuousStatsTable[GroupByKey]=ContinuousStatsTable[[#This Row],[GroupByKey]])*ContinuousStatsTable[Average]))</f>
        <v>4.5869485136026601E-2</v>
      </c>
      <c r="T514" s="5" cm="1">
        <f t="array" ref="T514">MAX(IF((ContinuousStatsTable[GroupByKey]=ContinuousStatsTable[[#This Row],[GroupByKey]]),(ContinuousStatsTable[GroupByKey]=ContinuousStatsTable[[#This Row],[GroupByKey]])*ContinuousStatsTable[Average]))</f>
        <v>4.1119263103435699</v>
      </c>
      <c r="U514" s="5">
        <f>IF((ContinuousStatsTable[[#This Row],[RepsRequested]]&gt;1),ContinuousStatsTable[[#This Row],[HalfWidth]],ContinuousStatsTable[[#This Row],[BatchMeansHalfWidth]])</f>
        <v>0.43252967563899991</v>
      </c>
    </row>
    <row r="515" spans="1:21" x14ac:dyDescent="0.3">
      <c r="A515" t="s">
        <v>66</v>
      </c>
      <c r="B515" t="s">
        <v>68</v>
      </c>
      <c r="C515">
        <v>14</v>
      </c>
      <c r="D515" t="s">
        <v>77</v>
      </c>
      <c r="E515" t="s">
        <v>92</v>
      </c>
      <c r="F515" t="s">
        <v>71</v>
      </c>
      <c r="G515">
        <v>0</v>
      </c>
      <c r="H515">
        <v>2E+20</v>
      </c>
      <c r="I515">
        <v>0</v>
      </c>
      <c r="J515">
        <v>0</v>
      </c>
      <c r="K515">
        <v>0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515" s="5" cm="1">
        <f t="array" ref="N515">MAX(IF((ProjectInfoTable[ProjectName]=ContinuousStatsTable[[#This Row],[ProjectName]]),(ProjectInfoTable[ProjectName]=ContinuousStatsTable[[#This Row],[ProjectName]])*ProjectInfoTable[NumberOfReplications]))</f>
        <v>30</v>
      </c>
      <c r="O515" s="5" cm="1">
        <f t="array" ref="O515">IFERROR(AVERAGE(IF((ContinuousStatsTable[GroupByKey]=ContinuousStatsTable[[#This Row],[GroupByKey]]),(ContinuousStatsTable[GroupByKey]=ContinuousStatsTable[[#This Row],[GroupByKey]])*ContinuousStatsTable[Average])),0)</f>
        <v>0</v>
      </c>
      <c r="P515" s="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0</v>
      </c>
      <c r="Q515" s="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5" s="5" cm="1">
        <f t="array" ref="S515">MIN(IF((ContinuousStatsTable[GroupByKey]=ContinuousStatsTable[[#This Row],[GroupByKey]]),(ContinuousStatsTable[GroupByKey]=ContinuousStatsTable[[#This Row],[GroupByKey]])*ContinuousStatsTable[Average]))</f>
        <v>0</v>
      </c>
      <c r="T515" s="5" cm="1">
        <f t="array" ref="T515">MAX(IF((ContinuousStatsTable[GroupByKey]=ContinuousStatsTable[[#This Row],[GroupByKey]]),(ContinuousStatsTable[GroupByKey]=ContinuousStatsTable[[#This Row],[GroupByKey]])*ContinuousStatsTable[Average]))</f>
        <v>0</v>
      </c>
      <c r="U515" s="5">
        <f>IF((ContinuousStatsTable[[#This Row],[RepsRequested]]&gt;1),ContinuousStatsTable[[#This Row],[HalfWidth]],ContinuousStatsTable[[#This Row],[BatchMeansHalfWidth]])</f>
        <v>0</v>
      </c>
    </row>
    <row r="516" spans="1:21" x14ac:dyDescent="0.3">
      <c r="A516" t="s">
        <v>66</v>
      </c>
      <c r="B516" t="s">
        <v>68</v>
      </c>
      <c r="C516">
        <v>14</v>
      </c>
      <c r="D516" t="s">
        <v>78</v>
      </c>
      <c r="E516" t="s">
        <v>92</v>
      </c>
      <c r="F516" t="s">
        <v>71</v>
      </c>
      <c r="G516">
        <v>0</v>
      </c>
      <c r="H516">
        <v>2E+20</v>
      </c>
      <c r="I516">
        <v>0</v>
      </c>
      <c r="J516">
        <v>0</v>
      </c>
      <c r="K516">
        <v>0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516" s="5" cm="1">
        <f t="array" ref="N516">MAX(IF((ProjectInfoTable[ProjectName]=ContinuousStatsTable[[#This Row],[ProjectName]]),(ProjectInfoTable[ProjectName]=ContinuousStatsTable[[#This Row],[ProjectName]])*ProjectInfoTable[NumberOfReplications]))</f>
        <v>30</v>
      </c>
      <c r="O516" s="5" cm="1">
        <f t="array" ref="O516">IFERROR(AVERAGE(IF((ContinuousStatsTable[GroupByKey]=ContinuousStatsTable[[#This Row],[GroupByKey]]),(ContinuousStatsTable[GroupByKey]=ContinuousStatsTable[[#This Row],[GroupByKey]])*ContinuousStatsTable[Average])),0)</f>
        <v>0</v>
      </c>
      <c r="P516" s="5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0</v>
      </c>
      <c r="Q516" s="5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6" s="5" cm="1">
        <f t="array" ref="S516">MIN(IF((ContinuousStatsTable[GroupByKey]=ContinuousStatsTable[[#This Row],[GroupByKey]]),(ContinuousStatsTable[GroupByKey]=ContinuousStatsTable[[#This Row],[GroupByKey]])*ContinuousStatsTable[Average]))</f>
        <v>0</v>
      </c>
      <c r="T516" s="5" cm="1">
        <f t="array" ref="T516">MAX(IF((ContinuousStatsTable[GroupByKey]=ContinuousStatsTable[[#This Row],[GroupByKey]]),(ContinuousStatsTable[GroupByKey]=ContinuousStatsTable[[#This Row],[GroupByKey]])*ContinuousStatsTable[Average]))</f>
        <v>0</v>
      </c>
      <c r="U516" s="5">
        <f>IF((ContinuousStatsTable[[#This Row],[RepsRequested]]&gt;1),ContinuousStatsTable[[#This Row],[HalfWidth]],ContinuousStatsTable[[#This Row],[BatchMeansHalfWidth]])</f>
        <v>0</v>
      </c>
    </row>
    <row r="517" spans="1:21" x14ac:dyDescent="0.3">
      <c r="A517" t="s">
        <v>66</v>
      </c>
      <c r="B517" t="s">
        <v>68</v>
      </c>
      <c r="C517">
        <v>14</v>
      </c>
      <c r="D517" t="s">
        <v>93</v>
      </c>
      <c r="E517" t="s">
        <v>94</v>
      </c>
      <c r="F517" t="s">
        <v>95</v>
      </c>
      <c r="G517">
        <v>2.5059628381973599E-2</v>
      </c>
      <c r="H517">
        <v>2E+20</v>
      </c>
      <c r="I517">
        <v>0</v>
      </c>
      <c r="J517">
        <v>0.15</v>
      </c>
      <c r="K517">
        <v>0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517" s="5" cm="1">
        <f t="array" ref="N517">MAX(IF((ProjectInfoTable[ProjectName]=ContinuousStatsTable[[#This Row],[ProjectName]]),(ProjectInfoTable[ProjectName]=ContinuousStatsTable[[#This Row],[ProjectName]])*ProjectInfoTable[NumberOfReplications]))</f>
        <v>30</v>
      </c>
      <c r="O517" s="5" cm="1">
        <f t="array" ref="O517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517" s="5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517" s="5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517" s="5" cm="1">
        <f t="array" ref="S517">MIN(IF((ContinuousStatsTable[GroupByKey]=ContinuousStatsTable[[#This Row],[GroupByKey]]),(ContinuousStatsTable[GroupByKey]=ContinuousStatsTable[[#This Row],[GroupByKey]])*ContinuousStatsTable[Average]))</f>
        <v>2.3718114155243601E-2</v>
      </c>
      <c r="T517" s="5" cm="1">
        <f t="array" ref="T517">MAX(IF((ContinuousStatsTable[GroupByKey]=ContinuousStatsTable[[#This Row],[GroupByKey]]),(ContinuousStatsTable[GroupByKey]=ContinuousStatsTable[[#This Row],[GroupByKey]])*ContinuousStatsTable[Average]))</f>
        <v>4.8583931724403701E-2</v>
      </c>
      <c r="U517" s="5">
        <f>IF((ContinuousStatsTable[[#This Row],[RepsRequested]]&gt;1),ContinuousStatsTable[[#This Row],[HalfWidth]],ContinuousStatsTable[[#This Row],[BatchMeansHalfWidth]])</f>
        <v>2.4839579632442289E-3</v>
      </c>
    </row>
    <row r="518" spans="1:21" x14ac:dyDescent="0.3">
      <c r="A518" t="s">
        <v>66</v>
      </c>
      <c r="B518" t="s">
        <v>68</v>
      </c>
      <c r="C518">
        <v>14</v>
      </c>
      <c r="D518" t="s">
        <v>93</v>
      </c>
      <c r="E518" t="s">
        <v>96</v>
      </c>
      <c r="F518" t="s">
        <v>95</v>
      </c>
      <c r="G518">
        <v>0.50119256763947195</v>
      </c>
      <c r="H518">
        <v>2E+20</v>
      </c>
      <c r="I518">
        <v>0</v>
      </c>
      <c r="J518">
        <v>3</v>
      </c>
      <c r="K518">
        <v>0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518" s="5" cm="1">
        <f t="array" ref="N518">MAX(IF((ProjectInfoTable[ProjectName]=ContinuousStatsTable[[#This Row],[ProjectName]]),(ProjectInfoTable[ProjectName]=ContinuousStatsTable[[#This Row],[ProjectName]])*ProjectInfoTable[NumberOfReplications]))</f>
        <v>30</v>
      </c>
      <c r="O518" s="5" cm="1">
        <f t="array" ref="O518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518" s="5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518" s="5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518" s="5" cm="1">
        <f t="array" ref="S518">MIN(IF((ContinuousStatsTable[GroupByKey]=ContinuousStatsTable[[#This Row],[GroupByKey]]),(ContinuousStatsTable[GroupByKey]=ContinuousStatsTable[[#This Row],[GroupByKey]])*ContinuousStatsTable[Average]))</f>
        <v>0.47436228310487299</v>
      </c>
      <c r="T518" s="5" cm="1">
        <f t="array" ref="T518">MAX(IF((ContinuousStatsTable[GroupByKey]=ContinuousStatsTable[[#This Row],[GroupByKey]]),(ContinuousStatsTable[GroupByKey]=ContinuousStatsTable[[#This Row],[GroupByKey]])*ContinuousStatsTable[Average]))</f>
        <v>0.97167863448807401</v>
      </c>
      <c r="U518" s="5">
        <f>IF((ContinuousStatsTable[[#This Row],[RepsRequested]]&gt;1),ContinuousStatsTable[[#This Row],[HalfWidth]],ContinuousStatsTable[[#This Row],[BatchMeansHalfWidth]])</f>
        <v>4.9679159264885281E-2</v>
      </c>
    </row>
    <row r="519" spans="1:21" x14ac:dyDescent="0.3">
      <c r="A519" t="s">
        <v>66</v>
      </c>
      <c r="B519" t="s">
        <v>68</v>
      </c>
      <c r="C519">
        <v>14</v>
      </c>
      <c r="D519" t="s">
        <v>93</v>
      </c>
      <c r="E519" t="s">
        <v>97</v>
      </c>
      <c r="F519" t="s">
        <v>95</v>
      </c>
      <c r="G519">
        <v>20</v>
      </c>
      <c r="H519">
        <v>2E+20</v>
      </c>
      <c r="I519">
        <v>20</v>
      </c>
      <c r="J519">
        <v>20</v>
      </c>
      <c r="K519">
        <v>20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519" s="5" cm="1">
        <f t="array" ref="N519">MAX(IF((ProjectInfoTable[ProjectName]=ContinuousStatsTable[[#This Row],[ProjectName]]),(ProjectInfoTable[ProjectName]=ContinuousStatsTable[[#This Row],[ProjectName]])*ProjectInfoTable[NumberOfReplications]))</f>
        <v>30</v>
      </c>
      <c r="O519" s="5" cm="1">
        <f t="array" ref="O519">IFERROR(AVERAGE(IF((ContinuousStatsTable[GroupByKey]=ContinuousStatsTable[[#This Row],[GroupByKey]]),(ContinuousStatsTable[GroupByKey]=ContinuousStatsTable[[#This Row],[GroupByKey]])*ContinuousStatsTable[Average])),0)</f>
        <v>20</v>
      </c>
      <c r="P519" s="5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0</v>
      </c>
      <c r="Q519" s="5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9" s="5" cm="1">
        <f t="array" ref="S519">MIN(IF((ContinuousStatsTable[GroupByKey]=ContinuousStatsTable[[#This Row],[GroupByKey]]),(ContinuousStatsTable[GroupByKey]=ContinuousStatsTable[[#This Row],[GroupByKey]])*ContinuousStatsTable[Average]))</f>
        <v>20</v>
      </c>
      <c r="T519" s="5" cm="1">
        <f t="array" ref="T519">MAX(IF((ContinuousStatsTable[GroupByKey]=ContinuousStatsTable[[#This Row],[GroupByKey]]),(ContinuousStatsTable[GroupByKey]=ContinuousStatsTable[[#This Row],[GroupByKey]])*ContinuousStatsTable[Average]))</f>
        <v>20</v>
      </c>
      <c r="U519" s="5">
        <f>IF((ContinuousStatsTable[[#This Row],[RepsRequested]]&gt;1),ContinuousStatsTable[[#This Row],[HalfWidth]],ContinuousStatsTable[[#This Row],[BatchMeansHalfWidth]])</f>
        <v>0</v>
      </c>
    </row>
    <row r="520" spans="1:21" x14ac:dyDescent="0.3">
      <c r="A520" t="s">
        <v>66</v>
      </c>
      <c r="B520" t="s">
        <v>68</v>
      </c>
      <c r="C520">
        <v>14</v>
      </c>
      <c r="D520" t="s">
        <v>98</v>
      </c>
      <c r="E520" t="s">
        <v>94</v>
      </c>
      <c r="F520" t="s">
        <v>95</v>
      </c>
      <c r="G520">
        <v>0.23134390421608</v>
      </c>
      <c r="H520">
        <v>2E+20</v>
      </c>
      <c r="I520">
        <v>0</v>
      </c>
      <c r="J520">
        <v>0.75</v>
      </c>
      <c r="K520">
        <v>0.4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520" s="5" cm="1">
        <f t="array" ref="N520">MAX(IF((ProjectInfoTable[ProjectName]=ContinuousStatsTable[[#This Row],[ProjectName]]),(ProjectInfoTable[ProjectName]=ContinuousStatsTable[[#This Row],[ProjectName]])*ProjectInfoTable[NumberOfReplications]))</f>
        <v>30</v>
      </c>
      <c r="O520" s="5" cm="1">
        <f t="array" ref="O520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520" s="5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520" s="5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520" s="5" cm="1">
        <f t="array" ref="S520">MIN(IF((ContinuousStatsTable[GroupByKey]=ContinuousStatsTable[[#This Row],[GroupByKey]]),(ContinuousStatsTable[GroupByKey]=ContinuousStatsTable[[#This Row],[GroupByKey]])*ContinuousStatsTable[Average]))</f>
        <v>0.20767736113278101</v>
      </c>
      <c r="T520" s="5" cm="1">
        <f t="array" ref="T520">MAX(IF((ContinuousStatsTable[GroupByKey]=ContinuousStatsTable[[#This Row],[GroupByKey]]),(ContinuousStatsTable[GroupByKey]=ContinuousStatsTable[[#This Row],[GroupByKey]])*ContinuousStatsTable[Average]))</f>
        <v>0.28501162927715501</v>
      </c>
      <c r="U520" s="5">
        <f>IF((ContinuousStatsTable[[#This Row],[RepsRequested]]&gt;1),ContinuousStatsTable[[#This Row],[HalfWidth]],ContinuousStatsTable[[#This Row],[BatchMeansHalfWidth]])</f>
        <v>8.7273384073404715E-3</v>
      </c>
    </row>
    <row r="521" spans="1:21" x14ac:dyDescent="0.3">
      <c r="A521" t="s">
        <v>66</v>
      </c>
      <c r="B521" t="s">
        <v>68</v>
      </c>
      <c r="C521">
        <v>14</v>
      </c>
      <c r="D521" t="s">
        <v>98</v>
      </c>
      <c r="E521" t="s">
        <v>96</v>
      </c>
      <c r="F521" t="s">
        <v>95</v>
      </c>
      <c r="G521">
        <v>4.6268780843215902</v>
      </c>
      <c r="H521">
        <v>2E+20</v>
      </c>
      <c r="I521">
        <v>0</v>
      </c>
      <c r="J521">
        <v>15</v>
      </c>
      <c r="K521">
        <v>8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521" s="5" cm="1">
        <f t="array" ref="N521">MAX(IF((ProjectInfoTable[ProjectName]=ContinuousStatsTable[[#This Row],[ProjectName]]),(ProjectInfoTable[ProjectName]=ContinuousStatsTable[[#This Row],[ProjectName]])*ProjectInfoTable[NumberOfReplications]))</f>
        <v>30</v>
      </c>
      <c r="O521" s="5" cm="1">
        <f t="array" ref="O521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521" s="5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521" s="5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521" s="5" cm="1">
        <f t="array" ref="S521">MIN(IF((ContinuousStatsTable[GroupByKey]=ContinuousStatsTable[[#This Row],[GroupByKey]]),(ContinuousStatsTable[GroupByKey]=ContinuousStatsTable[[#This Row],[GroupByKey]])*ContinuousStatsTable[Average]))</f>
        <v>4.15354722265561</v>
      </c>
      <c r="T521" s="5" cm="1">
        <f t="array" ref="T521">MAX(IF((ContinuousStatsTable[GroupByKey]=ContinuousStatsTable[[#This Row],[GroupByKey]]),(ContinuousStatsTable[GroupByKey]=ContinuousStatsTable[[#This Row],[GroupByKey]])*ContinuousStatsTable[Average]))</f>
        <v>5.7002325855431097</v>
      </c>
      <c r="U521" s="5">
        <f>IF((ContinuousStatsTable[[#This Row],[RepsRequested]]&gt;1),ContinuousStatsTable[[#This Row],[HalfWidth]],ContinuousStatsTable[[#This Row],[BatchMeansHalfWidth]])</f>
        <v>0.17454676814681078</v>
      </c>
    </row>
    <row r="522" spans="1:21" x14ac:dyDescent="0.3">
      <c r="A522" t="s">
        <v>66</v>
      </c>
      <c r="B522" t="s">
        <v>68</v>
      </c>
      <c r="C522">
        <v>14</v>
      </c>
      <c r="D522" t="s">
        <v>98</v>
      </c>
      <c r="E522" t="s">
        <v>97</v>
      </c>
      <c r="F522" t="s">
        <v>95</v>
      </c>
      <c r="G522">
        <v>20</v>
      </c>
      <c r="H522">
        <v>2E+20</v>
      </c>
      <c r="I522">
        <v>20</v>
      </c>
      <c r="J522">
        <v>20</v>
      </c>
      <c r="K522">
        <v>20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522" s="5" cm="1">
        <f t="array" ref="N522">MAX(IF((ProjectInfoTable[ProjectName]=ContinuousStatsTable[[#This Row],[ProjectName]]),(ProjectInfoTable[ProjectName]=ContinuousStatsTable[[#This Row],[ProjectName]])*ProjectInfoTable[NumberOfReplications]))</f>
        <v>30</v>
      </c>
      <c r="O522" s="5" cm="1">
        <f t="array" ref="O522">IFERROR(AVERAGE(IF((ContinuousStatsTable[GroupByKey]=ContinuousStatsTable[[#This Row],[GroupByKey]]),(ContinuousStatsTable[GroupByKey]=ContinuousStatsTable[[#This Row],[GroupByKey]])*ContinuousStatsTable[Average])),0)</f>
        <v>20</v>
      </c>
      <c r="P522" s="5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0</v>
      </c>
      <c r="Q522" s="5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2" s="5" cm="1">
        <f t="array" ref="S522">MIN(IF((ContinuousStatsTable[GroupByKey]=ContinuousStatsTable[[#This Row],[GroupByKey]]),(ContinuousStatsTable[GroupByKey]=ContinuousStatsTable[[#This Row],[GroupByKey]])*ContinuousStatsTable[Average]))</f>
        <v>20</v>
      </c>
      <c r="T522" s="5" cm="1">
        <f t="array" ref="T522">MAX(IF((ContinuousStatsTable[GroupByKey]=ContinuousStatsTable[[#This Row],[GroupByKey]]),(ContinuousStatsTable[GroupByKey]=ContinuousStatsTable[[#This Row],[GroupByKey]])*ContinuousStatsTable[Average]))</f>
        <v>20</v>
      </c>
      <c r="U522" s="5">
        <f>IF((ContinuousStatsTable[[#This Row],[RepsRequested]]&gt;1),ContinuousStatsTable[[#This Row],[HalfWidth]],ContinuousStatsTable[[#This Row],[BatchMeansHalfWidth]])</f>
        <v>0</v>
      </c>
    </row>
    <row r="523" spans="1:21" x14ac:dyDescent="0.3">
      <c r="A523" t="s">
        <v>66</v>
      </c>
      <c r="B523" t="s">
        <v>68</v>
      </c>
      <c r="C523">
        <v>14</v>
      </c>
      <c r="D523" t="s">
        <v>99</v>
      </c>
      <c r="E523" t="s">
        <v>94</v>
      </c>
      <c r="F523" t="s">
        <v>95</v>
      </c>
      <c r="G523">
        <v>0.56693105671297805</v>
      </c>
      <c r="H523">
        <v>2E+20</v>
      </c>
      <c r="I523">
        <v>0</v>
      </c>
      <c r="J523">
        <v>1</v>
      </c>
      <c r="K523">
        <v>0.7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523" s="5" cm="1">
        <f t="array" ref="N523">MAX(IF((ProjectInfoTable[ProjectName]=ContinuousStatsTable[[#This Row],[ProjectName]]),(ProjectInfoTable[ProjectName]=ContinuousStatsTable[[#This Row],[ProjectName]])*ProjectInfoTable[NumberOfReplications]))</f>
        <v>30</v>
      </c>
      <c r="O523" s="5" cm="1">
        <f t="array" ref="O523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523" s="5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523" s="5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523" s="5" cm="1">
        <f t="array" ref="S523">MIN(IF((ContinuousStatsTable[GroupByKey]=ContinuousStatsTable[[#This Row],[GroupByKey]]),(ContinuousStatsTable[GroupByKey]=ContinuousStatsTable[[#This Row],[GroupByKey]])*ContinuousStatsTable[Average]))</f>
        <v>0.517215348442703</v>
      </c>
      <c r="T523" s="5" cm="1">
        <f t="array" ref="T523">MAX(IF((ContinuousStatsTable[GroupByKey]=ContinuousStatsTable[[#This Row],[GroupByKey]]),(ContinuousStatsTable[GroupByKey]=ContinuousStatsTable[[#This Row],[GroupByKey]])*ContinuousStatsTable[Average]))</f>
        <v>0.67770389283754395</v>
      </c>
      <c r="U523" s="5">
        <f>IF((ContinuousStatsTable[[#This Row],[RepsRequested]]&gt;1),ContinuousStatsTable[[#This Row],[HalfWidth]],ContinuousStatsTable[[#This Row],[BatchMeansHalfWidth]])</f>
        <v>1.8059192833960565E-2</v>
      </c>
    </row>
    <row r="524" spans="1:21" x14ac:dyDescent="0.3">
      <c r="A524" t="s">
        <v>66</v>
      </c>
      <c r="B524" t="s">
        <v>68</v>
      </c>
      <c r="C524">
        <v>14</v>
      </c>
      <c r="D524" t="s">
        <v>99</v>
      </c>
      <c r="E524" t="s">
        <v>96</v>
      </c>
      <c r="F524" t="s">
        <v>95</v>
      </c>
      <c r="G524">
        <v>5.6693105671297799</v>
      </c>
      <c r="H524">
        <v>2E+20</v>
      </c>
      <c r="I524">
        <v>0</v>
      </c>
      <c r="J524">
        <v>10</v>
      </c>
      <c r="K524">
        <v>7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524" s="5" cm="1">
        <f t="array" ref="N524">MAX(IF((ProjectInfoTable[ProjectName]=ContinuousStatsTable[[#This Row],[ProjectName]]),(ProjectInfoTable[ProjectName]=ContinuousStatsTable[[#This Row],[ProjectName]])*ProjectInfoTable[NumberOfReplications]))</f>
        <v>30</v>
      </c>
      <c r="O524" s="5" cm="1">
        <f t="array" ref="O524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524" s="5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524" s="5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524" s="5" cm="1">
        <f t="array" ref="S524">MIN(IF((ContinuousStatsTable[GroupByKey]=ContinuousStatsTable[[#This Row],[GroupByKey]]),(ContinuousStatsTable[GroupByKey]=ContinuousStatsTable[[#This Row],[GroupByKey]])*ContinuousStatsTable[Average]))</f>
        <v>5.1721534844270298</v>
      </c>
      <c r="T524" s="5" cm="1">
        <f t="array" ref="T524">MAX(IF((ContinuousStatsTable[GroupByKey]=ContinuousStatsTable[[#This Row],[GroupByKey]]),(ContinuousStatsTable[GroupByKey]=ContinuousStatsTable[[#This Row],[GroupByKey]])*ContinuousStatsTable[Average]))</f>
        <v>6.7770389283754398</v>
      </c>
      <c r="U524" s="5">
        <f>IF((ContinuousStatsTable[[#This Row],[RepsRequested]]&gt;1),ContinuousStatsTable[[#This Row],[HalfWidth]],ContinuousStatsTable[[#This Row],[BatchMeansHalfWidth]])</f>
        <v>0.18059192833960558</v>
      </c>
    </row>
    <row r="525" spans="1:21" x14ac:dyDescent="0.3">
      <c r="A525" t="s">
        <v>66</v>
      </c>
      <c r="B525" t="s">
        <v>68</v>
      </c>
      <c r="C525">
        <v>14</v>
      </c>
      <c r="D525" t="s">
        <v>99</v>
      </c>
      <c r="E525" t="s">
        <v>97</v>
      </c>
      <c r="F525" t="s">
        <v>95</v>
      </c>
      <c r="G525">
        <v>10</v>
      </c>
      <c r="H525">
        <v>2E+20</v>
      </c>
      <c r="I525">
        <v>10</v>
      </c>
      <c r="J525">
        <v>10</v>
      </c>
      <c r="K525">
        <v>10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525" s="5" cm="1">
        <f t="array" ref="N525">MAX(IF((ProjectInfoTable[ProjectName]=ContinuousStatsTable[[#This Row],[ProjectName]]),(ProjectInfoTable[ProjectName]=ContinuousStatsTable[[#This Row],[ProjectName]])*ProjectInfoTable[NumberOfReplications]))</f>
        <v>30</v>
      </c>
      <c r="O525" s="5" cm="1">
        <f t="array" ref="O525">IFERROR(AVERAGE(IF((ContinuousStatsTable[GroupByKey]=ContinuousStatsTable[[#This Row],[GroupByKey]]),(ContinuousStatsTable[GroupByKey]=ContinuousStatsTable[[#This Row],[GroupByKey]])*ContinuousStatsTable[Average])),0)</f>
        <v>10</v>
      </c>
      <c r="P525" s="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s="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s="5" cm="1">
        <f t="array" ref="S525">MIN(IF((ContinuousStatsTable[GroupByKey]=ContinuousStatsTable[[#This Row],[GroupByKey]]),(ContinuousStatsTable[GroupByKey]=ContinuousStatsTable[[#This Row],[GroupByKey]])*ContinuousStatsTable[Average]))</f>
        <v>10</v>
      </c>
      <c r="T525" s="5" cm="1">
        <f t="array" ref="T525">MAX(IF((ContinuousStatsTable[GroupByKey]=ContinuousStatsTable[[#This Row],[GroupByKey]]),(ContinuousStatsTable[GroupByKey]=ContinuousStatsTable[[#This Row],[GroupByKey]])*ContinuousStatsTable[Average]))</f>
        <v>10</v>
      </c>
      <c r="U525" s="5">
        <f>IF((ContinuousStatsTable[[#This Row],[RepsRequested]]&gt;1),ContinuousStatsTable[[#This Row],[HalfWidth]],ContinuousStatsTable[[#This Row],[BatchMeansHalfWidth]])</f>
        <v>0</v>
      </c>
    </row>
    <row r="526" spans="1:21" x14ac:dyDescent="0.3">
      <c r="A526" t="s">
        <v>66</v>
      </c>
      <c r="B526" t="s">
        <v>68</v>
      </c>
      <c r="C526">
        <v>14</v>
      </c>
      <c r="D526" t="s">
        <v>100</v>
      </c>
      <c r="E526" t="s">
        <v>94</v>
      </c>
      <c r="F526" t="s">
        <v>95</v>
      </c>
      <c r="G526">
        <v>0.156339285259783</v>
      </c>
      <c r="H526">
        <v>2E+20</v>
      </c>
      <c r="I526">
        <v>0</v>
      </c>
      <c r="J526">
        <v>0.4</v>
      </c>
      <c r="K526">
        <v>0.2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526" s="5" cm="1">
        <f t="array" ref="N526">MAX(IF((ProjectInfoTable[ProjectName]=ContinuousStatsTable[[#This Row],[ProjectName]]),(ProjectInfoTable[ProjectName]=ContinuousStatsTable[[#This Row],[ProjectName]])*ProjectInfoTable[NumberOfReplications]))</f>
        <v>30</v>
      </c>
      <c r="O526" s="5" cm="1">
        <f t="array" ref="O526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526" s="5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526" s="5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526" s="5" cm="1">
        <f t="array" ref="S526">MIN(IF((ContinuousStatsTable[GroupByKey]=ContinuousStatsTable[[#This Row],[GroupByKey]]),(ContinuousStatsTable[GroupByKey]=ContinuousStatsTable[[#This Row],[GroupByKey]])*ContinuousStatsTable[Average]))</f>
        <v>0.14484829778125299</v>
      </c>
      <c r="T526" s="5" cm="1">
        <f t="array" ref="T526">MAX(IF((ContinuousStatsTable[GroupByKey]=ContinuousStatsTable[[#This Row],[GroupByKey]]),(ContinuousStatsTable[GroupByKey]=ContinuousStatsTable[[#This Row],[GroupByKey]])*ContinuousStatsTable[Average]))</f>
        <v>0.19609322315655101</v>
      </c>
      <c r="U526" s="5">
        <f>IF((ContinuousStatsTable[[#This Row],[RepsRequested]]&gt;1),ContinuousStatsTable[[#This Row],[HalfWidth]],ContinuousStatsTable[[#This Row],[BatchMeansHalfWidth]])</f>
        <v>4.9714113556225048E-3</v>
      </c>
    </row>
    <row r="527" spans="1:21" x14ac:dyDescent="0.3">
      <c r="A527" t="s">
        <v>66</v>
      </c>
      <c r="B527" t="s">
        <v>68</v>
      </c>
      <c r="C527">
        <v>14</v>
      </c>
      <c r="D527" t="s">
        <v>100</v>
      </c>
      <c r="E527" t="s">
        <v>96</v>
      </c>
      <c r="F527" t="s">
        <v>95</v>
      </c>
      <c r="G527">
        <v>7.8169642629891403</v>
      </c>
      <c r="H527">
        <v>2E+20</v>
      </c>
      <c r="I527">
        <v>0</v>
      </c>
      <c r="J527">
        <v>20</v>
      </c>
      <c r="K527">
        <v>10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527" s="5" cm="1">
        <f t="array" ref="N527">MAX(IF((ProjectInfoTable[ProjectName]=ContinuousStatsTable[[#This Row],[ProjectName]]),(ProjectInfoTable[ProjectName]=ContinuousStatsTable[[#This Row],[ProjectName]])*ProjectInfoTable[NumberOfReplications]))</f>
        <v>30</v>
      </c>
      <c r="O527" s="5" cm="1">
        <f t="array" ref="O527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527" s="5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527" s="5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527" s="5" cm="1">
        <f t="array" ref="S527">MIN(IF((ContinuousStatsTable[GroupByKey]=ContinuousStatsTable[[#This Row],[GroupByKey]]),(ContinuousStatsTable[GroupByKey]=ContinuousStatsTable[[#This Row],[GroupByKey]])*ContinuousStatsTable[Average]))</f>
        <v>7.2424148890626396</v>
      </c>
      <c r="T527" s="5" cm="1">
        <f t="array" ref="T527">MAX(IF((ContinuousStatsTable[GroupByKey]=ContinuousStatsTable[[#This Row],[GroupByKey]]),(ContinuousStatsTable[GroupByKey]=ContinuousStatsTable[[#This Row],[GroupByKey]])*ContinuousStatsTable[Average]))</f>
        <v>9.8046611578275602</v>
      </c>
      <c r="U527" s="5">
        <f>IF((ContinuousStatsTable[[#This Row],[RepsRequested]]&gt;1),ContinuousStatsTable[[#This Row],[HalfWidth]],ContinuousStatsTable[[#This Row],[BatchMeansHalfWidth]])</f>
        <v>0.24857056778112663</v>
      </c>
    </row>
    <row r="528" spans="1:21" x14ac:dyDescent="0.3">
      <c r="A528" t="s">
        <v>66</v>
      </c>
      <c r="B528" t="s">
        <v>68</v>
      </c>
      <c r="C528">
        <v>14</v>
      </c>
      <c r="D528" t="s">
        <v>100</v>
      </c>
      <c r="E528" t="s">
        <v>97</v>
      </c>
      <c r="F528" t="s">
        <v>95</v>
      </c>
      <c r="G528">
        <v>50</v>
      </c>
      <c r="H528">
        <v>2E+20</v>
      </c>
      <c r="I528">
        <v>50</v>
      </c>
      <c r="J528">
        <v>50</v>
      </c>
      <c r="K528">
        <v>50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528" s="5" cm="1">
        <f t="array" ref="N528">MAX(IF((ProjectInfoTable[ProjectName]=ContinuousStatsTable[[#This Row],[ProjectName]]),(ProjectInfoTable[ProjectName]=ContinuousStatsTable[[#This Row],[ProjectName]])*ProjectInfoTable[NumberOfReplications]))</f>
        <v>30</v>
      </c>
      <c r="O528" s="5" cm="1">
        <f t="array" ref="O528">IFERROR(AVERAGE(IF((ContinuousStatsTable[GroupByKey]=ContinuousStatsTable[[#This Row],[GroupByKey]]),(ContinuousStatsTable[GroupByKey]=ContinuousStatsTable[[#This Row],[GroupByKey]])*ContinuousStatsTable[Average])),0)</f>
        <v>50</v>
      </c>
      <c r="P528" s="5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0</v>
      </c>
      <c r="Q528" s="5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8" s="5" cm="1">
        <f t="array" ref="S528">MIN(IF((ContinuousStatsTable[GroupByKey]=ContinuousStatsTable[[#This Row],[GroupByKey]]),(ContinuousStatsTable[GroupByKey]=ContinuousStatsTable[[#This Row],[GroupByKey]])*ContinuousStatsTable[Average]))</f>
        <v>50</v>
      </c>
      <c r="T528" s="5" cm="1">
        <f t="array" ref="T528">MAX(IF((ContinuousStatsTable[GroupByKey]=ContinuousStatsTable[[#This Row],[GroupByKey]]),(ContinuousStatsTable[GroupByKey]=ContinuousStatsTable[[#This Row],[GroupByKey]])*ContinuousStatsTable[Average]))</f>
        <v>50</v>
      </c>
      <c r="U528" s="5">
        <f>IF((ContinuousStatsTable[[#This Row],[RepsRequested]]&gt;1),ContinuousStatsTable[[#This Row],[HalfWidth]],ContinuousStatsTable[[#This Row],[BatchMeansHalfWidth]])</f>
        <v>0</v>
      </c>
    </row>
    <row r="529" spans="1:21" x14ac:dyDescent="0.3">
      <c r="A529" t="s">
        <v>66</v>
      </c>
      <c r="B529" t="s">
        <v>68</v>
      </c>
      <c r="C529">
        <v>14</v>
      </c>
      <c r="D529" t="s">
        <v>101</v>
      </c>
      <c r="E529" t="s">
        <v>94</v>
      </c>
      <c r="F529" t="s">
        <v>95</v>
      </c>
      <c r="G529">
        <v>7.4778736536586704E-2</v>
      </c>
      <c r="H529">
        <v>2E+20</v>
      </c>
      <c r="I529">
        <v>0</v>
      </c>
      <c r="J529">
        <v>0.33333333333333298</v>
      </c>
      <c r="K529">
        <v>6.6666666666666693E-2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529" s="5" cm="1">
        <f t="array" ref="N529">MAX(IF((ProjectInfoTable[ProjectName]=ContinuousStatsTable[[#This Row],[ProjectName]]),(ProjectInfoTable[ProjectName]=ContinuousStatsTable[[#This Row],[ProjectName]])*ProjectInfoTable[NumberOfReplications]))</f>
        <v>30</v>
      </c>
      <c r="O529" s="5" cm="1">
        <f t="array" ref="O529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529" s="5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529" s="5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529" s="5" cm="1">
        <f t="array" ref="S529">MIN(IF((ContinuousStatsTable[GroupByKey]=ContinuousStatsTable[[#This Row],[GroupByKey]]),(ContinuousStatsTable[GroupByKey]=ContinuousStatsTable[[#This Row],[GroupByKey]])*ContinuousStatsTable[Average]))</f>
        <v>7.4778736536586704E-2</v>
      </c>
      <c r="T529" s="5" cm="1">
        <f t="array" ref="T529">MAX(IF((ContinuousStatsTable[GroupByKey]=ContinuousStatsTable[[#This Row],[GroupByKey]]),(ContinuousStatsTable[GroupByKey]=ContinuousStatsTable[[#This Row],[GroupByKey]])*ContinuousStatsTable[Average]))</f>
        <v>0.111025455742452</v>
      </c>
      <c r="U529" s="5">
        <f>IF((ContinuousStatsTable[[#This Row],[RepsRequested]]&gt;1),ContinuousStatsTable[[#This Row],[HalfWidth]],ContinuousStatsTable[[#This Row],[BatchMeansHalfWidth]])</f>
        <v>4.1821462690338805E-3</v>
      </c>
    </row>
    <row r="530" spans="1:21" x14ac:dyDescent="0.3">
      <c r="A530" t="s">
        <v>66</v>
      </c>
      <c r="B530" t="s">
        <v>68</v>
      </c>
      <c r="C530">
        <v>14</v>
      </c>
      <c r="D530" t="s">
        <v>101</v>
      </c>
      <c r="E530" t="s">
        <v>96</v>
      </c>
      <c r="F530" t="s">
        <v>95</v>
      </c>
      <c r="G530">
        <v>1.1216810480488</v>
      </c>
      <c r="H530">
        <v>2E+20</v>
      </c>
      <c r="I530">
        <v>0</v>
      </c>
      <c r="J530">
        <v>5</v>
      </c>
      <c r="K530">
        <v>1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530" s="5" cm="1">
        <f t="array" ref="N530">MAX(IF((ProjectInfoTable[ProjectName]=ContinuousStatsTable[[#This Row],[ProjectName]]),(ProjectInfoTable[ProjectName]=ContinuousStatsTable[[#This Row],[ProjectName]])*ProjectInfoTable[NumberOfReplications]))</f>
        <v>30</v>
      </c>
      <c r="O530" s="5" cm="1">
        <f t="array" ref="O530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530" s="5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530" s="5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530" s="5" cm="1">
        <f t="array" ref="S530">MIN(IF((ContinuousStatsTable[GroupByKey]=ContinuousStatsTable[[#This Row],[GroupByKey]]),(ContinuousStatsTable[GroupByKey]=ContinuousStatsTable[[#This Row],[GroupByKey]])*ContinuousStatsTable[Average]))</f>
        <v>1.1216810480488</v>
      </c>
      <c r="T530" s="5" cm="1">
        <f t="array" ref="T530">MAX(IF((ContinuousStatsTable[GroupByKey]=ContinuousStatsTable[[#This Row],[GroupByKey]]),(ContinuousStatsTable[GroupByKey]=ContinuousStatsTable[[#This Row],[GroupByKey]])*ContinuousStatsTable[Average]))</f>
        <v>1.66538183613678</v>
      </c>
      <c r="U530" s="5">
        <f>IF((ContinuousStatsTable[[#This Row],[RepsRequested]]&gt;1),ContinuousStatsTable[[#This Row],[HalfWidth]],ContinuousStatsTable[[#This Row],[BatchMeansHalfWidth]])</f>
        <v>6.2732194035507963E-2</v>
      </c>
    </row>
    <row r="531" spans="1:21" x14ac:dyDescent="0.3">
      <c r="A531" t="s">
        <v>66</v>
      </c>
      <c r="B531" t="s">
        <v>68</v>
      </c>
      <c r="C531">
        <v>14</v>
      </c>
      <c r="D531" t="s">
        <v>101</v>
      </c>
      <c r="E531" t="s">
        <v>97</v>
      </c>
      <c r="F531" t="s">
        <v>95</v>
      </c>
      <c r="G531">
        <v>15</v>
      </c>
      <c r="H531">
        <v>2E+20</v>
      </c>
      <c r="I531">
        <v>15</v>
      </c>
      <c r="J531">
        <v>15</v>
      </c>
      <c r="K531">
        <v>15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531" s="5" cm="1">
        <f t="array" ref="N531">MAX(IF((ProjectInfoTable[ProjectName]=ContinuousStatsTable[[#This Row],[ProjectName]]),(ProjectInfoTable[ProjectName]=ContinuousStatsTable[[#This Row],[ProjectName]])*ProjectInfoTable[NumberOfReplications]))</f>
        <v>30</v>
      </c>
      <c r="O531" s="5" cm="1">
        <f t="array" ref="O531">IFERROR(AVERAGE(IF((ContinuousStatsTable[GroupByKey]=ContinuousStatsTable[[#This Row],[GroupByKey]]),(ContinuousStatsTable[GroupByKey]=ContinuousStatsTable[[#This Row],[GroupByKey]])*ContinuousStatsTable[Average])),0)</f>
        <v>15</v>
      </c>
      <c r="P531" s="5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0</v>
      </c>
      <c r="Q531" s="5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1" s="5" cm="1">
        <f t="array" ref="S531">MIN(IF((ContinuousStatsTable[GroupByKey]=ContinuousStatsTable[[#This Row],[GroupByKey]]),(ContinuousStatsTable[GroupByKey]=ContinuousStatsTable[[#This Row],[GroupByKey]])*ContinuousStatsTable[Average]))</f>
        <v>15</v>
      </c>
      <c r="T531" s="5" cm="1">
        <f t="array" ref="T531">MAX(IF((ContinuousStatsTable[GroupByKey]=ContinuousStatsTable[[#This Row],[GroupByKey]]),(ContinuousStatsTable[GroupByKey]=ContinuousStatsTable[[#This Row],[GroupByKey]])*ContinuousStatsTable[Average]))</f>
        <v>15</v>
      </c>
      <c r="U531" s="5">
        <f>IF((ContinuousStatsTable[[#This Row],[RepsRequested]]&gt;1),ContinuousStatsTable[[#This Row],[HalfWidth]],ContinuousStatsTable[[#This Row],[BatchMeansHalfWidth]])</f>
        <v>0</v>
      </c>
    </row>
    <row r="532" spans="1:21" x14ac:dyDescent="0.3">
      <c r="A532" t="s">
        <v>66</v>
      </c>
      <c r="B532" t="s">
        <v>68</v>
      </c>
      <c r="C532">
        <v>14</v>
      </c>
      <c r="D532" t="s">
        <v>102</v>
      </c>
      <c r="E532" t="s">
        <v>94</v>
      </c>
      <c r="F532" t="s">
        <v>95</v>
      </c>
      <c r="G532">
        <v>0.75621814082838001</v>
      </c>
      <c r="H532">
        <v>2E+20</v>
      </c>
      <c r="I532">
        <v>0</v>
      </c>
      <c r="J532">
        <v>1</v>
      </c>
      <c r="K532">
        <v>1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532" s="5" cm="1">
        <f t="array" ref="N532">MAX(IF((ProjectInfoTable[ProjectName]=ContinuousStatsTable[[#This Row],[ProjectName]]),(ProjectInfoTable[ProjectName]=ContinuousStatsTable[[#This Row],[ProjectName]])*ProjectInfoTable[NumberOfReplications]))</f>
        <v>30</v>
      </c>
      <c r="O532" s="5" cm="1">
        <f t="array" ref="O532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532" s="5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532" s="5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532" s="5" cm="1">
        <f t="array" ref="S532">MIN(IF((ContinuousStatsTable[GroupByKey]=ContinuousStatsTable[[#This Row],[GroupByKey]]),(ContinuousStatsTable[GroupByKey]=ContinuousStatsTable[[#This Row],[GroupByKey]])*ContinuousStatsTable[Average]))</f>
        <v>0.73673947391417804</v>
      </c>
      <c r="T532" s="5" cm="1">
        <f t="array" ref="T532">MAX(IF((ContinuousStatsTable[GroupByKey]=ContinuousStatsTable[[#This Row],[GroupByKey]]),(ContinuousStatsTable[GroupByKey]=ContinuousStatsTable[[#This Row],[GroupByKey]])*ContinuousStatsTable[Average]))</f>
        <v>0.90592850818388704</v>
      </c>
      <c r="U532" s="5">
        <f>IF((ContinuousStatsTable[[#This Row],[RepsRequested]]&gt;1),ContinuousStatsTable[[#This Row],[HalfWidth]],ContinuousStatsTable[[#This Row],[BatchMeansHalfWidth]])</f>
        <v>1.8636241798384946E-2</v>
      </c>
    </row>
    <row r="533" spans="1:21" x14ac:dyDescent="0.3">
      <c r="A533" t="s">
        <v>66</v>
      </c>
      <c r="B533" t="s">
        <v>68</v>
      </c>
      <c r="C533">
        <v>14</v>
      </c>
      <c r="D533" t="s">
        <v>102</v>
      </c>
      <c r="E533" t="s">
        <v>96</v>
      </c>
      <c r="F533" t="s">
        <v>95</v>
      </c>
      <c r="G533">
        <v>1.40258481250358</v>
      </c>
      <c r="H533">
        <v>2E+20</v>
      </c>
      <c r="I533">
        <v>0</v>
      </c>
      <c r="J533">
        <v>3</v>
      </c>
      <c r="K533">
        <v>2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533" s="5" cm="1">
        <f t="array" ref="N533">MAX(IF((ProjectInfoTable[ProjectName]=ContinuousStatsTable[[#This Row],[ProjectName]]),(ProjectInfoTable[ProjectName]=ContinuousStatsTable[[#This Row],[ProjectName]])*ProjectInfoTable[NumberOfReplications]))</f>
        <v>30</v>
      </c>
      <c r="O533" s="5" cm="1">
        <f t="array" ref="O533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533" s="5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533" s="5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533" s="5" cm="1">
        <f t="array" ref="S533">MIN(IF((ContinuousStatsTable[GroupByKey]=ContinuousStatsTable[[#This Row],[GroupByKey]]),(ContinuousStatsTable[GroupByKey]=ContinuousStatsTable[[#This Row],[GroupByKey]])*ContinuousStatsTable[Average]))</f>
        <v>1.3726163545041801</v>
      </c>
      <c r="T533" s="5" cm="1">
        <f t="array" ref="T533">MAX(IF((ContinuousStatsTable[GroupByKey]=ContinuousStatsTable[[#This Row],[GroupByKey]]),(ContinuousStatsTable[GroupByKey]=ContinuousStatsTable[[#This Row],[GroupByKey]])*ContinuousStatsTable[Average]))</f>
        <v>1.7968913949876599</v>
      </c>
      <c r="U533" s="5">
        <f>IF((ContinuousStatsTable[[#This Row],[RepsRequested]]&gt;1),ContinuousStatsTable[[#This Row],[HalfWidth]],ContinuousStatsTable[[#This Row],[BatchMeansHalfWidth]])</f>
        <v>4.3123628688677348E-2</v>
      </c>
    </row>
    <row r="534" spans="1:21" x14ac:dyDescent="0.3">
      <c r="A534" t="s">
        <v>66</v>
      </c>
      <c r="B534" t="s">
        <v>68</v>
      </c>
      <c r="C534">
        <v>14</v>
      </c>
      <c r="D534" t="s">
        <v>102</v>
      </c>
      <c r="E534" t="s">
        <v>97</v>
      </c>
      <c r="F534" t="s">
        <v>95</v>
      </c>
      <c r="G534">
        <v>2</v>
      </c>
      <c r="H534">
        <v>2E+20</v>
      </c>
      <c r="I534">
        <v>1</v>
      </c>
      <c r="J534">
        <v>3</v>
      </c>
      <c r="K534">
        <v>1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534" s="5" cm="1">
        <f t="array" ref="N534">MAX(IF((ProjectInfoTable[ProjectName]=ContinuousStatsTable[[#This Row],[ProjectName]]),(ProjectInfoTable[ProjectName]=ContinuousStatsTable[[#This Row],[ProjectName]])*ProjectInfoTable[NumberOfReplications]))</f>
        <v>30</v>
      </c>
      <c r="O534" s="5" cm="1">
        <f t="array" ref="O534">IFERROR(AVERAGE(IF((ContinuousStatsTable[GroupByKey]=ContinuousStatsTable[[#This Row],[GroupByKey]]),(ContinuousStatsTable[GroupByKey]=ContinuousStatsTable[[#This Row],[GroupByKey]])*ContinuousStatsTable[Average])),0)</f>
        <v>2</v>
      </c>
      <c r="P534" s="5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0</v>
      </c>
      <c r="Q534" s="5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4" s="5" cm="1">
        <f t="array" ref="S534">MIN(IF((ContinuousStatsTable[GroupByKey]=ContinuousStatsTable[[#This Row],[GroupByKey]]),(ContinuousStatsTable[GroupByKey]=ContinuousStatsTable[[#This Row],[GroupByKey]])*ContinuousStatsTable[Average]))</f>
        <v>2</v>
      </c>
      <c r="T534" s="5" cm="1">
        <f t="array" ref="T534">MAX(IF((ContinuousStatsTable[GroupByKey]=ContinuousStatsTable[[#This Row],[GroupByKey]]),(ContinuousStatsTable[GroupByKey]=ContinuousStatsTable[[#This Row],[GroupByKey]])*ContinuousStatsTable[Average]))</f>
        <v>2</v>
      </c>
      <c r="U534" s="5">
        <f>IF((ContinuousStatsTable[[#This Row],[RepsRequested]]&gt;1),ContinuousStatsTable[[#This Row],[HalfWidth]],ContinuousStatsTable[[#This Row],[BatchMeansHalfWidth]])</f>
        <v>0</v>
      </c>
    </row>
    <row r="535" spans="1:21" x14ac:dyDescent="0.3">
      <c r="A535" t="s">
        <v>66</v>
      </c>
      <c r="B535" t="s">
        <v>68</v>
      </c>
      <c r="C535">
        <v>14</v>
      </c>
      <c r="D535" t="s">
        <v>84</v>
      </c>
      <c r="E535" t="s">
        <v>103</v>
      </c>
      <c r="F535" t="s">
        <v>86</v>
      </c>
      <c r="G535">
        <v>40.185573116726303</v>
      </c>
      <c r="H535">
        <v>2E+20</v>
      </c>
      <c r="I535">
        <v>0</v>
      </c>
      <c r="J535">
        <v>61</v>
      </c>
      <c r="K535">
        <v>39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535" s="5" cm="1">
        <f t="array" ref="N535">MAX(IF((ProjectInfoTable[ProjectName]=ContinuousStatsTable[[#This Row],[ProjectName]]),(ProjectInfoTable[ProjectName]=ContinuousStatsTable[[#This Row],[ProjectName]])*ProjectInfoTable[NumberOfReplications]))</f>
        <v>30</v>
      </c>
      <c r="O535" s="5" cm="1">
        <f t="array" ref="O535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535" s="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535" s="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535" s="5" cm="1">
        <f t="array" ref="S535">MIN(IF((ContinuousStatsTable[GroupByKey]=ContinuousStatsTable[[#This Row],[GroupByKey]]),(ContinuousStatsTable[GroupByKey]=ContinuousStatsTable[[#This Row],[GroupByKey]])*ContinuousStatsTable[Average]))</f>
        <v>36.709886237305</v>
      </c>
      <c r="T535" s="5" cm="1">
        <f t="array" ref="T535">MAX(IF((ContinuousStatsTable[GroupByKey]=ContinuousStatsTable[[#This Row],[GroupByKey]]),(ContinuousStatsTable[GroupByKey]=ContinuousStatsTable[[#This Row],[GroupByKey]])*ContinuousStatsTable[Average]))</f>
        <v>84.594951996708403</v>
      </c>
      <c r="U535" s="5">
        <f>IF((ContinuousStatsTable[[#This Row],[RepsRequested]]&gt;1),ContinuousStatsTable[[#This Row],[HalfWidth]],ContinuousStatsTable[[#This Row],[BatchMeansHalfWidth]])</f>
        <v>4.0384933567271259</v>
      </c>
    </row>
    <row r="536" spans="1:21" x14ac:dyDescent="0.3">
      <c r="A536" t="s">
        <v>66</v>
      </c>
      <c r="B536" t="s">
        <v>68</v>
      </c>
      <c r="C536">
        <v>14</v>
      </c>
      <c r="D536" t="s">
        <v>104</v>
      </c>
      <c r="E536" t="s">
        <v>94</v>
      </c>
      <c r="F536" t="s">
        <v>95</v>
      </c>
      <c r="G536">
        <v>0</v>
      </c>
      <c r="H536">
        <v>2E+20</v>
      </c>
      <c r="I536">
        <v>0</v>
      </c>
      <c r="J536">
        <v>0</v>
      </c>
      <c r="K536">
        <v>0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536" s="5" cm="1">
        <f t="array" ref="N536">MAX(IF((ProjectInfoTable[ProjectName]=ContinuousStatsTable[[#This Row],[ProjectName]]),(ProjectInfoTable[ProjectName]=ContinuousStatsTable[[#This Row],[ProjectName]])*ProjectInfoTable[NumberOfReplications]))</f>
        <v>30</v>
      </c>
      <c r="O536" s="5" cm="1">
        <f t="array" ref="O536">IFERROR(AVERAGE(IF((ContinuousStatsTable[GroupByKey]=ContinuousStatsTable[[#This Row],[GroupByKey]]),(ContinuousStatsTable[GroupByKey]=ContinuousStatsTable[[#This Row],[GroupByKey]])*ContinuousStatsTable[Average])),0)</f>
        <v>0</v>
      </c>
      <c r="P536" s="5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0</v>
      </c>
      <c r="Q536" s="5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6" s="5" cm="1">
        <f t="array" ref="S536">MIN(IF((ContinuousStatsTable[GroupByKey]=ContinuousStatsTable[[#This Row],[GroupByKey]]),(ContinuousStatsTable[GroupByKey]=ContinuousStatsTable[[#This Row],[GroupByKey]])*ContinuousStatsTable[Average]))</f>
        <v>0</v>
      </c>
      <c r="T536" s="5" cm="1">
        <f t="array" ref="T536">MAX(IF((ContinuousStatsTable[GroupByKey]=ContinuousStatsTable[[#This Row],[GroupByKey]]),(ContinuousStatsTable[GroupByKey]=ContinuousStatsTable[[#This Row],[GroupByKey]])*ContinuousStatsTable[Average]))</f>
        <v>0</v>
      </c>
      <c r="U536" s="5">
        <f>IF((ContinuousStatsTable[[#This Row],[RepsRequested]]&gt;1),ContinuousStatsTable[[#This Row],[HalfWidth]],ContinuousStatsTable[[#This Row],[BatchMeansHalfWidth]])</f>
        <v>0</v>
      </c>
    </row>
    <row r="537" spans="1:21" x14ac:dyDescent="0.3">
      <c r="A537" t="s">
        <v>66</v>
      </c>
      <c r="B537" t="s">
        <v>68</v>
      </c>
      <c r="C537">
        <v>14</v>
      </c>
      <c r="D537" t="s">
        <v>104</v>
      </c>
      <c r="E537" t="s">
        <v>96</v>
      </c>
      <c r="F537" t="s">
        <v>95</v>
      </c>
      <c r="G537">
        <v>0</v>
      </c>
      <c r="H537">
        <v>2E+20</v>
      </c>
      <c r="I537">
        <v>0</v>
      </c>
      <c r="J537">
        <v>0</v>
      </c>
      <c r="K537">
        <v>0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537" s="5" cm="1">
        <f t="array" ref="N537">MAX(IF((ProjectInfoTable[ProjectName]=ContinuousStatsTable[[#This Row],[ProjectName]]),(ProjectInfoTable[ProjectName]=ContinuousStatsTable[[#This Row],[ProjectName]])*ProjectInfoTable[NumberOfReplications]))</f>
        <v>30</v>
      </c>
      <c r="O537" s="5" cm="1">
        <f t="array" ref="O537">IFERROR(AVERAGE(IF((ContinuousStatsTable[GroupByKey]=ContinuousStatsTable[[#This Row],[GroupByKey]]),(ContinuousStatsTable[GroupByKey]=ContinuousStatsTable[[#This Row],[GroupByKey]])*ContinuousStatsTable[Average])),0)</f>
        <v>0</v>
      </c>
      <c r="P537" s="5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</v>
      </c>
      <c r="Q537" s="5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7" s="5" cm="1">
        <f t="array" ref="S537">MIN(IF((ContinuousStatsTable[GroupByKey]=ContinuousStatsTable[[#This Row],[GroupByKey]]),(ContinuousStatsTable[GroupByKey]=ContinuousStatsTable[[#This Row],[GroupByKey]])*ContinuousStatsTable[Average]))</f>
        <v>0</v>
      </c>
      <c r="T537" s="5" cm="1">
        <f t="array" ref="T537">MAX(IF((ContinuousStatsTable[GroupByKey]=ContinuousStatsTable[[#This Row],[GroupByKey]]),(ContinuousStatsTable[GroupByKey]=ContinuousStatsTable[[#This Row],[GroupByKey]])*ContinuousStatsTable[Average]))</f>
        <v>0</v>
      </c>
      <c r="U537" s="5">
        <f>IF((ContinuousStatsTable[[#This Row],[RepsRequested]]&gt;1),ContinuousStatsTable[[#This Row],[HalfWidth]],ContinuousStatsTable[[#This Row],[BatchMeansHalfWidth]])</f>
        <v>0</v>
      </c>
    </row>
    <row r="538" spans="1:21" x14ac:dyDescent="0.3">
      <c r="A538" t="s">
        <v>66</v>
      </c>
      <c r="B538" t="s">
        <v>68</v>
      </c>
      <c r="C538">
        <v>14</v>
      </c>
      <c r="D538" t="s">
        <v>104</v>
      </c>
      <c r="E538" t="s">
        <v>97</v>
      </c>
      <c r="F538" t="s">
        <v>95</v>
      </c>
      <c r="G538">
        <v>3</v>
      </c>
      <c r="H538">
        <v>2E+20</v>
      </c>
      <c r="I538">
        <v>3</v>
      </c>
      <c r="J538">
        <v>3</v>
      </c>
      <c r="K538">
        <v>3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538" s="5" cm="1">
        <f t="array" ref="N538">MAX(IF((ProjectInfoTable[ProjectName]=ContinuousStatsTable[[#This Row],[ProjectName]]),(ProjectInfoTable[ProjectName]=ContinuousStatsTable[[#This Row],[ProjectName]])*ProjectInfoTable[NumberOfReplications]))</f>
        <v>30</v>
      </c>
      <c r="O538" s="5" cm="1">
        <f t="array" ref="O538">IFERROR(AVERAGE(IF((ContinuousStatsTable[GroupByKey]=ContinuousStatsTable[[#This Row],[GroupByKey]]),(ContinuousStatsTable[GroupByKey]=ContinuousStatsTable[[#This Row],[GroupByKey]])*ContinuousStatsTable[Average])),0)</f>
        <v>3</v>
      </c>
      <c r="P538" s="5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</v>
      </c>
      <c r="Q538" s="5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8" s="5" cm="1">
        <f t="array" ref="S538">MIN(IF((ContinuousStatsTable[GroupByKey]=ContinuousStatsTable[[#This Row],[GroupByKey]]),(ContinuousStatsTable[GroupByKey]=ContinuousStatsTable[[#This Row],[GroupByKey]])*ContinuousStatsTable[Average]))</f>
        <v>3</v>
      </c>
      <c r="T538" s="5" cm="1">
        <f t="array" ref="T538">MAX(IF((ContinuousStatsTable[GroupByKey]=ContinuousStatsTable[[#This Row],[GroupByKey]]),(ContinuousStatsTable[GroupByKey]=ContinuousStatsTable[[#This Row],[GroupByKey]])*ContinuousStatsTable[Average]))</f>
        <v>3</v>
      </c>
      <c r="U538" s="5">
        <f>IF((ContinuousStatsTable[[#This Row],[RepsRequested]]&gt;1),ContinuousStatsTable[[#This Row],[HalfWidth]],ContinuousStatsTable[[#This Row],[BatchMeansHalfWidth]])</f>
        <v>0</v>
      </c>
    </row>
    <row r="539" spans="1:21" x14ac:dyDescent="0.3">
      <c r="A539" t="s">
        <v>66</v>
      </c>
      <c r="B539" t="s">
        <v>68</v>
      </c>
      <c r="C539">
        <v>14</v>
      </c>
      <c r="D539" t="s">
        <v>105</v>
      </c>
      <c r="E539" t="s">
        <v>94</v>
      </c>
      <c r="F539" t="s">
        <v>95</v>
      </c>
      <c r="G539">
        <v>0.68750849306624195</v>
      </c>
      <c r="H539">
        <v>2E+20</v>
      </c>
      <c r="I539">
        <v>0</v>
      </c>
      <c r="J539">
        <v>1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539" s="5" cm="1">
        <f t="array" ref="N539">MAX(IF((ProjectInfoTable[ProjectName]=ContinuousStatsTable[[#This Row],[ProjectName]]),(ProjectInfoTable[ProjectName]=ContinuousStatsTable[[#This Row],[ProjectName]])*ProjectInfoTable[NumberOfReplications]))</f>
        <v>30</v>
      </c>
      <c r="O539" s="5" cm="1">
        <f t="array" ref="O539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539" s="5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539" s="5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539" s="5" cm="1">
        <f t="array" ref="S539">MIN(IF((ContinuousStatsTable[GroupByKey]=ContinuousStatsTable[[#This Row],[GroupByKey]]),(ContinuousStatsTable[GroupByKey]=ContinuousStatsTable[[#This Row],[GroupByKey]])*ContinuousStatsTable[Average]))</f>
        <v>0.634589476164233</v>
      </c>
      <c r="T539" s="5" cm="1">
        <f t="array" ref="T539">MAX(IF((ContinuousStatsTable[GroupByKey]=ContinuousStatsTable[[#This Row],[GroupByKey]]),(ContinuousStatsTable[GroupByKey]=ContinuousStatsTable[[#This Row],[GroupByKey]])*ContinuousStatsTable[Average]))</f>
        <v>0.99383259650362799</v>
      </c>
      <c r="U539" s="5">
        <f>IF((ContinuousStatsTable[[#This Row],[RepsRequested]]&gt;1),ContinuousStatsTable[[#This Row],[HalfWidth]],ContinuousStatsTable[[#This Row],[BatchMeansHalfWidth]])</f>
        <v>3.9940526897700258E-2</v>
      </c>
    </row>
    <row r="540" spans="1:21" x14ac:dyDescent="0.3">
      <c r="A540" t="s">
        <v>66</v>
      </c>
      <c r="B540" t="s">
        <v>68</v>
      </c>
      <c r="C540">
        <v>14</v>
      </c>
      <c r="D540" t="s">
        <v>105</v>
      </c>
      <c r="E540" t="s">
        <v>96</v>
      </c>
      <c r="F540" t="s">
        <v>95</v>
      </c>
      <c r="G540">
        <v>0.68750849306624195</v>
      </c>
      <c r="H540">
        <v>2E+20</v>
      </c>
      <c r="I540">
        <v>0</v>
      </c>
      <c r="J540">
        <v>1</v>
      </c>
      <c r="K540">
        <v>0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540" s="5" cm="1">
        <f t="array" ref="N540">MAX(IF((ProjectInfoTable[ProjectName]=ContinuousStatsTable[[#This Row],[ProjectName]]),(ProjectInfoTable[ProjectName]=ContinuousStatsTable[[#This Row],[ProjectName]])*ProjectInfoTable[NumberOfReplications]))</f>
        <v>30</v>
      </c>
      <c r="O540" s="5" cm="1">
        <f t="array" ref="O540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540" s="5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540" s="5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540" s="5" cm="1">
        <f t="array" ref="S540">MIN(IF((ContinuousStatsTable[GroupByKey]=ContinuousStatsTable[[#This Row],[GroupByKey]]),(ContinuousStatsTable[GroupByKey]=ContinuousStatsTable[[#This Row],[GroupByKey]])*ContinuousStatsTable[Average]))</f>
        <v>0.634589476164233</v>
      </c>
      <c r="T540" s="5" cm="1">
        <f t="array" ref="T540">MAX(IF((ContinuousStatsTable[GroupByKey]=ContinuousStatsTable[[#This Row],[GroupByKey]]),(ContinuousStatsTable[GroupByKey]=ContinuousStatsTable[[#This Row],[GroupByKey]])*ContinuousStatsTable[Average]))</f>
        <v>0.99383259650362799</v>
      </c>
      <c r="U540" s="5">
        <f>IF((ContinuousStatsTable[[#This Row],[RepsRequested]]&gt;1),ContinuousStatsTable[[#This Row],[HalfWidth]],ContinuousStatsTable[[#This Row],[BatchMeansHalfWidth]])</f>
        <v>3.9940526897700258E-2</v>
      </c>
    </row>
    <row r="541" spans="1:21" x14ac:dyDescent="0.3">
      <c r="A541" t="s">
        <v>66</v>
      </c>
      <c r="B541" t="s">
        <v>68</v>
      </c>
      <c r="C541">
        <v>14</v>
      </c>
      <c r="D541" t="s">
        <v>105</v>
      </c>
      <c r="E541" t="s">
        <v>97</v>
      </c>
      <c r="F541" t="s">
        <v>95</v>
      </c>
      <c r="G541">
        <v>1</v>
      </c>
      <c r="H541">
        <v>2E+20</v>
      </c>
      <c r="I541">
        <v>1</v>
      </c>
      <c r="J541">
        <v>1</v>
      </c>
      <c r="K541">
        <v>1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541" s="5" cm="1">
        <f t="array" ref="N541">MAX(IF((ProjectInfoTable[ProjectName]=ContinuousStatsTable[[#This Row],[ProjectName]]),(ProjectInfoTable[ProjectName]=ContinuousStatsTable[[#This Row],[ProjectName]])*ProjectInfoTable[NumberOfReplications]))</f>
        <v>30</v>
      </c>
      <c r="O541" s="5" cm="1">
        <f t="array" ref="O541">IFERROR(AVERAGE(IF((ContinuousStatsTable[GroupByKey]=ContinuousStatsTable[[#This Row],[GroupByKey]]),(ContinuousStatsTable[GroupByKey]=ContinuousStatsTable[[#This Row],[GroupByKey]])*ContinuousStatsTable[Average])),0)</f>
        <v>1</v>
      </c>
      <c r="P541" s="5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0</v>
      </c>
      <c r="Q541" s="5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1" s="5" cm="1">
        <f t="array" ref="S541">MIN(IF((ContinuousStatsTable[GroupByKey]=ContinuousStatsTable[[#This Row],[GroupByKey]]),(ContinuousStatsTable[GroupByKey]=ContinuousStatsTable[[#This Row],[GroupByKey]])*ContinuousStatsTable[Average]))</f>
        <v>1</v>
      </c>
      <c r="T541" s="5" cm="1">
        <f t="array" ref="T541">MAX(IF((ContinuousStatsTable[GroupByKey]=ContinuousStatsTable[[#This Row],[GroupByKey]]),(ContinuousStatsTable[GroupByKey]=ContinuousStatsTable[[#This Row],[GroupByKey]])*ContinuousStatsTable[Average]))</f>
        <v>1</v>
      </c>
      <c r="U541" s="5">
        <f>IF((ContinuousStatsTable[[#This Row],[RepsRequested]]&gt;1),ContinuousStatsTable[[#This Row],[HalfWidth]],ContinuousStatsTable[[#This Row],[BatchMeansHalfWidth]])</f>
        <v>0</v>
      </c>
    </row>
    <row r="542" spans="1:21" x14ac:dyDescent="0.3">
      <c r="A542" t="s">
        <v>66</v>
      </c>
      <c r="B542" t="s">
        <v>68</v>
      </c>
      <c r="C542">
        <v>14</v>
      </c>
      <c r="D542" t="s">
        <v>106</v>
      </c>
      <c r="E542" t="s">
        <v>94</v>
      </c>
      <c r="F542" t="s">
        <v>95</v>
      </c>
      <c r="G542">
        <v>0.80634608379679995</v>
      </c>
      <c r="H542">
        <v>2E+20</v>
      </c>
      <c r="I542">
        <v>0</v>
      </c>
      <c r="J542">
        <v>1</v>
      </c>
      <c r="K542">
        <v>0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542" s="5" cm="1">
        <f t="array" ref="N542">MAX(IF((ProjectInfoTable[ProjectName]=ContinuousStatsTable[[#This Row],[ProjectName]]),(ProjectInfoTable[ProjectName]=ContinuousStatsTable[[#This Row],[ProjectName]])*ProjectInfoTable[NumberOfReplications]))</f>
        <v>30</v>
      </c>
      <c r="O542" s="5" cm="1">
        <f t="array" ref="O542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542" s="5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542" s="5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542" s="5" cm="1">
        <f t="array" ref="S542">MIN(IF((ContinuousStatsTable[GroupByKey]=ContinuousStatsTable[[#This Row],[GroupByKey]]),(ContinuousStatsTable[GroupByKey]=ContinuousStatsTable[[#This Row],[GroupByKey]])*ContinuousStatsTable[Average]))</f>
        <v>0.74061105631083801</v>
      </c>
      <c r="T542" s="5" cm="1">
        <f t="array" ref="T542">MAX(IF((ContinuousStatsTable[GroupByKey]=ContinuousStatsTable[[#This Row],[GroupByKey]]),(ContinuousStatsTable[GroupByKey]=ContinuousStatsTable[[#This Row],[GroupByKey]])*ContinuousStatsTable[Average]))</f>
        <v>0.99245161744166299</v>
      </c>
      <c r="U542" s="5">
        <f>IF((ContinuousStatsTable[[#This Row],[RepsRequested]]&gt;1),ContinuousStatsTable[[#This Row],[HalfWidth]],ContinuousStatsTable[[#This Row],[BatchMeansHalfWidth]])</f>
        <v>2.8912497794626357E-2</v>
      </c>
    </row>
    <row r="543" spans="1:21" x14ac:dyDescent="0.3">
      <c r="A543" t="s">
        <v>66</v>
      </c>
      <c r="B543" t="s">
        <v>68</v>
      </c>
      <c r="C543">
        <v>14</v>
      </c>
      <c r="D543" t="s">
        <v>106</v>
      </c>
      <c r="E543" t="s">
        <v>96</v>
      </c>
      <c r="F543" t="s">
        <v>95</v>
      </c>
      <c r="G543">
        <v>0.80634608379679995</v>
      </c>
      <c r="H543">
        <v>2E+20</v>
      </c>
      <c r="I543">
        <v>0</v>
      </c>
      <c r="J543">
        <v>1</v>
      </c>
      <c r="K543">
        <v>0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543" s="5" cm="1">
        <f t="array" ref="N543">MAX(IF((ProjectInfoTable[ProjectName]=ContinuousStatsTable[[#This Row],[ProjectName]]),(ProjectInfoTable[ProjectName]=ContinuousStatsTable[[#This Row],[ProjectName]])*ProjectInfoTable[NumberOfReplications]))</f>
        <v>30</v>
      </c>
      <c r="O543" s="5" cm="1">
        <f t="array" ref="O543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543" s="5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543" s="5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543" s="5" cm="1">
        <f t="array" ref="S543">MIN(IF((ContinuousStatsTable[GroupByKey]=ContinuousStatsTable[[#This Row],[GroupByKey]]),(ContinuousStatsTable[GroupByKey]=ContinuousStatsTable[[#This Row],[GroupByKey]])*ContinuousStatsTable[Average]))</f>
        <v>0.74061105631083801</v>
      </c>
      <c r="T543" s="5" cm="1">
        <f t="array" ref="T543">MAX(IF((ContinuousStatsTable[GroupByKey]=ContinuousStatsTable[[#This Row],[GroupByKey]]),(ContinuousStatsTable[GroupByKey]=ContinuousStatsTable[[#This Row],[GroupByKey]])*ContinuousStatsTable[Average]))</f>
        <v>0.99245161744166299</v>
      </c>
      <c r="U543" s="5">
        <f>IF((ContinuousStatsTable[[#This Row],[RepsRequested]]&gt;1),ContinuousStatsTable[[#This Row],[HalfWidth]],ContinuousStatsTable[[#This Row],[BatchMeansHalfWidth]])</f>
        <v>2.8912497794626357E-2</v>
      </c>
    </row>
    <row r="544" spans="1:21" x14ac:dyDescent="0.3">
      <c r="A544" t="s">
        <v>66</v>
      </c>
      <c r="B544" t="s">
        <v>68</v>
      </c>
      <c r="C544">
        <v>14</v>
      </c>
      <c r="D544" t="s">
        <v>106</v>
      </c>
      <c r="E544" t="s">
        <v>97</v>
      </c>
      <c r="F544" t="s">
        <v>95</v>
      </c>
      <c r="G544">
        <v>1</v>
      </c>
      <c r="H544">
        <v>2E+20</v>
      </c>
      <c r="I544">
        <v>1</v>
      </c>
      <c r="J544">
        <v>1</v>
      </c>
      <c r="K544">
        <v>1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544" s="5" cm="1">
        <f t="array" ref="N544">MAX(IF((ProjectInfoTable[ProjectName]=ContinuousStatsTable[[#This Row],[ProjectName]]),(ProjectInfoTable[ProjectName]=ContinuousStatsTable[[#This Row],[ProjectName]])*ProjectInfoTable[NumberOfReplications]))</f>
        <v>30</v>
      </c>
      <c r="O544" s="5" cm="1">
        <f t="array" ref="O544">IFERROR(AVERAGE(IF((ContinuousStatsTable[GroupByKey]=ContinuousStatsTable[[#This Row],[GroupByKey]]),(ContinuousStatsTable[GroupByKey]=ContinuousStatsTable[[#This Row],[GroupByKey]])*ContinuousStatsTable[Average])),0)</f>
        <v>1</v>
      </c>
      <c r="P544" s="5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0</v>
      </c>
      <c r="Q544" s="5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4" s="5" cm="1">
        <f t="array" ref="S544">MIN(IF((ContinuousStatsTable[GroupByKey]=ContinuousStatsTable[[#This Row],[GroupByKey]]),(ContinuousStatsTable[GroupByKey]=ContinuousStatsTable[[#This Row],[GroupByKey]])*ContinuousStatsTable[Average]))</f>
        <v>1</v>
      </c>
      <c r="T544" s="5" cm="1">
        <f t="array" ref="T544">MAX(IF((ContinuousStatsTable[GroupByKey]=ContinuousStatsTable[[#This Row],[GroupByKey]]),(ContinuousStatsTable[GroupByKey]=ContinuousStatsTable[[#This Row],[GroupByKey]])*ContinuousStatsTable[Average]))</f>
        <v>1</v>
      </c>
      <c r="U544" s="5">
        <f>IF((ContinuousStatsTable[[#This Row],[RepsRequested]]&gt;1),ContinuousStatsTable[[#This Row],[HalfWidth]],ContinuousStatsTable[[#This Row],[BatchMeansHalfWidth]])</f>
        <v>0</v>
      </c>
    </row>
    <row r="545" spans="1:21" x14ac:dyDescent="0.3">
      <c r="A545" t="s">
        <v>66</v>
      </c>
      <c r="B545" t="s">
        <v>68</v>
      </c>
      <c r="C545">
        <v>14</v>
      </c>
      <c r="D545" t="s">
        <v>107</v>
      </c>
      <c r="E545" t="s">
        <v>94</v>
      </c>
      <c r="F545" t="s">
        <v>95</v>
      </c>
      <c r="G545">
        <v>0.856554999150001</v>
      </c>
      <c r="H545">
        <v>2E+20</v>
      </c>
      <c r="I545">
        <v>0</v>
      </c>
      <c r="J545">
        <v>1</v>
      </c>
      <c r="K545">
        <v>1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545" s="5" cm="1">
        <f t="array" ref="N545">MAX(IF((ProjectInfoTable[ProjectName]=ContinuousStatsTable[[#This Row],[ProjectName]]),(ProjectInfoTable[ProjectName]=ContinuousStatsTable[[#This Row],[ProjectName]])*ProjectInfoTable[NumberOfReplications]))</f>
        <v>30</v>
      </c>
      <c r="O545" s="5" cm="1">
        <f t="array" ref="O545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545" s="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545" s="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545" s="5" cm="1">
        <f t="array" ref="S545">MIN(IF((ContinuousStatsTable[GroupByKey]=ContinuousStatsTable[[#This Row],[GroupByKey]]),(ContinuousStatsTable[GroupByKey]=ContinuousStatsTable[[#This Row],[GroupByKey]])*ContinuousStatsTable[Average]))</f>
        <v>0.73843386001690303</v>
      </c>
      <c r="T545" s="5" cm="1">
        <f t="array" ref="T545">MAX(IF((ContinuousStatsTable[GroupByKey]=ContinuousStatsTable[[#This Row],[GroupByKey]]),(ContinuousStatsTable[GroupByKey]=ContinuousStatsTable[[#This Row],[GroupByKey]])*ContinuousStatsTable[Average]))</f>
        <v>0.99245161744166299</v>
      </c>
      <c r="U545" s="5">
        <f>IF((ContinuousStatsTable[[#This Row],[RepsRequested]]&gt;1),ContinuousStatsTable[[#This Row],[HalfWidth]],ContinuousStatsTable[[#This Row],[BatchMeansHalfWidth]])</f>
        <v>2.6057642646860522E-2</v>
      </c>
    </row>
    <row r="546" spans="1:21" x14ac:dyDescent="0.3">
      <c r="A546" t="s">
        <v>66</v>
      </c>
      <c r="B546" t="s">
        <v>68</v>
      </c>
      <c r="C546">
        <v>14</v>
      </c>
      <c r="D546" t="s">
        <v>107</v>
      </c>
      <c r="E546" t="s">
        <v>96</v>
      </c>
      <c r="F546" t="s">
        <v>95</v>
      </c>
      <c r="G546">
        <v>0.856554999150001</v>
      </c>
      <c r="H546">
        <v>2E+20</v>
      </c>
      <c r="I546">
        <v>0</v>
      </c>
      <c r="J546">
        <v>1</v>
      </c>
      <c r="K546">
        <v>1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546" s="5" cm="1">
        <f t="array" ref="N546">MAX(IF((ProjectInfoTable[ProjectName]=ContinuousStatsTable[[#This Row],[ProjectName]]),(ProjectInfoTable[ProjectName]=ContinuousStatsTable[[#This Row],[ProjectName]])*ProjectInfoTable[NumberOfReplications]))</f>
        <v>30</v>
      </c>
      <c r="O546" s="5" cm="1">
        <f t="array" ref="O546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546" s="5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546" s="5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546" s="5" cm="1">
        <f t="array" ref="S546">MIN(IF((ContinuousStatsTable[GroupByKey]=ContinuousStatsTable[[#This Row],[GroupByKey]]),(ContinuousStatsTable[GroupByKey]=ContinuousStatsTable[[#This Row],[GroupByKey]])*ContinuousStatsTable[Average]))</f>
        <v>0.73843386001690303</v>
      </c>
      <c r="T546" s="5" cm="1">
        <f t="array" ref="T546">MAX(IF((ContinuousStatsTable[GroupByKey]=ContinuousStatsTable[[#This Row],[GroupByKey]]),(ContinuousStatsTable[GroupByKey]=ContinuousStatsTable[[#This Row],[GroupByKey]])*ContinuousStatsTable[Average]))</f>
        <v>0.99245161744166299</v>
      </c>
      <c r="U546" s="5">
        <f>IF((ContinuousStatsTable[[#This Row],[RepsRequested]]&gt;1),ContinuousStatsTable[[#This Row],[HalfWidth]],ContinuousStatsTable[[#This Row],[BatchMeansHalfWidth]])</f>
        <v>2.6057642646860522E-2</v>
      </c>
    </row>
    <row r="547" spans="1:21" x14ac:dyDescent="0.3">
      <c r="A547" t="s">
        <v>66</v>
      </c>
      <c r="B547" t="s">
        <v>68</v>
      </c>
      <c r="C547">
        <v>14</v>
      </c>
      <c r="D547" t="s">
        <v>107</v>
      </c>
      <c r="E547" t="s">
        <v>97</v>
      </c>
      <c r="F547" t="s">
        <v>95</v>
      </c>
      <c r="G547">
        <v>1</v>
      </c>
      <c r="H547">
        <v>2E+20</v>
      </c>
      <c r="I547">
        <v>1</v>
      </c>
      <c r="J547">
        <v>1</v>
      </c>
      <c r="K547">
        <v>1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547" s="5" cm="1">
        <f t="array" ref="N547">MAX(IF((ProjectInfoTable[ProjectName]=ContinuousStatsTable[[#This Row],[ProjectName]]),(ProjectInfoTable[ProjectName]=ContinuousStatsTable[[#This Row],[ProjectName]])*ProjectInfoTable[NumberOfReplications]))</f>
        <v>30</v>
      </c>
      <c r="O547" s="5" cm="1">
        <f t="array" ref="O547">IFERROR(AVERAGE(IF((ContinuousStatsTable[GroupByKey]=ContinuousStatsTable[[#This Row],[GroupByKey]]),(ContinuousStatsTable[GroupByKey]=ContinuousStatsTable[[#This Row],[GroupByKey]])*ContinuousStatsTable[Average])),0)</f>
        <v>1</v>
      </c>
      <c r="P547" s="5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s="5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s="5" cm="1">
        <f t="array" ref="S547">MIN(IF((ContinuousStatsTable[GroupByKey]=ContinuousStatsTable[[#This Row],[GroupByKey]]),(ContinuousStatsTable[GroupByKey]=ContinuousStatsTable[[#This Row],[GroupByKey]])*ContinuousStatsTable[Average]))</f>
        <v>1</v>
      </c>
      <c r="T547" s="5" cm="1">
        <f t="array" ref="T547">MAX(IF((ContinuousStatsTable[GroupByKey]=ContinuousStatsTable[[#This Row],[GroupByKey]]),(ContinuousStatsTable[GroupByKey]=ContinuousStatsTable[[#This Row],[GroupByKey]])*ContinuousStatsTable[Average]))</f>
        <v>1</v>
      </c>
      <c r="U547" s="5">
        <f>IF((ContinuousStatsTable[[#This Row],[RepsRequested]]&gt;1),ContinuousStatsTable[[#This Row],[HalfWidth]],ContinuousStatsTable[[#This Row],[BatchMeansHalfWidth]])</f>
        <v>0</v>
      </c>
    </row>
    <row r="548" spans="1:21" x14ac:dyDescent="0.3">
      <c r="A548" t="s">
        <v>66</v>
      </c>
      <c r="B548" t="s">
        <v>68</v>
      </c>
      <c r="C548">
        <v>15</v>
      </c>
      <c r="D548" t="s">
        <v>69</v>
      </c>
      <c r="E548" t="s">
        <v>92</v>
      </c>
      <c r="F548" t="s">
        <v>71</v>
      </c>
      <c r="G548">
        <v>3.2560507552233999</v>
      </c>
      <c r="H548">
        <v>2E+20</v>
      </c>
      <c r="I548">
        <v>0</v>
      </c>
      <c r="J548">
        <v>17</v>
      </c>
      <c r="K548">
        <v>0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548" s="5" cm="1">
        <f t="array" ref="N548">MAX(IF((ProjectInfoTable[ProjectName]=ContinuousStatsTable[[#This Row],[ProjectName]]),(ProjectInfoTable[ProjectName]=ContinuousStatsTable[[#This Row],[ProjectName]])*ProjectInfoTable[NumberOfReplications]))</f>
        <v>30</v>
      </c>
      <c r="O548" s="5" cm="1">
        <f t="array" ref="O548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548" s="5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548" s="5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548" s="5" cm="1">
        <f t="array" ref="S548">MIN(IF((ContinuousStatsTable[GroupByKey]=ContinuousStatsTable[[#This Row],[GroupByKey]]),(ContinuousStatsTable[GroupByKey]=ContinuousStatsTable[[#This Row],[GroupByKey]])*ContinuousStatsTable[Average]))</f>
        <v>2.2853775994771</v>
      </c>
      <c r="T548" s="5" cm="1">
        <f t="array" ref="T548">MAX(IF((ContinuousStatsTable[GroupByKey]=ContinuousStatsTable[[#This Row],[GroupByKey]]),(ContinuousStatsTable[GroupByKey]=ContinuousStatsTable[[#This Row],[GroupByKey]])*ContinuousStatsTable[Average]))</f>
        <v>9.3827575078214593</v>
      </c>
      <c r="U548" s="5">
        <f>IF((ContinuousStatsTable[[#This Row],[RepsRequested]]&gt;1),ContinuousStatsTable[[#This Row],[HalfWidth]],ContinuousStatsTable[[#This Row],[BatchMeansHalfWidth]])</f>
        <v>0.70373665421471332</v>
      </c>
    </row>
    <row r="549" spans="1:21" x14ac:dyDescent="0.3">
      <c r="A549" t="s">
        <v>66</v>
      </c>
      <c r="B549" t="s">
        <v>68</v>
      </c>
      <c r="C549">
        <v>15</v>
      </c>
      <c r="D549" t="s">
        <v>72</v>
      </c>
      <c r="E549" t="s">
        <v>92</v>
      </c>
      <c r="F549" t="s">
        <v>71</v>
      </c>
      <c r="G549">
        <v>2.5713843445080999</v>
      </c>
      <c r="H549">
        <v>2E+20</v>
      </c>
      <c r="I549">
        <v>0</v>
      </c>
      <c r="J549">
        <v>13</v>
      </c>
      <c r="K549">
        <v>0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549" s="5" cm="1">
        <f t="array" ref="N549">MAX(IF((ProjectInfoTable[ProjectName]=ContinuousStatsTable[[#This Row],[ProjectName]]),(ProjectInfoTable[ProjectName]=ContinuousStatsTable[[#This Row],[ProjectName]])*ProjectInfoTable[NumberOfReplications]))</f>
        <v>30</v>
      </c>
      <c r="O549" s="5" cm="1">
        <f t="array" ref="O549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549" s="5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549" s="5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549" s="5" cm="1">
        <f t="array" ref="S549">MIN(IF((ContinuousStatsTable[GroupByKey]=ContinuousStatsTable[[#This Row],[GroupByKey]]),(ContinuousStatsTable[GroupByKey]=ContinuousStatsTable[[#This Row],[GroupByKey]])*ContinuousStatsTable[Average]))</f>
        <v>1.4754093813695901</v>
      </c>
      <c r="T549" s="5" cm="1">
        <f t="array" ref="T549">MAX(IF((ContinuousStatsTable[GroupByKey]=ContinuousStatsTable[[#This Row],[GroupByKey]]),(ContinuousStatsTable[GroupByKey]=ContinuousStatsTable[[#This Row],[GroupByKey]])*ContinuousStatsTable[Average]))</f>
        <v>8.0603747791942499</v>
      </c>
      <c r="U549" s="5">
        <f>IF((ContinuousStatsTable[[#This Row],[RepsRequested]]&gt;1),ContinuousStatsTable[[#This Row],[HalfWidth]],ContinuousStatsTable[[#This Row],[BatchMeansHalfWidth]])</f>
        <v>0.5936172943910426</v>
      </c>
    </row>
    <row r="550" spans="1:21" x14ac:dyDescent="0.3">
      <c r="A550" t="s">
        <v>66</v>
      </c>
      <c r="B550" t="s">
        <v>68</v>
      </c>
      <c r="C550">
        <v>15</v>
      </c>
      <c r="D550" t="s">
        <v>73</v>
      </c>
      <c r="E550" t="s">
        <v>92</v>
      </c>
      <c r="F550" t="s">
        <v>71</v>
      </c>
      <c r="G550">
        <v>1.7981274225500701</v>
      </c>
      <c r="H550">
        <v>2E+20</v>
      </c>
      <c r="I550">
        <v>0</v>
      </c>
      <c r="J550">
        <v>12</v>
      </c>
      <c r="K550">
        <v>3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550" s="5" cm="1">
        <f t="array" ref="N550">MAX(IF((ProjectInfoTable[ProjectName]=ContinuousStatsTable[[#This Row],[ProjectName]]),(ProjectInfoTable[ProjectName]=ContinuousStatsTable[[#This Row],[ProjectName]])*ProjectInfoTable[NumberOfReplications]))</f>
        <v>30</v>
      </c>
      <c r="O550" s="5" cm="1">
        <f t="array" ref="O550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550" s="5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550" s="5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550" s="5" cm="1">
        <f t="array" ref="S550">MIN(IF((ContinuousStatsTable[GroupByKey]=ContinuousStatsTable[[#This Row],[GroupByKey]]),(ContinuousStatsTable[GroupByKey]=ContinuousStatsTable[[#This Row],[GroupByKey]])*ContinuousStatsTable[Average]))</f>
        <v>1.3305593103954101</v>
      </c>
      <c r="T550" s="5" cm="1">
        <f t="array" ref="T550">MAX(IF((ContinuousStatsTable[GroupByKey]=ContinuousStatsTable[[#This Row],[GroupByKey]]),(ContinuousStatsTable[GroupByKey]=ContinuousStatsTable[[#This Row],[GroupByKey]])*ContinuousStatsTable[Average]))</f>
        <v>29.356614544212601</v>
      </c>
      <c r="U550" s="5">
        <f>IF((ContinuousStatsTable[[#This Row],[RepsRequested]]&gt;1),ContinuousStatsTable[[#This Row],[HalfWidth]],ContinuousStatsTable[[#This Row],[BatchMeansHalfWidth]])</f>
        <v>2.162177461749093</v>
      </c>
    </row>
    <row r="551" spans="1:21" x14ac:dyDescent="0.3">
      <c r="A551" t="s">
        <v>66</v>
      </c>
      <c r="B551" t="s">
        <v>68</v>
      </c>
      <c r="C551">
        <v>15</v>
      </c>
      <c r="D551" t="s">
        <v>74</v>
      </c>
      <c r="E551" t="s">
        <v>92</v>
      </c>
      <c r="F551" t="s">
        <v>71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551" s="5" cm="1">
        <f t="array" ref="N551">MAX(IF((ProjectInfoTable[ProjectName]=ContinuousStatsTable[[#This Row],[ProjectName]]),(ProjectInfoTable[ProjectName]=ContinuousStatsTable[[#This Row],[ProjectName]])*ProjectInfoTable[NumberOfReplications]))</f>
        <v>30</v>
      </c>
      <c r="O551" s="5" cm="1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s="5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s="5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s="5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s="5" cm="1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 s="5">
        <f>IF((ContinuousStatsTable[[#This Row],[RepsRequested]]&gt;1),ContinuousStatsTable[[#This Row],[HalfWidth]],ContinuousStatsTable[[#This Row],[BatchMeansHalfWidth]])</f>
        <v>0</v>
      </c>
    </row>
    <row r="552" spans="1:21" x14ac:dyDescent="0.3">
      <c r="A552" t="s">
        <v>66</v>
      </c>
      <c r="B552" t="s">
        <v>68</v>
      </c>
      <c r="C552">
        <v>15</v>
      </c>
      <c r="D552" t="s">
        <v>75</v>
      </c>
      <c r="E552" t="s">
        <v>92</v>
      </c>
      <c r="F552" t="s">
        <v>71</v>
      </c>
      <c r="G552">
        <v>0</v>
      </c>
      <c r="H552">
        <v>2E+20</v>
      </c>
      <c r="I552">
        <v>0</v>
      </c>
      <c r="J552">
        <v>0</v>
      </c>
      <c r="K552">
        <v>0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552" s="5" cm="1">
        <f t="array" ref="N552">MAX(IF((ProjectInfoTable[ProjectName]=ContinuousStatsTable[[#This Row],[ProjectName]]),(ProjectInfoTable[ProjectName]=ContinuousStatsTable[[#This Row],[ProjectName]])*ProjectInfoTable[NumberOfReplications]))</f>
        <v>30</v>
      </c>
      <c r="O552" s="5" cm="1">
        <f t="array" ref="O552">IFERROR(AVERAGE(IF((ContinuousStatsTable[GroupByKey]=ContinuousStatsTable[[#This Row],[GroupByKey]]),(ContinuousStatsTable[GroupByKey]=ContinuousStatsTable[[#This Row],[GroupByKey]])*ContinuousStatsTable[Average])),0)</f>
        <v>0</v>
      </c>
      <c r="P552" s="5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0</v>
      </c>
      <c r="Q552" s="5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2" s="5" cm="1">
        <f t="array" ref="S552">MIN(IF((ContinuousStatsTable[GroupByKey]=ContinuousStatsTable[[#This Row],[GroupByKey]]),(ContinuousStatsTable[GroupByKey]=ContinuousStatsTable[[#This Row],[GroupByKey]])*ContinuousStatsTable[Average]))</f>
        <v>0</v>
      </c>
      <c r="T552" s="5" cm="1">
        <f t="array" ref="T552">MAX(IF((ContinuousStatsTable[GroupByKey]=ContinuousStatsTable[[#This Row],[GroupByKey]]),(ContinuousStatsTable[GroupByKey]=ContinuousStatsTable[[#This Row],[GroupByKey]])*ContinuousStatsTable[Average]))</f>
        <v>0</v>
      </c>
      <c r="U552" s="5">
        <f>IF((ContinuousStatsTable[[#This Row],[RepsRequested]]&gt;1),ContinuousStatsTable[[#This Row],[HalfWidth]],ContinuousStatsTable[[#This Row],[BatchMeansHalfWidth]])</f>
        <v>0</v>
      </c>
    </row>
    <row r="553" spans="1:21" x14ac:dyDescent="0.3">
      <c r="A553" t="s">
        <v>66</v>
      </c>
      <c r="B553" t="s">
        <v>68</v>
      </c>
      <c r="C553">
        <v>15</v>
      </c>
      <c r="D553" t="s">
        <v>76</v>
      </c>
      <c r="E553" t="s">
        <v>92</v>
      </c>
      <c r="F553" t="s">
        <v>71</v>
      </c>
      <c r="G553">
        <v>0.51080784033707405</v>
      </c>
      <c r="H553">
        <v>2E+20</v>
      </c>
      <c r="I553">
        <v>0</v>
      </c>
      <c r="J553">
        <v>8</v>
      </c>
      <c r="K553">
        <v>0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553" s="5" cm="1">
        <f t="array" ref="N553">MAX(IF((ProjectInfoTable[ProjectName]=ContinuousStatsTable[[#This Row],[ProjectName]]),(ProjectInfoTable[ProjectName]=ContinuousStatsTable[[#This Row],[ProjectName]])*ProjectInfoTable[NumberOfReplications]))</f>
        <v>30</v>
      </c>
      <c r="O553" s="5" cm="1">
        <f t="array" ref="O553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553" s="5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553" s="5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553" s="5" cm="1">
        <f t="array" ref="S553">MIN(IF((ContinuousStatsTable[GroupByKey]=ContinuousStatsTable[[#This Row],[GroupByKey]]),(ContinuousStatsTable[GroupByKey]=ContinuousStatsTable[[#This Row],[GroupByKey]])*ContinuousStatsTable[Average]))</f>
        <v>4.5869485136026601E-2</v>
      </c>
      <c r="T553" s="5" cm="1">
        <f t="array" ref="T553">MAX(IF((ContinuousStatsTable[GroupByKey]=ContinuousStatsTable[[#This Row],[GroupByKey]]),(ContinuousStatsTable[GroupByKey]=ContinuousStatsTable[[#This Row],[GroupByKey]])*ContinuousStatsTable[Average]))</f>
        <v>4.1119263103435699</v>
      </c>
      <c r="U553" s="5">
        <f>IF((ContinuousStatsTable[[#This Row],[RepsRequested]]&gt;1),ContinuousStatsTable[[#This Row],[HalfWidth]],ContinuousStatsTable[[#This Row],[BatchMeansHalfWidth]])</f>
        <v>0.43252967563899991</v>
      </c>
    </row>
    <row r="554" spans="1:21" x14ac:dyDescent="0.3">
      <c r="A554" t="s">
        <v>66</v>
      </c>
      <c r="B554" t="s">
        <v>68</v>
      </c>
      <c r="C554">
        <v>15</v>
      </c>
      <c r="D554" t="s">
        <v>77</v>
      </c>
      <c r="E554" t="s">
        <v>92</v>
      </c>
      <c r="F554" t="s">
        <v>71</v>
      </c>
      <c r="G554">
        <v>0</v>
      </c>
      <c r="H554">
        <v>2E+20</v>
      </c>
      <c r="I554">
        <v>0</v>
      </c>
      <c r="J554">
        <v>0</v>
      </c>
      <c r="K554">
        <v>0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554" s="5" cm="1">
        <f t="array" ref="N554">MAX(IF((ProjectInfoTable[ProjectName]=ContinuousStatsTable[[#This Row],[ProjectName]]),(ProjectInfoTable[ProjectName]=ContinuousStatsTable[[#This Row],[ProjectName]])*ProjectInfoTable[NumberOfReplications]))</f>
        <v>30</v>
      </c>
      <c r="O554" s="5" cm="1">
        <f t="array" ref="O554">IFERROR(AVERAGE(IF((ContinuousStatsTable[GroupByKey]=ContinuousStatsTable[[#This Row],[GroupByKey]]),(ContinuousStatsTable[GroupByKey]=ContinuousStatsTable[[#This Row],[GroupByKey]])*ContinuousStatsTable[Average])),0)</f>
        <v>0</v>
      </c>
      <c r="P554" s="5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0</v>
      </c>
      <c r="Q554" s="5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4" s="5" cm="1">
        <f t="array" ref="S554">MIN(IF((ContinuousStatsTable[GroupByKey]=ContinuousStatsTable[[#This Row],[GroupByKey]]),(ContinuousStatsTable[GroupByKey]=ContinuousStatsTable[[#This Row],[GroupByKey]])*ContinuousStatsTable[Average]))</f>
        <v>0</v>
      </c>
      <c r="T554" s="5" cm="1">
        <f t="array" ref="T554">MAX(IF((ContinuousStatsTable[GroupByKey]=ContinuousStatsTable[[#This Row],[GroupByKey]]),(ContinuousStatsTable[GroupByKey]=ContinuousStatsTable[[#This Row],[GroupByKey]])*ContinuousStatsTable[Average]))</f>
        <v>0</v>
      </c>
      <c r="U554" s="5">
        <f>IF((ContinuousStatsTable[[#This Row],[RepsRequested]]&gt;1),ContinuousStatsTable[[#This Row],[HalfWidth]],ContinuousStatsTable[[#This Row],[BatchMeansHalfWidth]])</f>
        <v>0</v>
      </c>
    </row>
    <row r="555" spans="1:21" x14ac:dyDescent="0.3">
      <c r="A555" t="s">
        <v>66</v>
      </c>
      <c r="B555" t="s">
        <v>68</v>
      </c>
      <c r="C555">
        <v>15</v>
      </c>
      <c r="D555" t="s">
        <v>78</v>
      </c>
      <c r="E555" t="s">
        <v>92</v>
      </c>
      <c r="F555" t="s">
        <v>71</v>
      </c>
      <c r="G555">
        <v>0</v>
      </c>
      <c r="H555">
        <v>2E+20</v>
      </c>
      <c r="I555">
        <v>0</v>
      </c>
      <c r="J555">
        <v>0</v>
      </c>
      <c r="K555">
        <v>0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555" s="5" cm="1">
        <f t="array" ref="N555">MAX(IF((ProjectInfoTable[ProjectName]=ContinuousStatsTable[[#This Row],[ProjectName]]),(ProjectInfoTable[ProjectName]=ContinuousStatsTable[[#This Row],[ProjectName]])*ProjectInfoTable[NumberOfReplications]))</f>
        <v>30</v>
      </c>
      <c r="O555" s="5" cm="1">
        <f t="array" ref="O555">IFERROR(AVERAGE(IF((ContinuousStatsTable[GroupByKey]=ContinuousStatsTable[[#This Row],[GroupByKey]]),(ContinuousStatsTable[GroupByKey]=ContinuousStatsTable[[#This Row],[GroupByKey]])*ContinuousStatsTable[Average])),0)</f>
        <v>0</v>
      </c>
      <c r="P555" s="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0</v>
      </c>
      <c r="Q555" s="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5" s="5" cm="1">
        <f t="array" ref="S555">MIN(IF((ContinuousStatsTable[GroupByKey]=ContinuousStatsTable[[#This Row],[GroupByKey]]),(ContinuousStatsTable[GroupByKey]=ContinuousStatsTable[[#This Row],[GroupByKey]])*ContinuousStatsTable[Average]))</f>
        <v>0</v>
      </c>
      <c r="T555" s="5" cm="1">
        <f t="array" ref="T555">MAX(IF((ContinuousStatsTable[GroupByKey]=ContinuousStatsTable[[#This Row],[GroupByKey]]),(ContinuousStatsTable[GroupByKey]=ContinuousStatsTable[[#This Row],[GroupByKey]])*ContinuousStatsTable[Average]))</f>
        <v>0</v>
      </c>
      <c r="U555" s="5">
        <f>IF((ContinuousStatsTable[[#This Row],[RepsRequested]]&gt;1),ContinuousStatsTable[[#This Row],[HalfWidth]],ContinuousStatsTable[[#This Row],[BatchMeansHalfWidth]])</f>
        <v>0</v>
      </c>
    </row>
    <row r="556" spans="1:21" x14ac:dyDescent="0.3">
      <c r="A556" t="s">
        <v>66</v>
      </c>
      <c r="B556" t="s">
        <v>68</v>
      </c>
      <c r="C556">
        <v>15</v>
      </c>
      <c r="D556" t="s">
        <v>93</v>
      </c>
      <c r="E556" t="s">
        <v>94</v>
      </c>
      <c r="F556" t="s">
        <v>95</v>
      </c>
      <c r="G556">
        <v>4.18742270562142E-2</v>
      </c>
      <c r="H556">
        <v>2E+20</v>
      </c>
      <c r="I556">
        <v>0</v>
      </c>
      <c r="J556">
        <v>0.2</v>
      </c>
      <c r="K556">
        <v>0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556" s="5" cm="1">
        <f t="array" ref="N556">MAX(IF((ProjectInfoTable[ProjectName]=ContinuousStatsTable[[#This Row],[ProjectName]]),(ProjectInfoTable[ProjectName]=ContinuousStatsTable[[#This Row],[ProjectName]])*ProjectInfoTable[NumberOfReplications]))</f>
        <v>30</v>
      </c>
      <c r="O556" s="5" cm="1">
        <f t="array" ref="O556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556" s="5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556" s="5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556" s="5" cm="1">
        <f t="array" ref="S556">MIN(IF((ContinuousStatsTable[GroupByKey]=ContinuousStatsTable[[#This Row],[GroupByKey]]),(ContinuousStatsTable[GroupByKey]=ContinuousStatsTable[[#This Row],[GroupByKey]])*ContinuousStatsTable[Average]))</f>
        <v>2.3718114155243601E-2</v>
      </c>
      <c r="T556" s="5" cm="1">
        <f t="array" ref="T556">MAX(IF((ContinuousStatsTable[GroupByKey]=ContinuousStatsTable[[#This Row],[GroupByKey]]),(ContinuousStatsTable[GroupByKey]=ContinuousStatsTable[[#This Row],[GroupByKey]])*ContinuousStatsTable[Average]))</f>
        <v>4.8583931724403701E-2</v>
      </c>
      <c r="U556" s="5">
        <f>IF((ContinuousStatsTable[[#This Row],[RepsRequested]]&gt;1),ContinuousStatsTable[[#This Row],[HalfWidth]],ContinuousStatsTable[[#This Row],[BatchMeansHalfWidth]])</f>
        <v>2.4839579632442289E-3</v>
      </c>
    </row>
    <row r="557" spans="1:21" x14ac:dyDescent="0.3">
      <c r="A557" t="s">
        <v>66</v>
      </c>
      <c r="B557" t="s">
        <v>68</v>
      </c>
      <c r="C557">
        <v>15</v>
      </c>
      <c r="D557" t="s">
        <v>93</v>
      </c>
      <c r="E557" t="s">
        <v>96</v>
      </c>
      <c r="F557" t="s">
        <v>95</v>
      </c>
      <c r="G557">
        <v>0.83748454112428505</v>
      </c>
      <c r="H557">
        <v>2E+20</v>
      </c>
      <c r="I557">
        <v>0</v>
      </c>
      <c r="J557">
        <v>4</v>
      </c>
      <c r="K557">
        <v>0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557" s="5" cm="1">
        <f t="array" ref="N557">MAX(IF((ProjectInfoTable[ProjectName]=ContinuousStatsTable[[#This Row],[ProjectName]]),(ProjectInfoTable[ProjectName]=ContinuousStatsTable[[#This Row],[ProjectName]])*ProjectInfoTable[NumberOfReplications]))</f>
        <v>30</v>
      </c>
      <c r="O557" s="5" cm="1">
        <f t="array" ref="O557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557" s="5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557" s="5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557" s="5" cm="1">
        <f t="array" ref="S557">MIN(IF((ContinuousStatsTable[GroupByKey]=ContinuousStatsTable[[#This Row],[GroupByKey]]),(ContinuousStatsTable[GroupByKey]=ContinuousStatsTable[[#This Row],[GroupByKey]])*ContinuousStatsTable[Average]))</f>
        <v>0.47436228310487299</v>
      </c>
      <c r="T557" s="5" cm="1">
        <f t="array" ref="T557">MAX(IF((ContinuousStatsTable[GroupByKey]=ContinuousStatsTable[[#This Row],[GroupByKey]]),(ContinuousStatsTable[GroupByKey]=ContinuousStatsTable[[#This Row],[GroupByKey]])*ContinuousStatsTable[Average]))</f>
        <v>0.97167863448807401</v>
      </c>
      <c r="U557" s="5">
        <f>IF((ContinuousStatsTable[[#This Row],[RepsRequested]]&gt;1),ContinuousStatsTable[[#This Row],[HalfWidth]],ContinuousStatsTable[[#This Row],[BatchMeansHalfWidth]])</f>
        <v>4.9679159264885281E-2</v>
      </c>
    </row>
    <row r="558" spans="1:21" x14ac:dyDescent="0.3">
      <c r="A558" t="s">
        <v>66</v>
      </c>
      <c r="B558" t="s">
        <v>68</v>
      </c>
      <c r="C558">
        <v>15</v>
      </c>
      <c r="D558" t="s">
        <v>93</v>
      </c>
      <c r="E558" t="s">
        <v>97</v>
      </c>
      <c r="F558" t="s">
        <v>95</v>
      </c>
      <c r="G558">
        <v>20</v>
      </c>
      <c r="H558">
        <v>2E+20</v>
      </c>
      <c r="I558">
        <v>20</v>
      </c>
      <c r="J558">
        <v>20</v>
      </c>
      <c r="K558">
        <v>20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558" s="5" cm="1">
        <f t="array" ref="N558">MAX(IF((ProjectInfoTable[ProjectName]=ContinuousStatsTable[[#This Row],[ProjectName]]),(ProjectInfoTable[ProjectName]=ContinuousStatsTable[[#This Row],[ProjectName]])*ProjectInfoTable[NumberOfReplications]))</f>
        <v>30</v>
      </c>
      <c r="O558" s="5" cm="1">
        <f t="array" ref="O558">IFERROR(AVERAGE(IF((ContinuousStatsTable[GroupByKey]=ContinuousStatsTable[[#This Row],[GroupByKey]]),(ContinuousStatsTable[GroupByKey]=ContinuousStatsTable[[#This Row],[GroupByKey]])*ContinuousStatsTable[Average])),0)</f>
        <v>20</v>
      </c>
      <c r="P558" s="5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0</v>
      </c>
      <c r="Q558" s="5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8" s="5" cm="1">
        <f t="array" ref="S558">MIN(IF((ContinuousStatsTable[GroupByKey]=ContinuousStatsTable[[#This Row],[GroupByKey]]),(ContinuousStatsTable[GroupByKey]=ContinuousStatsTable[[#This Row],[GroupByKey]])*ContinuousStatsTable[Average]))</f>
        <v>20</v>
      </c>
      <c r="T558" s="5" cm="1">
        <f t="array" ref="T558">MAX(IF((ContinuousStatsTable[GroupByKey]=ContinuousStatsTable[[#This Row],[GroupByKey]]),(ContinuousStatsTable[GroupByKey]=ContinuousStatsTable[[#This Row],[GroupByKey]])*ContinuousStatsTable[Average]))</f>
        <v>20</v>
      </c>
      <c r="U558" s="5">
        <f>IF((ContinuousStatsTable[[#This Row],[RepsRequested]]&gt;1),ContinuousStatsTable[[#This Row],[HalfWidth]],ContinuousStatsTable[[#This Row],[BatchMeansHalfWidth]])</f>
        <v>0</v>
      </c>
    </row>
    <row r="559" spans="1:21" x14ac:dyDescent="0.3">
      <c r="A559" t="s">
        <v>66</v>
      </c>
      <c r="B559" t="s">
        <v>68</v>
      </c>
      <c r="C559">
        <v>15</v>
      </c>
      <c r="D559" t="s">
        <v>98</v>
      </c>
      <c r="E559" t="s">
        <v>94</v>
      </c>
      <c r="F559" t="s">
        <v>95</v>
      </c>
      <c r="G559">
        <v>0.23700520774289599</v>
      </c>
      <c r="H559">
        <v>2E+20</v>
      </c>
      <c r="I559">
        <v>0</v>
      </c>
      <c r="J559">
        <v>0.95</v>
      </c>
      <c r="K559">
        <v>0.05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559" s="5" cm="1">
        <f t="array" ref="N559">MAX(IF((ProjectInfoTable[ProjectName]=ContinuousStatsTable[[#This Row],[ProjectName]]),(ProjectInfoTable[ProjectName]=ContinuousStatsTable[[#This Row],[ProjectName]])*ProjectInfoTable[NumberOfReplications]))</f>
        <v>30</v>
      </c>
      <c r="O559" s="5" cm="1">
        <f t="array" ref="O559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559" s="5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559" s="5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559" s="5" cm="1">
        <f t="array" ref="S559">MIN(IF((ContinuousStatsTable[GroupByKey]=ContinuousStatsTable[[#This Row],[GroupByKey]]),(ContinuousStatsTable[GroupByKey]=ContinuousStatsTable[[#This Row],[GroupByKey]])*ContinuousStatsTable[Average]))</f>
        <v>0.20767736113278101</v>
      </c>
      <c r="T559" s="5" cm="1">
        <f t="array" ref="T559">MAX(IF((ContinuousStatsTable[GroupByKey]=ContinuousStatsTable[[#This Row],[GroupByKey]]),(ContinuousStatsTable[GroupByKey]=ContinuousStatsTable[[#This Row],[GroupByKey]])*ContinuousStatsTable[Average]))</f>
        <v>0.28501162927715501</v>
      </c>
      <c r="U559" s="5">
        <f>IF((ContinuousStatsTable[[#This Row],[RepsRequested]]&gt;1),ContinuousStatsTable[[#This Row],[HalfWidth]],ContinuousStatsTable[[#This Row],[BatchMeansHalfWidth]])</f>
        <v>8.7273384073404715E-3</v>
      </c>
    </row>
    <row r="560" spans="1:21" x14ac:dyDescent="0.3">
      <c r="A560" t="s">
        <v>66</v>
      </c>
      <c r="B560" t="s">
        <v>68</v>
      </c>
      <c r="C560">
        <v>15</v>
      </c>
      <c r="D560" t="s">
        <v>98</v>
      </c>
      <c r="E560" t="s">
        <v>96</v>
      </c>
      <c r="F560" t="s">
        <v>95</v>
      </c>
      <c r="G560">
        <v>4.7401041548579101</v>
      </c>
      <c r="H560">
        <v>2E+20</v>
      </c>
      <c r="I560">
        <v>0</v>
      </c>
      <c r="J560">
        <v>19</v>
      </c>
      <c r="K560">
        <v>1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560" s="5" cm="1">
        <f t="array" ref="N560">MAX(IF((ProjectInfoTable[ProjectName]=ContinuousStatsTable[[#This Row],[ProjectName]]),(ProjectInfoTable[ProjectName]=ContinuousStatsTable[[#This Row],[ProjectName]])*ProjectInfoTable[NumberOfReplications]))</f>
        <v>30</v>
      </c>
      <c r="O560" s="5" cm="1">
        <f t="array" ref="O560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560" s="5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560" s="5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560" s="5" cm="1">
        <f t="array" ref="S560">MIN(IF((ContinuousStatsTable[GroupByKey]=ContinuousStatsTable[[#This Row],[GroupByKey]]),(ContinuousStatsTable[GroupByKey]=ContinuousStatsTable[[#This Row],[GroupByKey]])*ContinuousStatsTable[Average]))</f>
        <v>4.15354722265561</v>
      </c>
      <c r="T560" s="5" cm="1">
        <f t="array" ref="T560">MAX(IF((ContinuousStatsTable[GroupByKey]=ContinuousStatsTable[[#This Row],[GroupByKey]]),(ContinuousStatsTable[GroupByKey]=ContinuousStatsTable[[#This Row],[GroupByKey]])*ContinuousStatsTable[Average]))</f>
        <v>5.7002325855431097</v>
      </c>
      <c r="U560" s="5">
        <f>IF((ContinuousStatsTable[[#This Row],[RepsRequested]]&gt;1),ContinuousStatsTable[[#This Row],[HalfWidth]],ContinuousStatsTable[[#This Row],[BatchMeansHalfWidth]])</f>
        <v>0.17454676814681078</v>
      </c>
    </row>
    <row r="561" spans="1:21" x14ac:dyDescent="0.3">
      <c r="A561" t="s">
        <v>66</v>
      </c>
      <c r="B561" t="s">
        <v>68</v>
      </c>
      <c r="C561">
        <v>15</v>
      </c>
      <c r="D561" t="s">
        <v>98</v>
      </c>
      <c r="E561" t="s">
        <v>97</v>
      </c>
      <c r="F561" t="s">
        <v>95</v>
      </c>
      <c r="G561">
        <v>20</v>
      </c>
      <c r="H561">
        <v>2E+20</v>
      </c>
      <c r="I561">
        <v>20</v>
      </c>
      <c r="J561">
        <v>20</v>
      </c>
      <c r="K561">
        <v>20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561" s="5" cm="1">
        <f t="array" ref="N561">MAX(IF((ProjectInfoTable[ProjectName]=ContinuousStatsTable[[#This Row],[ProjectName]]),(ProjectInfoTable[ProjectName]=ContinuousStatsTable[[#This Row],[ProjectName]])*ProjectInfoTable[NumberOfReplications]))</f>
        <v>30</v>
      </c>
      <c r="O561" s="5" cm="1">
        <f t="array" ref="O561">IFERROR(AVERAGE(IF((ContinuousStatsTable[GroupByKey]=ContinuousStatsTable[[#This Row],[GroupByKey]]),(ContinuousStatsTable[GroupByKey]=ContinuousStatsTable[[#This Row],[GroupByKey]])*ContinuousStatsTable[Average])),0)</f>
        <v>20</v>
      </c>
      <c r="P561" s="5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0</v>
      </c>
      <c r="Q561" s="5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1" s="5" cm="1">
        <f t="array" ref="S561">MIN(IF((ContinuousStatsTable[GroupByKey]=ContinuousStatsTable[[#This Row],[GroupByKey]]),(ContinuousStatsTable[GroupByKey]=ContinuousStatsTable[[#This Row],[GroupByKey]])*ContinuousStatsTable[Average]))</f>
        <v>20</v>
      </c>
      <c r="T561" s="5" cm="1">
        <f t="array" ref="T561">MAX(IF((ContinuousStatsTable[GroupByKey]=ContinuousStatsTable[[#This Row],[GroupByKey]]),(ContinuousStatsTable[GroupByKey]=ContinuousStatsTable[[#This Row],[GroupByKey]])*ContinuousStatsTable[Average]))</f>
        <v>20</v>
      </c>
      <c r="U561" s="5">
        <f>IF((ContinuousStatsTable[[#This Row],[RepsRequested]]&gt;1),ContinuousStatsTable[[#This Row],[HalfWidth]],ContinuousStatsTable[[#This Row],[BatchMeansHalfWidth]])</f>
        <v>0</v>
      </c>
    </row>
    <row r="562" spans="1:21" x14ac:dyDescent="0.3">
      <c r="A562" t="s">
        <v>66</v>
      </c>
      <c r="B562" t="s">
        <v>68</v>
      </c>
      <c r="C562">
        <v>15</v>
      </c>
      <c r="D562" t="s">
        <v>99</v>
      </c>
      <c r="E562" t="s">
        <v>94</v>
      </c>
      <c r="F562" t="s">
        <v>95</v>
      </c>
      <c r="G562">
        <v>0.54289788173472797</v>
      </c>
      <c r="H562">
        <v>2E+20</v>
      </c>
      <c r="I562">
        <v>0</v>
      </c>
      <c r="J562">
        <v>1</v>
      </c>
      <c r="K562">
        <v>0.4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562" s="5" cm="1">
        <f t="array" ref="N562">MAX(IF((ProjectInfoTable[ProjectName]=ContinuousStatsTable[[#This Row],[ProjectName]]),(ProjectInfoTable[ProjectName]=ContinuousStatsTable[[#This Row],[ProjectName]])*ProjectInfoTable[NumberOfReplications]))</f>
        <v>30</v>
      </c>
      <c r="O562" s="5" cm="1">
        <f t="array" ref="O562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562" s="5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562" s="5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562" s="5" cm="1">
        <f t="array" ref="S562">MIN(IF((ContinuousStatsTable[GroupByKey]=ContinuousStatsTable[[#This Row],[GroupByKey]]),(ContinuousStatsTable[GroupByKey]=ContinuousStatsTable[[#This Row],[GroupByKey]])*ContinuousStatsTable[Average]))</f>
        <v>0.517215348442703</v>
      </c>
      <c r="T562" s="5" cm="1">
        <f t="array" ref="T562">MAX(IF((ContinuousStatsTable[GroupByKey]=ContinuousStatsTable[[#This Row],[GroupByKey]]),(ContinuousStatsTable[GroupByKey]=ContinuousStatsTable[[#This Row],[GroupByKey]])*ContinuousStatsTable[Average]))</f>
        <v>0.67770389283754395</v>
      </c>
      <c r="U562" s="5">
        <f>IF((ContinuousStatsTable[[#This Row],[RepsRequested]]&gt;1),ContinuousStatsTable[[#This Row],[HalfWidth]],ContinuousStatsTable[[#This Row],[BatchMeansHalfWidth]])</f>
        <v>1.8059192833960565E-2</v>
      </c>
    </row>
    <row r="563" spans="1:21" x14ac:dyDescent="0.3">
      <c r="A563" t="s">
        <v>66</v>
      </c>
      <c r="B563" t="s">
        <v>68</v>
      </c>
      <c r="C563">
        <v>15</v>
      </c>
      <c r="D563" t="s">
        <v>99</v>
      </c>
      <c r="E563" t="s">
        <v>96</v>
      </c>
      <c r="F563" t="s">
        <v>95</v>
      </c>
      <c r="G563">
        <v>5.4289788173472902</v>
      </c>
      <c r="H563">
        <v>2E+20</v>
      </c>
      <c r="I563">
        <v>0</v>
      </c>
      <c r="J563">
        <v>10</v>
      </c>
      <c r="K563">
        <v>4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563" s="5" cm="1">
        <f t="array" ref="N563">MAX(IF((ProjectInfoTable[ProjectName]=ContinuousStatsTable[[#This Row],[ProjectName]]),(ProjectInfoTable[ProjectName]=ContinuousStatsTable[[#This Row],[ProjectName]])*ProjectInfoTable[NumberOfReplications]))</f>
        <v>30</v>
      </c>
      <c r="O563" s="5" cm="1">
        <f t="array" ref="O563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563" s="5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563" s="5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563" s="5" cm="1">
        <f t="array" ref="S563">MIN(IF((ContinuousStatsTable[GroupByKey]=ContinuousStatsTable[[#This Row],[GroupByKey]]),(ContinuousStatsTable[GroupByKey]=ContinuousStatsTable[[#This Row],[GroupByKey]])*ContinuousStatsTable[Average]))</f>
        <v>5.1721534844270298</v>
      </c>
      <c r="T563" s="5" cm="1">
        <f t="array" ref="T563">MAX(IF((ContinuousStatsTable[GroupByKey]=ContinuousStatsTable[[#This Row],[GroupByKey]]),(ContinuousStatsTable[GroupByKey]=ContinuousStatsTable[[#This Row],[GroupByKey]])*ContinuousStatsTable[Average]))</f>
        <v>6.7770389283754398</v>
      </c>
      <c r="U563" s="5">
        <f>IF((ContinuousStatsTable[[#This Row],[RepsRequested]]&gt;1),ContinuousStatsTable[[#This Row],[HalfWidth]],ContinuousStatsTable[[#This Row],[BatchMeansHalfWidth]])</f>
        <v>0.18059192833960558</v>
      </c>
    </row>
    <row r="564" spans="1:21" x14ac:dyDescent="0.3">
      <c r="A564" t="s">
        <v>66</v>
      </c>
      <c r="B564" t="s">
        <v>68</v>
      </c>
      <c r="C564">
        <v>15</v>
      </c>
      <c r="D564" t="s">
        <v>99</v>
      </c>
      <c r="E564" t="s">
        <v>97</v>
      </c>
      <c r="F564" t="s">
        <v>95</v>
      </c>
      <c r="G564">
        <v>10</v>
      </c>
      <c r="H564">
        <v>2E+20</v>
      </c>
      <c r="I564">
        <v>10</v>
      </c>
      <c r="J564">
        <v>10</v>
      </c>
      <c r="K564">
        <v>10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564" s="5" cm="1">
        <f t="array" ref="N564">MAX(IF((ProjectInfoTable[ProjectName]=ContinuousStatsTable[[#This Row],[ProjectName]]),(ProjectInfoTable[ProjectName]=ContinuousStatsTable[[#This Row],[ProjectName]])*ProjectInfoTable[NumberOfReplications]))</f>
        <v>30</v>
      </c>
      <c r="O564" s="5" cm="1">
        <f t="array" ref="O564">IFERROR(AVERAGE(IF((ContinuousStatsTable[GroupByKey]=ContinuousStatsTable[[#This Row],[GroupByKey]]),(ContinuousStatsTable[GroupByKey]=ContinuousStatsTable[[#This Row],[GroupByKey]])*ContinuousStatsTable[Average])),0)</f>
        <v>10</v>
      </c>
      <c r="P564" s="5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s="5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s="5" cm="1">
        <f t="array" ref="S564">MIN(IF((ContinuousStatsTable[GroupByKey]=ContinuousStatsTable[[#This Row],[GroupByKey]]),(ContinuousStatsTable[GroupByKey]=ContinuousStatsTable[[#This Row],[GroupByKey]])*ContinuousStatsTable[Average]))</f>
        <v>10</v>
      </c>
      <c r="T564" s="5" cm="1">
        <f t="array" ref="T564">MAX(IF((ContinuousStatsTable[GroupByKey]=ContinuousStatsTable[[#This Row],[GroupByKey]]),(ContinuousStatsTable[GroupByKey]=ContinuousStatsTable[[#This Row],[GroupByKey]])*ContinuousStatsTable[Average]))</f>
        <v>10</v>
      </c>
      <c r="U564" s="5">
        <f>IF((ContinuousStatsTable[[#This Row],[RepsRequested]]&gt;1),ContinuousStatsTable[[#This Row],[HalfWidth]],ContinuousStatsTable[[#This Row],[BatchMeansHalfWidth]])</f>
        <v>0</v>
      </c>
    </row>
    <row r="565" spans="1:21" x14ac:dyDescent="0.3">
      <c r="A565" t="s">
        <v>66</v>
      </c>
      <c r="B565" t="s">
        <v>68</v>
      </c>
      <c r="C565">
        <v>15</v>
      </c>
      <c r="D565" t="s">
        <v>100</v>
      </c>
      <c r="E565" t="s">
        <v>94</v>
      </c>
      <c r="F565" t="s">
        <v>95</v>
      </c>
      <c r="G565">
        <v>0.155305459764535</v>
      </c>
      <c r="H565">
        <v>2E+20</v>
      </c>
      <c r="I565">
        <v>0</v>
      </c>
      <c r="J565">
        <v>0.38</v>
      </c>
      <c r="K565">
        <v>0.16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565" s="5" cm="1">
        <f t="array" ref="N565">MAX(IF((ProjectInfoTable[ProjectName]=ContinuousStatsTable[[#This Row],[ProjectName]]),(ProjectInfoTable[ProjectName]=ContinuousStatsTable[[#This Row],[ProjectName]])*ProjectInfoTable[NumberOfReplications]))</f>
        <v>30</v>
      </c>
      <c r="O565" s="5" cm="1">
        <f t="array" ref="O565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565" s="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565" s="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565" s="5" cm="1">
        <f t="array" ref="S565">MIN(IF((ContinuousStatsTable[GroupByKey]=ContinuousStatsTable[[#This Row],[GroupByKey]]),(ContinuousStatsTable[GroupByKey]=ContinuousStatsTable[[#This Row],[GroupByKey]])*ContinuousStatsTable[Average]))</f>
        <v>0.14484829778125299</v>
      </c>
      <c r="T565" s="5" cm="1">
        <f t="array" ref="T565">MAX(IF((ContinuousStatsTable[GroupByKey]=ContinuousStatsTable[[#This Row],[GroupByKey]]),(ContinuousStatsTable[GroupByKey]=ContinuousStatsTable[[#This Row],[GroupByKey]])*ContinuousStatsTable[Average]))</f>
        <v>0.19609322315655101</v>
      </c>
      <c r="U565" s="5">
        <f>IF((ContinuousStatsTable[[#This Row],[RepsRequested]]&gt;1),ContinuousStatsTable[[#This Row],[HalfWidth]],ContinuousStatsTable[[#This Row],[BatchMeansHalfWidth]])</f>
        <v>4.9714113556225048E-3</v>
      </c>
    </row>
    <row r="566" spans="1:21" x14ac:dyDescent="0.3">
      <c r="A566" t="s">
        <v>66</v>
      </c>
      <c r="B566" t="s">
        <v>68</v>
      </c>
      <c r="C566">
        <v>15</v>
      </c>
      <c r="D566" t="s">
        <v>100</v>
      </c>
      <c r="E566" t="s">
        <v>96</v>
      </c>
      <c r="F566" t="s">
        <v>95</v>
      </c>
      <c r="G566">
        <v>7.7652729882267497</v>
      </c>
      <c r="H566">
        <v>2E+20</v>
      </c>
      <c r="I566">
        <v>0</v>
      </c>
      <c r="J566">
        <v>19</v>
      </c>
      <c r="K566">
        <v>8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566" s="5" cm="1">
        <f t="array" ref="N566">MAX(IF((ProjectInfoTable[ProjectName]=ContinuousStatsTable[[#This Row],[ProjectName]]),(ProjectInfoTable[ProjectName]=ContinuousStatsTable[[#This Row],[ProjectName]])*ProjectInfoTable[NumberOfReplications]))</f>
        <v>30</v>
      </c>
      <c r="O566" s="5" cm="1">
        <f t="array" ref="O566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566" s="5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566" s="5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566" s="5" cm="1">
        <f t="array" ref="S566">MIN(IF((ContinuousStatsTable[GroupByKey]=ContinuousStatsTable[[#This Row],[GroupByKey]]),(ContinuousStatsTable[GroupByKey]=ContinuousStatsTable[[#This Row],[GroupByKey]])*ContinuousStatsTable[Average]))</f>
        <v>7.2424148890626396</v>
      </c>
      <c r="T566" s="5" cm="1">
        <f t="array" ref="T566">MAX(IF((ContinuousStatsTable[GroupByKey]=ContinuousStatsTable[[#This Row],[GroupByKey]]),(ContinuousStatsTable[GroupByKey]=ContinuousStatsTable[[#This Row],[GroupByKey]])*ContinuousStatsTable[Average]))</f>
        <v>9.8046611578275602</v>
      </c>
      <c r="U566" s="5">
        <f>IF((ContinuousStatsTable[[#This Row],[RepsRequested]]&gt;1),ContinuousStatsTable[[#This Row],[HalfWidth]],ContinuousStatsTable[[#This Row],[BatchMeansHalfWidth]])</f>
        <v>0.24857056778112663</v>
      </c>
    </row>
    <row r="567" spans="1:21" x14ac:dyDescent="0.3">
      <c r="A567" t="s">
        <v>66</v>
      </c>
      <c r="B567" t="s">
        <v>68</v>
      </c>
      <c r="C567">
        <v>15</v>
      </c>
      <c r="D567" t="s">
        <v>100</v>
      </c>
      <c r="E567" t="s">
        <v>97</v>
      </c>
      <c r="F567" t="s">
        <v>95</v>
      </c>
      <c r="G567">
        <v>50</v>
      </c>
      <c r="H567">
        <v>2E+20</v>
      </c>
      <c r="I567">
        <v>50</v>
      </c>
      <c r="J567">
        <v>50</v>
      </c>
      <c r="K567">
        <v>50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567" s="5" cm="1">
        <f t="array" ref="N567">MAX(IF((ProjectInfoTable[ProjectName]=ContinuousStatsTable[[#This Row],[ProjectName]]),(ProjectInfoTable[ProjectName]=ContinuousStatsTable[[#This Row],[ProjectName]])*ProjectInfoTable[NumberOfReplications]))</f>
        <v>30</v>
      </c>
      <c r="O567" s="5" cm="1">
        <f t="array" ref="O567">IFERROR(AVERAGE(IF((ContinuousStatsTable[GroupByKey]=ContinuousStatsTable[[#This Row],[GroupByKey]]),(ContinuousStatsTable[GroupByKey]=ContinuousStatsTable[[#This Row],[GroupByKey]])*ContinuousStatsTable[Average])),0)</f>
        <v>50</v>
      </c>
      <c r="P567" s="5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0</v>
      </c>
      <c r="Q567" s="5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7" s="5" cm="1">
        <f t="array" ref="S567">MIN(IF((ContinuousStatsTable[GroupByKey]=ContinuousStatsTable[[#This Row],[GroupByKey]]),(ContinuousStatsTable[GroupByKey]=ContinuousStatsTable[[#This Row],[GroupByKey]])*ContinuousStatsTable[Average]))</f>
        <v>50</v>
      </c>
      <c r="T567" s="5" cm="1">
        <f t="array" ref="T567">MAX(IF((ContinuousStatsTable[GroupByKey]=ContinuousStatsTable[[#This Row],[GroupByKey]]),(ContinuousStatsTable[GroupByKey]=ContinuousStatsTable[[#This Row],[GroupByKey]])*ContinuousStatsTable[Average]))</f>
        <v>50</v>
      </c>
      <c r="U567" s="5">
        <f>IF((ContinuousStatsTable[[#This Row],[RepsRequested]]&gt;1),ContinuousStatsTable[[#This Row],[HalfWidth]],ContinuousStatsTable[[#This Row],[BatchMeansHalfWidth]])</f>
        <v>0</v>
      </c>
    </row>
    <row r="568" spans="1:21" x14ac:dyDescent="0.3">
      <c r="A568" t="s">
        <v>66</v>
      </c>
      <c r="B568" t="s">
        <v>68</v>
      </c>
      <c r="C568">
        <v>15</v>
      </c>
      <c r="D568" t="s">
        <v>101</v>
      </c>
      <c r="E568" t="s">
        <v>94</v>
      </c>
      <c r="F568" t="s">
        <v>95</v>
      </c>
      <c r="G568">
        <v>8.4563850577011296E-2</v>
      </c>
      <c r="H568">
        <v>2E+20</v>
      </c>
      <c r="I568">
        <v>0</v>
      </c>
      <c r="J568">
        <v>0.46666666666666701</v>
      </c>
      <c r="K568">
        <v>0.133333333333333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568" s="5" cm="1">
        <f t="array" ref="N568">MAX(IF((ProjectInfoTable[ProjectName]=ContinuousStatsTable[[#This Row],[ProjectName]]),(ProjectInfoTable[ProjectName]=ContinuousStatsTable[[#This Row],[ProjectName]])*ProjectInfoTable[NumberOfReplications]))</f>
        <v>30</v>
      </c>
      <c r="O568" s="5" cm="1">
        <f t="array" ref="O568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568" s="5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568" s="5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568" s="5" cm="1">
        <f t="array" ref="S568">MIN(IF((ContinuousStatsTable[GroupByKey]=ContinuousStatsTable[[#This Row],[GroupByKey]]),(ContinuousStatsTable[GroupByKey]=ContinuousStatsTable[[#This Row],[GroupByKey]])*ContinuousStatsTable[Average]))</f>
        <v>7.4778736536586704E-2</v>
      </c>
      <c r="T568" s="5" cm="1">
        <f t="array" ref="T568">MAX(IF((ContinuousStatsTable[GroupByKey]=ContinuousStatsTable[[#This Row],[GroupByKey]]),(ContinuousStatsTable[GroupByKey]=ContinuousStatsTable[[#This Row],[GroupByKey]])*ContinuousStatsTable[Average]))</f>
        <v>0.111025455742452</v>
      </c>
      <c r="U568" s="5">
        <f>IF((ContinuousStatsTable[[#This Row],[RepsRequested]]&gt;1),ContinuousStatsTable[[#This Row],[HalfWidth]],ContinuousStatsTable[[#This Row],[BatchMeansHalfWidth]])</f>
        <v>4.1821462690338805E-3</v>
      </c>
    </row>
    <row r="569" spans="1:21" x14ac:dyDescent="0.3">
      <c r="A569" t="s">
        <v>66</v>
      </c>
      <c r="B569" t="s">
        <v>68</v>
      </c>
      <c r="C569">
        <v>15</v>
      </c>
      <c r="D569" t="s">
        <v>101</v>
      </c>
      <c r="E569" t="s">
        <v>96</v>
      </c>
      <c r="F569" t="s">
        <v>95</v>
      </c>
      <c r="G569">
        <v>1.26845775865517</v>
      </c>
      <c r="H569">
        <v>2E+20</v>
      </c>
      <c r="I569">
        <v>0</v>
      </c>
      <c r="J569">
        <v>7</v>
      </c>
      <c r="K569">
        <v>2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569" s="5" cm="1">
        <f t="array" ref="N569">MAX(IF((ProjectInfoTable[ProjectName]=ContinuousStatsTable[[#This Row],[ProjectName]]),(ProjectInfoTable[ProjectName]=ContinuousStatsTable[[#This Row],[ProjectName]])*ProjectInfoTable[NumberOfReplications]))</f>
        <v>30</v>
      </c>
      <c r="O569" s="5" cm="1">
        <f t="array" ref="O569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569" s="5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569" s="5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569" s="5" cm="1">
        <f t="array" ref="S569">MIN(IF((ContinuousStatsTable[GroupByKey]=ContinuousStatsTable[[#This Row],[GroupByKey]]),(ContinuousStatsTable[GroupByKey]=ContinuousStatsTable[[#This Row],[GroupByKey]])*ContinuousStatsTable[Average]))</f>
        <v>1.1216810480488</v>
      </c>
      <c r="T569" s="5" cm="1">
        <f t="array" ref="T569">MAX(IF((ContinuousStatsTable[GroupByKey]=ContinuousStatsTable[[#This Row],[GroupByKey]]),(ContinuousStatsTable[GroupByKey]=ContinuousStatsTable[[#This Row],[GroupByKey]])*ContinuousStatsTable[Average]))</f>
        <v>1.66538183613678</v>
      </c>
      <c r="U569" s="5">
        <f>IF((ContinuousStatsTable[[#This Row],[RepsRequested]]&gt;1),ContinuousStatsTable[[#This Row],[HalfWidth]],ContinuousStatsTable[[#This Row],[BatchMeansHalfWidth]])</f>
        <v>6.2732194035507963E-2</v>
      </c>
    </row>
    <row r="570" spans="1:21" x14ac:dyDescent="0.3">
      <c r="A570" t="s">
        <v>66</v>
      </c>
      <c r="B570" t="s">
        <v>68</v>
      </c>
      <c r="C570">
        <v>15</v>
      </c>
      <c r="D570" t="s">
        <v>101</v>
      </c>
      <c r="E570" t="s">
        <v>97</v>
      </c>
      <c r="F570" t="s">
        <v>95</v>
      </c>
      <c r="G570">
        <v>15</v>
      </c>
      <c r="H570">
        <v>2E+20</v>
      </c>
      <c r="I570">
        <v>15</v>
      </c>
      <c r="J570">
        <v>15</v>
      </c>
      <c r="K570">
        <v>15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570" s="5" cm="1">
        <f t="array" ref="N570">MAX(IF((ProjectInfoTable[ProjectName]=ContinuousStatsTable[[#This Row],[ProjectName]]),(ProjectInfoTable[ProjectName]=ContinuousStatsTable[[#This Row],[ProjectName]])*ProjectInfoTable[NumberOfReplications]))</f>
        <v>30</v>
      </c>
      <c r="O570" s="5" cm="1">
        <f t="array" ref="O570">IFERROR(AVERAGE(IF((ContinuousStatsTable[GroupByKey]=ContinuousStatsTable[[#This Row],[GroupByKey]]),(ContinuousStatsTable[GroupByKey]=ContinuousStatsTable[[#This Row],[GroupByKey]])*ContinuousStatsTable[Average])),0)</f>
        <v>15</v>
      </c>
      <c r="P570" s="5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0</v>
      </c>
      <c r="Q570" s="5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0" s="5" cm="1">
        <f t="array" ref="S570">MIN(IF((ContinuousStatsTable[GroupByKey]=ContinuousStatsTable[[#This Row],[GroupByKey]]),(ContinuousStatsTable[GroupByKey]=ContinuousStatsTable[[#This Row],[GroupByKey]])*ContinuousStatsTable[Average]))</f>
        <v>15</v>
      </c>
      <c r="T570" s="5" cm="1">
        <f t="array" ref="T570">MAX(IF((ContinuousStatsTable[GroupByKey]=ContinuousStatsTable[[#This Row],[GroupByKey]]),(ContinuousStatsTable[GroupByKey]=ContinuousStatsTable[[#This Row],[GroupByKey]])*ContinuousStatsTable[Average]))</f>
        <v>15</v>
      </c>
      <c r="U570" s="5">
        <f>IF((ContinuousStatsTable[[#This Row],[RepsRequested]]&gt;1),ContinuousStatsTable[[#This Row],[HalfWidth]],ContinuousStatsTable[[#This Row],[BatchMeansHalfWidth]])</f>
        <v>0</v>
      </c>
    </row>
    <row r="571" spans="1:21" x14ac:dyDescent="0.3">
      <c r="A571" t="s">
        <v>66</v>
      </c>
      <c r="B571" t="s">
        <v>68</v>
      </c>
      <c r="C571">
        <v>15</v>
      </c>
      <c r="D571" t="s">
        <v>102</v>
      </c>
      <c r="E571" t="s">
        <v>94</v>
      </c>
      <c r="F571" t="s">
        <v>95</v>
      </c>
      <c r="G571">
        <v>0.76047485553931604</v>
      </c>
      <c r="H571">
        <v>2E+20</v>
      </c>
      <c r="I571">
        <v>0</v>
      </c>
      <c r="J571">
        <v>1</v>
      </c>
      <c r="K571">
        <v>1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571" s="5" cm="1">
        <f t="array" ref="N571">MAX(IF((ProjectInfoTable[ProjectName]=ContinuousStatsTable[[#This Row],[ProjectName]]),(ProjectInfoTable[ProjectName]=ContinuousStatsTable[[#This Row],[ProjectName]])*ProjectInfoTable[NumberOfReplications]))</f>
        <v>30</v>
      </c>
      <c r="O571" s="5" cm="1">
        <f t="array" ref="O571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571" s="5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571" s="5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571" s="5" cm="1">
        <f t="array" ref="S571">MIN(IF((ContinuousStatsTable[GroupByKey]=ContinuousStatsTable[[#This Row],[GroupByKey]]),(ContinuousStatsTable[GroupByKey]=ContinuousStatsTable[[#This Row],[GroupByKey]])*ContinuousStatsTable[Average]))</f>
        <v>0.73673947391417804</v>
      </c>
      <c r="T571" s="5" cm="1">
        <f t="array" ref="T571">MAX(IF((ContinuousStatsTable[GroupByKey]=ContinuousStatsTable[[#This Row],[GroupByKey]]),(ContinuousStatsTable[GroupByKey]=ContinuousStatsTable[[#This Row],[GroupByKey]])*ContinuousStatsTable[Average]))</f>
        <v>0.90592850818388704</v>
      </c>
      <c r="U571" s="5">
        <f>IF((ContinuousStatsTable[[#This Row],[RepsRequested]]&gt;1),ContinuousStatsTable[[#This Row],[HalfWidth]],ContinuousStatsTable[[#This Row],[BatchMeansHalfWidth]])</f>
        <v>1.8636241798384946E-2</v>
      </c>
    </row>
    <row r="572" spans="1:21" x14ac:dyDescent="0.3">
      <c r="A572" t="s">
        <v>66</v>
      </c>
      <c r="B572" t="s">
        <v>68</v>
      </c>
      <c r="C572">
        <v>15</v>
      </c>
      <c r="D572" t="s">
        <v>102</v>
      </c>
      <c r="E572" t="s">
        <v>96</v>
      </c>
      <c r="F572" t="s">
        <v>95</v>
      </c>
      <c r="G572">
        <v>1.49647791670823</v>
      </c>
      <c r="H572">
        <v>2E+20</v>
      </c>
      <c r="I572">
        <v>0</v>
      </c>
      <c r="J572">
        <v>3</v>
      </c>
      <c r="K572">
        <v>3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572" s="5" cm="1">
        <f t="array" ref="N572">MAX(IF((ProjectInfoTable[ProjectName]=ContinuousStatsTable[[#This Row],[ProjectName]]),(ProjectInfoTable[ProjectName]=ContinuousStatsTable[[#This Row],[ProjectName]])*ProjectInfoTable[NumberOfReplications]))</f>
        <v>30</v>
      </c>
      <c r="O572" s="5" cm="1">
        <f t="array" ref="O572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572" s="5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572" s="5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572" s="5" cm="1">
        <f t="array" ref="S572">MIN(IF((ContinuousStatsTable[GroupByKey]=ContinuousStatsTable[[#This Row],[GroupByKey]]),(ContinuousStatsTable[GroupByKey]=ContinuousStatsTable[[#This Row],[GroupByKey]])*ContinuousStatsTable[Average]))</f>
        <v>1.3726163545041801</v>
      </c>
      <c r="T572" s="5" cm="1">
        <f t="array" ref="T572">MAX(IF((ContinuousStatsTable[GroupByKey]=ContinuousStatsTable[[#This Row],[GroupByKey]]),(ContinuousStatsTable[GroupByKey]=ContinuousStatsTable[[#This Row],[GroupByKey]])*ContinuousStatsTable[Average]))</f>
        <v>1.7968913949876599</v>
      </c>
      <c r="U572" s="5">
        <f>IF((ContinuousStatsTable[[#This Row],[RepsRequested]]&gt;1),ContinuousStatsTable[[#This Row],[HalfWidth]],ContinuousStatsTable[[#This Row],[BatchMeansHalfWidth]])</f>
        <v>4.3123628688677348E-2</v>
      </c>
    </row>
    <row r="573" spans="1:21" x14ac:dyDescent="0.3">
      <c r="A573" t="s">
        <v>66</v>
      </c>
      <c r="B573" t="s">
        <v>68</v>
      </c>
      <c r="C573">
        <v>15</v>
      </c>
      <c r="D573" t="s">
        <v>102</v>
      </c>
      <c r="E573" t="s">
        <v>97</v>
      </c>
      <c r="F573" t="s">
        <v>95</v>
      </c>
      <c r="G573">
        <v>2</v>
      </c>
      <c r="H573">
        <v>2E+20</v>
      </c>
      <c r="I573">
        <v>1</v>
      </c>
      <c r="J573">
        <v>3</v>
      </c>
      <c r="K573">
        <v>1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573" s="5" cm="1">
        <f t="array" ref="N573">MAX(IF((ProjectInfoTable[ProjectName]=ContinuousStatsTable[[#This Row],[ProjectName]]),(ProjectInfoTable[ProjectName]=ContinuousStatsTable[[#This Row],[ProjectName]])*ProjectInfoTable[NumberOfReplications]))</f>
        <v>30</v>
      </c>
      <c r="O573" s="5" cm="1">
        <f t="array" ref="O573">IFERROR(AVERAGE(IF((ContinuousStatsTable[GroupByKey]=ContinuousStatsTable[[#This Row],[GroupByKey]]),(ContinuousStatsTable[GroupByKey]=ContinuousStatsTable[[#This Row],[GroupByKey]])*ContinuousStatsTable[Average])),0)</f>
        <v>2</v>
      </c>
      <c r="P573" s="5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s="5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s="5" cm="1">
        <f t="array" ref="S573">MIN(IF((ContinuousStatsTable[GroupByKey]=ContinuousStatsTable[[#This Row],[GroupByKey]]),(ContinuousStatsTable[GroupByKey]=ContinuousStatsTable[[#This Row],[GroupByKey]])*ContinuousStatsTable[Average]))</f>
        <v>2</v>
      </c>
      <c r="T573" s="5" cm="1">
        <f t="array" ref="T573">MAX(IF((ContinuousStatsTable[GroupByKey]=ContinuousStatsTable[[#This Row],[GroupByKey]]),(ContinuousStatsTable[GroupByKey]=ContinuousStatsTable[[#This Row],[GroupByKey]])*ContinuousStatsTable[Average]))</f>
        <v>2</v>
      </c>
      <c r="U573" s="5">
        <f>IF((ContinuousStatsTable[[#This Row],[RepsRequested]]&gt;1),ContinuousStatsTable[[#This Row],[HalfWidth]],ContinuousStatsTable[[#This Row],[BatchMeansHalfWidth]])</f>
        <v>0</v>
      </c>
    </row>
    <row r="574" spans="1:21" x14ac:dyDescent="0.3">
      <c r="A574" t="s">
        <v>66</v>
      </c>
      <c r="B574" t="s">
        <v>68</v>
      </c>
      <c r="C574">
        <v>15</v>
      </c>
      <c r="D574" t="s">
        <v>84</v>
      </c>
      <c r="E574" t="s">
        <v>103</v>
      </c>
      <c r="F574" t="s">
        <v>86</v>
      </c>
      <c r="G574">
        <v>40.980019509100799</v>
      </c>
      <c r="H574">
        <v>2E+20</v>
      </c>
      <c r="I574">
        <v>0</v>
      </c>
      <c r="J574">
        <v>74</v>
      </c>
      <c r="K574">
        <v>39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574" s="5" cm="1">
        <f t="array" ref="N574">MAX(IF((ProjectInfoTable[ProjectName]=ContinuousStatsTable[[#This Row],[ProjectName]]),(ProjectInfoTable[ProjectName]=ContinuousStatsTable[[#This Row],[ProjectName]])*ProjectInfoTable[NumberOfReplications]))</f>
        <v>30</v>
      </c>
      <c r="O574" s="5" cm="1">
        <f t="array" ref="O574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574" s="5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574" s="5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574" s="5" cm="1">
        <f t="array" ref="S574">MIN(IF((ContinuousStatsTable[GroupByKey]=ContinuousStatsTable[[#This Row],[GroupByKey]]),(ContinuousStatsTable[GroupByKey]=ContinuousStatsTable[[#This Row],[GroupByKey]])*ContinuousStatsTable[Average]))</f>
        <v>36.709886237305</v>
      </c>
      <c r="T574" s="5" cm="1">
        <f t="array" ref="T574">MAX(IF((ContinuousStatsTable[GroupByKey]=ContinuousStatsTable[[#This Row],[GroupByKey]]),(ContinuousStatsTable[GroupByKey]=ContinuousStatsTable[[#This Row],[GroupByKey]])*ContinuousStatsTable[Average]))</f>
        <v>84.594951996708403</v>
      </c>
      <c r="U574" s="5">
        <f>IF((ContinuousStatsTable[[#This Row],[RepsRequested]]&gt;1),ContinuousStatsTable[[#This Row],[HalfWidth]],ContinuousStatsTable[[#This Row],[BatchMeansHalfWidth]])</f>
        <v>4.0384933567271259</v>
      </c>
    </row>
    <row r="575" spans="1:21" x14ac:dyDescent="0.3">
      <c r="A575" t="s">
        <v>66</v>
      </c>
      <c r="B575" t="s">
        <v>68</v>
      </c>
      <c r="C575">
        <v>15</v>
      </c>
      <c r="D575" t="s">
        <v>104</v>
      </c>
      <c r="E575" t="s">
        <v>94</v>
      </c>
      <c r="F575" t="s">
        <v>95</v>
      </c>
      <c r="G575">
        <v>0</v>
      </c>
      <c r="H575">
        <v>2E+20</v>
      </c>
      <c r="I575">
        <v>0</v>
      </c>
      <c r="J575">
        <v>0</v>
      </c>
      <c r="K575">
        <v>0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575" s="5" cm="1">
        <f t="array" ref="N575">MAX(IF((ProjectInfoTable[ProjectName]=ContinuousStatsTable[[#This Row],[ProjectName]]),(ProjectInfoTable[ProjectName]=ContinuousStatsTable[[#This Row],[ProjectName]])*ProjectInfoTable[NumberOfReplications]))</f>
        <v>30</v>
      </c>
      <c r="O575" s="5" cm="1">
        <f t="array" ref="O575">IFERROR(AVERAGE(IF((ContinuousStatsTable[GroupByKey]=ContinuousStatsTable[[#This Row],[GroupByKey]]),(ContinuousStatsTable[GroupByKey]=ContinuousStatsTable[[#This Row],[GroupByKey]])*ContinuousStatsTable[Average])),0)</f>
        <v>0</v>
      </c>
      <c r="P575" s="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0</v>
      </c>
      <c r="Q575" s="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5" s="5" cm="1">
        <f t="array" ref="S575">MIN(IF((ContinuousStatsTable[GroupByKey]=ContinuousStatsTable[[#This Row],[GroupByKey]]),(ContinuousStatsTable[GroupByKey]=ContinuousStatsTable[[#This Row],[GroupByKey]])*ContinuousStatsTable[Average]))</f>
        <v>0</v>
      </c>
      <c r="T575" s="5" cm="1">
        <f t="array" ref="T575">MAX(IF((ContinuousStatsTable[GroupByKey]=ContinuousStatsTable[[#This Row],[GroupByKey]]),(ContinuousStatsTable[GroupByKey]=ContinuousStatsTable[[#This Row],[GroupByKey]])*ContinuousStatsTable[Average]))</f>
        <v>0</v>
      </c>
      <c r="U575" s="5">
        <f>IF((ContinuousStatsTable[[#This Row],[RepsRequested]]&gt;1),ContinuousStatsTable[[#This Row],[HalfWidth]],ContinuousStatsTable[[#This Row],[BatchMeansHalfWidth]])</f>
        <v>0</v>
      </c>
    </row>
    <row r="576" spans="1:21" x14ac:dyDescent="0.3">
      <c r="A576" t="s">
        <v>66</v>
      </c>
      <c r="B576" t="s">
        <v>68</v>
      </c>
      <c r="C576">
        <v>15</v>
      </c>
      <c r="D576" t="s">
        <v>104</v>
      </c>
      <c r="E576" t="s">
        <v>96</v>
      </c>
      <c r="F576" t="s">
        <v>95</v>
      </c>
      <c r="G576">
        <v>0</v>
      </c>
      <c r="H576">
        <v>2E+20</v>
      </c>
      <c r="I576">
        <v>0</v>
      </c>
      <c r="J576">
        <v>0</v>
      </c>
      <c r="K576">
        <v>0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576" s="5" cm="1">
        <f t="array" ref="N576">MAX(IF((ProjectInfoTable[ProjectName]=ContinuousStatsTable[[#This Row],[ProjectName]]),(ProjectInfoTable[ProjectName]=ContinuousStatsTable[[#This Row],[ProjectName]])*ProjectInfoTable[NumberOfReplications]))</f>
        <v>30</v>
      </c>
      <c r="O576" s="5" cm="1">
        <f t="array" ref="O576">IFERROR(AVERAGE(IF((ContinuousStatsTable[GroupByKey]=ContinuousStatsTable[[#This Row],[GroupByKey]]),(ContinuousStatsTable[GroupByKey]=ContinuousStatsTable[[#This Row],[GroupByKey]])*ContinuousStatsTable[Average])),0)</f>
        <v>0</v>
      </c>
      <c r="P576" s="5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0</v>
      </c>
      <c r="Q576" s="5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6" s="5" cm="1">
        <f t="array" ref="S576">MIN(IF((ContinuousStatsTable[GroupByKey]=ContinuousStatsTable[[#This Row],[GroupByKey]]),(ContinuousStatsTable[GroupByKey]=ContinuousStatsTable[[#This Row],[GroupByKey]])*ContinuousStatsTable[Average]))</f>
        <v>0</v>
      </c>
      <c r="T576" s="5" cm="1">
        <f t="array" ref="T576">MAX(IF((ContinuousStatsTable[GroupByKey]=ContinuousStatsTable[[#This Row],[GroupByKey]]),(ContinuousStatsTable[GroupByKey]=ContinuousStatsTable[[#This Row],[GroupByKey]])*ContinuousStatsTable[Average]))</f>
        <v>0</v>
      </c>
      <c r="U576" s="5">
        <f>IF((ContinuousStatsTable[[#This Row],[RepsRequested]]&gt;1),ContinuousStatsTable[[#This Row],[HalfWidth]],ContinuousStatsTable[[#This Row],[BatchMeansHalfWidth]])</f>
        <v>0</v>
      </c>
    </row>
    <row r="577" spans="1:21" x14ac:dyDescent="0.3">
      <c r="A577" t="s">
        <v>66</v>
      </c>
      <c r="B577" t="s">
        <v>68</v>
      </c>
      <c r="C577">
        <v>15</v>
      </c>
      <c r="D577" t="s">
        <v>104</v>
      </c>
      <c r="E577" t="s">
        <v>97</v>
      </c>
      <c r="F577" t="s">
        <v>95</v>
      </c>
      <c r="G577">
        <v>3</v>
      </c>
      <c r="H577">
        <v>2E+20</v>
      </c>
      <c r="I577">
        <v>3</v>
      </c>
      <c r="J577">
        <v>3</v>
      </c>
      <c r="K577">
        <v>3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577" s="5" cm="1">
        <f t="array" ref="N577">MAX(IF((ProjectInfoTable[ProjectName]=ContinuousStatsTable[[#This Row],[ProjectName]]),(ProjectInfoTable[ProjectName]=ContinuousStatsTable[[#This Row],[ProjectName]])*ProjectInfoTable[NumberOfReplications]))</f>
        <v>30</v>
      </c>
      <c r="O577" s="5" cm="1">
        <f t="array" ref="O577">IFERROR(AVERAGE(IF((ContinuousStatsTable[GroupByKey]=ContinuousStatsTable[[#This Row],[GroupByKey]]),(ContinuousStatsTable[GroupByKey]=ContinuousStatsTable[[#This Row],[GroupByKey]])*ContinuousStatsTable[Average])),0)</f>
        <v>3</v>
      </c>
      <c r="P577" s="5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s="5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s="5" cm="1">
        <f t="array" ref="S577">MIN(IF((ContinuousStatsTable[GroupByKey]=ContinuousStatsTable[[#This Row],[GroupByKey]]),(ContinuousStatsTable[GroupByKey]=ContinuousStatsTable[[#This Row],[GroupByKey]])*ContinuousStatsTable[Average]))</f>
        <v>3</v>
      </c>
      <c r="T577" s="5" cm="1">
        <f t="array" ref="T577">MAX(IF((ContinuousStatsTable[GroupByKey]=ContinuousStatsTable[[#This Row],[GroupByKey]]),(ContinuousStatsTable[GroupByKey]=ContinuousStatsTable[[#This Row],[GroupByKey]])*ContinuousStatsTable[Average]))</f>
        <v>3</v>
      </c>
      <c r="U577" s="5">
        <f>IF((ContinuousStatsTable[[#This Row],[RepsRequested]]&gt;1),ContinuousStatsTable[[#This Row],[HalfWidth]],ContinuousStatsTable[[#This Row],[BatchMeansHalfWidth]])</f>
        <v>0</v>
      </c>
    </row>
    <row r="578" spans="1:21" x14ac:dyDescent="0.3">
      <c r="A578" t="s">
        <v>66</v>
      </c>
      <c r="B578" t="s">
        <v>68</v>
      </c>
      <c r="C578">
        <v>15</v>
      </c>
      <c r="D578" t="s">
        <v>105</v>
      </c>
      <c r="E578" t="s">
        <v>94</v>
      </c>
      <c r="F578" t="s">
        <v>95</v>
      </c>
      <c r="G578">
        <v>0.634589476164233</v>
      </c>
      <c r="H578">
        <v>2E+20</v>
      </c>
      <c r="I578">
        <v>0</v>
      </c>
      <c r="J578">
        <v>1</v>
      </c>
      <c r="K578">
        <v>1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578" s="5" cm="1">
        <f t="array" ref="N578">MAX(IF((ProjectInfoTable[ProjectName]=ContinuousStatsTable[[#This Row],[ProjectName]]),(ProjectInfoTable[ProjectName]=ContinuousStatsTable[[#This Row],[ProjectName]])*ProjectInfoTable[NumberOfReplications]))</f>
        <v>30</v>
      </c>
      <c r="O578" s="5" cm="1">
        <f t="array" ref="O578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578" s="5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578" s="5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578" s="5" cm="1">
        <f t="array" ref="S578">MIN(IF((ContinuousStatsTable[GroupByKey]=ContinuousStatsTable[[#This Row],[GroupByKey]]),(ContinuousStatsTable[GroupByKey]=ContinuousStatsTable[[#This Row],[GroupByKey]])*ContinuousStatsTable[Average]))</f>
        <v>0.634589476164233</v>
      </c>
      <c r="T578" s="5" cm="1">
        <f t="array" ref="T578">MAX(IF((ContinuousStatsTable[GroupByKey]=ContinuousStatsTable[[#This Row],[GroupByKey]]),(ContinuousStatsTable[GroupByKey]=ContinuousStatsTable[[#This Row],[GroupByKey]])*ContinuousStatsTable[Average]))</f>
        <v>0.99383259650362799</v>
      </c>
      <c r="U578" s="5">
        <f>IF((ContinuousStatsTable[[#This Row],[RepsRequested]]&gt;1),ContinuousStatsTable[[#This Row],[HalfWidth]],ContinuousStatsTable[[#This Row],[BatchMeansHalfWidth]])</f>
        <v>3.9940526897700258E-2</v>
      </c>
    </row>
    <row r="579" spans="1:21" x14ac:dyDescent="0.3">
      <c r="A579" t="s">
        <v>66</v>
      </c>
      <c r="B579" t="s">
        <v>68</v>
      </c>
      <c r="C579">
        <v>15</v>
      </c>
      <c r="D579" t="s">
        <v>105</v>
      </c>
      <c r="E579" t="s">
        <v>96</v>
      </c>
      <c r="F579" t="s">
        <v>95</v>
      </c>
      <c r="G579">
        <v>0.634589476164233</v>
      </c>
      <c r="H579">
        <v>2E+20</v>
      </c>
      <c r="I579">
        <v>0</v>
      </c>
      <c r="J579">
        <v>1</v>
      </c>
      <c r="K579">
        <v>1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579" s="5" cm="1">
        <f t="array" ref="N579">MAX(IF((ProjectInfoTable[ProjectName]=ContinuousStatsTable[[#This Row],[ProjectName]]),(ProjectInfoTable[ProjectName]=ContinuousStatsTable[[#This Row],[ProjectName]])*ProjectInfoTable[NumberOfReplications]))</f>
        <v>30</v>
      </c>
      <c r="O579" s="5" cm="1">
        <f t="array" ref="O579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579" s="5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579" s="5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579" s="5" cm="1">
        <f t="array" ref="S579">MIN(IF((ContinuousStatsTable[GroupByKey]=ContinuousStatsTable[[#This Row],[GroupByKey]]),(ContinuousStatsTable[GroupByKey]=ContinuousStatsTable[[#This Row],[GroupByKey]])*ContinuousStatsTable[Average]))</f>
        <v>0.634589476164233</v>
      </c>
      <c r="T579" s="5" cm="1">
        <f t="array" ref="T579">MAX(IF((ContinuousStatsTable[GroupByKey]=ContinuousStatsTable[[#This Row],[GroupByKey]]),(ContinuousStatsTable[GroupByKey]=ContinuousStatsTable[[#This Row],[GroupByKey]])*ContinuousStatsTable[Average]))</f>
        <v>0.99383259650362799</v>
      </c>
      <c r="U579" s="5">
        <f>IF((ContinuousStatsTable[[#This Row],[RepsRequested]]&gt;1),ContinuousStatsTable[[#This Row],[HalfWidth]],ContinuousStatsTable[[#This Row],[BatchMeansHalfWidth]])</f>
        <v>3.9940526897700258E-2</v>
      </c>
    </row>
    <row r="580" spans="1:21" x14ac:dyDescent="0.3">
      <c r="A580" t="s">
        <v>66</v>
      </c>
      <c r="B580" t="s">
        <v>68</v>
      </c>
      <c r="C580">
        <v>15</v>
      </c>
      <c r="D580" t="s">
        <v>105</v>
      </c>
      <c r="E580" t="s">
        <v>97</v>
      </c>
      <c r="F580" t="s">
        <v>95</v>
      </c>
      <c r="G580">
        <v>1</v>
      </c>
      <c r="H580">
        <v>2E+20</v>
      </c>
      <c r="I580">
        <v>1</v>
      </c>
      <c r="J580">
        <v>1</v>
      </c>
      <c r="K580">
        <v>1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580" s="5" cm="1">
        <f t="array" ref="N580">MAX(IF((ProjectInfoTable[ProjectName]=ContinuousStatsTable[[#This Row],[ProjectName]]),(ProjectInfoTable[ProjectName]=ContinuousStatsTable[[#This Row],[ProjectName]])*ProjectInfoTable[NumberOfReplications]))</f>
        <v>30</v>
      </c>
      <c r="O580" s="5" cm="1">
        <f t="array" ref="O580">IFERROR(AVERAGE(IF((ContinuousStatsTable[GroupByKey]=ContinuousStatsTable[[#This Row],[GroupByKey]]),(ContinuousStatsTable[GroupByKey]=ContinuousStatsTable[[#This Row],[GroupByKey]])*ContinuousStatsTable[Average])),0)</f>
        <v>1</v>
      </c>
      <c r="P580" s="5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0</v>
      </c>
      <c r="Q580" s="5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0" s="5" cm="1">
        <f t="array" ref="S580">MIN(IF((ContinuousStatsTable[GroupByKey]=ContinuousStatsTable[[#This Row],[GroupByKey]]),(ContinuousStatsTable[GroupByKey]=ContinuousStatsTable[[#This Row],[GroupByKey]])*ContinuousStatsTable[Average]))</f>
        <v>1</v>
      </c>
      <c r="T580" s="5" cm="1">
        <f t="array" ref="T580">MAX(IF((ContinuousStatsTable[GroupByKey]=ContinuousStatsTable[[#This Row],[GroupByKey]]),(ContinuousStatsTable[GroupByKey]=ContinuousStatsTable[[#This Row],[GroupByKey]])*ContinuousStatsTable[Average]))</f>
        <v>1</v>
      </c>
      <c r="U580" s="5">
        <f>IF((ContinuousStatsTable[[#This Row],[RepsRequested]]&gt;1),ContinuousStatsTable[[#This Row],[HalfWidth]],ContinuousStatsTable[[#This Row],[BatchMeansHalfWidth]])</f>
        <v>0</v>
      </c>
    </row>
    <row r="581" spans="1:21" x14ac:dyDescent="0.3">
      <c r="A581" t="s">
        <v>66</v>
      </c>
      <c r="B581" t="s">
        <v>68</v>
      </c>
      <c r="C581">
        <v>15</v>
      </c>
      <c r="D581" t="s">
        <v>106</v>
      </c>
      <c r="E581" t="s">
        <v>94</v>
      </c>
      <c r="F581" t="s">
        <v>95</v>
      </c>
      <c r="G581">
        <v>0.74546776871926002</v>
      </c>
      <c r="H581">
        <v>2E+20</v>
      </c>
      <c r="I581">
        <v>0</v>
      </c>
      <c r="J581">
        <v>1</v>
      </c>
      <c r="K581">
        <v>1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581" s="5" cm="1">
        <f t="array" ref="N581">MAX(IF((ProjectInfoTable[ProjectName]=ContinuousStatsTable[[#This Row],[ProjectName]]),(ProjectInfoTable[ProjectName]=ContinuousStatsTable[[#This Row],[ProjectName]])*ProjectInfoTable[NumberOfReplications]))</f>
        <v>30</v>
      </c>
      <c r="O581" s="5" cm="1">
        <f t="array" ref="O581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581" s="5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581" s="5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581" s="5" cm="1">
        <f t="array" ref="S581">MIN(IF((ContinuousStatsTable[GroupByKey]=ContinuousStatsTable[[#This Row],[GroupByKey]]),(ContinuousStatsTable[GroupByKey]=ContinuousStatsTable[[#This Row],[GroupByKey]])*ContinuousStatsTable[Average]))</f>
        <v>0.74061105631083801</v>
      </c>
      <c r="T581" s="5" cm="1">
        <f t="array" ref="T581">MAX(IF((ContinuousStatsTable[GroupByKey]=ContinuousStatsTable[[#This Row],[GroupByKey]]),(ContinuousStatsTable[GroupByKey]=ContinuousStatsTable[[#This Row],[GroupByKey]])*ContinuousStatsTable[Average]))</f>
        <v>0.99245161744166299</v>
      </c>
      <c r="U581" s="5">
        <f>IF((ContinuousStatsTable[[#This Row],[RepsRequested]]&gt;1),ContinuousStatsTable[[#This Row],[HalfWidth]],ContinuousStatsTable[[#This Row],[BatchMeansHalfWidth]])</f>
        <v>2.8912497794626357E-2</v>
      </c>
    </row>
    <row r="582" spans="1:21" x14ac:dyDescent="0.3">
      <c r="A582" t="s">
        <v>66</v>
      </c>
      <c r="B582" t="s">
        <v>68</v>
      </c>
      <c r="C582">
        <v>15</v>
      </c>
      <c r="D582" t="s">
        <v>106</v>
      </c>
      <c r="E582" t="s">
        <v>96</v>
      </c>
      <c r="F582" t="s">
        <v>95</v>
      </c>
      <c r="G582">
        <v>0.74546776871926002</v>
      </c>
      <c r="H582">
        <v>2E+20</v>
      </c>
      <c r="I582">
        <v>0</v>
      </c>
      <c r="J582">
        <v>1</v>
      </c>
      <c r="K582">
        <v>1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582" s="5" cm="1">
        <f t="array" ref="N582">MAX(IF((ProjectInfoTable[ProjectName]=ContinuousStatsTable[[#This Row],[ProjectName]]),(ProjectInfoTable[ProjectName]=ContinuousStatsTable[[#This Row],[ProjectName]])*ProjectInfoTable[NumberOfReplications]))</f>
        <v>30</v>
      </c>
      <c r="O582" s="5" cm="1">
        <f t="array" ref="O582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582" s="5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582" s="5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582" s="5" cm="1">
        <f t="array" ref="S582">MIN(IF((ContinuousStatsTable[GroupByKey]=ContinuousStatsTable[[#This Row],[GroupByKey]]),(ContinuousStatsTable[GroupByKey]=ContinuousStatsTable[[#This Row],[GroupByKey]])*ContinuousStatsTable[Average]))</f>
        <v>0.74061105631083801</v>
      </c>
      <c r="T582" s="5" cm="1">
        <f t="array" ref="T582">MAX(IF((ContinuousStatsTable[GroupByKey]=ContinuousStatsTable[[#This Row],[GroupByKey]]),(ContinuousStatsTable[GroupByKey]=ContinuousStatsTable[[#This Row],[GroupByKey]])*ContinuousStatsTable[Average]))</f>
        <v>0.99245161744166299</v>
      </c>
      <c r="U582" s="5">
        <f>IF((ContinuousStatsTable[[#This Row],[RepsRequested]]&gt;1),ContinuousStatsTable[[#This Row],[HalfWidth]],ContinuousStatsTable[[#This Row],[BatchMeansHalfWidth]])</f>
        <v>2.8912497794626357E-2</v>
      </c>
    </row>
    <row r="583" spans="1:21" x14ac:dyDescent="0.3">
      <c r="A583" t="s">
        <v>66</v>
      </c>
      <c r="B583" t="s">
        <v>68</v>
      </c>
      <c r="C583">
        <v>15</v>
      </c>
      <c r="D583" t="s">
        <v>106</v>
      </c>
      <c r="E583" t="s">
        <v>97</v>
      </c>
      <c r="F583" t="s">
        <v>95</v>
      </c>
      <c r="G583">
        <v>1</v>
      </c>
      <c r="H583">
        <v>2E+20</v>
      </c>
      <c r="I583">
        <v>1</v>
      </c>
      <c r="J583">
        <v>1</v>
      </c>
      <c r="K583">
        <v>1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583" s="5" cm="1">
        <f t="array" ref="N583">MAX(IF((ProjectInfoTable[ProjectName]=ContinuousStatsTable[[#This Row],[ProjectName]]),(ProjectInfoTable[ProjectName]=ContinuousStatsTable[[#This Row],[ProjectName]])*ProjectInfoTable[NumberOfReplications]))</f>
        <v>30</v>
      </c>
      <c r="O583" s="5" cm="1">
        <f t="array" ref="O583">IFERROR(AVERAGE(IF((ContinuousStatsTable[GroupByKey]=ContinuousStatsTable[[#This Row],[GroupByKey]]),(ContinuousStatsTable[GroupByKey]=ContinuousStatsTable[[#This Row],[GroupByKey]])*ContinuousStatsTable[Average])),0)</f>
        <v>1</v>
      </c>
      <c r="P583" s="5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0</v>
      </c>
      <c r="Q583" s="5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3" s="5" cm="1">
        <f t="array" ref="S583">MIN(IF((ContinuousStatsTable[GroupByKey]=ContinuousStatsTable[[#This Row],[GroupByKey]]),(ContinuousStatsTable[GroupByKey]=ContinuousStatsTable[[#This Row],[GroupByKey]])*ContinuousStatsTable[Average]))</f>
        <v>1</v>
      </c>
      <c r="T583" s="5" cm="1">
        <f t="array" ref="T583">MAX(IF((ContinuousStatsTable[GroupByKey]=ContinuousStatsTable[[#This Row],[GroupByKey]]),(ContinuousStatsTable[GroupByKey]=ContinuousStatsTable[[#This Row],[GroupByKey]])*ContinuousStatsTable[Average]))</f>
        <v>1</v>
      </c>
      <c r="U583" s="5">
        <f>IF((ContinuousStatsTable[[#This Row],[RepsRequested]]&gt;1),ContinuousStatsTable[[#This Row],[HalfWidth]],ContinuousStatsTable[[#This Row],[BatchMeansHalfWidth]])</f>
        <v>0</v>
      </c>
    </row>
    <row r="584" spans="1:21" x14ac:dyDescent="0.3">
      <c r="A584" t="s">
        <v>66</v>
      </c>
      <c r="B584" t="s">
        <v>68</v>
      </c>
      <c r="C584">
        <v>15</v>
      </c>
      <c r="D584" t="s">
        <v>107</v>
      </c>
      <c r="E584" t="s">
        <v>94</v>
      </c>
      <c r="F584" t="s">
        <v>95</v>
      </c>
      <c r="G584">
        <v>0.75085394188093801</v>
      </c>
      <c r="H584">
        <v>2E+20</v>
      </c>
      <c r="I584">
        <v>0</v>
      </c>
      <c r="J584">
        <v>1</v>
      </c>
      <c r="K584">
        <v>1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584" s="5" cm="1">
        <f t="array" ref="N584">MAX(IF((ProjectInfoTable[ProjectName]=ContinuousStatsTable[[#This Row],[ProjectName]]),(ProjectInfoTable[ProjectName]=ContinuousStatsTable[[#This Row],[ProjectName]])*ProjectInfoTable[NumberOfReplications]))</f>
        <v>30</v>
      </c>
      <c r="O584" s="5" cm="1">
        <f t="array" ref="O584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584" s="5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584" s="5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584" s="5" cm="1">
        <f t="array" ref="S584">MIN(IF((ContinuousStatsTable[GroupByKey]=ContinuousStatsTable[[#This Row],[GroupByKey]]),(ContinuousStatsTable[GroupByKey]=ContinuousStatsTable[[#This Row],[GroupByKey]])*ContinuousStatsTable[Average]))</f>
        <v>0.73843386001690303</v>
      </c>
      <c r="T584" s="5" cm="1">
        <f t="array" ref="T584">MAX(IF((ContinuousStatsTable[GroupByKey]=ContinuousStatsTable[[#This Row],[GroupByKey]]),(ContinuousStatsTable[GroupByKey]=ContinuousStatsTable[[#This Row],[GroupByKey]])*ContinuousStatsTable[Average]))</f>
        <v>0.99245161744166299</v>
      </c>
      <c r="U584" s="5">
        <f>IF((ContinuousStatsTable[[#This Row],[RepsRequested]]&gt;1),ContinuousStatsTable[[#This Row],[HalfWidth]],ContinuousStatsTable[[#This Row],[BatchMeansHalfWidth]])</f>
        <v>2.6057642646860522E-2</v>
      </c>
    </row>
    <row r="585" spans="1:21" x14ac:dyDescent="0.3">
      <c r="A585" t="s">
        <v>66</v>
      </c>
      <c r="B585" t="s">
        <v>68</v>
      </c>
      <c r="C585">
        <v>15</v>
      </c>
      <c r="D585" t="s">
        <v>107</v>
      </c>
      <c r="E585" t="s">
        <v>96</v>
      </c>
      <c r="F585" t="s">
        <v>95</v>
      </c>
      <c r="G585">
        <v>0.75085394188093801</v>
      </c>
      <c r="H585">
        <v>2E+20</v>
      </c>
      <c r="I585">
        <v>0</v>
      </c>
      <c r="J585">
        <v>1</v>
      </c>
      <c r="K585">
        <v>1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585" s="5" cm="1">
        <f t="array" ref="N585">MAX(IF((ProjectInfoTable[ProjectName]=ContinuousStatsTable[[#This Row],[ProjectName]]),(ProjectInfoTable[ProjectName]=ContinuousStatsTable[[#This Row],[ProjectName]])*ProjectInfoTable[NumberOfReplications]))</f>
        <v>30</v>
      </c>
      <c r="O585" s="5" cm="1">
        <f t="array" ref="O585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585" s="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585" s="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585" s="5" cm="1">
        <f t="array" ref="S585">MIN(IF((ContinuousStatsTable[GroupByKey]=ContinuousStatsTable[[#This Row],[GroupByKey]]),(ContinuousStatsTable[GroupByKey]=ContinuousStatsTable[[#This Row],[GroupByKey]])*ContinuousStatsTable[Average]))</f>
        <v>0.73843386001690303</v>
      </c>
      <c r="T585" s="5" cm="1">
        <f t="array" ref="T585">MAX(IF((ContinuousStatsTable[GroupByKey]=ContinuousStatsTable[[#This Row],[GroupByKey]]),(ContinuousStatsTable[GroupByKey]=ContinuousStatsTable[[#This Row],[GroupByKey]])*ContinuousStatsTable[Average]))</f>
        <v>0.99245161744166299</v>
      </c>
      <c r="U585" s="5">
        <f>IF((ContinuousStatsTable[[#This Row],[RepsRequested]]&gt;1),ContinuousStatsTable[[#This Row],[HalfWidth]],ContinuousStatsTable[[#This Row],[BatchMeansHalfWidth]])</f>
        <v>2.6057642646860522E-2</v>
      </c>
    </row>
    <row r="586" spans="1:21" x14ac:dyDescent="0.3">
      <c r="A586" t="s">
        <v>66</v>
      </c>
      <c r="B586" t="s">
        <v>68</v>
      </c>
      <c r="C586">
        <v>15</v>
      </c>
      <c r="D586" t="s">
        <v>107</v>
      </c>
      <c r="E586" t="s">
        <v>97</v>
      </c>
      <c r="F586" t="s">
        <v>95</v>
      </c>
      <c r="G586">
        <v>1</v>
      </c>
      <c r="H586">
        <v>2E+20</v>
      </c>
      <c r="I586">
        <v>1</v>
      </c>
      <c r="J586">
        <v>1</v>
      </c>
      <c r="K586">
        <v>1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586" s="5" cm="1">
        <f t="array" ref="N586">MAX(IF((ProjectInfoTable[ProjectName]=ContinuousStatsTable[[#This Row],[ProjectName]]),(ProjectInfoTable[ProjectName]=ContinuousStatsTable[[#This Row],[ProjectName]])*ProjectInfoTable[NumberOfReplications]))</f>
        <v>30</v>
      </c>
      <c r="O586" s="5" cm="1">
        <f t="array" ref="O586">IFERROR(AVERAGE(IF((ContinuousStatsTable[GroupByKey]=ContinuousStatsTable[[#This Row],[GroupByKey]]),(ContinuousStatsTable[GroupByKey]=ContinuousStatsTable[[#This Row],[GroupByKey]])*ContinuousStatsTable[Average])),0)</f>
        <v>1</v>
      </c>
      <c r="P586" s="5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s="5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s="5" cm="1">
        <f t="array" ref="S586">MIN(IF((ContinuousStatsTable[GroupByKey]=ContinuousStatsTable[[#This Row],[GroupByKey]]),(ContinuousStatsTable[GroupByKey]=ContinuousStatsTable[[#This Row],[GroupByKey]])*ContinuousStatsTable[Average]))</f>
        <v>1</v>
      </c>
      <c r="T586" s="5" cm="1">
        <f t="array" ref="T586">MAX(IF((ContinuousStatsTable[GroupByKey]=ContinuousStatsTable[[#This Row],[GroupByKey]]),(ContinuousStatsTable[GroupByKey]=ContinuousStatsTable[[#This Row],[GroupByKey]])*ContinuousStatsTable[Average]))</f>
        <v>1</v>
      </c>
      <c r="U586" s="5">
        <f>IF((ContinuousStatsTable[[#This Row],[RepsRequested]]&gt;1),ContinuousStatsTable[[#This Row],[HalfWidth]],ContinuousStatsTable[[#This Row],[BatchMeansHalfWidth]])</f>
        <v>0</v>
      </c>
    </row>
    <row r="587" spans="1:21" x14ac:dyDescent="0.3">
      <c r="A587" t="s">
        <v>66</v>
      </c>
      <c r="B587" t="s">
        <v>68</v>
      </c>
      <c r="C587">
        <v>16</v>
      </c>
      <c r="D587" t="s">
        <v>69</v>
      </c>
      <c r="E587" t="s">
        <v>92</v>
      </c>
      <c r="F587" t="s">
        <v>71</v>
      </c>
      <c r="G587">
        <v>8.4577257056892101</v>
      </c>
      <c r="H587">
        <v>2E+20</v>
      </c>
      <c r="I587">
        <v>0</v>
      </c>
      <c r="J587">
        <v>31</v>
      </c>
      <c r="K587">
        <v>1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587" s="5" cm="1">
        <f t="array" ref="N587">MAX(IF((ProjectInfoTable[ProjectName]=ContinuousStatsTable[[#This Row],[ProjectName]]),(ProjectInfoTable[ProjectName]=ContinuousStatsTable[[#This Row],[ProjectName]])*ProjectInfoTable[NumberOfReplications]))</f>
        <v>30</v>
      </c>
      <c r="O587" s="5" cm="1">
        <f t="array" ref="O587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587" s="5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587" s="5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587" s="5" cm="1">
        <f t="array" ref="S587">MIN(IF((ContinuousStatsTable[GroupByKey]=ContinuousStatsTable[[#This Row],[GroupByKey]]),(ContinuousStatsTable[GroupByKey]=ContinuousStatsTable[[#This Row],[GroupByKey]])*ContinuousStatsTable[Average]))</f>
        <v>2.2853775994771</v>
      </c>
      <c r="T587" s="5" cm="1">
        <f t="array" ref="T587">MAX(IF((ContinuousStatsTable[GroupByKey]=ContinuousStatsTable[[#This Row],[GroupByKey]]),(ContinuousStatsTable[GroupByKey]=ContinuousStatsTable[[#This Row],[GroupByKey]])*ContinuousStatsTable[Average]))</f>
        <v>9.3827575078214593</v>
      </c>
      <c r="U587" s="5">
        <f>IF((ContinuousStatsTable[[#This Row],[RepsRequested]]&gt;1),ContinuousStatsTable[[#This Row],[HalfWidth]],ContinuousStatsTable[[#This Row],[BatchMeansHalfWidth]])</f>
        <v>0.70373665421471332</v>
      </c>
    </row>
    <row r="588" spans="1:21" x14ac:dyDescent="0.3">
      <c r="A588" t="s">
        <v>66</v>
      </c>
      <c r="B588" t="s">
        <v>68</v>
      </c>
      <c r="C588">
        <v>16</v>
      </c>
      <c r="D588" t="s">
        <v>72</v>
      </c>
      <c r="E588" t="s">
        <v>92</v>
      </c>
      <c r="F588" t="s">
        <v>71</v>
      </c>
      <c r="G588">
        <v>5.5890741816803002</v>
      </c>
      <c r="H588">
        <v>2E+20</v>
      </c>
      <c r="I588">
        <v>0</v>
      </c>
      <c r="J588">
        <v>25</v>
      </c>
      <c r="K588">
        <v>1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588" s="5" cm="1">
        <f t="array" ref="N588">MAX(IF((ProjectInfoTable[ProjectName]=ContinuousStatsTable[[#This Row],[ProjectName]]),(ProjectInfoTable[ProjectName]=ContinuousStatsTable[[#This Row],[ProjectName]])*ProjectInfoTable[NumberOfReplications]))</f>
        <v>30</v>
      </c>
      <c r="O588" s="5" cm="1">
        <f t="array" ref="O588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588" s="5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588" s="5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588" s="5" cm="1">
        <f t="array" ref="S588">MIN(IF((ContinuousStatsTable[GroupByKey]=ContinuousStatsTable[[#This Row],[GroupByKey]]),(ContinuousStatsTable[GroupByKey]=ContinuousStatsTable[[#This Row],[GroupByKey]])*ContinuousStatsTable[Average]))</f>
        <v>1.4754093813695901</v>
      </c>
      <c r="T588" s="5" cm="1">
        <f t="array" ref="T588">MAX(IF((ContinuousStatsTable[GroupByKey]=ContinuousStatsTable[[#This Row],[GroupByKey]]),(ContinuousStatsTable[GroupByKey]=ContinuousStatsTable[[#This Row],[GroupByKey]])*ContinuousStatsTable[Average]))</f>
        <v>8.0603747791942499</v>
      </c>
      <c r="U588" s="5">
        <f>IF((ContinuousStatsTable[[#This Row],[RepsRequested]]&gt;1),ContinuousStatsTable[[#This Row],[HalfWidth]],ContinuousStatsTable[[#This Row],[BatchMeansHalfWidth]])</f>
        <v>0.5936172943910426</v>
      </c>
    </row>
    <row r="589" spans="1:21" x14ac:dyDescent="0.3">
      <c r="A589" t="s">
        <v>66</v>
      </c>
      <c r="B589" t="s">
        <v>68</v>
      </c>
      <c r="C589">
        <v>16</v>
      </c>
      <c r="D589" t="s">
        <v>73</v>
      </c>
      <c r="E589" t="s">
        <v>92</v>
      </c>
      <c r="F589" t="s">
        <v>71</v>
      </c>
      <c r="G589">
        <v>11.0450708325964</v>
      </c>
      <c r="H589">
        <v>2E+20</v>
      </c>
      <c r="I589">
        <v>0</v>
      </c>
      <c r="J589">
        <v>22</v>
      </c>
      <c r="K589">
        <v>11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589" s="5" cm="1">
        <f t="array" ref="N589">MAX(IF((ProjectInfoTable[ProjectName]=ContinuousStatsTable[[#This Row],[ProjectName]]),(ProjectInfoTable[ProjectName]=ContinuousStatsTable[[#This Row],[ProjectName]])*ProjectInfoTable[NumberOfReplications]))</f>
        <v>30</v>
      </c>
      <c r="O589" s="5" cm="1">
        <f t="array" ref="O589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589" s="5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589" s="5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589" s="5" cm="1">
        <f t="array" ref="S589">MIN(IF((ContinuousStatsTable[GroupByKey]=ContinuousStatsTable[[#This Row],[GroupByKey]]),(ContinuousStatsTable[GroupByKey]=ContinuousStatsTable[[#This Row],[GroupByKey]])*ContinuousStatsTable[Average]))</f>
        <v>1.3305593103954101</v>
      </c>
      <c r="T589" s="5" cm="1">
        <f t="array" ref="T589">MAX(IF((ContinuousStatsTable[GroupByKey]=ContinuousStatsTable[[#This Row],[GroupByKey]]),(ContinuousStatsTable[GroupByKey]=ContinuousStatsTable[[#This Row],[GroupByKey]])*ContinuousStatsTable[Average]))</f>
        <v>29.356614544212601</v>
      </c>
      <c r="U589" s="5">
        <f>IF((ContinuousStatsTable[[#This Row],[RepsRequested]]&gt;1),ContinuousStatsTable[[#This Row],[HalfWidth]],ContinuousStatsTable[[#This Row],[BatchMeansHalfWidth]])</f>
        <v>2.162177461749093</v>
      </c>
    </row>
    <row r="590" spans="1:21" x14ac:dyDescent="0.3">
      <c r="A590" t="s">
        <v>66</v>
      </c>
      <c r="B590" t="s">
        <v>68</v>
      </c>
      <c r="C590">
        <v>16</v>
      </c>
      <c r="D590" t="s">
        <v>74</v>
      </c>
      <c r="E590" t="s">
        <v>92</v>
      </c>
      <c r="F590" t="s">
        <v>71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590" s="5" cm="1">
        <f t="array" ref="N590">MAX(IF((ProjectInfoTable[ProjectName]=ContinuousStatsTable[[#This Row],[ProjectName]]),(ProjectInfoTable[ProjectName]=ContinuousStatsTable[[#This Row],[ProjectName]])*ProjectInfoTable[NumberOfReplications]))</f>
        <v>30</v>
      </c>
      <c r="O590" s="5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s="5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s="5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s="5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s="5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 s="5">
        <f>IF((ContinuousStatsTable[[#This Row],[RepsRequested]]&gt;1),ContinuousStatsTable[[#This Row],[HalfWidth]],ContinuousStatsTable[[#This Row],[BatchMeansHalfWidth]])</f>
        <v>0</v>
      </c>
    </row>
    <row r="591" spans="1:21" x14ac:dyDescent="0.3">
      <c r="A591" t="s">
        <v>66</v>
      </c>
      <c r="B591" t="s">
        <v>68</v>
      </c>
      <c r="C591">
        <v>16</v>
      </c>
      <c r="D591" t="s">
        <v>75</v>
      </c>
      <c r="E591" t="s">
        <v>92</v>
      </c>
      <c r="F591" t="s">
        <v>71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591" s="5" cm="1">
        <f t="array" ref="N591">MAX(IF((ProjectInfoTable[ProjectName]=ContinuousStatsTable[[#This Row],[ProjectName]]),(ProjectInfoTable[ProjectName]=ContinuousStatsTable[[#This Row],[ProjectName]])*ProjectInfoTable[NumberOfReplications]))</f>
        <v>30</v>
      </c>
      <c r="O591" s="5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s="5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s="5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s="5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s="5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 s="5">
        <f>IF((ContinuousStatsTable[[#This Row],[RepsRequested]]&gt;1),ContinuousStatsTable[[#This Row],[HalfWidth]],ContinuousStatsTable[[#This Row],[BatchMeansHalfWidth]])</f>
        <v>0</v>
      </c>
    </row>
    <row r="592" spans="1:21" x14ac:dyDescent="0.3">
      <c r="A592" t="s">
        <v>66</v>
      </c>
      <c r="B592" t="s">
        <v>68</v>
      </c>
      <c r="C592">
        <v>16</v>
      </c>
      <c r="D592" t="s">
        <v>76</v>
      </c>
      <c r="E592" t="s">
        <v>92</v>
      </c>
      <c r="F592" t="s">
        <v>71</v>
      </c>
      <c r="G592">
        <v>4.01923244362745</v>
      </c>
      <c r="H592">
        <v>2E+20</v>
      </c>
      <c r="I592">
        <v>0</v>
      </c>
      <c r="J592">
        <v>19</v>
      </c>
      <c r="K592">
        <v>13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592" s="5" cm="1">
        <f t="array" ref="N592">MAX(IF((ProjectInfoTable[ProjectName]=ContinuousStatsTable[[#This Row],[ProjectName]]),(ProjectInfoTable[ProjectName]=ContinuousStatsTable[[#This Row],[ProjectName]])*ProjectInfoTable[NumberOfReplications]))</f>
        <v>30</v>
      </c>
      <c r="O592" s="5" cm="1">
        <f t="array" ref="O592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592" s="5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592" s="5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592" s="5" cm="1">
        <f t="array" ref="S592">MIN(IF((ContinuousStatsTable[GroupByKey]=ContinuousStatsTable[[#This Row],[GroupByKey]]),(ContinuousStatsTable[GroupByKey]=ContinuousStatsTable[[#This Row],[GroupByKey]])*ContinuousStatsTable[Average]))</f>
        <v>4.5869485136026601E-2</v>
      </c>
      <c r="T592" s="5" cm="1">
        <f t="array" ref="T592">MAX(IF((ContinuousStatsTable[GroupByKey]=ContinuousStatsTable[[#This Row],[GroupByKey]]),(ContinuousStatsTable[GroupByKey]=ContinuousStatsTable[[#This Row],[GroupByKey]])*ContinuousStatsTable[Average]))</f>
        <v>4.1119263103435699</v>
      </c>
      <c r="U592" s="5">
        <f>IF((ContinuousStatsTable[[#This Row],[RepsRequested]]&gt;1),ContinuousStatsTable[[#This Row],[HalfWidth]],ContinuousStatsTable[[#This Row],[BatchMeansHalfWidth]])</f>
        <v>0.43252967563899991</v>
      </c>
    </row>
    <row r="593" spans="1:21" x14ac:dyDescent="0.3">
      <c r="A593" t="s">
        <v>66</v>
      </c>
      <c r="B593" t="s">
        <v>68</v>
      </c>
      <c r="C593">
        <v>16</v>
      </c>
      <c r="D593" t="s">
        <v>77</v>
      </c>
      <c r="E593" t="s">
        <v>92</v>
      </c>
      <c r="F593" t="s">
        <v>71</v>
      </c>
      <c r="G593">
        <v>0</v>
      </c>
      <c r="H593">
        <v>2E+20</v>
      </c>
      <c r="I593">
        <v>0</v>
      </c>
      <c r="J593">
        <v>0</v>
      </c>
      <c r="K593">
        <v>0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593" s="5" cm="1">
        <f t="array" ref="N593">MAX(IF((ProjectInfoTable[ProjectName]=ContinuousStatsTable[[#This Row],[ProjectName]]),(ProjectInfoTable[ProjectName]=ContinuousStatsTable[[#This Row],[ProjectName]])*ProjectInfoTable[NumberOfReplications]))</f>
        <v>30</v>
      </c>
      <c r="O593" s="5" cm="1">
        <f t="array" ref="O593">IFERROR(AVERAGE(IF((ContinuousStatsTable[GroupByKey]=ContinuousStatsTable[[#This Row],[GroupByKey]]),(ContinuousStatsTable[GroupByKey]=ContinuousStatsTable[[#This Row],[GroupByKey]])*ContinuousStatsTable[Average])),0)</f>
        <v>0</v>
      </c>
      <c r="P593" s="5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0</v>
      </c>
      <c r="Q593" s="5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3" s="5" cm="1">
        <f t="array" ref="S593">MIN(IF((ContinuousStatsTable[GroupByKey]=ContinuousStatsTable[[#This Row],[GroupByKey]]),(ContinuousStatsTable[GroupByKey]=ContinuousStatsTable[[#This Row],[GroupByKey]])*ContinuousStatsTable[Average]))</f>
        <v>0</v>
      </c>
      <c r="T593" s="5" cm="1">
        <f t="array" ref="T593">MAX(IF((ContinuousStatsTable[GroupByKey]=ContinuousStatsTable[[#This Row],[GroupByKey]]),(ContinuousStatsTable[GroupByKey]=ContinuousStatsTable[[#This Row],[GroupByKey]])*ContinuousStatsTable[Average]))</f>
        <v>0</v>
      </c>
      <c r="U593" s="5">
        <f>IF((ContinuousStatsTable[[#This Row],[RepsRequested]]&gt;1),ContinuousStatsTable[[#This Row],[HalfWidth]],ContinuousStatsTable[[#This Row],[BatchMeansHalfWidth]])</f>
        <v>0</v>
      </c>
    </row>
    <row r="594" spans="1:21" x14ac:dyDescent="0.3">
      <c r="A594" t="s">
        <v>66</v>
      </c>
      <c r="B594" t="s">
        <v>68</v>
      </c>
      <c r="C594">
        <v>16</v>
      </c>
      <c r="D594" t="s">
        <v>78</v>
      </c>
      <c r="E594" t="s">
        <v>92</v>
      </c>
      <c r="F594" t="s">
        <v>71</v>
      </c>
      <c r="G594">
        <v>0</v>
      </c>
      <c r="H594">
        <v>2E+20</v>
      </c>
      <c r="I594">
        <v>0</v>
      </c>
      <c r="J594">
        <v>0</v>
      </c>
      <c r="K594">
        <v>0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594" s="5" cm="1">
        <f t="array" ref="N594">MAX(IF((ProjectInfoTable[ProjectName]=ContinuousStatsTable[[#This Row],[ProjectName]]),(ProjectInfoTable[ProjectName]=ContinuousStatsTable[[#This Row],[ProjectName]])*ProjectInfoTable[NumberOfReplications]))</f>
        <v>30</v>
      </c>
      <c r="O594" s="5" cm="1">
        <f t="array" ref="O594">IFERROR(AVERAGE(IF((ContinuousStatsTable[GroupByKey]=ContinuousStatsTable[[#This Row],[GroupByKey]]),(ContinuousStatsTable[GroupByKey]=ContinuousStatsTable[[#This Row],[GroupByKey]])*ContinuousStatsTable[Average])),0)</f>
        <v>0</v>
      </c>
      <c r="P594" s="5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0</v>
      </c>
      <c r="Q594" s="5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4" s="5" cm="1">
        <f t="array" ref="S594">MIN(IF((ContinuousStatsTable[GroupByKey]=ContinuousStatsTable[[#This Row],[GroupByKey]]),(ContinuousStatsTable[GroupByKey]=ContinuousStatsTable[[#This Row],[GroupByKey]])*ContinuousStatsTable[Average]))</f>
        <v>0</v>
      </c>
      <c r="T594" s="5" cm="1">
        <f t="array" ref="T594">MAX(IF((ContinuousStatsTable[GroupByKey]=ContinuousStatsTable[[#This Row],[GroupByKey]]),(ContinuousStatsTable[GroupByKey]=ContinuousStatsTable[[#This Row],[GroupByKey]])*ContinuousStatsTable[Average]))</f>
        <v>0</v>
      </c>
      <c r="U594" s="5">
        <f>IF((ContinuousStatsTable[[#This Row],[RepsRequested]]&gt;1),ContinuousStatsTable[[#This Row],[HalfWidth]],ContinuousStatsTable[[#This Row],[BatchMeansHalfWidth]])</f>
        <v>0</v>
      </c>
    </row>
    <row r="595" spans="1:21" x14ac:dyDescent="0.3">
      <c r="A595" t="s">
        <v>66</v>
      </c>
      <c r="B595" t="s">
        <v>68</v>
      </c>
      <c r="C595">
        <v>16</v>
      </c>
      <c r="D595" t="s">
        <v>93</v>
      </c>
      <c r="E595" t="s">
        <v>94</v>
      </c>
      <c r="F595" t="s">
        <v>95</v>
      </c>
      <c r="G595">
        <v>4.09263044510004E-2</v>
      </c>
      <c r="H595">
        <v>2E+20</v>
      </c>
      <c r="I595">
        <v>0</v>
      </c>
      <c r="J595">
        <v>0.25</v>
      </c>
      <c r="K595">
        <v>0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595" s="5" cm="1">
        <f t="array" ref="N595">MAX(IF((ProjectInfoTable[ProjectName]=ContinuousStatsTable[[#This Row],[ProjectName]]),(ProjectInfoTable[ProjectName]=ContinuousStatsTable[[#This Row],[ProjectName]])*ProjectInfoTable[NumberOfReplications]))</f>
        <v>30</v>
      </c>
      <c r="O595" s="5" cm="1">
        <f t="array" ref="O595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595" s="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595" s="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595" s="5" cm="1">
        <f t="array" ref="S595">MIN(IF((ContinuousStatsTable[GroupByKey]=ContinuousStatsTable[[#This Row],[GroupByKey]]),(ContinuousStatsTable[GroupByKey]=ContinuousStatsTable[[#This Row],[GroupByKey]])*ContinuousStatsTable[Average]))</f>
        <v>2.3718114155243601E-2</v>
      </c>
      <c r="T595" s="5" cm="1">
        <f t="array" ref="T595">MAX(IF((ContinuousStatsTable[GroupByKey]=ContinuousStatsTable[[#This Row],[GroupByKey]]),(ContinuousStatsTable[GroupByKey]=ContinuousStatsTable[[#This Row],[GroupByKey]])*ContinuousStatsTable[Average]))</f>
        <v>4.8583931724403701E-2</v>
      </c>
      <c r="U595" s="5">
        <f>IF((ContinuousStatsTable[[#This Row],[RepsRequested]]&gt;1),ContinuousStatsTable[[#This Row],[HalfWidth]],ContinuousStatsTable[[#This Row],[BatchMeansHalfWidth]])</f>
        <v>2.4839579632442289E-3</v>
      </c>
    </row>
    <row r="596" spans="1:21" x14ac:dyDescent="0.3">
      <c r="A596" t="s">
        <v>66</v>
      </c>
      <c r="B596" t="s">
        <v>68</v>
      </c>
      <c r="C596">
        <v>16</v>
      </c>
      <c r="D596" t="s">
        <v>93</v>
      </c>
      <c r="E596" t="s">
        <v>96</v>
      </c>
      <c r="F596" t="s">
        <v>95</v>
      </c>
      <c r="G596">
        <v>0.81852608902000901</v>
      </c>
      <c r="H596">
        <v>2E+20</v>
      </c>
      <c r="I596">
        <v>0</v>
      </c>
      <c r="J596">
        <v>5</v>
      </c>
      <c r="K596">
        <v>0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596" s="5" cm="1">
        <f t="array" ref="N596">MAX(IF((ProjectInfoTable[ProjectName]=ContinuousStatsTable[[#This Row],[ProjectName]]),(ProjectInfoTable[ProjectName]=ContinuousStatsTable[[#This Row],[ProjectName]])*ProjectInfoTable[NumberOfReplications]))</f>
        <v>30</v>
      </c>
      <c r="O596" s="5" cm="1">
        <f t="array" ref="O596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596" s="5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596" s="5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596" s="5" cm="1">
        <f t="array" ref="S596">MIN(IF((ContinuousStatsTable[GroupByKey]=ContinuousStatsTable[[#This Row],[GroupByKey]]),(ContinuousStatsTable[GroupByKey]=ContinuousStatsTable[[#This Row],[GroupByKey]])*ContinuousStatsTable[Average]))</f>
        <v>0.47436228310487299</v>
      </c>
      <c r="T596" s="5" cm="1">
        <f t="array" ref="T596">MAX(IF((ContinuousStatsTable[GroupByKey]=ContinuousStatsTable[[#This Row],[GroupByKey]]),(ContinuousStatsTable[GroupByKey]=ContinuousStatsTable[[#This Row],[GroupByKey]])*ContinuousStatsTable[Average]))</f>
        <v>0.97167863448807401</v>
      </c>
      <c r="U596" s="5">
        <f>IF((ContinuousStatsTable[[#This Row],[RepsRequested]]&gt;1),ContinuousStatsTable[[#This Row],[HalfWidth]],ContinuousStatsTable[[#This Row],[BatchMeansHalfWidth]])</f>
        <v>4.9679159264885281E-2</v>
      </c>
    </row>
    <row r="597" spans="1:21" x14ac:dyDescent="0.3">
      <c r="A597" t="s">
        <v>66</v>
      </c>
      <c r="B597" t="s">
        <v>68</v>
      </c>
      <c r="C597">
        <v>16</v>
      </c>
      <c r="D597" t="s">
        <v>93</v>
      </c>
      <c r="E597" t="s">
        <v>97</v>
      </c>
      <c r="F597" t="s">
        <v>95</v>
      </c>
      <c r="G597">
        <v>20</v>
      </c>
      <c r="H597">
        <v>2E+20</v>
      </c>
      <c r="I597">
        <v>20</v>
      </c>
      <c r="J597">
        <v>20</v>
      </c>
      <c r="K597">
        <v>20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597" s="5" cm="1">
        <f t="array" ref="N597">MAX(IF((ProjectInfoTable[ProjectName]=ContinuousStatsTable[[#This Row],[ProjectName]]),(ProjectInfoTable[ProjectName]=ContinuousStatsTable[[#This Row],[ProjectName]])*ProjectInfoTable[NumberOfReplications]))</f>
        <v>30</v>
      </c>
      <c r="O597" s="5" cm="1">
        <f t="array" ref="O597">IFERROR(AVERAGE(IF((ContinuousStatsTable[GroupByKey]=ContinuousStatsTable[[#This Row],[GroupByKey]]),(ContinuousStatsTable[GroupByKey]=ContinuousStatsTable[[#This Row],[GroupByKey]])*ContinuousStatsTable[Average])),0)</f>
        <v>20</v>
      </c>
      <c r="P597" s="5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0</v>
      </c>
      <c r="Q597" s="5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7" s="5" cm="1">
        <f t="array" ref="S597">MIN(IF((ContinuousStatsTable[GroupByKey]=ContinuousStatsTable[[#This Row],[GroupByKey]]),(ContinuousStatsTable[GroupByKey]=ContinuousStatsTable[[#This Row],[GroupByKey]])*ContinuousStatsTable[Average]))</f>
        <v>20</v>
      </c>
      <c r="T597" s="5" cm="1">
        <f t="array" ref="T597">MAX(IF((ContinuousStatsTable[GroupByKey]=ContinuousStatsTable[[#This Row],[GroupByKey]]),(ContinuousStatsTable[GroupByKey]=ContinuousStatsTable[[#This Row],[GroupByKey]])*ContinuousStatsTable[Average]))</f>
        <v>20</v>
      </c>
      <c r="U597" s="5">
        <f>IF((ContinuousStatsTable[[#This Row],[RepsRequested]]&gt;1),ContinuousStatsTable[[#This Row],[HalfWidth]],ContinuousStatsTable[[#This Row],[BatchMeansHalfWidth]])</f>
        <v>0</v>
      </c>
    </row>
    <row r="598" spans="1:21" x14ac:dyDescent="0.3">
      <c r="A598" t="s">
        <v>66</v>
      </c>
      <c r="B598" t="s">
        <v>68</v>
      </c>
      <c r="C598">
        <v>16</v>
      </c>
      <c r="D598" t="s">
        <v>98</v>
      </c>
      <c r="E598" t="s">
        <v>94</v>
      </c>
      <c r="F598" t="s">
        <v>95</v>
      </c>
      <c r="G598">
        <v>0.27570611278698198</v>
      </c>
      <c r="H598">
        <v>2E+20</v>
      </c>
      <c r="I598">
        <v>0</v>
      </c>
      <c r="J598">
        <v>0.65</v>
      </c>
      <c r="K598">
        <v>0.25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598" s="5" cm="1">
        <f t="array" ref="N598">MAX(IF((ProjectInfoTable[ProjectName]=ContinuousStatsTable[[#This Row],[ProjectName]]),(ProjectInfoTable[ProjectName]=ContinuousStatsTable[[#This Row],[ProjectName]])*ProjectInfoTable[NumberOfReplications]))</f>
        <v>30</v>
      </c>
      <c r="O598" s="5" cm="1">
        <f t="array" ref="O598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598" s="5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598" s="5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598" s="5" cm="1">
        <f t="array" ref="S598">MIN(IF((ContinuousStatsTable[GroupByKey]=ContinuousStatsTable[[#This Row],[GroupByKey]]),(ContinuousStatsTable[GroupByKey]=ContinuousStatsTable[[#This Row],[GroupByKey]])*ContinuousStatsTable[Average]))</f>
        <v>0.20767736113278101</v>
      </c>
      <c r="T598" s="5" cm="1">
        <f t="array" ref="T598">MAX(IF((ContinuousStatsTable[GroupByKey]=ContinuousStatsTable[[#This Row],[GroupByKey]]),(ContinuousStatsTable[GroupByKey]=ContinuousStatsTable[[#This Row],[GroupByKey]])*ContinuousStatsTable[Average]))</f>
        <v>0.28501162927715501</v>
      </c>
      <c r="U598" s="5">
        <f>IF((ContinuousStatsTable[[#This Row],[RepsRequested]]&gt;1),ContinuousStatsTable[[#This Row],[HalfWidth]],ContinuousStatsTable[[#This Row],[BatchMeansHalfWidth]])</f>
        <v>8.7273384073404715E-3</v>
      </c>
    </row>
    <row r="599" spans="1:21" x14ac:dyDescent="0.3">
      <c r="A599" t="s">
        <v>66</v>
      </c>
      <c r="B599" t="s">
        <v>68</v>
      </c>
      <c r="C599">
        <v>16</v>
      </c>
      <c r="D599" t="s">
        <v>98</v>
      </c>
      <c r="E599" t="s">
        <v>96</v>
      </c>
      <c r="F599" t="s">
        <v>95</v>
      </c>
      <c r="G599">
        <v>5.5141222557396503</v>
      </c>
      <c r="H599">
        <v>2E+20</v>
      </c>
      <c r="I599">
        <v>0</v>
      </c>
      <c r="J599">
        <v>13</v>
      </c>
      <c r="K599">
        <v>5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599" s="5" cm="1">
        <f t="array" ref="N599">MAX(IF((ProjectInfoTable[ProjectName]=ContinuousStatsTable[[#This Row],[ProjectName]]),(ProjectInfoTable[ProjectName]=ContinuousStatsTable[[#This Row],[ProjectName]])*ProjectInfoTable[NumberOfReplications]))</f>
        <v>30</v>
      </c>
      <c r="O599" s="5" cm="1">
        <f t="array" ref="O599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599" s="5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599" s="5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599" s="5" cm="1">
        <f t="array" ref="S599">MIN(IF((ContinuousStatsTable[GroupByKey]=ContinuousStatsTable[[#This Row],[GroupByKey]]),(ContinuousStatsTable[GroupByKey]=ContinuousStatsTable[[#This Row],[GroupByKey]])*ContinuousStatsTable[Average]))</f>
        <v>4.15354722265561</v>
      </c>
      <c r="T599" s="5" cm="1">
        <f t="array" ref="T599">MAX(IF((ContinuousStatsTable[GroupByKey]=ContinuousStatsTable[[#This Row],[GroupByKey]]),(ContinuousStatsTable[GroupByKey]=ContinuousStatsTable[[#This Row],[GroupByKey]])*ContinuousStatsTable[Average]))</f>
        <v>5.7002325855431097</v>
      </c>
      <c r="U599" s="5">
        <f>IF((ContinuousStatsTable[[#This Row],[RepsRequested]]&gt;1),ContinuousStatsTable[[#This Row],[HalfWidth]],ContinuousStatsTable[[#This Row],[BatchMeansHalfWidth]])</f>
        <v>0.17454676814681078</v>
      </c>
    </row>
    <row r="600" spans="1:21" x14ac:dyDescent="0.3">
      <c r="A600" t="s">
        <v>66</v>
      </c>
      <c r="B600" t="s">
        <v>68</v>
      </c>
      <c r="C600">
        <v>16</v>
      </c>
      <c r="D600" t="s">
        <v>98</v>
      </c>
      <c r="E600" t="s">
        <v>97</v>
      </c>
      <c r="F600" t="s">
        <v>95</v>
      </c>
      <c r="G600">
        <v>20</v>
      </c>
      <c r="H600">
        <v>2E+20</v>
      </c>
      <c r="I600">
        <v>20</v>
      </c>
      <c r="J600">
        <v>20</v>
      </c>
      <c r="K600">
        <v>20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600" s="5" cm="1">
        <f t="array" ref="N600">MAX(IF((ProjectInfoTable[ProjectName]=ContinuousStatsTable[[#This Row],[ProjectName]]),(ProjectInfoTable[ProjectName]=ContinuousStatsTable[[#This Row],[ProjectName]])*ProjectInfoTable[NumberOfReplications]))</f>
        <v>30</v>
      </c>
      <c r="O600" s="5" cm="1">
        <f t="array" ref="O600">IFERROR(AVERAGE(IF((ContinuousStatsTable[GroupByKey]=ContinuousStatsTable[[#This Row],[GroupByKey]]),(ContinuousStatsTable[GroupByKey]=ContinuousStatsTable[[#This Row],[GroupByKey]])*ContinuousStatsTable[Average])),0)</f>
        <v>20</v>
      </c>
      <c r="P600" s="5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0</v>
      </c>
      <c r="Q600" s="5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0" s="5" cm="1">
        <f t="array" ref="S600">MIN(IF((ContinuousStatsTable[GroupByKey]=ContinuousStatsTable[[#This Row],[GroupByKey]]),(ContinuousStatsTable[GroupByKey]=ContinuousStatsTable[[#This Row],[GroupByKey]])*ContinuousStatsTable[Average]))</f>
        <v>20</v>
      </c>
      <c r="T600" s="5" cm="1">
        <f t="array" ref="T600">MAX(IF((ContinuousStatsTable[GroupByKey]=ContinuousStatsTable[[#This Row],[GroupByKey]]),(ContinuousStatsTable[GroupByKey]=ContinuousStatsTable[[#This Row],[GroupByKey]])*ContinuousStatsTable[Average]))</f>
        <v>20</v>
      </c>
      <c r="U600" s="5">
        <f>IF((ContinuousStatsTable[[#This Row],[RepsRequested]]&gt;1),ContinuousStatsTable[[#This Row],[HalfWidth]],ContinuousStatsTable[[#This Row],[BatchMeansHalfWidth]])</f>
        <v>0</v>
      </c>
    </row>
    <row r="601" spans="1:21" x14ac:dyDescent="0.3">
      <c r="A601" t="s">
        <v>66</v>
      </c>
      <c r="B601" t="s">
        <v>68</v>
      </c>
      <c r="C601">
        <v>16</v>
      </c>
      <c r="D601" t="s">
        <v>99</v>
      </c>
      <c r="E601" t="s">
        <v>94</v>
      </c>
      <c r="F601" t="s">
        <v>95</v>
      </c>
      <c r="G601">
        <v>0.67565522846140302</v>
      </c>
      <c r="H601">
        <v>2E+20</v>
      </c>
      <c r="I601">
        <v>0</v>
      </c>
      <c r="J601">
        <v>1</v>
      </c>
      <c r="K601">
        <v>1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601" s="5" cm="1">
        <f t="array" ref="N601">MAX(IF((ProjectInfoTable[ProjectName]=ContinuousStatsTable[[#This Row],[ProjectName]]),(ProjectInfoTable[ProjectName]=ContinuousStatsTable[[#This Row],[ProjectName]])*ProjectInfoTable[NumberOfReplications]))</f>
        <v>30</v>
      </c>
      <c r="O601" s="5" cm="1">
        <f t="array" ref="O601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601" s="5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601" s="5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601" s="5" cm="1">
        <f t="array" ref="S601">MIN(IF((ContinuousStatsTable[GroupByKey]=ContinuousStatsTable[[#This Row],[GroupByKey]]),(ContinuousStatsTable[GroupByKey]=ContinuousStatsTable[[#This Row],[GroupByKey]])*ContinuousStatsTable[Average]))</f>
        <v>0.517215348442703</v>
      </c>
      <c r="T601" s="5" cm="1">
        <f t="array" ref="T601">MAX(IF((ContinuousStatsTable[GroupByKey]=ContinuousStatsTable[[#This Row],[GroupByKey]]),(ContinuousStatsTable[GroupByKey]=ContinuousStatsTable[[#This Row],[GroupByKey]])*ContinuousStatsTable[Average]))</f>
        <v>0.67770389283754395</v>
      </c>
      <c r="U601" s="5">
        <f>IF((ContinuousStatsTable[[#This Row],[RepsRequested]]&gt;1),ContinuousStatsTable[[#This Row],[HalfWidth]],ContinuousStatsTable[[#This Row],[BatchMeansHalfWidth]])</f>
        <v>1.8059192833960565E-2</v>
      </c>
    </row>
    <row r="602" spans="1:21" x14ac:dyDescent="0.3">
      <c r="A602" t="s">
        <v>66</v>
      </c>
      <c r="B602" t="s">
        <v>68</v>
      </c>
      <c r="C602">
        <v>16</v>
      </c>
      <c r="D602" t="s">
        <v>99</v>
      </c>
      <c r="E602" t="s">
        <v>96</v>
      </c>
      <c r="F602" t="s">
        <v>95</v>
      </c>
      <c r="G602">
        <v>6.75655228461404</v>
      </c>
      <c r="H602">
        <v>2E+20</v>
      </c>
      <c r="I602">
        <v>0</v>
      </c>
      <c r="J602">
        <v>10</v>
      </c>
      <c r="K602">
        <v>10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602" s="5" cm="1">
        <f t="array" ref="N602">MAX(IF((ProjectInfoTable[ProjectName]=ContinuousStatsTable[[#This Row],[ProjectName]]),(ProjectInfoTable[ProjectName]=ContinuousStatsTable[[#This Row],[ProjectName]])*ProjectInfoTable[NumberOfReplications]))</f>
        <v>30</v>
      </c>
      <c r="O602" s="5" cm="1">
        <f t="array" ref="O602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602" s="5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602" s="5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602" s="5" cm="1">
        <f t="array" ref="S602">MIN(IF((ContinuousStatsTable[GroupByKey]=ContinuousStatsTable[[#This Row],[GroupByKey]]),(ContinuousStatsTable[GroupByKey]=ContinuousStatsTable[[#This Row],[GroupByKey]])*ContinuousStatsTable[Average]))</f>
        <v>5.1721534844270298</v>
      </c>
      <c r="T602" s="5" cm="1">
        <f t="array" ref="T602">MAX(IF((ContinuousStatsTable[GroupByKey]=ContinuousStatsTable[[#This Row],[GroupByKey]]),(ContinuousStatsTable[GroupByKey]=ContinuousStatsTable[[#This Row],[GroupByKey]])*ContinuousStatsTable[Average]))</f>
        <v>6.7770389283754398</v>
      </c>
      <c r="U602" s="5">
        <f>IF((ContinuousStatsTable[[#This Row],[RepsRequested]]&gt;1),ContinuousStatsTable[[#This Row],[HalfWidth]],ContinuousStatsTable[[#This Row],[BatchMeansHalfWidth]])</f>
        <v>0.18059192833960558</v>
      </c>
    </row>
    <row r="603" spans="1:21" x14ac:dyDescent="0.3">
      <c r="A603" t="s">
        <v>66</v>
      </c>
      <c r="B603" t="s">
        <v>68</v>
      </c>
      <c r="C603">
        <v>16</v>
      </c>
      <c r="D603" t="s">
        <v>99</v>
      </c>
      <c r="E603" t="s">
        <v>97</v>
      </c>
      <c r="F603" t="s">
        <v>95</v>
      </c>
      <c r="G603">
        <v>10</v>
      </c>
      <c r="H603">
        <v>2E+20</v>
      </c>
      <c r="I603">
        <v>10</v>
      </c>
      <c r="J603">
        <v>10</v>
      </c>
      <c r="K603">
        <v>10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603" s="5" cm="1">
        <f t="array" ref="N603">MAX(IF((ProjectInfoTable[ProjectName]=ContinuousStatsTable[[#This Row],[ProjectName]]),(ProjectInfoTable[ProjectName]=ContinuousStatsTable[[#This Row],[ProjectName]])*ProjectInfoTable[NumberOfReplications]))</f>
        <v>30</v>
      </c>
      <c r="O603" s="5" cm="1">
        <f t="array" ref="O603">IFERROR(AVERAGE(IF((ContinuousStatsTable[GroupByKey]=ContinuousStatsTable[[#This Row],[GroupByKey]]),(ContinuousStatsTable[GroupByKey]=ContinuousStatsTable[[#This Row],[GroupByKey]])*ContinuousStatsTable[Average])),0)</f>
        <v>10</v>
      </c>
      <c r="P603" s="5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0</v>
      </c>
      <c r="Q603" s="5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3" s="5" cm="1">
        <f t="array" ref="S603">MIN(IF((ContinuousStatsTable[GroupByKey]=ContinuousStatsTable[[#This Row],[GroupByKey]]),(ContinuousStatsTable[GroupByKey]=ContinuousStatsTable[[#This Row],[GroupByKey]])*ContinuousStatsTable[Average]))</f>
        <v>10</v>
      </c>
      <c r="T603" s="5" cm="1">
        <f t="array" ref="T603">MAX(IF((ContinuousStatsTable[GroupByKey]=ContinuousStatsTable[[#This Row],[GroupByKey]]),(ContinuousStatsTable[GroupByKey]=ContinuousStatsTable[[#This Row],[GroupByKey]])*ContinuousStatsTable[Average]))</f>
        <v>10</v>
      </c>
      <c r="U603" s="5">
        <f>IF((ContinuousStatsTable[[#This Row],[RepsRequested]]&gt;1),ContinuousStatsTable[[#This Row],[HalfWidth]],ContinuousStatsTable[[#This Row],[BatchMeansHalfWidth]])</f>
        <v>0</v>
      </c>
    </row>
    <row r="604" spans="1:21" x14ac:dyDescent="0.3">
      <c r="A604" t="s">
        <v>66</v>
      </c>
      <c r="B604" t="s">
        <v>68</v>
      </c>
      <c r="C604">
        <v>16</v>
      </c>
      <c r="D604" t="s">
        <v>100</v>
      </c>
      <c r="E604" t="s">
        <v>94</v>
      </c>
      <c r="F604" t="s">
        <v>95</v>
      </c>
      <c r="G604">
        <v>0.184187205555569</v>
      </c>
      <c r="H604">
        <v>2E+20</v>
      </c>
      <c r="I604">
        <v>0</v>
      </c>
      <c r="J604">
        <v>0.46</v>
      </c>
      <c r="K604">
        <v>0.22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604" s="5" cm="1">
        <f t="array" ref="N604">MAX(IF((ProjectInfoTable[ProjectName]=ContinuousStatsTable[[#This Row],[ProjectName]]),(ProjectInfoTable[ProjectName]=ContinuousStatsTable[[#This Row],[ProjectName]])*ProjectInfoTable[NumberOfReplications]))</f>
        <v>30</v>
      </c>
      <c r="O604" s="5" cm="1">
        <f t="array" ref="O604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604" s="5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604" s="5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604" s="5" cm="1">
        <f t="array" ref="S604">MIN(IF((ContinuousStatsTable[GroupByKey]=ContinuousStatsTable[[#This Row],[GroupByKey]]),(ContinuousStatsTable[GroupByKey]=ContinuousStatsTable[[#This Row],[GroupByKey]])*ContinuousStatsTable[Average]))</f>
        <v>0.14484829778125299</v>
      </c>
      <c r="T604" s="5" cm="1">
        <f t="array" ref="T604">MAX(IF((ContinuousStatsTable[GroupByKey]=ContinuousStatsTable[[#This Row],[GroupByKey]]),(ContinuousStatsTable[GroupByKey]=ContinuousStatsTable[[#This Row],[GroupByKey]])*ContinuousStatsTable[Average]))</f>
        <v>0.19609322315655101</v>
      </c>
      <c r="U604" s="5">
        <f>IF((ContinuousStatsTable[[#This Row],[RepsRequested]]&gt;1),ContinuousStatsTable[[#This Row],[HalfWidth]],ContinuousStatsTable[[#This Row],[BatchMeansHalfWidth]])</f>
        <v>4.9714113556225048E-3</v>
      </c>
    </row>
    <row r="605" spans="1:21" x14ac:dyDescent="0.3">
      <c r="A605" t="s">
        <v>66</v>
      </c>
      <c r="B605" t="s">
        <v>68</v>
      </c>
      <c r="C605">
        <v>16</v>
      </c>
      <c r="D605" t="s">
        <v>100</v>
      </c>
      <c r="E605" t="s">
        <v>96</v>
      </c>
      <c r="F605" t="s">
        <v>95</v>
      </c>
      <c r="G605">
        <v>9.2093602777784707</v>
      </c>
      <c r="H605">
        <v>2E+20</v>
      </c>
      <c r="I605">
        <v>0</v>
      </c>
      <c r="J605">
        <v>23</v>
      </c>
      <c r="K605">
        <v>11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605" s="5" cm="1">
        <f t="array" ref="N605">MAX(IF((ProjectInfoTable[ProjectName]=ContinuousStatsTable[[#This Row],[ProjectName]]),(ProjectInfoTable[ProjectName]=ContinuousStatsTable[[#This Row],[ProjectName]])*ProjectInfoTable[NumberOfReplications]))</f>
        <v>30</v>
      </c>
      <c r="O605" s="5" cm="1">
        <f t="array" ref="O605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605" s="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605" s="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605" s="5" cm="1">
        <f t="array" ref="S605">MIN(IF((ContinuousStatsTable[GroupByKey]=ContinuousStatsTable[[#This Row],[GroupByKey]]),(ContinuousStatsTable[GroupByKey]=ContinuousStatsTable[[#This Row],[GroupByKey]])*ContinuousStatsTable[Average]))</f>
        <v>7.2424148890626396</v>
      </c>
      <c r="T605" s="5" cm="1">
        <f t="array" ref="T605">MAX(IF((ContinuousStatsTable[GroupByKey]=ContinuousStatsTable[[#This Row],[GroupByKey]]),(ContinuousStatsTable[GroupByKey]=ContinuousStatsTable[[#This Row],[GroupByKey]])*ContinuousStatsTable[Average]))</f>
        <v>9.8046611578275602</v>
      </c>
      <c r="U605" s="5">
        <f>IF((ContinuousStatsTable[[#This Row],[RepsRequested]]&gt;1),ContinuousStatsTable[[#This Row],[HalfWidth]],ContinuousStatsTable[[#This Row],[BatchMeansHalfWidth]])</f>
        <v>0.24857056778112663</v>
      </c>
    </row>
    <row r="606" spans="1:21" x14ac:dyDescent="0.3">
      <c r="A606" t="s">
        <v>66</v>
      </c>
      <c r="B606" t="s">
        <v>68</v>
      </c>
      <c r="C606">
        <v>16</v>
      </c>
      <c r="D606" t="s">
        <v>100</v>
      </c>
      <c r="E606" t="s">
        <v>97</v>
      </c>
      <c r="F606" t="s">
        <v>95</v>
      </c>
      <c r="G606">
        <v>50</v>
      </c>
      <c r="H606">
        <v>2E+20</v>
      </c>
      <c r="I606">
        <v>50</v>
      </c>
      <c r="J606">
        <v>50</v>
      </c>
      <c r="K606">
        <v>50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606" s="5" cm="1">
        <f t="array" ref="N606">MAX(IF((ProjectInfoTable[ProjectName]=ContinuousStatsTable[[#This Row],[ProjectName]]),(ProjectInfoTable[ProjectName]=ContinuousStatsTable[[#This Row],[ProjectName]])*ProjectInfoTable[NumberOfReplications]))</f>
        <v>30</v>
      </c>
      <c r="O606" s="5" cm="1">
        <f t="array" ref="O606">IFERROR(AVERAGE(IF((ContinuousStatsTable[GroupByKey]=ContinuousStatsTable[[#This Row],[GroupByKey]]),(ContinuousStatsTable[GroupByKey]=ContinuousStatsTable[[#This Row],[GroupByKey]])*ContinuousStatsTable[Average])),0)</f>
        <v>50</v>
      </c>
      <c r="P606" s="5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0</v>
      </c>
      <c r="Q606" s="5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6" s="5" cm="1">
        <f t="array" ref="S606">MIN(IF((ContinuousStatsTable[GroupByKey]=ContinuousStatsTable[[#This Row],[GroupByKey]]),(ContinuousStatsTable[GroupByKey]=ContinuousStatsTable[[#This Row],[GroupByKey]])*ContinuousStatsTable[Average]))</f>
        <v>50</v>
      </c>
      <c r="T606" s="5" cm="1">
        <f t="array" ref="T606">MAX(IF((ContinuousStatsTable[GroupByKey]=ContinuousStatsTable[[#This Row],[GroupByKey]]),(ContinuousStatsTable[GroupByKey]=ContinuousStatsTable[[#This Row],[GroupByKey]])*ContinuousStatsTable[Average]))</f>
        <v>50</v>
      </c>
      <c r="U606" s="5">
        <f>IF((ContinuousStatsTable[[#This Row],[RepsRequested]]&gt;1),ContinuousStatsTable[[#This Row],[HalfWidth]],ContinuousStatsTable[[#This Row],[BatchMeansHalfWidth]])</f>
        <v>0</v>
      </c>
    </row>
    <row r="607" spans="1:21" x14ac:dyDescent="0.3">
      <c r="A607" t="s">
        <v>66</v>
      </c>
      <c r="B607" t="s">
        <v>68</v>
      </c>
      <c r="C607">
        <v>16</v>
      </c>
      <c r="D607" t="s">
        <v>101</v>
      </c>
      <c r="E607" t="s">
        <v>94</v>
      </c>
      <c r="F607" t="s">
        <v>95</v>
      </c>
      <c r="G607">
        <v>0.10415783013028999</v>
      </c>
      <c r="H607">
        <v>2E+20</v>
      </c>
      <c r="I607">
        <v>0</v>
      </c>
      <c r="J607">
        <v>0.46666666666666701</v>
      </c>
      <c r="K607">
        <v>0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607" s="5" cm="1">
        <f t="array" ref="N607">MAX(IF((ProjectInfoTable[ProjectName]=ContinuousStatsTable[[#This Row],[ProjectName]]),(ProjectInfoTable[ProjectName]=ContinuousStatsTable[[#This Row],[ProjectName]])*ProjectInfoTable[NumberOfReplications]))</f>
        <v>30</v>
      </c>
      <c r="O607" s="5" cm="1">
        <f t="array" ref="O607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607" s="5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607" s="5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607" s="5" cm="1">
        <f t="array" ref="S607">MIN(IF((ContinuousStatsTable[GroupByKey]=ContinuousStatsTable[[#This Row],[GroupByKey]]),(ContinuousStatsTable[GroupByKey]=ContinuousStatsTable[[#This Row],[GroupByKey]])*ContinuousStatsTable[Average]))</f>
        <v>7.4778736536586704E-2</v>
      </c>
      <c r="T607" s="5" cm="1">
        <f t="array" ref="T607">MAX(IF((ContinuousStatsTable[GroupByKey]=ContinuousStatsTable[[#This Row],[GroupByKey]]),(ContinuousStatsTable[GroupByKey]=ContinuousStatsTable[[#This Row],[GroupByKey]])*ContinuousStatsTable[Average]))</f>
        <v>0.111025455742452</v>
      </c>
      <c r="U607" s="5">
        <f>IF((ContinuousStatsTable[[#This Row],[RepsRequested]]&gt;1),ContinuousStatsTable[[#This Row],[HalfWidth]],ContinuousStatsTable[[#This Row],[BatchMeansHalfWidth]])</f>
        <v>4.1821462690338805E-3</v>
      </c>
    </row>
    <row r="608" spans="1:21" x14ac:dyDescent="0.3">
      <c r="A608" t="s">
        <v>66</v>
      </c>
      <c r="B608" t="s">
        <v>68</v>
      </c>
      <c r="C608">
        <v>16</v>
      </c>
      <c r="D608" t="s">
        <v>101</v>
      </c>
      <c r="E608" t="s">
        <v>96</v>
      </c>
      <c r="F608" t="s">
        <v>95</v>
      </c>
      <c r="G608">
        <v>1.56236745195435</v>
      </c>
      <c r="H608">
        <v>2E+20</v>
      </c>
      <c r="I608">
        <v>0</v>
      </c>
      <c r="J608">
        <v>7</v>
      </c>
      <c r="K608">
        <v>0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608" s="5" cm="1">
        <f t="array" ref="N608">MAX(IF((ProjectInfoTable[ProjectName]=ContinuousStatsTable[[#This Row],[ProjectName]]),(ProjectInfoTable[ProjectName]=ContinuousStatsTable[[#This Row],[ProjectName]])*ProjectInfoTable[NumberOfReplications]))</f>
        <v>30</v>
      </c>
      <c r="O608" s="5" cm="1">
        <f t="array" ref="O608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608" s="5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608" s="5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608" s="5" cm="1">
        <f t="array" ref="S608">MIN(IF((ContinuousStatsTable[GroupByKey]=ContinuousStatsTable[[#This Row],[GroupByKey]]),(ContinuousStatsTable[GroupByKey]=ContinuousStatsTable[[#This Row],[GroupByKey]])*ContinuousStatsTable[Average]))</f>
        <v>1.1216810480488</v>
      </c>
      <c r="T608" s="5" cm="1">
        <f t="array" ref="T608">MAX(IF((ContinuousStatsTable[GroupByKey]=ContinuousStatsTable[[#This Row],[GroupByKey]]),(ContinuousStatsTable[GroupByKey]=ContinuousStatsTable[[#This Row],[GroupByKey]])*ContinuousStatsTable[Average]))</f>
        <v>1.66538183613678</v>
      </c>
      <c r="U608" s="5">
        <f>IF((ContinuousStatsTable[[#This Row],[RepsRequested]]&gt;1),ContinuousStatsTable[[#This Row],[HalfWidth]],ContinuousStatsTable[[#This Row],[BatchMeansHalfWidth]])</f>
        <v>6.2732194035507963E-2</v>
      </c>
    </row>
    <row r="609" spans="1:21" x14ac:dyDescent="0.3">
      <c r="A609" t="s">
        <v>66</v>
      </c>
      <c r="B609" t="s">
        <v>68</v>
      </c>
      <c r="C609">
        <v>16</v>
      </c>
      <c r="D609" t="s">
        <v>101</v>
      </c>
      <c r="E609" t="s">
        <v>97</v>
      </c>
      <c r="F609" t="s">
        <v>95</v>
      </c>
      <c r="G609">
        <v>15</v>
      </c>
      <c r="H609">
        <v>2E+20</v>
      </c>
      <c r="I609">
        <v>15</v>
      </c>
      <c r="J609">
        <v>15</v>
      </c>
      <c r="K609">
        <v>15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609" s="5" cm="1">
        <f t="array" ref="N609">MAX(IF((ProjectInfoTable[ProjectName]=ContinuousStatsTable[[#This Row],[ProjectName]]),(ProjectInfoTable[ProjectName]=ContinuousStatsTable[[#This Row],[ProjectName]])*ProjectInfoTable[NumberOfReplications]))</f>
        <v>30</v>
      </c>
      <c r="O609" s="5" cm="1">
        <f t="array" ref="O609">IFERROR(AVERAGE(IF((ContinuousStatsTable[GroupByKey]=ContinuousStatsTable[[#This Row],[GroupByKey]]),(ContinuousStatsTable[GroupByKey]=ContinuousStatsTable[[#This Row],[GroupByKey]])*ContinuousStatsTable[Average])),0)</f>
        <v>15</v>
      </c>
      <c r="P609" s="5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0</v>
      </c>
      <c r="Q609" s="5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9" s="5" cm="1">
        <f t="array" ref="S609">MIN(IF((ContinuousStatsTable[GroupByKey]=ContinuousStatsTable[[#This Row],[GroupByKey]]),(ContinuousStatsTable[GroupByKey]=ContinuousStatsTable[[#This Row],[GroupByKey]])*ContinuousStatsTable[Average]))</f>
        <v>15</v>
      </c>
      <c r="T609" s="5" cm="1">
        <f t="array" ref="T609">MAX(IF((ContinuousStatsTable[GroupByKey]=ContinuousStatsTable[[#This Row],[GroupByKey]]),(ContinuousStatsTable[GroupByKey]=ContinuousStatsTable[[#This Row],[GroupByKey]])*ContinuousStatsTable[Average]))</f>
        <v>15</v>
      </c>
      <c r="U609" s="5">
        <f>IF((ContinuousStatsTable[[#This Row],[RepsRequested]]&gt;1),ContinuousStatsTable[[#This Row],[HalfWidth]],ContinuousStatsTable[[#This Row],[BatchMeansHalfWidth]])</f>
        <v>0</v>
      </c>
    </row>
    <row r="610" spans="1:21" x14ac:dyDescent="0.3">
      <c r="A610" t="s">
        <v>66</v>
      </c>
      <c r="B610" t="s">
        <v>68</v>
      </c>
      <c r="C610">
        <v>16</v>
      </c>
      <c r="D610" t="s">
        <v>102</v>
      </c>
      <c r="E610" t="s">
        <v>94</v>
      </c>
      <c r="F610" t="s">
        <v>95</v>
      </c>
      <c r="G610">
        <v>0.88953428917371002</v>
      </c>
      <c r="H610">
        <v>2E+20</v>
      </c>
      <c r="I610">
        <v>0</v>
      </c>
      <c r="J610">
        <v>1</v>
      </c>
      <c r="K610">
        <v>1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610" s="5" cm="1">
        <f t="array" ref="N610">MAX(IF((ProjectInfoTable[ProjectName]=ContinuousStatsTable[[#This Row],[ProjectName]]),(ProjectInfoTable[ProjectName]=ContinuousStatsTable[[#This Row],[ProjectName]])*ProjectInfoTable[NumberOfReplications]))</f>
        <v>30</v>
      </c>
      <c r="O610" s="5" cm="1">
        <f t="array" ref="O610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610" s="5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610" s="5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610" s="5" cm="1">
        <f t="array" ref="S610">MIN(IF((ContinuousStatsTable[GroupByKey]=ContinuousStatsTable[[#This Row],[GroupByKey]]),(ContinuousStatsTable[GroupByKey]=ContinuousStatsTable[[#This Row],[GroupByKey]])*ContinuousStatsTable[Average]))</f>
        <v>0.73673947391417804</v>
      </c>
      <c r="T610" s="5" cm="1">
        <f t="array" ref="T610">MAX(IF((ContinuousStatsTable[GroupByKey]=ContinuousStatsTable[[#This Row],[GroupByKey]]),(ContinuousStatsTable[GroupByKey]=ContinuousStatsTable[[#This Row],[GroupByKey]])*ContinuousStatsTable[Average]))</f>
        <v>0.90592850818388704</v>
      </c>
      <c r="U610" s="5">
        <f>IF((ContinuousStatsTable[[#This Row],[RepsRequested]]&gt;1),ContinuousStatsTable[[#This Row],[HalfWidth]],ContinuousStatsTable[[#This Row],[BatchMeansHalfWidth]])</f>
        <v>1.8636241798384946E-2</v>
      </c>
    </row>
    <row r="611" spans="1:21" x14ac:dyDescent="0.3">
      <c r="A611" t="s">
        <v>66</v>
      </c>
      <c r="B611" t="s">
        <v>68</v>
      </c>
      <c r="C611">
        <v>16</v>
      </c>
      <c r="D611" t="s">
        <v>102</v>
      </c>
      <c r="E611" t="s">
        <v>96</v>
      </c>
      <c r="F611" t="s">
        <v>95</v>
      </c>
      <c r="G611">
        <v>1.7235363551532501</v>
      </c>
      <c r="H611">
        <v>2E+20</v>
      </c>
      <c r="I611">
        <v>0</v>
      </c>
      <c r="J611">
        <v>3</v>
      </c>
      <c r="K611">
        <v>3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611" s="5" cm="1">
        <f t="array" ref="N611">MAX(IF((ProjectInfoTable[ProjectName]=ContinuousStatsTable[[#This Row],[ProjectName]]),(ProjectInfoTable[ProjectName]=ContinuousStatsTable[[#This Row],[ProjectName]])*ProjectInfoTable[NumberOfReplications]))</f>
        <v>30</v>
      </c>
      <c r="O611" s="5" cm="1">
        <f t="array" ref="O611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611" s="5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611" s="5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611" s="5" cm="1">
        <f t="array" ref="S611">MIN(IF((ContinuousStatsTable[GroupByKey]=ContinuousStatsTable[[#This Row],[GroupByKey]]),(ContinuousStatsTable[GroupByKey]=ContinuousStatsTable[[#This Row],[GroupByKey]])*ContinuousStatsTable[Average]))</f>
        <v>1.3726163545041801</v>
      </c>
      <c r="T611" s="5" cm="1">
        <f t="array" ref="T611">MAX(IF((ContinuousStatsTable[GroupByKey]=ContinuousStatsTable[[#This Row],[GroupByKey]]),(ContinuousStatsTable[GroupByKey]=ContinuousStatsTable[[#This Row],[GroupByKey]])*ContinuousStatsTable[Average]))</f>
        <v>1.7968913949876599</v>
      </c>
      <c r="U611" s="5">
        <f>IF((ContinuousStatsTable[[#This Row],[RepsRequested]]&gt;1),ContinuousStatsTable[[#This Row],[HalfWidth]],ContinuousStatsTable[[#This Row],[BatchMeansHalfWidth]])</f>
        <v>4.3123628688677348E-2</v>
      </c>
    </row>
    <row r="612" spans="1:21" x14ac:dyDescent="0.3">
      <c r="A612" t="s">
        <v>66</v>
      </c>
      <c r="B612" t="s">
        <v>68</v>
      </c>
      <c r="C612">
        <v>16</v>
      </c>
      <c r="D612" t="s">
        <v>102</v>
      </c>
      <c r="E612" t="s">
        <v>97</v>
      </c>
      <c r="F612" t="s">
        <v>95</v>
      </c>
      <c r="G612">
        <v>2</v>
      </c>
      <c r="H612">
        <v>2E+20</v>
      </c>
      <c r="I612">
        <v>1</v>
      </c>
      <c r="J612">
        <v>3</v>
      </c>
      <c r="K612">
        <v>1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612" s="5" cm="1">
        <f t="array" ref="N612">MAX(IF((ProjectInfoTable[ProjectName]=ContinuousStatsTable[[#This Row],[ProjectName]]),(ProjectInfoTable[ProjectName]=ContinuousStatsTable[[#This Row],[ProjectName]])*ProjectInfoTable[NumberOfReplications]))</f>
        <v>30</v>
      </c>
      <c r="O612" s="5" cm="1">
        <f t="array" ref="O612">IFERROR(AVERAGE(IF((ContinuousStatsTable[GroupByKey]=ContinuousStatsTable[[#This Row],[GroupByKey]]),(ContinuousStatsTable[GroupByKey]=ContinuousStatsTable[[#This Row],[GroupByKey]])*ContinuousStatsTable[Average])),0)</f>
        <v>2</v>
      </c>
      <c r="P612" s="5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s="5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s="5" cm="1">
        <f t="array" ref="S612">MIN(IF((ContinuousStatsTable[GroupByKey]=ContinuousStatsTable[[#This Row],[GroupByKey]]),(ContinuousStatsTable[GroupByKey]=ContinuousStatsTable[[#This Row],[GroupByKey]])*ContinuousStatsTable[Average]))</f>
        <v>2</v>
      </c>
      <c r="T612" s="5" cm="1">
        <f t="array" ref="T612">MAX(IF((ContinuousStatsTable[GroupByKey]=ContinuousStatsTable[[#This Row],[GroupByKey]]),(ContinuousStatsTable[GroupByKey]=ContinuousStatsTable[[#This Row],[GroupByKey]])*ContinuousStatsTable[Average]))</f>
        <v>2</v>
      </c>
      <c r="U612" s="5">
        <f>IF((ContinuousStatsTable[[#This Row],[RepsRequested]]&gt;1),ContinuousStatsTable[[#This Row],[HalfWidth]],ContinuousStatsTable[[#This Row],[BatchMeansHalfWidth]])</f>
        <v>0</v>
      </c>
    </row>
    <row r="613" spans="1:21" x14ac:dyDescent="0.3">
      <c r="A613" t="s">
        <v>66</v>
      </c>
      <c r="B613" t="s">
        <v>68</v>
      </c>
      <c r="C613">
        <v>16</v>
      </c>
      <c r="D613" t="s">
        <v>84</v>
      </c>
      <c r="E613" t="s">
        <v>103</v>
      </c>
      <c r="F613" t="s">
        <v>86</v>
      </c>
      <c r="G613">
        <v>68.573409144623795</v>
      </c>
      <c r="H613">
        <v>2E+20</v>
      </c>
      <c r="I613">
        <v>0</v>
      </c>
      <c r="J613">
        <v>92</v>
      </c>
      <c r="K613">
        <v>73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613" s="5" cm="1">
        <f t="array" ref="N613">MAX(IF((ProjectInfoTable[ProjectName]=ContinuousStatsTable[[#This Row],[ProjectName]]),(ProjectInfoTable[ProjectName]=ContinuousStatsTable[[#This Row],[ProjectName]])*ProjectInfoTable[NumberOfReplications]))</f>
        <v>30</v>
      </c>
      <c r="O613" s="5" cm="1">
        <f t="array" ref="O613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613" s="5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613" s="5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613" s="5" cm="1">
        <f t="array" ref="S613">MIN(IF((ContinuousStatsTable[GroupByKey]=ContinuousStatsTable[[#This Row],[GroupByKey]]),(ContinuousStatsTable[GroupByKey]=ContinuousStatsTable[[#This Row],[GroupByKey]])*ContinuousStatsTable[Average]))</f>
        <v>36.709886237305</v>
      </c>
      <c r="T613" s="5" cm="1">
        <f t="array" ref="T613">MAX(IF((ContinuousStatsTable[GroupByKey]=ContinuousStatsTable[[#This Row],[GroupByKey]]),(ContinuousStatsTable[GroupByKey]=ContinuousStatsTable[[#This Row],[GroupByKey]])*ContinuousStatsTable[Average]))</f>
        <v>84.594951996708403</v>
      </c>
      <c r="U613" s="5">
        <f>IF((ContinuousStatsTable[[#This Row],[RepsRequested]]&gt;1),ContinuousStatsTable[[#This Row],[HalfWidth]],ContinuousStatsTable[[#This Row],[BatchMeansHalfWidth]])</f>
        <v>4.0384933567271259</v>
      </c>
    </row>
    <row r="614" spans="1:21" x14ac:dyDescent="0.3">
      <c r="A614" t="s">
        <v>66</v>
      </c>
      <c r="B614" t="s">
        <v>68</v>
      </c>
      <c r="C614">
        <v>16</v>
      </c>
      <c r="D614" t="s">
        <v>104</v>
      </c>
      <c r="E614" t="s">
        <v>94</v>
      </c>
      <c r="F614" t="s">
        <v>95</v>
      </c>
      <c r="G614">
        <v>0</v>
      </c>
      <c r="H614">
        <v>2E+20</v>
      </c>
      <c r="I614">
        <v>0</v>
      </c>
      <c r="J614">
        <v>0</v>
      </c>
      <c r="K614">
        <v>0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614" s="5" cm="1">
        <f t="array" ref="N614">MAX(IF((ProjectInfoTable[ProjectName]=ContinuousStatsTable[[#This Row],[ProjectName]]),(ProjectInfoTable[ProjectName]=ContinuousStatsTable[[#This Row],[ProjectName]])*ProjectInfoTable[NumberOfReplications]))</f>
        <v>30</v>
      </c>
      <c r="O614" s="5" cm="1">
        <f t="array" ref="O614">IFERROR(AVERAGE(IF((ContinuousStatsTable[GroupByKey]=ContinuousStatsTable[[#This Row],[GroupByKey]]),(ContinuousStatsTable[GroupByKey]=ContinuousStatsTable[[#This Row],[GroupByKey]])*ContinuousStatsTable[Average])),0)</f>
        <v>0</v>
      </c>
      <c r="P614" s="5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0</v>
      </c>
      <c r="Q614" s="5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4" s="5" cm="1">
        <f t="array" ref="S614">MIN(IF((ContinuousStatsTable[GroupByKey]=ContinuousStatsTable[[#This Row],[GroupByKey]]),(ContinuousStatsTable[GroupByKey]=ContinuousStatsTable[[#This Row],[GroupByKey]])*ContinuousStatsTable[Average]))</f>
        <v>0</v>
      </c>
      <c r="T614" s="5" cm="1">
        <f t="array" ref="T614">MAX(IF((ContinuousStatsTable[GroupByKey]=ContinuousStatsTable[[#This Row],[GroupByKey]]),(ContinuousStatsTable[GroupByKey]=ContinuousStatsTable[[#This Row],[GroupByKey]])*ContinuousStatsTable[Average]))</f>
        <v>0</v>
      </c>
      <c r="U614" s="5">
        <f>IF((ContinuousStatsTable[[#This Row],[RepsRequested]]&gt;1),ContinuousStatsTable[[#This Row],[HalfWidth]],ContinuousStatsTable[[#This Row],[BatchMeansHalfWidth]])</f>
        <v>0</v>
      </c>
    </row>
    <row r="615" spans="1:21" x14ac:dyDescent="0.3">
      <c r="A615" t="s">
        <v>66</v>
      </c>
      <c r="B615" t="s">
        <v>68</v>
      </c>
      <c r="C615">
        <v>16</v>
      </c>
      <c r="D615" t="s">
        <v>104</v>
      </c>
      <c r="E615" t="s">
        <v>96</v>
      </c>
      <c r="F615" t="s">
        <v>95</v>
      </c>
      <c r="G615">
        <v>0</v>
      </c>
      <c r="H615">
        <v>2E+20</v>
      </c>
      <c r="I615">
        <v>0</v>
      </c>
      <c r="J615">
        <v>0</v>
      </c>
      <c r="K615">
        <v>0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615" s="5" cm="1">
        <f t="array" ref="N615">MAX(IF((ProjectInfoTable[ProjectName]=ContinuousStatsTable[[#This Row],[ProjectName]]),(ProjectInfoTable[ProjectName]=ContinuousStatsTable[[#This Row],[ProjectName]])*ProjectInfoTable[NumberOfReplications]))</f>
        <v>30</v>
      </c>
      <c r="O615" s="5" cm="1">
        <f t="array" ref="O615">IFERROR(AVERAGE(IF((ContinuousStatsTable[GroupByKey]=ContinuousStatsTable[[#This Row],[GroupByKey]]),(ContinuousStatsTable[GroupByKey]=ContinuousStatsTable[[#This Row],[GroupByKey]])*ContinuousStatsTable[Average])),0)</f>
        <v>0</v>
      </c>
      <c r="P615" s="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</v>
      </c>
      <c r="Q615" s="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5" s="5" cm="1">
        <f t="array" ref="S615">MIN(IF((ContinuousStatsTable[GroupByKey]=ContinuousStatsTable[[#This Row],[GroupByKey]]),(ContinuousStatsTable[GroupByKey]=ContinuousStatsTable[[#This Row],[GroupByKey]])*ContinuousStatsTable[Average]))</f>
        <v>0</v>
      </c>
      <c r="T615" s="5" cm="1">
        <f t="array" ref="T615">MAX(IF((ContinuousStatsTable[GroupByKey]=ContinuousStatsTable[[#This Row],[GroupByKey]]),(ContinuousStatsTable[GroupByKey]=ContinuousStatsTable[[#This Row],[GroupByKey]])*ContinuousStatsTable[Average]))</f>
        <v>0</v>
      </c>
      <c r="U615" s="5">
        <f>IF((ContinuousStatsTable[[#This Row],[RepsRequested]]&gt;1),ContinuousStatsTable[[#This Row],[HalfWidth]],ContinuousStatsTable[[#This Row],[BatchMeansHalfWidth]])</f>
        <v>0</v>
      </c>
    </row>
    <row r="616" spans="1:21" x14ac:dyDescent="0.3">
      <c r="A616" t="s">
        <v>66</v>
      </c>
      <c r="B616" t="s">
        <v>68</v>
      </c>
      <c r="C616">
        <v>16</v>
      </c>
      <c r="D616" t="s">
        <v>104</v>
      </c>
      <c r="E616" t="s">
        <v>97</v>
      </c>
      <c r="F616" t="s">
        <v>95</v>
      </c>
      <c r="G616">
        <v>3</v>
      </c>
      <c r="H616">
        <v>2E+20</v>
      </c>
      <c r="I616">
        <v>3</v>
      </c>
      <c r="J616">
        <v>3</v>
      </c>
      <c r="K616">
        <v>3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616" s="5" cm="1">
        <f t="array" ref="N616">MAX(IF((ProjectInfoTable[ProjectName]=ContinuousStatsTable[[#This Row],[ProjectName]]),(ProjectInfoTable[ProjectName]=ContinuousStatsTable[[#This Row],[ProjectName]])*ProjectInfoTable[NumberOfReplications]))</f>
        <v>30</v>
      </c>
      <c r="O616" s="5" cm="1">
        <f t="array" ref="O616">IFERROR(AVERAGE(IF((ContinuousStatsTable[GroupByKey]=ContinuousStatsTable[[#This Row],[GroupByKey]]),(ContinuousStatsTable[GroupByKey]=ContinuousStatsTable[[#This Row],[GroupByKey]])*ContinuousStatsTable[Average])),0)</f>
        <v>3</v>
      </c>
      <c r="P616" s="5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0</v>
      </c>
      <c r="Q616" s="5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6" s="5" cm="1">
        <f t="array" ref="S616">MIN(IF((ContinuousStatsTable[GroupByKey]=ContinuousStatsTable[[#This Row],[GroupByKey]]),(ContinuousStatsTable[GroupByKey]=ContinuousStatsTable[[#This Row],[GroupByKey]])*ContinuousStatsTable[Average]))</f>
        <v>3</v>
      </c>
      <c r="T616" s="5" cm="1">
        <f t="array" ref="T616">MAX(IF((ContinuousStatsTable[GroupByKey]=ContinuousStatsTable[[#This Row],[GroupByKey]]),(ContinuousStatsTable[GroupByKey]=ContinuousStatsTable[[#This Row],[GroupByKey]])*ContinuousStatsTable[Average]))</f>
        <v>3</v>
      </c>
      <c r="U616" s="5">
        <f>IF((ContinuousStatsTable[[#This Row],[RepsRequested]]&gt;1),ContinuousStatsTable[[#This Row],[HalfWidth]],ContinuousStatsTable[[#This Row],[BatchMeansHalfWidth]])</f>
        <v>0</v>
      </c>
    </row>
    <row r="617" spans="1:21" x14ac:dyDescent="0.3">
      <c r="A617" t="s">
        <v>66</v>
      </c>
      <c r="B617" t="s">
        <v>68</v>
      </c>
      <c r="C617">
        <v>16</v>
      </c>
      <c r="D617" t="s">
        <v>105</v>
      </c>
      <c r="E617" t="s">
        <v>94</v>
      </c>
      <c r="F617" t="s">
        <v>95</v>
      </c>
      <c r="G617">
        <v>0.99383259650362799</v>
      </c>
      <c r="H617">
        <v>2E+20</v>
      </c>
      <c r="I617">
        <v>0</v>
      </c>
      <c r="J617">
        <v>1</v>
      </c>
      <c r="K617">
        <v>1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617" s="5" cm="1">
        <f t="array" ref="N617">MAX(IF((ProjectInfoTable[ProjectName]=ContinuousStatsTable[[#This Row],[ProjectName]]),(ProjectInfoTable[ProjectName]=ContinuousStatsTable[[#This Row],[ProjectName]])*ProjectInfoTable[NumberOfReplications]))</f>
        <v>30</v>
      </c>
      <c r="O617" s="5" cm="1">
        <f t="array" ref="O617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617" s="5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617" s="5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617" s="5" cm="1">
        <f t="array" ref="S617">MIN(IF((ContinuousStatsTable[GroupByKey]=ContinuousStatsTable[[#This Row],[GroupByKey]]),(ContinuousStatsTable[GroupByKey]=ContinuousStatsTable[[#This Row],[GroupByKey]])*ContinuousStatsTable[Average]))</f>
        <v>0.634589476164233</v>
      </c>
      <c r="T617" s="5" cm="1">
        <f t="array" ref="T617">MAX(IF((ContinuousStatsTable[GroupByKey]=ContinuousStatsTable[[#This Row],[GroupByKey]]),(ContinuousStatsTable[GroupByKey]=ContinuousStatsTable[[#This Row],[GroupByKey]])*ContinuousStatsTable[Average]))</f>
        <v>0.99383259650362799</v>
      </c>
      <c r="U617" s="5">
        <f>IF((ContinuousStatsTable[[#This Row],[RepsRequested]]&gt;1),ContinuousStatsTable[[#This Row],[HalfWidth]],ContinuousStatsTable[[#This Row],[BatchMeansHalfWidth]])</f>
        <v>3.9940526897700258E-2</v>
      </c>
    </row>
    <row r="618" spans="1:21" x14ac:dyDescent="0.3">
      <c r="A618" t="s">
        <v>66</v>
      </c>
      <c r="B618" t="s">
        <v>68</v>
      </c>
      <c r="C618">
        <v>16</v>
      </c>
      <c r="D618" t="s">
        <v>105</v>
      </c>
      <c r="E618" t="s">
        <v>96</v>
      </c>
      <c r="F618" t="s">
        <v>95</v>
      </c>
      <c r="G618">
        <v>0.99383259650362799</v>
      </c>
      <c r="H618">
        <v>2E+20</v>
      </c>
      <c r="I618">
        <v>0</v>
      </c>
      <c r="J618">
        <v>1</v>
      </c>
      <c r="K618">
        <v>1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618" s="5" cm="1">
        <f t="array" ref="N618">MAX(IF((ProjectInfoTable[ProjectName]=ContinuousStatsTable[[#This Row],[ProjectName]]),(ProjectInfoTable[ProjectName]=ContinuousStatsTable[[#This Row],[ProjectName]])*ProjectInfoTable[NumberOfReplications]))</f>
        <v>30</v>
      </c>
      <c r="O618" s="5" cm="1">
        <f t="array" ref="O618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618" s="5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618" s="5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618" s="5" cm="1">
        <f t="array" ref="S618">MIN(IF((ContinuousStatsTable[GroupByKey]=ContinuousStatsTable[[#This Row],[GroupByKey]]),(ContinuousStatsTable[GroupByKey]=ContinuousStatsTable[[#This Row],[GroupByKey]])*ContinuousStatsTable[Average]))</f>
        <v>0.634589476164233</v>
      </c>
      <c r="T618" s="5" cm="1">
        <f t="array" ref="T618">MAX(IF((ContinuousStatsTable[GroupByKey]=ContinuousStatsTable[[#This Row],[GroupByKey]]),(ContinuousStatsTable[GroupByKey]=ContinuousStatsTable[[#This Row],[GroupByKey]])*ContinuousStatsTable[Average]))</f>
        <v>0.99383259650362799</v>
      </c>
      <c r="U618" s="5">
        <f>IF((ContinuousStatsTable[[#This Row],[RepsRequested]]&gt;1),ContinuousStatsTable[[#This Row],[HalfWidth]],ContinuousStatsTable[[#This Row],[BatchMeansHalfWidth]])</f>
        <v>3.9940526897700258E-2</v>
      </c>
    </row>
    <row r="619" spans="1:21" x14ac:dyDescent="0.3">
      <c r="A619" t="s">
        <v>66</v>
      </c>
      <c r="B619" t="s">
        <v>68</v>
      </c>
      <c r="C619">
        <v>16</v>
      </c>
      <c r="D619" t="s">
        <v>105</v>
      </c>
      <c r="E619" t="s">
        <v>97</v>
      </c>
      <c r="F619" t="s">
        <v>95</v>
      </c>
      <c r="G619">
        <v>1</v>
      </c>
      <c r="H619">
        <v>2E+20</v>
      </c>
      <c r="I619">
        <v>1</v>
      </c>
      <c r="J619">
        <v>1</v>
      </c>
      <c r="K619">
        <v>1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619" s="5" cm="1">
        <f t="array" ref="N619">MAX(IF((ProjectInfoTable[ProjectName]=ContinuousStatsTable[[#This Row],[ProjectName]]),(ProjectInfoTable[ProjectName]=ContinuousStatsTable[[#This Row],[ProjectName]])*ProjectInfoTable[NumberOfReplications]))</f>
        <v>30</v>
      </c>
      <c r="O619" s="5" cm="1">
        <f t="array" ref="O619">IFERROR(AVERAGE(IF((ContinuousStatsTable[GroupByKey]=ContinuousStatsTable[[#This Row],[GroupByKey]]),(ContinuousStatsTable[GroupByKey]=ContinuousStatsTable[[#This Row],[GroupByKey]])*ContinuousStatsTable[Average])),0)</f>
        <v>1</v>
      </c>
      <c r="P619" s="5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0</v>
      </c>
      <c r="Q619" s="5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9" s="5" cm="1">
        <f t="array" ref="S619">MIN(IF((ContinuousStatsTable[GroupByKey]=ContinuousStatsTable[[#This Row],[GroupByKey]]),(ContinuousStatsTable[GroupByKey]=ContinuousStatsTable[[#This Row],[GroupByKey]])*ContinuousStatsTable[Average]))</f>
        <v>1</v>
      </c>
      <c r="T619" s="5" cm="1">
        <f t="array" ref="T619">MAX(IF((ContinuousStatsTable[GroupByKey]=ContinuousStatsTable[[#This Row],[GroupByKey]]),(ContinuousStatsTable[GroupByKey]=ContinuousStatsTable[[#This Row],[GroupByKey]])*ContinuousStatsTable[Average]))</f>
        <v>1</v>
      </c>
      <c r="U619" s="5">
        <f>IF((ContinuousStatsTable[[#This Row],[RepsRequested]]&gt;1),ContinuousStatsTable[[#This Row],[HalfWidth]],ContinuousStatsTable[[#This Row],[BatchMeansHalfWidth]])</f>
        <v>0</v>
      </c>
    </row>
    <row r="620" spans="1:21" x14ac:dyDescent="0.3">
      <c r="A620" t="s">
        <v>66</v>
      </c>
      <c r="B620" t="s">
        <v>68</v>
      </c>
      <c r="C620">
        <v>16</v>
      </c>
      <c r="D620" t="s">
        <v>106</v>
      </c>
      <c r="E620" t="s">
        <v>94</v>
      </c>
      <c r="F620" t="s">
        <v>95</v>
      </c>
      <c r="G620">
        <v>0.99245161744166299</v>
      </c>
      <c r="H620">
        <v>2E+20</v>
      </c>
      <c r="I620">
        <v>0</v>
      </c>
      <c r="J620">
        <v>1</v>
      </c>
      <c r="K620">
        <v>1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620" s="5" cm="1">
        <f t="array" ref="N620">MAX(IF((ProjectInfoTable[ProjectName]=ContinuousStatsTable[[#This Row],[ProjectName]]),(ProjectInfoTable[ProjectName]=ContinuousStatsTable[[#This Row],[ProjectName]])*ProjectInfoTable[NumberOfReplications]))</f>
        <v>30</v>
      </c>
      <c r="O620" s="5" cm="1">
        <f t="array" ref="O620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620" s="5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620" s="5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620" s="5" cm="1">
        <f t="array" ref="S620">MIN(IF((ContinuousStatsTable[GroupByKey]=ContinuousStatsTable[[#This Row],[GroupByKey]]),(ContinuousStatsTable[GroupByKey]=ContinuousStatsTable[[#This Row],[GroupByKey]])*ContinuousStatsTable[Average]))</f>
        <v>0.74061105631083801</v>
      </c>
      <c r="T620" s="5" cm="1">
        <f t="array" ref="T620">MAX(IF((ContinuousStatsTable[GroupByKey]=ContinuousStatsTable[[#This Row],[GroupByKey]]),(ContinuousStatsTable[GroupByKey]=ContinuousStatsTable[[#This Row],[GroupByKey]])*ContinuousStatsTable[Average]))</f>
        <v>0.99245161744166299</v>
      </c>
      <c r="U620" s="5">
        <f>IF((ContinuousStatsTable[[#This Row],[RepsRequested]]&gt;1),ContinuousStatsTable[[#This Row],[HalfWidth]],ContinuousStatsTable[[#This Row],[BatchMeansHalfWidth]])</f>
        <v>2.8912497794626357E-2</v>
      </c>
    </row>
    <row r="621" spans="1:21" x14ac:dyDescent="0.3">
      <c r="A621" t="s">
        <v>66</v>
      </c>
      <c r="B621" t="s">
        <v>68</v>
      </c>
      <c r="C621">
        <v>16</v>
      </c>
      <c r="D621" t="s">
        <v>106</v>
      </c>
      <c r="E621" t="s">
        <v>96</v>
      </c>
      <c r="F621" t="s">
        <v>95</v>
      </c>
      <c r="G621">
        <v>0.99245161744166299</v>
      </c>
      <c r="H621">
        <v>2E+20</v>
      </c>
      <c r="I621">
        <v>0</v>
      </c>
      <c r="J621">
        <v>1</v>
      </c>
      <c r="K621">
        <v>1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621" s="5" cm="1">
        <f t="array" ref="N621">MAX(IF((ProjectInfoTable[ProjectName]=ContinuousStatsTable[[#This Row],[ProjectName]]),(ProjectInfoTable[ProjectName]=ContinuousStatsTable[[#This Row],[ProjectName]])*ProjectInfoTable[NumberOfReplications]))</f>
        <v>30</v>
      </c>
      <c r="O621" s="5" cm="1">
        <f t="array" ref="O621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621" s="5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621" s="5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621" s="5" cm="1">
        <f t="array" ref="S621">MIN(IF((ContinuousStatsTable[GroupByKey]=ContinuousStatsTable[[#This Row],[GroupByKey]]),(ContinuousStatsTable[GroupByKey]=ContinuousStatsTable[[#This Row],[GroupByKey]])*ContinuousStatsTable[Average]))</f>
        <v>0.74061105631083801</v>
      </c>
      <c r="T621" s="5" cm="1">
        <f t="array" ref="T621">MAX(IF((ContinuousStatsTable[GroupByKey]=ContinuousStatsTable[[#This Row],[GroupByKey]]),(ContinuousStatsTable[GroupByKey]=ContinuousStatsTable[[#This Row],[GroupByKey]])*ContinuousStatsTable[Average]))</f>
        <v>0.99245161744166299</v>
      </c>
      <c r="U621" s="5">
        <f>IF((ContinuousStatsTable[[#This Row],[RepsRequested]]&gt;1),ContinuousStatsTable[[#This Row],[HalfWidth]],ContinuousStatsTable[[#This Row],[BatchMeansHalfWidth]])</f>
        <v>2.8912497794626357E-2</v>
      </c>
    </row>
    <row r="622" spans="1:21" x14ac:dyDescent="0.3">
      <c r="A622" t="s">
        <v>66</v>
      </c>
      <c r="B622" t="s">
        <v>68</v>
      </c>
      <c r="C622">
        <v>16</v>
      </c>
      <c r="D622" t="s">
        <v>106</v>
      </c>
      <c r="E622" t="s">
        <v>97</v>
      </c>
      <c r="F622" t="s">
        <v>95</v>
      </c>
      <c r="G622">
        <v>1</v>
      </c>
      <c r="H622">
        <v>2E+20</v>
      </c>
      <c r="I622">
        <v>1</v>
      </c>
      <c r="J622">
        <v>1</v>
      </c>
      <c r="K622">
        <v>1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622" s="5" cm="1">
        <f t="array" ref="N622">MAX(IF((ProjectInfoTable[ProjectName]=ContinuousStatsTable[[#This Row],[ProjectName]]),(ProjectInfoTable[ProjectName]=ContinuousStatsTable[[#This Row],[ProjectName]])*ProjectInfoTable[NumberOfReplications]))</f>
        <v>30</v>
      </c>
      <c r="O622" s="5" cm="1">
        <f t="array" ref="O622">IFERROR(AVERAGE(IF((ContinuousStatsTable[GroupByKey]=ContinuousStatsTable[[#This Row],[GroupByKey]]),(ContinuousStatsTable[GroupByKey]=ContinuousStatsTable[[#This Row],[GroupByKey]])*ContinuousStatsTable[Average])),0)</f>
        <v>1</v>
      </c>
      <c r="P622" s="5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0</v>
      </c>
      <c r="Q622" s="5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2" s="5" cm="1">
        <f t="array" ref="S622">MIN(IF((ContinuousStatsTable[GroupByKey]=ContinuousStatsTable[[#This Row],[GroupByKey]]),(ContinuousStatsTable[GroupByKey]=ContinuousStatsTable[[#This Row],[GroupByKey]])*ContinuousStatsTable[Average]))</f>
        <v>1</v>
      </c>
      <c r="T622" s="5" cm="1">
        <f t="array" ref="T622">MAX(IF((ContinuousStatsTable[GroupByKey]=ContinuousStatsTable[[#This Row],[GroupByKey]]),(ContinuousStatsTable[GroupByKey]=ContinuousStatsTable[[#This Row],[GroupByKey]])*ContinuousStatsTable[Average]))</f>
        <v>1</v>
      </c>
      <c r="U622" s="5">
        <f>IF((ContinuousStatsTable[[#This Row],[RepsRequested]]&gt;1),ContinuousStatsTable[[#This Row],[HalfWidth]],ContinuousStatsTable[[#This Row],[BatchMeansHalfWidth]])</f>
        <v>0</v>
      </c>
    </row>
    <row r="623" spans="1:21" x14ac:dyDescent="0.3">
      <c r="A623" t="s">
        <v>66</v>
      </c>
      <c r="B623" t="s">
        <v>68</v>
      </c>
      <c r="C623">
        <v>16</v>
      </c>
      <c r="D623" t="s">
        <v>107</v>
      </c>
      <c r="E623" t="s">
        <v>94</v>
      </c>
      <c r="F623" t="s">
        <v>95</v>
      </c>
      <c r="G623">
        <v>0.99245161744166299</v>
      </c>
      <c r="H623">
        <v>2E+20</v>
      </c>
      <c r="I623">
        <v>0</v>
      </c>
      <c r="J623">
        <v>1</v>
      </c>
      <c r="K623">
        <v>1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623" s="5" cm="1">
        <f t="array" ref="N623">MAX(IF((ProjectInfoTable[ProjectName]=ContinuousStatsTable[[#This Row],[ProjectName]]),(ProjectInfoTable[ProjectName]=ContinuousStatsTable[[#This Row],[ProjectName]])*ProjectInfoTable[NumberOfReplications]))</f>
        <v>30</v>
      </c>
      <c r="O623" s="5" cm="1">
        <f t="array" ref="O623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623" s="5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623" s="5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623" s="5" cm="1">
        <f t="array" ref="S623">MIN(IF((ContinuousStatsTable[GroupByKey]=ContinuousStatsTable[[#This Row],[GroupByKey]]),(ContinuousStatsTable[GroupByKey]=ContinuousStatsTable[[#This Row],[GroupByKey]])*ContinuousStatsTable[Average]))</f>
        <v>0.73843386001690303</v>
      </c>
      <c r="T623" s="5" cm="1">
        <f t="array" ref="T623">MAX(IF((ContinuousStatsTable[GroupByKey]=ContinuousStatsTable[[#This Row],[GroupByKey]]),(ContinuousStatsTable[GroupByKey]=ContinuousStatsTable[[#This Row],[GroupByKey]])*ContinuousStatsTable[Average]))</f>
        <v>0.99245161744166299</v>
      </c>
      <c r="U623" s="5">
        <f>IF((ContinuousStatsTable[[#This Row],[RepsRequested]]&gt;1),ContinuousStatsTable[[#This Row],[HalfWidth]],ContinuousStatsTable[[#This Row],[BatchMeansHalfWidth]])</f>
        <v>2.6057642646860522E-2</v>
      </c>
    </row>
    <row r="624" spans="1:21" x14ac:dyDescent="0.3">
      <c r="A624" t="s">
        <v>66</v>
      </c>
      <c r="B624" t="s">
        <v>68</v>
      </c>
      <c r="C624">
        <v>16</v>
      </c>
      <c r="D624" t="s">
        <v>107</v>
      </c>
      <c r="E624" t="s">
        <v>96</v>
      </c>
      <c r="F624" t="s">
        <v>95</v>
      </c>
      <c r="G624">
        <v>0.99245161744166299</v>
      </c>
      <c r="H624">
        <v>2E+20</v>
      </c>
      <c r="I624">
        <v>0</v>
      </c>
      <c r="J624">
        <v>1</v>
      </c>
      <c r="K624">
        <v>1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624" s="5" cm="1">
        <f t="array" ref="N624">MAX(IF((ProjectInfoTable[ProjectName]=ContinuousStatsTable[[#This Row],[ProjectName]]),(ProjectInfoTable[ProjectName]=ContinuousStatsTable[[#This Row],[ProjectName]])*ProjectInfoTable[NumberOfReplications]))</f>
        <v>30</v>
      </c>
      <c r="O624" s="5" cm="1">
        <f t="array" ref="O624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624" s="5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624" s="5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624" s="5" cm="1">
        <f t="array" ref="S624">MIN(IF((ContinuousStatsTable[GroupByKey]=ContinuousStatsTable[[#This Row],[GroupByKey]]),(ContinuousStatsTable[GroupByKey]=ContinuousStatsTable[[#This Row],[GroupByKey]])*ContinuousStatsTable[Average]))</f>
        <v>0.73843386001690303</v>
      </c>
      <c r="T624" s="5" cm="1">
        <f t="array" ref="T624">MAX(IF((ContinuousStatsTable[GroupByKey]=ContinuousStatsTable[[#This Row],[GroupByKey]]),(ContinuousStatsTable[GroupByKey]=ContinuousStatsTable[[#This Row],[GroupByKey]])*ContinuousStatsTable[Average]))</f>
        <v>0.99245161744166299</v>
      </c>
      <c r="U624" s="5">
        <f>IF((ContinuousStatsTable[[#This Row],[RepsRequested]]&gt;1),ContinuousStatsTable[[#This Row],[HalfWidth]],ContinuousStatsTable[[#This Row],[BatchMeansHalfWidth]])</f>
        <v>2.6057642646860522E-2</v>
      </c>
    </row>
    <row r="625" spans="1:21" x14ac:dyDescent="0.3">
      <c r="A625" t="s">
        <v>66</v>
      </c>
      <c r="B625" t="s">
        <v>68</v>
      </c>
      <c r="C625">
        <v>16</v>
      </c>
      <c r="D625" t="s">
        <v>107</v>
      </c>
      <c r="E625" t="s">
        <v>97</v>
      </c>
      <c r="F625" t="s">
        <v>95</v>
      </c>
      <c r="G625">
        <v>1</v>
      </c>
      <c r="H625">
        <v>2E+20</v>
      </c>
      <c r="I625">
        <v>1</v>
      </c>
      <c r="J625">
        <v>1</v>
      </c>
      <c r="K625">
        <v>1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625" s="5" cm="1">
        <f t="array" ref="N625">MAX(IF((ProjectInfoTable[ProjectName]=ContinuousStatsTable[[#This Row],[ProjectName]]),(ProjectInfoTable[ProjectName]=ContinuousStatsTable[[#This Row],[ProjectName]])*ProjectInfoTable[NumberOfReplications]))</f>
        <v>30</v>
      </c>
      <c r="O625" s="5" cm="1">
        <f t="array" ref="O625">IFERROR(AVERAGE(IF((ContinuousStatsTable[GroupByKey]=ContinuousStatsTable[[#This Row],[GroupByKey]]),(ContinuousStatsTable[GroupByKey]=ContinuousStatsTable[[#This Row],[GroupByKey]])*ContinuousStatsTable[Average])),0)</f>
        <v>1</v>
      </c>
      <c r="P625" s="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s="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s="5" cm="1">
        <f t="array" ref="S625">MIN(IF((ContinuousStatsTable[GroupByKey]=ContinuousStatsTable[[#This Row],[GroupByKey]]),(ContinuousStatsTable[GroupByKey]=ContinuousStatsTable[[#This Row],[GroupByKey]])*ContinuousStatsTable[Average]))</f>
        <v>1</v>
      </c>
      <c r="T625" s="5" cm="1">
        <f t="array" ref="T625">MAX(IF((ContinuousStatsTable[GroupByKey]=ContinuousStatsTable[[#This Row],[GroupByKey]]),(ContinuousStatsTable[GroupByKey]=ContinuousStatsTable[[#This Row],[GroupByKey]])*ContinuousStatsTable[Average]))</f>
        <v>1</v>
      </c>
      <c r="U625" s="5">
        <f>IF((ContinuousStatsTable[[#This Row],[RepsRequested]]&gt;1),ContinuousStatsTable[[#This Row],[HalfWidth]],ContinuousStatsTable[[#This Row],[BatchMeansHalfWidth]])</f>
        <v>0</v>
      </c>
    </row>
    <row r="626" spans="1:21" x14ac:dyDescent="0.3">
      <c r="A626" t="s">
        <v>66</v>
      </c>
      <c r="B626" t="s">
        <v>68</v>
      </c>
      <c r="C626">
        <v>17</v>
      </c>
      <c r="D626" t="s">
        <v>69</v>
      </c>
      <c r="E626" t="s">
        <v>92</v>
      </c>
      <c r="F626" t="s">
        <v>71</v>
      </c>
      <c r="G626">
        <v>3.8594592768438201</v>
      </c>
      <c r="H626">
        <v>2E+20</v>
      </c>
      <c r="I626">
        <v>0</v>
      </c>
      <c r="J626">
        <v>19</v>
      </c>
      <c r="K626">
        <v>0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626" s="5" cm="1">
        <f t="array" ref="N626">MAX(IF((ProjectInfoTable[ProjectName]=ContinuousStatsTable[[#This Row],[ProjectName]]),(ProjectInfoTable[ProjectName]=ContinuousStatsTable[[#This Row],[ProjectName]])*ProjectInfoTable[NumberOfReplications]))</f>
        <v>30</v>
      </c>
      <c r="O626" s="5" cm="1">
        <f t="array" ref="O626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626" s="5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626" s="5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626" s="5" cm="1">
        <f t="array" ref="S626">MIN(IF((ContinuousStatsTable[GroupByKey]=ContinuousStatsTable[[#This Row],[GroupByKey]]),(ContinuousStatsTable[GroupByKey]=ContinuousStatsTable[[#This Row],[GroupByKey]])*ContinuousStatsTable[Average]))</f>
        <v>2.2853775994771</v>
      </c>
      <c r="T626" s="5" cm="1">
        <f t="array" ref="T626">MAX(IF((ContinuousStatsTable[GroupByKey]=ContinuousStatsTable[[#This Row],[GroupByKey]]),(ContinuousStatsTable[GroupByKey]=ContinuousStatsTable[[#This Row],[GroupByKey]])*ContinuousStatsTable[Average]))</f>
        <v>9.3827575078214593</v>
      </c>
      <c r="U626" s="5">
        <f>IF((ContinuousStatsTable[[#This Row],[RepsRequested]]&gt;1),ContinuousStatsTable[[#This Row],[HalfWidth]],ContinuousStatsTable[[#This Row],[BatchMeansHalfWidth]])</f>
        <v>0.70373665421471332</v>
      </c>
    </row>
    <row r="627" spans="1:21" x14ac:dyDescent="0.3">
      <c r="A627" t="s">
        <v>66</v>
      </c>
      <c r="B627" t="s">
        <v>68</v>
      </c>
      <c r="C627">
        <v>17</v>
      </c>
      <c r="D627" t="s">
        <v>72</v>
      </c>
      <c r="E627" t="s">
        <v>92</v>
      </c>
      <c r="F627" t="s">
        <v>71</v>
      </c>
      <c r="G627">
        <v>3.1187056673039302</v>
      </c>
      <c r="H627">
        <v>2E+20</v>
      </c>
      <c r="I627">
        <v>0</v>
      </c>
      <c r="J627">
        <v>23</v>
      </c>
      <c r="K627">
        <v>0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627" s="5" cm="1">
        <f t="array" ref="N627">MAX(IF((ProjectInfoTable[ProjectName]=ContinuousStatsTable[[#This Row],[ProjectName]]),(ProjectInfoTable[ProjectName]=ContinuousStatsTable[[#This Row],[ProjectName]])*ProjectInfoTable[NumberOfReplications]))</f>
        <v>30</v>
      </c>
      <c r="O627" s="5" cm="1">
        <f t="array" ref="O627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627" s="5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627" s="5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627" s="5" cm="1">
        <f t="array" ref="S627">MIN(IF((ContinuousStatsTable[GroupByKey]=ContinuousStatsTable[[#This Row],[GroupByKey]]),(ContinuousStatsTable[GroupByKey]=ContinuousStatsTable[[#This Row],[GroupByKey]])*ContinuousStatsTable[Average]))</f>
        <v>1.4754093813695901</v>
      </c>
      <c r="T627" s="5" cm="1">
        <f t="array" ref="T627">MAX(IF((ContinuousStatsTable[GroupByKey]=ContinuousStatsTable[[#This Row],[GroupByKey]]),(ContinuousStatsTable[GroupByKey]=ContinuousStatsTable[[#This Row],[GroupByKey]])*ContinuousStatsTable[Average]))</f>
        <v>8.0603747791942499</v>
      </c>
      <c r="U627" s="5">
        <f>IF((ContinuousStatsTable[[#This Row],[RepsRequested]]&gt;1),ContinuousStatsTable[[#This Row],[HalfWidth]],ContinuousStatsTable[[#This Row],[BatchMeansHalfWidth]])</f>
        <v>0.5936172943910426</v>
      </c>
    </row>
    <row r="628" spans="1:21" x14ac:dyDescent="0.3">
      <c r="A628" t="s">
        <v>66</v>
      </c>
      <c r="B628" t="s">
        <v>68</v>
      </c>
      <c r="C628">
        <v>17</v>
      </c>
      <c r="D628" t="s">
        <v>73</v>
      </c>
      <c r="E628" t="s">
        <v>92</v>
      </c>
      <c r="F628" t="s">
        <v>71</v>
      </c>
      <c r="G628">
        <v>8.9959326283147103</v>
      </c>
      <c r="H628">
        <v>2E+20</v>
      </c>
      <c r="I628">
        <v>0</v>
      </c>
      <c r="J628">
        <v>33</v>
      </c>
      <c r="K628">
        <v>13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628" s="5" cm="1">
        <f t="array" ref="N628">MAX(IF((ProjectInfoTable[ProjectName]=ContinuousStatsTable[[#This Row],[ProjectName]]),(ProjectInfoTable[ProjectName]=ContinuousStatsTable[[#This Row],[ProjectName]])*ProjectInfoTable[NumberOfReplications]))</f>
        <v>30</v>
      </c>
      <c r="O628" s="5" cm="1">
        <f t="array" ref="O628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628" s="5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628" s="5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628" s="5" cm="1">
        <f t="array" ref="S628">MIN(IF((ContinuousStatsTable[GroupByKey]=ContinuousStatsTable[[#This Row],[GroupByKey]]),(ContinuousStatsTable[GroupByKey]=ContinuousStatsTable[[#This Row],[GroupByKey]])*ContinuousStatsTable[Average]))</f>
        <v>1.3305593103954101</v>
      </c>
      <c r="T628" s="5" cm="1">
        <f t="array" ref="T628">MAX(IF((ContinuousStatsTable[GroupByKey]=ContinuousStatsTable[[#This Row],[GroupByKey]]),(ContinuousStatsTable[GroupByKey]=ContinuousStatsTable[[#This Row],[GroupByKey]])*ContinuousStatsTable[Average]))</f>
        <v>29.356614544212601</v>
      </c>
      <c r="U628" s="5">
        <f>IF((ContinuousStatsTable[[#This Row],[RepsRequested]]&gt;1),ContinuousStatsTable[[#This Row],[HalfWidth]],ContinuousStatsTable[[#This Row],[BatchMeansHalfWidth]])</f>
        <v>2.162177461749093</v>
      </c>
    </row>
    <row r="629" spans="1:21" x14ac:dyDescent="0.3">
      <c r="A629" t="s">
        <v>66</v>
      </c>
      <c r="B629" t="s">
        <v>68</v>
      </c>
      <c r="C629">
        <v>17</v>
      </c>
      <c r="D629" t="s">
        <v>74</v>
      </c>
      <c r="E629" t="s">
        <v>92</v>
      </c>
      <c r="F629" t="s">
        <v>71</v>
      </c>
      <c r="G629">
        <v>0</v>
      </c>
      <c r="H629">
        <v>2E+20</v>
      </c>
      <c r="I629">
        <v>0</v>
      </c>
      <c r="J629">
        <v>0</v>
      </c>
      <c r="K629">
        <v>0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629" s="5" cm="1">
        <f t="array" ref="N629">MAX(IF((ProjectInfoTable[ProjectName]=ContinuousStatsTable[[#This Row],[ProjectName]]),(ProjectInfoTable[ProjectName]=ContinuousStatsTable[[#This Row],[ProjectName]])*ProjectInfoTable[NumberOfReplications]))</f>
        <v>30</v>
      </c>
      <c r="O629" s="5" cm="1">
        <f t="array" ref="O629">IFERROR(AVERAGE(IF((ContinuousStatsTable[GroupByKey]=ContinuousStatsTable[[#This Row],[GroupByKey]]),(ContinuousStatsTable[GroupByKey]=ContinuousStatsTable[[#This Row],[GroupByKey]])*ContinuousStatsTable[Average])),0)</f>
        <v>0</v>
      </c>
      <c r="P629" s="5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0</v>
      </c>
      <c r="Q629" s="5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9" s="5" cm="1">
        <f t="array" ref="S629">MIN(IF((ContinuousStatsTable[GroupByKey]=ContinuousStatsTable[[#This Row],[GroupByKey]]),(ContinuousStatsTable[GroupByKey]=ContinuousStatsTable[[#This Row],[GroupByKey]])*ContinuousStatsTable[Average]))</f>
        <v>0</v>
      </c>
      <c r="T629" s="5" cm="1">
        <f t="array" ref="T629">MAX(IF((ContinuousStatsTable[GroupByKey]=ContinuousStatsTable[[#This Row],[GroupByKey]]),(ContinuousStatsTable[GroupByKey]=ContinuousStatsTable[[#This Row],[GroupByKey]])*ContinuousStatsTable[Average]))</f>
        <v>0</v>
      </c>
      <c r="U629" s="5">
        <f>IF((ContinuousStatsTable[[#This Row],[RepsRequested]]&gt;1),ContinuousStatsTable[[#This Row],[HalfWidth]],ContinuousStatsTable[[#This Row],[BatchMeansHalfWidth]])</f>
        <v>0</v>
      </c>
    </row>
    <row r="630" spans="1:21" x14ac:dyDescent="0.3">
      <c r="A630" t="s">
        <v>66</v>
      </c>
      <c r="B630" t="s">
        <v>68</v>
      </c>
      <c r="C630">
        <v>17</v>
      </c>
      <c r="D630" t="s">
        <v>75</v>
      </c>
      <c r="E630" t="s">
        <v>92</v>
      </c>
      <c r="F630" t="s">
        <v>71</v>
      </c>
      <c r="G630">
        <v>0</v>
      </c>
      <c r="H630">
        <v>2E+20</v>
      </c>
      <c r="I630">
        <v>0</v>
      </c>
      <c r="J630">
        <v>0</v>
      </c>
      <c r="K630">
        <v>0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630" s="5" cm="1">
        <f t="array" ref="N630">MAX(IF((ProjectInfoTable[ProjectName]=ContinuousStatsTable[[#This Row],[ProjectName]]),(ProjectInfoTable[ProjectName]=ContinuousStatsTable[[#This Row],[ProjectName]])*ProjectInfoTable[NumberOfReplications]))</f>
        <v>30</v>
      </c>
      <c r="O630" s="5" cm="1">
        <f t="array" ref="O630">IFERROR(AVERAGE(IF((ContinuousStatsTable[GroupByKey]=ContinuousStatsTable[[#This Row],[GroupByKey]]),(ContinuousStatsTable[GroupByKey]=ContinuousStatsTable[[#This Row],[GroupByKey]])*ContinuousStatsTable[Average])),0)</f>
        <v>0</v>
      </c>
      <c r="P630" s="5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s="5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s="5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s="5" cm="1">
        <f t="array" ref="T630">MAX(IF((ContinuousStatsTable[GroupByKey]=ContinuousStatsTable[[#This Row],[GroupByKey]]),(ContinuousStatsTable[GroupByKey]=ContinuousStatsTable[[#This Row],[GroupByKey]])*ContinuousStatsTable[Average]))</f>
        <v>0</v>
      </c>
      <c r="U630" s="5">
        <f>IF((ContinuousStatsTable[[#This Row],[RepsRequested]]&gt;1),ContinuousStatsTable[[#This Row],[HalfWidth]],ContinuousStatsTable[[#This Row],[BatchMeansHalfWidth]])</f>
        <v>0</v>
      </c>
    </row>
    <row r="631" spans="1:21" x14ac:dyDescent="0.3">
      <c r="A631" t="s">
        <v>66</v>
      </c>
      <c r="B631" t="s">
        <v>68</v>
      </c>
      <c r="C631">
        <v>17</v>
      </c>
      <c r="D631" t="s">
        <v>76</v>
      </c>
      <c r="E631" t="s">
        <v>92</v>
      </c>
      <c r="F631" t="s">
        <v>71</v>
      </c>
      <c r="G631">
        <v>0.68954101400313395</v>
      </c>
      <c r="H631">
        <v>2E+20</v>
      </c>
      <c r="I631">
        <v>0</v>
      </c>
      <c r="J631">
        <v>8</v>
      </c>
      <c r="K631">
        <v>0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631" s="5" cm="1">
        <f t="array" ref="N631">MAX(IF((ProjectInfoTable[ProjectName]=ContinuousStatsTable[[#This Row],[ProjectName]]),(ProjectInfoTable[ProjectName]=ContinuousStatsTable[[#This Row],[ProjectName]])*ProjectInfoTable[NumberOfReplications]))</f>
        <v>30</v>
      </c>
      <c r="O631" s="5" cm="1">
        <f t="array" ref="O631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631" s="5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631" s="5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631" s="5" cm="1">
        <f t="array" ref="S631">MIN(IF((ContinuousStatsTable[GroupByKey]=ContinuousStatsTable[[#This Row],[GroupByKey]]),(ContinuousStatsTable[GroupByKey]=ContinuousStatsTable[[#This Row],[GroupByKey]])*ContinuousStatsTable[Average]))</f>
        <v>4.5869485136026601E-2</v>
      </c>
      <c r="T631" s="5" cm="1">
        <f t="array" ref="T631">MAX(IF((ContinuousStatsTable[GroupByKey]=ContinuousStatsTable[[#This Row],[GroupByKey]]),(ContinuousStatsTable[GroupByKey]=ContinuousStatsTable[[#This Row],[GroupByKey]])*ContinuousStatsTable[Average]))</f>
        <v>4.1119263103435699</v>
      </c>
      <c r="U631" s="5">
        <f>IF((ContinuousStatsTable[[#This Row],[RepsRequested]]&gt;1),ContinuousStatsTable[[#This Row],[HalfWidth]],ContinuousStatsTable[[#This Row],[BatchMeansHalfWidth]])</f>
        <v>0.43252967563899991</v>
      </c>
    </row>
    <row r="632" spans="1:21" x14ac:dyDescent="0.3">
      <c r="A632" t="s">
        <v>66</v>
      </c>
      <c r="B632" t="s">
        <v>68</v>
      </c>
      <c r="C632">
        <v>17</v>
      </c>
      <c r="D632" t="s">
        <v>77</v>
      </c>
      <c r="E632" t="s">
        <v>92</v>
      </c>
      <c r="F632" t="s">
        <v>71</v>
      </c>
      <c r="G632">
        <v>0</v>
      </c>
      <c r="H632">
        <v>2E+20</v>
      </c>
      <c r="I632">
        <v>0</v>
      </c>
      <c r="J632">
        <v>0</v>
      </c>
      <c r="K632">
        <v>0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632" s="5" cm="1">
        <f t="array" ref="N632">MAX(IF((ProjectInfoTable[ProjectName]=ContinuousStatsTable[[#This Row],[ProjectName]]),(ProjectInfoTable[ProjectName]=ContinuousStatsTable[[#This Row],[ProjectName]])*ProjectInfoTable[NumberOfReplications]))</f>
        <v>30</v>
      </c>
      <c r="O632" s="5" cm="1">
        <f t="array" ref="O632">IFERROR(AVERAGE(IF((ContinuousStatsTable[GroupByKey]=ContinuousStatsTable[[#This Row],[GroupByKey]]),(ContinuousStatsTable[GroupByKey]=ContinuousStatsTable[[#This Row],[GroupByKey]])*ContinuousStatsTable[Average])),0)</f>
        <v>0</v>
      </c>
      <c r="P632" s="5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0</v>
      </c>
      <c r="Q632" s="5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2" s="5" cm="1">
        <f t="array" ref="S632">MIN(IF((ContinuousStatsTable[GroupByKey]=ContinuousStatsTable[[#This Row],[GroupByKey]]),(ContinuousStatsTable[GroupByKey]=ContinuousStatsTable[[#This Row],[GroupByKey]])*ContinuousStatsTable[Average]))</f>
        <v>0</v>
      </c>
      <c r="T632" s="5" cm="1">
        <f t="array" ref="T632">MAX(IF((ContinuousStatsTable[GroupByKey]=ContinuousStatsTable[[#This Row],[GroupByKey]]),(ContinuousStatsTable[GroupByKey]=ContinuousStatsTable[[#This Row],[GroupByKey]])*ContinuousStatsTable[Average]))</f>
        <v>0</v>
      </c>
      <c r="U632" s="5">
        <f>IF((ContinuousStatsTable[[#This Row],[RepsRequested]]&gt;1),ContinuousStatsTable[[#This Row],[HalfWidth]],ContinuousStatsTable[[#This Row],[BatchMeansHalfWidth]])</f>
        <v>0</v>
      </c>
    </row>
    <row r="633" spans="1:21" x14ac:dyDescent="0.3">
      <c r="A633" t="s">
        <v>66</v>
      </c>
      <c r="B633" t="s">
        <v>68</v>
      </c>
      <c r="C633">
        <v>17</v>
      </c>
      <c r="D633" t="s">
        <v>78</v>
      </c>
      <c r="E633" t="s">
        <v>92</v>
      </c>
      <c r="F633" t="s">
        <v>71</v>
      </c>
      <c r="G633">
        <v>0</v>
      </c>
      <c r="H633">
        <v>2E+20</v>
      </c>
      <c r="I633">
        <v>0</v>
      </c>
      <c r="J633">
        <v>0</v>
      </c>
      <c r="K633">
        <v>0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633" s="5" cm="1">
        <f t="array" ref="N633">MAX(IF((ProjectInfoTable[ProjectName]=ContinuousStatsTable[[#This Row],[ProjectName]]),(ProjectInfoTable[ProjectName]=ContinuousStatsTable[[#This Row],[ProjectName]])*ProjectInfoTable[NumberOfReplications]))</f>
        <v>30</v>
      </c>
      <c r="O633" s="5" cm="1">
        <f t="array" ref="O633">IFERROR(AVERAGE(IF((ContinuousStatsTable[GroupByKey]=ContinuousStatsTable[[#This Row],[GroupByKey]]),(ContinuousStatsTable[GroupByKey]=ContinuousStatsTable[[#This Row],[GroupByKey]])*ContinuousStatsTable[Average])),0)</f>
        <v>0</v>
      </c>
      <c r="P633" s="5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0</v>
      </c>
      <c r="Q633" s="5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3" s="5" cm="1">
        <f t="array" ref="S633">MIN(IF((ContinuousStatsTable[GroupByKey]=ContinuousStatsTable[[#This Row],[GroupByKey]]),(ContinuousStatsTable[GroupByKey]=ContinuousStatsTable[[#This Row],[GroupByKey]])*ContinuousStatsTable[Average]))</f>
        <v>0</v>
      </c>
      <c r="T633" s="5" cm="1">
        <f t="array" ref="T633">MAX(IF((ContinuousStatsTable[GroupByKey]=ContinuousStatsTable[[#This Row],[GroupByKey]]),(ContinuousStatsTable[GroupByKey]=ContinuousStatsTable[[#This Row],[GroupByKey]])*ContinuousStatsTable[Average]))</f>
        <v>0</v>
      </c>
      <c r="U633" s="5">
        <f>IF((ContinuousStatsTable[[#This Row],[RepsRequested]]&gt;1),ContinuousStatsTable[[#This Row],[HalfWidth]],ContinuousStatsTable[[#This Row],[BatchMeansHalfWidth]])</f>
        <v>0</v>
      </c>
    </row>
    <row r="634" spans="1:21" x14ac:dyDescent="0.3">
      <c r="A634" t="s">
        <v>66</v>
      </c>
      <c r="B634" t="s">
        <v>68</v>
      </c>
      <c r="C634">
        <v>17</v>
      </c>
      <c r="D634" t="s">
        <v>93</v>
      </c>
      <c r="E634" t="s">
        <v>94</v>
      </c>
      <c r="F634" t="s">
        <v>95</v>
      </c>
      <c r="G634">
        <v>2.5652071136109799E-2</v>
      </c>
      <c r="H634">
        <v>2E+20</v>
      </c>
      <c r="I634">
        <v>0</v>
      </c>
      <c r="J634">
        <v>0.1</v>
      </c>
      <c r="K634">
        <v>0.05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634" s="5" cm="1">
        <f t="array" ref="N634">MAX(IF((ProjectInfoTable[ProjectName]=ContinuousStatsTable[[#This Row],[ProjectName]]),(ProjectInfoTable[ProjectName]=ContinuousStatsTable[[#This Row],[ProjectName]])*ProjectInfoTable[NumberOfReplications]))</f>
        <v>30</v>
      </c>
      <c r="O634" s="5" cm="1">
        <f t="array" ref="O634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634" s="5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634" s="5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634" s="5" cm="1">
        <f t="array" ref="S634">MIN(IF((ContinuousStatsTable[GroupByKey]=ContinuousStatsTable[[#This Row],[GroupByKey]]),(ContinuousStatsTable[GroupByKey]=ContinuousStatsTable[[#This Row],[GroupByKey]])*ContinuousStatsTable[Average]))</f>
        <v>2.3718114155243601E-2</v>
      </c>
      <c r="T634" s="5" cm="1">
        <f t="array" ref="T634">MAX(IF((ContinuousStatsTable[GroupByKey]=ContinuousStatsTable[[#This Row],[GroupByKey]]),(ContinuousStatsTable[GroupByKey]=ContinuousStatsTable[[#This Row],[GroupByKey]])*ContinuousStatsTable[Average]))</f>
        <v>4.8583931724403701E-2</v>
      </c>
      <c r="U634" s="5">
        <f>IF((ContinuousStatsTable[[#This Row],[RepsRequested]]&gt;1),ContinuousStatsTable[[#This Row],[HalfWidth]],ContinuousStatsTable[[#This Row],[BatchMeansHalfWidth]])</f>
        <v>2.4839579632442289E-3</v>
      </c>
    </row>
    <row r="635" spans="1:21" x14ac:dyDescent="0.3">
      <c r="A635" t="s">
        <v>66</v>
      </c>
      <c r="B635" t="s">
        <v>68</v>
      </c>
      <c r="C635">
        <v>17</v>
      </c>
      <c r="D635" t="s">
        <v>93</v>
      </c>
      <c r="E635" t="s">
        <v>96</v>
      </c>
      <c r="F635" t="s">
        <v>95</v>
      </c>
      <c r="G635">
        <v>0.513041422722195</v>
      </c>
      <c r="H635">
        <v>2E+20</v>
      </c>
      <c r="I635">
        <v>0</v>
      </c>
      <c r="J635">
        <v>2</v>
      </c>
      <c r="K635">
        <v>1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635" s="5" cm="1">
        <f t="array" ref="N635">MAX(IF((ProjectInfoTable[ProjectName]=ContinuousStatsTable[[#This Row],[ProjectName]]),(ProjectInfoTable[ProjectName]=ContinuousStatsTable[[#This Row],[ProjectName]])*ProjectInfoTable[NumberOfReplications]))</f>
        <v>30</v>
      </c>
      <c r="O635" s="5" cm="1">
        <f t="array" ref="O635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635" s="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635" s="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635" s="5" cm="1">
        <f t="array" ref="S635">MIN(IF((ContinuousStatsTable[GroupByKey]=ContinuousStatsTable[[#This Row],[GroupByKey]]),(ContinuousStatsTable[GroupByKey]=ContinuousStatsTable[[#This Row],[GroupByKey]])*ContinuousStatsTable[Average]))</f>
        <v>0.47436228310487299</v>
      </c>
      <c r="T635" s="5" cm="1">
        <f t="array" ref="T635">MAX(IF((ContinuousStatsTable[GroupByKey]=ContinuousStatsTable[[#This Row],[GroupByKey]]),(ContinuousStatsTable[GroupByKey]=ContinuousStatsTable[[#This Row],[GroupByKey]])*ContinuousStatsTable[Average]))</f>
        <v>0.97167863448807401</v>
      </c>
      <c r="U635" s="5">
        <f>IF((ContinuousStatsTable[[#This Row],[RepsRequested]]&gt;1),ContinuousStatsTable[[#This Row],[HalfWidth]],ContinuousStatsTable[[#This Row],[BatchMeansHalfWidth]])</f>
        <v>4.9679159264885281E-2</v>
      </c>
    </row>
    <row r="636" spans="1:21" x14ac:dyDescent="0.3">
      <c r="A636" t="s">
        <v>66</v>
      </c>
      <c r="B636" t="s">
        <v>68</v>
      </c>
      <c r="C636">
        <v>17</v>
      </c>
      <c r="D636" t="s">
        <v>93</v>
      </c>
      <c r="E636" t="s">
        <v>97</v>
      </c>
      <c r="F636" t="s">
        <v>95</v>
      </c>
      <c r="G636">
        <v>20</v>
      </c>
      <c r="H636">
        <v>2E+20</v>
      </c>
      <c r="I636">
        <v>20</v>
      </c>
      <c r="J636">
        <v>20</v>
      </c>
      <c r="K636">
        <v>20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636" s="5" cm="1">
        <f t="array" ref="N636">MAX(IF((ProjectInfoTable[ProjectName]=ContinuousStatsTable[[#This Row],[ProjectName]]),(ProjectInfoTable[ProjectName]=ContinuousStatsTable[[#This Row],[ProjectName]])*ProjectInfoTable[NumberOfReplications]))</f>
        <v>30</v>
      </c>
      <c r="O636" s="5" cm="1">
        <f t="array" ref="O636">IFERROR(AVERAGE(IF((ContinuousStatsTable[GroupByKey]=ContinuousStatsTable[[#This Row],[GroupByKey]]),(ContinuousStatsTable[GroupByKey]=ContinuousStatsTable[[#This Row],[GroupByKey]])*ContinuousStatsTable[Average])),0)</f>
        <v>20</v>
      </c>
      <c r="P636" s="5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0</v>
      </c>
      <c r="Q636" s="5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6" s="5" cm="1">
        <f t="array" ref="S636">MIN(IF((ContinuousStatsTable[GroupByKey]=ContinuousStatsTable[[#This Row],[GroupByKey]]),(ContinuousStatsTable[GroupByKey]=ContinuousStatsTable[[#This Row],[GroupByKey]])*ContinuousStatsTable[Average]))</f>
        <v>20</v>
      </c>
      <c r="T636" s="5" cm="1">
        <f t="array" ref="T636">MAX(IF((ContinuousStatsTable[GroupByKey]=ContinuousStatsTable[[#This Row],[GroupByKey]]),(ContinuousStatsTable[GroupByKey]=ContinuousStatsTable[[#This Row],[GroupByKey]])*ContinuousStatsTable[Average]))</f>
        <v>20</v>
      </c>
      <c r="U636" s="5">
        <f>IF((ContinuousStatsTable[[#This Row],[RepsRequested]]&gt;1),ContinuousStatsTable[[#This Row],[HalfWidth]],ContinuousStatsTable[[#This Row],[BatchMeansHalfWidth]])</f>
        <v>0</v>
      </c>
    </row>
    <row r="637" spans="1:21" x14ac:dyDescent="0.3">
      <c r="A637" t="s">
        <v>66</v>
      </c>
      <c r="B637" t="s">
        <v>68</v>
      </c>
      <c r="C637">
        <v>17</v>
      </c>
      <c r="D637" t="s">
        <v>98</v>
      </c>
      <c r="E637" t="s">
        <v>94</v>
      </c>
      <c r="F637" t="s">
        <v>95</v>
      </c>
      <c r="G637">
        <v>0.20767736113278101</v>
      </c>
      <c r="H637">
        <v>2E+20</v>
      </c>
      <c r="I637">
        <v>0</v>
      </c>
      <c r="J637">
        <v>0.6</v>
      </c>
      <c r="K637">
        <v>0.3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637" s="5" cm="1">
        <f t="array" ref="N637">MAX(IF((ProjectInfoTable[ProjectName]=ContinuousStatsTable[[#This Row],[ProjectName]]),(ProjectInfoTable[ProjectName]=ContinuousStatsTable[[#This Row],[ProjectName]])*ProjectInfoTable[NumberOfReplications]))</f>
        <v>30</v>
      </c>
      <c r="O637" s="5" cm="1">
        <f t="array" ref="O637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637" s="5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637" s="5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637" s="5" cm="1">
        <f t="array" ref="S637">MIN(IF((ContinuousStatsTable[GroupByKey]=ContinuousStatsTable[[#This Row],[GroupByKey]]),(ContinuousStatsTable[GroupByKey]=ContinuousStatsTable[[#This Row],[GroupByKey]])*ContinuousStatsTable[Average]))</f>
        <v>0.20767736113278101</v>
      </c>
      <c r="T637" s="5" cm="1">
        <f t="array" ref="T637">MAX(IF((ContinuousStatsTable[GroupByKey]=ContinuousStatsTable[[#This Row],[GroupByKey]]),(ContinuousStatsTable[GroupByKey]=ContinuousStatsTable[[#This Row],[GroupByKey]])*ContinuousStatsTable[Average]))</f>
        <v>0.28501162927715501</v>
      </c>
      <c r="U637" s="5">
        <f>IF((ContinuousStatsTable[[#This Row],[RepsRequested]]&gt;1),ContinuousStatsTable[[#This Row],[HalfWidth]],ContinuousStatsTable[[#This Row],[BatchMeansHalfWidth]])</f>
        <v>8.7273384073404715E-3</v>
      </c>
    </row>
    <row r="638" spans="1:21" x14ac:dyDescent="0.3">
      <c r="A638" t="s">
        <v>66</v>
      </c>
      <c r="B638" t="s">
        <v>68</v>
      </c>
      <c r="C638">
        <v>17</v>
      </c>
      <c r="D638" t="s">
        <v>98</v>
      </c>
      <c r="E638" t="s">
        <v>96</v>
      </c>
      <c r="F638" t="s">
        <v>95</v>
      </c>
      <c r="G638">
        <v>4.15354722265561</v>
      </c>
      <c r="H638">
        <v>2E+20</v>
      </c>
      <c r="I638">
        <v>0</v>
      </c>
      <c r="J638">
        <v>12</v>
      </c>
      <c r="K638">
        <v>6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638" s="5" cm="1">
        <f t="array" ref="N638">MAX(IF((ProjectInfoTable[ProjectName]=ContinuousStatsTable[[#This Row],[ProjectName]]),(ProjectInfoTable[ProjectName]=ContinuousStatsTable[[#This Row],[ProjectName]])*ProjectInfoTable[NumberOfReplications]))</f>
        <v>30</v>
      </c>
      <c r="O638" s="5" cm="1">
        <f t="array" ref="O638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638" s="5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638" s="5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638" s="5" cm="1">
        <f t="array" ref="S638">MIN(IF((ContinuousStatsTable[GroupByKey]=ContinuousStatsTable[[#This Row],[GroupByKey]]),(ContinuousStatsTable[GroupByKey]=ContinuousStatsTable[[#This Row],[GroupByKey]])*ContinuousStatsTable[Average]))</f>
        <v>4.15354722265561</v>
      </c>
      <c r="T638" s="5" cm="1">
        <f t="array" ref="T638">MAX(IF((ContinuousStatsTable[GroupByKey]=ContinuousStatsTable[[#This Row],[GroupByKey]]),(ContinuousStatsTable[GroupByKey]=ContinuousStatsTable[[#This Row],[GroupByKey]])*ContinuousStatsTable[Average]))</f>
        <v>5.7002325855431097</v>
      </c>
      <c r="U638" s="5">
        <f>IF((ContinuousStatsTable[[#This Row],[RepsRequested]]&gt;1),ContinuousStatsTable[[#This Row],[HalfWidth]],ContinuousStatsTable[[#This Row],[BatchMeansHalfWidth]])</f>
        <v>0.17454676814681078</v>
      </c>
    </row>
    <row r="639" spans="1:21" x14ac:dyDescent="0.3">
      <c r="A639" t="s">
        <v>66</v>
      </c>
      <c r="B639" t="s">
        <v>68</v>
      </c>
      <c r="C639">
        <v>17</v>
      </c>
      <c r="D639" t="s">
        <v>98</v>
      </c>
      <c r="E639" t="s">
        <v>97</v>
      </c>
      <c r="F639" t="s">
        <v>95</v>
      </c>
      <c r="G639">
        <v>20</v>
      </c>
      <c r="H639">
        <v>2E+20</v>
      </c>
      <c r="I639">
        <v>20</v>
      </c>
      <c r="J639">
        <v>20</v>
      </c>
      <c r="K639">
        <v>20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639" s="5" cm="1">
        <f t="array" ref="N639">MAX(IF((ProjectInfoTable[ProjectName]=ContinuousStatsTable[[#This Row],[ProjectName]]),(ProjectInfoTable[ProjectName]=ContinuousStatsTable[[#This Row],[ProjectName]])*ProjectInfoTable[NumberOfReplications]))</f>
        <v>30</v>
      </c>
      <c r="O639" s="5" cm="1">
        <f t="array" ref="O639">IFERROR(AVERAGE(IF((ContinuousStatsTable[GroupByKey]=ContinuousStatsTable[[#This Row],[GroupByKey]]),(ContinuousStatsTable[GroupByKey]=ContinuousStatsTable[[#This Row],[GroupByKey]])*ContinuousStatsTable[Average])),0)</f>
        <v>20</v>
      </c>
      <c r="P639" s="5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0</v>
      </c>
      <c r="Q639" s="5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9" s="5" cm="1">
        <f t="array" ref="S639">MIN(IF((ContinuousStatsTable[GroupByKey]=ContinuousStatsTable[[#This Row],[GroupByKey]]),(ContinuousStatsTable[GroupByKey]=ContinuousStatsTable[[#This Row],[GroupByKey]])*ContinuousStatsTable[Average]))</f>
        <v>20</v>
      </c>
      <c r="T639" s="5" cm="1">
        <f t="array" ref="T639">MAX(IF((ContinuousStatsTable[GroupByKey]=ContinuousStatsTable[[#This Row],[GroupByKey]]),(ContinuousStatsTable[GroupByKey]=ContinuousStatsTable[[#This Row],[GroupByKey]])*ContinuousStatsTable[Average]))</f>
        <v>20</v>
      </c>
      <c r="U639" s="5">
        <f>IF((ContinuousStatsTable[[#This Row],[RepsRequested]]&gt;1),ContinuousStatsTable[[#This Row],[HalfWidth]],ContinuousStatsTable[[#This Row],[BatchMeansHalfWidth]])</f>
        <v>0</v>
      </c>
    </row>
    <row r="640" spans="1:21" x14ac:dyDescent="0.3">
      <c r="A640" t="s">
        <v>66</v>
      </c>
      <c r="B640" t="s">
        <v>68</v>
      </c>
      <c r="C640">
        <v>17</v>
      </c>
      <c r="D640" t="s">
        <v>99</v>
      </c>
      <c r="E640" t="s">
        <v>94</v>
      </c>
      <c r="F640" t="s">
        <v>95</v>
      </c>
      <c r="G640">
        <v>0.61213580890595198</v>
      </c>
      <c r="H640">
        <v>2E+20</v>
      </c>
      <c r="I640">
        <v>0</v>
      </c>
      <c r="J640">
        <v>1</v>
      </c>
      <c r="K640">
        <v>0.8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640" s="5" cm="1">
        <f t="array" ref="N640">MAX(IF((ProjectInfoTable[ProjectName]=ContinuousStatsTable[[#This Row],[ProjectName]]),(ProjectInfoTable[ProjectName]=ContinuousStatsTable[[#This Row],[ProjectName]])*ProjectInfoTable[NumberOfReplications]))</f>
        <v>30</v>
      </c>
      <c r="O640" s="5" cm="1">
        <f t="array" ref="O640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640" s="5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640" s="5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640" s="5" cm="1">
        <f t="array" ref="S640">MIN(IF((ContinuousStatsTable[GroupByKey]=ContinuousStatsTable[[#This Row],[GroupByKey]]),(ContinuousStatsTable[GroupByKey]=ContinuousStatsTable[[#This Row],[GroupByKey]])*ContinuousStatsTable[Average]))</f>
        <v>0.517215348442703</v>
      </c>
      <c r="T640" s="5" cm="1">
        <f t="array" ref="T640">MAX(IF((ContinuousStatsTable[GroupByKey]=ContinuousStatsTable[[#This Row],[GroupByKey]]),(ContinuousStatsTable[GroupByKey]=ContinuousStatsTable[[#This Row],[GroupByKey]])*ContinuousStatsTable[Average]))</f>
        <v>0.67770389283754395</v>
      </c>
      <c r="U640" s="5">
        <f>IF((ContinuousStatsTable[[#This Row],[RepsRequested]]&gt;1),ContinuousStatsTable[[#This Row],[HalfWidth]],ContinuousStatsTable[[#This Row],[BatchMeansHalfWidth]])</f>
        <v>1.8059192833960565E-2</v>
      </c>
    </row>
    <row r="641" spans="1:21" x14ac:dyDescent="0.3">
      <c r="A641" t="s">
        <v>66</v>
      </c>
      <c r="B641" t="s">
        <v>68</v>
      </c>
      <c r="C641">
        <v>17</v>
      </c>
      <c r="D641" t="s">
        <v>99</v>
      </c>
      <c r="E641" t="s">
        <v>96</v>
      </c>
      <c r="F641" t="s">
        <v>95</v>
      </c>
      <c r="G641">
        <v>6.1213580890595098</v>
      </c>
      <c r="H641">
        <v>2E+20</v>
      </c>
      <c r="I641">
        <v>0</v>
      </c>
      <c r="J641">
        <v>10</v>
      </c>
      <c r="K641">
        <v>8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641" s="5" cm="1">
        <f t="array" ref="N641">MAX(IF((ProjectInfoTable[ProjectName]=ContinuousStatsTable[[#This Row],[ProjectName]]),(ProjectInfoTable[ProjectName]=ContinuousStatsTable[[#This Row],[ProjectName]])*ProjectInfoTable[NumberOfReplications]))</f>
        <v>30</v>
      </c>
      <c r="O641" s="5" cm="1">
        <f t="array" ref="O641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641" s="5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641" s="5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641" s="5" cm="1">
        <f t="array" ref="S641">MIN(IF((ContinuousStatsTable[GroupByKey]=ContinuousStatsTable[[#This Row],[GroupByKey]]),(ContinuousStatsTable[GroupByKey]=ContinuousStatsTable[[#This Row],[GroupByKey]])*ContinuousStatsTable[Average]))</f>
        <v>5.1721534844270298</v>
      </c>
      <c r="T641" s="5" cm="1">
        <f t="array" ref="T641">MAX(IF((ContinuousStatsTable[GroupByKey]=ContinuousStatsTable[[#This Row],[GroupByKey]]),(ContinuousStatsTable[GroupByKey]=ContinuousStatsTable[[#This Row],[GroupByKey]])*ContinuousStatsTable[Average]))</f>
        <v>6.7770389283754398</v>
      </c>
      <c r="U641" s="5">
        <f>IF((ContinuousStatsTable[[#This Row],[RepsRequested]]&gt;1),ContinuousStatsTable[[#This Row],[HalfWidth]],ContinuousStatsTable[[#This Row],[BatchMeansHalfWidth]])</f>
        <v>0.18059192833960558</v>
      </c>
    </row>
    <row r="642" spans="1:21" x14ac:dyDescent="0.3">
      <c r="A642" t="s">
        <v>66</v>
      </c>
      <c r="B642" t="s">
        <v>68</v>
      </c>
      <c r="C642">
        <v>17</v>
      </c>
      <c r="D642" t="s">
        <v>99</v>
      </c>
      <c r="E642" t="s">
        <v>97</v>
      </c>
      <c r="F642" t="s">
        <v>95</v>
      </c>
      <c r="G642">
        <v>10</v>
      </c>
      <c r="H642">
        <v>2E+20</v>
      </c>
      <c r="I642">
        <v>10</v>
      </c>
      <c r="J642">
        <v>10</v>
      </c>
      <c r="K642">
        <v>10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642" s="5" cm="1">
        <f t="array" ref="N642">MAX(IF((ProjectInfoTable[ProjectName]=ContinuousStatsTable[[#This Row],[ProjectName]]),(ProjectInfoTable[ProjectName]=ContinuousStatsTable[[#This Row],[ProjectName]])*ProjectInfoTable[NumberOfReplications]))</f>
        <v>30</v>
      </c>
      <c r="O642" s="5" cm="1">
        <f t="array" ref="O642">IFERROR(AVERAGE(IF((ContinuousStatsTable[GroupByKey]=ContinuousStatsTable[[#This Row],[GroupByKey]]),(ContinuousStatsTable[GroupByKey]=ContinuousStatsTable[[#This Row],[GroupByKey]])*ContinuousStatsTable[Average])),0)</f>
        <v>10</v>
      </c>
      <c r="P642" s="5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</v>
      </c>
      <c r="Q642" s="5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2" s="5" cm="1">
        <f t="array" ref="S642">MIN(IF((ContinuousStatsTable[GroupByKey]=ContinuousStatsTable[[#This Row],[GroupByKey]]),(ContinuousStatsTable[GroupByKey]=ContinuousStatsTable[[#This Row],[GroupByKey]])*ContinuousStatsTable[Average]))</f>
        <v>10</v>
      </c>
      <c r="T642" s="5" cm="1">
        <f t="array" ref="T642">MAX(IF((ContinuousStatsTable[GroupByKey]=ContinuousStatsTable[[#This Row],[GroupByKey]]),(ContinuousStatsTable[GroupByKey]=ContinuousStatsTable[[#This Row],[GroupByKey]])*ContinuousStatsTable[Average]))</f>
        <v>10</v>
      </c>
      <c r="U642" s="5">
        <f>IF((ContinuousStatsTable[[#This Row],[RepsRequested]]&gt;1),ContinuousStatsTable[[#This Row],[HalfWidth]],ContinuousStatsTable[[#This Row],[BatchMeansHalfWidth]])</f>
        <v>0</v>
      </c>
    </row>
    <row r="643" spans="1:21" x14ac:dyDescent="0.3">
      <c r="A643" t="s">
        <v>66</v>
      </c>
      <c r="B643" t="s">
        <v>68</v>
      </c>
      <c r="C643">
        <v>17</v>
      </c>
      <c r="D643" t="s">
        <v>100</v>
      </c>
      <c r="E643" t="s">
        <v>94</v>
      </c>
      <c r="F643" t="s">
        <v>95</v>
      </c>
      <c r="G643">
        <v>0.16596339133478299</v>
      </c>
      <c r="H643">
        <v>2E+20</v>
      </c>
      <c r="I643">
        <v>0</v>
      </c>
      <c r="J643">
        <v>0.38</v>
      </c>
      <c r="K643">
        <v>0.34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643" s="5" cm="1">
        <f t="array" ref="N643">MAX(IF((ProjectInfoTable[ProjectName]=ContinuousStatsTable[[#This Row],[ProjectName]]),(ProjectInfoTable[ProjectName]=ContinuousStatsTable[[#This Row],[ProjectName]])*ProjectInfoTable[NumberOfReplications]))</f>
        <v>30</v>
      </c>
      <c r="O643" s="5" cm="1">
        <f t="array" ref="O643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643" s="5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643" s="5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643" s="5" cm="1">
        <f t="array" ref="S643">MIN(IF((ContinuousStatsTable[GroupByKey]=ContinuousStatsTable[[#This Row],[GroupByKey]]),(ContinuousStatsTable[GroupByKey]=ContinuousStatsTable[[#This Row],[GroupByKey]])*ContinuousStatsTable[Average]))</f>
        <v>0.14484829778125299</v>
      </c>
      <c r="T643" s="5" cm="1">
        <f t="array" ref="T643">MAX(IF((ContinuousStatsTable[GroupByKey]=ContinuousStatsTable[[#This Row],[GroupByKey]]),(ContinuousStatsTable[GroupByKey]=ContinuousStatsTable[[#This Row],[GroupByKey]])*ContinuousStatsTable[Average]))</f>
        <v>0.19609322315655101</v>
      </c>
      <c r="U643" s="5">
        <f>IF((ContinuousStatsTable[[#This Row],[RepsRequested]]&gt;1),ContinuousStatsTable[[#This Row],[HalfWidth]],ContinuousStatsTable[[#This Row],[BatchMeansHalfWidth]])</f>
        <v>4.9714113556225048E-3</v>
      </c>
    </row>
    <row r="644" spans="1:21" x14ac:dyDescent="0.3">
      <c r="A644" t="s">
        <v>66</v>
      </c>
      <c r="B644" t="s">
        <v>68</v>
      </c>
      <c r="C644">
        <v>17</v>
      </c>
      <c r="D644" t="s">
        <v>100</v>
      </c>
      <c r="E644" t="s">
        <v>96</v>
      </c>
      <c r="F644" t="s">
        <v>95</v>
      </c>
      <c r="G644">
        <v>8.2981695667391406</v>
      </c>
      <c r="H644">
        <v>2E+20</v>
      </c>
      <c r="I644">
        <v>0</v>
      </c>
      <c r="J644">
        <v>19</v>
      </c>
      <c r="K644">
        <v>17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644" s="5" cm="1">
        <f t="array" ref="N644">MAX(IF((ProjectInfoTable[ProjectName]=ContinuousStatsTable[[#This Row],[ProjectName]]),(ProjectInfoTable[ProjectName]=ContinuousStatsTable[[#This Row],[ProjectName]])*ProjectInfoTable[NumberOfReplications]))</f>
        <v>30</v>
      </c>
      <c r="O644" s="5" cm="1">
        <f t="array" ref="O644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644" s="5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644" s="5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644" s="5" cm="1">
        <f t="array" ref="S644">MIN(IF((ContinuousStatsTable[GroupByKey]=ContinuousStatsTable[[#This Row],[GroupByKey]]),(ContinuousStatsTable[GroupByKey]=ContinuousStatsTable[[#This Row],[GroupByKey]])*ContinuousStatsTable[Average]))</f>
        <v>7.2424148890626396</v>
      </c>
      <c r="T644" s="5" cm="1">
        <f t="array" ref="T644">MAX(IF((ContinuousStatsTable[GroupByKey]=ContinuousStatsTable[[#This Row],[GroupByKey]]),(ContinuousStatsTable[GroupByKey]=ContinuousStatsTable[[#This Row],[GroupByKey]])*ContinuousStatsTable[Average]))</f>
        <v>9.8046611578275602</v>
      </c>
      <c r="U644" s="5">
        <f>IF((ContinuousStatsTable[[#This Row],[RepsRequested]]&gt;1),ContinuousStatsTable[[#This Row],[HalfWidth]],ContinuousStatsTable[[#This Row],[BatchMeansHalfWidth]])</f>
        <v>0.24857056778112663</v>
      </c>
    </row>
    <row r="645" spans="1:21" x14ac:dyDescent="0.3">
      <c r="A645" t="s">
        <v>66</v>
      </c>
      <c r="B645" t="s">
        <v>68</v>
      </c>
      <c r="C645">
        <v>17</v>
      </c>
      <c r="D645" t="s">
        <v>100</v>
      </c>
      <c r="E645" t="s">
        <v>97</v>
      </c>
      <c r="F645" t="s">
        <v>95</v>
      </c>
      <c r="G645">
        <v>50</v>
      </c>
      <c r="H645">
        <v>2E+20</v>
      </c>
      <c r="I645">
        <v>50</v>
      </c>
      <c r="J645">
        <v>50</v>
      </c>
      <c r="K645">
        <v>50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645" s="5" cm="1">
        <f t="array" ref="N645">MAX(IF((ProjectInfoTable[ProjectName]=ContinuousStatsTable[[#This Row],[ProjectName]]),(ProjectInfoTable[ProjectName]=ContinuousStatsTable[[#This Row],[ProjectName]])*ProjectInfoTable[NumberOfReplications]))</f>
        <v>30</v>
      </c>
      <c r="O645" s="5" cm="1">
        <f t="array" ref="O645">IFERROR(AVERAGE(IF((ContinuousStatsTable[GroupByKey]=ContinuousStatsTable[[#This Row],[GroupByKey]]),(ContinuousStatsTable[GroupByKey]=ContinuousStatsTable[[#This Row],[GroupByKey]])*ContinuousStatsTable[Average])),0)</f>
        <v>50</v>
      </c>
      <c r="P645" s="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0</v>
      </c>
      <c r="Q645" s="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5" s="5" cm="1">
        <f t="array" ref="S645">MIN(IF((ContinuousStatsTable[GroupByKey]=ContinuousStatsTable[[#This Row],[GroupByKey]]),(ContinuousStatsTable[GroupByKey]=ContinuousStatsTable[[#This Row],[GroupByKey]])*ContinuousStatsTable[Average]))</f>
        <v>50</v>
      </c>
      <c r="T645" s="5" cm="1">
        <f t="array" ref="T645">MAX(IF((ContinuousStatsTable[GroupByKey]=ContinuousStatsTable[[#This Row],[GroupByKey]]),(ContinuousStatsTable[GroupByKey]=ContinuousStatsTable[[#This Row],[GroupByKey]])*ContinuousStatsTable[Average]))</f>
        <v>50</v>
      </c>
      <c r="U645" s="5">
        <f>IF((ContinuousStatsTable[[#This Row],[RepsRequested]]&gt;1),ContinuousStatsTable[[#This Row],[HalfWidth]],ContinuousStatsTable[[#This Row],[BatchMeansHalfWidth]])</f>
        <v>0</v>
      </c>
    </row>
    <row r="646" spans="1:21" x14ac:dyDescent="0.3">
      <c r="A646" t="s">
        <v>66</v>
      </c>
      <c r="B646" t="s">
        <v>68</v>
      </c>
      <c r="C646">
        <v>17</v>
      </c>
      <c r="D646" t="s">
        <v>101</v>
      </c>
      <c r="E646" t="s">
        <v>94</v>
      </c>
      <c r="F646" t="s">
        <v>95</v>
      </c>
      <c r="G646">
        <v>9.0406323384256804E-2</v>
      </c>
      <c r="H646">
        <v>2E+20</v>
      </c>
      <c r="I646">
        <v>0</v>
      </c>
      <c r="J646">
        <v>0.4</v>
      </c>
      <c r="K646">
        <v>0.2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646" s="5" cm="1">
        <f t="array" ref="N646">MAX(IF((ProjectInfoTable[ProjectName]=ContinuousStatsTable[[#This Row],[ProjectName]]),(ProjectInfoTable[ProjectName]=ContinuousStatsTable[[#This Row],[ProjectName]])*ProjectInfoTable[NumberOfReplications]))</f>
        <v>30</v>
      </c>
      <c r="O646" s="5" cm="1">
        <f t="array" ref="O646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646" s="5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646" s="5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646" s="5" cm="1">
        <f t="array" ref="S646">MIN(IF((ContinuousStatsTable[GroupByKey]=ContinuousStatsTable[[#This Row],[GroupByKey]]),(ContinuousStatsTable[GroupByKey]=ContinuousStatsTable[[#This Row],[GroupByKey]])*ContinuousStatsTable[Average]))</f>
        <v>7.4778736536586704E-2</v>
      </c>
      <c r="T646" s="5" cm="1">
        <f t="array" ref="T646">MAX(IF((ContinuousStatsTable[GroupByKey]=ContinuousStatsTable[[#This Row],[GroupByKey]]),(ContinuousStatsTable[GroupByKey]=ContinuousStatsTable[[#This Row],[GroupByKey]])*ContinuousStatsTable[Average]))</f>
        <v>0.111025455742452</v>
      </c>
      <c r="U646" s="5">
        <f>IF((ContinuousStatsTable[[#This Row],[RepsRequested]]&gt;1),ContinuousStatsTable[[#This Row],[HalfWidth]],ContinuousStatsTable[[#This Row],[BatchMeansHalfWidth]])</f>
        <v>4.1821462690338805E-3</v>
      </c>
    </row>
    <row r="647" spans="1:21" x14ac:dyDescent="0.3">
      <c r="A647" t="s">
        <v>66</v>
      </c>
      <c r="B647" t="s">
        <v>68</v>
      </c>
      <c r="C647">
        <v>17</v>
      </c>
      <c r="D647" t="s">
        <v>101</v>
      </c>
      <c r="E647" t="s">
        <v>96</v>
      </c>
      <c r="F647" t="s">
        <v>95</v>
      </c>
      <c r="G647">
        <v>1.3560948507638499</v>
      </c>
      <c r="H647">
        <v>2E+20</v>
      </c>
      <c r="I647">
        <v>0</v>
      </c>
      <c r="J647">
        <v>6</v>
      </c>
      <c r="K647">
        <v>3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647" s="5" cm="1">
        <f t="array" ref="N647">MAX(IF((ProjectInfoTable[ProjectName]=ContinuousStatsTable[[#This Row],[ProjectName]]),(ProjectInfoTable[ProjectName]=ContinuousStatsTable[[#This Row],[ProjectName]])*ProjectInfoTable[NumberOfReplications]))</f>
        <v>30</v>
      </c>
      <c r="O647" s="5" cm="1">
        <f t="array" ref="O647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647" s="5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647" s="5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647" s="5" cm="1">
        <f t="array" ref="S647">MIN(IF((ContinuousStatsTable[GroupByKey]=ContinuousStatsTable[[#This Row],[GroupByKey]]),(ContinuousStatsTable[GroupByKey]=ContinuousStatsTable[[#This Row],[GroupByKey]])*ContinuousStatsTable[Average]))</f>
        <v>1.1216810480488</v>
      </c>
      <c r="T647" s="5" cm="1">
        <f t="array" ref="T647">MAX(IF((ContinuousStatsTable[GroupByKey]=ContinuousStatsTable[[#This Row],[GroupByKey]]),(ContinuousStatsTable[GroupByKey]=ContinuousStatsTable[[#This Row],[GroupByKey]])*ContinuousStatsTable[Average]))</f>
        <v>1.66538183613678</v>
      </c>
      <c r="U647" s="5">
        <f>IF((ContinuousStatsTable[[#This Row],[RepsRequested]]&gt;1),ContinuousStatsTable[[#This Row],[HalfWidth]],ContinuousStatsTable[[#This Row],[BatchMeansHalfWidth]])</f>
        <v>6.2732194035507963E-2</v>
      </c>
    </row>
    <row r="648" spans="1:21" x14ac:dyDescent="0.3">
      <c r="A648" t="s">
        <v>66</v>
      </c>
      <c r="B648" t="s">
        <v>68</v>
      </c>
      <c r="C648">
        <v>17</v>
      </c>
      <c r="D648" t="s">
        <v>101</v>
      </c>
      <c r="E648" t="s">
        <v>97</v>
      </c>
      <c r="F648" t="s">
        <v>95</v>
      </c>
      <c r="G648">
        <v>15</v>
      </c>
      <c r="H648">
        <v>2E+20</v>
      </c>
      <c r="I648">
        <v>15</v>
      </c>
      <c r="J648">
        <v>15</v>
      </c>
      <c r="K648">
        <v>15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648" s="5" cm="1">
        <f t="array" ref="N648">MAX(IF((ProjectInfoTable[ProjectName]=ContinuousStatsTable[[#This Row],[ProjectName]]),(ProjectInfoTable[ProjectName]=ContinuousStatsTable[[#This Row],[ProjectName]])*ProjectInfoTable[NumberOfReplications]))</f>
        <v>30</v>
      </c>
      <c r="O648" s="5" cm="1">
        <f t="array" ref="O648">IFERROR(AVERAGE(IF((ContinuousStatsTable[GroupByKey]=ContinuousStatsTable[[#This Row],[GroupByKey]]),(ContinuousStatsTable[GroupByKey]=ContinuousStatsTable[[#This Row],[GroupByKey]])*ContinuousStatsTable[Average])),0)</f>
        <v>15</v>
      </c>
      <c r="P648" s="5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0</v>
      </c>
      <c r="Q648" s="5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8" s="5" cm="1">
        <f t="array" ref="S648">MIN(IF((ContinuousStatsTable[GroupByKey]=ContinuousStatsTable[[#This Row],[GroupByKey]]),(ContinuousStatsTable[GroupByKey]=ContinuousStatsTable[[#This Row],[GroupByKey]])*ContinuousStatsTable[Average]))</f>
        <v>15</v>
      </c>
      <c r="T648" s="5" cm="1">
        <f t="array" ref="T648">MAX(IF((ContinuousStatsTable[GroupByKey]=ContinuousStatsTable[[#This Row],[GroupByKey]]),(ContinuousStatsTable[GroupByKey]=ContinuousStatsTable[[#This Row],[GroupByKey]])*ContinuousStatsTable[Average]))</f>
        <v>15</v>
      </c>
      <c r="U648" s="5">
        <f>IF((ContinuousStatsTable[[#This Row],[RepsRequested]]&gt;1),ContinuousStatsTable[[#This Row],[HalfWidth]],ContinuousStatsTable[[#This Row],[BatchMeansHalfWidth]])</f>
        <v>0</v>
      </c>
    </row>
    <row r="649" spans="1:21" x14ac:dyDescent="0.3">
      <c r="A649" t="s">
        <v>66</v>
      </c>
      <c r="B649" t="s">
        <v>68</v>
      </c>
      <c r="C649">
        <v>17</v>
      </c>
      <c r="D649" t="s">
        <v>102</v>
      </c>
      <c r="E649" t="s">
        <v>94</v>
      </c>
      <c r="F649" t="s">
        <v>95</v>
      </c>
      <c r="G649">
        <v>0.76012885575129596</v>
      </c>
      <c r="H649">
        <v>2E+20</v>
      </c>
      <c r="I649">
        <v>0</v>
      </c>
      <c r="J649">
        <v>1</v>
      </c>
      <c r="K649">
        <v>1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649" s="5" cm="1">
        <f t="array" ref="N649">MAX(IF((ProjectInfoTable[ProjectName]=ContinuousStatsTable[[#This Row],[ProjectName]]),(ProjectInfoTable[ProjectName]=ContinuousStatsTable[[#This Row],[ProjectName]])*ProjectInfoTable[NumberOfReplications]))</f>
        <v>30</v>
      </c>
      <c r="O649" s="5" cm="1">
        <f t="array" ref="O649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649" s="5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649" s="5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649" s="5" cm="1">
        <f t="array" ref="S649">MIN(IF((ContinuousStatsTable[GroupByKey]=ContinuousStatsTable[[#This Row],[GroupByKey]]),(ContinuousStatsTable[GroupByKey]=ContinuousStatsTable[[#This Row],[GroupByKey]])*ContinuousStatsTable[Average]))</f>
        <v>0.73673947391417804</v>
      </c>
      <c r="T649" s="5" cm="1">
        <f t="array" ref="T649">MAX(IF((ContinuousStatsTable[GroupByKey]=ContinuousStatsTable[[#This Row],[GroupByKey]]),(ContinuousStatsTable[GroupByKey]=ContinuousStatsTable[[#This Row],[GroupByKey]])*ContinuousStatsTable[Average]))</f>
        <v>0.90592850818388704</v>
      </c>
      <c r="U649" s="5">
        <f>IF((ContinuousStatsTable[[#This Row],[RepsRequested]]&gt;1),ContinuousStatsTable[[#This Row],[HalfWidth]],ContinuousStatsTable[[#This Row],[BatchMeansHalfWidth]])</f>
        <v>1.8636241798384946E-2</v>
      </c>
    </row>
    <row r="650" spans="1:21" x14ac:dyDescent="0.3">
      <c r="A650" t="s">
        <v>66</v>
      </c>
      <c r="B650" t="s">
        <v>68</v>
      </c>
      <c r="C650">
        <v>17</v>
      </c>
      <c r="D650" t="s">
        <v>102</v>
      </c>
      <c r="E650" t="s">
        <v>96</v>
      </c>
      <c r="F650" t="s">
        <v>95</v>
      </c>
      <c r="G650">
        <v>1.4427534164898601</v>
      </c>
      <c r="H650">
        <v>2E+20</v>
      </c>
      <c r="I650">
        <v>0</v>
      </c>
      <c r="J650">
        <v>3</v>
      </c>
      <c r="K650">
        <v>2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650" s="5" cm="1">
        <f t="array" ref="N650">MAX(IF((ProjectInfoTable[ProjectName]=ContinuousStatsTable[[#This Row],[ProjectName]]),(ProjectInfoTable[ProjectName]=ContinuousStatsTable[[#This Row],[ProjectName]])*ProjectInfoTable[NumberOfReplications]))</f>
        <v>30</v>
      </c>
      <c r="O650" s="5" cm="1">
        <f t="array" ref="O650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650" s="5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650" s="5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650" s="5" cm="1">
        <f t="array" ref="S650">MIN(IF((ContinuousStatsTable[GroupByKey]=ContinuousStatsTable[[#This Row],[GroupByKey]]),(ContinuousStatsTable[GroupByKey]=ContinuousStatsTable[[#This Row],[GroupByKey]])*ContinuousStatsTable[Average]))</f>
        <v>1.3726163545041801</v>
      </c>
      <c r="T650" s="5" cm="1">
        <f t="array" ref="T650">MAX(IF((ContinuousStatsTable[GroupByKey]=ContinuousStatsTable[[#This Row],[GroupByKey]]),(ContinuousStatsTable[GroupByKey]=ContinuousStatsTable[[#This Row],[GroupByKey]])*ContinuousStatsTable[Average]))</f>
        <v>1.7968913949876599</v>
      </c>
      <c r="U650" s="5">
        <f>IF((ContinuousStatsTable[[#This Row],[RepsRequested]]&gt;1),ContinuousStatsTable[[#This Row],[HalfWidth]],ContinuousStatsTable[[#This Row],[BatchMeansHalfWidth]])</f>
        <v>4.3123628688677348E-2</v>
      </c>
    </row>
    <row r="651" spans="1:21" x14ac:dyDescent="0.3">
      <c r="A651" t="s">
        <v>66</v>
      </c>
      <c r="B651" t="s">
        <v>68</v>
      </c>
      <c r="C651">
        <v>17</v>
      </c>
      <c r="D651" t="s">
        <v>102</v>
      </c>
      <c r="E651" t="s">
        <v>97</v>
      </c>
      <c r="F651" t="s">
        <v>95</v>
      </c>
      <c r="G651">
        <v>2</v>
      </c>
      <c r="H651">
        <v>2E+20</v>
      </c>
      <c r="I651">
        <v>1</v>
      </c>
      <c r="J651">
        <v>3</v>
      </c>
      <c r="K651">
        <v>1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651" s="5" cm="1">
        <f t="array" ref="N651">MAX(IF((ProjectInfoTable[ProjectName]=ContinuousStatsTable[[#This Row],[ProjectName]]),(ProjectInfoTable[ProjectName]=ContinuousStatsTable[[#This Row],[ProjectName]])*ProjectInfoTable[NumberOfReplications]))</f>
        <v>30</v>
      </c>
      <c r="O651" s="5" cm="1">
        <f t="array" ref="O651">IFERROR(AVERAGE(IF((ContinuousStatsTable[GroupByKey]=ContinuousStatsTable[[#This Row],[GroupByKey]]),(ContinuousStatsTable[GroupByKey]=ContinuousStatsTable[[#This Row],[GroupByKey]])*ContinuousStatsTable[Average])),0)</f>
        <v>2</v>
      </c>
      <c r="P651" s="5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s="5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s="5" cm="1">
        <f t="array" ref="S651">MIN(IF((ContinuousStatsTable[GroupByKey]=ContinuousStatsTable[[#This Row],[GroupByKey]]),(ContinuousStatsTable[GroupByKey]=ContinuousStatsTable[[#This Row],[GroupByKey]])*ContinuousStatsTable[Average]))</f>
        <v>2</v>
      </c>
      <c r="T651" s="5" cm="1">
        <f t="array" ref="T651">MAX(IF((ContinuousStatsTable[GroupByKey]=ContinuousStatsTable[[#This Row],[GroupByKey]]),(ContinuousStatsTable[GroupByKey]=ContinuousStatsTable[[#This Row],[GroupByKey]])*ContinuousStatsTable[Average]))</f>
        <v>2</v>
      </c>
      <c r="U651" s="5">
        <f>IF((ContinuousStatsTable[[#This Row],[RepsRequested]]&gt;1),ContinuousStatsTable[[#This Row],[HalfWidth]],ContinuousStatsTable[[#This Row],[BatchMeansHalfWidth]])</f>
        <v>0</v>
      </c>
    </row>
    <row r="652" spans="1:21" x14ac:dyDescent="0.3">
      <c r="A652" t="s">
        <v>66</v>
      </c>
      <c r="B652" t="s">
        <v>68</v>
      </c>
      <c r="C652">
        <v>17</v>
      </c>
      <c r="D652" t="s">
        <v>84</v>
      </c>
      <c r="E652" t="s">
        <v>103</v>
      </c>
      <c r="F652" t="s">
        <v>86</v>
      </c>
      <c r="G652">
        <v>50.270974381564898</v>
      </c>
      <c r="H652">
        <v>2E+20</v>
      </c>
      <c r="I652">
        <v>0</v>
      </c>
      <c r="J652">
        <v>76</v>
      </c>
      <c r="K652">
        <v>71</v>
      </c>
      <c r="L652">
        <v>0</v>
      </c>
      <c r="M652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652" s="5" cm="1">
        <f t="array" ref="N652">MAX(IF((ProjectInfoTable[ProjectName]=ContinuousStatsTable[[#This Row],[ProjectName]]),(ProjectInfoTable[ProjectName]=ContinuousStatsTable[[#This Row],[ProjectName]])*ProjectInfoTable[NumberOfReplications]))</f>
        <v>30</v>
      </c>
      <c r="O652" s="5" cm="1">
        <f t="array" ref="O652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652" s="5" cm="1">
        <f t="array" ref="P652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652" s="5" cm="1">
        <f t="array" ref="Q652">MAX(IF((ProjectInfoTable[ProjectName]=ContinuousStatsTable[[#This Row],[ProjectName]]),(ProjectInfoTable[ProjectName]=ContinuousStatsTable[[#This Row],[ProjectName]])*ProjectInfoTable[ConfidenceInterval]))</f>
        <v>0.95</v>
      </c>
      <c r="R6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652" s="5" cm="1">
        <f t="array" ref="S652">MIN(IF((ContinuousStatsTable[GroupByKey]=ContinuousStatsTable[[#This Row],[GroupByKey]]),(ContinuousStatsTable[GroupByKey]=ContinuousStatsTable[[#This Row],[GroupByKey]])*ContinuousStatsTable[Average]))</f>
        <v>36.709886237305</v>
      </c>
      <c r="T652" s="5" cm="1">
        <f t="array" ref="T652">MAX(IF((ContinuousStatsTable[GroupByKey]=ContinuousStatsTable[[#This Row],[GroupByKey]]),(ContinuousStatsTable[GroupByKey]=ContinuousStatsTable[[#This Row],[GroupByKey]])*ContinuousStatsTable[Average]))</f>
        <v>84.594951996708403</v>
      </c>
      <c r="U652" s="5">
        <f>IF((ContinuousStatsTable[[#This Row],[RepsRequested]]&gt;1),ContinuousStatsTable[[#This Row],[HalfWidth]],ContinuousStatsTable[[#This Row],[BatchMeansHalfWidth]])</f>
        <v>4.0384933567271259</v>
      </c>
    </row>
    <row r="653" spans="1:21" x14ac:dyDescent="0.3">
      <c r="A653" t="s">
        <v>66</v>
      </c>
      <c r="B653" t="s">
        <v>68</v>
      </c>
      <c r="C653">
        <v>17</v>
      </c>
      <c r="D653" t="s">
        <v>104</v>
      </c>
      <c r="E653" t="s">
        <v>94</v>
      </c>
      <c r="F653" t="s">
        <v>95</v>
      </c>
      <c r="G653">
        <v>0</v>
      </c>
      <c r="H653">
        <v>2E+20</v>
      </c>
      <c r="I653">
        <v>0</v>
      </c>
      <c r="J653">
        <v>0</v>
      </c>
      <c r="K653">
        <v>0</v>
      </c>
      <c r="L653">
        <v>0</v>
      </c>
      <c r="M653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653" s="5" cm="1">
        <f t="array" ref="N653">MAX(IF((ProjectInfoTable[ProjectName]=ContinuousStatsTable[[#This Row],[ProjectName]]),(ProjectInfoTable[ProjectName]=ContinuousStatsTable[[#This Row],[ProjectName]])*ProjectInfoTable[NumberOfReplications]))</f>
        <v>30</v>
      </c>
      <c r="O653" s="5" cm="1">
        <f t="array" ref="O653">IFERROR(AVERAGE(IF((ContinuousStatsTable[GroupByKey]=ContinuousStatsTable[[#This Row],[GroupByKey]]),(ContinuousStatsTable[GroupByKey]=ContinuousStatsTable[[#This Row],[GroupByKey]])*ContinuousStatsTable[Average])),0)</f>
        <v>0</v>
      </c>
      <c r="P653" s="5" cm="1">
        <f t="array" ref="P653">IFERROR(_xlfn.STDEV.S(IF((ContinuousStatsTable[GroupByKey]=ContinuousStatsTable[[#This Row],[GroupByKey]]),(ContinuousStatsTable[GroupByKey]=ContinuousStatsTable[[#This Row],[GroupByKey]])*ContinuousStatsTable[Average])),0)</f>
        <v>0</v>
      </c>
      <c r="Q653" s="5" cm="1">
        <f t="array" ref="Q653">MAX(IF((ProjectInfoTable[ProjectName]=ContinuousStatsTable[[#This Row],[ProjectName]]),(ProjectInfoTable[ProjectName]=ContinuousStatsTable[[#This Row],[ProjectName]])*ProjectInfoTable[ConfidenceInterval]))</f>
        <v>0.95</v>
      </c>
      <c r="R6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3" s="5" cm="1">
        <f t="array" ref="S653">MIN(IF((ContinuousStatsTable[GroupByKey]=ContinuousStatsTable[[#This Row],[GroupByKey]]),(ContinuousStatsTable[GroupByKey]=ContinuousStatsTable[[#This Row],[GroupByKey]])*ContinuousStatsTable[Average]))</f>
        <v>0</v>
      </c>
      <c r="T653" s="5" cm="1">
        <f t="array" ref="T653">MAX(IF((ContinuousStatsTable[GroupByKey]=ContinuousStatsTable[[#This Row],[GroupByKey]]),(ContinuousStatsTable[GroupByKey]=ContinuousStatsTable[[#This Row],[GroupByKey]])*ContinuousStatsTable[Average]))</f>
        <v>0</v>
      </c>
      <c r="U653" s="5">
        <f>IF((ContinuousStatsTable[[#This Row],[RepsRequested]]&gt;1),ContinuousStatsTable[[#This Row],[HalfWidth]],ContinuousStatsTable[[#This Row],[BatchMeansHalfWidth]])</f>
        <v>0</v>
      </c>
    </row>
    <row r="654" spans="1:21" x14ac:dyDescent="0.3">
      <c r="A654" t="s">
        <v>66</v>
      </c>
      <c r="B654" t="s">
        <v>68</v>
      </c>
      <c r="C654">
        <v>17</v>
      </c>
      <c r="D654" t="s">
        <v>104</v>
      </c>
      <c r="E654" t="s">
        <v>96</v>
      </c>
      <c r="F654" t="s">
        <v>95</v>
      </c>
      <c r="G654">
        <v>0</v>
      </c>
      <c r="H654">
        <v>2E+20</v>
      </c>
      <c r="I654">
        <v>0</v>
      </c>
      <c r="J654">
        <v>0</v>
      </c>
      <c r="K654">
        <v>0</v>
      </c>
      <c r="L654">
        <v>0</v>
      </c>
      <c r="M654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654" s="5" cm="1">
        <f t="array" ref="N654">MAX(IF((ProjectInfoTable[ProjectName]=ContinuousStatsTable[[#This Row],[ProjectName]]),(ProjectInfoTable[ProjectName]=ContinuousStatsTable[[#This Row],[ProjectName]])*ProjectInfoTable[NumberOfReplications]))</f>
        <v>30</v>
      </c>
      <c r="O654" s="5" cm="1">
        <f t="array" ref="O654">IFERROR(AVERAGE(IF((ContinuousStatsTable[GroupByKey]=ContinuousStatsTable[[#This Row],[GroupByKey]]),(ContinuousStatsTable[GroupByKey]=ContinuousStatsTable[[#This Row],[GroupByKey]])*ContinuousStatsTable[Average])),0)</f>
        <v>0</v>
      </c>
      <c r="P654" s="5" cm="1">
        <f t="array" ref="P654">IFERROR(_xlfn.STDEV.S(IF((ContinuousStatsTable[GroupByKey]=ContinuousStatsTable[[#This Row],[GroupByKey]]),(ContinuousStatsTable[GroupByKey]=ContinuousStatsTable[[#This Row],[GroupByKey]])*ContinuousStatsTable[Average])),0)</f>
        <v>0</v>
      </c>
      <c r="Q654" s="5" cm="1">
        <f t="array" ref="Q654">MAX(IF((ProjectInfoTable[ProjectName]=ContinuousStatsTable[[#This Row],[ProjectName]]),(ProjectInfoTable[ProjectName]=ContinuousStatsTable[[#This Row],[ProjectName]])*ProjectInfoTable[ConfidenceInterval]))</f>
        <v>0.95</v>
      </c>
      <c r="R6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4" s="5" cm="1">
        <f t="array" ref="S654">MIN(IF((ContinuousStatsTable[GroupByKey]=ContinuousStatsTable[[#This Row],[GroupByKey]]),(ContinuousStatsTable[GroupByKey]=ContinuousStatsTable[[#This Row],[GroupByKey]])*ContinuousStatsTable[Average]))</f>
        <v>0</v>
      </c>
      <c r="T654" s="5" cm="1">
        <f t="array" ref="T654">MAX(IF((ContinuousStatsTable[GroupByKey]=ContinuousStatsTable[[#This Row],[GroupByKey]]),(ContinuousStatsTable[GroupByKey]=ContinuousStatsTable[[#This Row],[GroupByKey]])*ContinuousStatsTable[Average]))</f>
        <v>0</v>
      </c>
      <c r="U654" s="5">
        <f>IF((ContinuousStatsTable[[#This Row],[RepsRequested]]&gt;1),ContinuousStatsTable[[#This Row],[HalfWidth]],ContinuousStatsTable[[#This Row],[BatchMeansHalfWidth]])</f>
        <v>0</v>
      </c>
    </row>
    <row r="655" spans="1:21" x14ac:dyDescent="0.3">
      <c r="A655" t="s">
        <v>66</v>
      </c>
      <c r="B655" t="s">
        <v>68</v>
      </c>
      <c r="C655">
        <v>17</v>
      </c>
      <c r="D655" t="s">
        <v>104</v>
      </c>
      <c r="E655" t="s">
        <v>97</v>
      </c>
      <c r="F655" t="s">
        <v>95</v>
      </c>
      <c r="G655">
        <v>3</v>
      </c>
      <c r="H655">
        <v>2E+20</v>
      </c>
      <c r="I655">
        <v>3</v>
      </c>
      <c r="J655">
        <v>3</v>
      </c>
      <c r="K655">
        <v>3</v>
      </c>
      <c r="L655">
        <v>0</v>
      </c>
      <c r="M655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655" s="5" cm="1">
        <f t="array" ref="N655">MAX(IF((ProjectInfoTable[ProjectName]=ContinuousStatsTable[[#This Row],[ProjectName]]),(ProjectInfoTable[ProjectName]=ContinuousStatsTable[[#This Row],[ProjectName]])*ProjectInfoTable[NumberOfReplications]))</f>
        <v>30</v>
      </c>
      <c r="O655" s="5" cm="1">
        <f t="array" ref="O655">IFERROR(AVERAGE(IF((ContinuousStatsTable[GroupByKey]=ContinuousStatsTable[[#This Row],[GroupByKey]]),(ContinuousStatsTable[GroupByKey]=ContinuousStatsTable[[#This Row],[GroupByKey]])*ContinuousStatsTable[Average])),0)</f>
        <v>3</v>
      </c>
      <c r="P655" s="5" cm="1">
        <f t="array" ref="P655">IFERROR(_xlfn.STDEV.S(IF((ContinuousStatsTable[GroupByKey]=ContinuousStatsTable[[#This Row],[GroupByKey]]),(ContinuousStatsTable[GroupByKey]=ContinuousStatsTable[[#This Row],[GroupByKey]])*ContinuousStatsTable[Average])),0)</f>
        <v>0</v>
      </c>
      <c r="Q655" s="5" cm="1">
        <f t="array" ref="Q655">MAX(IF((ProjectInfoTable[ProjectName]=ContinuousStatsTable[[#This Row],[ProjectName]]),(ProjectInfoTable[ProjectName]=ContinuousStatsTable[[#This Row],[ProjectName]])*ProjectInfoTable[ConfidenceInterval]))</f>
        <v>0.95</v>
      </c>
      <c r="R6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5" s="5" cm="1">
        <f t="array" ref="S655">MIN(IF((ContinuousStatsTable[GroupByKey]=ContinuousStatsTable[[#This Row],[GroupByKey]]),(ContinuousStatsTable[GroupByKey]=ContinuousStatsTable[[#This Row],[GroupByKey]])*ContinuousStatsTable[Average]))</f>
        <v>3</v>
      </c>
      <c r="T655" s="5" cm="1">
        <f t="array" ref="T655">MAX(IF((ContinuousStatsTable[GroupByKey]=ContinuousStatsTable[[#This Row],[GroupByKey]]),(ContinuousStatsTable[GroupByKey]=ContinuousStatsTable[[#This Row],[GroupByKey]])*ContinuousStatsTable[Average]))</f>
        <v>3</v>
      </c>
      <c r="U655" s="5">
        <f>IF((ContinuousStatsTable[[#This Row],[RepsRequested]]&gt;1),ContinuousStatsTable[[#This Row],[HalfWidth]],ContinuousStatsTable[[#This Row],[BatchMeansHalfWidth]])</f>
        <v>0</v>
      </c>
    </row>
    <row r="656" spans="1:21" x14ac:dyDescent="0.3">
      <c r="A656" t="s">
        <v>66</v>
      </c>
      <c r="B656" t="s">
        <v>68</v>
      </c>
      <c r="C656">
        <v>17</v>
      </c>
      <c r="D656" t="s">
        <v>105</v>
      </c>
      <c r="E656" t="s">
        <v>94</v>
      </c>
      <c r="F656" t="s">
        <v>95</v>
      </c>
      <c r="G656">
        <v>0.87322022190649395</v>
      </c>
      <c r="H656">
        <v>2E+20</v>
      </c>
      <c r="I656">
        <v>0</v>
      </c>
      <c r="J656">
        <v>1</v>
      </c>
      <c r="K656">
        <v>1</v>
      </c>
      <c r="L656">
        <v>0</v>
      </c>
      <c r="M656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656" s="5" cm="1">
        <f t="array" ref="N656">MAX(IF((ProjectInfoTable[ProjectName]=ContinuousStatsTable[[#This Row],[ProjectName]]),(ProjectInfoTable[ProjectName]=ContinuousStatsTable[[#This Row],[ProjectName]])*ProjectInfoTable[NumberOfReplications]))</f>
        <v>30</v>
      </c>
      <c r="O656" s="5" cm="1">
        <f t="array" ref="O656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656" s="5" cm="1">
        <f t="array" ref="P656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656" s="5" cm="1">
        <f t="array" ref="Q656">MAX(IF((ProjectInfoTable[ProjectName]=ContinuousStatsTable[[#This Row],[ProjectName]]),(ProjectInfoTable[ProjectName]=ContinuousStatsTable[[#This Row],[ProjectName]])*ProjectInfoTable[ConfidenceInterval]))</f>
        <v>0.95</v>
      </c>
      <c r="R6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656" s="5" cm="1">
        <f t="array" ref="S656">MIN(IF((ContinuousStatsTable[GroupByKey]=ContinuousStatsTable[[#This Row],[GroupByKey]]),(ContinuousStatsTable[GroupByKey]=ContinuousStatsTable[[#This Row],[GroupByKey]])*ContinuousStatsTable[Average]))</f>
        <v>0.634589476164233</v>
      </c>
      <c r="T656" s="5" cm="1">
        <f t="array" ref="T656">MAX(IF((ContinuousStatsTable[GroupByKey]=ContinuousStatsTable[[#This Row],[GroupByKey]]),(ContinuousStatsTable[GroupByKey]=ContinuousStatsTable[[#This Row],[GroupByKey]])*ContinuousStatsTable[Average]))</f>
        <v>0.99383259650362799</v>
      </c>
      <c r="U656" s="5">
        <f>IF((ContinuousStatsTable[[#This Row],[RepsRequested]]&gt;1),ContinuousStatsTable[[#This Row],[HalfWidth]],ContinuousStatsTable[[#This Row],[BatchMeansHalfWidth]])</f>
        <v>3.9940526897700258E-2</v>
      </c>
    </row>
    <row r="657" spans="1:21" x14ac:dyDescent="0.3">
      <c r="A657" t="s">
        <v>66</v>
      </c>
      <c r="B657" t="s">
        <v>68</v>
      </c>
      <c r="C657">
        <v>17</v>
      </c>
      <c r="D657" t="s">
        <v>105</v>
      </c>
      <c r="E657" t="s">
        <v>96</v>
      </c>
      <c r="F657" t="s">
        <v>95</v>
      </c>
      <c r="G657">
        <v>0.87322022190649395</v>
      </c>
      <c r="H657">
        <v>2E+20</v>
      </c>
      <c r="I657">
        <v>0</v>
      </c>
      <c r="J657">
        <v>1</v>
      </c>
      <c r="K657">
        <v>1</v>
      </c>
      <c r="L657">
        <v>0</v>
      </c>
      <c r="M657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657" s="5" cm="1">
        <f t="array" ref="N657">MAX(IF((ProjectInfoTable[ProjectName]=ContinuousStatsTable[[#This Row],[ProjectName]]),(ProjectInfoTable[ProjectName]=ContinuousStatsTable[[#This Row],[ProjectName]])*ProjectInfoTable[NumberOfReplications]))</f>
        <v>30</v>
      </c>
      <c r="O657" s="5" cm="1">
        <f t="array" ref="O657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657" s="5" cm="1">
        <f t="array" ref="P657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657" s="5" cm="1">
        <f t="array" ref="Q657">MAX(IF((ProjectInfoTable[ProjectName]=ContinuousStatsTable[[#This Row],[ProjectName]]),(ProjectInfoTable[ProjectName]=ContinuousStatsTable[[#This Row],[ProjectName]])*ProjectInfoTable[ConfidenceInterval]))</f>
        <v>0.95</v>
      </c>
      <c r="R6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657" s="5" cm="1">
        <f t="array" ref="S657">MIN(IF((ContinuousStatsTable[GroupByKey]=ContinuousStatsTable[[#This Row],[GroupByKey]]),(ContinuousStatsTable[GroupByKey]=ContinuousStatsTable[[#This Row],[GroupByKey]])*ContinuousStatsTable[Average]))</f>
        <v>0.634589476164233</v>
      </c>
      <c r="T657" s="5" cm="1">
        <f t="array" ref="T657">MAX(IF((ContinuousStatsTable[GroupByKey]=ContinuousStatsTable[[#This Row],[GroupByKey]]),(ContinuousStatsTable[GroupByKey]=ContinuousStatsTable[[#This Row],[GroupByKey]])*ContinuousStatsTable[Average]))</f>
        <v>0.99383259650362799</v>
      </c>
      <c r="U657" s="5">
        <f>IF((ContinuousStatsTable[[#This Row],[RepsRequested]]&gt;1),ContinuousStatsTable[[#This Row],[HalfWidth]],ContinuousStatsTable[[#This Row],[BatchMeansHalfWidth]])</f>
        <v>3.9940526897700258E-2</v>
      </c>
    </row>
    <row r="658" spans="1:21" x14ac:dyDescent="0.3">
      <c r="A658" t="s">
        <v>66</v>
      </c>
      <c r="B658" t="s">
        <v>68</v>
      </c>
      <c r="C658">
        <v>17</v>
      </c>
      <c r="D658" t="s">
        <v>105</v>
      </c>
      <c r="E658" t="s">
        <v>97</v>
      </c>
      <c r="F658" t="s">
        <v>95</v>
      </c>
      <c r="G658">
        <v>1</v>
      </c>
      <c r="H658">
        <v>2E+20</v>
      </c>
      <c r="I658">
        <v>1</v>
      </c>
      <c r="J658">
        <v>1</v>
      </c>
      <c r="K658">
        <v>1</v>
      </c>
      <c r="L658">
        <v>0</v>
      </c>
      <c r="M658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658" s="5" cm="1">
        <f t="array" ref="N658">MAX(IF((ProjectInfoTable[ProjectName]=ContinuousStatsTable[[#This Row],[ProjectName]]),(ProjectInfoTable[ProjectName]=ContinuousStatsTable[[#This Row],[ProjectName]])*ProjectInfoTable[NumberOfReplications]))</f>
        <v>30</v>
      </c>
      <c r="O658" s="5" cm="1">
        <f t="array" ref="O658">IFERROR(AVERAGE(IF((ContinuousStatsTable[GroupByKey]=ContinuousStatsTable[[#This Row],[GroupByKey]]),(ContinuousStatsTable[GroupByKey]=ContinuousStatsTable[[#This Row],[GroupByKey]])*ContinuousStatsTable[Average])),0)</f>
        <v>1</v>
      </c>
      <c r="P658" s="5" cm="1">
        <f t="array" ref="P658">IFERROR(_xlfn.STDEV.S(IF((ContinuousStatsTable[GroupByKey]=ContinuousStatsTable[[#This Row],[GroupByKey]]),(ContinuousStatsTable[GroupByKey]=ContinuousStatsTable[[#This Row],[GroupByKey]])*ContinuousStatsTable[Average])),0)</f>
        <v>0</v>
      </c>
      <c r="Q658" s="5" cm="1">
        <f t="array" ref="Q658">MAX(IF((ProjectInfoTable[ProjectName]=ContinuousStatsTable[[#This Row],[ProjectName]]),(ProjectInfoTable[ProjectName]=ContinuousStatsTable[[#This Row],[ProjectName]])*ProjectInfoTable[ConfidenceInterval]))</f>
        <v>0.95</v>
      </c>
      <c r="R6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8" s="5" cm="1">
        <f t="array" ref="S658">MIN(IF((ContinuousStatsTable[GroupByKey]=ContinuousStatsTable[[#This Row],[GroupByKey]]),(ContinuousStatsTable[GroupByKey]=ContinuousStatsTable[[#This Row],[GroupByKey]])*ContinuousStatsTable[Average]))</f>
        <v>1</v>
      </c>
      <c r="T658" s="5" cm="1">
        <f t="array" ref="T658">MAX(IF((ContinuousStatsTable[GroupByKey]=ContinuousStatsTable[[#This Row],[GroupByKey]]),(ContinuousStatsTable[GroupByKey]=ContinuousStatsTable[[#This Row],[GroupByKey]])*ContinuousStatsTable[Average]))</f>
        <v>1</v>
      </c>
      <c r="U658" s="5">
        <f>IF((ContinuousStatsTable[[#This Row],[RepsRequested]]&gt;1),ContinuousStatsTable[[#This Row],[HalfWidth]],ContinuousStatsTable[[#This Row],[BatchMeansHalfWidth]])</f>
        <v>0</v>
      </c>
    </row>
    <row r="659" spans="1:21" x14ac:dyDescent="0.3">
      <c r="A659" t="s">
        <v>66</v>
      </c>
      <c r="B659" t="s">
        <v>68</v>
      </c>
      <c r="C659">
        <v>17</v>
      </c>
      <c r="D659" t="s">
        <v>106</v>
      </c>
      <c r="E659" t="s">
        <v>94</v>
      </c>
      <c r="F659" t="s">
        <v>95</v>
      </c>
      <c r="G659">
        <v>0.937181093881019</v>
      </c>
      <c r="H659">
        <v>2E+20</v>
      </c>
      <c r="I659">
        <v>0</v>
      </c>
      <c r="J659">
        <v>1</v>
      </c>
      <c r="K659">
        <v>1</v>
      </c>
      <c r="L659">
        <v>0</v>
      </c>
      <c r="M659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659" s="5" cm="1">
        <f t="array" ref="N659">MAX(IF((ProjectInfoTable[ProjectName]=ContinuousStatsTable[[#This Row],[ProjectName]]),(ProjectInfoTable[ProjectName]=ContinuousStatsTable[[#This Row],[ProjectName]])*ProjectInfoTable[NumberOfReplications]))</f>
        <v>30</v>
      </c>
      <c r="O659" s="5" cm="1">
        <f t="array" ref="O659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659" s="5" cm="1">
        <f t="array" ref="P659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659" s="5" cm="1">
        <f t="array" ref="Q659">MAX(IF((ProjectInfoTable[ProjectName]=ContinuousStatsTable[[#This Row],[ProjectName]]),(ProjectInfoTable[ProjectName]=ContinuousStatsTable[[#This Row],[ProjectName]])*ProjectInfoTable[ConfidenceInterval]))</f>
        <v>0.95</v>
      </c>
      <c r="R6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659" s="5" cm="1">
        <f t="array" ref="S659">MIN(IF((ContinuousStatsTable[GroupByKey]=ContinuousStatsTable[[#This Row],[GroupByKey]]),(ContinuousStatsTable[GroupByKey]=ContinuousStatsTable[[#This Row],[GroupByKey]])*ContinuousStatsTable[Average]))</f>
        <v>0.74061105631083801</v>
      </c>
      <c r="T659" s="5" cm="1">
        <f t="array" ref="T659">MAX(IF((ContinuousStatsTable[GroupByKey]=ContinuousStatsTable[[#This Row],[GroupByKey]]),(ContinuousStatsTable[GroupByKey]=ContinuousStatsTable[[#This Row],[GroupByKey]])*ContinuousStatsTable[Average]))</f>
        <v>0.99245161744166299</v>
      </c>
      <c r="U659" s="5">
        <f>IF((ContinuousStatsTable[[#This Row],[RepsRequested]]&gt;1),ContinuousStatsTable[[#This Row],[HalfWidth]],ContinuousStatsTable[[#This Row],[BatchMeansHalfWidth]])</f>
        <v>2.8912497794626357E-2</v>
      </c>
    </row>
    <row r="660" spans="1:21" x14ac:dyDescent="0.3">
      <c r="A660" t="s">
        <v>66</v>
      </c>
      <c r="B660" t="s">
        <v>68</v>
      </c>
      <c r="C660">
        <v>17</v>
      </c>
      <c r="D660" t="s">
        <v>106</v>
      </c>
      <c r="E660" t="s">
        <v>96</v>
      </c>
      <c r="F660" t="s">
        <v>95</v>
      </c>
      <c r="G660">
        <v>0.937181093881019</v>
      </c>
      <c r="H660">
        <v>2E+20</v>
      </c>
      <c r="I660">
        <v>0</v>
      </c>
      <c r="J660">
        <v>1</v>
      </c>
      <c r="K660">
        <v>1</v>
      </c>
      <c r="L660">
        <v>0</v>
      </c>
      <c r="M660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660" s="5" cm="1">
        <f t="array" ref="N660">MAX(IF((ProjectInfoTable[ProjectName]=ContinuousStatsTable[[#This Row],[ProjectName]]),(ProjectInfoTable[ProjectName]=ContinuousStatsTable[[#This Row],[ProjectName]])*ProjectInfoTable[NumberOfReplications]))</f>
        <v>30</v>
      </c>
      <c r="O660" s="5" cm="1">
        <f t="array" ref="O660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660" s="5" cm="1">
        <f t="array" ref="P660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660" s="5" cm="1">
        <f t="array" ref="Q660">MAX(IF((ProjectInfoTable[ProjectName]=ContinuousStatsTable[[#This Row],[ProjectName]]),(ProjectInfoTable[ProjectName]=ContinuousStatsTable[[#This Row],[ProjectName]])*ProjectInfoTable[ConfidenceInterval]))</f>
        <v>0.95</v>
      </c>
      <c r="R6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660" s="5" cm="1">
        <f t="array" ref="S660">MIN(IF((ContinuousStatsTable[GroupByKey]=ContinuousStatsTable[[#This Row],[GroupByKey]]),(ContinuousStatsTable[GroupByKey]=ContinuousStatsTable[[#This Row],[GroupByKey]])*ContinuousStatsTable[Average]))</f>
        <v>0.74061105631083801</v>
      </c>
      <c r="T660" s="5" cm="1">
        <f t="array" ref="T660">MAX(IF((ContinuousStatsTable[GroupByKey]=ContinuousStatsTable[[#This Row],[GroupByKey]]),(ContinuousStatsTable[GroupByKey]=ContinuousStatsTable[[#This Row],[GroupByKey]])*ContinuousStatsTable[Average]))</f>
        <v>0.99245161744166299</v>
      </c>
      <c r="U660" s="5">
        <f>IF((ContinuousStatsTable[[#This Row],[RepsRequested]]&gt;1),ContinuousStatsTable[[#This Row],[HalfWidth]],ContinuousStatsTable[[#This Row],[BatchMeansHalfWidth]])</f>
        <v>2.8912497794626357E-2</v>
      </c>
    </row>
    <row r="661" spans="1:21" x14ac:dyDescent="0.3">
      <c r="A661" t="s">
        <v>66</v>
      </c>
      <c r="B661" t="s">
        <v>68</v>
      </c>
      <c r="C661">
        <v>17</v>
      </c>
      <c r="D661" t="s">
        <v>106</v>
      </c>
      <c r="E661" t="s">
        <v>97</v>
      </c>
      <c r="F661" t="s">
        <v>95</v>
      </c>
      <c r="G661">
        <v>1</v>
      </c>
      <c r="H661">
        <v>2E+20</v>
      </c>
      <c r="I661">
        <v>1</v>
      </c>
      <c r="J661">
        <v>1</v>
      </c>
      <c r="K661">
        <v>1</v>
      </c>
      <c r="L661">
        <v>0</v>
      </c>
      <c r="M661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661" s="5" cm="1">
        <f t="array" ref="N661">MAX(IF((ProjectInfoTable[ProjectName]=ContinuousStatsTable[[#This Row],[ProjectName]]),(ProjectInfoTable[ProjectName]=ContinuousStatsTable[[#This Row],[ProjectName]])*ProjectInfoTable[NumberOfReplications]))</f>
        <v>30</v>
      </c>
      <c r="O661" s="5" cm="1">
        <f t="array" ref="O661">IFERROR(AVERAGE(IF((ContinuousStatsTable[GroupByKey]=ContinuousStatsTable[[#This Row],[GroupByKey]]),(ContinuousStatsTable[GroupByKey]=ContinuousStatsTable[[#This Row],[GroupByKey]])*ContinuousStatsTable[Average])),0)</f>
        <v>1</v>
      </c>
      <c r="P661" s="5" cm="1">
        <f t="array" ref="P661">IFERROR(_xlfn.STDEV.S(IF((ContinuousStatsTable[GroupByKey]=ContinuousStatsTable[[#This Row],[GroupByKey]]),(ContinuousStatsTable[GroupByKey]=ContinuousStatsTable[[#This Row],[GroupByKey]])*ContinuousStatsTable[Average])),0)</f>
        <v>0</v>
      </c>
      <c r="Q661" s="5" cm="1">
        <f t="array" ref="Q661">MAX(IF((ProjectInfoTable[ProjectName]=ContinuousStatsTable[[#This Row],[ProjectName]]),(ProjectInfoTable[ProjectName]=ContinuousStatsTable[[#This Row],[ProjectName]])*ProjectInfoTable[ConfidenceInterval]))</f>
        <v>0.95</v>
      </c>
      <c r="R6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1" s="5" cm="1">
        <f t="array" ref="S661">MIN(IF((ContinuousStatsTable[GroupByKey]=ContinuousStatsTable[[#This Row],[GroupByKey]]),(ContinuousStatsTable[GroupByKey]=ContinuousStatsTable[[#This Row],[GroupByKey]])*ContinuousStatsTable[Average]))</f>
        <v>1</v>
      </c>
      <c r="T661" s="5" cm="1">
        <f t="array" ref="T661">MAX(IF((ContinuousStatsTable[GroupByKey]=ContinuousStatsTable[[#This Row],[GroupByKey]]),(ContinuousStatsTable[GroupByKey]=ContinuousStatsTable[[#This Row],[GroupByKey]])*ContinuousStatsTable[Average]))</f>
        <v>1</v>
      </c>
      <c r="U661" s="5">
        <f>IF((ContinuousStatsTable[[#This Row],[RepsRequested]]&gt;1),ContinuousStatsTable[[#This Row],[HalfWidth]],ContinuousStatsTable[[#This Row],[BatchMeansHalfWidth]])</f>
        <v>0</v>
      </c>
    </row>
    <row r="662" spans="1:21" x14ac:dyDescent="0.3">
      <c r="A662" t="s">
        <v>66</v>
      </c>
      <c r="B662" t="s">
        <v>68</v>
      </c>
      <c r="C662">
        <v>17</v>
      </c>
      <c r="D662" t="s">
        <v>107</v>
      </c>
      <c r="E662" t="s">
        <v>94</v>
      </c>
      <c r="F662" t="s">
        <v>95</v>
      </c>
      <c r="G662">
        <v>0.89960924614834004</v>
      </c>
      <c r="H662">
        <v>2E+20</v>
      </c>
      <c r="I662">
        <v>0</v>
      </c>
      <c r="J662">
        <v>1</v>
      </c>
      <c r="K662">
        <v>1</v>
      </c>
      <c r="L662">
        <v>0</v>
      </c>
      <c r="M662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662" s="5" cm="1">
        <f t="array" ref="N662">MAX(IF((ProjectInfoTable[ProjectName]=ContinuousStatsTable[[#This Row],[ProjectName]]),(ProjectInfoTable[ProjectName]=ContinuousStatsTable[[#This Row],[ProjectName]])*ProjectInfoTable[NumberOfReplications]))</f>
        <v>30</v>
      </c>
      <c r="O662" s="5" cm="1">
        <f t="array" ref="O662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662" s="5" cm="1">
        <f t="array" ref="P662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662" s="5" cm="1">
        <f t="array" ref="Q662">MAX(IF((ProjectInfoTable[ProjectName]=ContinuousStatsTable[[#This Row],[ProjectName]]),(ProjectInfoTable[ProjectName]=ContinuousStatsTable[[#This Row],[ProjectName]])*ProjectInfoTable[ConfidenceInterval]))</f>
        <v>0.95</v>
      </c>
      <c r="R6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662" s="5" cm="1">
        <f t="array" ref="S662">MIN(IF((ContinuousStatsTable[GroupByKey]=ContinuousStatsTable[[#This Row],[GroupByKey]]),(ContinuousStatsTable[GroupByKey]=ContinuousStatsTable[[#This Row],[GroupByKey]])*ContinuousStatsTable[Average]))</f>
        <v>0.73843386001690303</v>
      </c>
      <c r="T662" s="5" cm="1">
        <f t="array" ref="T662">MAX(IF((ContinuousStatsTable[GroupByKey]=ContinuousStatsTable[[#This Row],[GroupByKey]]),(ContinuousStatsTable[GroupByKey]=ContinuousStatsTable[[#This Row],[GroupByKey]])*ContinuousStatsTable[Average]))</f>
        <v>0.99245161744166299</v>
      </c>
      <c r="U662" s="5">
        <f>IF((ContinuousStatsTable[[#This Row],[RepsRequested]]&gt;1),ContinuousStatsTable[[#This Row],[HalfWidth]],ContinuousStatsTable[[#This Row],[BatchMeansHalfWidth]])</f>
        <v>2.6057642646860522E-2</v>
      </c>
    </row>
    <row r="663" spans="1:21" x14ac:dyDescent="0.3">
      <c r="A663" t="s">
        <v>66</v>
      </c>
      <c r="B663" t="s">
        <v>68</v>
      </c>
      <c r="C663">
        <v>17</v>
      </c>
      <c r="D663" t="s">
        <v>107</v>
      </c>
      <c r="E663" t="s">
        <v>96</v>
      </c>
      <c r="F663" t="s">
        <v>95</v>
      </c>
      <c r="G663">
        <v>0.89960924614834004</v>
      </c>
      <c r="H663">
        <v>2E+20</v>
      </c>
      <c r="I663">
        <v>0</v>
      </c>
      <c r="J663">
        <v>1</v>
      </c>
      <c r="K663">
        <v>1</v>
      </c>
      <c r="L663">
        <v>0</v>
      </c>
      <c r="M663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663" s="5" cm="1">
        <f t="array" ref="N663">MAX(IF((ProjectInfoTable[ProjectName]=ContinuousStatsTable[[#This Row],[ProjectName]]),(ProjectInfoTable[ProjectName]=ContinuousStatsTable[[#This Row],[ProjectName]])*ProjectInfoTable[NumberOfReplications]))</f>
        <v>30</v>
      </c>
      <c r="O663" s="5" cm="1">
        <f t="array" ref="O663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663" s="5" cm="1">
        <f t="array" ref="P663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663" s="5" cm="1">
        <f t="array" ref="Q663">MAX(IF((ProjectInfoTable[ProjectName]=ContinuousStatsTable[[#This Row],[ProjectName]]),(ProjectInfoTable[ProjectName]=ContinuousStatsTable[[#This Row],[ProjectName]])*ProjectInfoTable[ConfidenceInterval]))</f>
        <v>0.95</v>
      </c>
      <c r="R6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663" s="5" cm="1">
        <f t="array" ref="S663">MIN(IF((ContinuousStatsTable[GroupByKey]=ContinuousStatsTable[[#This Row],[GroupByKey]]),(ContinuousStatsTable[GroupByKey]=ContinuousStatsTable[[#This Row],[GroupByKey]])*ContinuousStatsTable[Average]))</f>
        <v>0.73843386001690303</v>
      </c>
      <c r="T663" s="5" cm="1">
        <f t="array" ref="T663">MAX(IF((ContinuousStatsTable[GroupByKey]=ContinuousStatsTable[[#This Row],[GroupByKey]]),(ContinuousStatsTable[GroupByKey]=ContinuousStatsTable[[#This Row],[GroupByKey]])*ContinuousStatsTable[Average]))</f>
        <v>0.99245161744166299</v>
      </c>
      <c r="U663" s="5">
        <f>IF((ContinuousStatsTable[[#This Row],[RepsRequested]]&gt;1),ContinuousStatsTable[[#This Row],[HalfWidth]],ContinuousStatsTable[[#This Row],[BatchMeansHalfWidth]])</f>
        <v>2.6057642646860522E-2</v>
      </c>
    </row>
    <row r="664" spans="1:21" x14ac:dyDescent="0.3">
      <c r="A664" t="s">
        <v>66</v>
      </c>
      <c r="B664" t="s">
        <v>68</v>
      </c>
      <c r="C664">
        <v>17</v>
      </c>
      <c r="D664" t="s">
        <v>107</v>
      </c>
      <c r="E664" t="s">
        <v>97</v>
      </c>
      <c r="F664" t="s">
        <v>95</v>
      </c>
      <c r="G664">
        <v>1</v>
      </c>
      <c r="H664">
        <v>2E+20</v>
      </c>
      <c r="I664">
        <v>1</v>
      </c>
      <c r="J664">
        <v>1</v>
      </c>
      <c r="K664">
        <v>1</v>
      </c>
      <c r="L664">
        <v>0</v>
      </c>
      <c r="M664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664" s="5" cm="1">
        <f t="array" ref="N664">MAX(IF((ProjectInfoTable[ProjectName]=ContinuousStatsTable[[#This Row],[ProjectName]]),(ProjectInfoTable[ProjectName]=ContinuousStatsTable[[#This Row],[ProjectName]])*ProjectInfoTable[NumberOfReplications]))</f>
        <v>30</v>
      </c>
      <c r="O664" s="5" cm="1">
        <f t="array" ref="O664">IFERROR(AVERAGE(IF((ContinuousStatsTable[GroupByKey]=ContinuousStatsTable[[#This Row],[GroupByKey]]),(ContinuousStatsTable[GroupByKey]=ContinuousStatsTable[[#This Row],[GroupByKey]])*ContinuousStatsTable[Average])),0)</f>
        <v>1</v>
      </c>
      <c r="P664" s="5" cm="1">
        <f t="array" ref="P664">IFERROR(_xlfn.STDEV.S(IF((ContinuousStatsTable[GroupByKey]=ContinuousStatsTable[[#This Row],[GroupByKey]]),(ContinuousStatsTable[GroupByKey]=ContinuousStatsTable[[#This Row],[GroupByKey]])*ContinuousStatsTable[Average])),0)</f>
        <v>0</v>
      </c>
      <c r="Q664" s="5" cm="1">
        <f t="array" ref="Q664">MAX(IF((ProjectInfoTable[ProjectName]=ContinuousStatsTable[[#This Row],[ProjectName]]),(ProjectInfoTable[ProjectName]=ContinuousStatsTable[[#This Row],[ProjectName]])*ProjectInfoTable[ConfidenceInterval]))</f>
        <v>0.95</v>
      </c>
      <c r="R6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4" s="5" cm="1">
        <f t="array" ref="S664">MIN(IF((ContinuousStatsTable[GroupByKey]=ContinuousStatsTable[[#This Row],[GroupByKey]]),(ContinuousStatsTable[GroupByKey]=ContinuousStatsTable[[#This Row],[GroupByKey]])*ContinuousStatsTable[Average]))</f>
        <v>1</v>
      </c>
      <c r="T664" s="5" cm="1">
        <f t="array" ref="T664">MAX(IF((ContinuousStatsTable[GroupByKey]=ContinuousStatsTable[[#This Row],[GroupByKey]]),(ContinuousStatsTable[GroupByKey]=ContinuousStatsTable[[#This Row],[GroupByKey]])*ContinuousStatsTable[Average]))</f>
        <v>1</v>
      </c>
      <c r="U664" s="5">
        <f>IF((ContinuousStatsTable[[#This Row],[RepsRequested]]&gt;1),ContinuousStatsTable[[#This Row],[HalfWidth]],ContinuousStatsTable[[#This Row],[BatchMeansHalfWidth]])</f>
        <v>0</v>
      </c>
    </row>
    <row r="665" spans="1:21" x14ac:dyDescent="0.3">
      <c r="A665" t="s">
        <v>66</v>
      </c>
      <c r="B665" t="s">
        <v>68</v>
      </c>
      <c r="C665">
        <v>18</v>
      </c>
      <c r="D665" t="s">
        <v>69</v>
      </c>
      <c r="E665" t="s">
        <v>92</v>
      </c>
      <c r="F665" t="s">
        <v>71</v>
      </c>
      <c r="G665">
        <v>4.4228958782776999</v>
      </c>
      <c r="H665">
        <v>2E+20</v>
      </c>
      <c r="I665">
        <v>0</v>
      </c>
      <c r="J665">
        <v>19</v>
      </c>
      <c r="K665">
        <v>0</v>
      </c>
      <c r="L665">
        <v>0</v>
      </c>
      <c r="M665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665" s="5" cm="1">
        <f t="array" ref="N665">MAX(IF((ProjectInfoTable[ProjectName]=ContinuousStatsTable[[#This Row],[ProjectName]]),(ProjectInfoTable[ProjectName]=ContinuousStatsTable[[#This Row],[ProjectName]])*ProjectInfoTable[NumberOfReplications]))</f>
        <v>30</v>
      </c>
      <c r="O665" s="5" cm="1">
        <f t="array" ref="O665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665" s="5" cm="1">
        <f t="array" ref="P665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665" s="5" cm="1">
        <f t="array" ref="Q665">MAX(IF((ProjectInfoTable[ProjectName]=ContinuousStatsTable[[#This Row],[ProjectName]]),(ProjectInfoTable[ProjectName]=ContinuousStatsTable[[#This Row],[ProjectName]])*ProjectInfoTable[ConfidenceInterval]))</f>
        <v>0.95</v>
      </c>
      <c r="R6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665" s="5" cm="1">
        <f t="array" ref="S665">MIN(IF((ContinuousStatsTable[GroupByKey]=ContinuousStatsTable[[#This Row],[GroupByKey]]),(ContinuousStatsTable[GroupByKey]=ContinuousStatsTable[[#This Row],[GroupByKey]])*ContinuousStatsTable[Average]))</f>
        <v>2.2853775994771</v>
      </c>
      <c r="T665" s="5" cm="1">
        <f t="array" ref="T665">MAX(IF((ContinuousStatsTable[GroupByKey]=ContinuousStatsTable[[#This Row],[GroupByKey]]),(ContinuousStatsTable[GroupByKey]=ContinuousStatsTable[[#This Row],[GroupByKey]])*ContinuousStatsTable[Average]))</f>
        <v>9.3827575078214593</v>
      </c>
      <c r="U665" s="5">
        <f>IF((ContinuousStatsTable[[#This Row],[RepsRequested]]&gt;1),ContinuousStatsTable[[#This Row],[HalfWidth]],ContinuousStatsTable[[#This Row],[BatchMeansHalfWidth]])</f>
        <v>0.70373665421471332</v>
      </c>
    </row>
    <row r="666" spans="1:21" x14ac:dyDescent="0.3">
      <c r="A666" t="s">
        <v>66</v>
      </c>
      <c r="B666" t="s">
        <v>68</v>
      </c>
      <c r="C666">
        <v>18</v>
      </c>
      <c r="D666" t="s">
        <v>72</v>
      </c>
      <c r="E666" t="s">
        <v>92</v>
      </c>
      <c r="F666" t="s">
        <v>71</v>
      </c>
      <c r="G666">
        <v>3.4440524621951001</v>
      </c>
      <c r="H666">
        <v>2E+20</v>
      </c>
      <c r="I666">
        <v>0</v>
      </c>
      <c r="J666">
        <v>20</v>
      </c>
      <c r="K666">
        <v>1</v>
      </c>
      <c r="L666">
        <v>0</v>
      </c>
      <c r="M666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666" s="5" cm="1">
        <f t="array" ref="N666">MAX(IF((ProjectInfoTable[ProjectName]=ContinuousStatsTable[[#This Row],[ProjectName]]),(ProjectInfoTable[ProjectName]=ContinuousStatsTable[[#This Row],[ProjectName]])*ProjectInfoTable[NumberOfReplications]))</f>
        <v>30</v>
      </c>
      <c r="O666" s="5" cm="1">
        <f t="array" ref="O666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666" s="5" cm="1">
        <f t="array" ref="P666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666" s="5" cm="1">
        <f t="array" ref="Q666">MAX(IF((ProjectInfoTable[ProjectName]=ContinuousStatsTable[[#This Row],[ProjectName]]),(ProjectInfoTable[ProjectName]=ContinuousStatsTable[[#This Row],[ProjectName]])*ProjectInfoTable[ConfidenceInterval]))</f>
        <v>0.95</v>
      </c>
      <c r="R6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666" s="5" cm="1">
        <f t="array" ref="S666">MIN(IF((ContinuousStatsTable[GroupByKey]=ContinuousStatsTable[[#This Row],[GroupByKey]]),(ContinuousStatsTable[GroupByKey]=ContinuousStatsTable[[#This Row],[GroupByKey]])*ContinuousStatsTable[Average]))</f>
        <v>1.4754093813695901</v>
      </c>
      <c r="T666" s="5" cm="1">
        <f t="array" ref="T666">MAX(IF((ContinuousStatsTable[GroupByKey]=ContinuousStatsTable[[#This Row],[GroupByKey]]),(ContinuousStatsTable[GroupByKey]=ContinuousStatsTable[[#This Row],[GroupByKey]])*ContinuousStatsTable[Average]))</f>
        <v>8.0603747791942499</v>
      </c>
      <c r="U666" s="5">
        <f>IF((ContinuousStatsTable[[#This Row],[RepsRequested]]&gt;1),ContinuousStatsTable[[#This Row],[HalfWidth]],ContinuousStatsTable[[#This Row],[BatchMeansHalfWidth]])</f>
        <v>0.5936172943910426</v>
      </c>
    </row>
    <row r="667" spans="1:21" x14ac:dyDescent="0.3">
      <c r="A667" t="s">
        <v>66</v>
      </c>
      <c r="B667" t="s">
        <v>68</v>
      </c>
      <c r="C667">
        <v>18</v>
      </c>
      <c r="D667" t="s">
        <v>73</v>
      </c>
      <c r="E667" t="s">
        <v>92</v>
      </c>
      <c r="F667" t="s">
        <v>71</v>
      </c>
      <c r="G667">
        <v>7.33731752460446</v>
      </c>
      <c r="H667">
        <v>2E+20</v>
      </c>
      <c r="I667">
        <v>0</v>
      </c>
      <c r="J667">
        <v>20</v>
      </c>
      <c r="K667">
        <v>0</v>
      </c>
      <c r="L667">
        <v>0</v>
      </c>
      <c r="M667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667" s="5" cm="1">
        <f t="array" ref="N667">MAX(IF((ProjectInfoTable[ProjectName]=ContinuousStatsTable[[#This Row],[ProjectName]]),(ProjectInfoTable[ProjectName]=ContinuousStatsTable[[#This Row],[ProjectName]])*ProjectInfoTable[NumberOfReplications]))</f>
        <v>30</v>
      </c>
      <c r="O667" s="5" cm="1">
        <f t="array" ref="O667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667" s="5" cm="1">
        <f t="array" ref="P667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667" s="5" cm="1">
        <f t="array" ref="Q667">MAX(IF((ProjectInfoTable[ProjectName]=ContinuousStatsTable[[#This Row],[ProjectName]]),(ProjectInfoTable[ProjectName]=ContinuousStatsTable[[#This Row],[ProjectName]])*ProjectInfoTable[ConfidenceInterval]))</f>
        <v>0.95</v>
      </c>
      <c r="R6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667" s="5" cm="1">
        <f t="array" ref="S667">MIN(IF((ContinuousStatsTable[GroupByKey]=ContinuousStatsTable[[#This Row],[GroupByKey]]),(ContinuousStatsTable[GroupByKey]=ContinuousStatsTable[[#This Row],[GroupByKey]])*ContinuousStatsTable[Average]))</f>
        <v>1.3305593103954101</v>
      </c>
      <c r="T667" s="5" cm="1">
        <f t="array" ref="T667">MAX(IF((ContinuousStatsTable[GroupByKey]=ContinuousStatsTable[[#This Row],[GroupByKey]]),(ContinuousStatsTable[GroupByKey]=ContinuousStatsTable[[#This Row],[GroupByKey]])*ContinuousStatsTable[Average]))</f>
        <v>29.356614544212601</v>
      </c>
      <c r="U667" s="5">
        <f>IF((ContinuousStatsTable[[#This Row],[RepsRequested]]&gt;1),ContinuousStatsTable[[#This Row],[HalfWidth]],ContinuousStatsTable[[#This Row],[BatchMeansHalfWidth]])</f>
        <v>2.162177461749093</v>
      </c>
    </row>
    <row r="668" spans="1:21" x14ac:dyDescent="0.3">
      <c r="A668" t="s">
        <v>66</v>
      </c>
      <c r="B668" t="s">
        <v>68</v>
      </c>
      <c r="C668">
        <v>18</v>
      </c>
      <c r="D668" t="s">
        <v>74</v>
      </c>
      <c r="E668" t="s">
        <v>92</v>
      </c>
      <c r="F668" t="s">
        <v>71</v>
      </c>
      <c r="G668">
        <v>0</v>
      </c>
      <c r="H668">
        <v>2E+20</v>
      </c>
      <c r="I668">
        <v>0</v>
      </c>
      <c r="J668">
        <v>0</v>
      </c>
      <c r="K668">
        <v>0</v>
      </c>
      <c r="L668">
        <v>0</v>
      </c>
      <c r="M668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668" s="5" cm="1">
        <f t="array" ref="N668">MAX(IF((ProjectInfoTable[ProjectName]=ContinuousStatsTable[[#This Row],[ProjectName]]),(ProjectInfoTable[ProjectName]=ContinuousStatsTable[[#This Row],[ProjectName]])*ProjectInfoTable[NumberOfReplications]))</f>
        <v>30</v>
      </c>
      <c r="O668" s="5" cm="1">
        <f t="array" ref="O668">IFERROR(AVERAGE(IF((ContinuousStatsTable[GroupByKey]=ContinuousStatsTable[[#This Row],[GroupByKey]]),(ContinuousStatsTable[GroupByKey]=ContinuousStatsTable[[#This Row],[GroupByKey]])*ContinuousStatsTable[Average])),0)</f>
        <v>0</v>
      </c>
      <c r="P668" s="5" cm="1">
        <f t="array" ref="P668">IFERROR(_xlfn.STDEV.S(IF((ContinuousStatsTable[GroupByKey]=ContinuousStatsTable[[#This Row],[GroupByKey]]),(ContinuousStatsTable[GroupByKey]=ContinuousStatsTable[[#This Row],[GroupByKey]])*ContinuousStatsTable[Average])),0)</f>
        <v>0</v>
      </c>
      <c r="Q668" s="5" cm="1">
        <f t="array" ref="Q668">MAX(IF((ProjectInfoTable[ProjectName]=ContinuousStatsTable[[#This Row],[ProjectName]]),(ProjectInfoTable[ProjectName]=ContinuousStatsTable[[#This Row],[ProjectName]])*ProjectInfoTable[ConfidenceInterval]))</f>
        <v>0.95</v>
      </c>
      <c r="R6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8" s="5" cm="1">
        <f t="array" ref="S668">MIN(IF((ContinuousStatsTable[GroupByKey]=ContinuousStatsTable[[#This Row],[GroupByKey]]),(ContinuousStatsTable[GroupByKey]=ContinuousStatsTable[[#This Row],[GroupByKey]])*ContinuousStatsTable[Average]))</f>
        <v>0</v>
      </c>
      <c r="T668" s="5" cm="1">
        <f t="array" ref="T668">MAX(IF((ContinuousStatsTable[GroupByKey]=ContinuousStatsTable[[#This Row],[GroupByKey]]),(ContinuousStatsTable[GroupByKey]=ContinuousStatsTable[[#This Row],[GroupByKey]])*ContinuousStatsTable[Average]))</f>
        <v>0</v>
      </c>
      <c r="U668" s="5">
        <f>IF((ContinuousStatsTable[[#This Row],[RepsRequested]]&gt;1),ContinuousStatsTable[[#This Row],[HalfWidth]],ContinuousStatsTable[[#This Row],[BatchMeansHalfWidth]])</f>
        <v>0</v>
      </c>
    </row>
    <row r="669" spans="1:21" x14ac:dyDescent="0.3">
      <c r="A669" t="s">
        <v>66</v>
      </c>
      <c r="B669" t="s">
        <v>68</v>
      </c>
      <c r="C669">
        <v>18</v>
      </c>
      <c r="D669" t="s">
        <v>75</v>
      </c>
      <c r="E669" t="s">
        <v>92</v>
      </c>
      <c r="F669" t="s">
        <v>71</v>
      </c>
      <c r="G669">
        <v>0</v>
      </c>
      <c r="H669">
        <v>2E+20</v>
      </c>
      <c r="I669">
        <v>0</v>
      </c>
      <c r="J669">
        <v>0</v>
      </c>
      <c r="K669">
        <v>0</v>
      </c>
      <c r="L669">
        <v>0</v>
      </c>
      <c r="M669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669" s="5" cm="1">
        <f t="array" ref="N669">MAX(IF((ProjectInfoTable[ProjectName]=ContinuousStatsTable[[#This Row],[ProjectName]]),(ProjectInfoTable[ProjectName]=ContinuousStatsTable[[#This Row],[ProjectName]])*ProjectInfoTable[NumberOfReplications]))</f>
        <v>30</v>
      </c>
      <c r="O669" s="5" cm="1">
        <f t="array" ref="O669">IFERROR(AVERAGE(IF((ContinuousStatsTable[GroupByKey]=ContinuousStatsTable[[#This Row],[GroupByKey]]),(ContinuousStatsTable[GroupByKey]=ContinuousStatsTable[[#This Row],[GroupByKey]])*ContinuousStatsTable[Average])),0)</f>
        <v>0</v>
      </c>
      <c r="P669" s="5" cm="1">
        <f t="array" ref="P669">IFERROR(_xlfn.STDEV.S(IF((ContinuousStatsTable[GroupByKey]=ContinuousStatsTable[[#This Row],[GroupByKey]]),(ContinuousStatsTable[GroupByKey]=ContinuousStatsTable[[#This Row],[GroupByKey]])*ContinuousStatsTable[Average])),0)</f>
        <v>0</v>
      </c>
      <c r="Q669" s="5" cm="1">
        <f t="array" ref="Q669">MAX(IF((ProjectInfoTable[ProjectName]=ContinuousStatsTable[[#This Row],[ProjectName]]),(ProjectInfoTable[ProjectName]=ContinuousStatsTable[[#This Row],[ProjectName]])*ProjectInfoTable[ConfidenceInterval]))</f>
        <v>0.95</v>
      </c>
      <c r="R6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9" s="5" cm="1">
        <f t="array" ref="S669">MIN(IF((ContinuousStatsTable[GroupByKey]=ContinuousStatsTable[[#This Row],[GroupByKey]]),(ContinuousStatsTable[GroupByKey]=ContinuousStatsTable[[#This Row],[GroupByKey]])*ContinuousStatsTable[Average]))</f>
        <v>0</v>
      </c>
      <c r="T669" s="5" cm="1">
        <f t="array" ref="T669">MAX(IF((ContinuousStatsTable[GroupByKey]=ContinuousStatsTable[[#This Row],[GroupByKey]]),(ContinuousStatsTable[GroupByKey]=ContinuousStatsTable[[#This Row],[GroupByKey]])*ContinuousStatsTable[Average]))</f>
        <v>0</v>
      </c>
      <c r="U669" s="5">
        <f>IF((ContinuousStatsTable[[#This Row],[RepsRequested]]&gt;1),ContinuousStatsTable[[#This Row],[HalfWidth]],ContinuousStatsTable[[#This Row],[BatchMeansHalfWidth]])</f>
        <v>0</v>
      </c>
    </row>
    <row r="670" spans="1:21" x14ac:dyDescent="0.3">
      <c r="A670" t="s">
        <v>66</v>
      </c>
      <c r="B670" t="s">
        <v>68</v>
      </c>
      <c r="C670">
        <v>18</v>
      </c>
      <c r="D670" t="s">
        <v>76</v>
      </c>
      <c r="E670" t="s">
        <v>92</v>
      </c>
      <c r="F670" t="s">
        <v>71</v>
      </c>
      <c r="G670">
        <v>2.4906298676745799</v>
      </c>
      <c r="H670">
        <v>2E+20</v>
      </c>
      <c r="I670">
        <v>0</v>
      </c>
      <c r="J670">
        <v>17</v>
      </c>
      <c r="K670">
        <v>0</v>
      </c>
      <c r="L670">
        <v>0</v>
      </c>
      <c r="M670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670" s="5" cm="1">
        <f t="array" ref="N670">MAX(IF((ProjectInfoTable[ProjectName]=ContinuousStatsTable[[#This Row],[ProjectName]]),(ProjectInfoTable[ProjectName]=ContinuousStatsTable[[#This Row],[ProjectName]])*ProjectInfoTable[NumberOfReplications]))</f>
        <v>30</v>
      </c>
      <c r="O670" s="5" cm="1">
        <f t="array" ref="O670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670" s="5" cm="1">
        <f t="array" ref="P670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670" s="5" cm="1">
        <f t="array" ref="Q670">MAX(IF((ProjectInfoTable[ProjectName]=ContinuousStatsTable[[#This Row],[ProjectName]]),(ProjectInfoTable[ProjectName]=ContinuousStatsTable[[#This Row],[ProjectName]])*ProjectInfoTable[ConfidenceInterval]))</f>
        <v>0.95</v>
      </c>
      <c r="R6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670" s="5" cm="1">
        <f t="array" ref="S670">MIN(IF((ContinuousStatsTable[GroupByKey]=ContinuousStatsTable[[#This Row],[GroupByKey]]),(ContinuousStatsTable[GroupByKey]=ContinuousStatsTable[[#This Row],[GroupByKey]])*ContinuousStatsTable[Average]))</f>
        <v>4.5869485136026601E-2</v>
      </c>
      <c r="T670" s="5" cm="1">
        <f t="array" ref="T670">MAX(IF((ContinuousStatsTable[GroupByKey]=ContinuousStatsTable[[#This Row],[GroupByKey]]),(ContinuousStatsTable[GroupByKey]=ContinuousStatsTable[[#This Row],[GroupByKey]])*ContinuousStatsTable[Average]))</f>
        <v>4.1119263103435699</v>
      </c>
      <c r="U670" s="5">
        <f>IF((ContinuousStatsTable[[#This Row],[RepsRequested]]&gt;1),ContinuousStatsTable[[#This Row],[HalfWidth]],ContinuousStatsTable[[#This Row],[BatchMeansHalfWidth]])</f>
        <v>0.43252967563899991</v>
      </c>
    </row>
    <row r="671" spans="1:21" x14ac:dyDescent="0.3">
      <c r="A671" t="s">
        <v>66</v>
      </c>
      <c r="B671" t="s">
        <v>68</v>
      </c>
      <c r="C671">
        <v>18</v>
      </c>
      <c r="D671" t="s">
        <v>77</v>
      </c>
      <c r="E671" t="s">
        <v>92</v>
      </c>
      <c r="F671" t="s">
        <v>71</v>
      </c>
      <c r="G671">
        <v>0</v>
      </c>
      <c r="H671">
        <v>2E+20</v>
      </c>
      <c r="I671">
        <v>0</v>
      </c>
      <c r="J671">
        <v>0</v>
      </c>
      <c r="K671">
        <v>0</v>
      </c>
      <c r="L671">
        <v>0</v>
      </c>
      <c r="M671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671" s="5" cm="1">
        <f t="array" ref="N671">MAX(IF((ProjectInfoTable[ProjectName]=ContinuousStatsTable[[#This Row],[ProjectName]]),(ProjectInfoTable[ProjectName]=ContinuousStatsTable[[#This Row],[ProjectName]])*ProjectInfoTable[NumberOfReplications]))</f>
        <v>30</v>
      </c>
      <c r="O671" s="5" cm="1">
        <f t="array" ref="O671">IFERROR(AVERAGE(IF((ContinuousStatsTable[GroupByKey]=ContinuousStatsTable[[#This Row],[GroupByKey]]),(ContinuousStatsTable[GroupByKey]=ContinuousStatsTable[[#This Row],[GroupByKey]])*ContinuousStatsTable[Average])),0)</f>
        <v>0</v>
      </c>
      <c r="P671" s="5" cm="1">
        <f t="array" ref="P671">IFERROR(_xlfn.STDEV.S(IF((ContinuousStatsTable[GroupByKey]=ContinuousStatsTable[[#This Row],[GroupByKey]]),(ContinuousStatsTable[GroupByKey]=ContinuousStatsTable[[#This Row],[GroupByKey]])*ContinuousStatsTable[Average])),0)</f>
        <v>0</v>
      </c>
      <c r="Q671" s="5" cm="1">
        <f t="array" ref="Q671">MAX(IF((ProjectInfoTable[ProjectName]=ContinuousStatsTable[[#This Row],[ProjectName]]),(ProjectInfoTable[ProjectName]=ContinuousStatsTable[[#This Row],[ProjectName]])*ProjectInfoTable[ConfidenceInterval]))</f>
        <v>0.95</v>
      </c>
      <c r="R6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1" s="5" cm="1">
        <f t="array" ref="S671">MIN(IF((ContinuousStatsTable[GroupByKey]=ContinuousStatsTable[[#This Row],[GroupByKey]]),(ContinuousStatsTable[GroupByKey]=ContinuousStatsTable[[#This Row],[GroupByKey]])*ContinuousStatsTable[Average]))</f>
        <v>0</v>
      </c>
      <c r="T671" s="5" cm="1">
        <f t="array" ref="T671">MAX(IF((ContinuousStatsTable[GroupByKey]=ContinuousStatsTable[[#This Row],[GroupByKey]]),(ContinuousStatsTable[GroupByKey]=ContinuousStatsTable[[#This Row],[GroupByKey]])*ContinuousStatsTable[Average]))</f>
        <v>0</v>
      </c>
      <c r="U671" s="5">
        <f>IF((ContinuousStatsTable[[#This Row],[RepsRequested]]&gt;1),ContinuousStatsTable[[#This Row],[HalfWidth]],ContinuousStatsTable[[#This Row],[BatchMeansHalfWidth]])</f>
        <v>0</v>
      </c>
    </row>
    <row r="672" spans="1:21" x14ac:dyDescent="0.3">
      <c r="A672" t="s">
        <v>66</v>
      </c>
      <c r="B672" t="s">
        <v>68</v>
      </c>
      <c r="C672">
        <v>18</v>
      </c>
      <c r="D672" t="s">
        <v>78</v>
      </c>
      <c r="E672" t="s">
        <v>92</v>
      </c>
      <c r="F672" t="s">
        <v>71</v>
      </c>
      <c r="G672">
        <v>0</v>
      </c>
      <c r="H672">
        <v>2E+20</v>
      </c>
      <c r="I672">
        <v>0</v>
      </c>
      <c r="J672">
        <v>0</v>
      </c>
      <c r="K672">
        <v>0</v>
      </c>
      <c r="L672">
        <v>0</v>
      </c>
      <c r="M672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672" s="5" cm="1">
        <f t="array" ref="N672">MAX(IF((ProjectInfoTable[ProjectName]=ContinuousStatsTable[[#This Row],[ProjectName]]),(ProjectInfoTable[ProjectName]=ContinuousStatsTable[[#This Row],[ProjectName]])*ProjectInfoTable[NumberOfReplications]))</f>
        <v>30</v>
      </c>
      <c r="O672" s="5" cm="1">
        <f t="array" ref="O672">IFERROR(AVERAGE(IF((ContinuousStatsTable[GroupByKey]=ContinuousStatsTable[[#This Row],[GroupByKey]]),(ContinuousStatsTable[GroupByKey]=ContinuousStatsTable[[#This Row],[GroupByKey]])*ContinuousStatsTable[Average])),0)</f>
        <v>0</v>
      </c>
      <c r="P672" s="5" cm="1">
        <f t="array" ref="P672">IFERROR(_xlfn.STDEV.S(IF((ContinuousStatsTable[GroupByKey]=ContinuousStatsTable[[#This Row],[GroupByKey]]),(ContinuousStatsTable[GroupByKey]=ContinuousStatsTable[[#This Row],[GroupByKey]])*ContinuousStatsTable[Average])),0)</f>
        <v>0</v>
      </c>
      <c r="Q672" s="5" cm="1">
        <f t="array" ref="Q672">MAX(IF((ProjectInfoTable[ProjectName]=ContinuousStatsTable[[#This Row],[ProjectName]]),(ProjectInfoTable[ProjectName]=ContinuousStatsTable[[#This Row],[ProjectName]])*ProjectInfoTable[ConfidenceInterval]))</f>
        <v>0.95</v>
      </c>
      <c r="R6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2" s="5" cm="1">
        <f t="array" ref="S672">MIN(IF((ContinuousStatsTable[GroupByKey]=ContinuousStatsTable[[#This Row],[GroupByKey]]),(ContinuousStatsTable[GroupByKey]=ContinuousStatsTable[[#This Row],[GroupByKey]])*ContinuousStatsTable[Average]))</f>
        <v>0</v>
      </c>
      <c r="T672" s="5" cm="1">
        <f t="array" ref="T672">MAX(IF((ContinuousStatsTable[GroupByKey]=ContinuousStatsTable[[#This Row],[GroupByKey]]),(ContinuousStatsTable[GroupByKey]=ContinuousStatsTable[[#This Row],[GroupByKey]])*ContinuousStatsTable[Average]))</f>
        <v>0</v>
      </c>
      <c r="U672" s="5">
        <f>IF((ContinuousStatsTable[[#This Row],[RepsRequested]]&gt;1),ContinuousStatsTable[[#This Row],[HalfWidth]],ContinuousStatsTable[[#This Row],[BatchMeansHalfWidth]])</f>
        <v>0</v>
      </c>
    </row>
    <row r="673" spans="1:21" x14ac:dyDescent="0.3">
      <c r="A673" t="s">
        <v>66</v>
      </c>
      <c r="B673" t="s">
        <v>68</v>
      </c>
      <c r="C673">
        <v>18</v>
      </c>
      <c r="D673" t="s">
        <v>93</v>
      </c>
      <c r="E673" t="s">
        <v>94</v>
      </c>
      <c r="F673" t="s">
        <v>95</v>
      </c>
      <c r="G673">
        <v>3.9472888791699398E-2</v>
      </c>
      <c r="H673">
        <v>2E+20</v>
      </c>
      <c r="I673">
        <v>0</v>
      </c>
      <c r="J673">
        <v>0.25</v>
      </c>
      <c r="K673">
        <v>0</v>
      </c>
      <c r="L673">
        <v>0</v>
      </c>
      <c r="M673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673" s="5" cm="1">
        <f t="array" ref="N673">MAX(IF((ProjectInfoTable[ProjectName]=ContinuousStatsTable[[#This Row],[ProjectName]]),(ProjectInfoTable[ProjectName]=ContinuousStatsTable[[#This Row],[ProjectName]])*ProjectInfoTable[NumberOfReplications]))</f>
        <v>30</v>
      </c>
      <c r="O673" s="5" cm="1">
        <f t="array" ref="O673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673" s="5" cm="1">
        <f t="array" ref="P673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673" s="5" cm="1">
        <f t="array" ref="Q673">MAX(IF((ProjectInfoTable[ProjectName]=ContinuousStatsTable[[#This Row],[ProjectName]]),(ProjectInfoTable[ProjectName]=ContinuousStatsTable[[#This Row],[ProjectName]])*ProjectInfoTable[ConfidenceInterval]))</f>
        <v>0.95</v>
      </c>
      <c r="R6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673" s="5" cm="1">
        <f t="array" ref="S673">MIN(IF((ContinuousStatsTable[GroupByKey]=ContinuousStatsTable[[#This Row],[GroupByKey]]),(ContinuousStatsTable[GroupByKey]=ContinuousStatsTable[[#This Row],[GroupByKey]])*ContinuousStatsTable[Average]))</f>
        <v>2.3718114155243601E-2</v>
      </c>
      <c r="T673" s="5" cm="1">
        <f t="array" ref="T673">MAX(IF((ContinuousStatsTable[GroupByKey]=ContinuousStatsTable[[#This Row],[GroupByKey]]),(ContinuousStatsTable[GroupByKey]=ContinuousStatsTable[[#This Row],[GroupByKey]])*ContinuousStatsTable[Average]))</f>
        <v>4.8583931724403701E-2</v>
      </c>
      <c r="U673" s="5">
        <f>IF((ContinuousStatsTable[[#This Row],[RepsRequested]]&gt;1),ContinuousStatsTable[[#This Row],[HalfWidth]],ContinuousStatsTable[[#This Row],[BatchMeansHalfWidth]])</f>
        <v>2.4839579632442289E-3</v>
      </c>
    </row>
    <row r="674" spans="1:21" x14ac:dyDescent="0.3">
      <c r="A674" t="s">
        <v>66</v>
      </c>
      <c r="B674" t="s">
        <v>68</v>
      </c>
      <c r="C674">
        <v>18</v>
      </c>
      <c r="D674" t="s">
        <v>93</v>
      </c>
      <c r="E674" t="s">
        <v>96</v>
      </c>
      <c r="F674" t="s">
        <v>95</v>
      </c>
      <c r="G674">
        <v>0.78945777583398802</v>
      </c>
      <c r="H674">
        <v>2E+20</v>
      </c>
      <c r="I674">
        <v>0</v>
      </c>
      <c r="J674">
        <v>5</v>
      </c>
      <c r="K674">
        <v>0</v>
      </c>
      <c r="L674">
        <v>0</v>
      </c>
      <c r="M674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674" s="5" cm="1">
        <f t="array" ref="N674">MAX(IF((ProjectInfoTable[ProjectName]=ContinuousStatsTable[[#This Row],[ProjectName]]),(ProjectInfoTable[ProjectName]=ContinuousStatsTable[[#This Row],[ProjectName]])*ProjectInfoTable[NumberOfReplications]))</f>
        <v>30</v>
      </c>
      <c r="O674" s="5" cm="1">
        <f t="array" ref="O674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674" s="5" cm="1">
        <f t="array" ref="P674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674" s="5" cm="1">
        <f t="array" ref="Q674">MAX(IF((ProjectInfoTable[ProjectName]=ContinuousStatsTable[[#This Row],[ProjectName]]),(ProjectInfoTable[ProjectName]=ContinuousStatsTable[[#This Row],[ProjectName]])*ProjectInfoTable[ConfidenceInterval]))</f>
        <v>0.95</v>
      </c>
      <c r="R6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674" s="5" cm="1">
        <f t="array" ref="S674">MIN(IF((ContinuousStatsTable[GroupByKey]=ContinuousStatsTable[[#This Row],[GroupByKey]]),(ContinuousStatsTable[GroupByKey]=ContinuousStatsTable[[#This Row],[GroupByKey]])*ContinuousStatsTable[Average]))</f>
        <v>0.47436228310487299</v>
      </c>
      <c r="T674" s="5" cm="1">
        <f t="array" ref="T674">MAX(IF((ContinuousStatsTable[GroupByKey]=ContinuousStatsTable[[#This Row],[GroupByKey]]),(ContinuousStatsTable[GroupByKey]=ContinuousStatsTable[[#This Row],[GroupByKey]])*ContinuousStatsTable[Average]))</f>
        <v>0.97167863448807401</v>
      </c>
      <c r="U674" s="5">
        <f>IF((ContinuousStatsTable[[#This Row],[RepsRequested]]&gt;1),ContinuousStatsTable[[#This Row],[HalfWidth]],ContinuousStatsTable[[#This Row],[BatchMeansHalfWidth]])</f>
        <v>4.9679159264885281E-2</v>
      </c>
    </row>
    <row r="675" spans="1:21" x14ac:dyDescent="0.3">
      <c r="A675" t="s">
        <v>66</v>
      </c>
      <c r="B675" t="s">
        <v>68</v>
      </c>
      <c r="C675">
        <v>18</v>
      </c>
      <c r="D675" t="s">
        <v>93</v>
      </c>
      <c r="E675" t="s">
        <v>97</v>
      </c>
      <c r="F675" t="s">
        <v>95</v>
      </c>
      <c r="G675">
        <v>20</v>
      </c>
      <c r="H675">
        <v>2E+20</v>
      </c>
      <c r="I675">
        <v>20</v>
      </c>
      <c r="J675">
        <v>20</v>
      </c>
      <c r="K675">
        <v>20</v>
      </c>
      <c r="L675">
        <v>0</v>
      </c>
      <c r="M675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675" s="5" cm="1">
        <f t="array" ref="N675">MAX(IF((ProjectInfoTable[ProjectName]=ContinuousStatsTable[[#This Row],[ProjectName]]),(ProjectInfoTable[ProjectName]=ContinuousStatsTable[[#This Row],[ProjectName]])*ProjectInfoTable[NumberOfReplications]))</f>
        <v>30</v>
      </c>
      <c r="O675" s="5" cm="1">
        <f t="array" ref="O675">IFERROR(AVERAGE(IF((ContinuousStatsTable[GroupByKey]=ContinuousStatsTable[[#This Row],[GroupByKey]]),(ContinuousStatsTable[GroupByKey]=ContinuousStatsTable[[#This Row],[GroupByKey]])*ContinuousStatsTable[Average])),0)</f>
        <v>20</v>
      </c>
      <c r="P675" s="5" cm="1">
        <f t="array" ref="P675">IFERROR(_xlfn.STDEV.S(IF((ContinuousStatsTable[GroupByKey]=ContinuousStatsTable[[#This Row],[GroupByKey]]),(ContinuousStatsTable[GroupByKey]=ContinuousStatsTable[[#This Row],[GroupByKey]])*ContinuousStatsTable[Average])),0)</f>
        <v>0</v>
      </c>
      <c r="Q675" s="5" cm="1">
        <f t="array" ref="Q675">MAX(IF((ProjectInfoTable[ProjectName]=ContinuousStatsTable[[#This Row],[ProjectName]]),(ProjectInfoTable[ProjectName]=ContinuousStatsTable[[#This Row],[ProjectName]])*ProjectInfoTable[ConfidenceInterval]))</f>
        <v>0.95</v>
      </c>
      <c r="R6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5" s="5" cm="1">
        <f t="array" ref="S675">MIN(IF((ContinuousStatsTable[GroupByKey]=ContinuousStatsTable[[#This Row],[GroupByKey]]),(ContinuousStatsTable[GroupByKey]=ContinuousStatsTable[[#This Row],[GroupByKey]])*ContinuousStatsTable[Average]))</f>
        <v>20</v>
      </c>
      <c r="T675" s="5" cm="1">
        <f t="array" ref="T675">MAX(IF((ContinuousStatsTable[GroupByKey]=ContinuousStatsTable[[#This Row],[GroupByKey]]),(ContinuousStatsTable[GroupByKey]=ContinuousStatsTable[[#This Row],[GroupByKey]])*ContinuousStatsTable[Average]))</f>
        <v>20</v>
      </c>
      <c r="U675" s="5">
        <f>IF((ContinuousStatsTable[[#This Row],[RepsRequested]]&gt;1),ContinuousStatsTable[[#This Row],[HalfWidth]],ContinuousStatsTable[[#This Row],[BatchMeansHalfWidth]])</f>
        <v>0</v>
      </c>
    </row>
    <row r="676" spans="1:21" x14ac:dyDescent="0.3">
      <c r="A676" t="s">
        <v>66</v>
      </c>
      <c r="B676" t="s">
        <v>68</v>
      </c>
      <c r="C676">
        <v>18</v>
      </c>
      <c r="D676" t="s">
        <v>98</v>
      </c>
      <c r="E676" t="s">
        <v>94</v>
      </c>
      <c r="F676" t="s">
        <v>95</v>
      </c>
      <c r="G676">
        <v>0.26676102918900901</v>
      </c>
      <c r="H676">
        <v>2E+20</v>
      </c>
      <c r="I676">
        <v>0</v>
      </c>
      <c r="J676">
        <v>0.85</v>
      </c>
      <c r="K676">
        <v>0.8</v>
      </c>
      <c r="L676">
        <v>0</v>
      </c>
      <c r="M676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676" s="5" cm="1">
        <f t="array" ref="N676">MAX(IF((ProjectInfoTable[ProjectName]=ContinuousStatsTable[[#This Row],[ProjectName]]),(ProjectInfoTable[ProjectName]=ContinuousStatsTable[[#This Row],[ProjectName]])*ProjectInfoTable[NumberOfReplications]))</f>
        <v>30</v>
      </c>
      <c r="O676" s="5" cm="1">
        <f t="array" ref="O676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676" s="5" cm="1">
        <f t="array" ref="P676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676" s="5" cm="1">
        <f t="array" ref="Q676">MAX(IF((ProjectInfoTable[ProjectName]=ContinuousStatsTable[[#This Row],[ProjectName]]),(ProjectInfoTable[ProjectName]=ContinuousStatsTable[[#This Row],[ProjectName]])*ProjectInfoTable[ConfidenceInterval]))</f>
        <v>0.95</v>
      </c>
      <c r="R6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676" s="5" cm="1">
        <f t="array" ref="S676">MIN(IF((ContinuousStatsTable[GroupByKey]=ContinuousStatsTable[[#This Row],[GroupByKey]]),(ContinuousStatsTable[GroupByKey]=ContinuousStatsTable[[#This Row],[GroupByKey]])*ContinuousStatsTable[Average]))</f>
        <v>0.20767736113278101</v>
      </c>
      <c r="T676" s="5" cm="1">
        <f t="array" ref="T676">MAX(IF((ContinuousStatsTable[GroupByKey]=ContinuousStatsTable[[#This Row],[GroupByKey]]),(ContinuousStatsTable[GroupByKey]=ContinuousStatsTable[[#This Row],[GroupByKey]])*ContinuousStatsTable[Average]))</f>
        <v>0.28501162927715501</v>
      </c>
      <c r="U676" s="5">
        <f>IF((ContinuousStatsTable[[#This Row],[RepsRequested]]&gt;1),ContinuousStatsTable[[#This Row],[HalfWidth]],ContinuousStatsTable[[#This Row],[BatchMeansHalfWidth]])</f>
        <v>8.7273384073404715E-3</v>
      </c>
    </row>
    <row r="677" spans="1:21" x14ac:dyDescent="0.3">
      <c r="A677" t="s">
        <v>66</v>
      </c>
      <c r="B677" t="s">
        <v>68</v>
      </c>
      <c r="C677">
        <v>18</v>
      </c>
      <c r="D677" t="s">
        <v>98</v>
      </c>
      <c r="E677" t="s">
        <v>96</v>
      </c>
      <c r="F677" t="s">
        <v>95</v>
      </c>
      <c r="G677">
        <v>5.33522058378019</v>
      </c>
      <c r="H677">
        <v>2E+20</v>
      </c>
      <c r="I677">
        <v>0</v>
      </c>
      <c r="J677">
        <v>17</v>
      </c>
      <c r="K677">
        <v>16</v>
      </c>
      <c r="L677">
        <v>0</v>
      </c>
      <c r="M677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677" s="5" cm="1">
        <f t="array" ref="N677">MAX(IF((ProjectInfoTable[ProjectName]=ContinuousStatsTable[[#This Row],[ProjectName]]),(ProjectInfoTable[ProjectName]=ContinuousStatsTable[[#This Row],[ProjectName]])*ProjectInfoTable[NumberOfReplications]))</f>
        <v>30</v>
      </c>
      <c r="O677" s="5" cm="1">
        <f t="array" ref="O677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677" s="5" cm="1">
        <f t="array" ref="P677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677" s="5" cm="1">
        <f t="array" ref="Q677">MAX(IF((ProjectInfoTable[ProjectName]=ContinuousStatsTable[[#This Row],[ProjectName]]),(ProjectInfoTable[ProjectName]=ContinuousStatsTable[[#This Row],[ProjectName]])*ProjectInfoTable[ConfidenceInterval]))</f>
        <v>0.95</v>
      </c>
      <c r="R6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677" s="5" cm="1">
        <f t="array" ref="S677">MIN(IF((ContinuousStatsTable[GroupByKey]=ContinuousStatsTable[[#This Row],[GroupByKey]]),(ContinuousStatsTable[GroupByKey]=ContinuousStatsTable[[#This Row],[GroupByKey]])*ContinuousStatsTable[Average]))</f>
        <v>4.15354722265561</v>
      </c>
      <c r="T677" s="5" cm="1">
        <f t="array" ref="T677">MAX(IF((ContinuousStatsTable[GroupByKey]=ContinuousStatsTable[[#This Row],[GroupByKey]]),(ContinuousStatsTable[GroupByKey]=ContinuousStatsTable[[#This Row],[GroupByKey]])*ContinuousStatsTable[Average]))</f>
        <v>5.7002325855431097</v>
      </c>
      <c r="U677" s="5">
        <f>IF((ContinuousStatsTable[[#This Row],[RepsRequested]]&gt;1),ContinuousStatsTable[[#This Row],[HalfWidth]],ContinuousStatsTable[[#This Row],[BatchMeansHalfWidth]])</f>
        <v>0.17454676814681078</v>
      </c>
    </row>
    <row r="678" spans="1:21" x14ac:dyDescent="0.3">
      <c r="A678" t="s">
        <v>66</v>
      </c>
      <c r="B678" t="s">
        <v>68</v>
      </c>
      <c r="C678">
        <v>18</v>
      </c>
      <c r="D678" t="s">
        <v>98</v>
      </c>
      <c r="E678" t="s">
        <v>97</v>
      </c>
      <c r="F678" t="s">
        <v>95</v>
      </c>
      <c r="G678">
        <v>20</v>
      </c>
      <c r="H678">
        <v>2E+20</v>
      </c>
      <c r="I678">
        <v>20</v>
      </c>
      <c r="J678">
        <v>20</v>
      </c>
      <c r="K678">
        <v>20</v>
      </c>
      <c r="L678">
        <v>0</v>
      </c>
      <c r="M678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678" s="5" cm="1">
        <f t="array" ref="N678">MAX(IF((ProjectInfoTable[ProjectName]=ContinuousStatsTable[[#This Row],[ProjectName]]),(ProjectInfoTable[ProjectName]=ContinuousStatsTable[[#This Row],[ProjectName]])*ProjectInfoTable[NumberOfReplications]))</f>
        <v>30</v>
      </c>
      <c r="O678" s="5" cm="1">
        <f t="array" ref="O678">IFERROR(AVERAGE(IF((ContinuousStatsTable[GroupByKey]=ContinuousStatsTable[[#This Row],[GroupByKey]]),(ContinuousStatsTable[GroupByKey]=ContinuousStatsTable[[#This Row],[GroupByKey]])*ContinuousStatsTable[Average])),0)</f>
        <v>20</v>
      </c>
      <c r="P678" s="5" cm="1">
        <f t="array" ref="P678">IFERROR(_xlfn.STDEV.S(IF((ContinuousStatsTable[GroupByKey]=ContinuousStatsTable[[#This Row],[GroupByKey]]),(ContinuousStatsTable[GroupByKey]=ContinuousStatsTable[[#This Row],[GroupByKey]])*ContinuousStatsTable[Average])),0)</f>
        <v>0</v>
      </c>
      <c r="Q678" s="5" cm="1">
        <f t="array" ref="Q678">MAX(IF((ProjectInfoTable[ProjectName]=ContinuousStatsTable[[#This Row],[ProjectName]]),(ProjectInfoTable[ProjectName]=ContinuousStatsTable[[#This Row],[ProjectName]])*ProjectInfoTable[ConfidenceInterval]))</f>
        <v>0.95</v>
      </c>
      <c r="R6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8" s="5" cm="1">
        <f t="array" ref="S678">MIN(IF((ContinuousStatsTable[GroupByKey]=ContinuousStatsTable[[#This Row],[GroupByKey]]),(ContinuousStatsTable[GroupByKey]=ContinuousStatsTable[[#This Row],[GroupByKey]])*ContinuousStatsTable[Average]))</f>
        <v>20</v>
      </c>
      <c r="T678" s="5" cm="1">
        <f t="array" ref="T678">MAX(IF((ContinuousStatsTable[GroupByKey]=ContinuousStatsTable[[#This Row],[GroupByKey]]),(ContinuousStatsTable[GroupByKey]=ContinuousStatsTable[[#This Row],[GroupByKey]])*ContinuousStatsTable[Average]))</f>
        <v>20</v>
      </c>
      <c r="U678" s="5">
        <f>IF((ContinuousStatsTable[[#This Row],[RepsRequested]]&gt;1),ContinuousStatsTable[[#This Row],[HalfWidth]],ContinuousStatsTable[[#This Row],[BatchMeansHalfWidth]])</f>
        <v>0</v>
      </c>
    </row>
    <row r="679" spans="1:21" x14ac:dyDescent="0.3">
      <c r="A679" t="s">
        <v>66</v>
      </c>
      <c r="B679" t="s">
        <v>68</v>
      </c>
      <c r="C679">
        <v>18</v>
      </c>
      <c r="D679" t="s">
        <v>99</v>
      </c>
      <c r="E679" t="s">
        <v>94</v>
      </c>
      <c r="F679" t="s">
        <v>95</v>
      </c>
      <c r="G679">
        <v>0.589626278609925</v>
      </c>
      <c r="H679">
        <v>2E+20</v>
      </c>
      <c r="I679">
        <v>0</v>
      </c>
      <c r="J679">
        <v>1</v>
      </c>
      <c r="K679">
        <v>1</v>
      </c>
      <c r="L679">
        <v>0</v>
      </c>
      <c r="M679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679" s="5" cm="1">
        <f t="array" ref="N679">MAX(IF((ProjectInfoTable[ProjectName]=ContinuousStatsTable[[#This Row],[ProjectName]]),(ProjectInfoTable[ProjectName]=ContinuousStatsTable[[#This Row],[ProjectName]])*ProjectInfoTable[NumberOfReplications]))</f>
        <v>30</v>
      </c>
      <c r="O679" s="5" cm="1">
        <f t="array" ref="O679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679" s="5" cm="1">
        <f t="array" ref="P679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679" s="5" cm="1">
        <f t="array" ref="Q679">MAX(IF((ProjectInfoTable[ProjectName]=ContinuousStatsTable[[#This Row],[ProjectName]]),(ProjectInfoTable[ProjectName]=ContinuousStatsTable[[#This Row],[ProjectName]])*ProjectInfoTable[ConfidenceInterval]))</f>
        <v>0.95</v>
      </c>
      <c r="R6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679" s="5" cm="1">
        <f t="array" ref="S679">MIN(IF((ContinuousStatsTable[GroupByKey]=ContinuousStatsTable[[#This Row],[GroupByKey]]),(ContinuousStatsTable[GroupByKey]=ContinuousStatsTable[[#This Row],[GroupByKey]])*ContinuousStatsTable[Average]))</f>
        <v>0.517215348442703</v>
      </c>
      <c r="T679" s="5" cm="1">
        <f t="array" ref="T679">MAX(IF((ContinuousStatsTable[GroupByKey]=ContinuousStatsTable[[#This Row],[GroupByKey]]),(ContinuousStatsTable[GroupByKey]=ContinuousStatsTable[[#This Row],[GroupByKey]])*ContinuousStatsTable[Average]))</f>
        <v>0.67770389283754395</v>
      </c>
      <c r="U679" s="5">
        <f>IF((ContinuousStatsTable[[#This Row],[RepsRequested]]&gt;1),ContinuousStatsTable[[#This Row],[HalfWidth]],ContinuousStatsTable[[#This Row],[BatchMeansHalfWidth]])</f>
        <v>1.8059192833960565E-2</v>
      </c>
    </row>
    <row r="680" spans="1:21" x14ac:dyDescent="0.3">
      <c r="A680" t="s">
        <v>66</v>
      </c>
      <c r="B680" t="s">
        <v>68</v>
      </c>
      <c r="C680">
        <v>18</v>
      </c>
      <c r="D680" t="s">
        <v>99</v>
      </c>
      <c r="E680" t="s">
        <v>96</v>
      </c>
      <c r="F680" t="s">
        <v>95</v>
      </c>
      <c r="G680">
        <v>5.89626278609924</v>
      </c>
      <c r="H680">
        <v>2E+20</v>
      </c>
      <c r="I680">
        <v>0</v>
      </c>
      <c r="J680">
        <v>10</v>
      </c>
      <c r="K680">
        <v>10</v>
      </c>
      <c r="L680">
        <v>0</v>
      </c>
      <c r="M680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680" s="5" cm="1">
        <f t="array" ref="N680">MAX(IF((ProjectInfoTable[ProjectName]=ContinuousStatsTable[[#This Row],[ProjectName]]),(ProjectInfoTable[ProjectName]=ContinuousStatsTable[[#This Row],[ProjectName]])*ProjectInfoTable[NumberOfReplications]))</f>
        <v>30</v>
      </c>
      <c r="O680" s="5" cm="1">
        <f t="array" ref="O680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680" s="5" cm="1">
        <f t="array" ref="P680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680" s="5" cm="1">
        <f t="array" ref="Q680">MAX(IF((ProjectInfoTable[ProjectName]=ContinuousStatsTable[[#This Row],[ProjectName]]),(ProjectInfoTable[ProjectName]=ContinuousStatsTable[[#This Row],[ProjectName]])*ProjectInfoTable[ConfidenceInterval]))</f>
        <v>0.95</v>
      </c>
      <c r="R6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680" s="5" cm="1">
        <f t="array" ref="S680">MIN(IF((ContinuousStatsTable[GroupByKey]=ContinuousStatsTable[[#This Row],[GroupByKey]]),(ContinuousStatsTable[GroupByKey]=ContinuousStatsTable[[#This Row],[GroupByKey]])*ContinuousStatsTable[Average]))</f>
        <v>5.1721534844270298</v>
      </c>
      <c r="T680" s="5" cm="1">
        <f t="array" ref="T680">MAX(IF((ContinuousStatsTable[GroupByKey]=ContinuousStatsTable[[#This Row],[GroupByKey]]),(ContinuousStatsTable[GroupByKey]=ContinuousStatsTable[[#This Row],[GroupByKey]])*ContinuousStatsTable[Average]))</f>
        <v>6.7770389283754398</v>
      </c>
      <c r="U680" s="5">
        <f>IF((ContinuousStatsTable[[#This Row],[RepsRequested]]&gt;1),ContinuousStatsTable[[#This Row],[HalfWidth]],ContinuousStatsTable[[#This Row],[BatchMeansHalfWidth]])</f>
        <v>0.18059192833960558</v>
      </c>
    </row>
    <row r="681" spans="1:21" x14ac:dyDescent="0.3">
      <c r="A681" t="s">
        <v>66</v>
      </c>
      <c r="B681" t="s">
        <v>68</v>
      </c>
      <c r="C681">
        <v>18</v>
      </c>
      <c r="D681" t="s">
        <v>99</v>
      </c>
      <c r="E681" t="s">
        <v>97</v>
      </c>
      <c r="F681" t="s">
        <v>95</v>
      </c>
      <c r="G681">
        <v>10</v>
      </c>
      <c r="H681">
        <v>2E+20</v>
      </c>
      <c r="I681">
        <v>10</v>
      </c>
      <c r="J681">
        <v>10</v>
      </c>
      <c r="K681">
        <v>10</v>
      </c>
      <c r="L681">
        <v>0</v>
      </c>
      <c r="M681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681" s="5" cm="1">
        <f t="array" ref="N681">MAX(IF((ProjectInfoTable[ProjectName]=ContinuousStatsTable[[#This Row],[ProjectName]]),(ProjectInfoTable[ProjectName]=ContinuousStatsTable[[#This Row],[ProjectName]])*ProjectInfoTable[NumberOfReplications]))</f>
        <v>30</v>
      </c>
      <c r="O681" s="5" cm="1">
        <f t="array" ref="O681">IFERROR(AVERAGE(IF((ContinuousStatsTable[GroupByKey]=ContinuousStatsTable[[#This Row],[GroupByKey]]),(ContinuousStatsTable[GroupByKey]=ContinuousStatsTable[[#This Row],[GroupByKey]])*ContinuousStatsTable[Average])),0)</f>
        <v>10</v>
      </c>
      <c r="P681" s="5" cm="1">
        <f t="array" ref="P681">IFERROR(_xlfn.STDEV.S(IF((ContinuousStatsTable[GroupByKey]=ContinuousStatsTable[[#This Row],[GroupByKey]]),(ContinuousStatsTable[GroupByKey]=ContinuousStatsTable[[#This Row],[GroupByKey]])*ContinuousStatsTable[Average])),0)</f>
        <v>0</v>
      </c>
      <c r="Q681" s="5" cm="1">
        <f t="array" ref="Q681">MAX(IF((ProjectInfoTable[ProjectName]=ContinuousStatsTable[[#This Row],[ProjectName]]),(ProjectInfoTable[ProjectName]=ContinuousStatsTable[[#This Row],[ProjectName]])*ProjectInfoTable[ConfidenceInterval]))</f>
        <v>0.95</v>
      </c>
      <c r="R6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1" s="5" cm="1">
        <f t="array" ref="S681">MIN(IF((ContinuousStatsTable[GroupByKey]=ContinuousStatsTable[[#This Row],[GroupByKey]]),(ContinuousStatsTable[GroupByKey]=ContinuousStatsTable[[#This Row],[GroupByKey]])*ContinuousStatsTable[Average]))</f>
        <v>10</v>
      </c>
      <c r="T681" s="5" cm="1">
        <f t="array" ref="T681">MAX(IF((ContinuousStatsTable[GroupByKey]=ContinuousStatsTable[[#This Row],[GroupByKey]]),(ContinuousStatsTable[GroupByKey]=ContinuousStatsTable[[#This Row],[GroupByKey]])*ContinuousStatsTable[Average]))</f>
        <v>10</v>
      </c>
      <c r="U681" s="5">
        <f>IF((ContinuousStatsTable[[#This Row],[RepsRequested]]&gt;1),ContinuousStatsTable[[#This Row],[HalfWidth]],ContinuousStatsTable[[#This Row],[BatchMeansHalfWidth]])</f>
        <v>0</v>
      </c>
    </row>
    <row r="682" spans="1:21" x14ac:dyDescent="0.3">
      <c r="A682" t="s">
        <v>66</v>
      </c>
      <c r="B682" t="s">
        <v>68</v>
      </c>
      <c r="C682">
        <v>18</v>
      </c>
      <c r="D682" t="s">
        <v>100</v>
      </c>
      <c r="E682" t="s">
        <v>94</v>
      </c>
      <c r="F682" t="s">
        <v>95</v>
      </c>
      <c r="G682">
        <v>0.182841433157057</v>
      </c>
      <c r="H682">
        <v>2E+20</v>
      </c>
      <c r="I682">
        <v>0</v>
      </c>
      <c r="J682">
        <v>0.44</v>
      </c>
      <c r="K682">
        <v>0.32</v>
      </c>
      <c r="L682">
        <v>0</v>
      </c>
      <c r="M682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682" s="5" cm="1">
        <f t="array" ref="N682">MAX(IF((ProjectInfoTable[ProjectName]=ContinuousStatsTable[[#This Row],[ProjectName]]),(ProjectInfoTable[ProjectName]=ContinuousStatsTable[[#This Row],[ProjectName]])*ProjectInfoTable[NumberOfReplications]))</f>
        <v>30</v>
      </c>
      <c r="O682" s="5" cm="1">
        <f t="array" ref="O682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682" s="5" cm="1">
        <f t="array" ref="P682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682" s="5" cm="1">
        <f t="array" ref="Q682">MAX(IF((ProjectInfoTable[ProjectName]=ContinuousStatsTable[[#This Row],[ProjectName]]),(ProjectInfoTable[ProjectName]=ContinuousStatsTable[[#This Row],[ProjectName]])*ProjectInfoTable[ConfidenceInterval]))</f>
        <v>0.95</v>
      </c>
      <c r="R6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682" s="5" cm="1">
        <f t="array" ref="S682">MIN(IF((ContinuousStatsTable[GroupByKey]=ContinuousStatsTable[[#This Row],[GroupByKey]]),(ContinuousStatsTable[GroupByKey]=ContinuousStatsTable[[#This Row],[GroupByKey]])*ContinuousStatsTable[Average]))</f>
        <v>0.14484829778125299</v>
      </c>
      <c r="T682" s="5" cm="1">
        <f t="array" ref="T682">MAX(IF((ContinuousStatsTable[GroupByKey]=ContinuousStatsTable[[#This Row],[GroupByKey]]),(ContinuousStatsTable[GroupByKey]=ContinuousStatsTable[[#This Row],[GroupByKey]])*ContinuousStatsTable[Average]))</f>
        <v>0.19609322315655101</v>
      </c>
      <c r="U682" s="5">
        <f>IF((ContinuousStatsTable[[#This Row],[RepsRequested]]&gt;1),ContinuousStatsTable[[#This Row],[HalfWidth]],ContinuousStatsTable[[#This Row],[BatchMeansHalfWidth]])</f>
        <v>4.9714113556225048E-3</v>
      </c>
    </row>
    <row r="683" spans="1:21" x14ac:dyDescent="0.3">
      <c r="A683" t="s">
        <v>66</v>
      </c>
      <c r="B683" t="s">
        <v>68</v>
      </c>
      <c r="C683">
        <v>18</v>
      </c>
      <c r="D683" t="s">
        <v>100</v>
      </c>
      <c r="E683" t="s">
        <v>96</v>
      </c>
      <c r="F683" t="s">
        <v>95</v>
      </c>
      <c r="G683">
        <v>9.1420716578528207</v>
      </c>
      <c r="H683">
        <v>2E+20</v>
      </c>
      <c r="I683">
        <v>0</v>
      </c>
      <c r="J683">
        <v>22</v>
      </c>
      <c r="K683">
        <v>16</v>
      </c>
      <c r="L683">
        <v>0</v>
      </c>
      <c r="M683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683" s="5" cm="1">
        <f t="array" ref="N683">MAX(IF((ProjectInfoTable[ProjectName]=ContinuousStatsTable[[#This Row],[ProjectName]]),(ProjectInfoTable[ProjectName]=ContinuousStatsTable[[#This Row],[ProjectName]])*ProjectInfoTable[NumberOfReplications]))</f>
        <v>30</v>
      </c>
      <c r="O683" s="5" cm="1">
        <f t="array" ref="O683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683" s="5" cm="1">
        <f t="array" ref="P683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683" s="5" cm="1">
        <f t="array" ref="Q683">MAX(IF((ProjectInfoTable[ProjectName]=ContinuousStatsTable[[#This Row],[ProjectName]]),(ProjectInfoTable[ProjectName]=ContinuousStatsTable[[#This Row],[ProjectName]])*ProjectInfoTable[ConfidenceInterval]))</f>
        <v>0.95</v>
      </c>
      <c r="R6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683" s="5" cm="1">
        <f t="array" ref="S683">MIN(IF((ContinuousStatsTable[GroupByKey]=ContinuousStatsTable[[#This Row],[GroupByKey]]),(ContinuousStatsTable[GroupByKey]=ContinuousStatsTable[[#This Row],[GroupByKey]])*ContinuousStatsTable[Average]))</f>
        <v>7.2424148890626396</v>
      </c>
      <c r="T683" s="5" cm="1">
        <f t="array" ref="T683">MAX(IF((ContinuousStatsTable[GroupByKey]=ContinuousStatsTable[[#This Row],[GroupByKey]]),(ContinuousStatsTable[GroupByKey]=ContinuousStatsTable[[#This Row],[GroupByKey]])*ContinuousStatsTable[Average]))</f>
        <v>9.8046611578275602</v>
      </c>
      <c r="U683" s="5">
        <f>IF((ContinuousStatsTable[[#This Row],[RepsRequested]]&gt;1),ContinuousStatsTable[[#This Row],[HalfWidth]],ContinuousStatsTable[[#This Row],[BatchMeansHalfWidth]])</f>
        <v>0.24857056778112663</v>
      </c>
    </row>
    <row r="684" spans="1:21" x14ac:dyDescent="0.3">
      <c r="A684" t="s">
        <v>66</v>
      </c>
      <c r="B684" t="s">
        <v>68</v>
      </c>
      <c r="C684">
        <v>18</v>
      </c>
      <c r="D684" t="s">
        <v>100</v>
      </c>
      <c r="E684" t="s">
        <v>97</v>
      </c>
      <c r="F684" t="s">
        <v>95</v>
      </c>
      <c r="G684">
        <v>50</v>
      </c>
      <c r="H684">
        <v>2E+20</v>
      </c>
      <c r="I684">
        <v>50</v>
      </c>
      <c r="J684">
        <v>50</v>
      </c>
      <c r="K684">
        <v>50</v>
      </c>
      <c r="L684">
        <v>0</v>
      </c>
      <c r="M684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684" s="5" cm="1">
        <f t="array" ref="N684">MAX(IF((ProjectInfoTable[ProjectName]=ContinuousStatsTable[[#This Row],[ProjectName]]),(ProjectInfoTable[ProjectName]=ContinuousStatsTable[[#This Row],[ProjectName]])*ProjectInfoTable[NumberOfReplications]))</f>
        <v>30</v>
      </c>
      <c r="O684" s="5" cm="1">
        <f t="array" ref="O684">IFERROR(AVERAGE(IF((ContinuousStatsTable[GroupByKey]=ContinuousStatsTable[[#This Row],[GroupByKey]]),(ContinuousStatsTable[GroupByKey]=ContinuousStatsTable[[#This Row],[GroupByKey]])*ContinuousStatsTable[Average])),0)</f>
        <v>50</v>
      </c>
      <c r="P684" s="5" cm="1">
        <f t="array" ref="P684">IFERROR(_xlfn.STDEV.S(IF((ContinuousStatsTable[GroupByKey]=ContinuousStatsTable[[#This Row],[GroupByKey]]),(ContinuousStatsTable[GroupByKey]=ContinuousStatsTable[[#This Row],[GroupByKey]])*ContinuousStatsTable[Average])),0)</f>
        <v>0</v>
      </c>
      <c r="Q684" s="5" cm="1">
        <f t="array" ref="Q684">MAX(IF((ProjectInfoTable[ProjectName]=ContinuousStatsTable[[#This Row],[ProjectName]]),(ProjectInfoTable[ProjectName]=ContinuousStatsTable[[#This Row],[ProjectName]])*ProjectInfoTable[ConfidenceInterval]))</f>
        <v>0.95</v>
      </c>
      <c r="R6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4" s="5" cm="1">
        <f t="array" ref="S684">MIN(IF((ContinuousStatsTable[GroupByKey]=ContinuousStatsTable[[#This Row],[GroupByKey]]),(ContinuousStatsTable[GroupByKey]=ContinuousStatsTable[[#This Row],[GroupByKey]])*ContinuousStatsTable[Average]))</f>
        <v>50</v>
      </c>
      <c r="T684" s="5" cm="1">
        <f t="array" ref="T684">MAX(IF((ContinuousStatsTable[GroupByKey]=ContinuousStatsTable[[#This Row],[GroupByKey]]),(ContinuousStatsTable[GroupByKey]=ContinuousStatsTable[[#This Row],[GroupByKey]])*ContinuousStatsTable[Average]))</f>
        <v>50</v>
      </c>
      <c r="U684" s="5">
        <f>IF((ContinuousStatsTable[[#This Row],[RepsRequested]]&gt;1),ContinuousStatsTable[[#This Row],[HalfWidth]],ContinuousStatsTable[[#This Row],[BatchMeansHalfWidth]])</f>
        <v>0</v>
      </c>
    </row>
    <row r="685" spans="1:21" x14ac:dyDescent="0.3">
      <c r="A685" t="s">
        <v>66</v>
      </c>
      <c r="B685" t="s">
        <v>68</v>
      </c>
      <c r="C685">
        <v>18</v>
      </c>
      <c r="D685" t="s">
        <v>101</v>
      </c>
      <c r="E685" t="s">
        <v>94</v>
      </c>
      <c r="F685" t="s">
        <v>95</v>
      </c>
      <c r="G685">
        <v>9.6424634621743902E-2</v>
      </c>
      <c r="H685">
        <v>2E+20</v>
      </c>
      <c r="I685">
        <v>0</v>
      </c>
      <c r="J685">
        <v>0.33333333333333298</v>
      </c>
      <c r="K685">
        <v>0</v>
      </c>
      <c r="L685">
        <v>0</v>
      </c>
      <c r="M685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685" s="5" cm="1">
        <f t="array" ref="N685">MAX(IF((ProjectInfoTable[ProjectName]=ContinuousStatsTable[[#This Row],[ProjectName]]),(ProjectInfoTable[ProjectName]=ContinuousStatsTable[[#This Row],[ProjectName]])*ProjectInfoTable[NumberOfReplications]))</f>
        <v>30</v>
      </c>
      <c r="O685" s="5" cm="1">
        <f t="array" ref="O685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685" s="5" cm="1">
        <f t="array" ref="P685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685" s="5" cm="1">
        <f t="array" ref="Q685">MAX(IF((ProjectInfoTable[ProjectName]=ContinuousStatsTable[[#This Row],[ProjectName]]),(ProjectInfoTable[ProjectName]=ContinuousStatsTable[[#This Row],[ProjectName]])*ProjectInfoTable[ConfidenceInterval]))</f>
        <v>0.95</v>
      </c>
      <c r="R6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685" s="5" cm="1">
        <f t="array" ref="S685">MIN(IF((ContinuousStatsTable[GroupByKey]=ContinuousStatsTable[[#This Row],[GroupByKey]]),(ContinuousStatsTable[GroupByKey]=ContinuousStatsTable[[#This Row],[GroupByKey]])*ContinuousStatsTable[Average]))</f>
        <v>7.4778736536586704E-2</v>
      </c>
      <c r="T685" s="5" cm="1">
        <f t="array" ref="T685">MAX(IF((ContinuousStatsTable[GroupByKey]=ContinuousStatsTable[[#This Row],[GroupByKey]]),(ContinuousStatsTable[GroupByKey]=ContinuousStatsTable[[#This Row],[GroupByKey]])*ContinuousStatsTable[Average]))</f>
        <v>0.111025455742452</v>
      </c>
      <c r="U685" s="5">
        <f>IF((ContinuousStatsTable[[#This Row],[RepsRequested]]&gt;1),ContinuousStatsTable[[#This Row],[HalfWidth]],ContinuousStatsTable[[#This Row],[BatchMeansHalfWidth]])</f>
        <v>4.1821462690338805E-3</v>
      </c>
    </row>
    <row r="686" spans="1:21" x14ac:dyDescent="0.3">
      <c r="A686" t="s">
        <v>66</v>
      </c>
      <c r="B686" t="s">
        <v>68</v>
      </c>
      <c r="C686">
        <v>18</v>
      </c>
      <c r="D686" t="s">
        <v>101</v>
      </c>
      <c r="E686" t="s">
        <v>96</v>
      </c>
      <c r="F686" t="s">
        <v>95</v>
      </c>
      <c r="G686">
        <v>1.4463695193261601</v>
      </c>
      <c r="H686">
        <v>2E+20</v>
      </c>
      <c r="I686">
        <v>0</v>
      </c>
      <c r="J686">
        <v>5</v>
      </c>
      <c r="K686">
        <v>0</v>
      </c>
      <c r="L686">
        <v>0</v>
      </c>
      <c r="M686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686" s="5" cm="1">
        <f t="array" ref="N686">MAX(IF((ProjectInfoTable[ProjectName]=ContinuousStatsTable[[#This Row],[ProjectName]]),(ProjectInfoTable[ProjectName]=ContinuousStatsTable[[#This Row],[ProjectName]])*ProjectInfoTable[NumberOfReplications]))</f>
        <v>30</v>
      </c>
      <c r="O686" s="5" cm="1">
        <f t="array" ref="O686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686" s="5" cm="1">
        <f t="array" ref="P686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686" s="5" cm="1">
        <f t="array" ref="Q686">MAX(IF((ProjectInfoTable[ProjectName]=ContinuousStatsTable[[#This Row],[ProjectName]]),(ProjectInfoTable[ProjectName]=ContinuousStatsTable[[#This Row],[ProjectName]])*ProjectInfoTable[ConfidenceInterval]))</f>
        <v>0.95</v>
      </c>
      <c r="R6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686" s="5" cm="1">
        <f t="array" ref="S686">MIN(IF((ContinuousStatsTable[GroupByKey]=ContinuousStatsTable[[#This Row],[GroupByKey]]),(ContinuousStatsTable[GroupByKey]=ContinuousStatsTable[[#This Row],[GroupByKey]])*ContinuousStatsTable[Average]))</f>
        <v>1.1216810480488</v>
      </c>
      <c r="T686" s="5" cm="1">
        <f t="array" ref="T686">MAX(IF((ContinuousStatsTable[GroupByKey]=ContinuousStatsTable[[#This Row],[GroupByKey]]),(ContinuousStatsTable[GroupByKey]=ContinuousStatsTable[[#This Row],[GroupByKey]])*ContinuousStatsTable[Average]))</f>
        <v>1.66538183613678</v>
      </c>
      <c r="U686" s="5">
        <f>IF((ContinuousStatsTable[[#This Row],[RepsRequested]]&gt;1),ContinuousStatsTable[[#This Row],[HalfWidth]],ContinuousStatsTable[[#This Row],[BatchMeansHalfWidth]])</f>
        <v>6.2732194035507963E-2</v>
      </c>
    </row>
    <row r="687" spans="1:21" x14ac:dyDescent="0.3">
      <c r="A687" t="s">
        <v>66</v>
      </c>
      <c r="B687" t="s">
        <v>68</v>
      </c>
      <c r="C687">
        <v>18</v>
      </c>
      <c r="D687" t="s">
        <v>101</v>
      </c>
      <c r="E687" t="s">
        <v>97</v>
      </c>
      <c r="F687" t="s">
        <v>95</v>
      </c>
      <c r="G687">
        <v>15</v>
      </c>
      <c r="H687">
        <v>2E+20</v>
      </c>
      <c r="I687">
        <v>15</v>
      </c>
      <c r="J687">
        <v>15</v>
      </c>
      <c r="K687">
        <v>15</v>
      </c>
      <c r="L687">
        <v>0</v>
      </c>
      <c r="M687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687" s="5" cm="1">
        <f t="array" ref="N687">MAX(IF((ProjectInfoTable[ProjectName]=ContinuousStatsTable[[#This Row],[ProjectName]]),(ProjectInfoTable[ProjectName]=ContinuousStatsTable[[#This Row],[ProjectName]])*ProjectInfoTable[NumberOfReplications]))</f>
        <v>30</v>
      </c>
      <c r="O687" s="5" cm="1">
        <f t="array" ref="O687">IFERROR(AVERAGE(IF((ContinuousStatsTable[GroupByKey]=ContinuousStatsTable[[#This Row],[GroupByKey]]),(ContinuousStatsTable[GroupByKey]=ContinuousStatsTable[[#This Row],[GroupByKey]])*ContinuousStatsTable[Average])),0)</f>
        <v>15</v>
      </c>
      <c r="P687" s="5" cm="1">
        <f t="array" ref="P687">IFERROR(_xlfn.STDEV.S(IF((ContinuousStatsTable[GroupByKey]=ContinuousStatsTable[[#This Row],[GroupByKey]]),(ContinuousStatsTable[GroupByKey]=ContinuousStatsTable[[#This Row],[GroupByKey]])*ContinuousStatsTable[Average])),0)</f>
        <v>0</v>
      </c>
      <c r="Q687" s="5" cm="1">
        <f t="array" ref="Q687">MAX(IF((ProjectInfoTable[ProjectName]=ContinuousStatsTable[[#This Row],[ProjectName]]),(ProjectInfoTable[ProjectName]=ContinuousStatsTable[[#This Row],[ProjectName]])*ProjectInfoTable[ConfidenceInterval]))</f>
        <v>0.95</v>
      </c>
      <c r="R6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7" s="5" cm="1">
        <f t="array" ref="S687">MIN(IF((ContinuousStatsTable[GroupByKey]=ContinuousStatsTable[[#This Row],[GroupByKey]]),(ContinuousStatsTable[GroupByKey]=ContinuousStatsTable[[#This Row],[GroupByKey]])*ContinuousStatsTable[Average]))</f>
        <v>15</v>
      </c>
      <c r="T687" s="5" cm="1">
        <f t="array" ref="T687">MAX(IF((ContinuousStatsTable[GroupByKey]=ContinuousStatsTable[[#This Row],[GroupByKey]]),(ContinuousStatsTable[GroupByKey]=ContinuousStatsTable[[#This Row],[GroupByKey]])*ContinuousStatsTable[Average]))</f>
        <v>15</v>
      </c>
      <c r="U687" s="5">
        <f>IF((ContinuousStatsTable[[#This Row],[RepsRequested]]&gt;1),ContinuousStatsTable[[#This Row],[HalfWidth]],ContinuousStatsTable[[#This Row],[BatchMeansHalfWidth]])</f>
        <v>0</v>
      </c>
    </row>
    <row r="688" spans="1:21" x14ac:dyDescent="0.3">
      <c r="A688" t="s">
        <v>66</v>
      </c>
      <c r="B688" t="s">
        <v>68</v>
      </c>
      <c r="C688">
        <v>18</v>
      </c>
      <c r="D688" t="s">
        <v>102</v>
      </c>
      <c r="E688" t="s">
        <v>94</v>
      </c>
      <c r="F688" t="s">
        <v>95</v>
      </c>
      <c r="G688">
        <v>0.85305663719444302</v>
      </c>
      <c r="H688">
        <v>2E+20</v>
      </c>
      <c r="I688">
        <v>0</v>
      </c>
      <c r="J688">
        <v>1</v>
      </c>
      <c r="K688">
        <v>1</v>
      </c>
      <c r="L688">
        <v>0</v>
      </c>
      <c r="M688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688" s="5" cm="1">
        <f t="array" ref="N688">MAX(IF((ProjectInfoTable[ProjectName]=ContinuousStatsTable[[#This Row],[ProjectName]]),(ProjectInfoTable[ProjectName]=ContinuousStatsTable[[#This Row],[ProjectName]])*ProjectInfoTable[NumberOfReplications]))</f>
        <v>30</v>
      </c>
      <c r="O688" s="5" cm="1">
        <f t="array" ref="O688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688" s="5" cm="1">
        <f t="array" ref="P688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688" s="5" cm="1">
        <f t="array" ref="Q688">MAX(IF((ProjectInfoTable[ProjectName]=ContinuousStatsTable[[#This Row],[ProjectName]]),(ProjectInfoTable[ProjectName]=ContinuousStatsTable[[#This Row],[ProjectName]])*ProjectInfoTable[ConfidenceInterval]))</f>
        <v>0.95</v>
      </c>
      <c r="R6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688" s="5" cm="1">
        <f t="array" ref="S688">MIN(IF((ContinuousStatsTable[GroupByKey]=ContinuousStatsTable[[#This Row],[GroupByKey]]),(ContinuousStatsTable[GroupByKey]=ContinuousStatsTable[[#This Row],[GroupByKey]])*ContinuousStatsTable[Average]))</f>
        <v>0.73673947391417804</v>
      </c>
      <c r="T688" s="5" cm="1">
        <f t="array" ref="T688">MAX(IF((ContinuousStatsTable[GroupByKey]=ContinuousStatsTable[[#This Row],[GroupByKey]]),(ContinuousStatsTable[GroupByKey]=ContinuousStatsTable[[#This Row],[GroupByKey]])*ContinuousStatsTable[Average]))</f>
        <v>0.90592850818388704</v>
      </c>
      <c r="U688" s="5">
        <f>IF((ContinuousStatsTable[[#This Row],[RepsRequested]]&gt;1),ContinuousStatsTable[[#This Row],[HalfWidth]],ContinuousStatsTable[[#This Row],[BatchMeansHalfWidth]])</f>
        <v>1.8636241798384946E-2</v>
      </c>
    </row>
    <row r="689" spans="1:21" x14ac:dyDescent="0.3">
      <c r="A689" t="s">
        <v>66</v>
      </c>
      <c r="B689" t="s">
        <v>68</v>
      </c>
      <c r="C689">
        <v>18</v>
      </c>
      <c r="D689" t="s">
        <v>102</v>
      </c>
      <c r="E689" t="s">
        <v>96</v>
      </c>
      <c r="F689" t="s">
        <v>95</v>
      </c>
      <c r="G689">
        <v>1.69657234509463</v>
      </c>
      <c r="H689">
        <v>2E+20</v>
      </c>
      <c r="I689">
        <v>0</v>
      </c>
      <c r="J689">
        <v>3</v>
      </c>
      <c r="K689">
        <v>3</v>
      </c>
      <c r="L689">
        <v>0</v>
      </c>
      <c r="M689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689" s="5" cm="1">
        <f t="array" ref="N689">MAX(IF((ProjectInfoTable[ProjectName]=ContinuousStatsTable[[#This Row],[ProjectName]]),(ProjectInfoTable[ProjectName]=ContinuousStatsTable[[#This Row],[ProjectName]])*ProjectInfoTable[NumberOfReplications]))</f>
        <v>30</v>
      </c>
      <c r="O689" s="5" cm="1">
        <f t="array" ref="O689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689" s="5" cm="1">
        <f t="array" ref="P689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689" s="5" cm="1">
        <f t="array" ref="Q689">MAX(IF((ProjectInfoTable[ProjectName]=ContinuousStatsTable[[#This Row],[ProjectName]]),(ProjectInfoTable[ProjectName]=ContinuousStatsTable[[#This Row],[ProjectName]])*ProjectInfoTable[ConfidenceInterval]))</f>
        <v>0.95</v>
      </c>
      <c r="R6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689" s="5" cm="1">
        <f t="array" ref="S689">MIN(IF((ContinuousStatsTable[GroupByKey]=ContinuousStatsTable[[#This Row],[GroupByKey]]),(ContinuousStatsTable[GroupByKey]=ContinuousStatsTable[[#This Row],[GroupByKey]])*ContinuousStatsTable[Average]))</f>
        <v>1.3726163545041801</v>
      </c>
      <c r="T689" s="5" cm="1">
        <f t="array" ref="T689">MAX(IF((ContinuousStatsTable[GroupByKey]=ContinuousStatsTable[[#This Row],[GroupByKey]]),(ContinuousStatsTable[GroupByKey]=ContinuousStatsTable[[#This Row],[GroupByKey]])*ContinuousStatsTable[Average]))</f>
        <v>1.7968913949876599</v>
      </c>
      <c r="U689" s="5">
        <f>IF((ContinuousStatsTable[[#This Row],[RepsRequested]]&gt;1),ContinuousStatsTable[[#This Row],[HalfWidth]],ContinuousStatsTable[[#This Row],[BatchMeansHalfWidth]])</f>
        <v>4.3123628688677348E-2</v>
      </c>
    </row>
    <row r="690" spans="1:21" x14ac:dyDescent="0.3">
      <c r="A690" t="s">
        <v>66</v>
      </c>
      <c r="B690" t="s">
        <v>68</v>
      </c>
      <c r="C690">
        <v>18</v>
      </c>
      <c r="D690" t="s">
        <v>102</v>
      </c>
      <c r="E690" t="s">
        <v>97</v>
      </c>
      <c r="F690" t="s">
        <v>95</v>
      </c>
      <c r="G690">
        <v>2</v>
      </c>
      <c r="H690">
        <v>2E+20</v>
      </c>
      <c r="I690">
        <v>1</v>
      </c>
      <c r="J690">
        <v>3</v>
      </c>
      <c r="K690">
        <v>1</v>
      </c>
      <c r="L690">
        <v>0</v>
      </c>
      <c r="M690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690" s="5" cm="1">
        <f t="array" ref="N690">MAX(IF((ProjectInfoTable[ProjectName]=ContinuousStatsTable[[#This Row],[ProjectName]]),(ProjectInfoTable[ProjectName]=ContinuousStatsTable[[#This Row],[ProjectName]])*ProjectInfoTable[NumberOfReplications]))</f>
        <v>30</v>
      </c>
      <c r="O690" s="5" cm="1">
        <f t="array" ref="O690">IFERROR(AVERAGE(IF((ContinuousStatsTable[GroupByKey]=ContinuousStatsTable[[#This Row],[GroupByKey]]),(ContinuousStatsTable[GroupByKey]=ContinuousStatsTable[[#This Row],[GroupByKey]])*ContinuousStatsTable[Average])),0)</f>
        <v>2</v>
      </c>
      <c r="P690" s="5" cm="1">
        <f t="array" ref="P690">IFERROR(_xlfn.STDEV.S(IF((ContinuousStatsTable[GroupByKey]=ContinuousStatsTable[[#This Row],[GroupByKey]]),(ContinuousStatsTable[GroupByKey]=ContinuousStatsTable[[#This Row],[GroupByKey]])*ContinuousStatsTable[Average])),0)</f>
        <v>0</v>
      </c>
      <c r="Q690" s="5" cm="1">
        <f t="array" ref="Q690">MAX(IF((ProjectInfoTable[ProjectName]=ContinuousStatsTable[[#This Row],[ProjectName]]),(ProjectInfoTable[ProjectName]=ContinuousStatsTable[[#This Row],[ProjectName]])*ProjectInfoTable[ConfidenceInterval]))</f>
        <v>0.95</v>
      </c>
      <c r="R6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0" s="5" cm="1">
        <f t="array" ref="S690">MIN(IF((ContinuousStatsTable[GroupByKey]=ContinuousStatsTable[[#This Row],[GroupByKey]]),(ContinuousStatsTable[GroupByKey]=ContinuousStatsTable[[#This Row],[GroupByKey]])*ContinuousStatsTable[Average]))</f>
        <v>2</v>
      </c>
      <c r="T690" s="5" cm="1">
        <f t="array" ref="T690">MAX(IF((ContinuousStatsTable[GroupByKey]=ContinuousStatsTable[[#This Row],[GroupByKey]]),(ContinuousStatsTable[GroupByKey]=ContinuousStatsTable[[#This Row],[GroupByKey]])*ContinuousStatsTable[Average]))</f>
        <v>2</v>
      </c>
      <c r="U690" s="5">
        <f>IF((ContinuousStatsTable[[#This Row],[RepsRequested]]&gt;1),ContinuousStatsTable[[#This Row],[HalfWidth]],ContinuousStatsTable[[#This Row],[BatchMeansHalfWidth]])</f>
        <v>0</v>
      </c>
    </row>
    <row r="691" spans="1:21" x14ac:dyDescent="0.3">
      <c r="A691" t="s">
        <v>66</v>
      </c>
      <c r="B691" t="s">
        <v>68</v>
      </c>
      <c r="C691">
        <v>18</v>
      </c>
      <c r="D691" t="s">
        <v>84</v>
      </c>
      <c r="E691" t="s">
        <v>103</v>
      </c>
      <c r="F691" t="s">
        <v>86</v>
      </c>
      <c r="G691">
        <v>54.928629070356401</v>
      </c>
      <c r="H691">
        <v>2E+20</v>
      </c>
      <c r="I691">
        <v>0</v>
      </c>
      <c r="J691">
        <v>80</v>
      </c>
      <c r="K691">
        <v>66</v>
      </c>
      <c r="L691">
        <v>0</v>
      </c>
      <c r="M691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691" s="5" cm="1">
        <f t="array" ref="N691">MAX(IF((ProjectInfoTable[ProjectName]=ContinuousStatsTable[[#This Row],[ProjectName]]),(ProjectInfoTable[ProjectName]=ContinuousStatsTable[[#This Row],[ProjectName]])*ProjectInfoTable[NumberOfReplications]))</f>
        <v>30</v>
      </c>
      <c r="O691" s="5" cm="1">
        <f t="array" ref="O691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691" s="5" cm="1">
        <f t="array" ref="P691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691" s="5" cm="1">
        <f t="array" ref="Q691">MAX(IF((ProjectInfoTable[ProjectName]=ContinuousStatsTable[[#This Row],[ProjectName]]),(ProjectInfoTable[ProjectName]=ContinuousStatsTable[[#This Row],[ProjectName]])*ProjectInfoTable[ConfidenceInterval]))</f>
        <v>0.95</v>
      </c>
      <c r="R6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691" s="5" cm="1">
        <f t="array" ref="S691">MIN(IF((ContinuousStatsTable[GroupByKey]=ContinuousStatsTable[[#This Row],[GroupByKey]]),(ContinuousStatsTable[GroupByKey]=ContinuousStatsTable[[#This Row],[GroupByKey]])*ContinuousStatsTable[Average]))</f>
        <v>36.709886237305</v>
      </c>
      <c r="T691" s="5" cm="1">
        <f t="array" ref="T691">MAX(IF((ContinuousStatsTable[GroupByKey]=ContinuousStatsTable[[#This Row],[GroupByKey]]),(ContinuousStatsTable[GroupByKey]=ContinuousStatsTable[[#This Row],[GroupByKey]])*ContinuousStatsTable[Average]))</f>
        <v>84.594951996708403</v>
      </c>
      <c r="U691" s="5">
        <f>IF((ContinuousStatsTable[[#This Row],[RepsRequested]]&gt;1),ContinuousStatsTable[[#This Row],[HalfWidth]],ContinuousStatsTable[[#This Row],[BatchMeansHalfWidth]])</f>
        <v>4.0384933567271259</v>
      </c>
    </row>
    <row r="692" spans="1:21" x14ac:dyDescent="0.3">
      <c r="A692" t="s">
        <v>66</v>
      </c>
      <c r="B692" t="s">
        <v>68</v>
      </c>
      <c r="C692">
        <v>18</v>
      </c>
      <c r="D692" t="s">
        <v>104</v>
      </c>
      <c r="E692" t="s">
        <v>94</v>
      </c>
      <c r="F692" t="s">
        <v>95</v>
      </c>
      <c r="G692">
        <v>0</v>
      </c>
      <c r="H692">
        <v>2E+20</v>
      </c>
      <c r="I692">
        <v>0</v>
      </c>
      <c r="J692">
        <v>0</v>
      </c>
      <c r="K692">
        <v>0</v>
      </c>
      <c r="L692">
        <v>0</v>
      </c>
      <c r="M692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692" s="5" cm="1">
        <f t="array" ref="N692">MAX(IF((ProjectInfoTable[ProjectName]=ContinuousStatsTable[[#This Row],[ProjectName]]),(ProjectInfoTable[ProjectName]=ContinuousStatsTable[[#This Row],[ProjectName]])*ProjectInfoTable[NumberOfReplications]))</f>
        <v>30</v>
      </c>
      <c r="O692" s="5" cm="1">
        <f t="array" ref="O692">IFERROR(AVERAGE(IF((ContinuousStatsTable[GroupByKey]=ContinuousStatsTable[[#This Row],[GroupByKey]]),(ContinuousStatsTable[GroupByKey]=ContinuousStatsTable[[#This Row],[GroupByKey]])*ContinuousStatsTable[Average])),0)</f>
        <v>0</v>
      </c>
      <c r="P692" s="5" cm="1">
        <f t="array" ref="P692">IFERROR(_xlfn.STDEV.S(IF((ContinuousStatsTable[GroupByKey]=ContinuousStatsTable[[#This Row],[GroupByKey]]),(ContinuousStatsTable[GroupByKey]=ContinuousStatsTable[[#This Row],[GroupByKey]])*ContinuousStatsTable[Average])),0)</f>
        <v>0</v>
      </c>
      <c r="Q692" s="5" cm="1">
        <f t="array" ref="Q692">MAX(IF((ProjectInfoTable[ProjectName]=ContinuousStatsTable[[#This Row],[ProjectName]]),(ProjectInfoTable[ProjectName]=ContinuousStatsTable[[#This Row],[ProjectName]])*ProjectInfoTable[ConfidenceInterval]))</f>
        <v>0.95</v>
      </c>
      <c r="R6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2" s="5" cm="1">
        <f t="array" ref="S692">MIN(IF((ContinuousStatsTable[GroupByKey]=ContinuousStatsTable[[#This Row],[GroupByKey]]),(ContinuousStatsTable[GroupByKey]=ContinuousStatsTable[[#This Row],[GroupByKey]])*ContinuousStatsTable[Average]))</f>
        <v>0</v>
      </c>
      <c r="T692" s="5" cm="1">
        <f t="array" ref="T692">MAX(IF((ContinuousStatsTable[GroupByKey]=ContinuousStatsTable[[#This Row],[GroupByKey]]),(ContinuousStatsTable[GroupByKey]=ContinuousStatsTable[[#This Row],[GroupByKey]])*ContinuousStatsTable[Average]))</f>
        <v>0</v>
      </c>
      <c r="U692" s="5">
        <f>IF((ContinuousStatsTable[[#This Row],[RepsRequested]]&gt;1),ContinuousStatsTable[[#This Row],[HalfWidth]],ContinuousStatsTable[[#This Row],[BatchMeansHalfWidth]])</f>
        <v>0</v>
      </c>
    </row>
    <row r="693" spans="1:21" x14ac:dyDescent="0.3">
      <c r="A693" t="s">
        <v>66</v>
      </c>
      <c r="B693" t="s">
        <v>68</v>
      </c>
      <c r="C693">
        <v>18</v>
      </c>
      <c r="D693" t="s">
        <v>104</v>
      </c>
      <c r="E693" t="s">
        <v>96</v>
      </c>
      <c r="F693" t="s">
        <v>95</v>
      </c>
      <c r="G693">
        <v>0</v>
      </c>
      <c r="H693">
        <v>2E+20</v>
      </c>
      <c r="I693">
        <v>0</v>
      </c>
      <c r="J693">
        <v>0</v>
      </c>
      <c r="K693">
        <v>0</v>
      </c>
      <c r="L693">
        <v>0</v>
      </c>
      <c r="M693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693" s="5" cm="1">
        <f t="array" ref="N693">MAX(IF((ProjectInfoTable[ProjectName]=ContinuousStatsTable[[#This Row],[ProjectName]]),(ProjectInfoTable[ProjectName]=ContinuousStatsTable[[#This Row],[ProjectName]])*ProjectInfoTable[NumberOfReplications]))</f>
        <v>30</v>
      </c>
      <c r="O693" s="5" cm="1">
        <f t="array" ref="O693">IFERROR(AVERAGE(IF((ContinuousStatsTable[GroupByKey]=ContinuousStatsTable[[#This Row],[GroupByKey]]),(ContinuousStatsTable[GroupByKey]=ContinuousStatsTable[[#This Row],[GroupByKey]])*ContinuousStatsTable[Average])),0)</f>
        <v>0</v>
      </c>
      <c r="P693" s="5" cm="1">
        <f t="array" ref="P693">IFERROR(_xlfn.STDEV.S(IF((ContinuousStatsTable[GroupByKey]=ContinuousStatsTable[[#This Row],[GroupByKey]]),(ContinuousStatsTable[GroupByKey]=ContinuousStatsTable[[#This Row],[GroupByKey]])*ContinuousStatsTable[Average])),0)</f>
        <v>0</v>
      </c>
      <c r="Q693" s="5" cm="1">
        <f t="array" ref="Q693">MAX(IF((ProjectInfoTable[ProjectName]=ContinuousStatsTable[[#This Row],[ProjectName]]),(ProjectInfoTable[ProjectName]=ContinuousStatsTable[[#This Row],[ProjectName]])*ProjectInfoTable[ConfidenceInterval]))</f>
        <v>0.95</v>
      </c>
      <c r="R6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3" s="5" cm="1">
        <f t="array" ref="S693">MIN(IF((ContinuousStatsTable[GroupByKey]=ContinuousStatsTable[[#This Row],[GroupByKey]]),(ContinuousStatsTable[GroupByKey]=ContinuousStatsTable[[#This Row],[GroupByKey]])*ContinuousStatsTable[Average]))</f>
        <v>0</v>
      </c>
      <c r="T693" s="5" cm="1">
        <f t="array" ref="T693">MAX(IF((ContinuousStatsTable[GroupByKey]=ContinuousStatsTable[[#This Row],[GroupByKey]]),(ContinuousStatsTable[GroupByKey]=ContinuousStatsTable[[#This Row],[GroupByKey]])*ContinuousStatsTable[Average]))</f>
        <v>0</v>
      </c>
      <c r="U693" s="5">
        <f>IF((ContinuousStatsTable[[#This Row],[RepsRequested]]&gt;1),ContinuousStatsTable[[#This Row],[HalfWidth]],ContinuousStatsTable[[#This Row],[BatchMeansHalfWidth]])</f>
        <v>0</v>
      </c>
    </row>
    <row r="694" spans="1:21" x14ac:dyDescent="0.3">
      <c r="A694" t="s">
        <v>66</v>
      </c>
      <c r="B694" t="s">
        <v>68</v>
      </c>
      <c r="C694">
        <v>18</v>
      </c>
      <c r="D694" t="s">
        <v>104</v>
      </c>
      <c r="E694" t="s">
        <v>97</v>
      </c>
      <c r="F694" t="s">
        <v>95</v>
      </c>
      <c r="G694">
        <v>3</v>
      </c>
      <c r="H694">
        <v>2E+20</v>
      </c>
      <c r="I694">
        <v>3</v>
      </c>
      <c r="J694">
        <v>3</v>
      </c>
      <c r="K694">
        <v>3</v>
      </c>
      <c r="L694">
        <v>0</v>
      </c>
      <c r="M694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694" s="5" cm="1">
        <f t="array" ref="N694">MAX(IF((ProjectInfoTable[ProjectName]=ContinuousStatsTable[[#This Row],[ProjectName]]),(ProjectInfoTable[ProjectName]=ContinuousStatsTable[[#This Row],[ProjectName]])*ProjectInfoTable[NumberOfReplications]))</f>
        <v>30</v>
      </c>
      <c r="O694" s="5" cm="1">
        <f t="array" ref="O694">IFERROR(AVERAGE(IF((ContinuousStatsTable[GroupByKey]=ContinuousStatsTable[[#This Row],[GroupByKey]]),(ContinuousStatsTable[GroupByKey]=ContinuousStatsTable[[#This Row],[GroupByKey]])*ContinuousStatsTable[Average])),0)</f>
        <v>3</v>
      </c>
      <c r="P694" s="5" cm="1">
        <f t="array" ref="P694">IFERROR(_xlfn.STDEV.S(IF((ContinuousStatsTable[GroupByKey]=ContinuousStatsTable[[#This Row],[GroupByKey]]),(ContinuousStatsTable[GroupByKey]=ContinuousStatsTable[[#This Row],[GroupByKey]])*ContinuousStatsTable[Average])),0)</f>
        <v>0</v>
      </c>
      <c r="Q694" s="5" cm="1">
        <f t="array" ref="Q694">MAX(IF((ProjectInfoTable[ProjectName]=ContinuousStatsTable[[#This Row],[ProjectName]]),(ProjectInfoTable[ProjectName]=ContinuousStatsTable[[#This Row],[ProjectName]])*ProjectInfoTable[ConfidenceInterval]))</f>
        <v>0.95</v>
      </c>
      <c r="R6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4" s="5" cm="1">
        <f t="array" ref="S694">MIN(IF((ContinuousStatsTable[GroupByKey]=ContinuousStatsTable[[#This Row],[GroupByKey]]),(ContinuousStatsTable[GroupByKey]=ContinuousStatsTable[[#This Row],[GroupByKey]])*ContinuousStatsTable[Average]))</f>
        <v>3</v>
      </c>
      <c r="T694" s="5" cm="1">
        <f t="array" ref="T694">MAX(IF((ContinuousStatsTable[GroupByKey]=ContinuousStatsTable[[#This Row],[GroupByKey]]),(ContinuousStatsTable[GroupByKey]=ContinuousStatsTable[[#This Row],[GroupByKey]])*ContinuousStatsTable[Average]))</f>
        <v>3</v>
      </c>
      <c r="U694" s="5">
        <f>IF((ContinuousStatsTable[[#This Row],[RepsRequested]]&gt;1),ContinuousStatsTable[[#This Row],[HalfWidth]],ContinuousStatsTable[[#This Row],[BatchMeansHalfWidth]])</f>
        <v>0</v>
      </c>
    </row>
    <row r="695" spans="1:21" x14ac:dyDescent="0.3">
      <c r="A695" t="s">
        <v>66</v>
      </c>
      <c r="B695" t="s">
        <v>68</v>
      </c>
      <c r="C695">
        <v>18</v>
      </c>
      <c r="D695" t="s">
        <v>105</v>
      </c>
      <c r="E695" t="s">
        <v>94</v>
      </c>
      <c r="F695" t="s">
        <v>95</v>
      </c>
      <c r="G695">
        <v>0.90438981604937696</v>
      </c>
      <c r="H695">
        <v>2E+20</v>
      </c>
      <c r="I695">
        <v>0</v>
      </c>
      <c r="J695">
        <v>1</v>
      </c>
      <c r="K695">
        <v>1</v>
      </c>
      <c r="L695">
        <v>0</v>
      </c>
      <c r="M695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695" s="5" cm="1">
        <f t="array" ref="N695">MAX(IF((ProjectInfoTable[ProjectName]=ContinuousStatsTable[[#This Row],[ProjectName]]),(ProjectInfoTable[ProjectName]=ContinuousStatsTable[[#This Row],[ProjectName]])*ProjectInfoTable[NumberOfReplications]))</f>
        <v>30</v>
      </c>
      <c r="O695" s="5" cm="1">
        <f t="array" ref="O695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695" s="5" cm="1">
        <f t="array" ref="P695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695" s="5" cm="1">
        <f t="array" ref="Q695">MAX(IF((ProjectInfoTable[ProjectName]=ContinuousStatsTable[[#This Row],[ProjectName]]),(ProjectInfoTable[ProjectName]=ContinuousStatsTable[[#This Row],[ProjectName]])*ProjectInfoTable[ConfidenceInterval]))</f>
        <v>0.95</v>
      </c>
      <c r="R6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695" s="5" cm="1">
        <f t="array" ref="S695">MIN(IF((ContinuousStatsTable[GroupByKey]=ContinuousStatsTable[[#This Row],[GroupByKey]]),(ContinuousStatsTable[GroupByKey]=ContinuousStatsTable[[#This Row],[GroupByKey]])*ContinuousStatsTable[Average]))</f>
        <v>0.634589476164233</v>
      </c>
      <c r="T695" s="5" cm="1">
        <f t="array" ref="T695">MAX(IF((ContinuousStatsTable[GroupByKey]=ContinuousStatsTable[[#This Row],[GroupByKey]]),(ContinuousStatsTable[GroupByKey]=ContinuousStatsTable[[#This Row],[GroupByKey]])*ContinuousStatsTable[Average]))</f>
        <v>0.99383259650362799</v>
      </c>
      <c r="U695" s="5">
        <f>IF((ContinuousStatsTable[[#This Row],[RepsRequested]]&gt;1),ContinuousStatsTable[[#This Row],[HalfWidth]],ContinuousStatsTable[[#This Row],[BatchMeansHalfWidth]])</f>
        <v>3.9940526897700258E-2</v>
      </c>
    </row>
    <row r="696" spans="1:21" x14ac:dyDescent="0.3">
      <c r="A696" t="s">
        <v>66</v>
      </c>
      <c r="B696" t="s">
        <v>68</v>
      </c>
      <c r="C696">
        <v>18</v>
      </c>
      <c r="D696" t="s">
        <v>105</v>
      </c>
      <c r="E696" t="s">
        <v>96</v>
      </c>
      <c r="F696" t="s">
        <v>95</v>
      </c>
      <c r="G696">
        <v>0.90438981604937696</v>
      </c>
      <c r="H696">
        <v>2E+20</v>
      </c>
      <c r="I696">
        <v>0</v>
      </c>
      <c r="J696">
        <v>1</v>
      </c>
      <c r="K696">
        <v>1</v>
      </c>
      <c r="L696">
        <v>0</v>
      </c>
      <c r="M696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696" s="5" cm="1">
        <f t="array" ref="N696">MAX(IF((ProjectInfoTable[ProjectName]=ContinuousStatsTable[[#This Row],[ProjectName]]),(ProjectInfoTable[ProjectName]=ContinuousStatsTable[[#This Row],[ProjectName]])*ProjectInfoTable[NumberOfReplications]))</f>
        <v>30</v>
      </c>
      <c r="O696" s="5" cm="1">
        <f t="array" ref="O696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696" s="5" cm="1">
        <f t="array" ref="P696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696" s="5" cm="1">
        <f t="array" ref="Q696">MAX(IF((ProjectInfoTable[ProjectName]=ContinuousStatsTable[[#This Row],[ProjectName]]),(ProjectInfoTable[ProjectName]=ContinuousStatsTable[[#This Row],[ProjectName]])*ProjectInfoTable[ConfidenceInterval]))</f>
        <v>0.95</v>
      </c>
      <c r="R6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696" s="5" cm="1">
        <f t="array" ref="S696">MIN(IF((ContinuousStatsTable[GroupByKey]=ContinuousStatsTable[[#This Row],[GroupByKey]]),(ContinuousStatsTable[GroupByKey]=ContinuousStatsTable[[#This Row],[GroupByKey]])*ContinuousStatsTable[Average]))</f>
        <v>0.634589476164233</v>
      </c>
      <c r="T696" s="5" cm="1">
        <f t="array" ref="T696">MAX(IF((ContinuousStatsTable[GroupByKey]=ContinuousStatsTable[[#This Row],[GroupByKey]]),(ContinuousStatsTable[GroupByKey]=ContinuousStatsTable[[#This Row],[GroupByKey]])*ContinuousStatsTable[Average]))</f>
        <v>0.99383259650362799</v>
      </c>
      <c r="U696" s="5">
        <f>IF((ContinuousStatsTable[[#This Row],[RepsRequested]]&gt;1),ContinuousStatsTable[[#This Row],[HalfWidth]],ContinuousStatsTable[[#This Row],[BatchMeansHalfWidth]])</f>
        <v>3.9940526897700258E-2</v>
      </c>
    </row>
    <row r="697" spans="1:21" x14ac:dyDescent="0.3">
      <c r="A697" t="s">
        <v>66</v>
      </c>
      <c r="B697" t="s">
        <v>68</v>
      </c>
      <c r="C697">
        <v>18</v>
      </c>
      <c r="D697" t="s">
        <v>105</v>
      </c>
      <c r="E697" t="s">
        <v>97</v>
      </c>
      <c r="F697" t="s">
        <v>95</v>
      </c>
      <c r="G697">
        <v>1</v>
      </c>
      <c r="H697">
        <v>2E+20</v>
      </c>
      <c r="I697">
        <v>1</v>
      </c>
      <c r="J697">
        <v>1</v>
      </c>
      <c r="K697">
        <v>1</v>
      </c>
      <c r="L697">
        <v>0</v>
      </c>
      <c r="M697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697" s="5" cm="1">
        <f t="array" ref="N697">MAX(IF((ProjectInfoTable[ProjectName]=ContinuousStatsTable[[#This Row],[ProjectName]]),(ProjectInfoTable[ProjectName]=ContinuousStatsTable[[#This Row],[ProjectName]])*ProjectInfoTable[NumberOfReplications]))</f>
        <v>30</v>
      </c>
      <c r="O697" s="5" cm="1">
        <f t="array" ref="O697">IFERROR(AVERAGE(IF((ContinuousStatsTable[GroupByKey]=ContinuousStatsTable[[#This Row],[GroupByKey]]),(ContinuousStatsTable[GroupByKey]=ContinuousStatsTable[[#This Row],[GroupByKey]])*ContinuousStatsTable[Average])),0)</f>
        <v>1</v>
      </c>
      <c r="P697" s="5" cm="1">
        <f t="array" ref="P697">IFERROR(_xlfn.STDEV.S(IF((ContinuousStatsTable[GroupByKey]=ContinuousStatsTable[[#This Row],[GroupByKey]]),(ContinuousStatsTable[GroupByKey]=ContinuousStatsTable[[#This Row],[GroupByKey]])*ContinuousStatsTable[Average])),0)</f>
        <v>0</v>
      </c>
      <c r="Q697" s="5" cm="1">
        <f t="array" ref="Q697">MAX(IF((ProjectInfoTable[ProjectName]=ContinuousStatsTable[[#This Row],[ProjectName]]),(ProjectInfoTable[ProjectName]=ContinuousStatsTable[[#This Row],[ProjectName]])*ProjectInfoTable[ConfidenceInterval]))</f>
        <v>0.95</v>
      </c>
      <c r="R6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7" s="5" cm="1">
        <f t="array" ref="S697">MIN(IF((ContinuousStatsTable[GroupByKey]=ContinuousStatsTable[[#This Row],[GroupByKey]]),(ContinuousStatsTable[GroupByKey]=ContinuousStatsTable[[#This Row],[GroupByKey]])*ContinuousStatsTable[Average]))</f>
        <v>1</v>
      </c>
      <c r="T697" s="5" cm="1">
        <f t="array" ref="T697">MAX(IF((ContinuousStatsTable[GroupByKey]=ContinuousStatsTable[[#This Row],[GroupByKey]]),(ContinuousStatsTable[GroupByKey]=ContinuousStatsTable[[#This Row],[GroupByKey]])*ContinuousStatsTable[Average]))</f>
        <v>1</v>
      </c>
      <c r="U697" s="5">
        <f>IF((ContinuousStatsTable[[#This Row],[RepsRequested]]&gt;1),ContinuousStatsTable[[#This Row],[HalfWidth]],ContinuousStatsTable[[#This Row],[BatchMeansHalfWidth]])</f>
        <v>0</v>
      </c>
    </row>
    <row r="698" spans="1:21" x14ac:dyDescent="0.3">
      <c r="A698" t="s">
        <v>66</v>
      </c>
      <c r="B698" t="s">
        <v>68</v>
      </c>
      <c r="C698">
        <v>18</v>
      </c>
      <c r="D698" t="s">
        <v>106</v>
      </c>
      <c r="E698" t="s">
        <v>94</v>
      </c>
      <c r="F698" t="s">
        <v>95</v>
      </c>
      <c r="G698">
        <v>0.91226802298649101</v>
      </c>
      <c r="H698">
        <v>2E+20</v>
      </c>
      <c r="I698">
        <v>0</v>
      </c>
      <c r="J698">
        <v>1</v>
      </c>
      <c r="K698">
        <v>0</v>
      </c>
      <c r="L698">
        <v>0</v>
      </c>
      <c r="M698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698" s="5" cm="1">
        <f t="array" ref="N698">MAX(IF((ProjectInfoTable[ProjectName]=ContinuousStatsTable[[#This Row],[ProjectName]]),(ProjectInfoTable[ProjectName]=ContinuousStatsTable[[#This Row],[ProjectName]])*ProjectInfoTable[NumberOfReplications]))</f>
        <v>30</v>
      </c>
      <c r="O698" s="5" cm="1">
        <f t="array" ref="O698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698" s="5" cm="1">
        <f t="array" ref="P698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698" s="5" cm="1">
        <f t="array" ref="Q698">MAX(IF((ProjectInfoTable[ProjectName]=ContinuousStatsTable[[#This Row],[ProjectName]]),(ProjectInfoTable[ProjectName]=ContinuousStatsTable[[#This Row],[ProjectName]])*ProjectInfoTable[ConfidenceInterval]))</f>
        <v>0.95</v>
      </c>
      <c r="R6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698" s="5" cm="1">
        <f t="array" ref="S698">MIN(IF((ContinuousStatsTable[GroupByKey]=ContinuousStatsTable[[#This Row],[GroupByKey]]),(ContinuousStatsTable[GroupByKey]=ContinuousStatsTable[[#This Row],[GroupByKey]])*ContinuousStatsTable[Average]))</f>
        <v>0.74061105631083801</v>
      </c>
      <c r="T698" s="5" cm="1">
        <f t="array" ref="T698">MAX(IF((ContinuousStatsTable[GroupByKey]=ContinuousStatsTable[[#This Row],[GroupByKey]]),(ContinuousStatsTable[GroupByKey]=ContinuousStatsTable[[#This Row],[GroupByKey]])*ContinuousStatsTable[Average]))</f>
        <v>0.99245161744166299</v>
      </c>
      <c r="U698" s="5">
        <f>IF((ContinuousStatsTable[[#This Row],[RepsRequested]]&gt;1),ContinuousStatsTable[[#This Row],[HalfWidth]],ContinuousStatsTable[[#This Row],[BatchMeansHalfWidth]])</f>
        <v>2.8912497794626357E-2</v>
      </c>
    </row>
    <row r="699" spans="1:21" x14ac:dyDescent="0.3">
      <c r="A699" t="s">
        <v>66</v>
      </c>
      <c r="B699" t="s">
        <v>68</v>
      </c>
      <c r="C699">
        <v>18</v>
      </c>
      <c r="D699" t="s">
        <v>106</v>
      </c>
      <c r="E699" t="s">
        <v>96</v>
      </c>
      <c r="F699" t="s">
        <v>95</v>
      </c>
      <c r="G699">
        <v>0.91226802298649101</v>
      </c>
      <c r="H699">
        <v>2E+20</v>
      </c>
      <c r="I699">
        <v>0</v>
      </c>
      <c r="J699">
        <v>1</v>
      </c>
      <c r="K699">
        <v>0</v>
      </c>
      <c r="L699">
        <v>0</v>
      </c>
      <c r="M699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699" s="5" cm="1">
        <f t="array" ref="N699">MAX(IF((ProjectInfoTable[ProjectName]=ContinuousStatsTable[[#This Row],[ProjectName]]),(ProjectInfoTable[ProjectName]=ContinuousStatsTable[[#This Row],[ProjectName]])*ProjectInfoTable[NumberOfReplications]))</f>
        <v>30</v>
      </c>
      <c r="O699" s="5" cm="1">
        <f t="array" ref="O699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699" s="5" cm="1">
        <f t="array" ref="P699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699" s="5" cm="1">
        <f t="array" ref="Q699">MAX(IF((ProjectInfoTable[ProjectName]=ContinuousStatsTable[[#This Row],[ProjectName]]),(ProjectInfoTable[ProjectName]=ContinuousStatsTable[[#This Row],[ProjectName]])*ProjectInfoTable[ConfidenceInterval]))</f>
        <v>0.95</v>
      </c>
      <c r="R6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699" s="5" cm="1">
        <f t="array" ref="S699">MIN(IF((ContinuousStatsTable[GroupByKey]=ContinuousStatsTable[[#This Row],[GroupByKey]]),(ContinuousStatsTable[GroupByKey]=ContinuousStatsTable[[#This Row],[GroupByKey]])*ContinuousStatsTable[Average]))</f>
        <v>0.74061105631083801</v>
      </c>
      <c r="T699" s="5" cm="1">
        <f t="array" ref="T699">MAX(IF((ContinuousStatsTable[GroupByKey]=ContinuousStatsTable[[#This Row],[GroupByKey]]),(ContinuousStatsTable[GroupByKey]=ContinuousStatsTable[[#This Row],[GroupByKey]])*ContinuousStatsTable[Average]))</f>
        <v>0.99245161744166299</v>
      </c>
      <c r="U699" s="5">
        <f>IF((ContinuousStatsTable[[#This Row],[RepsRequested]]&gt;1),ContinuousStatsTable[[#This Row],[HalfWidth]],ContinuousStatsTable[[#This Row],[BatchMeansHalfWidth]])</f>
        <v>2.8912497794626357E-2</v>
      </c>
    </row>
    <row r="700" spans="1:21" x14ac:dyDescent="0.3">
      <c r="A700" t="s">
        <v>66</v>
      </c>
      <c r="B700" t="s">
        <v>68</v>
      </c>
      <c r="C700">
        <v>18</v>
      </c>
      <c r="D700" t="s">
        <v>106</v>
      </c>
      <c r="E700" t="s">
        <v>97</v>
      </c>
      <c r="F700" t="s">
        <v>95</v>
      </c>
      <c r="G700">
        <v>1</v>
      </c>
      <c r="H700">
        <v>2E+20</v>
      </c>
      <c r="I700">
        <v>1</v>
      </c>
      <c r="J700">
        <v>1</v>
      </c>
      <c r="K700">
        <v>1</v>
      </c>
      <c r="L700">
        <v>0</v>
      </c>
      <c r="M700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700" s="5" cm="1">
        <f t="array" ref="N700">MAX(IF((ProjectInfoTable[ProjectName]=ContinuousStatsTable[[#This Row],[ProjectName]]),(ProjectInfoTable[ProjectName]=ContinuousStatsTable[[#This Row],[ProjectName]])*ProjectInfoTable[NumberOfReplications]))</f>
        <v>30</v>
      </c>
      <c r="O700" s="5" cm="1">
        <f t="array" ref="O700">IFERROR(AVERAGE(IF((ContinuousStatsTable[GroupByKey]=ContinuousStatsTable[[#This Row],[GroupByKey]]),(ContinuousStatsTable[GroupByKey]=ContinuousStatsTable[[#This Row],[GroupByKey]])*ContinuousStatsTable[Average])),0)</f>
        <v>1</v>
      </c>
      <c r="P700" s="5" cm="1">
        <f t="array" ref="P700">IFERROR(_xlfn.STDEV.S(IF((ContinuousStatsTable[GroupByKey]=ContinuousStatsTable[[#This Row],[GroupByKey]]),(ContinuousStatsTable[GroupByKey]=ContinuousStatsTable[[#This Row],[GroupByKey]])*ContinuousStatsTable[Average])),0)</f>
        <v>0</v>
      </c>
      <c r="Q700" s="5" cm="1">
        <f t="array" ref="Q700">MAX(IF((ProjectInfoTable[ProjectName]=ContinuousStatsTable[[#This Row],[ProjectName]]),(ProjectInfoTable[ProjectName]=ContinuousStatsTable[[#This Row],[ProjectName]])*ProjectInfoTable[ConfidenceInterval]))</f>
        <v>0.95</v>
      </c>
      <c r="R7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0" s="5" cm="1">
        <f t="array" ref="S700">MIN(IF((ContinuousStatsTable[GroupByKey]=ContinuousStatsTable[[#This Row],[GroupByKey]]),(ContinuousStatsTable[GroupByKey]=ContinuousStatsTable[[#This Row],[GroupByKey]])*ContinuousStatsTable[Average]))</f>
        <v>1</v>
      </c>
      <c r="T700" s="5" cm="1">
        <f t="array" ref="T700">MAX(IF((ContinuousStatsTable[GroupByKey]=ContinuousStatsTable[[#This Row],[GroupByKey]]),(ContinuousStatsTable[GroupByKey]=ContinuousStatsTable[[#This Row],[GroupByKey]])*ContinuousStatsTable[Average]))</f>
        <v>1</v>
      </c>
      <c r="U700" s="5">
        <f>IF((ContinuousStatsTable[[#This Row],[RepsRequested]]&gt;1),ContinuousStatsTable[[#This Row],[HalfWidth]],ContinuousStatsTable[[#This Row],[BatchMeansHalfWidth]])</f>
        <v>0</v>
      </c>
    </row>
    <row r="701" spans="1:21" x14ac:dyDescent="0.3">
      <c r="A701" t="s">
        <v>66</v>
      </c>
      <c r="B701" t="s">
        <v>68</v>
      </c>
      <c r="C701">
        <v>18</v>
      </c>
      <c r="D701" t="s">
        <v>107</v>
      </c>
      <c r="E701" t="s">
        <v>94</v>
      </c>
      <c r="F701" t="s">
        <v>95</v>
      </c>
      <c r="G701">
        <v>0.913895490507594</v>
      </c>
      <c r="H701">
        <v>2E+20</v>
      </c>
      <c r="I701">
        <v>0</v>
      </c>
      <c r="J701">
        <v>1</v>
      </c>
      <c r="K701">
        <v>1</v>
      </c>
      <c r="L701">
        <v>0</v>
      </c>
      <c r="M701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701" s="5" cm="1">
        <f t="array" ref="N701">MAX(IF((ProjectInfoTable[ProjectName]=ContinuousStatsTable[[#This Row],[ProjectName]]),(ProjectInfoTable[ProjectName]=ContinuousStatsTable[[#This Row],[ProjectName]])*ProjectInfoTable[NumberOfReplications]))</f>
        <v>30</v>
      </c>
      <c r="O701" s="5" cm="1">
        <f t="array" ref="O701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701" s="5" cm="1">
        <f t="array" ref="P701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701" s="5" cm="1">
        <f t="array" ref="Q701">MAX(IF((ProjectInfoTable[ProjectName]=ContinuousStatsTable[[#This Row],[ProjectName]]),(ProjectInfoTable[ProjectName]=ContinuousStatsTable[[#This Row],[ProjectName]])*ProjectInfoTable[ConfidenceInterval]))</f>
        <v>0.95</v>
      </c>
      <c r="R7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701" s="5" cm="1">
        <f t="array" ref="S701">MIN(IF((ContinuousStatsTable[GroupByKey]=ContinuousStatsTable[[#This Row],[GroupByKey]]),(ContinuousStatsTable[GroupByKey]=ContinuousStatsTable[[#This Row],[GroupByKey]])*ContinuousStatsTable[Average]))</f>
        <v>0.73843386001690303</v>
      </c>
      <c r="T701" s="5" cm="1">
        <f t="array" ref="T701">MAX(IF((ContinuousStatsTable[GroupByKey]=ContinuousStatsTable[[#This Row],[GroupByKey]]),(ContinuousStatsTable[GroupByKey]=ContinuousStatsTable[[#This Row],[GroupByKey]])*ContinuousStatsTable[Average]))</f>
        <v>0.99245161744166299</v>
      </c>
      <c r="U701" s="5">
        <f>IF((ContinuousStatsTable[[#This Row],[RepsRequested]]&gt;1),ContinuousStatsTable[[#This Row],[HalfWidth]],ContinuousStatsTable[[#This Row],[BatchMeansHalfWidth]])</f>
        <v>2.6057642646860522E-2</v>
      </c>
    </row>
    <row r="702" spans="1:21" x14ac:dyDescent="0.3">
      <c r="A702" t="s">
        <v>66</v>
      </c>
      <c r="B702" t="s">
        <v>68</v>
      </c>
      <c r="C702">
        <v>18</v>
      </c>
      <c r="D702" t="s">
        <v>107</v>
      </c>
      <c r="E702" t="s">
        <v>96</v>
      </c>
      <c r="F702" t="s">
        <v>95</v>
      </c>
      <c r="G702">
        <v>0.913895490507594</v>
      </c>
      <c r="H702">
        <v>2E+20</v>
      </c>
      <c r="I702">
        <v>0</v>
      </c>
      <c r="J702">
        <v>1</v>
      </c>
      <c r="K702">
        <v>1</v>
      </c>
      <c r="L702">
        <v>0</v>
      </c>
      <c r="M702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702" s="5" cm="1">
        <f t="array" ref="N702">MAX(IF((ProjectInfoTable[ProjectName]=ContinuousStatsTable[[#This Row],[ProjectName]]),(ProjectInfoTable[ProjectName]=ContinuousStatsTable[[#This Row],[ProjectName]])*ProjectInfoTable[NumberOfReplications]))</f>
        <v>30</v>
      </c>
      <c r="O702" s="5" cm="1">
        <f t="array" ref="O702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702" s="5" cm="1">
        <f t="array" ref="P702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702" s="5" cm="1">
        <f t="array" ref="Q702">MAX(IF((ProjectInfoTable[ProjectName]=ContinuousStatsTable[[#This Row],[ProjectName]]),(ProjectInfoTable[ProjectName]=ContinuousStatsTable[[#This Row],[ProjectName]])*ProjectInfoTable[ConfidenceInterval]))</f>
        <v>0.95</v>
      </c>
      <c r="R7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702" s="5" cm="1">
        <f t="array" ref="S702">MIN(IF((ContinuousStatsTable[GroupByKey]=ContinuousStatsTable[[#This Row],[GroupByKey]]),(ContinuousStatsTable[GroupByKey]=ContinuousStatsTable[[#This Row],[GroupByKey]])*ContinuousStatsTable[Average]))</f>
        <v>0.73843386001690303</v>
      </c>
      <c r="T702" s="5" cm="1">
        <f t="array" ref="T702">MAX(IF((ContinuousStatsTable[GroupByKey]=ContinuousStatsTable[[#This Row],[GroupByKey]]),(ContinuousStatsTable[GroupByKey]=ContinuousStatsTable[[#This Row],[GroupByKey]])*ContinuousStatsTable[Average]))</f>
        <v>0.99245161744166299</v>
      </c>
      <c r="U702" s="5">
        <f>IF((ContinuousStatsTable[[#This Row],[RepsRequested]]&gt;1),ContinuousStatsTable[[#This Row],[HalfWidth]],ContinuousStatsTable[[#This Row],[BatchMeansHalfWidth]])</f>
        <v>2.6057642646860522E-2</v>
      </c>
    </row>
    <row r="703" spans="1:21" x14ac:dyDescent="0.3">
      <c r="A703" t="s">
        <v>66</v>
      </c>
      <c r="B703" t="s">
        <v>68</v>
      </c>
      <c r="C703">
        <v>18</v>
      </c>
      <c r="D703" t="s">
        <v>107</v>
      </c>
      <c r="E703" t="s">
        <v>97</v>
      </c>
      <c r="F703" t="s">
        <v>95</v>
      </c>
      <c r="G703">
        <v>1</v>
      </c>
      <c r="H703">
        <v>2E+20</v>
      </c>
      <c r="I703">
        <v>1</v>
      </c>
      <c r="J703">
        <v>1</v>
      </c>
      <c r="K703">
        <v>1</v>
      </c>
      <c r="L703">
        <v>0</v>
      </c>
      <c r="M703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703" s="5" cm="1">
        <f t="array" ref="N703">MAX(IF((ProjectInfoTable[ProjectName]=ContinuousStatsTable[[#This Row],[ProjectName]]),(ProjectInfoTable[ProjectName]=ContinuousStatsTable[[#This Row],[ProjectName]])*ProjectInfoTable[NumberOfReplications]))</f>
        <v>30</v>
      </c>
      <c r="O703" s="5" cm="1">
        <f t="array" ref="O703">IFERROR(AVERAGE(IF((ContinuousStatsTable[GroupByKey]=ContinuousStatsTable[[#This Row],[GroupByKey]]),(ContinuousStatsTable[GroupByKey]=ContinuousStatsTable[[#This Row],[GroupByKey]])*ContinuousStatsTable[Average])),0)</f>
        <v>1</v>
      </c>
      <c r="P703" s="5" cm="1">
        <f t="array" ref="P703">IFERROR(_xlfn.STDEV.S(IF((ContinuousStatsTable[GroupByKey]=ContinuousStatsTable[[#This Row],[GroupByKey]]),(ContinuousStatsTable[GroupByKey]=ContinuousStatsTable[[#This Row],[GroupByKey]])*ContinuousStatsTable[Average])),0)</f>
        <v>0</v>
      </c>
      <c r="Q703" s="5" cm="1">
        <f t="array" ref="Q703">MAX(IF((ProjectInfoTable[ProjectName]=ContinuousStatsTable[[#This Row],[ProjectName]]),(ProjectInfoTable[ProjectName]=ContinuousStatsTable[[#This Row],[ProjectName]])*ProjectInfoTable[ConfidenceInterval]))</f>
        <v>0.95</v>
      </c>
      <c r="R7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3" s="5" cm="1">
        <f t="array" ref="S703">MIN(IF((ContinuousStatsTable[GroupByKey]=ContinuousStatsTable[[#This Row],[GroupByKey]]),(ContinuousStatsTable[GroupByKey]=ContinuousStatsTable[[#This Row],[GroupByKey]])*ContinuousStatsTable[Average]))</f>
        <v>1</v>
      </c>
      <c r="T703" s="5" cm="1">
        <f t="array" ref="T703">MAX(IF((ContinuousStatsTable[GroupByKey]=ContinuousStatsTable[[#This Row],[GroupByKey]]),(ContinuousStatsTable[GroupByKey]=ContinuousStatsTable[[#This Row],[GroupByKey]])*ContinuousStatsTable[Average]))</f>
        <v>1</v>
      </c>
      <c r="U703" s="5">
        <f>IF((ContinuousStatsTable[[#This Row],[RepsRequested]]&gt;1),ContinuousStatsTable[[#This Row],[HalfWidth]],ContinuousStatsTable[[#This Row],[BatchMeansHalfWidth]])</f>
        <v>0</v>
      </c>
    </row>
    <row r="704" spans="1:21" x14ac:dyDescent="0.3">
      <c r="A704" t="s">
        <v>66</v>
      </c>
      <c r="B704" t="s">
        <v>68</v>
      </c>
      <c r="C704">
        <v>19</v>
      </c>
      <c r="D704" t="s">
        <v>69</v>
      </c>
      <c r="E704" t="s">
        <v>92</v>
      </c>
      <c r="F704" t="s">
        <v>71</v>
      </c>
      <c r="G704">
        <v>4.3656885011500703</v>
      </c>
      <c r="H704">
        <v>2E+20</v>
      </c>
      <c r="I704">
        <v>0</v>
      </c>
      <c r="J704">
        <v>24</v>
      </c>
      <c r="K704">
        <v>0</v>
      </c>
      <c r="L704">
        <v>0</v>
      </c>
      <c r="M704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704" s="5" cm="1">
        <f t="array" ref="N704">MAX(IF((ProjectInfoTable[ProjectName]=ContinuousStatsTable[[#This Row],[ProjectName]]),(ProjectInfoTable[ProjectName]=ContinuousStatsTable[[#This Row],[ProjectName]])*ProjectInfoTable[NumberOfReplications]))</f>
        <v>30</v>
      </c>
      <c r="O704" s="5" cm="1">
        <f t="array" ref="O704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704" s="5" cm="1">
        <f t="array" ref="P704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704" s="5" cm="1">
        <f t="array" ref="Q704">MAX(IF((ProjectInfoTable[ProjectName]=ContinuousStatsTable[[#This Row],[ProjectName]]),(ProjectInfoTable[ProjectName]=ContinuousStatsTable[[#This Row],[ProjectName]])*ProjectInfoTable[ConfidenceInterval]))</f>
        <v>0.95</v>
      </c>
      <c r="R7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704" s="5" cm="1">
        <f t="array" ref="S704">MIN(IF((ContinuousStatsTable[GroupByKey]=ContinuousStatsTable[[#This Row],[GroupByKey]]),(ContinuousStatsTable[GroupByKey]=ContinuousStatsTable[[#This Row],[GroupByKey]])*ContinuousStatsTable[Average]))</f>
        <v>2.2853775994771</v>
      </c>
      <c r="T704" s="5" cm="1">
        <f t="array" ref="T704">MAX(IF((ContinuousStatsTable[GroupByKey]=ContinuousStatsTable[[#This Row],[GroupByKey]]),(ContinuousStatsTable[GroupByKey]=ContinuousStatsTable[[#This Row],[GroupByKey]])*ContinuousStatsTable[Average]))</f>
        <v>9.3827575078214593</v>
      </c>
      <c r="U704" s="5">
        <f>IF((ContinuousStatsTable[[#This Row],[RepsRequested]]&gt;1),ContinuousStatsTable[[#This Row],[HalfWidth]],ContinuousStatsTable[[#This Row],[BatchMeansHalfWidth]])</f>
        <v>0.70373665421471332</v>
      </c>
    </row>
    <row r="705" spans="1:21" x14ac:dyDescent="0.3">
      <c r="A705" t="s">
        <v>66</v>
      </c>
      <c r="B705" t="s">
        <v>68</v>
      </c>
      <c r="C705">
        <v>19</v>
      </c>
      <c r="D705" t="s">
        <v>72</v>
      </c>
      <c r="E705" t="s">
        <v>92</v>
      </c>
      <c r="F705" t="s">
        <v>71</v>
      </c>
      <c r="G705">
        <v>2.7477672975056202</v>
      </c>
      <c r="H705">
        <v>2E+20</v>
      </c>
      <c r="I705">
        <v>0</v>
      </c>
      <c r="J705">
        <v>17</v>
      </c>
      <c r="K705">
        <v>0</v>
      </c>
      <c r="L705">
        <v>0</v>
      </c>
      <c r="M705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705" s="5" cm="1">
        <f t="array" ref="N705">MAX(IF((ProjectInfoTable[ProjectName]=ContinuousStatsTable[[#This Row],[ProjectName]]),(ProjectInfoTable[ProjectName]=ContinuousStatsTable[[#This Row],[ProjectName]])*ProjectInfoTable[NumberOfReplications]))</f>
        <v>30</v>
      </c>
      <c r="O705" s="5" cm="1">
        <f t="array" ref="O705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705" s="5" cm="1">
        <f t="array" ref="P705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705" s="5" cm="1">
        <f t="array" ref="Q705">MAX(IF((ProjectInfoTable[ProjectName]=ContinuousStatsTable[[#This Row],[ProjectName]]),(ProjectInfoTable[ProjectName]=ContinuousStatsTable[[#This Row],[ProjectName]])*ProjectInfoTable[ConfidenceInterval]))</f>
        <v>0.95</v>
      </c>
      <c r="R7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705" s="5" cm="1">
        <f t="array" ref="S705">MIN(IF((ContinuousStatsTable[GroupByKey]=ContinuousStatsTable[[#This Row],[GroupByKey]]),(ContinuousStatsTable[GroupByKey]=ContinuousStatsTable[[#This Row],[GroupByKey]])*ContinuousStatsTable[Average]))</f>
        <v>1.4754093813695901</v>
      </c>
      <c r="T705" s="5" cm="1">
        <f t="array" ref="T705">MAX(IF((ContinuousStatsTable[GroupByKey]=ContinuousStatsTable[[#This Row],[GroupByKey]]),(ContinuousStatsTable[GroupByKey]=ContinuousStatsTable[[#This Row],[GroupByKey]])*ContinuousStatsTable[Average]))</f>
        <v>8.0603747791942499</v>
      </c>
      <c r="U705" s="5">
        <f>IF((ContinuousStatsTable[[#This Row],[RepsRequested]]&gt;1),ContinuousStatsTable[[#This Row],[HalfWidth]],ContinuousStatsTable[[#This Row],[BatchMeansHalfWidth]])</f>
        <v>0.5936172943910426</v>
      </c>
    </row>
    <row r="706" spans="1:21" x14ac:dyDescent="0.3">
      <c r="A706" t="s">
        <v>66</v>
      </c>
      <c r="B706" t="s">
        <v>68</v>
      </c>
      <c r="C706">
        <v>19</v>
      </c>
      <c r="D706" t="s">
        <v>73</v>
      </c>
      <c r="E706" t="s">
        <v>92</v>
      </c>
      <c r="F706" t="s">
        <v>71</v>
      </c>
      <c r="G706">
        <v>4.2093572044884997</v>
      </c>
      <c r="H706">
        <v>2E+20</v>
      </c>
      <c r="I706">
        <v>0</v>
      </c>
      <c r="J706">
        <v>19</v>
      </c>
      <c r="K706">
        <v>5</v>
      </c>
      <c r="L706">
        <v>0</v>
      </c>
      <c r="M706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706" s="5" cm="1">
        <f t="array" ref="N706">MAX(IF((ProjectInfoTable[ProjectName]=ContinuousStatsTable[[#This Row],[ProjectName]]),(ProjectInfoTable[ProjectName]=ContinuousStatsTable[[#This Row],[ProjectName]])*ProjectInfoTable[NumberOfReplications]))</f>
        <v>30</v>
      </c>
      <c r="O706" s="5" cm="1">
        <f t="array" ref="O706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706" s="5" cm="1">
        <f t="array" ref="P706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706" s="5" cm="1">
        <f t="array" ref="Q706">MAX(IF((ProjectInfoTable[ProjectName]=ContinuousStatsTable[[#This Row],[ProjectName]]),(ProjectInfoTable[ProjectName]=ContinuousStatsTable[[#This Row],[ProjectName]])*ProjectInfoTable[ConfidenceInterval]))</f>
        <v>0.95</v>
      </c>
      <c r="R7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706" s="5" cm="1">
        <f t="array" ref="S706">MIN(IF((ContinuousStatsTable[GroupByKey]=ContinuousStatsTable[[#This Row],[GroupByKey]]),(ContinuousStatsTable[GroupByKey]=ContinuousStatsTable[[#This Row],[GroupByKey]])*ContinuousStatsTable[Average]))</f>
        <v>1.3305593103954101</v>
      </c>
      <c r="T706" s="5" cm="1">
        <f t="array" ref="T706">MAX(IF((ContinuousStatsTable[GroupByKey]=ContinuousStatsTable[[#This Row],[GroupByKey]]),(ContinuousStatsTable[GroupByKey]=ContinuousStatsTable[[#This Row],[GroupByKey]])*ContinuousStatsTable[Average]))</f>
        <v>29.356614544212601</v>
      </c>
      <c r="U706" s="5">
        <f>IF((ContinuousStatsTable[[#This Row],[RepsRequested]]&gt;1),ContinuousStatsTable[[#This Row],[HalfWidth]],ContinuousStatsTable[[#This Row],[BatchMeansHalfWidth]])</f>
        <v>2.162177461749093</v>
      </c>
    </row>
    <row r="707" spans="1:21" x14ac:dyDescent="0.3">
      <c r="A707" t="s">
        <v>66</v>
      </c>
      <c r="B707" t="s">
        <v>68</v>
      </c>
      <c r="C707">
        <v>19</v>
      </c>
      <c r="D707" t="s">
        <v>74</v>
      </c>
      <c r="E707" t="s">
        <v>92</v>
      </c>
      <c r="F707" t="s">
        <v>71</v>
      </c>
      <c r="G707">
        <v>0</v>
      </c>
      <c r="H707">
        <v>2E+20</v>
      </c>
      <c r="I707">
        <v>0</v>
      </c>
      <c r="J707">
        <v>0</v>
      </c>
      <c r="K707">
        <v>0</v>
      </c>
      <c r="L707">
        <v>0</v>
      </c>
      <c r="M707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707" s="5" cm="1">
        <f t="array" ref="N707">MAX(IF((ProjectInfoTable[ProjectName]=ContinuousStatsTable[[#This Row],[ProjectName]]),(ProjectInfoTable[ProjectName]=ContinuousStatsTable[[#This Row],[ProjectName]])*ProjectInfoTable[NumberOfReplications]))</f>
        <v>30</v>
      </c>
      <c r="O707" s="5" cm="1">
        <f t="array" ref="O707">IFERROR(AVERAGE(IF((ContinuousStatsTable[GroupByKey]=ContinuousStatsTable[[#This Row],[GroupByKey]]),(ContinuousStatsTable[GroupByKey]=ContinuousStatsTable[[#This Row],[GroupByKey]])*ContinuousStatsTable[Average])),0)</f>
        <v>0</v>
      </c>
      <c r="P707" s="5" cm="1">
        <f t="array" ref="P707">IFERROR(_xlfn.STDEV.S(IF((ContinuousStatsTable[GroupByKey]=ContinuousStatsTable[[#This Row],[GroupByKey]]),(ContinuousStatsTable[GroupByKey]=ContinuousStatsTable[[#This Row],[GroupByKey]])*ContinuousStatsTable[Average])),0)</f>
        <v>0</v>
      </c>
      <c r="Q707" s="5" cm="1">
        <f t="array" ref="Q707">MAX(IF((ProjectInfoTable[ProjectName]=ContinuousStatsTable[[#This Row],[ProjectName]]),(ProjectInfoTable[ProjectName]=ContinuousStatsTable[[#This Row],[ProjectName]])*ProjectInfoTable[ConfidenceInterval]))</f>
        <v>0.95</v>
      </c>
      <c r="R7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7" s="5" cm="1">
        <f t="array" ref="S707">MIN(IF((ContinuousStatsTable[GroupByKey]=ContinuousStatsTable[[#This Row],[GroupByKey]]),(ContinuousStatsTable[GroupByKey]=ContinuousStatsTable[[#This Row],[GroupByKey]])*ContinuousStatsTable[Average]))</f>
        <v>0</v>
      </c>
      <c r="T707" s="5" cm="1">
        <f t="array" ref="T707">MAX(IF((ContinuousStatsTable[GroupByKey]=ContinuousStatsTable[[#This Row],[GroupByKey]]),(ContinuousStatsTable[GroupByKey]=ContinuousStatsTable[[#This Row],[GroupByKey]])*ContinuousStatsTable[Average]))</f>
        <v>0</v>
      </c>
      <c r="U707" s="5">
        <f>IF((ContinuousStatsTable[[#This Row],[RepsRequested]]&gt;1),ContinuousStatsTable[[#This Row],[HalfWidth]],ContinuousStatsTable[[#This Row],[BatchMeansHalfWidth]])</f>
        <v>0</v>
      </c>
    </row>
    <row r="708" spans="1:21" x14ac:dyDescent="0.3">
      <c r="A708" t="s">
        <v>66</v>
      </c>
      <c r="B708" t="s">
        <v>68</v>
      </c>
      <c r="C708">
        <v>19</v>
      </c>
      <c r="D708" t="s">
        <v>75</v>
      </c>
      <c r="E708" t="s">
        <v>92</v>
      </c>
      <c r="F708" t="s">
        <v>71</v>
      </c>
      <c r="G708">
        <v>0</v>
      </c>
      <c r="H708">
        <v>2E+20</v>
      </c>
      <c r="I708">
        <v>0</v>
      </c>
      <c r="J708">
        <v>0</v>
      </c>
      <c r="K708">
        <v>0</v>
      </c>
      <c r="L708">
        <v>0</v>
      </c>
      <c r="M708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708" s="5" cm="1">
        <f t="array" ref="N708">MAX(IF((ProjectInfoTable[ProjectName]=ContinuousStatsTable[[#This Row],[ProjectName]]),(ProjectInfoTable[ProjectName]=ContinuousStatsTable[[#This Row],[ProjectName]])*ProjectInfoTable[NumberOfReplications]))</f>
        <v>30</v>
      </c>
      <c r="O708" s="5" cm="1">
        <f t="array" ref="O708">IFERROR(AVERAGE(IF((ContinuousStatsTable[GroupByKey]=ContinuousStatsTable[[#This Row],[GroupByKey]]),(ContinuousStatsTable[GroupByKey]=ContinuousStatsTable[[#This Row],[GroupByKey]])*ContinuousStatsTable[Average])),0)</f>
        <v>0</v>
      </c>
      <c r="P708" s="5" cm="1">
        <f t="array" ref="P708">IFERROR(_xlfn.STDEV.S(IF((ContinuousStatsTable[GroupByKey]=ContinuousStatsTable[[#This Row],[GroupByKey]]),(ContinuousStatsTable[GroupByKey]=ContinuousStatsTable[[#This Row],[GroupByKey]])*ContinuousStatsTable[Average])),0)</f>
        <v>0</v>
      </c>
      <c r="Q708" s="5" cm="1">
        <f t="array" ref="Q708">MAX(IF((ProjectInfoTable[ProjectName]=ContinuousStatsTable[[#This Row],[ProjectName]]),(ProjectInfoTable[ProjectName]=ContinuousStatsTable[[#This Row],[ProjectName]])*ProjectInfoTable[ConfidenceInterval]))</f>
        <v>0.95</v>
      </c>
      <c r="R7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8" s="5" cm="1">
        <f t="array" ref="S708">MIN(IF((ContinuousStatsTable[GroupByKey]=ContinuousStatsTable[[#This Row],[GroupByKey]]),(ContinuousStatsTable[GroupByKey]=ContinuousStatsTable[[#This Row],[GroupByKey]])*ContinuousStatsTable[Average]))</f>
        <v>0</v>
      </c>
      <c r="T708" s="5" cm="1">
        <f t="array" ref="T708">MAX(IF((ContinuousStatsTable[GroupByKey]=ContinuousStatsTable[[#This Row],[GroupByKey]]),(ContinuousStatsTable[GroupByKey]=ContinuousStatsTable[[#This Row],[GroupByKey]])*ContinuousStatsTable[Average]))</f>
        <v>0</v>
      </c>
      <c r="U708" s="5">
        <f>IF((ContinuousStatsTable[[#This Row],[RepsRequested]]&gt;1),ContinuousStatsTable[[#This Row],[HalfWidth]],ContinuousStatsTable[[#This Row],[BatchMeansHalfWidth]])</f>
        <v>0</v>
      </c>
    </row>
    <row r="709" spans="1:21" x14ac:dyDescent="0.3">
      <c r="A709" t="s">
        <v>66</v>
      </c>
      <c r="B709" t="s">
        <v>68</v>
      </c>
      <c r="C709">
        <v>19</v>
      </c>
      <c r="D709" t="s">
        <v>76</v>
      </c>
      <c r="E709" t="s">
        <v>92</v>
      </c>
      <c r="F709" t="s">
        <v>71</v>
      </c>
      <c r="G709">
        <v>0.59805843463733099</v>
      </c>
      <c r="H709">
        <v>2E+20</v>
      </c>
      <c r="I709">
        <v>0</v>
      </c>
      <c r="J709">
        <v>8</v>
      </c>
      <c r="K709">
        <v>0</v>
      </c>
      <c r="L709">
        <v>0</v>
      </c>
      <c r="M709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709" s="5" cm="1">
        <f t="array" ref="N709">MAX(IF((ProjectInfoTable[ProjectName]=ContinuousStatsTable[[#This Row],[ProjectName]]),(ProjectInfoTable[ProjectName]=ContinuousStatsTable[[#This Row],[ProjectName]])*ProjectInfoTable[NumberOfReplications]))</f>
        <v>30</v>
      </c>
      <c r="O709" s="5" cm="1">
        <f t="array" ref="O709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709" s="5" cm="1">
        <f t="array" ref="P709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709" s="5" cm="1">
        <f t="array" ref="Q709">MAX(IF((ProjectInfoTable[ProjectName]=ContinuousStatsTable[[#This Row],[ProjectName]]),(ProjectInfoTable[ProjectName]=ContinuousStatsTable[[#This Row],[ProjectName]])*ProjectInfoTable[ConfidenceInterval]))</f>
        <v>0.95</v>
      </c>
      <c r="R7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709" s="5" cm="1">
        <f t="array" ref="S709">MIN(IF((ContinuousStatsTable[GroupByKey]=ContinuousStatsTable[[#This Row],[GroupByKey]]),(ContinuousStatsTable[GroupByKey]=ContinuousStatsTable[[#This Row],[GroupByKey]])*ContinuousStatsTable[Average]))</f>
        <v>4.5869485136026601E-2</v>
      </c>
      <c r="T709" s="5" cm="1">
        <f t="array" ref="T709">MAX(IF((ContinuousStatsTable[GroupByKey]=ContinuousStatsTable[[#This Row],[GroupByKey]]),(ContinuousStatsTable[GroupByKey]=ContinuousStatsTable[[#This Row],[GroupByKey]])*ContinuousStatsTable[Average]))</f>
        <v>4.1119263103435699</v>
      </c>
      <c r="U709" s="5">
        <f>IF((ContinuousStatsTable[[#This Row],[RepsRequested]]&gt;1),ContinuousStatsTable[[#This Row],[HalfWidth]],ContinuousStatsTable[[#This Row],[BatchMeansHalfWidth]])</f>
        <v>0.43252967563899991</v>
      </c>
    </row>
    <row r="710" spans="1:21" x14ac:dyDescent="0.3">
      <c r="A710" t="s">
        <v>66</v>
      </c>
      <c r="B710" t="s">
        <v>68</v>
      </c>
      <c r="C710">
        <v>19</v>
      </c>
      <c r="D710" t="s">
        <v>77</v>
      </c>
      <c r="E710" t="s">
        <v>92</v>
      </c>
      <c r="F710" t="s">
        <v>71</v>
      </c>
      <c r="G710">
        <v>0</v>
      </c>
      <c r="H710">
        <v>2E+20</v>
      </c>
      <c r="I710">
        <v>0</v>
      </c>
      <c r="J710">
        <v>0</v>
      </c>
      <c r="K710">
        <v>0</v>
      </c>
      <c r="L710">
        <v>0</v>
      </c>
      <c r="M710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710" s="5" cm="1">
        <f t="array" ref="N710">MAX(IF((ProjectInfoTable[ProjectName]=ContinuousStatsTable[[#This Row],[ProjectName]]),(ProjectInfoTable[ProjectName]=ContinuousStatsTable[[#This Row],[ProjectName]])*ProjectInfoTable[NumberOfReplications]))</f>
        <v>30</v>
      </c>
      <c r="O710" s="5" cm="1">
        <f t="array" ref="O710">IFERROR(AVERAGE(IF((ContinuousStatsTable[GroupByKey]=ContinuousStatsTable[[#This Row],[GroupByKey]]),(ContinuousStatsTable[GroupByKey]=ContinuousStatsTable[[#This Row],[GroupByKey]])*ContinuousStatsTable[Average])),0)</f>
        <v>0</v>
      </c>
      <c r="P710" s="5" cm="1">
        <f t="array" ref="P710">IFERROR(_xlfn.STDEV.S(IF((ContinuousStatsTable[GroupByKey]=ContinuousStatsTable[[#This Row],[GroupByKey]]),(ContinuousStatsTable[GroupByKey]=ContinuousStatsTable[[#This Row],[GroupByKey]])*ContinuousStatsTable[Average])),0)</f>
        <v>0</v>
      </c>
      <c r="Q710" s="5" cm="1">
        <f t="array" ref="Q710">MAX(IF((ProjectInfoTable[ProjectName]=ContinuousStatsTable[[#This Row],[ProjectName]]),(ProjectInfoTable[ProjectName]=ContinuousStatsTable[[#This Row],[ProjectName]])*ProjectInfoTable[ConfidenceInterval]))</f>
        <v>0.95</v>
      </c>
      <c r="R7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0" s="5" cm="1">
        <f t="array" ref="S710">MIN(IF((ContinuousStatsTable[GroupByKey]=ContinuousStatsTable[[#This Row],[GroupByKey]]),(ContinuousStatsTable[GroupByKey]=ContinuousStatsTable[[#This Row],[GroupByKey]])*ContinuousStatsTable[Average]))</f>
        <v>0</v>
      </c>
      <c r="T710" s="5" cm="1">
        <f t="array" ref="T710">MAX(IF((ContinuousStatsTable[GroupByKey]=ContinuousStatsTable[[#This Row],[GroupByKey]]),(ContinuousStatsTable[GroupByKey]=ContinuousStatsTable[[#This Row],[GroupByKey]])*ContinuousStatsTable[Average]))</f>
        <v>0</v>
      </c>
      <c r="U710" s="5">
        <f>IF((ContinuousStatsTable[[#This Row],[RepsRequested]]&gt;1),ContinuousStatsTable[[#This Row],[HalfWidth]],ContinuousStatsTable[[#This Row],[BatchMeansHalfWidth]])</f>
        <v>0</v>
      </c>
    </row>
    <row r="711" spans="1:21" x14ac:dyDescent="0.3">
      <c r="A711" t="s">
        <v>66</v>
      </c>
      <c r="B711" t="s">
        <v>68</v>
      </c>
      <c r="C711">
        <v>19</v>
      </c>
      <c r="D711" t="s">
        <v>78</v>
      </c>
      <c r="E711" t="s">
        <v>92</v>
      </c>
      <c r="F711" t="s">
        <v>71</v>
      </c>
      <c r="G711">
        <v>0</v>
      </c>
      <c r="H711">
        <v>2E+20</v>
      </c>
      <c r="I711">
        <v>0</v>
      </c>
      <c r="J711">
        <v>0</v>
      </c>
      <c r="K711">
        <v>0</v>
      </c>
      <c r="L711">
        <v>0</v>
      </c>
      <c r="M711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711" s="5" cm="1">
        <f t="array" ref="N711">MAX(IF((ProjectInfoTable[ProjectName]=ContinuousStatsTable[[#This Row],[ProjectName]]),(ProjectInfoTable[ProjectName]=ContinuousStatsTable[[#This Row],[ProjectName]])*ProjectInfoTable[NumberOfReplications]))</f>
        <v>30</v>
      </c>
      <c r="O711" s="5" cm="1">
        <f t="array" ref="O711">IFERROR(AVERAGE(IF((ContinuousStatsTable[GroupByKey]=ContinuousStatsTable[[#This Row],[GroupByKey]]),(ContinuousStatsTable[GroupByKey]=ContinuousStatsTable[[#This Row],[GroupByKey]])*ContinuousStatsTable[Average])),0)</f>
        <v>0</v>
      </c>
      <c r="P711" s="5" cm="1">
        <f t="array" ref="P711">IFERROR(_xlfn.STDEV.S(IF((ContinuousStatsTable[GroupByKey]=ContinuousStatsTable[[#This Row],[GroupByKey]]),(ContinuousStatsTable[GroupByKey]=ContinuousStatsTable[[#This Row],[GroupByKey]])*ContinuousStatsTable[Average])),0)</f>
        <v>0</v>
      </c>
      <c r="Q711" s="5" cm="1">
        <f t="array" ref="Q711">MAX(IF((ProjectInfoTable[ProjectName]=ContinuousStatsTable[[#This Row],[ProjectName]]),(ProjectInfoTable[ProjectName]=ContinuousStatsTable[[#This Row],[ProjectName]])*ProjectInfoTable[ConfidenceInterval]))</f>
        <v>0.95</v>
      </c>
      <c r="R7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1" s="5" cm="1">
        <f t="array" ref="S711">MIN(IF((ContinuousStatsTable[GroupByKey]=ContinuousStatsTable[[#This Row],[GroupByKey]]),(ContinuousStatsTable[GroupByKey]=ContinuousStatsTable[[#This Row],[GroupByKey]])*ContinuousStatsTable[Average]))</f>
        <v>0</v>
      </c>
      <c r="T711" s="5" cm="1">
        <f t="array" ref="T711">MAX(IF((ContinuousStatsTable[GroupByKey]=ContinuousStatsTable[[#This Row],[GroupByKey]]),(ContinuousStatsTable[GroupByKey]=ContinuousStatsTable[[#This Row],[GroupByKey]])*ContinuousStatsTable[Average]))</f>
        <v>0</v>
      </c>
      <c r="U711" s="5">
        <f>IF((ContinuousStatsTable[[#This Row],[RepsRequested]]&gt;1),ContinuousStatsTable[[#This Row],[HalfWidth]],ContinuousStatsTable[[#This Row],[BatchMeansHalfWidth]])</f>
        <v>0</v>
      </c>
    </row>
    <row r="712" spans="1:21" x14ac:dyDescent="0.3">
      <c r="A712" t="s">
        <v>66</v>
      </c>
      <c r="B712" t="s">
        <v>68</v>
      </c>
      <c r="C712">
        <v>19</v>
      </c>
      <c r="D712" t="s">
        <v>93</v>
      </c>
      <c r="E712" t="s">
        <v>94</v>
      </c>
      <c r="F712" t="s">
        <v>95</v>
      </c>
      <c r="G712">
        <v>3.5552247824865102E-2</v>
      </c>
      <c r="H712">
        <v>2E+20</v>
      </c>
      <c r="I712">
        <v>0</v>
      </c>
      <c r="J712">
        <v>0.2</v>
      </c>
      <c r="K712">
        <v>0</v>
      </c>
      <c r="L712">
        <v>0</v>
      </c>
      <c r="M712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712" s="5" cm="1">
        <f t="array" ref="N712">MAX(IF((ProjectInfoTable[ProjectName]=ContinuousStatsTable[[#This Row],[ProjectName]]),(ProjectInfoTable[ProjectName]=ContinuousStatsTable[[#This Row],[ProjectName]])*ProjectInfoTable[NumberOfReplications]))</f>
        <v>30</v>
      </c>
      <c r="O712" s="5" cm="1">
        <f t="array" ref="O712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712" s="5" cm="1">
        <f t="array" ref="P712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712" s="5" cm="1">
        <f t="array" ref="Q712">MAX(IF((ProjectInfoTable[ProjectName]=ContinuousStatsTable[[#This Row],[ProjectName]]),(ProjectInfoTable[ProjectName]=ContinuousStatsTable[[#This Row],[ProjectName]])*ProjectInfoTable[ConfidenceInterval]))</f>
        <v>0.95</v>
      </c>
      <c r="R7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712" s="5" cm="1">
        <f t="array" ref="S712">MIN(IF((ContinuousStatsTable[GroupByKey]=ContinuousStatsTable[[#This Row],[GroupByKey]]),(ContinuousStatsTable[GroupByKey]=ContinuousStatsTable[[#This Row],[GroupByKey]])*ContinuousStatsTable[Average]))</f>
        <v>2.3718114155243601E-2</v>
      </c>
      <c r="T712" s="5" cm="1">
        <f t="array" ref="T712">MAX(IF((ContinuousStatsTable[GroupByKey]=ContinuousStatsTable[[#This Row],[GroupByKey]]),(ContinuousStatsTable[GroupByKey]=ContinuousStatsTable[[#This Row],[GroupByKey]])*ContinuousStatsTable[Average]))</f>
        <v>4.8583931724403701E-2</v>
      </c>
      <c r="U712" s="5">
        <f>IF((ContinuousStatsTable[[#This Row],[RepsRequested]]&gt;1),ContinuousStatsTable[[#This Row],[HalfWidth]],ContinuousStatsTable[[#This Row],[BatchMeansHalfWidth]])</f>
        <v>2.4839579632442289E-3</v>
      </c>
    </row>
    <row r="713" spans="1:21" x14ac:dyDescent="0.3">
      <c r="A713" t="s">
        <v>66</v>
      </c>
      <c r="B713" t="s">
        <v>68</v>
      </c>
      <c r="C713">
        <v>19</v>
      </c>
      <c r="D713" t="s">
        <v>93</v>
      </c>
      <c r="E713" t="s">
        <v>96</v>
      </c>
      <c r="F713" t="s">
        <v>95</v>
      </c>
      <c r="G713">
        <v>0.71104495649730304</v>
      </c>
      <c r="H713">
        <v>2E+20</v>
      </c>
      <c r="I713">
        <v>0</v>
      </c>
      <c r="J713">
        <v>4</v>
      </c>
      <c r="K713">
        <v>0</v>
      </c>
      <c r="L713">
        <v>0</v>
      </c>
      <c r="M713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713" s="5" cm="1">
        <f t="array" ref="N713">MAX(IF((ProjectInfoTable[ProjectName]=ContinuousStatsTable[[#This Row],[ProjectName]]),(ProjectInfoTable[ProjectName]=ContinuousStatsTable[[#This Row],[ProjectName]])*ProjectInfoTable[NumberOfReplications]))</f>
        <v>30</v>
      </c>
      <c r="O713" s="5" cm="1">
        <f t="array" ref="O713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713" s="5" cm="1">
        <f t="array" ref="P713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713" s="5" cm="1">
        <f t="array" ref="Q713">MAX(IF((ProjectInfoTable[ProjectName]=ContinuousStatsTable[[#This Row],[ProjectName]]),(ProjectInfoTable[ProjectName]=ContinuousStatsTable[[#This Row],[ProjectName]])*ProjectInfoTable[ConfidenceInterval]))</f>
        <v>0.95</v>
      </c>
      <c r="R7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713" s="5" cm="1">
        <f t="array" ref="S713">MIN(IF((ContinuousStatsTable[GroupByKey]=ContinuousStatsTable[[#This Row],[GroupByKey]]),(ContinuousStatsTable[GroupByKey]=ContinuousStatsTable[[#This Row],[GroupByKey]])*ContinuousStatsTable[Average]))</f>
        <v>0.47436228310487299</v>
      </c>
      <c r="T713" s="5" cm="1">
        <f t="array" ref="T713">MAX(IF((ContinuousStatsTable[GroupByKey]=ContinuousStatsTable[[#This Row],[GroupByKey]]),(ContinuousStatsTable[GroupByKey]=ContinuousStatsTable[[#This Row],[GroupByKey]])*ContinuousStatsTable[Average]))</f>
        <v>0.97167863448807401</v>
      </c>
      <c r="U713" s="5">
        <f>IF((ContinuousStatsTable[[#This Row],[RepsRequested]]&gt;1),ContinuousStatsTable[[#This Row],[HalfWidth]],ContinuousStatsTable[[#This Row],[BatchMeansHalfWidth]])</f>
        <v>4.9679159264885281E-2</v>
      </c>
    </row>
    <row r="714" spans="1:21" x14ac:dyDescent="0.3">
      <c r="A714" t="s">
        <v>66</v>
      </c>
      <c r="B714" t="s">
        <v>68</v>
      </c>
      <c r="C714">
        <v>19</v>
      </c>
      <c r="D714" t="s">
        <v>93</v>
      </c>
      <c r="E714" t="s">
        <v>97</v>
      </c>
      <c r="F714" t="s">
        <v>95</v>
      </c>
      <c r="G714">
        <v>20</v>
      </c>
      <c r="H714">
        <v>2E+20</v>
      </c>
      <c r="I714">
        <v>20</v>
      </c>
      <c r="J714">
        <v>20</v>
      </c>
      <c r="K714">
        <v>20</v>
      </c>
      <c r="L714">
        <v>0</v>
      </c>
      <c r="M714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714" s="5" cm="1">
        <f t="array" ref="N714">MAX(IF((ProjectInfoTable[ProjectName]=ContinuousStatsTable[[#This Row],[ProjectName]]),(ProjectInfoTable[ProjectName]=ContinuousStatsTable[[#This Row],[ProjectName]])*ProjectInfoTable[NumberOfReplications]))</f>
        <v>30</v>
      </c>
      <c r="O714" s="5" cm="1">
        <f t="array" ref="O714">IFERROR(AVERAGE(IF((ContinuousStatsTable[GroupByKey]=ContinuousStatsTable[[#This Row],[GroupByKey]]),(ContinuousStatsTable[GroupByKey]=ContinuousStatsTable[[#This Row],[GroupByKey]])*ContinuousStatsTable[Average])),0)</f>
        <v>20</v>
      </c>
      <c r="P714" s="5" cm="1">
        <f t="array" ref="P714">IFERROR(_xlfn.STDEV.S(IF((ContinuousStatsTable[GroupByKey]=ContinuousStatsTable[[#This Row],[GroupByKey]]),(ContinuousStatsTable[GroupByKey]=ContinuousStatsTable[[#This Row],[GroupByKey]])*ContinuousStatsTable[Average])),0)</f>
        <v>0</v>
      </c>
      <c r="Q714" s="5" cm="1">
        <f t="array" ref="Q714">MAX(IF((ProjectInfoTable[ProjectName]=ContinuousStatsTable[[#This Row],[ProjectName]]),(ProjectInfoTable[ProjectName]=ContinuousStatsTable[[#This Row],[ProjectName]])*ProjectInfoTable[ConfidenceInterval]))</f>
        <v>0.95</v>
      </c>
      <c r="R7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4" s="5" cm="1">
        <f t="array" ref="S714">MIN(IF((ContinuousStatsTable[GroupByKey]=ContinuousStatsTable[[#This Row],[GroupByKey]]),(ContinuousStatsTable[GroupByKey]=ContinuousStatsTable[[#This Row],[GroupByKey]])*ContinuousStatsTable[Average]))</f>
        <v>20</v>
      </c>
      <c r="T714" s="5" cm="1">
        <f t="array" ref="T714">MAX(IF((ContinuousStatsTable[GroupByKey]=ContinuousStatsTable[[#This Row],[GroupByKey]]),(ContinuousStatsTable[GroupByKey]=ContinuousStatsTable[[#This Row],[GroupByKey]])*ContinuousStatsTable[Average]))</f>
        <v>20</v>
      </c>
      <c r="U714" s="5">
        <f>IF((ContinuousStatsTable[[#This Row],[RepsRequested]]&gt;1),ContinuousStatsTable[[#This Row],[HalfWidth]],ContinuousStatsTable[[#This Row],[BatchMeansHalfWidth]])</f>
        <v>0</v>
      </c>
    </row>
    <row r="715" spans="1:21" x14ac:dyDescent="0.3">
      <c r="A715" t="s">
        <v>66</v>
      </c>
      <c r="B715" t="s">
        <v>68</v>
      </c>
      <c r="C715">
        <v>19</v>
      </c>
      <c r="D715" t="s">
        <v>98</v>
      </c>
      <c r="E715" t="s">
        <v>94</v>
      </c>
      <c r="F715" t="s">
        <v>95</v>
      </c>
      <c r="G715">
        <v>0.220856071251576</v>
      </c>
      <c r="H715">
        <v>2E+20</v>
      </c>
      <c r="I715">
        <v>0</v>
      </c>
      <c r="J715">
        <v>0.5</v>
      </c>
      <c r="K715">
        <v>0.4</v>
      </c>
      <c r="L715">
        <v>0</v>
      </c>
      <c r="M715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715" s="5" cm="1">
        <f t="array" ref="N715">MAX(IF((ProjectInfoTable[ProjectName]=ContinuousStatsTable[[#This Row],[ProjectName]]),(ProjectInfoTable[ProjectName]=ContinuousStatsTable[[#This Row],[ProjectName]])*ProjectInfoTable[NumberOfReplications]))</f>
        <v>30</v>
      </c>
      <c r="O715" s="5" cm="1">
        <f t="array" ref="O715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715" s="5" cm="1">
        <f t="array" ref="P715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715" s="5" cm="1">
        <f t="array" ref="Q715">MAX(IF((ProjectInfoTable[ProjectName]=ContinuousStatsTable[[#This Row],[ProjectName]]),(ProjectInfoTable[ProjectName]=ContinuousStatsTable[[#This Row],[ProjectName]])*ProjectInfoTable[ConfidenceInterval]))</f>
        <v>0.95</v>
      </c>
      <c r="R7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715" s="5" cm="1">
        <f t="array" ref="S715">MIN(IF((ContinuousStatsTable[GroupByKey]=ContinuousStatsTable[[#This Row],[GroupByKey]]),(ContinuousStatsTable[GroupByKey]=ContinuousStatsTable[[#This Row],[GroupByKey]])*ContinuousStatsTable[Average]))</f>
        <v>0.20767736113278101</v>
      </c>
      <c r="T715" s="5" cm="1">
        <f t="array" ref="T715">MAX(IF((ContinuousStatsTable[GroupByKey]=ContinuousStatsTable[[#This Row],[GroupByKey]]),(ContinuousStatsTable[GroupByKey]=ContinuousStatsTable[[#This Row],[GroupByKey]])*ContinuousStatsTable[Average]))</f>
        <v>0.28501162927715501</v>
      </c>
      <c r="U715" s="5">
        <f>IF((ContinuousStatsTable[[#This Row],[RepsRequested]]&gt;1),ContinuousStatsTable[[#This Row],[HalfWidth]],ContinuousStatsTable[[#This Row],[BatchMeansHalfWidth]])</f>
        <v>8.7273384073404715E-3</v>
      </c>
    </row>
    <row r="716" spans="1:21" x14ac:dyDescent="0.3">
      <c r="A716" t="s">
        <v>66</v>
      </c>
      <c r="B716" t="s">
        <v>68</v>
      </c>
      <c r="C716">
        <v>19</v>
      </c>
      <c r="D716" t="s">
        <v>98</v>
      </c>
      <c r="E716" t="s">
        <v>96</v>
      </c>
      <c r="F716" t="s">
        <v>95</v>
      </c>
      <c r="G716">
        <v>4.4171214250315201</v>
      </c>
      <c r="H716">
        <v>2E+20</v>
      </c>
      <c r="I716">
        <v>0</v>
      </c>
      <c r="J716">
        <v>10</v>
      </c>
      <c r="K716">
        <v>8</v>
      </c>
      <c r="L716">
        <v>0</v>
      </c>
      <c r="M716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716" s="5" cm="1">
        <f t="array" ref="N716">MAX(IF((ProjectInfoTable[ProjectName]=ContinuousStatsTable[[#This Row],[ProjectName]]),(ProjectInfoTable[ProjectName]=ContinuousStatsTable[[#This Row],[ProjectName]])*ProjectInfoTable[NumberOfReplications]))</f>
        <v>30</v>
      </c>
      <c r="O716" s="5" cm="1">
        <f t="array" ref="O716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716" s="5" cm="1">
        <f t="array" ref="P716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716" s="5" cm="1">
        <f t="array" ref="Q716">MAX(IF((ProjectInfoTable[ProjectName]=ContinuousStatsTable[[#This Row],[ProjectName]]),(ProjectInfoTable[ProjectName]=ContinuousStatsTable[[#This Row],[ProjectName]])*ProjectInfoTable[ConfidenceInterval]))</f>
        <v>0.95</v>
      </c>
      <c r="R7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716" s="5" cm="1">
        <f t="array" ref="S716">MIN(IF((ContinuousStatsTable[GroupByKey]=ContinuousStatsTable[[#This Row],[GroupByKey]]),(ContinuousStatsTable[GroupByKey]=ContinuousStatsTable[[#This Row],[GroupByKey]])*ContinuousStatsTable[Average]))</f>
        <v>4.15354722265561</v>
      </c>
      <c r="T716" s="5" cm="1">
        <f t="array" ref="T716">MAX(IF((ContinuousStatsTable[GroupByKey]=ContinuousStatsTable[[#This Row],[GroupByKey]]),(ContinuousStatsTable[GroupByKey]=ContinuousStatsTable[[#This Row],[GroupByKey]])*ContinuousStatsTable[Average]))</f>
        <v>5.7002325855431097</v>
      </c>
      <c r="U716" s="5">
        <f>IF((ContinuousStatsTable[[#This Row],[RepsRequested]]&gt;1),ContinuousStatsTable[[#This Row],[HalfWidth]],ContinuousStatsTable[[#This Row],[BatchMeansHalfWidth]])</f>
        <v>0.17454676814681078</v>
      </c>
    </row>
    <row r="717" spans="1:21" x14ac:dyDescent="0.3">
      <c r="A717" t="s">
        <v>66</v>
      </c>
      <c r="B717" t="s">
        <v>68</v>
      </c>
      <c r="C717">
        <v>19</v>
      </c>
      <c r="D717" t="s">
        <v>98</v>
      </c>
      <c r="E717" t="s">
        <v>97</v>
      </c>
      <c r="F717" t="s">
        <v>95</v>
      </c>
      <c r="G717">
        <v>20</v>
      </c>
      <c r="H717">
        <v>2E+20</v>
      </c>
      <c r="I717">
        <v>20</v>
      </c>
      <c r="J717">
        <v>20</v>
      </c>
      <c r="K717">
        <v>20</v>
      </c>
      <c r="L717">
        <v>0</v>
      </c>
      <c r="M717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717" s="5" cm="1">
        <f t="array" ref="N717">MAX(IF((ProjectInfoTable[ProjectName]=ContinuousStatsTable[[#This Row],[ProjectName]]),(ProjectInfoTable[ProjectName]=ContinuousStatsTable[[#This Row],[ProjectName]])*ProjectInfoTable[NumberOfReplications]))</f>
        <v>30</v>
      </c>
      <c r="O717" s="5" cm="1">
        <f t="array" ref="O717">IFERROR(AVERAGE(IF((ContinuousStatsTable[GroupByKey]=ContinuousStatsTable[[#This Row],[GroupByKey]]),(ContinuousStatsTable[GroupByKey]=ContinuousStatsTable[[#This Row],[GroupByKey]])*ContinuousStatsTable[Average])),0)</f>
        <v>20</v>
      </c>
      <c r="P717" s="5" cm="1">
        <f t="array" ref="P717">IFERROR(_xlfn.STDEV.S(IF((ContinuousStatsTable[GroupByKey]=ContinuousStatsTable[[#This Row],[GroupByKey]]),(ContinuousStatsTable[GroupByKey]=ContinuousStatsTable[[#This Row],[GroupByKey]])*ContinuousStatsTable[Average])),0)</f>
        <v>0</v>
      </c>
      <c r="Q717" s="5" cm="1">
        <f t="array" ref="Q717">MAX(IF((ProjectInfoTable[ProjectName]=ContinuousStatsTable[[#This Row],[ProjectName]]),(ProjectInfoTable[ProjectName]=ContinuousStatsTable[[#This Row],[ProjectName]])*ProjectInfoTable[ConfidenceInterval]))</f>
        <v>0.95</v>
      </c>
      <c r="R7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7" s="5" cm="1">
        <f t="array" ref="S717">MIN(IF((ContinuousStatsTable[GroupByKey]=ContinuousStatsTable[[#This Row],[GroupByKey]]),(ContinuousStatsTable[GroupByKey]=ContinuousStatsTable[[#This Row],[GroupByKey]])*ContinuousStatsTable[Average]))</f>
        <v>20</v>
      </c>
      <c r="T717" s="5" cm="1">
        <f t="array" ref="T717">MAX(IF((ContinuousStatsTable[GroupByKey]=ContinuousStatsTable[[#This Row],[GroupByKey]]),(ContinuousStatsTable[GroupByKey]=ContinuousStatsTable[[#This Row],[GroupByKey]])*ContinuousStatsTable[Average]))</f>
        <v>20</v>
      </c>
      <c r="U717" s="5">
        <f>IF((ContinuousStatsTable[[#This Row],[RepsRequested]]&gt;1),ContinuousStatsTable[[#This Row],[HalfWidth]],ContinuousStatsTable[[#This Row],[BatchMeansHalfWidth]])</f>
        <v>0</v>
      </c>
    </row>
    <row r="718" spans="1:21" x14ac:dyDescent="0.3">
      <c r="A718" t="s">
        <v>66</v>
      </c>
      <c r="B718" t="s">
        <v>68</v>
      </c>
      <c r="C718">
        <v>19</v>
      </c>
      <c r="D718" t="s">
        <v>99</v>
      </c>
      <c r="E718" t="s">
        <v>94</v>
      </c>
      <c r="F718" t="s">
        <v>95</v>
      </c>
      <c r="G718">
        <v>0.62420848062589296</v>
      </c>
      <c r="H718">
        <v>2E+20</v>
      </c>
      <c r="I718">
        <v>0</v>
      </c>
      <c r="J718">
        <v>1</v>
      </c>
      <c r="K718">
        <v>0.7</v>
      </c>
      <c r="L718">
        <v>0</v>
      </c>
      <c r="M718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718" s="5" cm="1">
        <f t="array" ref="N718">MAX(IF((ProjectInfoTable[ProjectName]=ContinuousStatsTable[[#This Row],[ProjectName]]),(ProjectInfoTable[ProjectName]=ContinuousStatsTable[[#This Row],[ProjectName]])*ProjectInfoTable[NumberOfReplications]))</f>
        <v>30</v>
      </c>
      <c r="O718" s="5" cm="1">
        <f t="array" ref="O718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718" s="5" cm="1">
        <f t="array" ref="P718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718" s="5" cm="1">
        <f t="array" ref="Q718">MAX(IF((ProjectInfoTable[ProjectName]=ContinuousStatsTable[[#This Row],[ProjectName]]),(ProjectInfoTable[ProjectName]=ContinuousStatsTable[[#This Row],[ProjectName]])*ProjectInfoTable[ConfidenceInterval]))</f>
        <v>0.95</v>
      </c>
      <c r="R7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718" s="5" cm="1">
        <f t="array" ref="S718">MIN(IF((ContinuousStatsTable[GroupByKey]=ContinuousStatsTable[[#This Row],[GroupByKey]]),(ContinuousStatsTable[GroupByKey]=ContinuousStatsTable[[#This Row],[GroupByKey]])*ContinuousStatsTable[Average]))</f>
        <v>0.517215348442703</v>
      </c>
      <c r="T718" s="5" cm="1">
        <f t="array" ref="T718">MAX(IF((ContinuousStatsTable[GroupByKey]=ContinuousStatsTable[[#This Row],[GroupByKey]]),(ContinuousStatsTable[GroupByKey]=ContinuousStatsTable[[#This Row],[GroupByKey]])*ContinuousStatsTable[Average]))</f>
        <v>0.67770389283754395</v>
      </c>
      <c r="U718" s="5">
        <f>IF((ContinuousStatsTable[[#This Row],[RepsRequested]]&gt;1),ContinuousStatsTable[[#This Row],[HalfWidth]],ContinuousStatsTable[[#This Row],[BatchMeansHalfWidth]])</f>
        <v>1.8059192833960565E-2</v>
      </c>
    </row>
    <row r="719" spans="1:21" x14ac:dyDescent="0.3">
      <c r="A719" t="s">
        <v>66</v>
      </c>
      <c r="B719" t="s">
        <v>68</v>
      </c>
      <c r="C719">
        <v>19</v>
      </c>
      <c r="D719" t="s">
        <v>99</v>
      </c>
      <c r="E719" t="s">
        <v>96</v>
      </c>
      <c r="F719" t="s">
        <v>95</v>
      </c>
      <c r="G719">
        <v>6.2420848062589398</v>
      </c>
      <c r="H719">
        <v>2E+20</v>
      </c>
      <c r="I719">
        <v>0</v>
      </c>
      <c r="J719">
        <v>10</v>
      </c>
      <c r="K719">
        <v>7</v>
      </c>
      <c r="L719">
        <v>0</v>
      </c>
      <c r="M719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719" s="5" cm="1">
        <f t="array" ref="N719">MAX(IF((ProjectInfoTable[ProjectName]=ContinuousStatsTable[[#This Row],[ProjectName]]),(ProjectInfoTable[ProjectName]=ContinuousStatsTable[[#This Row],[ProjectName]])*ProjectInfoTable[NumberOfReplications]))</f>
        <v>30</v>
      </c>
      <c r="O719" s="5" cm="1">
        <f t="array" ref="O719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719" s="5" cm="1">
        <f t="array" ref="P719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719" s="5" cm="1">
        <f t="array" ref="Q719">MAX(IF((ProjectInfoTable[ProjectName]=ContinuousStatsTable[[#This Row],[ProjectName]]),(ProjectInfoTable[ProjectName]=ContinuousStatsTable[[#This Row],[ProjectName]])*ProjectInfoTable[ConfidenceInterval]))</f>
        <v>0.95</v>
      </c>
      <c r="R7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719" s="5" cm="1">
        <f t="array" ref="S719">MIN(IF((ContinuousStatsTable[GroupByKey]=ContinuousStatsTable[[#This Row],[GroupByKey]]),(ContinuousStatsTable[GroupByKey]=ContinuousStatsTable[[#This Row],[GroupByKey]])*ContinuousStatsTable[Average]))</f>
        <v>5.1721534844270298</v>
      </c>
      <c r="T719" s="5" cm="1">
        <f t="array" ref="T719">MAX(IF((ContinuousStatsTable[GroupByKey]=ContinuousStatsTable[[#This Row],[GroupByKey]]),(ContinuousStatsTable[GroupByKey]=ContinuousStatsTable[[#This Row],[GroupByKey]])*ContinuousStatsTable[Average]))</f>
        <v>6.7770389283754398</v>
      </c>
      <c r="U719" s="5">
        <f>IF((ContinuousStatsTable[[#This Row],[RepsRequested]]&gt;1),ContinuousStatsTable[[#This Row],[HalfWidth]],ContinuousStatsTable[[#This Row],[BatchMeansHalfWidth]])</f>
        <v>0.18059192833960558</v>
      </c>
    </row>
    <row r="720" spans="1:21" x14ac:dyDescent="0.3">
      <c r="A720" t="s">
        <v>66</v>
      </c>
      <c r="B720" t="s">
        <v>68</v>
      </c>
      <c r="C720">
        <v>19</v>
      </c>
      <c r="D720" t="s">
        <v>99</v>
      </c>
      <c r="E720" t="s">
        <v>97</v>
      </c>
      <c r="F720" t="s">
        <v>95</v>
      </c>
      <c r="G720">
        <v>10</v>
      </c>
      <c r="H720">
        <v>2E+20</v>
      </c>
      <c r="I720">
        <v>10</v>
      </c>
      <c r="J720">
        <v>10</v>
      </c>
      <c r="K720">
        <v>10</v>
      </c>
      <c r="L720">
        <v>0</v>
      </c>
      <c r="M720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720" s="5" cm="1">
        <f t="array" ref="N720">MAX(IF((ProjectInfoTable[ProjectName]=ContinuousStatsTable[[#This Row],[ProjectName]]),(ProjectInfoTable[ProjectName]=ContinuousStatsTable[[#This Row],[ProjectName]])*ProjectInfoTable[NumberOfReplications]))</f>
        <v>30</v>
      </c>
      <c r="O720" s="5" cm="1">
        <f t="array" ref="O720">IFERROR(AVERAGE(IF((ContinuousStatsTable[GroupByKey]=ContinuousStatsTable[[#This Row],[GroupByKey]]),(ContinuousStatsTable[GroupByKey]=ContinuousStatsTable[[#This Row],[GroupByKey]])*ContinuousStatsTable[Average])),0)</f>
        <v>10</v>
      </c>
      <c r="P720" s="5" cm="1">
        <f t="array" ref="P720">IFERROR(_xlfn.STDEV.S(IF((ContinuousStatsTable[GroupByKey]=ContinuousStatsTable[[#This Row],[GroupByKey]]),(ContinuousStatsTable[GroupByKey]=ContinuousStatsTable[[#This Row],[GroupByKey]])*ContinuousStatsTable[Average])),0)</f>
        <v>0</v>
      </c>
      <c r="Q720" s="5" cm="1">
        <f t="array" ref="Q720">MAX(IF((ProjectInfoTable[ProjectName]=ContinuousStatsTable[[#This Row],[ProjectName]]),(ProjectInfoTable[ProjectName]=ContinuousStatsTable[[#This Row],[ProjectName]])*ProjectInfoTable[ConfidenceInterval]))</f>
        <v>0.95</v>
      </c>
      <c r="R7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0" s="5" cm="1">
        <f t="array" ref="S720">MIN(IF((ContinuousStatsTable[GroupByKey]=ContinuousStatsTable[[#This Row],[GroupByKey]]),(ContinuousStatsTable[GroupByKey]=ContinuousStatsTable[[#This Row],[GroupByKey]])*ContinuousStatsTable[Average]))</f>
        <v>10</v>
      </c>
      <c r="T720" s="5" cm="1">
        <f t="array" ref="T720">MAX(IF((ContinuousStatsTable[GroupByKey]=ContinuousStatsTable[[#This Row],[GroupByKey]]),(ContinuousStatsTable[GroupByKey]=ContinuousStatsTable[[#This Row],[GroupByKey]])*ContinuousStatsTable[Average]))</f>
        <v>10</v>
      </c>
      <c r="U720" s="5">
        <f>IF((ContinuousStatsTable[[#This Row],[RepsRequested]]&gt;1),ContinuousStatsTable[[#This Row],[HalfWidth]],ContinuousStatsTable[[#This Row],[BatchMeansHalfWidth]])</f>
        <v>0</v>
      </c>
    </row>
    <row r="721" spans="1:21" x14ac:dyDescent="0.3">
      <c r="A721" t="s">
        <v>66</v>
      </c>
      <c r="B721" t="s">
        <v>68</v>
      </c>
      <c r="C721">
        <v>19</v>
      </c>
      <c r="D721" t="s">
        <v>100</v>
      </c>
      <c r="E721" t="s">
        <v>94</v>
      </c>
      <c r="F721" t="s">
        <v>95</v>
      </c>
      <c r="G721">
        <v>0.181158017537523</v>
      </c>
      <c r="H721">
        <v>2E+20</v>
      </c>
      <c r="I721">
        <v>0</v>
      </c>
      <c r="J721">
        <v>0.42</v>
      </c>
      <c r="K721">
        <v>0.22</v>
      </c>
      <c r="L721">
        <v>0</v>
      </c>
      <c r="M721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721" s="5" cm="1">
        <f t="array" ref="N721">MAX(IF((ProjectInfoTable[ProjectName]=ContinuousStatsTable[[#This Row],[ProjectName]]),(ProjectInfoTable[ProjectName]=ContinuousStatsTable[[#This Row],[ProjectName]])*ProjectInfoTable[NumberOfReplications]))</f>
        <v>30</v>
      </c>
      <c r="O721" s="5" cm="1">
        <f t="array" ref="O721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721" s="5" cm="1">
        <f t="array" ref="P721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721" s="5" cm="1">
        <f t="array" ref="Q721">MAX(IF((ProjectInfoTable[ProjectName]=ContinuousStatsTable[[#This Row],[ProjectName]]),(ProjectInfoTable[ProjectName]=ContinuousStatsTable[[#This Row],[ProjectName]])*ProjectInfoTable[ConfidenceInterval]))</f>
        <v>0.95</v>
      </c>
      <c r="R7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721" s="5" cm="1">
        <f t="array" ref="S721">MIN(IF((ContinuousStatsTable[GroupByKey]=ContinuousStatsTable[[#This Row],[GroupByKey]]),(ContinuousStatsTable[GroupByKey]=ContinuousStatsTable[[#This Row],[GroupByKey]])*ContinuousStatsTable[Average]))</f>
        <v>0.14484829778125299</v>
      </c>
      <c r="T721" s="5" cm="1">
        <f t="array" ref="T721">MAX(IF((ContinuousStatsTable[GroupByKey]=ContinuousStatsTable[[#This Row],[GroupByKey]]),(ContinuousStatsTable[GroupByKey]=ContinuousStatsTable[[#This Row],[GroupByKey]])*ContinuousStatsTable[Average]))</f>
        <v>0.19609322315655101</v>
      </c>
      <c r="U721" s="5">
        <f>IF((ContinuousStatsTable[[#This Row],[RepsRequested]]&gt;1),ContinuousStatsTable[[#This Row],[HalfWidth]],ContinuousStatsTable[[#This Row],[BatchMeansHalfWidth]])</f>
        <v>4.9714113556225048E-3</v>
      </c>
    </row>
    <row r="722" spans="1:21" x14ac:dyDescent="0.3">
      <c r="A722" t="s">
        <v>66</v>
      </c>
      <c r="B722" t="s">
        <v>68</v>
      </c>
      <c r="C722">
        <v>19</v>
      </c>
      <c r="D722" t="s">
        <v>100</v>
      </c>
      <c r="E722" t="s">
        <v>96</v>
      </c>
      <c r="F722" t="s">
        <v>95</v>
      </c>
      <c r="G722">
        <v>9.0579008768761504</v>
      </c>
      <c r="H722">
        <v>2E+20</v>
      </c>
      <c r="I722">
        <v>0</v>
      </c>
      <c r="J722">
        <v>21</v>
      </c>
      <c r="K722">
        <v>11</v>
      </c>
      <c r="L722">
        <v>0</v>
      </c>
      <c r="M722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722" s="5" cm="1">
        <f t="array" ref="N722">MAX(IF((ProjectInfoTable[ProjectName]=ContinuousStatsTable[[#This Row],[ProjectName]]),(ProjectInfoTable[ProjectName]=ContinuousStatsTable[[#This Row],[ProjectName]])*ProjectInfoTable[NumberOfReplications]))</f>
        <v>30</v>
      </c>
      <c r="O722" s="5" cm="1">
        <f t="array" ref="O722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722" s="5" cm="1">
        <f t="array" ref="P722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722" s="5" cm="1">
        <f t="array" ref="Q722">MAX(IF((ProjectInfoTable[ProjectName]=ContinuousStatsTable[[#This Row],[ProjectName]]),(ProjectInfoTable[ProjectName]=ContinuousStatsTable[[#This Row],[ProjectName]])*ProjectInfoTable[ConfidenceInterval]))</f>
        <v>0.95</v>
      </c>
      <c r="R7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722" s="5" cm="1">
        <f t="array" ref="S722">MIN(IF((ContinuousStatsTable[GroupByKey]=ContinuousStatsTable[[#This Row],[GroupByKey]]),(ContinuousStatsTable[GroupByKey]=ContinuousStatsTable[[#This Row],[GroupByKey]])*ContinuousStatsTable[Average]))</f>
        <v>7.2424148890626396</v>
      </c>
      <c r="T722" s="5" cm="1">
        <f t="array" ref="T722">MAX(IF((ContinuousStatsTable[GroupByKey]=ContinuousStatsTable[[#This Row],[GroupByKey]]),(ContinuousStatsTable[GroupByKey]=ContinuousStatsTable[[#This Row],[GroupByKey]])*ContinuousStatsTable[Average]))</f>
        <v>9.8046611578275602</v>
      </c>
      <c r="U722" s="5">
        <f>IF((ContinuousStatsTable[[#This Row],[RepsRequested]]&gt;1),ContinuousStatsTable[[#This Row],[HalfWidth]],ContinuousStatsTable[[#This Row],[BatchMeansHalfWidth]])</f>
        <v>0.24857056778112663</v>
      </c>
    </row>
    <row r="723" spans="1:21" x14ac:dyDescent="0.3">
      <c r="A723" t="s">
        <v>66</v>
      </c>
      <c r="B723" t="s">
        <v>68</v>
      </c>
      <c r="C723">
        <v>19</v>
      </c>
      <c r="D723" t="s">
        <v>100</v>
      </c>
      <c r="E723" t="s">
        <v>97</v>
      </c>
      <c r="F723" t="s">
        <v>95</v>
      </c>
      <c r="G723">
        <v>50</v>
      </c>
      <c r="H723">
        <v>2E+20</v>
      </c>
      <c r="I723">
        <v>50</v>
      </c>
      <c r="J723">
        <v>50</v>
      </c>
      <c r="K723">
        <v>50</v>
      </c>
      <c r="L723">
        <v>0</v>
      </c>
      <c r="M723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723" s="5" cm="1">
        <f t="array" ref="N723">MAX(IF((ProjectInfoTable[ProjectName]=ContinuousStatsTable[[#This Row],[ProjectName]]),(ProjectInfoTable[ProjectName]=ContinuousStatsTable[[#This Row],[ProjectName]])*ProjectInfoTable[NumberOfReplications]))</f>
        <v>30</v>
      </c>
      <c r="O723" s="5" cm="1">
        <f t="array" ref="O723">IFERROR(AVERAGE(IF((ContinuousStatsTable[GroupByKey]=ContinuousStatsTable[[#This Row],[GroupByKey]]),(ContinuousStatsTable[GroupByKey]=ContinuousStatsTable[[#This Row],[GroupByKey]])*ContinuousStatsTable[Average])),0)</f>
        <v>50</v>
      </c>
      <c r="P723" s="5" cm="1">
        <f t="array" ref="P723">IFERROR(_xlfn.STDEV.S(IF((ContinuousStatsTable[GroupByKey]=ContinuousStatsTable[[#This Row],[GroupByKey]]),(ContinuousStatsTable[GroupByKey]=ContinuousStatsTable[[#This Row],[GroupByKey]])*ContinuousStatsTable[Average])),0)</f>
        <v>0</v>
      </c>
      <c r="Q723" s="5" cm="1">
        <f t="array" ref="Q723">MAX(IF((ProjectInfoTable[ProjectName]=ContinuousStatsTable[[#This Row],[ProjectName]]),(ProjectInfoTable[ProjectName]=ContinuousStatsTable[[#This Row],[ProjectName]])*ProjectInfoTable[ConfidenceInterval]))</f>
        <v>0.95</v>
      </c>
      <c r="R7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3" s="5" cm="1">
        <f t="array" ref="S723">MIN(IF((ContinuousStatsTable[GroupByKey]=ContinuousStatsTable[[#This Row],[GroupByKey]]),(ContinuousStatsTable[GroupByKey]=ContinuousStatsTable[[#This Row],[GroupByKey]])*ContinuousStatsTable[Average]))</f>
        <v>50</v>
      </c>
      <c r="T723" s="5" cm="1">
        <f t="array" ref="T723">MAX(IF((ContinuousStatsTable[GroupByKey]=ContinuousStatsTable[[#This Row],[GroupByKey]]),(ContinuousStatsTable[GroupByKey]=ContinuousStatsTable[[#This Row],[GroupByKey]])*ContinuousStatsTable[Average]))</f>
        <v>50</v>
      </c>
      <c r="U723" s="5">
        <f>IF((ContinuousStatsTable[[#This Row],[RepsRequested]]&gt;1),ContinuousStatsTable[[#This Row],[HalfWidth]],ContinuousStatsTable[[#This Row],[BatchMeansHalfWidth]])</f>
        <v>0</v>
      </c>
    </row>
    <row r="724" spans="1:21" x14ac:dyDescent="0.3">
      <c r="A724" t="s">
        <v>66</v>
      </c>
      <c r="B724" t="s">
        <v>68</v>
      </c>
      <c r="C724">
        <v>19</v>
      </c>
      <c r="D724" t="s">
        <v>101</v>
      </c>
      <c r="E724" t="s">
        <v>94</v>
      </c>
      <c r="F724" t="s">
        <v>95</v>
      </c>
      <c r="G724">
        <v>0.108791637869777</v>
      </c>
      <c r="H724">
        <v>2E+20</v>
      </c>
      <c r="I724">
        <v>0</v>
      </c>
      <c r="J724">
        <v>0.4</v>
      </c>
      <c r="K724">
        <v>0.33333333333333298</v>
      </c>
      <c r="L724">
        <v>0</v>
      </c>
      <c r="M724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724" s="5" cm="1">
        <f t="array" ref="N724">MAX(IF((ProjectInfoTable[ProjectName]=ContinuousStatsTable[[#This Row],[ProjectName]]),(ProjectInfoTable[ProjectName]=ContinuousStatsTable[[#This Row],[ProjectName]])*ProjectInfoTable[NumberOfReplications]))</f>
        <v>30</v>
      </c>
      <c r="O724" s="5" cm="1">
        <f t="array" ref="O724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724" s="5" cm="1">
        <f t="array" ref="P724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724" s="5" cm="1">
        <f t="array" ref="Q724">MAX(IF((ProjectInfoTable[ProjectName]=ContinuousStatsTable[[#This Row],[ProjectName]]),(ProjectInfoTable[ProjectName]=ContinuousStatsTable[[#This Row],[ProjectName]])*ProjectInfoTable[ConfidenceInterval]))</f>
        <v>0.95</v>
      </c>
      <c r="R7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724" s="5" cm="1">
        <f t="array" ref="S724">MIN(IF((ContinuousStatsTable[GroupByKey]=ContinuousStatsTable[[#This Row],[GroupByKey]]),(ContinuousStatsTable[GroupByKey]=ContinuousStatsTable[[#This Row],[GroupByKey]])*ContinuousStatsTable[Average]))</f>
        <v>7.4778736536586704E-2</v>
      </c>
      <c r="T724" s="5" cm="1">
        <f t="array" ref="T724">MAX(IF((ContinuousStatsTable[GroupByKey]=ContinuousStatsTable[[#This Row],[GroupByKey]]),(ContinuousStatsTable[GroupByKey]=ContinuousStatsTable[[#This Row],[GroupByKey]])*ContinuousStatsTable[Average]))</f>
        <v>0.111025455742452</v>
      </c>
      <c r="U724" s="5">
        <f>IF((ContinuousStatsTable[[#This Row],[RepsRequested]]&gt;1),ContinuousStatsTable[[#This Row],[HalfWidth]],ContinuousStatsTable[[#This Row],[BatchMeansHalfWidth]])</f>
        <v>4.1821462690338805E-3</v>
      </c>
    </row>
    <row r="725" spans="1:21" x14ac:dyDescent="0.3">
      <c r="A725" t="s">
        <v>66</v>
      </c>
      <c r="B725" t="s">
        <v>68</v>
      </c>
      <c r="C725">
        <v>19</v>
      </c>
      <c r="D725" t="s">
        <v>101</v>
      </c>
      <c r="E725" t="s">
        <v>96</v>
      </c>
      <c r="F725" t="s">
        <v>95</v>
      </c>
      <c r="G725">
        <v>1.63187456804665</v>
      </c>
      <c r="H725">
        <v>2E+20</v>
      </c>
      <c r="I725">
        <v>0</v>
      </c>
      <c r="J725">
        <v>6</v>
      </c>
      <c r="K725">
        <v>5</v>
      </c>
      <c r="L725">
        <v>0</v>
      </c>
      <c r="M725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725" s="5" cm="1">
        <f t="array" ref="N725">MAX(IF((ProjectInfoTable[ProjectName]=ContinuousStatsTable[[#This Row],[ProjectName]]),(ProjectInfoTable[ProjectName]=ContinuousStatsTable[[#This Row],[ProjectName]])*ProjectInfoTable[NumberOfReplications]))</f>
        <v>30</v>
      </c>
      <c r="O725" s="5" cm="1">
        <f t="array" ref="O725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725" s="5" cm="1">
        <f t="array" ref="P725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725" s="5" cm="1">
        <f t="array" ref="Q725">MAX(IF((ProjectInfoTable[ProjectName]=ContinuousStatsTable[[#This Row],[ProjectName]]),(ProjectInfoTable[ProjectName]=ContinuousStatsTable[[#This Row],[ProjectName]])*ProjectInfoTable[ConfidenceInterval]))</f>
        <v>0.95</v>
      </c>
      <c r="R7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725" s="5" cm="1">
        <f t="array" ref="S725">MIN(IF((ContinuousStatsTable[GroupByKey]=ContinuousStatsTable[[#This Row],[GroupByKey]]),(ContinuousStatsTable[GroupByKey]=ContinuousStatsTable[[#This Row],[GroupByKey]])*ContinuousStatsTable[Average]))</f>
        <v>1.1216810480488</v>
      </c>
      <c r="T725" s="5" cm="1">
        <f t="array" ref="T725">MAX(IF((ContinuousStatsTable[GroupByKey]=ContinuousStatsTable[[#This Row],[GroupByKey]]),(ContinuousStatsTable[GroupByKey]=ContinuousStatsTable[[#This Row],[GroupByKey]])*ContinuousStatsTable[Average]))</f>
        <v>1.66538183613678</v>
      </c>
      <c r="U725" s="5">
        <f>IF((ContinuousStatsTable[[#This Row],[RepsRequested]]&gt;1),ContinuousStatsTable[[#This Row],[HalfWidth]],ContinuousStatsTable[[#This Row],[BatchMeansHalfWidth]])</f>
        <v>6.2732194035507963E-2</v>
      </c>
    </row>
    <row r="726" spans="1:21" x14ac:dyDescent="0.3">
      <c r="A726" t="s">
        <v>66</v>
      </c>
      <c r="B726" t="s">
        <v>68</v>
      </c>
      <c r="C726">
        <v>19</v>
      </c>
      <c r="D726" t="s">
        <v>101</v>
      </c>
      <c r="E726" t="s">
        <v>97</v>
      </c>
      <c r="F726" t="s">
        <v>95</v>
      </c>
      <c r="G726">
        <v>15</v>
      </c>
      <c r="H726">
        <v>2E+20</v>
      </c>
      <c r="I726">
        <v>15</v>
      </c>
      <c r="J726">
        <v>15</v>
      </c>
      <c r="K726">
        <v>15</v>
      </c>
      <c r="L726">
        <v>0</v>
      </c>
      <c r="M726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726" s="5" cm="1">
        <f t="array" ref="N726">MAX(IF((ProjectInfoTable[ProjectName]=ContinuousStatsTable[[#This Row],[ProjectName]]),(ProjectInfoTable[ProjectName]=ContinuousStatsTable[[#This Row],[ProjectName]])*ProjectInfoTable[NumberOfReplications]))</f>
        <v>30</v>
      </c>
      <c r="O726" s="5" cm="1">
        <f t="array" ref="O726">IFERROR(AVERAGE(IF((ContinuousStatsTable[GroupByKey]=ContinuousStatsTable[[#This Row],[GroupByKey]]),(ContinuousStatsTable[GroupByKey]=ContinuousStatsTable[[#This Row],[GroupByKey]])*ContinuousStatsTable[Average])),0)</f>
        <v>15</v>
      </c>
      <c r="P726" s="5" cm="1">
        <f t="array" ref="P726">IFERROR(_xlfn.STDEV.S(IF((ContinuousStatsTable[GroupByKey]=ContinuousStatsTable[[#This Row],[GroupByKey]]),(ContinuousStatsTable[GroupByKey]=ContinuousStatsTable[[#This Row],[GroupByKey]])*ContinuousStatsTable[Average])),0)</f>
        <v>0</v>
      </c>
      <c r="Q726" s="5" cm="1">
        <f t="array" ref="Q726">MAX(IF((ProjectInfoTable[ProjectName]=ContinuousStatsTable[[#This Row],[ProjectName]]),(ProjectInfoTable[ProjectName]=ContinuousStatsTable[[#This Row],[ProjectName]])*ProjectInfoTable[ConfidenceInterval]))</f>
        <v>0.95</v>
      </c>
      <c r="R7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6" s="5" cm="1">
        <f t="array" ref="S726">MIN(IF((ContinuousStatsTable[GroupByKey]=ContinuousStatsTable[[#This Row],[GroupByKey]]),(ContinuousStatsTable[GroupByKey]=ContinuousStatsTable[[#This Row],[GroupByKey]])*ContinuousStatsTable[Average]))</f>
        <v>15</v>
      </c>
      <c r="T726" s="5" cm="1">
        <f t="array" ref="T726">MAX(IF((ContinuousStatsTable[GroupByKey]=ContinuousStatsTable[[#This Row],[GroupByKey]]),(ContinuousStatsTable[GroupByKey]=ContinuousStatsTable[[#This Row],[GroupByKey]])*ContinuousStatsTable[Average]))</f>
        <v>15</v>
      </c>
      <c r="U726" s="5">
        <f>IF((ContinuousStatsTable[[#This Row],[RepsRequested]]&gt;1),ContinuousStatsTable[[#This Row],[HalfWidth]],ContinuousStatsTable[[#This Row],[BatchMeansHalfWidth]])</f>
        <v>0</v>
      </c>
    </row>
    <row r="727" spans="1:21" x14ac:dyDescent="0.3">
      <c r="A727" t="s">
        <v>66</v>
      </c>
      <c r="B727" t="s">
        <v>68</v>
      </c>
      <c r="C727">
        <v>19</v>
      </c>
      <c r="D727" t="s">
        <v>102</v>
      </c>
      <c r="E727" t="s">
        <v>94</v>
      </c>
      <c r="F727" t="s">
        <v>95</v>
      </c>
      <c r="G727">
        <v>0.81180560519537504</v>
      </c>
      <c r="H727">
        <v>2E+20</v>
      </c>
      <c r="I727">
        <v>0</v>
      </c>
      <c r="J727">
        <v>1</v>
      </c>
      <c r="K727">
        <v>1</v>
      </c>
      <c r="L727">
        <v>0</v>
      </c>
      <c r="M727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727" s="5" cm="1">
        <f t="array" ref="N727">MAX(IF((ProjectInfoTable[ProjectName]=ContinuousStatsTable[[#This Row],[ProjectName]]),(ProjectInfoTable[ProjectName]=ContinuousStatsTable[[#This Row],[ProjectName]])*ProjectInfoTable[NumberOfReplications]))</f>
        <v>30</v>
      </c>
      <c r="O727" s="5" cm="1">
        <f t="array" ref="O727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727" s="5" cm="1">
        <f t="array" ref="P727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727" s="5" cm="1">
        <f t="array" ref="Q727">MAX(IF((ProjectInfoTable[ProjectName]=ContinuousStatsTable[[#This Row],[ProjectName]]),(ProjectInfoTable[ProjectName]=ContinuousStatsTable[[#This Row],[ProjectName]])*ProjectInfoTable[ConfidenceInterval]))</f>
        <v>0.95</v>
      </c>
      <c r="R7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727" s="5" cm="1">
        <f t="array" ref="S727">MIN(IF((ContinuousStatsTable[GroupByKey]=ContinuousStatsTable[[#This Row],[GroupByKey]]),(ContinuousStatsTable[GroupByKey]=ContinuousStatsTable[[#This Row],[GroupByKey]])*ContinuousStatsTable[Average]))</f>
        <v>0.73673947391417804</v>
      </c>
      <c r="T727" s="5" cm="1">
        <f t="array" ref="T727">MAX(IF((ContinuousStatsTable[GroupByKey]=ContinuousStatsTable[[#This Row],[GroupByKey]]),(ContinuousStatsTable[GroupByKey]=ContinuousStatsTable[[#This Row],[GroupByKey]])*ContinuousStatsTable[Average]))</f>
        <v>0.90592850818388704</v>
      </c>
      <c r="U727" s="5">
        <f>IF((ContinuousStatsTable[[#This Row],[RepsRequested]]&gt;1),ContinuousStatsTable[[#This Row],[HalfWidth]],ContinuousStatsTable[[#This Row],[BatchMeansHalfWidth]])</f>
        <v>1.8636241798384946E-2</v>
      </c>
    </row>
    <row r="728" spans="1:21" x14ac:dyDescent="0.3">
      <c r="A728" t="s">
        <v>66</v>
      </c>
      <c r="B728" t="s">
        <v>68</v>
      </c>
      <c r="C728">
        <v>19</v>
      </c>
      <c r="D728" t="s">
        <v>102</v>
      </c>
      <c r="E728" t="s">
        <v>96</v>
      </c>
      <c r="F728" t="s">
        <v>95</v>
      </c>
      <c r="G728">
        <v>1.6008182257274299</v>
      </c>
      <c r="H728">
        <v>2E+20</v>
      </c>
      <c r="I728">
        <v>0</v>
      </c>
      <c r="J728">
        <v>3</v>
      </c>
      <c r="K728">
        <v>2</v>
      </c>
      <c r="L728">
        <v>0</v>
      </c>
      <c r="M728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728" s="5" cm="1">
        <f t="array" ref="N728">MAX(IF((ProjectInfoTable[ProjectName]=ContinuousStatsTable[[#This Row],[ProjectName]]),(ProjectInfoTable[ProjectName]=ContinuousStatsTable[[#This Row],[ProjectName]])*ProjectInfoTable[NumberOfReplications]))</f>
        <v>30</v>
      </c>
      <c r="O728" s="5" cm="1">
        <f t="array" ref="O728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728" s="5" cm="1">
        <f t="array" ref="P728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728" s="5" cm="1">
        <f t="array" ref="Q728">MAX(IF((ProjectInfoTable[ProjectName]=ContinuousStatsTable[[#This Row],[ProjectName]]),(ProjectInfoTable[ProjectName]=ContinuousStatsTable[[#This Row],[ProjectName]])*ProjectInfoTable[ConfidenceInterval]))</f>
        <v>0.95</v>
      </c>
      <c r="R7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728" s="5" cm="1">
        <f t="array" ref="S728">MIN(IF((ContinuousStatsTable[GroupByKey]=ContinuousStatsTable[[#This Row],[GroupByKey]]),(ContinuousStatsTable[GroupByKey]=ContinuousStatsTable[[#This Row],[GroupByKey]])*ContinuousStatsTable[Average]))</f>
        <v>1.3726163545041801</v>
      </c>
      <c r="T728" s="5" cm="1">
        <f t="array" ref="T728">MAX(IF((ContinuousStatsTable[GroupByKey]=ContinuousStatsTable[[#This Row],[GroupByKey]]),(ContinuousStatsTable[GroupByKey]=ContinuousStatsTable[[#This Row],[GroupByKey]])*ContinuousStatsTable[Average]))</f>
        <v>1.7968913949876599</v>
      </c>
      <c r="U728" s="5">
        <f>IF((ContinuousStatsTable[[#This Row],[RepsRequested]]&gt;1),ContinuousStatsTable[[#This Row],[HalfWidth]],ContinuousStatsTable[[#This Row],[BatchMeansHalfWidth]])</f>
        <v>4.3123628688677348E-2</v>
      </c>
    </row>
    <row r="729" spans="1:21" x14ac:dyDescent="0.3">
      <c r="A729" t="s">
        <v>66</v>
      </c>
      <c r="B729" t="s">
        <v>68</v>
      </c>
      <c r="C729">
        <v>19</v>
      </c>
      <c r="D729" t="s">
        <v>102</v>
      </c>
      <c r="E729" t="s">
        <v>97</v>
      </c>
      <c r="F729" t="s">
        <v>95</v>
      </c>
      <c r="G729">
        <v>2</v>
      </c>
      <c r="H729">
        <v>2E+20</v>
      </c>
      <c r="I729">
        <v>1</v>
      </c>
      <c r="J729">
        <v>3</v>
      </c>
      <c r="K729">
        <v>1</v>
      </c>
      <c r="L729">
        <v>0</v>
      </c>
      <c r="M729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729" s="5" cm="1">
        <f t="array" ref="N729">MAX(IF((ProjectInfoTable[ProjectName]=ContinuousStatsTable[[#This Row],[ProjectName]]),(ProjectInfoTable[ProjectName]=ContinuousStatsTable[[#This Row],[ProjectName]])*ProjectInfoTable[NumberOfReplications]))</f>
        <v>30</v>
      </c>
      <c r="O729" s="5" cm="1">
        <f t="array" ref="O729">IFERROR(AVERAGE(IF((ContinuousStatsTable[GroupByKey]=ContinuousStatsTable[[#This Row],[GroupByKey]]),(ContinuousStatsTable[GroupByKey]=ContinuousStatsTable[[#This Row],[GroupByKey]])*ContinuousStatsTable[Average])),0)</f>
        <v>2</v>
      </c>
      <c r="P729" s="5" cm="1">
        <f t="array" ref="P729">IFERROR(_xlfn.STDEV.S(IF((ContinuousStatsTable[GroupByKey]=ContinuousStatsTable[[#This Row],[GroupByKey]]),(ContinuousStatsTable[GroupByKey]=ContinuousStatsTable[[#This Row],[GroupByKey]])*ContinuousStatsTable[Average])),0)</f>
        <v>0</v>
      </c>
      <c r="Q729" s="5" cm="1">
        <f t="array" ref="Q729">MAX(IF((ProjectInfoTable[ProjectName]=ContinuousStatsTable[[#This Row],[ProjectName]]),(ProjectInfoTable[ProjectName]=ContinuousStatsTable[[#This Row],[ProjectName]])*ProjectInfoTable[ConfidenceInterval]))</f>
        <v>0.95</v>
      </c>
      <c r="R7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9" s="5" cm="1">
        <f t="array" ref="S729">MIN(IF((ContinuousStatsTable[GroupByKey]=ContinuousStatsTable[[#This Row],[GroupByKey]]),(ContinuousStatsTable[GroupByKey]=ContinuousStatsTable[[#This Row],[GroupByKey]])*ContinuousStatsTable[Average]))</f>
        <v>2</v>
      </c>
      <c r="T729" s="5" cm="1">
        <f t="array" ref="T729">MAX(IF((ContinuousStatsTable[GroupByKey]=ContinuousStatsTable[[#This Row],[GroupByKey]]),(ContinuousStatsTable[GroupByKey]=ContinuousStatsTable[[#This Row],[GroupByKey]])*ContinuousStatsTable[Average]))</f>
        <v>2</v>
      </c>
      <c r="U729" s="5">
        <f>IF((ContinuousStatsTable[[#This Row],[RepsRequested]]&gt;1),ContinuousStatsTable[[#This Row],[HalfWidth]],ContinuousStatsTable[[#This Row],[BatchMeansHalfWidth]])</f>
        <v>0</v>
      </c>
    </row>
    <row r="730" spans="1:21" x14ac:dyDescent="0.3">
      <c r="A730" t="s">
        <v>66</v>
      </c>
      <c r="B730" t="s">
        <v>68</v>
      </c>
      <c r="C730">
        <v>19</v>
      </c>
      <c r="D730" t="s">
        <v>84</v>
      </c>
      <c r="E730" t="s">
        <v>103</v>
      </c>
      <c r="F730" t="s">
        <v>86</v>
      </c>
      <c r="G730">
        <v>48.193002085840803</v>
      </c>
      <c r="H730">
        <v>2E+20</v>
      </c>
      <c r="I730">
        <v>0</v>
      </c>
      <c r="J730">
        <v>81</v>
      </c>
      <c r="K730">
        <v>58</v>
      </c>
      <c r="L730">
        <v>0</v>
      </c>
      <c r="M730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730" s="5" cm="1">
        <f t="array" ref="N730">MAX(IF((ProjectInfoTable[ProjectName]=ContinuousStatsTable[[#This Row],[ProjectName]]),(ProjectInfoTable[ProjectName]=ContinuousStatsTable[[#This Row],[ProjectName]])*ProjectInfoTable[NumberOfReplications]))</f>
        <v>30</v>
      </c>
      <c r="O730" s="5" cm="1">
        <f t="array" ref="O730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730" s="5" cm="1">
        <f t="array" ref="P730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730" s="5" cm="1">
        <f t="array" ref="Q730">MAX(IF((ProjectInfoTable[ProjectName]=ContinuousStatsTable[[#This Row],[ProjectName]]),(ProjectInfoTable[ProjectName]=ContinuousStatsTable[[#This Row],[ProjectName]])*ProjectInfoTable[ConfidenceInterval]))</f>
        <v>0.95</v>
      </c>
      <c r="R7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730" s="5" cm="1">
        <f t="array" ref="S730">MIN(IF((ContinuousStatsTable[GroupByKey]=ContinuousStatsTable[[#This Row],[GroupByKey]]),(ContinuousStatsTable[GroupByKey]=ContinuousStatsTable[[#This Row],[GroupByKey]])*ContinuousStatsTable[Average]))</f>
        <v>36.709886237305</v>
      </c>
      <c r="T730" s="5" cm="1">
        <f t="array" ref="T730">MAX(IF((ContinuousStatsTable[GroupByKey]=ContinuousStatsTable[[#This Row],[GroupByKey]]),(ContinuousStatsTable[GroupByKey]=ContinuousStatsTable[[#This Row],[GroupByKey]])*ContinuousStatsTable[Average]))</f>
        <v>84.594951996708403</v>
      </c>
      <c r="U730" s="5">
        <f>IF((ContinuousStatsTable[[#This Row],[RepsRequested]]&gt;1),ContinuousStatsTable[[#This Row],[HalfWidth]],ContinuousStatsTable[[#This Row],[BatchMeansHalfWidth]])</f>
        <v>4.0384933567271259</v>
      </c>
    </row>
    <row r="731" spans="1:21" x14ac:dyDescent="0.3">
      <c r="A731" t="s">
        <v>66</v>
      </c>
      <c r="B731" t="s">
        <v>68</v>
      </c>
      <c r="C731">
        <v>19</v>
      </c>
      <c r="D731" t="s">
        <v>104</v>
      </c>
      <c r="E731" t="s">
        <v>94</v>
      </c>
      <c r="F731" t="s">
        <v>95</v>
      </c>
      <c r="G731">
        <v>0</v>
      </c>
      <c r="H731">
        <v>2E+20</v>
      </c>
      <c r="I731">
        <v>0</v>
      </c>
      <c r="J731">
        <v>0</v>
      </c>
      <c r="K731">
        <v>0</v>
      </c>
      <c r="L731">
        <v>0</v>
      </c>
      <c r="M731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731" s="5" cm="1">
        <f t="array" ref="N731">MAX(IF((ProjectInfoTable[ProjectName]=ContinuousStatsTable[[#This Row],[ProjectName]]),(ProjectInfoTable[ProjectName]=ContinuousStatsTable[[#This Row],[ProjectName]])*ProjectInfoTable[NumberOfReplications]))</f>
        <v>30</v>
      </c>
      <c r="O731" s="5" cm="1">
        <f t="array" ref="O731">IFERROR(AVERAGE(IF((ContinuousStatsTable[GroupByKey]=ContinuousStatsTable[[#This Row],[GroupByKey]]),(ContinuousStatsTable[GroupByKey]=ContinuousStatsTable[[#This Row],[GroupByKey]])*ContinuousStatsTable[Average])),0)</f>
        <v>0</v>
      </c>
      <c r="P731" s="5" cm="1">
        <f t="array" ref="P731">IFERROR(_xlfn.STDEV.S(IF((ContinuousStatsTable[GroupByKey]=ContinuousStatsTable[[#This Row],[GroupByKey]]),(ContinuousStatsTable[GroupByKey]=ContinuousStatsTable[[#This Row],[GroupByKey]])*ContinuousStatsTable[Average])),0)</f>
        <v>0</v>
      </c>
      <c r="Q731" s="5" cm="1">
        <f t="array" ref="Q731">MAX(IF((ProjectInfoTable[ProjectName]=ContinuousStatsTable[[#This Row],[ProjectName]]),(ProjectInfoTable[ProjectName]=ContinuousStatsTable[[#This Row],[ProjectName]])*ProjectInfoTable[ConfidenceInterval]))</f>
        <v>0.95</v>
      </c>
      <c r="R7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1" s="5" cm="1">
        <f t="array" ref="S731">MIN(IF((ContinuousStatsTable[GroupByKey]=ContinuousStatsTable[[#This Row],[GroupByKey]]),(ContinuousStatsTable[GroupByKey]=ContinuousStatsTable[[#This Row],[GroupByKey]])*ContinuousStatsTable[Average]))</f>
        <v>0</v>
      </c>
      <c r="T731" s="5" cm="1">
        <f t="array" ref="T731">MAX(IF((ContinuousStatsTable[GroupByKey]=ContinuousStatsTable[[#This Row],[GroupByKey]]),(ContinuousStatsTable[GroupByKey]=ContinuousStatsTable[[#This Row],[GroupByKey]])*ContinuousStatsTable[Average]))</f>
        <v>0</v>
      </c>
      <c r="U731" s="5">
        <f>IF((ContinuousStatsTable[[#This Row],[RepsRequested]]&gt;1),ContinuousStatsTable[[#This Row],[HalfWidth]],ContinuousStatsTable[[#This Row],[BatchMeansHalfWidth]])</f>
        <v>0</v>
      </c>
    </row>
    <row r="732" spans="1:21" x14ac:dyDescent="0.3">
      <c r="A732" t="s">
        <v>66</v>
      </c>
      <c r="B732" t="s">
        <v>68</v>
      </c>
      <c r="C732">
        <v>19</v>
      </c>
      <c r="D732" t="s">
        <v>104</v>
      </c>
      <c r="E732" t="s">
        <v>96</v>
      </c>
      <c r="F732" t="s">
        <v>95</v>
      </c>
      <c r="G732">
        <v>0</v>
      </c>
      <c r="H732">
        <v>2E+20</v>
      </c>
      <c r="I732">
        <v>0</v>
      </c>
      <c r="J732">
        <v>0</v>
      </c>
      <c r="K732">
        <v>0</v>
      </c>
      <c r="L732">
        <v>0</v>
      </c>
      <c r="M732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732" s="5" cm="1">
        <f t="array" ref="N732">MAX(IF((ProjectInfoTable[ProjectName]=ContinuousStatsTable[[#This Row],[ProjectName]]),(ProjectInfoTable[ProjectName]=ContinuousStatsTable[[#This Row],[ProjectName]])*ProjectInfoTable[NumberOfReplications]))</f>
        <v>30</v>
      </c>
      <c r="O732" s="5" cm="1">
        <f t="array" ref="O732">IFERROR(AVERAGE(IF((ContinuousStatsTable[GroupByKey]=ContinuousStatsTable[[#This Row],[GroupByKey]]),(ContinuousStatsTable[GroupByKey]=ContinuousStatsTable[[#This Row],[GroupByKey]])*ContinuousStatsTable[Average])),0)</f>
        <v>0</v>
      </c>
      <c r="P732" s="5" cm="1">
        <f t="array" ref="P732">IFERROR(_xlfn.STDEV.S(IF((ContinuousStatsTable[GroupByKey]=ContinuousStatsTable[[#This Row],[GroupByKey]]),(ContinuousStatsTable[GroupByKey]=ContinuousStatsTable[[#This Row],[GroupByKey]])*ContinuousStatsTable[Average])),0)</f>
        <v>0</v>
      </c>
      <c r="Q732" s="5" cm="1">
        <f t="array" ref="Q732">MAX(IF((ProjectInfoTable[ProjectName]=ContinuousStatsTable[[#This Row],[ProjectName]]),(ProjectInfoTable[ProjectName]=ContinuousStatsTable[[#This Row],[ProjectName]])*ProjectInfoTable[ConfidenceInterval]))</f>
        <v>0.95</v>
      </c>
      <c r="R7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2" s="5" cm="1">
        <f t="array" ref="S732">MIN(IF((ContinuousStatsTable[GroupByKey]=ContinuousStatsTable[[#This Row],[GroupByKey]]),(ContinuousStatsTable[GroupByKey]=ContinuousStatsTable[[#This Row],[GroupByKey]])*ContinuousStatsTable[Average]))</f>
        <v>0</v>
      </c>
      <c r="T732" s="5" cm="1">
        <f t="array" ref="T732">MAX(IF((ContinuousStatsTable[GroupByKey]=ContinuousStatsTable[[#This Row],[GroupByKey]]),(ContinuousStatsTable[GroupByKey]=ContinuousStatsTable[[#This Row],[GroupByKey]])*ContinuousStatsTable[Average]))</f>
        <v>0</v>
      </c>
      <c r="U732" s="5">
        <f>IF((ContinuousStatsTable[[#This Row],[RepsRequested]]&gt;1),ContinuousStatsTable[[#This Row],[HalfWidth]],ContinuousStatsTable[[#This Row],[BatchMeansHalfWidth]])</f>
        <v>0</v>
      </c>
    </row>
    <row r="733" spans="1:21" x14ac:dyDescent="0.3">
      <c r="A733" t="s">
        <v>66</v>
      </c>
      <c r="B733" t="s">
        <v>68</v>
      </c>
      <c r="C733">
        <v>19</v>
      </c>
      <c r="D733" t="s">
        <v>104</v>
      </c>
      <c r="E733" t="s">
        <v>97</v>
      </c>
      <c r="F733" t="s">
        <v>95</v>
      </c>
      <c r="G733">
        <v>3</v>
      </c>
      <c r="H733">
        <v>2E+20</v>
      </c>
      <c r="I733">
        <v>3</v>
      </c>
      <c r="J733">
        <v>3</v>
      </c>
      <c r="K733">
        <v>3</v>
      </c>
      <c r="L733">
        <v>0</v>
      </c>
      <c r="M733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733" s="5" cm="1">
        <f t="array" ref="N733">MAX(IF((ProjectInfoTable[ProjectName]=ContinuousStatsTable[[#This Row],[ProjectName]]),(ProjectInfoTable[ProjectName]=ContinuousStatsTable[[#This Row],[ProjectName]])*ProjectInfoTable[NumberOfReplications]))</f>
        <v>30</v>
      </c>
      <c r="O733" s="5" cm="1">
        <f t="array" ref="O733">IFERROR(AVERAGE(IF((ContinuousStatsTable[GroupByKey]=ContinuousStatsTable[[#This Row],[GroupByKey]]),(ContinuousStatsTable[GroupByKey]=ContinuousStatsTable[[#This Row],[GroupByKey]])*ContinuousStatsTable[Average])),0)</f>
        <v>3</v>
      </c>
      <c r="P733" s="5" cm="1">
        <f t="array" ref="P733">IFERROR(_xlfn.STDEV.S(IF((ContinuousStatsTable[GroupByKey]=ContinuousStatsTable[[#This Row],[GroupByKey]]),(ContinuousStatsTable[GroupByKey]=ContinuousStatsTable[[#This Row],[GroupByKey]])*ContinuousStatsTable[Average])),0)</f>
        <v>0</v>
      </c>
      <c r="Q733" s="5" cm="1">
        <f t="array" ref="Q733">MAX(IF((ProjectInfoTable[ProjectName]=ContinuousStatsTable[[#This Row],[ProjectName]]),(ProjectInfoTable[ProjectName]=ContinuousStatsTable[[#This Row],[ProjectName]])*ProjectInfoTable[ConfidenceInterval]))</f>
        <v>0.95</v>
      </c>
      <c r="R7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3" s="5" cm="1">
        <f t="array" ref="S733">MIN(IF((ContinuousStatsTable[GroupByKey]=ContinuousStatsTable[[#This Row],[GroupByKey]]),(ContinuousStatsTable[GroupByKey]=ContinuousStatsTable[[#This Row],[GroupByKey]])*ContinuousStatsTable[Average]))</f>
        <v>3</v>
      </c>
      <c r="T733" s="5" cm="1">
        <f t="array" ref="T733">MAX(IF((ContinuousStatsTable[GroupByKey]=ContinuousStatsTable[[#This Row],[GroupByKey]]),(ContinuousStatsTable[GroupByKey]=ContinuousStatsTable[[#This Row],[GroupByKey]])*ContinuousStatsTable[Average]))</f>
        <v>3</v>
      </c>
      <c r="U733" s="5">
        <f>IF((ContinuousStatsTable[[#This Row],[RepsRequested]]&gt;1),ContinuousStatsTable[[#This Row],[HalfWidth]],ContinuousStatsTable[[#This Row],[BatchMeansHalfWidth]])</f>
        <v>0</v>
      </c>
    </row>
    <row r="734" spans="1:21" x14ac:dyDescent="0.3">
      <c r="A734" t="s">
        <v>66</v>
      </c>
      <c r="B734" t="s">
        <v>68</v>
      </c>
      <c r="C734">
        <v>19</v>
      </c>
      <c r="D734" t="s">
        <v>105</v>
      </c>
      <c r="E734" t="s">
        <v>94</v>
      </c>
      <c r="F734" t="s">
        <v>95</v>
      </c>
      <c r="G734">
        <v>0.82661481805995896</v>
      </c>
      <c r="H734">
        <v>2E+20</v>
      </c>
      <c r="I734">
        <v>0</v>
      </c>
      <c r="J734">
        <v>1</v>
      </c>
      <c r="K734">
        <v>1</v>
      </c>
      <c r="L734">
        <v>0</v>
      </c>
      <c r="M734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734" s="5" cm="1">
        <f t="array" ref="N734">MAX(IF((ProjectInfoTable[ProjectName]=ContinuousStatsTable[[#This Row],[ProjectName]]),(ProjectInfoTable[ProjectName]=ContinuousStatsTable[[#This Row],[ProjectName]])*ProjectInfoTable[NumberOfReplications]))</f>
        <v>30</v>
      </c>
      <c r="O734" s="5" cm="1">
        <f t="array" ref="O734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734" s="5" cm="1">
        <f t="array" ref="P734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734" s="5" cm="1">
        <f t="array" ref="Q734">MAX(IF((ProjectInfoTable[ProjectName]=ContinuousStatsTable[[#This Row],[ProjectName]]),(ProjectInfoTable[ProjectName]=ContinuousStatsTable[[#This Row],[ProjectName]])*ProjectInfoTable[ConfidenceInterval]))</f>
        <v>0.95</v>
      </c>
      <c r="R7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734" s="5" cm="1">
        <f t="array" ref="S734">MIN(IF((ContinuousStatsTable[GroupByKey]=ContinuousStatsTable[[#This Row],[GroupByKey]]),(ContinuousStatsTable[GroupByKey]=ContinuousStatsTable[[#This Row],[GroupByKey]])*ContinuousStatsTable[Average]))</f>
        <v>0.634589476164233</v>
      </c>
      <c r="T734" s="5" cm="1">
        <f t="array" ref="T734">MAX(IF((ContinuousStatsTable[GroupByKey]=ContinuousStatsTable[[#This Row],[GroupByKey]]),(ContinuousStatsTable[GroupByKey]=ContinuousStatsTable[[#This Row],[GroupByKey]])*ContinuousStatsTable[Average]))</f>
        <v>0.99383259650362799</v>
      </c>
      <c r="U734" s="5">
        <f>IF((ContinuousStatsTable[[#This Row],[RepsRequested]]&gt;1),ContinuousStatsTable[[#This Row],[HalfWidth]],ContinuousStatsTable[[#This Row],[BatchMeansHalfWidth]])</f>
        <v>3.9940526897700258E-2</v>
      </c>
    </row>
    <row r="735" spans="1:21" x14ac:dyDescent="0.3">
      <c r="A735" t="s">
        <v>66</v>
      </c>
      <c r="B735" t="s">
        <v>68</v>
      </c>
      <c r="C735">
        <v>19</v>
      </c>
      <c r="D735" t="s">
        <v>105</v>
      </c>
      <c r="E735" t="s">
        <v>96</v>
      </c>
      <c r="F735" t="s">
        <v>95</v>
      </c>
      <c r="G735">
        <v>0.82661481805995896</v>
      </c>
      <c r="H735">
        <v>2E+20</v>
      </c>
      <c r="I735">
        <v>0</v>
      </c>
      <c r="J735">
        <v>1</v>
      </c>
      <c r="K735">
        <v>1</v>
      </c>
      <c r="L735">
        <v>0</v>
      </c>
      <c r="M735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735" s="5" cm="1">
        <f t="array" ref="N735">MAX(IF((ProjectInfoTable[ProjectName]=ContinuousStatsTable[[#This Row],[ProjectName]]),(ProjectInfoTable[ProjectName]=ContinuousStatsTable[[#This Row],[ProjectName]])*ProjectInfoTable[NumberOfReplications]))</f>
        <v>30</v>
      </c>
      <c r="O735" s="5" cm="1">
        <f t="array" ref="O735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735" s="5" cm="1">
        <f t="array" ref="P735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735" s="5" cm="1">
        <f t="array" ref="Q735">MAX(IF((ProjectInfoTable[ProjectName]=ContinuousStatsTable[[#This Row],[ProjectName]]),(ProjectInfoTable[ProjectName]=ContinuousStatsTable[[#This Row],[ProjectName]])*ProjectInfoTable[ConfidenceInterval]))</f>
        <v>0.95</v>
      </c>
      <c r="R7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735" s="5" cm="1">
        <f t="array" ref="S735">MIN(IF((ContinuousStatsTable[GroupByKey]=ContinuousStatsTable[[#This Row],[GroupByKey]]),(ContinuousStatsTable[GroupByKey]=ContinuousStatsTable[[#This Row],[GroupByKey]])*ContinuousStatsTable[Average]))</f>
        <v>0.634589476164233</v>
      </c>
      <c r="T735" s="5" cm="1">
        <f t="array" ref="T735">MAX(IF((ContinuousStatsTable[GroupByKey]=ContinuousStatsTable[[#This Row],[GroupByKey]]),(ContinuousStatsTable[GroupByKey]=ContinuousStatsTable[[#This Row],[GroupByKey]])*ContinuousStatsTable[Average]))</f>
        <v>0.99383259650362799</v>
      </c>
      <c r="U735" s="5">
        <f>IF((ContinuousStatsTable[[#This Row],[RepsRequested]]&gt;1),ContinuousStatsTable[[#This Row],[HalfWidth]],ContinuousStatsTable[[#This Row],[BatchMeansHalfWidth]])</f>
        <v>3.9940526897700258E-2</v>
      </c>
    </row>
    <row r="736" spans="1:21" x14ac:dyDescent="0.3">
      <c r="A736" t="s">
        <v>66</v>
      </c>
      <c r="B736" t="s">
        <v>68</v>
      </c>
      <c r="C736">
        <v>19</v>
      </c>
      <c r="D736" t="s">
        <v>105</v>
      </c>
      <c r="E736" t="s">
        <v>97</v>
      </c>
      <c r="F736" t="s">
        <v>95</v>
      </c>
      <c r="G736">
        <v>1</v>
      </c>
      <c r="H736">
        <v>2E+20</v>
      </c>
      <c r="I736">
        <v>1</v>
      </c>
      <c r="J736">
        <v>1</v>
      </c>
      <c r="K736">
        <v>1</v>
      </c>
      <c r="L736">
        <v>0</v>
      </c>
      <c r="M736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736" s="5" cm="1">
        <f t="array" ref="N736">MAX(IF((ProjectInfoTable[ProjectName]=ContinuousStatsTable[[#This Row],[ProjectName]]),(ProjectInfoTable[ProjectName]=ContinuousStatsTable[[#This Row],[ProjectName]])*ProjectInfoTable[NumberOfReplications]))</f>
        <v>30</v>
      </c>
      <c r="O736" s="5" cm="1">
        <f t="array" ref="O736">IFERROR(AVERAGE(IF((ContinuousStatsTable[GroupByKey]=ContinuousStatsTable[[#This Row],[GroupByKey]]),(ContinuousStatsTable[GroupByKey]=ContinuousStatsTable[[#This Row],[GroupByKey]])*ContinuousStatsTable[Average])),0)</f>
        <v>1</v>
      </c>
      <c r="P736" s="5" cm="1">
        <f t="array" ref="P736">IFERROR(_xlfn.STDEV.S(IF((ContinuousStatsTable[GroupByKey]=ContinuousStatsTable[[#This Row],[GroupByKey]]),(ContinuousStatsTable[GroupByKey]=ContinuousStatsTable[[#This Row],[GroupByKey]])*ContinuousStatsTable[Average])),0)</f>
        <v>0</v>
      </c>
      <c r="Q736" s="5" cm="1">
        <f t="array" ref="Q736">MAX(IF((ProjectInfoTable[ProjectName]=ContinuousStatsTable[[#This Row],[ProjectName]]),(ProjectInfoTable[ProjectName]=ContinuousStatsTable[[#This Row],[ProjectName]])*ProjectInfoTable[ConfidenceInterval]))</f>
        <v>0.95</v>
      </c>
      <c r="R7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6" s="5" cm="1">
        <f t="array" ref="S736">MIN(IF((ContinuousStatsTable[GroupByKey]=ContinuousStatsTable[[#This Row],[GroupByKey]]),(ContinuousStatsTable[GroupByKey]=ContinuousStatsTable[[#This Row],[GroupByKey]])*ContinuousStatsTable[Average]))</f>
        <v>1</v>
      </c>
      <c r="T736" s="5" cm="1">
        <f t="array" ref="T736">MAX(IF((ContinuousStatsTable[GroupByKey]=ContinuousStatsTable[[#This Row],[GroupByKey]]),(ContinuousStatsTable[GroupByKey]=ContinuousStatsTable[[#This Row],[GroupByKey]])*ContinuousStatsTable[Average]))</f>
        <v>1</v>
      </c>
      <c r="U736" s="5">
        <f>IF((ContinuousStatsTable[[#This Row],[RepsRequested]]&gt;1),ContinuousStatsTable[[#This Row],[HalfWidth]],ContinuousStatsTable[[#This Row],[BatchMeansHalfWidth]])</f>
        <v>0</v>
      </c>
    </row>
    <row r="737" spans="1:21" x14ac:dyDescent="0.3">
      <c r="A737" t="s">
        <v>66</v>
      </c>
      <c r="B737" t="s">
        <v>68</v>
      </c>
      <c r="C737">
        <v>19</v>
      </c>
      <c r="D737" t="s">
        <v>106</v>
      </c>
      <c r="E737" t="s">
        <v>94</v>
      </c>
      <c r="F737" t="s">
        <v>95</v>
      </c>
      <c r="G737">
        <v>0.83593383929965304</v>
      </c>
      <c r="H737">
        <v>2E+20</v>
      </c>
      <c r="I737">
        <v>0</v>
      </c>
      <c r="J737">
        <v>1</v>
      </c>
      <c r="K737">
        <v>1</v>
      </c>
      <c r="L737">
        <v>0</v>
      </c>
      <c r="M737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737" s="5" cm="1">
        <f t="array" ref="N737">MAX(IF((ProjectInfoTable[ProjectName]=ContinuousStatsTable[[#This Row],[ProjectName]]),(ProjectInfoTable[ProjectName]=ContinuousStatsTable[[#This Row],[ProjectName]])*ProjectInfoTable[NumberOfReplications]))</f>
        <v>30</v>
      </c>
      <c r="O737" s="5" cm="1">
        <f t="array" ref="O737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737" s="5" cm="1">
        <f t="array" ref="P737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737" s="5" cm="1">
        <f t="array" ref="Q737">MAX(IF((ProjectInfoTable[ProjectName]=ContinuousStatsTable[[#This Row],[ProjectName]]),(ProjectInfoTable[ProjectName]=ContinuousStatsTable[[#This Row],[ProjectName]])*ProjectInfoTable[ConfidenceInterval]))</f>
        <v>0.95</v>
      </c>
      <c r="R7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737" s="5" cm="1">
        <f t="array" ref="S737">MIN(IF((ContinuousStatsTable[GroupByKey]=ContinuousStatsTable[[#This Row],[GroupByKey]]),(ContinuousStatsTable[GroupByKey]=ContinuousStatsTable[[#This Row],[GroupByKey]])*ContinuousStatsTable[Average]))</f>
        <v>0.74061105631083801</v>
      </c>
      <c r="T737" s="5" cm="1">
        <f t="array" ref="T737">MAX(IF((ContinuousStatsTable[GroupByKey]=ContinuousStatsTable[[#This Row],[GroupByKey]]),(ContinuousStatsTable[GroupByKey]=ContinuousStatsTable[[#This Row],[GroupByKey]])*ContinuousStatsTable[Average]))</f>
        <v>0.99245161744166299</v>
      </c>
      <c r="U737" s="5">
        <f>IF((ContinuousStatsTable[[#This Row],[RepsRequested]]&gt;1),ContinuousStatsTable[[#This Row],[HalfWidth]],ContinuousStatsTable[[#This Row],[BatchMeansHalfWidth]])</f>
        <v>2.8912497794626357E-2</v>
      </c>
    </row>
    <row r="738" spans="1:21" x14ac:dyDescent="0.3">
      <c r="A738" t="s">
        <v>66</v>
      </c>
      <c r="B738" t="s">
        <v>68</v>
      </c>
      <c r="C738">
        <v>19</v>
      </c>
      <c r="D738" t="s">
        <v>106</v>
      </c>
      <c r="E738" t="s">
        <v>96</v>
      </c>
      <c r="F738" t="s">
        <v>95</v>
      </c>
      <c r="G738">
        <v>0.83593383929965304</v>
      </c>
      <c r="H738">
        <v>2E+20</v>
      </c>
      <c r="I738">
        <v>0</v>
      </c>
      <c r="J738">
        <v>1</v>
      </c>
      <c r="K738">
        <v>1</v>
      </c>
      <c r="L738">
        <v>0</v>
      </c>
      <c r="M738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738" s="5" cm="1">
        <f t="array" ref="N738">MAX(IF((ProjectInfoTable[ProjectName]=ContinuousStatsTable[[#This Row],[ProjectName]]),(ProjectInfoTable[ProjectName]=ContinuousStatsTable[[#This Row],[ProjectName]])*ProjectInfoTable[NumberOfReplications]))</f>
        <v>30</v>
      </c>
      <c r="O738" s="5" cm="1">
        <f t="array" ref="O738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738" s="5" cm="1">
        <f t="array" ref="P738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738" s="5" cm="1">
        <f t="array" ref="Q738">MAX(IF((ProjectInfoTable[ProjectName]=ContinuousStatsTable[[#This Row],[ProjectName]]),(ProjectInfoTable[ProjectName]=ContinuousStatsTable[[#This Row],[ProjectName]])*ProjectInfoTable[ConfidenceInterval]))</f>
        <v>0.95</v>
      </c>
      <c r="R7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738" s="5" cm="1">
        <f t="array" ref="S738">MIN(IF((ContinuousStatsTable[GroupByKey]=ContinuousStatsTable[[#This Row],[GroupByKey]]),(ContinuousStatsTable[GroupByKey]=ContinuousStatsTable[[#This Row],[GroupByKey]])*ContinuousStatsTable[Average]))</f>
        <v>0.74061105631083801</v>
      </c>
      <c r="T738" s="5" cm="1">
        <f t="array" ref="T738">MAX(IF((ContinuousStatsTable[GroupByKey]=ContinuousStatsTable[[#This Row],[GroupByKey]]),(ContinuousStatsTable[GroupByKey]=ContinuousStatsTable[[#This Row],[GroupByKey]])*ContinuousStatsTable[Average]))</f>
        <v>0.99245161744166299</v>
      </c>
      <c r="U738" s="5">
        <f>IF((ContinuousStatsTable[[#This Row],[RepsRequested]]&gt;1),ContinuousStatsTable[[#This Row],[HalfWidth]],ContinuousStatsTable[[#This Row],[BatchMeansHalfWidth]])</f>
        <v>2.8912497794626357E-2</v>
      </c>
    </row>
    <row r="739" spans="1:21" x14ac:dyDescent="0.3">
      <c r="A739" t="s">
        <v>66</v>
      </c>
      <c r="B739" t="s">
        <v>68</v>
      </c>
      <c r="C739">
        <v>19</v>
      </c>
      <c r="D739" t="s">
        <v>106</v>
      </c>
      <c r="E739" t="s">
        <v>97</v>
      </c>
      <c r="F739" t="s">
        <v>95</v>
      </c>
      <c r="G739">
        <v>1</v>
      </c>
      <c r="H739">
        <v>2E+20</v>
      </c>
      <c r="I739">
        <v>1</v>
      </c>
      <c r="J739">
        <v>1</v>
      </c>
      <c r="K739">
        <v>1</v>
      </c>
      <c r="L739">
        <v>0</v>
      </c>
      <c r="M739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739" s="5" cm="1">
        <f t="array" ref="N739">MAX(IF((ProjectInfoTable[ProjectName]=ContinuousStatsTable[[#This Row],[ProjectName]]),(ProjectInfoTable[ProjectName]=ContinuousStatsTable[[#This Row],[ProjectName]])*ProjectInfoTable[NumberOfReplications]))</f>
        <v>30</v>
      </c>
      <c r="O739" s="5" cm="1">
        <f t="array" ref="O739">IFERROR(AVERAGE(IF((ContinuousStatsTable[GroupByKey]=ContinuousStatsTable[[#This Row],[GroupByKey]]),(ContinuousStatsTable[GroupByKey]=ContinuousStatsTable[[#This Row],[GroupByKey]])*ContinuousStatsTable[Average])),0)</f>
        <v>1</v>
      </c>
      <c r="P739" s="5" cm="1">
        <f t="array" ref="P739">IFERROR(_xlfn.STDEV.S(IF((ContinuousStatsTable[GroupByKey]=ContinuousStatsTable[[#This Row],[GroupByKey]]),(ContinuousStatsTable[GroupByKey]=ContinuousStatsTable[[#This Row],[GroupByKey]])*ContinuousStatsTable[Average])),0)</f>
        <v>0</v>
      </c>
      <c r="Q739" s="5" cm="1">
        <f t="array" ref="Q739">MAX(IF((ProjectInfoTable[ProjectName]=ContinuousStatsTable[[#This Row],[ProjectName]]),(ProjectInfoTable[ProjectName]=ContinuousStatsTable[[#This Row],[ProjectName]])*ProjectInfoTable[ConfidenceInterval]))</f>
        <v>0.95</v>
      </c>
      <c r="R7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9" s="5" cm="1">
        <f t="array" ref="S739">MIN(IF((ContinuousStatsTable[GroupByKey]=ContinuousStatsTable[[#This Row],[GroupByKey]]),(ContinuousStatsTable[GroupByKey]=ContinuousStatsTable[[#This Row],[GroupByKey]])*ContinuousStatsTable[Average]))</f>
        <v>1</v>
      </c>
      <c r="T739" s="5" cm="1">
        <f t="array" ref="T739">MAX(IF((ContinuousStatsTable[GroupByKey]=ContinuousStatsTable[[#This Row],[GroupByKey]]),(ContinuousStatsTable[GroupByKey]=ContinuousStatsTable[[#This Row],[GroupByKey]])*ContinuousStatsTable[Average]))</f>
        <v>1</v>
      </c>
      <c r="U739" s="5">
        <f>IF((ContinuousStatsTable[[#This Row],[RepsRequested]]&gt;1),ContinuousStatsTable[[#This Row],[HalfWidth]],ContinuousStatsTable[[#This Row],[BatchMeansHalfWidth]])</f>
        <v>0</v>
      </c>
    </row>
    <row r="740" spans="1:21" x14ac:dyDescent="0.3">
      <c r="A740" t="s">
        <v>66</v>
      </c>
      <c r="B740" t="s">
        <v>68</v>
      </c>
      <c r="C740">
        <v>19</v>
      </c>
      <c r="D740" t="s">
        <v>107</v>
      </c>
      <c r="E740" t="s">
        <v>94</v>
      </c>
      <c r="F740" t="s">
        <v>95</v>
      </c>
      <c r="G740">
        <v>0.89578446286764302</v>
      </c>
      <c r="H740">
        <v>2E+20</v>
      </c>
      <c r="I740">
        <v>0</v>
      </c>
      <c r="J740">
        <v>1</v>
      </c>
      <c r="K740">
        <v>1</v>
      </c>
      <c r="L740">
        <v>0</v>
      </c>
      <c r="M740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740" s="5" cm="1">
        <f t="array" ref="N740">MAX(IF((ProjectInfoTable[ProjectName]=ContinuousStatsTable[[#This Row],[ProjectName]]),(ProjectInfoTable[ProjectName]=ContinuousStatsTable[[#This Row],[ProjectName]])*ProjectInfoTable[NumberOfReplications]))</f>
        <v>30</v>
      </c>
      <c r="O740" s="5" cm="1">
        <f t="array" ref="O740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740" s="5" cm="1">
        <f t="array" ref="P740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740" s="5" cm="1">
        <f t="array" ref="Q740">MAX(IF((ProjectInfoTable[ProjectName]=ContinuousStatsTable[[#This Row],[ProjectName]]),(ProjectInfoTable[ProjectName]=ContinuousStatsTable[[#This Row],[ProjectName]])*ProjectInfoTable[ConfidenceInterval]))</f>
        <v>0.95</v>
      </c>
      <c r="R7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740" s="5" cm="1">
        <f t="array" ref="S740">MIN(IF((ContinuousStatsTable[GroupByKey]=ContinuousStatsTable[[#This Row],[GroupByKey]]),(ContinuousStatsTable[GroupByKey]=ContinuousStatsTable[[#This Row],[GroupByKey]])*ContinuousStatsTable[Average]))</f>
        <v>0.73843386001690303</v>
      </c>
      <c r="T740" s="5" cm="1">
        <f t="array" ref="T740">MAX(IF((ContinuousStatsTable[GroupByKey]=ContinuousStatsTable[[#This Row],[GroupByKey]]),(ContinuousStatsTable[GroupByKey]=ContinuousStatsTable[[#This Row],[GroupByKey]])*ContinuousStatsTable[Average]))</f>
        <v>0.99245161744166299</v>
      </c>
      <c r="U740" s="5">
        <f>IF((ContinuousStatsTable[[#This Row],[RepsRequested]]&gt;1),ContinuousStatsTable[[#This Row],[HalfWidth]],ContinuousStatsTable[[#This Row],[BatchMeansHalfWidth]])</f>
        <v>2.6057642646860522E-2</v>
      </c>
    </row>
    <row r="741" spans="1:21" x14ac:dyDescent="0.3">
      <c r="A741" t="s">
        <v>66</v>
      </c>
      <c r="B741" t="s">
        <v>68</v>
      </c>
      <c r="C741">
        <v>19</v>
      </c>
      <c r="D741" t="s">
        <v>107</v>
      </c>
      <c r="E741" t="s">
        <v>96</v>
      </c>
      <c r="F741" t="s">
        <v>95</v>
      </c>
      <c r="G741">
        <v>0.89578446286764302</v>
      </c>
      <c r="H741">
        <v>2E+20</v>
      </c>
      <c r="I741">
        <v>0</v>
      </c>
      <c r="J741">
        <v>1</v>
      </c>
      <c r="K741">
        <v>1</v>
      </c>
      <c r="L741">
        <v>0</v>
      </c>
      <c r="M741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741" s="5" cm="1">
        <f t="array" ref="N741">MAX(IF((ProjectInfoTable[ProjectName]=ContinuousStatsTable[[#This Row],[ProjectName]]),(ProjectInfoTable[ProjectName]=ContinuousStatsTable[[#This Row],[ProjectName]])*ProjectInfoTable[NumberOfReplications]))</f>
        <v>30</v>
      </c>
      <c r="O741" s="5" cm="1">
        <f t="array" ref="O741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741" s="5" cm="1">
        <f t="array" ref="P741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741" s="5" cm="1">
        <f t="array" ref="Q741">MAX(IF((ProjectInfoTable[ProjectName]=ContinuousStatsTable[[#This Row],[ProjectName]]),(ProjectInfoTable[ProjectName]=ContinuousStatsTable[[#This Row],[ProjectName]])*ProjectInfoTable[ConfidenceInterval]))</f>
        <v>0.95</v>
      </c>
      <c r="R7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741" s="5" cm="1">
        <f t="array" ref="S741">MIN(IF((ContinuousStatsTable[GroupByKey]=ContinuousStatsTable[[#This Row],[GroupByKey]]),(ContinuousStatsTable[GroupByKey]=ContinuousStatsTable[[#This Row],[GroupByKey]])*ContinuousStatsTable[Average]))</f>
        <v>0.73843386001690303</v>
      </c>
      <c r="T741" s="5" cm="1">
        <f t="array" ref="T741">MAX(IF((ContinuousStatsTable[GroupByKey]=ContinuousStatsTable[[#This Row],[GroupByKey]]),(ContinuousStatsTable[GroupByKey]=ContinuousStatsTable[[#This Row],[GroupByKey]])*ContinuousStatsTable[Average]))</f>
        <v>0.99245161744166299</v>
      </c>
      <c r="U741" s="5">
        <f>IF((ContinuousStatsTable[[#This Row],[RepsRequested]]&gt;1),ContinuousStatsTable[[#This Row],[HalfWidth]],ContinuousStatsTable[[#This Row],[BatchMeansHalfWidth]])</f>
        <v>2.6057642646860522E-2</v>
      </c>
    </row>
    <row r="742" spans="1:21" x14ac:dyDescent="0.3">
      <c r="A742" t="s">
        <v>66</v>
      </c>
      <c r="B742" t="s">
        <v>68</v>
      </c>
      <c r="C742">
        <v>19</v>
      </c>
      <c r="D742" t="s">
        <v>107</v>
      </c>
      <c r="E742" t="s">
        <v>97</v>
      </c>
      <c r="F742" t="s">
        <v>95</v>
      </c>
      <c r="G742">
        <v>1</v>
      </c>
      <c r="H742">
        <v>2E+20</v>
      </c>
      <c r="I742">
        <v>1</v>
      </c>
      <c r="J742">
        <v>1</v>
      </c>
      <c r="K742">
        <v>1</v>
      </c>
      <c r="L742">
        <v>0</v>
      </c>
      <c r="M742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742" s="5" cm="1">
        <f t="array" ref="N742">MAX(IF((ProjectInfoTable[ProjectName]=ContinuousStatsTable[[#This Row],[ProjectName]]),(ProjectInfoTable[ProjectName]=ContinuousStatsTable[[#This Row],[ProjectName]])*ProjectInfoTable[NumberOfReplications]))</f>
        <v>30</v>
      </c>
      <c r="O742" s="5" cm="1">
        <f t="array" ref="O742">IFERROR(AVERAGE(IF((ContinuousStatsTable[GroupByKey]=ContinuousStatsTable[[#This Row],[GroupByKey]]),(ContinuousStatsTable[GroupByKey]=ContinuousStatsTable[[#This Row],[GroupByKey]])*ContinuousStatsTable[Average])),0)</f>
        <v>1</v>
      </c>
      <c r="P742" s="5" cm="1">
        <f t="array" ref="P742">IFERROR(_xlfn.STDEV.S(IF((ContinuousStatsTable[GroupByKey]=ContinuousStatsTable[[#This Row],[GroupByKey]]),(ContinuousStatsTable[GroupByKey]=ContinuousStatsTable[[#This Row],[GroupByKey]])*ContinuousStatsTable[Average])),0)</f>
        <v>0</v>
      </c>
      <c r="Q742" s="5" cm="1">
        <f t="array" ref="Q742">MAX(IF((ProjectInfoTable[ProjectName]=ContinuousStatsTable[[#This Row],[ProjectName]]),(ProjectInfoTable[ProjectName]=ContinuousStatsTable[[#This Row],[ProjectName]])*ProjectInfoTable[ConfidenceInterval]))</f>
        <v>0.95</v>
      </c>
      <c r="R7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2" s="5" cm="1">
        <f t="array" ref="S742">MIN(IF((ContinuousStatsTable[GroupByKey]=ContinuousStatsTable[[#This Row],[GroupByKey]]),(ContinuousStatsTable[GroupByKey]=ContinuousStatsTable[[#This Row],[GroupByKey]])*ContinuousStatsTable[Average]))</f>
        <v>1</v>
      </c>
      <c r="T742" s="5" cm="1">
        <f t="array" ref="T742">MAX(IF((ContinuousStatsTable[GroupByKey]=ContinuousStatsTable[[#This Row],[GroupByKey]]),(ContinuousStatsTable[GroupByKey]=ContinuousStatsTable[[#This Row],[GroupByKey]])*ContinuousStatsTable[Average]))</f>
        <v>1</v>
      </c>
      <c r="U742" s="5">
        <f>IF((ContinuousStatsTable[[#This Row],[RepsRequested]]&gt;1),ContinuousStatsTable[[#This Row],[HalfWidth]],ContinuousStatsTable[[#This Row],[BatchMeansHalfWidth]])</f>
        <v>0</v>
      </c>
    </row>
    <row r="743" spans="1:21" x14ac:dyDescent="0.3">
      <c r="A743" t="s">
        <v>66</v>
      </c>
      <c r="B743" t="s">
        <v>68</v>
      </c>
      <c r="C743">
        <v>20</v>
      </c>
      <c r="D743" t="s">
        <v>69</v>
      </c>
      <c r="E743" t="s">
        <v>92</v>
      </c>
      <c r="F743" t="s">
        <v>71</v>
      </c>
      <c r="G743">
        <v>6.6536388194253302</v>
      </c>
      <c r="H743">
        <v>2E+20</v>
      </c>
      <c r="I743">
        <v>0</v>
      </c>
      <c r="J743">
        <v>24</v>
      </c>
      <c r="K743">
        <v>0</v>
      </c>
      <c r="L743">
        <v>0</v>
      </c>
      <c r="M743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743" s="5" cm="1">
        <f t="array" ref="N743">MAX(IF((ProjectInfoTable[ProjectName]=ContinuousStatsTable[[#This Row],[ProjectName]]),(ProjectInfoTable[ProjectName]=ContinuousStatsTable[[#This Row],[ProjectName]])*ProjectInfoTable[NumberOfReplications]))</f>
        <v>30</v>
      </c>
      <c r="O743" s="5" cm="1">
        <f t="array" ref="O743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743" s="5" cm="1">
        <f t="array" ref="P743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743" s="5" cm="1">
        <f t="array" ref="Q743">MAX(IF((ProjectInfoTable[ProjectName]=ContinuousStatsTable[[#This Row],[ProjectName]]),(ProjectInfoTable[ProjectName]=ContinuousStatsTable[[#This Row],[ProjectName]])*ProjectInfoTable[ConfidenceInterval]))</f>
        <v>0.95</v>
      </c>
      <c r="R7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743" s="5" cm="1">
        <f t="array" ref="S743">MIN(IF((ContinuousStatsTable[GroupByKey]=ContinuousStatsTable[[#This Row],[GroupByKey]]),(ContinuousStatsTable[GroupByKey]=ContinuousStatsTable[[#This Row],[GroupByKey]])*ContinuousStatsTable[Average]))</f>
        <v>2.2853775994771</v>
      </c>
      <c r="T743" s="5" cm="1">
        <f t="array" ref="T743">MAX(IF((ContinuousStatsTable[GroupByKey]=ContinuousStatsTable[[#This Row],[GroupByKey]]),(ContinuousStatsTable[GroupByKey]=ContinuousStatsTable[[#This Row],[GroupByKey]])*ContinuousStatsTable[Average]))</f>
        <v>9.3827575078214593</v>
      </c>
      <c r="U743" s="5">
        <f>IF((ContinuousStatsTable[[#This Row],[RepsRequested]]&gt;1),ContinuousStatsTable[[#This Row],[HalfWidth]],ContinuousStatsTable[[#This Row],[BatchMeansHalfWidth]])</f>
        <v>0.70373665421471332</v>
      </c>
    </row>
    <row r="744" spans="1:21" x14ac:dyDescent="0.3">
      <c r="A744" t="s">
        <v>66</v>
      </c>
      <c r="B744" t="s">
        <v>68</v>
      </c>
      <c r="C744">
        <v>20</v>
      </c>
      <c r="D744" t="s">
        <v>72</v>
      </c>
      <c r="E744" t="s">
        <v>92</v>
      </c>
      <c r="F744" t="s">
        <v>71</v>
      </c>
      <c r="G744">
        <v>5.4627946301772603</v>
      </c>
      <c r="H744">
        <v>2E+20</v>
      </c>
      <c r="I744">
        <v>0</v>
      </c>
      <c r="J744">
        <v>25</v>
      </c>
      <c r="K744">
        <v>0</v>
      </c>
      <c r="L744">
        <v>0</v>
      </c>
      <c r="M744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744" s="5" cm="1">
        <f t="array" ref="N744">MAX(IF((ProjectInfoTable[ProjectName]=ContinuousStatsTable[[#This Row],[ProjectName]]),(ProjectInfoTable[ProjectName]=ContinuousStatsTable[[#This Row],[ProjectName]])*ProjectInfoTable[NumberOfReplications]))</f>
        <v>30</v>
      </c>
      <c r="O744" s="5" cm="1">
        <f t="array" ref="O744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744" s="5" cm="1">
        <f t="array" ref="P744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744" s="5" cm="1">
        <f t="array" ref="Q744">MAX(IF((ProjectInfoTable[ProjectName]=ContinuousStatsTable[[#This Row],[ProjectName]]),(ProjectInfoTable[ProjectName]=ContinuousStatsTable[[#This Row],[ProjectName]])*ProjectInfoTable[ConfidenceInterval]))</f>
        <v>0.95</v>
      </c>
      <c r="R7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744" s="5" cm="1">
        <f t="array" ref="S744">MIN(IF((ContinuousStatsTable[GroupByKey]=ContinuousStatsTable[[#This Row],[GroupByKey]]),(ContinuousStatsTable[GroupByKey]=ContinuousStatsTable[[#This Row],[GroupByKey]])*ContinuousStatsTable[Average]))</f>
        <v>1.4754093813695901</v>
      </c>
      <c r="T744" s="5" cm="1">
        <f t="array" ref="T744">MAX(IF((ContinuousStatsTable[GroupByKey]=ContinuousStatsTable[[#This Row],[GroupByKey]]),(ContinuousStatsTable[GroupByKey]=ContinuousStatsTable[[#This Row],[GroupByKey]])*ContinuousStatsTable[Average]))</f>
        <v>8.0603747791942499</v>
      </c>
      <c r="U744" s="5">
        <f>IF((ContinuousStatsTable[[#This Row],[RepsRequested]]&gt;1),ContinuousStatsTable[[#This Row],[HalfWidth]],ContinuousStatsTable[[#This Row],[BatchMeansHalfWidth]])</f>
        <v>0.5936172943910426</v>
      </c>
    </row>
    <row r="745" spans="1:21" x14ac:dyDescent="0.3">
      <c r="A745" t="s">
        <v>66</v>
      </c>
      <c r="B745" t="s">
        <v>68</v>
      </c>
      <c r="C745">
        <v>20</v>
      </c>
      <c r="D745" t="s">
        <v>73</v>
      </c>
      <c r="E745" t="s">
        <v>92</v>
      </c>
      <c r="F745" t="s">
        <v>71</v>
      </c>
      <c r="G745">
        <v>15.6228291466876</v>
      </c>
      <c r="H745">
        <v>2E+20</v>
      </c>
      <c r="I745">
        <v>0</v>
      </c>
      <c r="J745">
        <v>34</v>
      </c>
      <c r="K745">
        <v>17</v>
      </c>
      <c r="L745">
        <v>0</v>
      </c>
      <c r="M745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745" s="5" cm="1">
        <f t="array" ref="N745">MAX(IF((ProjectInfoTable[ProjectName]=ContinuousStatsTable[[#This Row],[ProjectName]]),(ProjectInfoTable[ProjectName]=ContinuousStatsTable[[#This Row],[ProjectName]])*ProjectInfoTable[NumberOfReplications]))</f>
        <v>30</v>
      </c>
      <c r="O745" s="5" cm="1">
        <f t="array" ref="O745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745" s="5" cm="1">
        <f t="array" ref="P745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745" s="5" cm="1">
        <f t="array" ref="Q745">MAX(IF((ProjectInfoTable[ProjectName]=ContinuousStatsTable[[#This Row],[ProjectName]]),(ProjectInfoTable[ProjectName]=ContinuousStatsTable[[#This Row],[ProjectName]])*ProjectInfoTable[ConfidenceInterval]))</f>
        <v>0.95</v>
      </c>
      <c r="R7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745" s="5" cm="1">
        <f t="array" ref="S745">MIN(IF((ContinuousStatsTable[GroupByKey]=ContinuousStatsTable[[#This Row],[GroupByKey]]),(ContinuousStatsTable[GroupByKey]=ContinuousStatsTable[[#This Row],[GroupByKey]])*ContinuousStatsTable[Average]))</f>
        <v>1.3305593103954101</v>
      </c>
      <c r="T745" s="5" cm="1">
        <f t="array" ref="T745">MAX(IF((ContinuousStatsTable[GroupByKey]=ContinuousStatsTable[[#This Row],[GroupByKey]]),(ContinuousStatsTable[GroupByKey]=ContinuousStatsTable[[#This Row],[GroupByKey]])*ContinuousStatsTable[Average]))</f>
        <v>29.356614544212601</v>
      </c>
      <c r="U745" s="5">
        <f>IF((ContinuousStatsTable[[#This Row],[RepsRequested]]&gt;1),ContinuousStatsTable[[#This Row],[HalfWidth]],ContinuousStatsTable[[#This Row],[BatchMeansHalfWidth]])</f>
        <v>2.162177461749093</v>
      </c>
    </row>
    <row r="746" spans="1:21" x14ac:dyDescent="0.3">
      <c r="A746" t="s">
        <v>66</v>
      </c>
      <c r="B746" t="s">
        <v>68</v>
      </c>
      <c r="C746">
        <v>20</v>
      </c>
      <c r="D746" t="s">
        <v>74</v>
      </c>
      <c r="E746" t="s">
        <v>92</v>
      </c>
      <c r="F746" t="s">
        <v>71</v>
      </c>
      <c r="G746">
        <v>0</v>
      </c>
      <c r="H746">
        <v>2E+20</v>
      </c>
      <c r="I746">
        <v>0</v>
      </c>
      <c r="J746">
        <v>0</v>
      </c>
      <c r="K746">
        <v>0</v>
      </c>
      <c r="L746">
        <v>0</v>
      </c>
      <c r="M746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746" s="5" cm="1">
        <f t="array" ref="N746">MAX(IF((ProjectInfoTable[ProjectName]=ContinuousStatsTable[[#This Row],[ProjectName]]),(ProjectInfoTable[ProjectName]=ContinuousStatsTable[[#This Row],[ProjectName]])*ProjectInfoTable[NumberOfReplications]))</f>
        <v>30</v>
      </c>
      <c r="O746" s="5" cm="1">
        <f t="array" ref="O746">IFERROR(AVERAGE(IF((ContinuousStatsTable[GroupByKey]=ContinuousStatsTable[[#This Row],[GroupByKey]]),(ContinuousStatsTable[GroupByKey]=ContinuousStatsTable[[#This Row],[GroupByKey]])*ContinuousStatsTable[Average])),0)</f>
        <v>0</v>
      </c>
      <c r="P746" s="5" cm="1">
        <f t="array" ref="P746">IFERROR(_xlfn.STDEV.S(IF((ContinuousStatsTable[GroupByKey]=ContinuousStatsTable[[#This Row],[GroupByKey]]),(ContinuousStatsTable[GroupByKey]=ContinuousStatsTable[[#This Row],[GroupByKey]])*ContinuousStatsTable[Average])),0)</f>
        <v>0</v>
      </c>
      <c r="Q746" s="5" cm="1">
        <f t="array" ref="Q746">MAX(IF((ProjectInfoTable[ProjectName]=ContinuousStatsTable[[#This Row],[ProjectName]]),(ProjectInfoTable[ProjectName]=ContinuousStatsTable[[#This Row],[ProjectName]])*ProjectInfoTable[ConfidenceInterval]))</f>
        <v>0.95</v>
      </c>
      <c r="R7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6" s="5" cm="1">
        <f t="array" ref="S746">MIN(IF((ContinuousStatsTable[GroupByKey]=ContinuousStatsTable[[#This Row],[GroupByKey]]),(ContinuousStatsTable[GroupByKey]=ContinuousStatsTable[[#This Row],[GroupByKey]])*ContinuousStatsTable[Average]))</f>
        <v>0</v>
      </c>
      <c r="T746" s="5" cm="1">
        <f t="array" ref="T746">MAX(IF((ContinuousStatsTable[GroupByKey]=ContinuousStatsTable[[#This Row],[GroupByKey]]),(ContinuousStatsTable[GroupByKey]=ContinuousStatsTable[[#This Row],[GroupByKey]])*ContinuousStatsTable[Average]))</f>
        <v>0</v>
      </c>
      <c r="U746" s="5">
        <f>IF((ContinuousStatsTable[[#This Row],[RepsRequested]]&gt;1),ContinuousStatsTable[[#This Row],[HalfWidth]],ContinuousStatsTable[[#This Row],[BatchMeansHalfWidth]])</f>
        <v>0</v>
      </c>
    </row>
    <row r="747" spans="1:21" x14ac:dyDescent="0.3">
      <c r="A747" t="s">
        <v>66</v>
      </c>
      <c r="B747" t="s">
        <v>68</v>
      </c>
      <c r="C747">
        <v>20</v>
      </c>
      <c r="D747" t="s">
        <v>75</v>
      </c>
      <c r="E747" t="s">
        <v>92</v>
      </c>
      <c r="F747" t="s">
        <v>71</v>
      </c>
      <c r="G747">
        <v>0</v>
      </c>
      <c r="H747">
        <v>2E+20</v>
      </c>
      <c r="I747">
        <v>0</v>
      </c>
      <c r="J747">
        <v>0</v>
      </c>
      <c r="K747">
        <v>0</v>
      </c>
      <c r="L747">
        <v>0</v>
      </c>
      <c r="M747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747" s="5" cm="1">
        <f t="array" ref="N747">MAX(IF((ProjectInfoTable[ProjectName]=ContinuousStatsTable[[#This Row],[ProjectName]]),(ProjectInfoTable[ProjectName]=ContinuousStatsTable[[#This Row],[ProjectName]])*ProjectInfoTable[NumberOfReplications]))</f>
        <v>30</v>
      </c>
      <c r="O747" s="5" cm="1">
        <f t="array" ref="O747">IFERROR(AVERAGE(IF((ContinuousStatsTable[GroupByKey]=ContinuousStatsTable[[#This Row],[GroupByKey]]),(ContinuousStatsTable[GroupByKey]=ContinuousStatsTable[[#This Row],[GroupByKey]])*ContinuousStatsTable[Average])),0)</f>
        <v>0</v>
      </c>
      <c r="P747" s="5" cm="1">
        <f t="array" ref="P747">IFERROR(_xlfn.STDEV.S(IF((ContinuousStatsTable[GroupByKey]=ContinuousStatsTable[[#This Row],[GroupByKey]]),(ContinuousStatsTable[GroupByKey]=ContinuousStatsTable[[#This Row],[GroupByKey]])*ContinuousStatsTable[Average])),0)</f>
        <v>0</v>
      </c>
      <c r="Q747" s="5" cm="1">
        <f t="array" ref="Q747">MAX(IF((ProjectInfoTable[ProjectName]=ContinuousStatsTable[[#This Row],[ProjectName]]),(ProjectInfoTable[ProjectName]=ContinuousStatsTable[[#This Row],[ProjectName]])*ProjectInfoTable[ConfidenceInterval]))</f>
        <v>0.95</v>
      </c>
      <c r="R7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7" s="5" cm="1">
        <f t="array" ref="S747">MIN(IF((ContinuousStatsTable[GroupByKey]=ContinuousStatsTable[[#This Row],[GroupByKey]]),(ContinuousStatsTable[GroupByKey]=ContinuousStatsTable[[#This Row],[GroupByKey]])*ContinuousStatsTable[Average]))</f>
        <v>0</v>
      </c>
      <c r="T747" s="5" cm="1">
        <f t="array" ref="T747">MAX(IF((ContinuousStatsTable[GroupByKey]=ContinuousStatsTable[[#This Row],[GroupByKey]]),(ContinuousStatsTable[GroupByKey]=ContinuousStatsTable[[#This Row],[GroupByKey]])*ContinuousStatsTable[Average]))</f>
        <v>0</v>
      </c>
      <c r="U747" s="5">
        <f>IF((ContinuousStatsTable[[#This Row],[RepsRequested]]&gt;1),ContinuousStatsTable[[#This Row],[HalfWidth]],ContinuousStatsTable[[#This Row],[BatchMeansHalfWidth]])</f>
        <v>0</v>
      </c>
    </row>
    <row r="748" spans="1:21" x14ac:dyDescent="0.3">
      <c r="A748" t="s">
        <v>66</v>
      </c>
      <c r="B748" t="s">
        <v>68</v>
      </c>
      <c r="C748">
        <v>20</v>
      </c>
      <c r="D748" t="s">
        <v>76</v>
      </c>
      <c r="E748" t="s">
        <v>92</v>
      </c>
      <c r="F748" t="s">
        <v>71</v>
      </c>
      <c r="G748">
        <v>4.1119263103435699</v>
      </c>
      <c r="H748">
        <v>2E+20</v>
      </c>
      <c r="I748">
        <v>0</v>
      </c>
      <c r="J748">
        <v>20</v>
      </c>
      <c r="K748">
        <v>7</v>
      </c>
      <c r="L748">
        <v>0</v>
      </c>
      <c r="M748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748" s="5" cm="1">
        <f t="array" ref="N748">MAX(IF((ProjectInfoTable[ProjectName]=ContinuousStatsTable[[#This Row],[ProjectName]]),(ProjectInfoTable[ProjectName]=ContinuousStatsTable[[#This Row],[ProjectName]])*ProjectInfoTable[NumberOfReplications]))</f>
        <v>30</v>
      </c>
      <c r="O748" s="5" cm="1">
        <f t="array" ref="O748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748" s="5" cm="1">
        <f t="array" ref="P748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748" s="5" cm="1">
        <f t="array" ref="Q748">MAX(IF((ProjectInfoTable[ProjectName]=ContinuousStatsTable[[#This Row],[ProjectName]]),(ProjectInfoTable[ProjectName]=ContinuousStatsTable[[#This Row],[ProjectName]])*ProjectInfoTable[ConfidenceInterval]))</f>
        <v>0.95</v>
      </c>
      <c r="R7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748" s="5" cm="1">
        <f t="array" ref="S748">MIN(IF((ContinuousStatsTable[GroupByKey]=ContinuousStatsTable[[#This Row],[GroupByKey]]),(ContinuousStatsTable[GroupByKey]=ContinuousStatsTable[[#This Row],[GroupByKey]])*ContinuousStatsTable[Average]))</f>
        <v>4.5869485136026601E-2</v>
      </c>
      <c r="T748" s="5" cm="1">
        <f t="array" ref="T748">MAX(IF((ContinuousStatsTable[GroupByKey]=ContinuousStatsTable[[#This Row],[GroupByKey]]),(ContinuousStatsTable[GroupByKey]=ContinuousStatsTable[[#This Row],[GroupByKey]])*ContinuousStatsTable[Average]))</f>
        <v>4.1119263103435699</v>
      </c>
      <c r="U748" s="5">
        <f>IF((ContinuousStatsTable[[#This Row],[RepsRequested]]&gt;1),ContinuousStatsTable[[#This Row],[HalfWidth]],ContinuousStatsTable[[#This Row],[BatchMeansHalfWidth]])</f>
        <v>0.43252967563899991</v>
      </c>
    </row>
    <row r="749" spans="1:21" x14ac:dyDescent="0.3">
      <c r="A749" t="s">
        <v>66</v>
      </c>
      <c r="B749" t="s">
        <v>68</v>
      </c>
      <c r="C749">
        <v>20</v>
      </c>
      <c r="D749" t="s">
        <v>77</v>
      </c>
      <c r="E749" t="s">
        <v>92</v>
      </c>
      <c r="F749" t="s">
        <v>71</v>
      </c>
      <c r="G749">
        <v>0</v>
      </c>
      <c r="H749">
        <v>2E+20</v>
      </c>
      <c r="I749">
        <v>0</v>
      </c>
      <c r="J749">
        <v>0</v>
      </c>
      <c r="K749">
        <v>0</v>
      </c>
      <c r="L749">
        <v>0</v>
      </c>
      <c r="M749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749" s="5" cm="1">
        <f t="array" ref="N749">MAX(IF((ProjectInfoTable[ProjectName]=ContinuousStatsTable[[#This Row],[ProjectName]]),(ProjectInfoTable[ProjectName]=ContinuousStatsTable[[#This Row],[ProjectName]])*ProjectInfoTable[NumberOfReplications]))</f>
        <v>30</v>
      </c>
      <c r="O749" s="5" cm="1">
        <f t="array" ref="O749">IFERROR(AVERAGE(IF((ContinuousStatsTable[GroupByKey]=ContinuousStatsTable[[#This Row],[GroupByKey]]),(ContinuousStatsTable[GroupByKey]=ContinuousStatsTable[[#This Row],[GroupByKey]])*ContinuousStatsTable[Average])),0)</f>
        <v>0</v>
      </c>
      <c r="P749" s="5" cm="1">
        <f t="array" ref="P749">IFERROR(_xlfn.STDEV.S(IF((ContinuousStatsTable[GroupByKey]=ContinuousStatsTable[[#This Row],[GroupByKey]]),(ContinuousStatsTable[GroupByKey]=ContinuousStatsTable[[#This Row],[GroupByKey]])*ContinuousStatsTable[Average])),0)</f>
        <v>0</v>
      </c>
      <c r="Q749" s="5" cm="1">
        <f t="array" ref="Q749">MAX(IF((ProjectInfoTable[ProjectName]=ContinuousStatsTable[[#This Row],[ProjectName]]),(ProjectInfoTable[ProjectName]=ContinuousStatsTable[[#This Row],[ProjectName]])*ProjectInfoTable[ConfidenceInterval]))</f>
        <v>0.95</v>
      </c>
      <c r="R7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9" s="5" cm="1">
        <f t="array" ref="S749">MIN(IF((ContinuousStatsTable[GroupByKey]=ContinuousStatsTable[[#This Row],[GroupByKey]]),(ContinuousStatsTable[GroupByKey]=ContinuousStatsTable[[#This Row],[GroupByKey]])*ContinuousStatsTable[Average]))</f>
        <v>0</v>
      </c>
      <c r="T749" s="5" cm="1">
        <f t="array" ref="T749">MAX(IF((ContinuousStatsTable[GroupByKey]=ContinuousStatsTable[[#This Row],[GroupByKey]]),(ContinuousStatsTable[GroupByKey]=ContinuousStatsTable[[#This Row],[GroupByKey]])*ContinuousStatsTable[Average]))</f>
        <v>0</v>
      </c>
      <c r="U749" s="5">
        <f>IF((ContinuousStatsTable[[#This Row],[RepsRequested]]&gt;1),ContinuousStatsTable[[#This Row],[HalfWidth]],ContinuousStatsTable[[#This Row],[BatchMeansHalfWidth]])</f>
        <v>0</v>
      </c>
    </row>
    <row r="750" spans="1:21" x14ac:dyDescent="0.3">
      <c r="A750" t="s">
        <v>66</v>
      </c>
      <c r="B750" t="s">
        <v>68</v>
      </c>
      <c r="C750">
        <v>20</v>
      </c>
      <c r="D750" t="s">
        <v>78</v>
      </c>
      <c r="E750" t="s">
        <v>92</v>
      </c>
      <c r="F750" t="s">
        <v>71</v>
      </c>
      <c r="G750">
        <v>0</v>
      </c>
      <c r="H750">
        <v>2E+20</v>
      </c>
      <c r="I750">
        <v>0</v>
      </c>
      <c r="J750">
        <v>0</v>
      </c>
      <c r="K750">
        <v>0</v>
      </c>
      <c r="L750">
        <v>0</v>
      </c>
      <c r="M750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750" s="5" cm="1">
        <f t="array" ref="N750">MAX(IF((ProjectInfoTable[ProjectName]=ContinuousStatsTable[[#This Row],[ProjectName]]),(ProjectInfoTable[ProjectName]=ContinuousStatsTable[[#This Row],[ProjectName]])*ProjectInfoTable[NumberOfReplications]))</f>
        <v>30</v>
      </c>
      <c r="O750" s="5" cm="1">
        <f t="array" ref="O750">IFERROR(AVERAGE(IF((ContinuousStatsTable[GroupByKey]=ContinuousStatsTable[[#This Row],[GroupByKey]]),(ContinuousStatsTable[GroupByKey]=ContinuousStatsTable[[#This Row],[GroupByKey]])*ContinuousStatsTable[Average])),0)</f>
        <v>0</v>
      </c>
      <c r="P750" s="5" cm="1">
        <f t="array" ref="P750">IFERROR(_xlfn.STDEV.S(IF((ContinuousStatsTable[GroupByKey]=ContinuousStatsTable[[#This Row],[GroupByKey]]),(ContinuousStatsTable[GroupByKey]=ContinuousStatsTable[[#This Row],[GroupByKey]])*ContinuousStatsTable[Average])),0)</f>
        <v>0</v>
      </c>
      <c r="Q750" s="5" cm="1">
        <f t="array" ref="Q750">MAX(IF((ProjectInfoTable[ProjectName]=ContinuousStatsTable[[#This Row],[ProjectName]]),(ProjectInfoTable[ProjectName]=ContinuousStatsTable[[#This Row],[ProjectName]])*ProjectInfoTable[ConfidenceInterval]))</f>
        <v>0.95</v>
      </c>
      <c r="R7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0" s="5" cm="1">
        <f t="array" ref="S750">MIN(IF((ContinuousStatsTable[GroupByKey]=ContinuousStatsTable[[#This Row],[GroupByKey]]),(ContinuousStatsTable[GroupByKey]=ContinuousStatsTable[[#This Row],[GroupByKey]])*ContinuousStatsTable[Average]))</f>
        <v>0</v>
      </c>
      <c r="T750" s="5" cm="1">
        <f t="array" ref="T750">MAX(IF((ContinuousStatsTable[GroupByKey]=ContinuousStatsTable[[#This Row],[GroupByKey]]),(ContinuousStatsTable[GroupByKey]=ContinuousStatsTable[[#This Row],[GroupByKey]])*ContinuousStatsTable[Average]))</f>
        <v>0</v>
      </c>
      <c r="U750" s="5">
        <f>IF((ContinuousStatsTable[[#This Row],[RepsRequested]]&gt;1),ContinuousStatsTable[[#This Row],[HalfWidth]],ContinuousStatsTable[[#This Row],[BatchMeansHalfWidth]])</f>
        <v>0</v>
      </c>
    </row>
    <row r="751" spans="1:21" x14ac:dyDescent="0.3">
      <c r="A751" t="s">
        <v>66</v>
      </c>
      <c r="B751" t="s">
        <v>68</v>
      </c>
      <c r="C751">
        <v>20</v>
      </c>
      <c r="D751" t="s">
        <v>93</v>
      </c>
      <c r="E751" t="s">
        <v>94</v>
      </c>
      <c r="F751" t="s">
        <v>95</v>
      </c>
      <c r="G751">
        <v>4.4659738635868598E-2</v>
      </c>
      <c r="H751">
        <v>2E+20</v>
      </c>
      <c r="I751">
        <v>0</v>
      </c>
      <c r="J751">
        <v>0.25</v>
      </c>
      <c r="K751">
        <v>0.05</v>
      </c>
      <c r="L751">
        <v>0</v>
      </c>
      <c r="M751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751" s="5" cm="1">
        <f t="array" ref="N751">MAX(IF((ProjectInfoTable[ProjectName]=ContinuousStatsTable[[#This Row],[ProjectName]]),(ProjectInfoTable[ProjectName]=ContinuousStatsTable[[#This Row],[ProjectName]])*ProjectInfoTable[NumberOfReplications]))</f>
        <v>30</v>
      </c>
      <c r="O751" s="5" cm="1">
        <f t="array" ref="O751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751" s="5" cm="1">
        <f t="array" ref="P751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751" s="5" cm="1">
        <f t="array" ref="Q751">MAX(IF((ProjectInfoTable[ProjectName]=ContinuousStatsTable[[#This Row],[ProjectName]]),(ProjectInfoTable[ProjectName]=ContinuousStatsTable[[#This Row],[ProjectName]])*ProjectInfoTable[ConfidenceInterval]))</f>
        <v>0.95</v>
      </c>
      <c r="R7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751" s="5" cm="1">
        <f t="array" ref="S751">MIN(IF((ContinuousStatsTable[GroupByKey]=ContinuousStatsTable[[#This Row],[GroupByKey]]),(ContinuousStatsTable[GroupByKey]=ContinuousStatsTable[[#This Row],[GroupByKey]])*ContinuousStatsTable[Average]))</f>
        <v>2.3718114155243601E-2</v>
      </c>
      <c r="T751" s="5" cm="1">
        <f t="array" ref="T751">MAX(IF((ContinuousStatsTable[GroupByKey]=ContinuousStatsTable[[#This Row],[GroupByKey]]),(ContinuousStatsTable[GroupByKey]=ContinuousStatsTable[[#This Row],[GroupByKey]])*ContinuousStatsTable[Average]))</f>
        <v>4.8583931724403701E-2</v>
      </c>
      <c r="U751" s="5">
        <f>IF((ContinuousStatsTable[[#This Row],[RepsRequested]]&gt;1),ContinuousStatsTable[[#This Row],[HalfWidth]],ContinuousStatsTable[[#This Row],[BatchMeansHalfWidth]])</f>
        <v>2.4839579632442289E-3</v>
      </c>
    </row>
    <row r="752" spans="1:21" x14ac:dyDescent="0.3">
      <c r="A752" t="s">
        <v>66</v>
      </c>
      <c r="B752" t="s">
        <v>68</v>
      </c>
      <c r="C752">
        <v>20</v>
      </c>
      <c r="D752" t="s">
        <v>93</v>
      </c>
      <c r="E752" t="s">
        <v>96</v>
      </c>
      <c r="F752" t="s">
        <v>95</v>
      </c>
      <c r="G752">
        <v>0.89319477271737202</v>
      </c>
      <c r="H752">
        <v>2E+20</v>
      </c>
      <c r="I752">
        <v>0</v>
      </c>
      <c r="J752">
        <v>5</v>
      </c>
      <c r="K752">
        <v>1</v>
      </c>
      <c r="L752">
        <v>0</v>
      </c>
      <c r="M752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752" s="5" cm="1">
        <f t="array" ref="N752">MAX(IF((ProjectInfoTable[ProjectName]=ContinuousStatsTable[[#This Row],[ProjectName]]),(ProjectInfoTable[ProjectName]=ContinuousStatsTable[[#This Row],[ProjectName]])*ProjectInfoTable[NumberOfReplications]))</f>
        <v>30</v>
      </c>
      <c r="O752" s="5" cm="1">
        <f t="array" ref="O752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752" s="5" cm="1">
        <f t="array" ref="P752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752" s="5" cm="1">
        <f t="array" ref="Q752">MAX(IF((ProjectInfoTable[ProjectName]=ContinuousStatsTable[[#This Row],[ProjectName]]),(ProjectInfoTable[ProjectName]=ContinuousStatsTable[[#This Row],[ProjectName]])*ProjectInfoTable[ConfidenceInterval]))</f>
        <v>0.95</v>
      </c>
      <c r="R7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752" s="5" cm="1">
        <f t="array" ref="S752">MIN(IF((ContinuousStatsTable[GroupByKey]=ContinuousStatsTable[[#This Row],[GroupByKey]]),(ContinuousStatsTable[GroupByKey]=ContinuousStatsTable[[#This Row],[GroupByKey]])*ContinuousStatsTable[Average]))</f>
        <v>0.47436228310487299</v>
      </c>
      <c r="T752" s="5" cm="1">
        <f t="array" ref="T752">MAX(IF((ContinuousStatsTable[GroupByKey]=ContinuousStatsTable[[#This Row],[GroupByKey]]),(ContinuousStatsTable[GroupByKey]=ContinuousStatsTable[[#This Row],[GroupByKey]])*ContinuousStatsTable[Average]))</f>
        <v>0.97167863448807401</v>
      </c>
      <c r="U752" s="5">
        <f>IF((ContinuousStatsTable[[#This Row],[RepsRequested]]&gt;1),ContinuousStatsTable[[#This Row],[HalfWidth]],ContinuousStatsTable[[#This Row],[BatchMeansHalfWidth]])</f>
        <v>4.9679159264885281E-2</v>
      </c>
    </row>
    <row r="753" spans="1:21" x14ac:dyDescent="0.3">
      <c r="A753" t="s">
        <v>66</v>
      </c>
      <c r="B753" t="s">
        <v>68</v>
      </c>
      <c r="C753">
        <v>20</v>
      </c>
      <c r="D753" t="s">
        <v>93</v>
      </c>
      <c r="E753" t="s">
        <v>97</v>
      </c>
      <c r="F753" t="s">
        <v>95</v>
      </c>
      <c r="G753">
        <v>20</v>
      </c>
      <c r="H753">
        <v>2E+20</v>
      </c>
      <c r="I753">
        <v>20</v>
      </c>
      <c r="J753">
        <v>20</v>
      </c>
      <c r="K753">
        <v>20</v>
      </c>
      <c r="L753">
        <v>0</v>
      </c>
      <c r="M753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753" s="5" cm="1">
        <f t="array" ref="N753">MAX(IF((ProjectInfoTable[ProjectName]=ContinuousStatsTable[[#This Row],[ProjectName]]),(ProjectInfoTable[ProjectName]=ContinuousStatsTable[[#This Row],[ProjectName]])*ProjectInfoTable[NumberOfReplications]))</f>
        <v>30</v>
      </c>
      <c r="O753" s="5" cm="1">
        <f t="array" ref="O753">IFERROR(AVERAGE(IF((ContinuousStatsTable[GroupByKey]=ContinuousStatsTable[[#This Row],[GroupByKey]]),(ContinuousStatsTable[GroupByKey]=ContinuousStatsTable[[#This Row],[GroupByKey]])*ContinuousStatsTable[Average])),0)</f>
        <v>20</v>
      </c>
      <c r="P753" s="5" cm="1">
        <f t="array" ref="P753">IFERROR(_xlfn.STDEV.S(IF((ContinuousStatsTable[GroupByKey]=ContinuousStatsTable[[#This Row],[GroupByKey]]),(ContinuousStatsTable[GroupByKey]=ContinuousStatsTable[[#This Row],[GroupByKey]])*ContinuousStatsTable[Average])),0)</f>
        <v>0</v>
      </c>
      <c r="Q753" s="5" cm="1">
        <f t="array" ref="Q753">MAX(IF((ProjectInfoTable[ProjectName]=ContinuousStatsTable[[#This Row],[ProjectName]]),(ProjectInfoTable[ProjectName]=ContinuousStatsTable[[#This Row],[ProjectName]])*ProjectInfoTable[ConfidenceInterval]))</f>
        <v>0.95</v>
      </c>
      <c r="R7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3" s="5" cm="1">
        <f t="array" ref="S753">MIN(IF((ContinuousStatsTable[GroupByKey]=ContinuousStatsTable[[#This Row],[GroupByKey]]),(ContinuousStatsTable[GroupByKey]=ContinuousStatsTable[[#This Row],[GroupByKey]])*ContinuousStatsTable[Average]))</f>
        <v>20</v>
      </c>
      <c r="T753" s="5" cm="1">
        <f t="array" ref="T753">MAX(IF((ContinuousStatsTable[GroupByKey]=ContinuousStatsTable[[#This Row],[GroupByKey]]),(ContinuousStatsTable[GroupByKey]=ContinuousStatsTable[[#This Row],[GroupByKey]])*ContinuousStatsTable[Average]))</f>
        <v>20</v>
      </c>
      <c r="U753" s="5">
        <f>IF((ContinuousStatsTable[[#This Row],[RepsRequested]]&gt;1),ContinuousStatsTable[[#This Row],[HalfWidth]],ContinuousStatsTable[[#This Row],[BatchMeansHalfWidth]])</f>
        <v>0</v>
      </c>
    </row>
    <row r="754" spans="1:21" x14ac:dyDescent="0.3">
      <c r="A754" t="s">
        <v>66</v>
      </c>
      <c r="B754" t="s">
        <v>68</v>
      </c>
      <c r="C754">
        <v>20</v>
      </c>
      <c r="D754" t="s">
        <v>98</v>
      </c>
      <c r="E754" t="s">
        <v>94</v>
      </c>
      <c r="F754" t="s">
        <v>95</v>
      </c>
      <c r="G754">
        <v>0.283824198675041</v>
      </c>
      <c r="H754">
        <v>2E+20</v>
      </c>
      <c r="I754">
        <v>0</v>
      </c>
      <c r="J754">
        <v>0.85</v>
      </c>
      <c r="K754">
        <v>0.3</v>
      </c>
      <c r="L754">
        <v>0</v>
      </c>
      <c r="M754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754" s="5" cm="1">
        <f t="array" ref="N754">MAX(IF((ProjectInfoTable[ProjectName]=ContinuousStatsTable[[#This Row],[ProjectName]]),(ProjectInfoTable[ProjectName]=ContinuousStatsTable[[#This Row],[ProjectName]])*ProjectInfoTable[NumberOfReplications]))</f>
        <v>30</v>
      </c>
      <c r="O754" s="5" cm="1">
        <f t="array" ref="O754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754" s="5" cm="1">
        <f t="array" ref="P754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754" s="5" cm="1">
        <f t="array" ref="Q754">MAX(IF((ProjectInfoTable[ProjectName]=ContinuousStatsTable[[#This Row],[ProjectName]]),(ProjectInfoTable[ProjectName]=ContinuousStatsTable[[#This Row],[ProjectName]])*ProjectInfoTable[ConfidenceInterval]))</f>
        <v>0.95</v>
      </c>
      <c r="R7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754" s="5" cm="1">
        <f t="array" ref="S754">MIN(IF((ContinuousStatsTable[GroupByKey]=ContinuousStatsTable[[#This Row],[GroupByKey]]),(ContinuousStatsTable[GroupByKey]=ContinuousStatsTable[[#This Row],[GroupByKey]])*ContinuousStatsTable[Average]))</f>
        <v>0.20767736113278101</v>
      </c>
      <c r="T754" s="5" cm="1">
        <f t="array" ref="T754">MAX(IF((ContinuousStatsTable[GroupByKey]=ContinuousStatsTable[[#This Row],[GroupByKey]]),(ContinuousStatsTable[GroupByKey]=ContinuousStatsTable[[#This Row],[GroupByKey]])*ContinuousStatsTable[Average]))</f>
        <v>0.28501162927715501</v>
      </c>
      <c r="U754" s="5">
        <f>IF((ContinuousStatsTable[[#This Row],[RepsRequested]]&gt;1),ContinuousStatsTable[[#This Row],[HalfWidth]],ContinuousStatsTable[[#This Row],[BatchMeansHalfWidth]])</f>
        <v>8.7273384073404715E-3</v>
      </c>
    </row>
    <row r="755" spans="1:21" x14ac:dyDescent="0.3">
      <c r="A755" t="s">
        <v>66</v>
      </c>
      <c r="B755" t="s">
        <v>68</v>
      </c>
      <c r="C755">
        <v>20</v>
      </c>
      <c r="D755" t="s">
        <v>98</v>
      </c>
      <c r="E755" t="s">
        <v>96</v>
      </c>
      <c r="F755" t="s">
        <v>95</v>
      </c>
      <c r="G755">
        <v>5.6764839735008303</v>
      </c>
      <c r="H755">
        <v>2E+20</v>
      </c>
      <c r="I755">
        <v>0</v>
      </c>
      <c r="J755">
        <v>17</v>
      </c>
      <c r="K755">
        <v>6</v>
      </c>
      <c r="L755">
        <v>0</v>
      </c>
      <c r="M755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755" s="5" cm="1">
        <f t="array" ref="N755">MAX(IF((ProjectInfoTable[ProjectName]=ContinuousStatsTable[[#This Row],[ProjectName]]),(ProjectInfoTable[ProjectName]=ContinuousStatsTable[[#This Row],[ProjectName]])*ProjectInfoTable[NumberOfReplications]))</f>
        <v>30</v>
      </c>
      <c r="O755" s="5" cm="1">
        <f t="array" ref="O755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755" s="5" cm="1">
        <f t="array" ref="P755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755" s="5" cm="1">
        <f t="array" ref="Q755">MAX(IF((ProjectInfoTable[ProjectName]=ContinuousStatsTable[[#This Row],[ProjectName]]),(ProjectInfoTable[ProjectName]=ContinuousStatsTable[[#This Row],[ProjectName]])*ProjectInfoTable[ConfidenceInterval]))</f>
        <v>0.95</v>
      </c>
      <c r="R7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755" s="5" cm="1">
        <f t="array" ref="S755">MIN(IF((ContinuousStatsTable[GroupByKey]=ContinuousStatsTable[[#This Row],[GroupByKey]]),(ContinuousStatsTable[GroupByKey]=ContinuousStatsTable[[#This Row],[GroupByKey]])*ContinuousStatsTable[Average]))</f>
        <v>4.15354722265561</v>
      </c>
      <c r="T755" s="5" cm="1">
        <f t="array" ref="T755">MAX(IF((ContinuousStatsTable[GroupByKey]=ContinuousStatsTable[[#This Row],[GroupByKey]]),(ContinuousStatsTable[GroupByKey]=ContinuousStatsTable[[#This Row],[GroupByKey]])*ContinuousStatsTable[Average]))</f>
        <v>5.7002325855431097</v>
      </c>
      <c r="U755" s="5">
        <f>IF((ContinuousStatsTable[[#This Row],[RepsRequested]]&gt;1),ContinuousStatsTable[[#This Row],[HalfWidth]],ContinuousStatsTable[[#This Row],[BatchMeansHalfWidth]])</f>
        <v>0.17454676814681078</v>
      </c>
    </row>
    <row r="756" spans="1:21" x14ac:dyDescent="0.3">
      <c r="A756" t="s">
        <v>66</v>
      </c>
      <c r="B756" t="s">
        <v>68</v>
      </c>
      <c r="C756">
        <v>20</v>
      </c>
      <c r="D756" t="s">
        <v>98</v>
      </c>
      <c r="E756" t="s">
        <v>97</v>
      </c>
      <c r="F756" t="s">
        <v>95</v>
      </c>
      <c r="G756">
        <v>20</v>
      </c>
      <c r="H756">
        <v>2E+20</v>
      </c>
      <c r="I756">
        <v>20</v>
      </c>
      <c r="J756">
        <v>20</v>
      </c>
      <c r="K756">
        <v>20</v>
      </c>
      <c r="L756">
        <v>0</v>
      </c>
      <c r="M756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756" s="5" cm="1">
        <f t="array" ref="N756">MAX(IF((ProjectInfoTable[ProjectName]=ContinuousStatsTable[[#This Row],[ProjectName]]),(ProjectInfoTable[ProjectName]=ContinuousStatsTable[[#This Row],[ProjectName]])*ProjectInfoTable[NumberOfReplications]))</f>
        <v>30</v>
      </c>
      <c r="O756" s="5" cm="1">
        <f t="array" ref="O756">IFERROR(AVERAGE(IF((ContinuousStatsTable[GroupByKey]=ContinuousStatsTable[[#This Row],[GroupByKey]]),(ContinuousStatsTable[GroupByKey]=ContinuousStatsTable[[#This Row],[GroupByKey]])*ContinuousStatsTable[Average])),0)</f>
        <v>20</v>
      </c>
      <c r="P756" s="5" cm="1">
        <f t="array" ref="P756">IFERROR(_xlfn.STDEV.S(IF((ContinuousStatsTable[GroupByKey]=ContinuousStatsTable[[#This Row],[GroupByKey]]),(ContinuousStatsTable[GroupByKey]=ContinuousStatsTable[[#This Row],[GroupByKey]])*ContinuousStatsTable[Average])),0)</f>
        <v>0</v>
      </c>
      <c r="Q756" s="5" cm="1">
        <f t="array" ref="Q756">MAX(IF((ProjectInfoTable[ProjectName]=ContinuousStatsTable[[#This Row],[ProjectName]]),(ProjectInfoTable[ProjectName]=ContinuousStatsTable[[#This Row],[ProjectName]])*ProjectInfoTable[ConfidenceInterval]))</f>
        <v>0.95</v>
      </c>
      <c r="R7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6" s="5" cm="1">
        <f t="array" ref="S756">MIN(IF((ContinuousStatsTable[GroupByKey]=ContinuousStatsTable[[#This Row],[GroupByKey]]),(ContinuousStatsTable[GroupByKey]=ContinuousStatsTable[[#This Row],[GroupByKey]])*ContinuousStatsTable[Average]))</f>
        <v>20</v>
      </c>
      <c r="T756" s="5" cm="1">
        <f t="array" ref="T756">MAX(IF((ContinuousStatsTable[GroupByKey]=ContinuousStatsTable[[#This Row],[GroupByKey]]),(ContinuousStatsTable[GroupByKey]=ContinuousStatsTable[[#This Row],[GroupByKey]])*ContinuousStatsTable[Average]))</f>
        <v>20</v>
      </c>
      <c r="U756" s="5">
        <f>IF((ContinuousStatsTable[[#This Row],[RepsRequested]]&gt;1),ContinuousStatsTable[[#This Row],[HalfWidth]],ContinuousStatsTable[[#This Row],[BatchMeansHalfWidth]])</f>
        <v>0</v>
      </c>
    </row>
    <row r="757" spans="1:21" x14ac:dyDescent="0.3">
      <c r="A757" t="s">
        <v>66</v>
      </c>
      <c r="B757" t="s">
        <v>68</v>
      </c>
      <c r="C757">
        <v>20</v>
      </c>
      <c r="D757" t="s">
        <v>99</v>
      </c>
      <c r="E757" t="s">
        <v>94</v>
      </c>
      <c r="F757" t="s">
        <v>95</v>
      </c>
      <c r="G757">
        <v>0.65467684903063195</v>
      </c>
      <c r="H757">
        <v>2E+20</v>
      </c>
      <c r="I757">
        <v>0</v>
      </c>
      <c r="J757">
        <v>1</v>
      </c>
      <c r="K757">
        <v>1</v>
      </c>
      <c r="L757">
        <v>0</v>
      </c>
      <c r="M757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757" s="5" cm="1">
        <f t="array" ref="N757">MAX(IF((ProjectInfoTable[ProjectName]=ContinuousStatsTable[[#This Row],[ProjectName]]),(ProjectInfoTable[ProjectName]=ContinuousStatsTable[[#This Row],[ProjectName]])*ProjectInfoTable[NumberOfReplications]))</f>
        <v>30</v>
      </c>
      <c r="O757" s="5" cm="1">
        <f t="array" ref="O757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757" s="5" cm="1">
        <f t="array" ref="P757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757" s="5" cm="1">
        <f t="array" ref="Q757">MAX(IF((ProjectInfoTable[ProjectName]=ContinuousStatsTable[[#This Row],[ProjectName]]),(ProjectInfoTable[ProjectName]=ContinuousStatsTable[[#This Row],[ProjectName]])*ProjectInfoTable[ConfidenceInterval]))</f>
        <v>0.95</v>
      </c>
      <c r="R7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757" s="5" cm="1">
        <f t="array" ref="S757">MIN(IF((ContinuousStatsTable[GroupByKey]=ContinuousStatsTable[[#This Row],[GroupByKey]]),(ContinuousStatsTable[GroupByKey]=ContinuousStatsTable[[#This Row],[GroupByKey]])*ContinuousStatsTable[Average]))</f>
        <v>0.517215348442703</v>
      </c>
      <c r="T757" s="5" cm="1">
        <f t="array" ref="T757">MAX(IF((ContinuousStatsTable[GroupByKey]=ContinuousStatsTable[[#This Row],[GroupByKey]]),(ContinuousStatsTable[GroupByKey]=ContinuousStatsTable[[#This Row],[GroupByKey]])*ContinuousStatsTable[Average]))</f>
        <v>0.67770389283754395</v>
      </c>
      <c r="U757" s="5">
        <f>IF((ContinuousStatsTable[[#This Row],[RepsRequested]]&gt;1),ContinuousStatsTable[[#This Row],[HalfWidth]],ContinuousStatsTable[[#This Row],[BatchMeansHalfWidth]])</f>
        <v>1.8059192833960565E-2</v>
      </c>
    </row>
    <row r="758" spans="1:21" x14ac:dyDescent="0.3">
      <c r="A758" t="s">
        <v>66</v>
      </c>
      <c r="B758" t="s">
        <v>68</v>
      </c>
      <c r="C758">
        <v>20</v>
      </c>
      <c r="D758" t="s">
        <v>99</v>
      </c>
      <c r="E758" t="s">
        <v>96</v>
      </c>
      <c r="F758" t="s">
        <v>95</v>
      </c>
      <c r="G758">
        <v>6.5467684903063201</v>
      </c>
      <c r="H758">
        <v>2E+20</v>
      </c>
      <c r="I758">
        <v>0</v>
      </c>
      <c r="J758">
        <v>10</v>
      </c>
      <c r="K758">
        <v>10</v>
      </c>
      <c r="L758">
        <v>0</v>
      </c>
      <c r="M758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758" s="5" cm="1">
        <f t="array" ref="N758">MAX(IF((ProjectInfoTable[ProjectName]=ContinuousStatsTable[[#This Row],[ProjectName]]),(ProjectInfoTable[ProjectName]=ContinuousStatsTable[[#This Row],[ProjectName]])*ProjectInfoTable[NumberOfReplications]))</f>
        <v>30</v>
      </c>
      <c r="O758" s="5" cm="1">
        <f t="array" ref="O758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758" s="5" cm="1">
        <f t="array" ref="P758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758" s="5" cm="1">
        <f t="array" ref="Q758">MAX(IF((ProjectInfoTable[ProjectName]=ContinuousStatsTable[[#This Row],[ProjectName]]),(ProjectInfoTable[ProjectName]=ContinuousStatsTable[[#This Row],[ProjectName]])*ProjectInfoTable[ConfidenceInterval]))</f>
        <v>0.95</v>
      </c>
      <c r="R7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758" s="5" cm="1">
        <f t="array" ref="S758">MIN(IF((ContinuousStatsTable[GroupByKey]=ContinuousStatsTable[[#This Row],[GroupByKey]]),(ContinuousStatsTable[GroupByKey]=ContinuousStatsTable[[#This Row],[GroupByKey]])*ContinuousStatsTable[Average]))</f>
        <v>5.1721534844270298</v>
      </c>
      <c r="T758" s="5" cm="1">
        <f t="array" ref="T758">MAX(IF((ContinuousStatsTable[GroupByKey]=ContinuousStatsTable[[#This Row],[GroupByKey]]),(ContinuousStatsTable[GroupByKey]=ContinuousStatsTable[[#This Row],[GroupByKey]])*ContinuousStatsTable[Average]))</f>
        <v>6.7770389283754398</v>
      </c>
      <c r="U758" s="5">
        <f>IF((ContinuousStatsTable[[#This Row],[RepsRequested]]&gt;1),ContinuousStatsTable[[#This Row],[HalfWidth]],ContinuousStatsTable[[#This Row],[BatchMeansHalfWidth]])</f>
        <v>0.18059192833960558</v>
      </c>
    </row>
    <row r="759" spans="1:21" x14ac:dyDescent="0.3">
      <c r="A759" t="s">
        <v>66</v>
      </c>
      <c r="B759" t="s">
        <v>68</v>
      </c>
      <c r="C759">
        <v>20</v>
      </c>
      <c r="D759" t="s">
        <v>99</v>
      </c>
      <c r="E759" t="s">
        <v>97</v>
      </c>
      <c r="F759" t="s">
        <v>95</v>
      </c>
      <c r="G759">
        <v>10</v>
      </c>
      <c r="H759">
        <v>2E+20</v>
      </c>
      <c r="I759">
        <v>10</v>
      </c>
      <c r="J759">
        <v>10</v>
      </c>
      <c r="K759">
        <v>10</v>
      </c>
      <c r="L759">
        <v>0</v>
      </c>
      <c r="M759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759" s="5" cm="1">
        <f t="array" ref="N759">MAX(IF((ProjectInfoTable[ProjectName]=ContinuousStatsTable[[#This Row],[ProjectName]]),(ProjectInfoTable[ProjectName]=ContinuousStatsTable[[#This Row],[ProjectName]])*ProjectInfoTable[NumberOfReplications]))</f>
        <v>30</v>
      </c>
      <c r="O759" s="5" cm="1">
        <f t="array" ref="O759">IFERROR(AVERAGE(IF((ContinuousStatsTable[GroupByKey]=ContinuousStatsTable[[#This Row],[GroupByKey]]),(ContinuousStatsTable[GroupByKey]=ContinuousStatsTable[[#This Row],[GroupByKey]])*ContinuousStatsTable[Average])),0)</f>
        <v>10</v>
      </c>
      <c r="P759" s="5" cm="1">
        <f t="array" ref="P759">IFERROR(_xlfn.STDEV.S(IF((ContinuousStatsTable[GroupByKey]=ContinuousStatsTable[[#This Row],[GroupByKey]]),(ContinuousStatsTable[GroupByKey]=ContinuousStatsTable[[#This Row],[GroupByKey]])*ContinuousStatsTable[Average])),0)</f>
        <v>0</v>
      </c>
      <c r="Q759" s="5" cm="1">
        <f t="array" ref="Q759">MAX(IF((ProjectInfoTable[ProjectName]=ContinuousStatsTable[[#This Row],[ProjectName]]),(ProjectInfoTable[ProjectName]=ContinuousStatsTable[[#This Row],[ProjectName]])*ProjectInfoTable[ConfidenceInterval]))</f>
        <v>0.95</v>
      </c>
      <c r="R7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9" s="5" cm="1">
        <f t="array" ref="S759">MIN(IF((ContinuousStatsTable[GroupByKey]=ContinuousStatsTable[[#This Row],[GroupByKey]]),(ContinuousStatsTable[GroupByKey]=ContinuousStatsTable[[#This Row],[GroupByKey]])*ContinuousStatsTable[Average]))</f>
        <v>10</v>
      </c>
      <c r="T759" s="5" cm="1">
        <f t="array" ref="T759">MAX(IF((ContinuousStatsTable[GroupByKey]=ContinuousStatsTable[[#This Row],[GroupByKey]]),(ContinuousStatsTable[GroupByKey]=ContinuousStatsTable[[#This Row],[GroupByKey]])*ContinuousStatsTable[Average]))</f>
        <v>10</v>
      </c>
      <c r="U759" s="5">
        <f>IF((ContinuousStatsTable[[#This Row],[RepsRequested]]&gt;1),ContinuousStatsTable[[#This Row],[HalfWidth]],ContinuousStatsTable[[#This Row],[BatchMeansHalfWidth]])</f>
        <v>0</v>
      </c>
    </row>
    <row r="760" spans="1:21" x14ac:dyDescent="0.3">
      <c r="A760" t="s">
        <v>66</v>
      </c>
      <c r="B760" t="s">
        <v>68</v>
      </c>
      <c r="C760">
        <v>20</v>
      </c>
      <c r="D760" t="s">
        <v>100</v>
      </c>
      <c r="E760" t="s">
        <v>94</v>
      </c>
      <c r="F760" t="s">
        <v>95</v>
      </c>
      <c r="G760">
        <v>0.18742276074689301</v>
      </c>
      <c r="H760">
        <v>2E+20</v>
      </c>
      <c r="I760">
        <v>0</v>
      </c>
      <c r="J760">
        <v>0.42</v>
      </c>
      <c r="K760">
        <v>0.18</v>
      </c>
      <c r="L760">
        <v>0</v>
      </c>
      <c r="M760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760" s="5" cm="1">
        <f t="array" ref="N760">MAX(IF((ProjectInfoTable[ProjectName]=ContinuousStatsTable[[#This Row],[ProjectName]]),(ProjectInfoTable[ProjectName]=ContinuousStatsTable[[#This Row],[ProjectName]])*ProjectInfoTable[NumberOfReplications]))</f>
        <v>30</v>
      </c>
      <c r="O760" s="5" cm="1">
        <f t="array" ref="O760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760" s="5" cm="1">
        <f t="array" ref="P760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760" s="5" cm="1">
        <f t="array" ref="Q760">MAX(IF((ProjectInfoTable[ProjectName]=ContinuousStatsTable[[#This Row],[ProjectName]]),(ProjectInfoTable[ProjectName]=ContinuousStatsTable[[#This Row],[ProjectName]])*ProjectInfoTable[ConfidenceInterval]))</f>
        <v>0.95</v>
      </c>
      <c r="R7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760" s="5" cm="1">
        <f t="array" ref="S760">MIN(IF((ContinuousStatsTable[GroupByKey]=ContinuousStatsTable[[#This Row],[GroupByKey]]),(ContinuousStatsTable[GroupByKey]=ContinuousStatsTable[[#This Row],[GroupByKey]])*ContinuousStatsTable[Average]))</f>
        <v>0.14484829778125299</v>
      </c>
      <c r="T760" s="5" cm="1">
        <f t="array" ref="T760">MAX(IF((ContinuousStatsTable[GroupByKey]=ContinuousStatsTable[[#This Row],[GroupByKey]]),(ContinuousStatsTable[GroupByKey]=ContinuousStatsTable[[#This Row],[GroupByKey]])*ContinuousStatsTable[Average]))</f>
        <v>0.19609322315655101</v>
      </c>
      <c r="U760" s="5">
        <f>IF((ContinuousStatsTable[[#This Row],[RepsRequested]]&gt;1),ContinuousStatsTable[[#This Row],[HalfWidth]],ContinuousStatsTable[[#This Row],[BatchMeansHalfWidth]])</f>
        <v>4.9714113556225048E-3</v>
      </c>
    </row>
    <row r="761" spans="1:21" x14ac:dyDescent="0.3">
      <c r="A761" t="s">
        <v>66</v>
      </c>
      <c r="B761" t="s">
        <v>68</v>
      </c>
      <c r="C761">
        <v>20</v>
      </c>
      <c r="D761" t="s">
        <v>100</v>
      </c>
      <c r="E761" t="s">
        <v>96</v>
      </c>
      <c r="F761" t="s">
        <v>95</v>
      </c>
      <c r="G761">
        <v>9.3711380373446307</v>
      </c>
      <c r="H761">
        <v>2E+20</v>
      </c>
      <c r="I761">
        <v>0</v>
      </c>
      <c r="J761">
        <v>21</v>
      </c>
      <c r="K761">
        <v>9</v>
      </c>
      <c r="L761">
        <v>0</v>
      </c>
      <c r="M761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761" s="5" cm="1">
        <f t="array" ref="N761">MAX(IF((ProjectInfoTable[ProjectName]=ContinuousStatsTable[[#This Row],[ProjectName]]),(ProjectInfoTable[ProjectName]=ContinuousStatsTable[[#This Row],[ProjectName]])*ProjectInfoTable[NumberOfReplications]))</f>
        <v>30</v>
      </c>
      <c r="O761" s="5" cm="1">
        <f t="array" ref="O761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761" s="5" cm="1">
        <f t="array" ref="P761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761" s="5" cm="1">
        <f t="array" ref="Q761">MAX(IF((ProjectInfoTable[ProjectName]=ContinuousStatsTable[[#This Row],[ProjectName]]),(ProjectInfoTable[ProjectName]=ContinuousStatsTable[[#This Row],[ProjectName]])*ProjectInfoTable[ConfidenceInterval]))</f>
        <v>0.95</v>
      </c>
      <c r="R7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761" s="5" cm="1">
        <f t="array" ref="S761">MIN(IF((ContinuousStatsTable[GroupByKey]=ContinuousStatsTable[[#This Row],[GroupByKey]]),(ContinuousStatsTable[GroupByKey]=ContinuousStatsTable[[#This Row],[GroupByKey]])*ContinuousStatsTable[Average]))</f>
        <v>7.2424148890626396</v>
      </c>
      <c r="T761" s="5" cm="1">
        <f t="array" ref="T761">MAX(IF((ContinuousStatsTable[GroupByKey]=ContinuousStatsTable[[#This Row],[GroupByKey]]),(ContinuousStatsTable[GroupByKey]=ContinuousStatsTable[[#This Row],[GroupByKey]])*ContinuousStatsTable[Average]))</f>
        <v>9.8046611578275602</v>
      </c>
      <c r="U761" s="5">
        <f>IF((ContinuousStatsTable[[#This Row],[RepsRequested]]&gt;1),ContinuousStatsTable[[#This Row],[HalfWidth]],ContinuousStatsTable[[#This Row],[BatchMeansHalfWidth]])</f>
        <v>0.24857056778112663</v>
      </c>
    </row>
    <row r="762" spans="1:21" x14ac:dyDescent="0.3">
      <c r="A762" t="s">
        <v>66</v>
      </c>
      <c r="B762" t="s">
        <v>68</v>
      </c>
      <c r="C762">
        <v>20</v>
      </c>
      <c r="D762" t="s">
        <v>100</v>
      </c>
      <c r="E762" t="s">
        <v>97</v>
      </c>
      <c r="F762" t="s">
        <v>95</v>
      </c>
      <c r="G762">
        <v>50</v>
      </c>
      <c r="H762">
        <v>2E+20</v>
      </c>
      <c r="I762">
        <v>50</v>
      </c>
      <c r="J762">
        <v>50</v>
      </c>
      <c r="K762">
        <v>50</v>
      </c>
      <c r="L762">
        <v>0</v>
      </c>
      <c r="M762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762" s="5" cm="1">
        <f t="array" ref="N762">MAX(IF((ProjectInfoTable[ProjectName]=ContinuousStatsTable[[#This Row],[ProjectName]]),(ProjectInfoTable[ProjectName]=ContinuousStatsTable[[#This Row],[ProjectName]])*ProjectInfoTable[NumberOfReplications]))</f>
        <v>30</v>
      </c>
      <c r="O762" s="5" cm="1">
        <f t="array" ref="O762">IFERROR(AVERAGE(IF((ContinuousStatsTable[GroupByKey]=ContinuousStatsTable[[#This Row],[GroupByKey]]),(ContinuousStatsTable[GroupByKey]=ContinuousStatsTable[[#This Row],[GroupByKey]])*ContinuousStatsTable[Average])),0)</f>
        <v>50</v>
      </c>
      <c r="P762" s="5" cm="1">
        <f t="array" ref="P762">IFERROR(_xlfn.STDEV.S(IF((ContinuousStatsTable[GroupByKey]=ContinuousStatsTable[[#This Row],[GroupByKey]]),(ContinuousStatsTable[GroupByKey]=ContinuousStatsTable[[#This Row],[GroupByKey]])*ContinuousStatsTable[Average])),0)</f>
        <v>0</v>
      </c>
      <c r="Q762" s="5" cm="1">
        <f t="array" ref="Q762">MAX(IF((ProjectInfoTable[ProjectName]=ContinuousStatsTable[[#This Row],[ProjectName]]),(ProjectInfoTable[ProjectName]=ContinuousStatsTable[[#This Row],[ProjectName]])*ProjectInfoTable[ConfidenceInterval]))</f>
        <v>0.95</v>
      </c>
      <c r="R7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2" s="5" cm="1">
        <f t="array" ref="S762">MIN(IF((ContinuousStatsTable[GroupByKey]=ContinuousStatsTable[[#This Row],[GroupByKey]]),(ContinuousStatsTable[GroupByKey]=ContinuousStatsTable[[#This Row],[GroupByKey]])*ContinuousStatsTable[Average]))</f>
        <v>50</v>
      </c>
      <c r="T762" s="5" cm="1">
        <f t="array" ref="T762">MAX(IF((ContinuousStatsTable[GroupByKey]=ContinuousStatsTable[[#This Row],[GroupByKey]]),(ContinuousStatsTable[GroupByKey]=ContinuousStatsTable[[#This Row],[GroupByKey]])*ContinuousStatsTable[Average]))</f>
        <v>50</v>
      </c>
      <c r="U762" s="5">
        <f>IF((ContinuousStatsTable[[#This Row],[RepsRequested]]&gt;1),ContinuousStatsTable[[#This Row],[HalfWidth]],ContinuousStatsTable[[#This Row],[BatchMeansHalfWidth]])</f>
        <v>0</v>
      </c>
    </row>
    <row r="763" spans="1:21" x14ac:dyDescent="0.3">
      <c r="A763" t="s">
        <v>66</v>
      </c>
      <c r="B763" t="s">
        <v>68</v>
      </c>
      <c r="C763">
        <v>20</v>
      </c>
      <c r="D763" t="s">
        <v>101</v>
      </c>
      <c r="E763" t="s">
        <v>94</v>
      </c>
      <c r="F763" t="s">
        <v>95</v>
      </c>
      <c r="G763">
        <v>0.10618494100836499</v>
      </c>
      <c r="H763">
        <v>2E+20</v>
      </c>
      <c r="I763">
        <v>0</v>
      </c>
      <c r="J763">
        <v>0.4</v>
      </c>
      <c r="K763">
        <v>6.6666666666666693E-2</v>
      </c>
      <c r="L763">
        <v>0</v>
      </c>
      <c r="M763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763" s="5" cm="1">
        <f t="array" ref="N763">MAX(IF((ProjectInfoTable[ProjectName]=ContinuousStatsTable[[#This Row],[ProjectName]]),(ProjectInfoTable[ProjectName]=ContinuousStatsTable[[#This Row],[ProjectName]])*ProjectInfoTable[NumberOfReplications]))</f>
        <v>30</v>
      </c>
      <c r="O763" s="5" cm="1">
        <f t="array" ref="O763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763" s="5" cm="1">
        <f t="array" ref="P763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763" s="5" cm="1">
        <f t="array" ref="Q763">MAX(IF((ProjectInfoTable[ProjectName]=ContinuousStatsTable[[#This Row],[ProjectName]]),(ProjectInfoTable[ProjectName]=ContinuousStatsTable[[#This Row],[ProjectName]])*ProjectInfoTable[ConfidenceInterval]))</f>
        <v>0.95</v>
      </c>
      <c r="R7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763" s="5" cm="1">
        <f t="array" ref="S763">MIN(IF((ContinuousStatsTable[GroupByKey]=ContinuousStatsTable[[#This Row],[GroupByKey]]),(ContinuousStatsTable[GroupByKey]=ContinuousStatsTable[[#This Row],[GroupByKey]])*ContinuousStatsTable[Average]))</f>
        <v>7.4778736536586704E-2</v>
      </c>
      <c r="T763" s="5" cm="1">
        <f t="array" ref="T763">MAX(IF((ContinuousStatsTable[GroupByKey]=ContinuousStatsTable[[#This Row],[GroupByKey]]),(ContinuousStatsTable[GroupByKey]=ContinuousStatsTable[[#This Row],[GroupByKey]])*ContinuousStatsTable[Average]))</f>
        <v>0.111025455742452</v>
      </c>
      <c r="U763" s="5">
        <f>IF((ContinuousStatsTable[[#This Row],[RepsRequested]]&gt;1),ContinuousStatsTable[[#This Row],[HalfWidth]],ContinuousStatsTable[[#This Row],[BatchMeansHalfWidth]])</f>
        <v>4.1821462690338805E-3</v>
      </c>
    </row>
    <row r="764" spans="1:21" x14ac:dyDescent="0.3">
      <c r="A764" t="s">
        <v>66</v>
      </c>
      <c r="B764" t="s">
        <v>68</v>
      </c>
      <c r="C764">
        <v>20</v>
      </c>
      <c r="D764" t="s">
        <v>101</v>
      </c>
      <c r="E764" t="s">
        <v>96</v>
      </c>
      <c r="F764" t="s">
        <v>95</v>
      </c>
      <c r="G764">
        <v>1.59277411512547</v>
      </c>
      <c r="H764">
        <v>2E+20</v>
      </c>
      <c r="I764">
        <v>0</v>
      </c>
      <c r="J764">
        <v>6</v>
      </c>
      <c r="K764">
        <v>1</v>
      </c>
      <c r="L764">
        <v>0</v>
      </c>
      <c r="M764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764" s="5" cm="1">
        <f t="array" ref="N764">MAX(IF((ProjectInfoTable[ProjectName]=ContinuousStatsTable[[#This Row],[ProjectName]]),(ProjectInfoTable[ProjectName]=ContinuousStatsTable[[#This Row],[ProjectName]])*ProjectInfoTable[NumberOfReplications]))</f>
        <v>30</v>
      </c>
      <c r="O764" s="5" cm="1">
        <f t="array" ref="O764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764" s="5" cm="1">
        <f t="array" ref="P764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764" s="5" cm="1">
        <f t="array" ref="Q764">MAX(IF((ProjectInfoTable[ProjectName]=ContinuousStatsTable[[#This Row],[ProjectName]]),(ProjectInfoTable[ProjectName]=ContinuousStatsTable[[#This Row],[ProjectName]])*ProjectInfoTable[ConfidenceInterval]))</f>
        <v>0.95</v>
      </c>
      <c r="R7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764" s="5" cm="1">
        <f t="array" ref="S764">MIN(IF((ContinuousStatsTable[GroupByKey]=ContinuousStatsTable[[#This Row],[GroupByKey]]),(ContinuousStatsTable[GroupByKey]=ContinuousStatsTable[[#This Row],[GroupByKey]])*ContinuousStatsTable[Average]))</f>
        <v>1.1216810480488</v>
      </c>
      <c r="T764" s="5" cm="1">
        <f t="array" ref="T764">MAX(IF((ContinuousStatsTable[GroupByKey]=ContinuousStatsTable[[#This Row],[GroupByKey]]),(ContinuousStatsTable[GroupByKey]=ContinuousStatsTable[[#This Row],[GroupByKey]])*ContinuousStatsTable[Average]))</f>
        <v>1.66538183613678</v>
      </c>
      <c r="U764" s="5">
        <f>IF((ContinuousStatsTable[[#This Row],[RepsRequested]]&gt;1),ContinuousStatsTable[[#This Row],[HalfWidth]],ContinuousStatsTable[[#This Row],[BatchMeansHalfWidth]])</f>
        <v>6.2732194035507963E-2</v>
      </c>
    </row>
    <row r="765" spans="1:21" x14ac:dyDescent="0.3">
      <c r="A765" t="s">
        <v>66</v>
      </c>
      <c r="B765" t="s">
        <v>68</v>
      </c>
      <c r="C765">
        <v>20</v>
      </c>
      <c r="D765" t="s">
        <v>101</v>
      </c>
      <c r="E765" t="s">
        <v>97</v>
      </c>
      <c r="F765" t="s">
        <v>95</v>
      </c>
      <c r="G765">
        <v>15</v>
      </c>
      <c r="H765">
        <v>2E+20</v>
      </c>
      <c r="I765">
        <v>15</v>
      </c>
      <c r="J765">
        <v>15</v>
      </c>
      <c r="K765">
        <v>15</v>
      </c>
      <c r="L765">
        <v>0</v>
      </c>
      <c r="M765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765" s="5" cm="1">
        <f t="array" ref="N765">MAX(IF((ProjectInfoTable[ProjectName]=ContinuousStatsTable[[#This Row],[ProjectName]]),(ProjectInfoTable[ProjectName]=ContinuousStatsTable[[#This Row],[ProjectName]])*ProjectInfoTable[NumberOfReplications]))</f>
        <v>30</v>
      </c>
      <c r="O765" s="5" cm="1">
        <f t="array" ref="O765">IFERROR(AVERAGE(IF((ContinuousStatsTable[GroupByKey]=ContinuousStatsTable[[#This Row],[GroupByKey]]),(ContinuousStatsTable[GroupByKey]=ContinuousStatsTable[[#This Row],[GroupByKey]])*ContinuousStatsTable[Average])),0)</f>
        <v>15</v>
      </c>
      <c r="P765" s="5" cm="1">
        <f t="array" ref="P765">IFERROR(_xlfn.STDEV.S(IF((ContinuousStatsTable[GroupByKey]=ContinuousStatsTable[[#This Row],[GroupByKey]]),(ContinuousStatsTable[GroupByKey]=ContinuousStatsTable[[#This Row],[GroupByKey]])*ContinuousStatsTable[Average])),0)</f>
        <v>0</v>
      </c>
      <c r="Q765" s="5" cm="1">
        <f t="array" ref="Q765">MAX(IF((ProjectInfoTable[ProjectName]=ContinuousStatsTable[[#This Row],[ProjectName]]),(ProjectInfoTable[ProjectName]=ContinuousStatsTable[[#This Row],[ProjectName]])*ProjectInfoTable[ConfidenceInterval]))</f>
        <v>0.95</v>
      </c>
      <c r="R7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5" s="5" cm="1">
        <f t="array" ref="S765">MIN(IF((ContinuousStatsTable[GroupByKey]=ContinuousStatsTable[[#This Row],[GroupByKey]]),(ContinuousStatsTable[GroupByKey]=ContinuousStatsTable[[#This Row],[GroupByKey]])*ContinuousStatsTable[Average]))</f>
        <v>15</v>
      </c>
      <c r="T765" s="5" cm="1">
        <f t="array" ref="T765">MAX(IF((ContinuousStatsTable[GroupByKey]=ContinuousStatsTable[[#This Row],[GroupByKey]]),(ContinuousStatsTable[GroupByKey]=ContinuousStatsTable[[#This Row],[GroupByKey]])*ContinuousStatsTable[Average]))</f>
        <v>15</v>
      </c>
      <c r="U765" s="5">
        <f>IF((ContinuousStatsTable[[#This Row],[RepsRequested]]&gt;1),ContinuousStatsTable[[#This Row],[HalfWidth]],ContinuousStatsTable[[#This Row],[BatchMeansHalfWidth]])</f>
        <v>0</v>
      </c>
    </row>
    <row r="766" spans="1:21" x14ac:dyDescent="0.3">
      <c r="A766" t="s">
        <v>66</v>
      </c>
      <c r="B766" t="s">
        <v>68</v>
      </c>
      <c r="C766">
        <v>20</v>
      </c>
      <c r="D766" t="s">
        <v>102</v>
      </c>
      <c r="E766" t="s">
        <v>94</v>
      </c>
      <c r="F766" t="s">
        <v>95</v>
      </c>
      <c r="G766">
        <v>0.90592850818388704</v>
      </c>
      <c r="H766">
        <v>2E+20</v>
      </c>
      <c r="I766">
        <v>0</v>
      </c>
      <c r="J766">
        <v>1</v>
      </c>
      <c r="K766">
        <v>1</v>
      </c>
      <c r="L766">
        <v>0</v>
      </c>
      <c r="M766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766" s="5" cm="1">
        <f t="array" ref="N766">MAX(IF((ProjectInfoTable[ProjectName]=ContinuousStatsTable[[#This Row],[ProjectName]]),(ProjectInfoTable[ProjectName]=ContinuousStatsTable[[#This Row],[ProjectName]])*ProjectInfoTable[NumberOfReplications]))</f>
        <v>30</v>
      </c>
      <c r="O766" s="5" cm="1">
        <f t="array" ref="O766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766" s="5" cm="1">
        <f t="array" ref="P766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766" s="5" cm="1">
        <f t="array" ref="Q766">MAX(IF((ProjectInfoTable[ProjectName]=ContinuousStatsTable[[#This Row],[ProjectName]]),(ProjectInfoTable[ProjectName]=ContinuousStatsTable[[#This Row],[ProjectName]])*ProjectInfoTable[ConfidenceInterval]))</f>
        <v>0.95</v>
      </c>
      <c r="R7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766" s="5" cm="1">
        <f t="array" ref="S766">MIN(IF((ContinuousStatsTable[GroupByKey]=ContinuousStatsTable[[#This Row],[GroupByKey]]),(ContinuousStatsTable[GroupByKey]=ContinuousStatsTable[[#This Row],[GroupByKey]])*ContinuousStatsTable[Average]))</f>
        <v>0.73673947391417804</v>
      </c>
      <c r="T766" s="5" cm="1">
        <f t="array" ref="T766">MAX(IF((ContinuousStatsTable[GroupByKey]=ContinuousStatsTable[[#This Row],[GroupByKey]]),(ContinuousStatsTable[GroupByKey]=ContinuousStatsTable[[#This Row],[GroupByKey]])*ContinuousStatsTable[Average]))</f>
        <v>0.90592850818388704</v>
      </c>
      <c r="U766" s="5">
        <f>IF((ContinuousStatsTable[[#This Row],[RepsRequested]]&gt;1),ContinuousStatsTable[[#This Row],[HalfWidth]],ContinuousStatsTable[[#This Row],[BatchMeansHalfWidth]])</f>
        <v>1.8636241798384946E-2</v>
      </c>
    </row>
    <row r="767" spans="1:21" x14ac:dyDescent="0.3">
      <c r="A767" t="s">
        <v>66</v>
      </c>
      <c r="B767" t="s">
        <v>68</v>
      </c>
      <c r="C767">
        <v>20</v>
      </c>
      <c r="D767" t="s">
        <v>102</v>
      </c>
      <c r="E767" t="s">
        <v>96</v>
      </c>
      <c r="F767" t="s">
        <v>95</v>
      </c>
      <c r="G767">
        <v>1.76415266727598</v>
      </c>
      <c r="H767">
        <v>2E+20</v>
      </c>
      <c r="I767">
        <v>0</v>
      </c>
      <c r="J767">
        <v>3</v>
      </c>
      <c r="K767">
        <v>1</v>
      </c>
      <c r="L767">
        <v>0</v>
      </c>
      <c r="M767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767" s="5" cm="1">
        <f t="array" ref="N767">MAX(IF((ProjectInfoTable[ProjectName]=ContinuousStatsTable[[#This Row],[ProjectName]]),(ProjectInfoTable[ProjectName]=ContinuousStatsTable[[#This Row],[ProjectName]])*ProjectInfoTable[NumberOfReplications]))</f>
        <v>30</v>
      </c>
      <c r="O767" s="5" cm="1">
        <f t="array" ref="O767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767" s="5" cm="1">
        <f t="array" ref="P767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767" s="5" cm="1">
        <f t="array" ref="Q767">MAX(IF((ProjectInfoTable[ProjectName]=ContinuousStatsTable[[#This Row],[ProjectName]]),(ProjectInfoTable[ProjectName]=ContinuousStatsTable[[#This Row],[ProjectName]])*ProjectInfoTable[ConfidenceInterval]))</f>
        <v>0.95</v>
      </c>
      <c r="R7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767" s="5" cm="1">
        <f t="array" ref="S767">MIN(IF((ContinuousStatsTable[GroupByKey]=ContinuousStatsTable[[#This Row],[GroupByKey]]),(ContinuousStatsTable[GroupByKey]=ContinuousStatsTable[[#This Row],[GroupByKey]])*ContinuousStatsTable[Average]))</f>
        <v>1.3726163545041801</v>
      </c>
      <c r="T767" s="5" cm="1">
        <f t="array" ref="T767">MAX(IF((ContinuousStatsTable[GroupByKey]=ContinuousStatsTable[[#This Row],[GroupByKey]]),(ContinuousStatsTable[GroupByKey]=ContinuousStatsTable[[#This Row],[GroupByKey]])*ContinuousStatsTable[Average]))</f>
        <v>1.7968913949876599</v>
      </c>
      <c r="U767" s="5">
        <f>IF((ContinuousStatsTable[[#This Row],[RepsRequested]]&gt;1),ContinuousStatsTable[[#This Row],[HalfWidth]],ContinuousStatsTable[[#This Row],[BatchMeansHalfWidth]])</f>
        <v>4.3123628688677348E-2</v>
      </c>
    </row>
    <row r="768" spans="1:21" x14ac:dyDescent="0.3">
      <c r="A768" t="s">
        <v>66</v>
      </c>
      <c r="B768" t="s">
        <v>68</v>
      </c>
      <c r="C768">
        <v>20</v>
      </c>
      <c r="D768" t="s">
        <v>102</v>
      </c>
      <c r="E768" t="s">
        <v>97</v>
      </c>
      <c r="F768" t="s">
        <v>95</v>
      </c>
      <c r="G768">
        <v>2</v>
      </c>
      <c r="H768">
        <v>2E+20</v>
      </c>
      <c r="I768">
        <v>1</v>
      </c>
      <c r="J768">
        <v>3</v>
      </c>
      <c r="K768">
        <v>1</v>
      </c>
      <c r="L768">
        <v>0</v>
      </c>
      <c r="M768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768" s="5" cm="1">
        <f t="array" ref="N768">MAX(IF((ProjectInfoTable[ProjectName]=ContinuousStatsTable[[#This Row],[ProjectName]]),(ProjectInfoTable[ProjectName]=ContinuousStatsTable[[#This Row],[ProjectName]])*ProjectInfoTable[NumberOfReplications]))</f>
        <v>30</v>
      </c>
      <c r="O768" s="5" cm="1">
        <f t="array" ref="O768">IFERROR(AVERAGE(IF((ContinuousStatsTable[GroupByKey]=ContinuousStatsTable[[#This Row],[GroupByKey]]),(ContinuousStatsTable[GroupByKey]=ContinuousStatsTable[[#This Row],[GroupByKey]])*ContinuousStatsTable[Average])),0)</f>
        <v>2</v>
      </c>
      <c r="P768" s="5" cm="1">
        <f t="array" ref="P768">IFERROR(_xlfn.STDEV.S(IF((ContinuousStatsTable[GroupByKey]=ContinuousStatsTable[[#This Row],[GroupByKey]]),(ContinuousStatsTable[GroupByKey]=ContinuousStatsTable[[#This Row],[GroupByKey]])*ContinuousStatsTable[Average])),0)</f>
        <v>0</v>
      </c>
      <c r="Q768" s="5" cm="1">
        <f t="array" ref="Q768">MAX(IF((ProjectInfoTable[ProjectName]=ContinuousStatsTable[[#This Row],[ProjectName]]),(ProjectInfoTable[ProjectName]=ContinuousStatsTable[[#This Row],[ProjectName]])*ProjectInfoTable[ConfidenceInterval]))</f>
        <v>0.95</v>
      </c>
      <c r="R7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8" s="5" cm="1">
        <f t="array" ref="S768">MIN(IF((ContinuousStatsTable[GroupByKey]=ContinuousStatsTable[[#This Row],[GroupByKey]]),(ContinuousStatsTable[GroupByKey]=ContinuousStatsTable[[#This Row],[GroupByKey]])*ContinuousStatsTable[Average]))</f>
        <v>2</v>
      </c>
      <c r="T768" s="5" cm="1">
        <f t="array" ref="T768">MAX(IF((ContinuousStatsTable[GroupByKey]=ContinuousStatsTable[[#This Row],[GroupByKey]]),(ContinuousStatsTable[GroupByKey]=ContinuousStatsTable[[#This Row],[GroupByKey]])*ContinuousStatsTable[Average]))</f>
        <v>2</v>
      </c>
      <c r="U768" s="5">
        <f>IF((ContinuousStatsTable[[#This Row],[RepsRequested]]&gt;1),ContinuousStatsTable[[#This Row],[HalfWidth]],ContinuousStatsTable[[#This Row],[BatchMeansHalfWidth]])</f>
        <v>0</v>
      </c>
    </row>
    <row r="769" spans="1:21" x14ac:dyDescent="0.3">
      <c r="A769" t="s">
        <v>66</v>
      </c>
      <c r="B769" t="s">
        <v>68</v>
      </c>
      <c r="C769">
        <v>20</v>
      </c>
      <c r="D769" t="s">
        <v>84</v>
      </c>
      <c r="E769" t="s">
        <v>103</v>
      </c>
      <c r="F769" t="s">
        <v>86</v>
      </c>
      <c r="G769">
        <v>71.530584085693306</v>
      </c>
      <c r="H769">
        <v>2E+20</v>
      </c>
      <c r="I769">
        <v>0</v>
      </c>
      <c r="J769">
        <v>97</v>
      </c>
      <c r="K769">
        <v>65</v>
      </c>
      <c r="L769">
        <v>0</v>
      </c>
      <c r="M769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769" s="5" cm="1">
        <f t="array" ref="N769">MAX(IF((ProjectInfoTable[ProjectName]=ContinuousStatsTable[[#This Row],[ProjectName]]),(ProjectInfoTable[ProjectName]=ContinuousStatsTable[[#This Row],[ProjectName]])*ProjectInfoTable[NumberOfReplications]))</f>
        <v>30</v>
      </c>
      <c r="O769" s="5" cm="1">
        <f t="array" ref="O769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769" s="5" cm="1">
        <f t="array" ref="P769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769" s="5" cm="1">
        <f t="array" ref="Q769">MAX(IF((ProjectInfoTable[ProjectName]=ContinuousStatsTable[[#This Row],[ProjectName]]),(ProjectInfoTable[ProjectName]=ContinuousStatsTable[[#This Row],[ProjectName]])*ProjectInfoTable[ConfidenceInterval]))</f>
        <v>0.95</v>
      </c>
      <c r="R7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769" s="5" cm="1">
        <f t="array" ref="S769">MIN(IF((ContinuousStatsTable[GroupByKey]=ContinuousStatsTable[[#This Row],[GroupByKey]]),(ContinuousStatsTable[GroupByKey]=ContinuousStatsTable[[#This Row],[GroupByKey]])*ContinuousStatsTable[Average]))</f>
        <v>36.709886237305</v>
      </c>
      <c r="T769" s="5" cm="1">
        <f t="array" ref="T769">MAX(IF((ContinuousStatsTable[GroupByKey]=ContinuousStatsTable[[#This Row],[GroupByKey]]),(ContinuousStatsTable[GroupByKey]=ContinuousStatsTable[[#This Row],[GroupByKey]])*ContinuousStatsTable[Average]))</f>
        <v>84.594951996708403</v>
      </c>
      <c r="U769" s="5">
        <f>IF((ContinuousStatsTable[[#This Row],[RepsRequested]]&gt;1),ContinuousStatsTable[[#This Row],[HalfWidth]],ContinuousStatsTable[[#This Row],[BatchMeansHalfWidth]])</f>
        <v>4.0384933567271259</v>
      </c>
    </row>
    <row r="770" spans="1:21" x14ac:dyDescent="0.3">
      <c r="A770" t="s">
        <v>66</v>
      </c>
      <c r="B770" t="s">
        <v>68</v>
      </c>
      <c r="C770">
        <v>20</v>
      </c>
      <c r="D770" t="s">
        <v>104</v>
      </c>
      <c r="E770" t="s">
        <v>94</v>
      </c>
      <c r="F770" t="s">
        <v>95</v>
      </c>
      <c r="G770">
        <v>0</v>
      </c>
      <c r="H770">
        <v>2E+20</v>
      </c>
      <c r="I770">
        <v>0</v>
      </c>
      <c r="J770">
        <v>0</v>
      </c>
      <c r="K770">
        <v>0</v>
      </c>
      <c r="L770">
        <v>0</v>
      </c>
      <c r="M770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770" s="5" cm="1">
        <f t="array" ref="N770">MAX(IF((ProjectInfoTable[ProjectName]=ContinuousStatsTable[[#This Row],[ProjectName]]),(ProjectInfoTable[ProjectName]=ContinuousStatsTable[[#This Row],[ProjectName]])*ProjectInfoTable[NumberOfReplications]))</f>
        <v>30</v>
      </c>
      <c r="O770" s="5" cm="1">
        <f t="array" ref="O770">IFERROR(AVERAGE(IF((ContinuousStatsTable[GroupByKey]=ContinuousStatsTable[[#This Row],[GroupByKey]]),(ContinuousStatsTable[GroupByKey]=ContinuousStatsTable[[#This Row],[GroupByKey]])*ContinuousStatsTable[Average])),0)</f>
        <v>0</v>
      </c>
      <c r="P770" s="5" cm="1">
        <f t="array" ref="P770">IFERROR(_xlfn.STDEV.S(IF((ContinuousStatsTable[GroupByKey]=ContinuousStatsTable[[#This Row],[GroupByKey]]),(ContinuousStatsTable[GroupByKey]=ContinuousStatsTable[[#This Row],[GroupByKey]])*ContinuousStatsTable[Average])),0)</f>
        <v>0</v>
      </c>
      <c r="Q770" s="5" cm="1">
        <f t="array" ref="Q770">MAX(IF((ProjectInfoTable[ProjectName]=ContinuousStatsTable[[#This Row],[ProjectName]]),(ProjectInfoTable[ProjectName]=ContinuousStatsTable[[#This Row],[ProjectName]])*ProjectInfoTable[ConfidenceInterval]))</f>
        <v>0.95</v>
      </c>
      <c r="R7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0" s="5" cm="1">
        <f t="array" ref="S770">MIN(IF((ContinuousStatsTable[GroupByKey]=ContinuousStatsTable[[#This Row],[GroupByKey]]),(ContinuousStatsTable[GroupByKey]=ContinuousStatsTable[[#This Row],[GroupByKey]])*ContinuousStatsTable[Average]))</f>
        <v>0</v>
      </c>
      <c r="T770" s="5" cm="1">
        <f t="array" ref="T770">MAX(IF((ContinuousStatsTable[GroupByKey]=ContinuousStatsTable[[#This Row],[GroupByKey]]),(ContinuousStatsTable[GroupByKey]=ContinuousStatsTable[[#This Row],[GroupByKey]])*ContinuousStatsTable[Average]))</f>
        <v>0</v>
      </c>
      <c r="U770" s="5">
        <f>IF((ContinuousStatsTable[[#This Row],[RepsRequested]]&gt;1),ContinuousStatsTable[[#This Row],[HalfWidth]],ContinuousStatsTable[[#This Row],[BatchMeansHalfWidth]])</f>
        <v>0</v>
      </c>
    </row>
    <row r="771" spans="1:21" x14ac:dyDescent="0.3">
      <c r="A771" t="s">
        <v>66</v>
      </c>
      <c r="B771" t="s">
        <v>68</v>
      </c>
      <c r="C771">
        <v>20</v>
      </c>
      <c r="D771" t="s">
        <v>104</v>
      </c>
      <c r="E771" t="s">
        <v>96</v>
      </c>
      <c r="F771" t="s">
        <v>95</v>
      </c>
      <c r="G771">
        <v>0</v>
      </c>
      <c r="H771">
        <v>2E+20</v>
      </c>
      <c r="I771">
        <v>0</v>
      </c>
      <c r="J771">
        <v>0</v>
      </c>
      <c r="K771">
        <v>0</v>
      </c>
      <c r="L771">
        <v>0</v>
      </c>
      <c r="M771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771" s="5" cm="1">
        <f t="array" ref="N771">MAX(IF((ProjectInfoTable[ProjectName]=ContinuousStatsTable[[#This Row],[ProjectName]]),(ProjectInfoTable[ProjectName]=ContinuousStatsTable[[#This Row],[ProjectName]])*ProjectInfoTable[NumberOfReplications]))</f>
        <v>30</v>
      </c>
      <c r="O771" s="5" cm="1">
        <f t="array" ref="O771">IFERROR(AVERAGE(IF((ContinuousStatsTable[GroupByKey]=ContinuousStatsTable[[#This Row],[GroupByKey]]),(ContinuousStatsTable[GroupByKey]=ContinuousStatsTable[[#This Row],[GroupByKey]])*ContinuousStatsTable[Average])),0)</f>
        <v>0</v>
      </c>
      <c r="P771" s="5" cm="1">
        <f t="array" ref="P771">IFERROR(_xlfn.STDEV.S(IF((ContinuousStatsTable[GroupByKey]=ContinuousStatsTable[[#This Row],[GroupByKey]]),(ContinuousStatsTable[GroupByKey]=ContinuousStatsTable[[#This Row],[GroupByKey]])*ContinuousStatsTable[Average])),0)</f>
        <v>0</v>
      </c>
      <c r="Q771" s="5" cm="1">
        <f t="array" ref="Q771">MAX(IF((ProjectInfoTable[ProjectName]=ContinuousStatsTable[[#This Row],[ProjectName]]),(ProjectInfoTable[ProjectName]=ContinuousStatsTable[[#This Row],[ProjectName]])*ProjectInfoTable[ConfidenceInterval]))</f>
        <v>0.95</v>
      </c>
      <c r="R7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1" s="5" cm="1">
        <f t="array" ref="S771">MIN(IF((ContinuousStatsTable[GroupByKey]=ContinuousStatsTable[[#This Row],[GroupByKey]]),(ContinuousStatsTable[GroupByKey]=ContinuousStatsTable[[#This Row],[GroupByKey]])*ContinuousStatsTable[Average]))</f>
        <v>0</v>
      </c>
      <c r="T771" s="5" cm="1">
        <f t="array" ref="T771">MAX(IF((ContinuousStatsTable[GroupByKey]=ContinuousStatsTable[[#This Row],[GroupByKey]]),(ContinuousStatsTable[GroupByKey]=ContinuousStatsTable[[#This Row],[GroupByKey]])*ContinuousStatsTable[Average]))</f>
        <v>0</v>
      </c>
      <c r="U771" s="5">
        <f>IF((ContinuousStatsTable[[#This Row],[RepsRequested]]&gt;1),ContinuousStatsTable[[#This Row],[HalfWidth]],ContinuousStatsTable[[#This Row],[BatchMeansHalfWidth]])</f>
        <v>0</v>
      </c>
    </row>
    <row r="772" spans="1:21" x14ac:dyDescent="0.3">
      <c r="A772" t="s">
        <v>66</v>
      </c>
      <c r="B772" t="s">
        <v>68</v>
      </c>
      <c r="C772">
        <v>20</v>
      </c>
      <c r="D772" t="s">
        <v>104</v>
      </c>
      <c r="E772" t="s">
        <v>97</v>
      </c>
      <c r="F772" t="s">
        <v>95</v>
      </c>
      <c r="G772">
        <v>3</v>
      </c>
      <c r="H772">
        <v>2E+20</v>
      </c>
      <c r="I772">
        <v>3</v>
      </c>
      <c r="J772">
        <v>3</v>
      </c>
      <c r="K772">
        <v>3</v>
      </c>
      <c r="L772">
        <v>0</v>
      </c>
      <c r="M772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772" s="5" cm="1">
        <f t="array" ref="N772">MAX(IF((ProjectInfoTable[ProjectName]=ContinuousStatsTable[[#This Row],[ProjectName]]),(ProjectInfoTable[ProjectName]=ContinuousStatsTable[[#This Row],[ProjectName]])*ProjectInfoTable[NumberOfReplications]))</f>
        <v>30</v>
      </c>
      <c r="O772" s="5" cm="1">
        <f t="array" ref="O772">IFERROR(AVERAGE(IF((ContinuousStatsTable[GroupByKey]=ContinuousStatsTable[[#This Row],[GroupByKey]]),(ContinuousStatsTable[GroupByKey]=ContinuousStatsTable[[#This Row],[GroupByKey]])*ContinuousStatsTable[Average])),0)</f>
        <v>3</v>
      </c>
      <c r="P772" s="5" cm="1">
        <f t="array" ref="P772">IFERROR(_xlfn.STDEV.S(IF((ContinuousStatsTable[GroupByKey]=ContinuousStatsTable[[#This Row],[GroupByKey]]),(ContinuousStatsTable[GroupByKey]=ContinuousStatsTable[[#This Row],[GroupByKey]])*ContinuousStatsTable[Average])),0)</f>
        <v>0</v>
      </c>
      <c r="Q772" s="5" cm="1">
        <f t="array" ref="Q772">MAX(IF((ProjectInfoTable[ProjectName]=ContinuousStatsTable[[#This Row],[ProjectName]]),(ProjectInfoTable[ProjectName]=ContinuousStatsTable[[#This Row],[ProjectName]])*ProjectInfoTable[ConfidenceInterval]))</f>
        <v>0.95</v>
      </c>
      <c r="R7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2" s="5" cm="1">
        <f t="array" ref="S772">MIN(IF((ContinuousStatsTable[GroupByKey]=ContinuousStatsTable[[#This Row],[GroupByKey]]),(ContinuousStatsTable[GroupByKey]=ContinuousStatsTable[[#This Row],[GroupByKey]])*ContinuousStatsTable[Average]))</f>
        <v>3</v>
      </c>
      <c r="T772" s="5" cm="1">
        <f t="array" ref="T772">MAX(IF((ContinuousStatsTable[GroupByKey]=ContinuousStatsTable[[#This Row],[GroupByKey]]),(ContinuousStatsTable[GroupByKey]=ContinuousStatsTable[[#This Row],[GroupByKey]])*ContinuousStatsTable[Average]))</f>
        <v>3</v>
      </c>
      <c r="U772" s="5">
        <f>IF((ContinuousStatsTable[[#This Row],[RepsRequested]]&gt;1),ContinuousStatsTable[[#This Row],[HalfWidth]],ContinuousStatsTable[[#This Row],[BatchMeansHalfWidth]])</f>
        <v>0</v>
      </c>
    </row>
    <row r="773" spans="1:21" x14ac:dyDescent="0.3">
      <c r="A773" t="s">
        <v>66</v>
      </c>
      <c r="B773" t="s">
        <v>68</v>
      </c>
      <c r="C773">
        <v>20</v>
      </c>
      <c r="D773" t="s">
        <v>105</v>
      </c>
      <c r="E773" t="s">
        <v>94</v>
      </c>
      <c r="F773" t="s">
        <v>95</v>
      </c>
      <c r="G773">
        <v>0.97148290656343195</v>
      </c>
      <c r="H773">
        <v>2E+20</v>
      </c>
      <c r="I773">
        <v>0</v>
      </c>
      <c r="J773">
        <v>1</v>
      </c>
      <c r="K773">
        <v>1</v>
      </c>
      <c r="L773">
        <v>0</v>
      </c>
      <c r="M773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773" s="5" cm="1">
        <f t="array" ref="N773">MAX(IF((ProjectInfoTable[ProjectName]=ContinuousStatsTable[[#This Row],[ProjectName]]),(ProjectInfoTable[ProjectName]=ContinuousStatsTable[[#This Row],[ProjectName]])*ProjectInfoTable[NumberOfReplications]))</f>
        <v>30</v>
      </c>
      <c r="O773" s="5" cm="1">
        <f t="array" ref="O773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773" s="5" cm="1">
        <f t="array" ref="P773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773" s="5" cm="1">
        <f t="array" ref="Q773">MAX(IF((ProjectInfoTable[ProjectName]=ContinuousStatsTable[[#This Row],[ProjectName]]),(ProjectInfoTable[ProjectName]=ContinuousStatsTable[[#This Row],[ProjectName]])*ProjectInfoTable[ConfidenceInterval]))</f>
        <v>0.95</v>
      </c>
      <c r="R7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773" s="5" cm="1">
        <f t="array" ref="S773">MIN(IF((ContinuousStatsTable[GroupByKey]=ContinuousStatsTable[[#This Row],[GroupByKey]]),(ContinuousStatsTable[GroupByKey]=ContinuousStatsTable[[#This Row],[GroupByKey]])*ContinuousStatsTable[Average]))</f>
        <v>0.634589476164233</v>
      </c>
      <c r="T773" s="5" cm="1">
        <f t="array" ref="T773">MAX(IF((ContinuousStatsTable[GroupByKey]=ContinuousStatsTable[[#This Row],[GroupByKey]]),(ContinuousStatsTable[GroupByKey]=ContinuousStatsTable[[#This Row],[GroupByKey]])*ContinuousStatsTable[Average]))</f>
        <v>0.99383259650362799</v>
      </c>
      <c r="U773" s="5">
        <f>IF((ContinuousStatsTable[[#This Row],[RepsRequested]]&gt;1),ContinuousStatsTable[[#This Row],[HalfWidth]],ContinuousStatsTable[[#This Row],[BatchMeansHalfWidth]])</f>
        <v>3.9940526897700258E-2</v>
      </c>
    </row>
    <row r="774" spans="1:21" x14ac:dyDescent="0.3">
      <c r="A774" t="s">
        <v>66</v>
      </c>
      <c r="B774" t="s">
        <v>68</v>
      </c>
      <c r="C774">
        <v>20</v>
      </c>
      <c r="D774" t="s">
        <v>105</v>
      </c>
      <c r="E774" t="s">
        <v>96</v>
      </c>
      <c r="F774" t="s">
        <v>95</v>
      </c>
      <c r="G774">
        <v>0.97148290656343195</v>
      </c>
      <c r="H774">
        <v>2E+20</v>
      </c>
      <c r="I774">
        <v>0</v>
      </c>
      <c r="J774">
        <v>1</v>
      </c>
      <c r="K774">
        <v>1</v>
      </c>
      <c r="L774">
        <v>0</v>
      </c>
      <c r="M774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774" s="5" cm="1">
        <f t="array" ref="N774">MAX(IF((ProjectInfoTable[ProjectName]=ContinuousStatsTable[[#This Row],[ProjectName]]),(ProjectInfoTable[ProjectName]=ContinuousStatsTable[[#This Row],[ProjectName]])*ProjectInfoTable[NumberOfReplications]))</f>
        <v>30</v>
      </c>
      <c r="O774" s="5" cm="1">
        <f t="array" ref="O774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774" s="5" cm="1">
        <f t="array" ref="P774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774" s="5" cm="1">
        <f t="array" ref="Q774">MAX(IF((ProjectInfoTable[ProjectName]=ContinuousStatsTable[[#This Row],[ProjectName]]),(ProjectInfoTable[ProjectName]=ContinuousStatsTable[[#This Row],[ProjectName]])*ProjectInfoTable[ConfidenceInterval]))</f>
        <v>0.95</v>
      </c>
      <c r="R7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774" s="5" cm="1">
        <f t="array" ref="S774">MIN(IF((ContinuousStatsTable[GroupByKey]=ContinuousStatsTable[[#This Row],[GroupByKey]]),(ContinuousStatsTable[GroupByKey]=ContinuousStatsTable[[#This Row],[GroupByKey]])*ContinuousStatsTable[Average]))</f>
        <v>0.634589476164233</v>
      </c>
      <c r="T774" s="5" cm="1">
        <f t="array" ref="T774">MAX(IF((ContinuousStatsTable[GroupByKey]=ContinuousStatsTable[[#This Row],[GroupByKey]]),(ContinuousStatsTable[GroupByKey]=ContinuousStatsTable[[#This Row],[GroupByKey]])*ContinuousStatsTable[Average]))</f>
        <v>0.99383259650362799</v>
      </c>
      <c r="U774" s="5">
        <f>IF((ContinuousStatsTable[[#This Row],[RepsRequested]]&gt;1),ContinuousStatsTable[[#This Row],[HalfWidth]],ContinuousStatsTable[[#This Row],[BatchMeansHalfWidth]])</f>
        <v>3.9940526897700258E-2</v>
      </c>
    </row>
    <row r="775" spans="1:21" x14ac:dyDescent="0.3">
      <c r="A775" t="s">
        <v>66</v>
      </c>
      <c r="B775" t="s">
        <v>68</v>
      </c>
      <c r="C775">
        <v>20</v>
      </c>
      <c r="D775" t="s">
        <v>105</v>
      </c>
      <c r="E775" t="s">
        <v>97</v>
      </c>
      <c r="F775" t="s">
        <v>95</v>
      </c>
      <c r="G775">
        <v>1</v>
      </c>
      <c r="H775">
        <v>2E+20</v>
      </c>
      <c r="I775">
        <v>1</v>
      </c>
      <c r="J775">
        <v>1</v>
      </c>
      <c r="K775">
        <v>1</v>
      </c>
      <c r="L775">
        <v>0</v>
      </c>
      <c r="M775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775" s="5" cm="1">
        <f t="array" ref="N775">MAX(IF((ProjectInfoTable[ProjectName]=ContinuousStatsTable[[#This Row],[ProjectName]]),(ProjectInfoTable[ProjectName]=ContinuousStatsTable[[#This Row],[ProjectName]])*ProjectInfoTable[NumberOfReplications]))</f>
        <v>30</v>
      </c>
      <c r="O775" s="5" cm="1">
        <f t="array" ref="O775">IFERROR(AVERAGE(IF((ContinuousStatsTable[GroupByKey]=ContinuousStatsTable[[#This Row],[GroupByKey]]),(ContinuousStatsTable[GroupByKey]=ContinuousStatsTable[[#This Row],[GroupByKey]])*ContinuousStatsTable[Average])),0)</f>
        <v>1</v>
      </c>
      <c r="P775" s="5" cm="1">
        <f t="array" ref="P775">IFERROR(_xlfn.STDEV.S(IF((ContinuousStatsTable[GroupByKey]=ContinuousStatsTable[[#This Row],[GroupByKey]]),(ContinuousStatsTable[GroupByKey]=ContinuousStatsTable[[#This Row],[GroupByKey]])*ContinuousStatsTable[Average])),0)</f>
        <v>0</v>
      </c>
      <c r="Q775" s="5" cm="1">
        <f t="array" ref="Q775">MAX(IF((ProjectInfoTable[ProjectName]=ContinuousStatsTable[[#This Row],[ProjectName]]),(ProjectInfoTable[ProjectName]=ContinuousStatsTable[[#This Row],[ProjectName]])*ProjectInfoTable[ConfidenceInterval]))</f>
        <v>0.95</v>
      </c>
      <c r="R7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5" s="5" cm="1">
        <f t="array" ref="S775">MIN(IF((ContinuousStatsTable[GroupByKey]=ContinuousStatsTable[[#This Row],[GroupByKey]]),(ContinuousStatsTable[GroupByKey]=ContinuousStatsTable[[#This Row],[GroupByKey]])*ContinuousStatsTable[Average]))</f>
        <v>1</v>
      </c>
      <c r="T775" s="5" cm="1">
        <f t="array" ref="T775">MAX(IF((ContinuousStatsTable[GroupByKey]=ContinuousStatsTable[[#This Row],[GroupByKey]]),(ContinuousStatsTable[GroupByKey]=ContinuousStatsTable[[#This Row],[GroupByKey]])*ContinuousStatsTable[Average]))</f>
        <v>1</v>
      </c>
      <c r="U775" s="5">
        <f>IF((ContinuousStatsTable[[#This Row],[RepsRequested]]&gt;1),ContinuousStatsTable[[#This Row],[HalfWidth]],ContinuousStatsTable[[#This Row],[BatchMeansHalfWidth]])</f>
        <v>0</v>
      </c>
    </row>
    <row r="776" spans="1:21" x14ac:dyDescent="0.3">
      <c r="A776" t="s">
        <v>66</v>
      </c>
      <c r="B776" t="s">
        <v>68</v>
      </c>
      <c r="C776">
        <v>20</v>
      </c>
      <c r="D776" t="s">
        <v>106</v>
      </c>
      <c r="E776" t="s">
        <v>94</v>
      </c>
      <c r="F776" t="s">
        <v>95</v>
      </c>
      <c r="G776">
        <v>0.97759293220517096</v>
      </c>
      <c r="H776">
        <v>2E+20</v>
      </c>
      <c r="I776">
        <v>0</v>
      </c>
      <c r="J776">
        <v>1</v>
      </c>
      <c r="K776">
        <v>1</v>
      </c>
      <c r="L776">
        <v>0</v>
      </c>
      <c r="M776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776" s="5" cm="1">
        <f t="array" ref="N776">MAX(IF((ProjectInfoTable[ProjectName]=ContinuousStatsTable[[#This Row],[ProjectName]]),(ProjectInfoTable[ProjectName]=ContinuousStatsTable[[#This Row],[ProjectName]])*ProjectInfoTable[NumberOfReplications]))</f>
        <v>30</v>
      </c>
      <c r="O776" s="5" cm="1">
        <f t="array" ref="O776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776" s="5" cm="1">
        <f t="array" ref="P776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776" s="5" cm="1">
        <f t="array" ref="Q776">MAX(IF((ProjectInfoTable[ProjectName]=ContinuousStatsTable[[#This Row],[ProjectName]]),(ProjectInfoTable[ProjectName]=ContinuousStatsTable[[#This Row],[ProjectName]])*ProjectInfoTable[ConfidenceInterval]))</f>
        <v>0.95</v>
      </c>
      <c r="R7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776" s="5" cm="1">
        <f t="array" ref="S776">MIN(IF((ContinuousStatsTable[GroupByKey]=ContinuousStatsTable[[#This Row],[GroupByKey]]),(ContinuousStatsTable[GroupByKey]=ContinuousStatsTable[[#This Row],[GroupByKey]])*ContinuousStatsTable[Average]))</f>
        <v>0.74061105631083801</v>
      </c>
      <c r="T776" s="5" cm="1">
        <f t="array" ref="T776">MAX(IF((ContinuousStatsTable[GroupByKey]=ContinuousStatsTable[[#This Row],[GroupByKey]]),(ContinuousStatsTable[GroupByKey]=ContinuousStatsTable[[#This Row],[GroupByKey]])*ContinuousStatsTable[Average]))</f>
        <v>0.99245161744166299</v>
      </c>
      <c r="U776" s="5">
        <f>IF((ContinuousStatsTable[[#This Row],[RepsRequested]]&gt;1),ContinuousStatsTable[[#This Row],[HalfWidth]],ContinuousStatsTable[[#This Row],[BatchMeansHalfWidth]])</f>
        <v>2.8912497794626357E-2</v>
      </c>
    </row>
    <row r="777" spans="1:21" x14ac:dyDescent="0.3">
      <c r="A777" t="s">
        <v>66</v>
      </c>
      <c r="B777" t="s">
        <v>68</v>
      </c>
      <c r="C777">
        <v>20</v>
      </c>
      <c r="D777" t="s">
        <v>106</v>
      </c>
      <c r="E777" t="s">
        <v>96</v>
      </c>
      <c r="F777" t="s">
        <v>95</v>
      </c>
      <c r="G777">
        <v>0.97759293220517096</v>
      </c>
      <c r="H777">
        <v>2E+20</v>
      </c>
      <c r="I777">
        <v>0</v>
      </c>
      <c r="J777">
        <v>1</v>
      </c>
      <c r="K777">
        <v>1</v>
      </c>
      <c r="L777">
        <v>0</v>
      </c>
      <c r="M777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777" s="5" cm="1">
        <f t="array" ref="N777">MAX(IF((ProjectInfoTable[ProjectName]=ContinuousStatsTable[[#This Row],[ProjectName]]),(ProjectInfoTable[ProjectName]=ContinuousStatsTable[[#This Row],[ProjectName]])*ProjectInfoTable[NumberOfReplications]))</f>
        <v>30</v>
      </c>
      <c r="O777" s="5" cm="1">
        <f t="array" ref="O777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777" s="5" cm="1">
        <f t="array" ref="P777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777" s="5" cm="1">
        <f t="array" ref="Q777">MAX(IF((ProjectInfoTable[ProjectName]=ContinuousStatsTable[[#This Row],[ProjectName]]),(ProjectInfoTable[ProjectName]=ContinuousStatsTable[[#This Row],[ProjectName]])*ProjectInfoTable[ConfidenceInterval]))</f>
        <v>0.95</v>
      </c>
      <c r="R7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777" s="5" cm="1">
        <f t="array" ref="S777">MIN(IF((ContinuousStatsTable[GroupByKey]=ContinuousStatsTable[[#This Row],[GroupByKey]]),(ContinuousStatsTable[GroupByKey]=ContinuousStatsTable[[#This Row],[GroupByKey]])*ContinuousStatsTable[Average]))</f>
        <v>0.74061105631083801</v>
      </c>
      <c r="T777" s="5" cm="1">
        <f t="array" ref="T777">MAX(IF((ContinuousStatsTable[GroupByKey]=ContinuousStatsTable[[#This Row],[GroupByKey]]),(ContinuousStatsTable[GroupByKey]=ContinuousStatsTable[[#This Row],[GroupByKey]])*ContinuousStatsTable[Average]))</f>
        <v>0.99245161744166299</v>
      </c>
      <c r="U777" s="5">
        <f>IF((ContinuousStatsTable[[#This Row],[RepsRequested]]&gt;1),ContinuousStatsTable[[#This Row],[HalfWidth]],ContinuousStatsTable[[#This Row],[BatchMeansHalfWidth]])</f>
        <v>2.8912497794626357E-2</v>
      </c>
    </row>
    <row r="778" spans="1:21" x14ac:dyDescent="0.3">
      <c r="A778" t="s">
        <v>66</v>
      </c>
      <c r="B778" t="s">
        <v>68</v>
      </c>
      <c r="C778">
        <v>20</v>
      </c>
      <c r="D778" t="s">
        <v>106</v>
      </c>
      <c r="E778" t="s">
        <v>97</v>
      </c>
      <c r="F778" t="s">
        <v>95</v>
      </c>
      <c r="G778">
        <v>1</v>
      </c>
      <c r="H778">
        <v>2E+20</v>
      </c>
      <c r="I778">
        <v>1</v>
      </c>
      <c r="J778">
        <v>1</v>
      </c>
      <c r="K778">
        <v>1</v>
      </c>
      <c r="L778">
        <v>0</v>
      </c>
      <c r="M778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778" s="5" cm="1">
        <f t="array" ref="N778">MAX(IF((ProjectInfoTable[ProjectName]=ContinuousStatsTable[[#This Row],[ProjectName]]),(ProjectInfoTable[ProjectName]=ContinuousStatsTable[[#This Row],[ProjectName]])*ProjectInfoTable[NumberOfReplications]))</f>
        <v>30</v>
      </c>
      <c r="O778" s="5" cm="1">
        <f t="array" ref="O778">IFERROR(AVERAGE(IF((ContinuousStatsTable[GroupByKey]=ContinuousStatsTable[[#This Row],[GroupByKey]]),(ContinuousStatsTable[GroupByKey]=ContinuousStatsTable[[#This Row],[GroupByKey]])*ContinuousStatsTable[Average])),0)</f>
        <v>1</v>
      </c>
      <c r="P778" s="5" cm="1">
        <f t="array" ref="P778">IFERROR(_xlfn.STDEV.S(IF((ContinuousStatsTable[GroupByKey]=ContinuousStatsTable[[#This Row],[GroupByKey]]),(ContinuousStatsTable[GroupByKey]=ContinuousStatsTable[[#This Row],[GroupByKey]])*ContinuousStatsTable[Average])),0)</f>
        <v>0</v>
      </c>
      <c r="Q778" s="5" cm="1">
        <f t="array" ref="Q778">MAX(IF((ProjectInfoTable[ProjectName]=ContinuousStatsTable[[#This Row],[ProjectName]]),(ProjectInfoTable[ProjectName]=ContinuousStatsTable[[#This Row],[ProjectName]])*ProjectInfoTable[ConfidenceInterval]))</f>
        <v>0.95</v>
      </c>
      <c r="R7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8" s="5" cm="1">
        <f t="array" ref="S778">MIN(IF((ContinuousStatsTable[GroupByKey]=ContinuousStatsTable[[#This Row],[GroupByKey]]),(ContinuousStatsTable[GroupByKey]=ContinuousStatsTable[[#This Row],[GroupByKey]])*ContinuousStatsTable[Average]))</f>
        <v>1</v>
      </c>
      <c r="T778" s="5" cm="1">
        <f t="array" ref="T778">MAX(IF((ContinuousStatsTable[GroupByKey]=ContinuousStatsTable[[#This Row],[GroupByKey]]),(ContinuousStatsTable[GroupByKey]=ContinuousStatsTable[[#This Row],[GroupByKey]])*ContinuousStatsTable[Average]))</f>
        <v>1</v>
      </c>
      <c r="U778" s="5">
        <f>IF((ContinuousStatsTable[[#This Row],[RepsRequested]]&gt;1),ContinuousStatsTable[[#This Row],[HalfWidth]],ContinuousStatsTable[[#This Row],[BatchMeansHalfWidth]])</f>
        <v>0</v>
      </c>
    </row>
    <row r="779" spans="1:21" x14ac:dyDescent="0.3">
      <c r="A779" t="s">
        <v>66</v>
      </c>
      <c r="B779" t="s">
        <v>68</v>
      </c>
      <c r="C779">
        <v>20</v>
      </c>
      <c r="D779" t="s">
        <v>107</v>
      </c>
      <c r="E779" t="s">
        <v>94</v>
      </c>
      <c r="F779" t="s">
        <v>95</v>
      </c>
      <c r="G779">
        <v>0.96346898910953505</v>
      </c>
      <c r="H779">
        <v>2E+20</v>
      </c>
      <c r="I779">
        <v>0</v>
      </c>
      <c r="J779">
        <v>1</v>
      </c>
      <c r="K779">
        <v>1</v>
      </c>
      <c r="L779">
        <v>0</v>
      </c>
      <c r="M779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779" s="5" cm="1">
        <f t="array" ref="N779">MAX(IF((ProjectInfoTable[ProjectName]=ContinuousStatsTable[[#This Row],[ProjectName]]),(ProjectInfoTable[ProjectName]=ContinuousStatsTable[[#This Row],[ProjectName]])*ProjectInfoTable[NumberOfReplications]))</f>
        <v>30</v>
      </c>
      <c r="O779" s="5" cm="1">
        <f t="array" ref="O779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779" s="5" cm="1">
        <f t="array" ref="P779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779" s="5" cm="1">
        <f t="array" ref="Q779">MAX(IF((ProjectInfoTable[ProjectName]=ContinuousStatsTable[[#This Row],[ProjectName]]),(ProjectInfoTable[ProjectName]=ContinuousStatsTable[[#This Row],[ProjectName]])*ProjectInfoTable[ConfidenceInterval]))</f>
        <v>0.95</v>
      </c>
      <c r="R7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779" s="5" cm="1">
        <f t="array" ref="S779">MIN(IF((ContinuousStatsTable[GroupByKey]=ContinuousStatsTable[[#This Row],[GroupByKey]]),(ContinuousStatsTable[GroupByKey]=ContinuousStatsTable[[#This Row],[GroupByKey]])*ContinuousStatsTable[Average]))</f>
        <v>0.73843386001690303</v>
      </c>
      <c r="T779" s="5" cm="1">
        <f t="array" ref="T779">MAX(IF((ContinuousStatsTable[GroupByKey]=ContinuousStatsTable[[#This Row],[GroupByKey]]),(ContinuousStatsTable[GroupByKey]=ContinuousStatsTable[[#This Row],[GroupByKey]])*ContinuousStatsTable[Average]))</f>
        <v>0.99245161744166299</v>
      </c>
      <c r="U779" s="5">
        <f>IF((ContinuousStatsTable[[#This Row],[RepsRequested]]&gt;1),ContinuousStatsTable[[#This Row],[HalfWidth]],ContinuousStatsTable[[#This Row],[BatchMeansHalfWidth]])</f>
        <v>2.6057642646860522E-2</v>
      </c>
    </row>
    <row r="780" spans="1:21" x14ac:dyDescent="0.3">
      <c r="A780" t="s">
        <v>66</v>
      </c>
      <c r="B780" t="s">
        <v>68</v>
      </c>
      <c r="C780">
        <v>20</v>
      </c>
      <c r="D780" t="s">
        <v>107</v>
      </c>
      <c r="E780" t="s">
        <v>96</v>
      </c>
      <c r="F780" t="s">
        <v>95</v>
      </c>
      <c r="G780">
        <v>0.96346898910953505</v>
      </c>
      <c r="H780">
        <v>2E+20</v>
      </c>
      <c r="I780">
        <v>0</v>
      </c>
      <c r="J780">
        <v>1</v>
      </c>
      <c r="K780">
        <v>1</v>
      </c>
      <c r="L780">
        <v>0</v>
      </c>
      <c r="M780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780" s="5" cm="1">
        <f t="array" ref="N780">MAX(IF((ProjectInfoTable[ProjectName]=ContinuousStatsTable[[#This Row],[ProjectName]]),(ProjectInfoTable[ProjectName]=ContinuousStatsTable[[#This Row],[ProjectName]])*ProjectInfoTable[NumberOfReplications]))</f>
        <v>30</v>
      </c>
      <c r="O780" s="5" cm="1">
        <f t="array" ref="O780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780" s="5" cm="1">
        <f t="array" ref="P780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780" s="5" cm="1">
        <f t="array" ref="Q780">MAX(IF((ProjectInfoTable[ProjectName]=ContinuousStatsTable[[#This Row],[ProjectName]]),(ProjectInfoTable[ProjectName]=ContinuousStatsTable[[#This Row],[ProjectName]])*ProjectInfoTable[ConfidenceInterval]))</f>
        <v>0.95</v>
      </c>
      <c r="R7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780" s="5" cm="1">
        <f t="array" ref="S780">MIN(IF((ContinuousStatsTable[GroupByKey]=ContinuousStatsTable[[#This Row],[GroupByKey]]),(ContinuousStatsTable[GroupByKey]=ContinuousStatsTable[[#This Row],[GroupByKey]])*ContinuousStatsTable[Average]))</f>
        <v>0.73843386001690303</v>
      </c>
      <c r="T780" s="5" cm="1">
        <f t="array" ref="T780">MAX(IF((ContinuousStatsTable[GroupByKey]=ContinuousStatsTable[[#This Row],[GroupByKey]]),(ContinuousStatsTable[GroupByKey]=ContinuousStatsTable[[#This Row],[GroupByKey]])*ContinuousStatsTable[Average]))</f>
        <v>0.99245161744166299</v>
      </c>
      <c r="U780" s="5">
        <f>IF((ContinuousStatsTable[[#This Row],[RepsRequested]]&gt;1),ContinuousStatsTable[[#This Row],[HalfWidth]],ContinuousStatsTable[[#This Row],[BatchMeansHalfWidth]])</f>
        <v>2.6057642646860522E-2</v>
      </c>
    </row>
    <row r="781" spans="1:21" x14ac:dyDescent="0.3">
      <c r="A781" t="s">
        <v>66</v>
      </c>
      <c r="B781" t="s">
        <v>68</v>
      </c>
      <c r="C781">
        <v>20</v>
      </c>
      <c r="D781" t="s">
        <v>107</v>
      </c>
      <c r="E781" t="s">
        <v>97</v>
      </c>
      <c r="F781" t="s">
        <v>95</v>
      </c>
      <c r="G781">
        <v>1</v>
      </c>
      <c r="H781">
        <v>2E+20</v>
      </c>
      <c r="I781">
        <v>1</v>
      </c>
      <c r="J781">
        <v>1</v>
      </c>
      <c r="K781">
        <v>1</v>
      </c>
      <c r="L781">
        <v>0</v>
      </c>
      <c r="M781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781" s="5" cm="1">
        <f t="array" ref="N781">MAX(IF((ProjectInfoTable[ProjectName]=ContinuousStatsTable[[#This Row],[ProjectName]]),(ProjectInfoTable[ProjectName]=ContinuousStatsTable[[#This Row],[ProjectName]])*ProjectInfoTable[NumberOfReplications]))</f>
        <v>30</v>
      </c>
      <c r="O781" s="5" cm="1">
        <f t="array" ref="O781">IFERROR(AVERAGE(IF((ContinuousStatsTable[GroupByKey]=ContinuousStatsTable[[#This Row],[GroupByKey]]),(ContinuousStatsTable[GroupByKey]=ContinuousStatsTable[[#This Row],[GroupByKey]])*ContinuousStatsTable[Average])),0)</f>
        <v>1</v>
      </c>
      <c r="P781" s="5" cm="1">
        <f t="array" ref="P781">IFERROR(_xlfn.STDEV.S(IF((ContinuousStatsTable[GroupByKey]=ContinuousStatsTable[[#This Row],[GroupByKey]]),(ContinuousStatsTable[GroupByKey]=ContinuousStatsTable[[#This Row],[GroupByKey]])*ContinuousStatsTable[Average])),0)</f>
        <v>0</v>
      </c>
      <c r="Q781" s="5" cm="1">
        <f t="array" ref="Q781">MAX(IF((ProjectInfoTable[ProjectName]=ContinuousStatsTable[[#This Row],[ProjectName]]),(ProjectInfoTable[ProjectName]=ContinuousStatsTable[[#This Row],[ProjectName]])*ProjectInfoTable[ConfidenceInterval]))</f>
        <v>0.95</v>
      </c>
      <c r="R7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1" s="5" cm="1">
        <f t="array" ref="S781">MIN(IF((ContinuousStatsTable[GroupByKey]=ContinuousStatsTable[[#This Row],[GroupByKey]]),(ContinuousStatsTable[GroupByKey]=ContinuousStatsTable[[#This Row],[GroupByKey]])*ContinuousStatsTable[Average]))</f>
        <v>1</v>
      </c>
      <c r="T781" s="5" cm="1">
        <f t="array" ref="T781">MAX(IF((ContinuousStatsTable[GroupByKey]=ContinuousStatsTable[[#This Row],[GroupByKey]]),(ContinuousStatsTable[GroupByKey]=ContinuousStatsTable[[#This Row],[GroupByKey]])*ContinuousStatsTable[Average]))</f>
        <v>1</v>
      </c>
      <c r="U781" s="5">
        <f>IF((ContinuousStatsTable[[#This Row],[RepsRequested]]&gt;1),ContinuousStatsTable[[#This Row],[HalfWidth]],ContinuousStatsTable[[#This Row],[BatchMeansHalfWidth]])</f>
        <v>0</v>
      </c>
    </row>
    <row r="782" spans="1:21" x14ac:dyDescent="0.3">
      <c r="A782" t="s">
        <v>66</v>
      </c>
      <c r="B782" t="s">
        <v>68</v>
      </c>
      <c r="C782">
        <v>21</v>
      </c>
      <c r="D782" t="s">
        <v>69</v>
      </c>
      <c r="E782" t="s">
        <v>92</v>
      </c>
      <c r="F782" t="s">
        <v>71</v>
      </c>
      <c r="G782">
        <v>9.3827575078214593</v>
      </c>
      <c r="H782">
        <v>2E+20</v>
      </c>
      <c r="I782">
        <v>0</v>
      </c>
      <c r="J782">
        <v>26</v>
      </c>
      <c r="K782">
        <v>0</v>
      </c>
      <c r="L782">
        <v>0</v>
      </c>
      <c r="M782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782" s="5" cm="1">
        <f t="array" ref="N782">MAX(IF((ProjectInfoTable[ProjectName]=ContinuousStatsTable[[#This Row],[ProjectName]]),(ProjectInfoTable[ProjectName]=ContinuousStatsTable[[#This Row],[ProjectName]])*ProjectInfoTable[NumberOfReplications]))</f>
        <v>30</v>
      </c>
      <c r="O782" s="5" cm="1">
        <f t="array" ref="O782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782" s="5" cm="1">
        <f t="array" ref="P782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782" s="5" cm="1">
        <f t="array" ref="Q782">MAX(IF((ProjectInfoTable[ProjectName]=ContinuousStatsTable[[#This Row],[ProjectName]]),(ProjectInfoTable[ProjectName]=ContinuousStatsTable[[#This Row],[ProjectName]])*ProjectInfoTable[ConfidenceInterval]))</f>
        <v>0.95</v>
      </c>
      <c r="R7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782" s="5" cm="1">
        <f t="array" ref="S782">MIN(IF((ContinuousStatsTable[GroupByKey]=ContinuousStatsTable[[#This Row],[GroupByKey]]),(ContinuousStatsTable[GroupByKey]=ContinuousStatsTable[[#This Row],[GroupByKey]])*ContinuousStatsTable[Average]))</f>
        <v>2.2853775994771</v>
      </c>
      <c r="T782" s="5" cm="1">
        <f t="array" ref="T782">MAX(IF((ContinuousStatsTable[GroupByKey]=ContinuousStatsTable[[#This Row],[GroupByKey]]),(ContinuousStatsTable[GroupByKey]=ContinuousStatsTable[[#This Row],[GroupByKey]])*ContinuousStatsTable[Average]))</f>
        <v>9.3827575078214593</v>
      </c>
      <c r="U782" s="5">
        <f>IF((ContinuousStatsTable[[#This Row],[RepsRequested]]&gt;1),ContinuousStatsTable[[#This Row],[HalfWidth]],ContinuousStatsTable[[#This Row],[BatchMeansHalfWidth]])</f>
        <v>0.70373665421471332</v>
      </c>
    </row>
    <row r="783" spans="1:21" x14ac:dyDescent="0.3">
      <c r="A783" t="s">
        <v>66</v>
      </c>
      <c r="B783" t="s">
        <v>68</v>
      </c>
      <c r="C783">
        <v>21</v>
      </c>
      <c r="D783" t="s">
        <v>72</v>
      </c>
      <c r="E783" t="s">
        <v>92</v>
      </c>
      <c r="F783" t="s">
        <v>71</v>
      </c>
      <c r="G783">
        <v>8.0603747791942499</v>
      </c>
      <c r="H783">
        <v>2E+20</v>
      </c>
      <c r="I783">
        <v>0</v>
      </c>
      <c r="J783">
        <v>33</v>
      </c>
      <c r="K783">
        <v>0</v>
      </c>
      <c r="L783">
        <v>0</v>
      </c>
      <c r="M783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783" s="5" cm="1">
        <f t="array" ref="N783">MAX(IF((ProjectInfoTable[ProjectName]=ContinuousStatsTable[[#This Row],[ProjectName]]),(ProjectInfoTable[ProjectName]=ContinuousStatsTable[[#This Row],[ProjectName]])*ProjectInfoTable[NumberOfReplications]))</f>
        <v>30</v>
      </c>
      <c r="O783" s="5" cm="1">
        <f t="array" ref="O783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783" s="5" cm="1">
        <f t="array" ref="P783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783" s="5" cm="1">
        <f t="array" ref="Q783">MAX(IF((ProjectInfoTable[ProjectName]=ContinuousStatsTable[[#This Row],[ProjectName]]),(ProjectInfoTable[ProjectName]=ContinuousStatsTable[[#This Row],[ProjectName]])*ProjectInfoTable[ConfidenceInterval]))</f>
        <v>0.95</v>
      </c>
      <c r="R7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783" s="5" cm="1">
        <f t="array" ref="S783">MIN(IF((ContinuousStatsTable[GroupByKey]=ContinuousStatsTable[[#This Row],[GroupByKey]]),(ContinuousStatsTable[GroupByKey]=ContinuousStatsTable[[#This Row],[GroupByKey]])*ContinuousStatsTable[Average]))</f>
        <v>1.4754093813695901</v>
      </c>
      <c r="T783" s="5" cm="1">
        <f t="array" ref="T783">MAX(IF((ContinuousStatsTable[GroupByKey]=ContinuousStatsTable[[#This Row],[GroupByKey]]),(ContinuousStatsTable[GroupByKey]=ContinuousStatsTable[[#This Row],[GroupByKey]])*ContinuousStatsTable[Average]))</f>
        <v>8.0603747791942499</v>
      </c>
      <c r="U783" s="5">
        <f>IF((ContinuousStatsTable[[#This Row],[RepsRequested]]&gt;1),ContinuousStatsTable[[#This Row],[HalfWidth]],ContinuousStatsTable[[#This Row],[BatchMeansHalfWidth]])</f>
        <v>0.5936172943910426</v>
      </c>
    </row>
    <row r="784" spans="1:21" x14ac:dyDescent="0.3">
      <c r="A784" t="s">
        <v>66</v>
      </c>
      <c r="B784" t="s">
        <v>68</v>
      </c>
      <c r="C784">
        <v>21</v>
      </c>
      <c r="D784" t="s">
        <v>73</v>
      </c>
      <c r="E784" t="s">
        <v>92</v>
      </c>
      <c r="F784" t="s">
        <v>71</v>
      </c>
      <c r="G784">
        <v>11.954142270337201</v>
      </c>
      <c r="H784">
        <v>2E+20</v>
      </c>
      <c r="I784">
        <v>0</v>
      </c>
      <c r="J784">
        <v>30</v>
      </c>
      <c r="K784">
        <v>6</v>
      </c>
      <c r="L784">
        <v>0</v>
      </c>
      <c r="M784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784" s="5" cm="1">
        <f t="array" ref="N784">MAX(IF((ProjectInfoTable[ProjectName]=ContinuousStatsTable[[#This Row],[ProjectName]]),(ProjectInfoTable[ProjectName]=ContinuousStatsTable[[#This Row],[ProjectName]])*ProjectInfoTable[NumberOfReplications]))</f>
        <v>30</v>
      </c>
      <c r="O784" s="5" cm="1">
        <f t="array" ref="O784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784" s="5" cm="1">
        <f t="array" ref="P784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784" s="5" cm="1">
        <f t="array" ref="Q784">MAX(IF((ProjectInfoTable[ProjectName]=ContinuousStatsTable[[#This Row],[ProjectName]]),(ProjectInfoTable[ProjectName]=ContinuousStatsTable[[#This Row],[ProjectName]])*ProjectInfoTable[ConfidenceInterval]))</f>
        <v>0.95</v>
      </c>
      <c r="R7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784" s="5" cm="1">
        <f t="array" ref="S784">MIN(IF((ContinuousStatsTable[GroupByKey]=ContinuousStatsTable[[#This Row],[GroupByKey]]),(ContinuousStatsTable[GroupByKey]=ContinuousStatsTable[[#This Row],[GroupByKey]])*ContinuousStatsTable[Average]))</f>
        <v>1.3305593103954101</v>
      </c>
      <c r="T784" s="5" cm="1">
        <f t="array" ref="T784">MAX(IF((ContinuousStatsTable[GroupByKey]=ContinuousStatsTable[[#This Row],[GroupByKey]]),(ContinuousStatsTable[GroupByKey]=ContinuousStatsTable[[#This Row],[GroupByKey]])*ContinuousStatsTable[Average]))</f>
        <v>29.356614544212601</v>
      </c>
      <c r="U784" s="5">
        <f>IF((ContinuousStatsTable[[#This Row],[RepsRequested]]&gt;1),ContinuousStatsTable[[#This Row],[HalfWidth]],ContinuousStatsTable[[#This Row],[BatchMeansHalfWidth]])</f>
        <v>2.162177461749093</v>
      </c>
    </row>
    <row r="785" spans="1:21" x14ac:dyDescent="0.3">
      <c r="A785" t="s">
        <v>66</v>
      </c>
      <c r="B785" t="s">
        <v>68</v>
      </c>
      <c r="C785">
        <v>21</v>
      </c>
      <c r="D785" t="s">
        <v>74</v>
      </c>
      <c r="E785" t="s">
        <v>92</v>
      </c>
      <c r="F785" t="s">
        <v>71</v>
      </c>
      <c r="G785">
        <v>0</v>
      </c>
      <c r="H785">
        <v>2E+20</v>
      </c>
      <c r="I785">
        <v>0</v>
      </c>
      <c r="J785">
        <v>0</v>
      </c>
      <c r="K785">
        <v>0</v>
      </c>
      <c r="L785">
        <v>0</v>
      </c>
      <c r="M785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785" s="5" cm="1">
        <f t="array" ref="N785">MAX(IF((ProjectInfoTable[ProjectName]=ContinuousStatsTable[[#This Row],[ProjectName]]),(ProjectInfoTable[ProjectName]=ContinuousStatsTable[[#This Row],[ProjectName]])*ProjectInfoTable[NumberOfReplications]))</f>
        <v>30</v>
      </c>
      <c r="O785" s="5" cm="1">
        <f t="array" ref="O785">IFERROR(AVERAGE(IF((ContinuousStatsTable[GroupByKey]=ContinuousStatsTable[[#This Row],[GroupByKey]]),(ContinuousStatsTable[GroupByKey]=ContinuousStatsTable[[#This Row],[GroupByKey]])*ContinuousStatsTable[Average])),0)</f>
        <v>0</v>
      </c>
      <c r="P785" s="5" cm="1">
        <f t="array" ref="P785">IFERROR(_xlfn.STDEV.S(IF((ContinuousStatsTable[GroupByKey]=ContinuousStatsTable[[#This Row],[GroupByKey]]),(ContinuousStatsTable[GroupByKey]=ContinuousStatsTable[[#This Row],[GroupByKey]])*ContinuousStatsTable[Average])),0)</f>
        <v>0</v>
      </c>
      <c r="Q785" s="5" cm="1">
        <f t="array" ref="Q785">MAX(IF((ProjectInfoTable[ProjectName]=ContinuousStatsTable[[#This Row],[ProjectName]]),(ProjectInfoTable[ProjectName]=ContinuousStatsTable[[#This Row],[ProjectName]])*ProjectInfoTable[ConfidenceInterval]))</f>
        <v>0.95</v>
      </c>
      <c r="R7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5" s="5" cm="1">
        <f t="array" ref="S785">MIN(IF((ContinuousStatsTable[GroupByKey]=ContinuousStatsTable[[#This Row],[GroupByKey]]),(ContinuousStatsTable[GroupByKey]=ContinuousStatsTable[[#This Row],[GroupByKey]])*ContinuousStatsTable[Average]))</f>
        <v>0</v>
      </c>
      <c r="T785" s="5" cm="1">
        <f t="array" ref="T785">MAX(IF((ContinuousStatsTable[GroupByKey]=ContinuousStatsTable[[#This Row],[GroupByKey]]),(ContinuousStatsTable[GroupByKey]=ContinuousStatsTable[[#This Row],[GroupByKey]])*ContinuousStatsTable[Average]))</f>
        <v>0</v>
      </c>
      <c r="U785" s="5">
        <f>IF((ContinuousStatsTable[[#This Row],[RepsRequested]]&gt;1),ContinuousStatsTable[[#This Row],[HalfWidth]],ContinuousStatsTable[[#This Row],[BatchMeansHalfWidth]])</f>
        <v>0</v>
      </c>
    </row>
    <row r="786" spans="1:21" x14ac:dyDescent="0.3">
      <c r="A786" t="s">
        <v>66</v>
      </c>
      <c r="B786" t="s">
        <v>68</v>
      </c>
      <c r="C786">
        <v>21</v>
      </c>
      <c r="D786" t="s">
        <v>75</v>
      </c>
      <c r="E786" t="s">
        <v>92</v>
      </c>
      <c r="F786" t="s">
        <v>71</v>
      </c>
      <c r="G786">
        <v>0</v>
      </c>
      <c r="H786">
        <v>2E+20</v>
      </c>
      <c r="I786">
        <v>0</v>
      </c>
      <c r="J786">
        <v>0</v>
      </c>
      <c r="K786">
        <v>0</v>
      </c>
      <c r="L786">
        <v>0</v>
      </c>
      <c r="M786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786" s="5" cm="1">
        <f t="array" ref="N786">MAX(IF((ProjectInfoTable[ProjectName]=ContinuousStatsTable[[#This Row],[ProjectName]]),(ProjectInfoTable[ProjectName]=ContinuousStatsTable[[#This Row],[ProjectName]])*ProjectInfoTable[NumberOfReplications]))</f>
        <v>30</v>
      </c>
      <c r="O786" s="5" cm="1">
        <f t="array" ref="O786">IFERROR(AVERAGE(IF((ContinuousStatsTable[GroupByKey]=ContinuousStatsTable[[#This Row],[GroupByKey]]),(ContinuousStatsTable[GroupByKey]=ContinuousStatsTable[[#This Row],[GroupByKey]])*ContinuousStatsTable[Average])),0)</f>
        <v>0</v>
      </c>
      <c r="P786" s="5" cm="1">
        <f t="array" ref="P786">IFERROR(_xlfn.STDEV.S(IF((ContinuousStatsTable[GroupByKey]=ContinuousStatsTable[[#This Row],[GroupByKey]]),(ContinuousStatsTable[GroupByKey]=ContinuousStatsTable[[#This Row],[GroupByKey]])*ContinuousStatsTable[Average])),0)</f>
        <v>0</v>
      </c>
      <c r="Q786" s="5" cm="1">
        <f t="array" ref="Q786">MAX(IF((ProjectInfoTable[ProjectName]=ContinuousStatsTable[[#This Row],[ProjectName]]),(ProjectInfoTable[ProjectName]=ContinuousStatsTable[[#This Row],[ProjectName]])*ProjectInfoTable[ConfidenceInterval]))</f>
        <v>0.95</v>
      </c>
      <c r="R7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6" s="5" cm="1">
        <f t="array" ref="S786">MIN(IF((ContinuousStatsTable[GroupByKey]=ContinuousStatsTable[[#This Row],[GroupByKey]]),(ContinuousStatsTable[GroupByKey]=ContinuousStatsTable[[#This Row],[GroupByKey]])*ContinuousStatsTable[Average]))</f>
        <v>0</v>
      </c>
      <c r="T786" s="5" cm="1">
        <f t="array" ref="T786">MAX(IF((ContinuousStatsTable[GroupByKey]=ContinuousStatsTable[[#This Row],[GroupByKey]]),(ContinuousStatsTable[GroupByKey]=ContinuousStatsTable[[#This Row],[GroupByKey]])*ContinuousStatsTable[Average]))</f>
        <v>0</v>
      </c>
      <c r="U786" s="5">
        <f>IF((ContinuousStatsTable[[#This Row],[RepsRequested]]&gt;1),ContinuousStatsTable[[#This Row],[HalfWidth]],ContinuousStatsTable[[#This Row],[BatchMeansHalfWidth]])</f>
        <v>0</v>
      </c>
    </row>
    <row r="787" spans="1:21" x14ac:dyDescent="0.3">
      <c r="A787" t="s">
        <v>66</v>
      </c>
      <c r="B787" t="s">
        <v>68</v>
      </c>
      <c r="C787">
        <v>21</v>
      </c>
      <c r="D787" t="s">
        <v>76</v>
      </c>
      <c r="E787" t="s">
        <v>92</v>
      </c>
      <c r="F787" t="s">
        <v>71</v>
      </c>
      <c r="G787">
        <v>0.85423743724636503</v>
      </c>
      <c r="H787">
        <v>2E+20</v>
      </c>
      <c r="I787">
        <v>0</v>
      </c>
      <c r="J787">
        <v>7</v>
      </c>
      <c r="K787">
        <v>0</v>
      </c>
      <c r="L787">
        <v>0</v>
      </c>
      <c r="M787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787" s="5" cm="1">
        <f t="array" ref="N787">MAX(IF((ProjectInfoTable[ProjectName]=ContinuousStatsTable[[#This Row],[ProjectName]]),(ProjectInfoTable[ProjectName]=ContinuousStatsTable[[#This Row],[ProjectName]])*ProjectInfoTable[NumberOfReplications]))</f>
        <v>30</v>
      </c>
      <c r="O787" s="5" cm="1">
        <f t="array" ref="O787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787" s="5" cm="1">
        <f t="array" ref="P787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787" s="5" cm="1">
        <f t="array" ref="Q787">MAX(IF((ProjectInfoTable[ProjectName]=ContinuousStatsTable[[#This Row],[ProjectName]]),(ProjectInfoTable[ProjectName]=ContinuousStatsTable[[#This Row],[ProjectName]])*ProjectInfoTable[ConfidenceInterval]))</f>
        <v>0.95</v>
      </c>
      <c r="R7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787" s="5" cm="1">
        <f t="array" ref="S787">MIN(IF((ContinuousStatsTable[GroupByKey]=ContinuousStatsTable[[#This Row],[GroupByKey]]),(ContinuousStatsTable[GroupByKey]=ContinuousStatsTable[[#This Row],[GroupByKey]])*ContinuousStatsTable[Average]))</f>
        <v>4.5869485136026601E-2</v>
      </c>
      <c r="T787" s="5" cm="1">
        <f t="array" ref="T787">MAX(IF((ContinuousStatsTable[GroupByKey]=ContinuousStatsTable[[#This Row],[GroupByKey]]),(ContinuousStatsTable[GroupByKey]=ContinuousStatsTable[[#This Row],[GroupByKey]])*ContinuousStatsTable[Average]))</f>
        <v>4.1119263103435699</v>
      </c>
      <c r="U787" s="5">
        <f>IF((ContinuousStatsTable[[#This Row],[RepsRequested]]&gt;1),ContinuousStatsTable[[#This Row],[HalfWidth]],ContinuousStatsTable[[#This Row],[BatchMeansHalfWidth]])</f>
        <v>0.43252967563899991</v>
      </c>
    </row>
    <row r="788" spans="1:21" x14ac:dyDescent="0.3">
      <c r="A788" t="s">
        <v>66</v>
      </c>
      <c r="B788" t="s">
        <v>68</v>
      </c>
      <c r="C788">
        <v>21</v>
      </c>
      <c r="D788" t="s">
        <v>77</v>
      </c>
      <c r="E788" t="s">
        <v>92</v>
      </c>
      <c r="F788" t="s">
        <v>71</v>
      </c>
      <c r="G788">
        <v>0</v>
      </c>
      <c r="H788">
        <v>2E+20</v>
      </c>
      <c r="I788">
        <v>0</v>
      </c>
      <c r="J788">
        <v>0</v>
      </c>
      <c r="K788">
        <v>0</v>
      </c>
      <c r="L788">
        <v>0</v>
      </c>
      <c r="M788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788" s="5" cm="1">
        <f t="array" ref="N788">MAX(IF((ProjectInfoTable[ProjectName]=ContinuousStatsTable[[#This Row],[ProjectName]]),(ProjectInfoTable[ProjectName]=ContinuousStatsTable[[#This Row],[ProjectName]])*ProjectInfoTable[NumberOfReplications]))</f>
        <v>30</v>
      </c>
      <c r="O788" s="5" cm="1">
        <f t="array" ref="O788">IFERROR(AVERAGE(IF((ContinuousStatsTable[GroupByKey]=ContinuousStatsTable[[#This Row],[GroupByKey]]),(ContinuousStatsTable[GroupByKey]=ContinuousStatsTable[[#This Row],[GroupByKey]])*ContinuousStatsTable[Average])),0)</f>
        <v>0</v>
      </c>
      <c r="P788" s="5" cm="1">
        <f t="array" ref="P788">IFERROR(_xlfn.STDEV.S(IF((ContinuousStatsTable[GroupByKey]=ContinuousStatsTable[[#This Row],[GroupByKey]]),(ContinuousStatsTable[GroupByKey]=ContinuousStatsTable[[#This Row],[GroupByKey]])*ContinuousStatsTable[Average])),0)</f>
        <v>0</v>
      </c>
      <c r="Q788" s="5" cm="1">
        <f t="array" ref="Q788">MAX(IF((ProjectInfoTable[ProjectName]=ContinuousStatsTable[[#This Row],[ProjectName]]),(ProjectInfoTable[ProjectName]=ContinuousStatsTable[[#This Row],[ProjectName]])*ProjectInfoTable[ConfidenceInterval]))</f>
        <v>0.95</v>
      </c>
      <c r="R7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8" s="5" cm="1">
        <f t="array" ref="S788">MIN(IF((ContinuousStatsTable[GroupByKey]=ContinuousStatsTable[[#This Row],[GroupByKey]]),(ContinuousStatsTable[GroupByKey]=ContinuousStatsTable[[#This Row],[GroupByKey]])*ContinuousStatsTable[Average]))</f>
        <v>0</v>
      </c>
      <c r="T788" s="5" cm="1">
        <f t="array" ref="T788">MAX(IF((ContinuousStatsTable[GroupByKey]=ContinuousStatsTable[[#This Row],[GroupByKey]]),(ContinuousStatsTable[GroupByKey]=ContinuousStatsTable[[#This Row],[GroupByKey]])*ContinuousStatsTable[Average]))</f>
        <v>0</v>
      </c>
      <c r="U788" s="5">
        <f>IF((ContinuousStatsTable[[#This Row],[RepsRequested]]&gt;1),ContinuousStatsTable[[#This Row],[HalfWidth]],ContinuousStatsTable[[#This Row],[BatchMeansHalfWidth]])</f>
        <v>0</v>
      </c>
    </row>
    <row r="789" spans="1:21" x14ac:dyDescent="0.3">
      <c r="A789" t="s">
        <v>66</v>
      </c>
      <c r="B789" t="s">
        <v>68</v>
      </c>
      <c r="C789">
        <v>21</v>
      </c>
      <c r="D789" t="s">
        <v>78</v>
      </c>
      <c r="E789" t="s">
        <v>92</v>
      </c>
      <c r="F789" t="s">
        <v>71</v>
      </c>
      <c r="G789">
        <v>0</v>
      </c>
      <c r="H789">
        <v>2E+20</v>
      </c>
      <c r="I789">
        <v>0</v>
      </c>
      <c r="J789">
        <v>0</v>
      </c>
      <c r="K789">
        <v>0</v>
      </c>
      <c r="L789">
        <v>0</v>
      </c>
      <c r="M789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789" s="5" cm="1">
        <f t="array" ref="N789">MAX(IF((ProjectInfoTable[ProjectName]=ContinuousStatsTable[[#This Row],[ProjectName]]),(ProjectInfoTable[ProjectName]=ContinuousStatsTable[[#This Row],[ProjectName]])*ProjectInfoTable[NumberOfReplications]))</f>
        <v>30</v>
      </c>
      <c r="O789" s="5" cm="1">
        <f t="array" ref="O789">IFERROR(AVERAGE(IF((ContinuousStatsTable[GroupByKey]=ContinuousStatsTable[[#This Row],[GroupByKey]]),(ContinuousStatsTable[GroupByKey]=ContinuousStatsTable[[#This Row],[GroupByKey]])*ContinuousStatsTable[Average])),0)</f>
        <v>0</v>
      </c>
      <c r="P789" s="5" cm="1">
        <f t="array" ref="P789">IFERROR(_xlfn.STDEV.S(IF((ContinuousStatsTable[GroupByKey]=ContinuousStatsTable[[#This Row],[GroupByKey]]),(ContinuousStatsTable[GroupByKey]=ContinuousStatsTable[[#This Row],[GroupByKey]])*ContinuousStatsTable[Average])),0)</f>
        <v>0</v>
      </c>
      <c r="Q789" s="5" cm="1">
        <f t="array" ref="Q789">MAX(IF((ProjectInfoTable[ProjectName]=ContinuousStatsTable[[#This Row],[ProjectName]]),(ProjectInfoTable[ProjectName]=ContinuousStatsTable[[#This Row],[ProjectName]])*ProjectInfoTable[ConfidenceInterval]))</f>
        <v>0.95</v>
      </c>
      <c r="R7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9" s="5" cm="1">
        <f t="array" ref="S789">MIN(IF((ContinuousStatsTable[GroupByKey]=ContinuousStatsTable[[#This Row],[GroupByKey]]),(ContinuousStatsTable[GroupByKey]=ContinuousStatsTable[[#This Row],[GroupByKey]])*ContinuousStatsTable[Average]))</f>
        <v>0</v>
      </c>
      <c r="T789" s="5" cm="1">
        <f t="array" ref="T789">MAX(IF((ContinuousStatsTable[GroupByKey]=ContinuousStatsTable[[#This Row],[GroupByKey]]),(ContinuousStatsTable[GroupByKey]=ContinuousStatsTable[[#This Row],[GroupByKey]])*ContinuousStatsTable[Average]))</f>
        <v>0</v>
      </c>
      <c r="U789" s="5">
        <f>IF((ContinuousStatsTable[[#This Row],[RepsRequested]]&gt;1),ContinuousStatsTable[[#This Row],[HalfWidth]],ContinuousStatsTable[[#This Row],[BatchMeansHalfWidth]])</f>
        <v>0</v>
      </c>
    </row>
    <row r="790" spans="1:21" x14ac:dyDescent="0.3">
      <c r="A790" t="s">
        <v>66</v>
      </c>
      <c r="B790" t="s">
        <v>68</v>
      </c>
      <c r="C790">
        <v>21</v>
      </c>
      <c r="D790" t="s">
        <v>93</v>
      </c>
      <c r="E790" t="s">
        <v>94</v>
      </c>
      <c r="F790" t="s">
        <v>95</v>
      </c>
      <c r="G790">
        <v>3.9989315384591002E-2</v>
      </c>
      <c r="H790">
        <v>2E+20</v>
      </c>
      <c r="I790">
        <v>0</v>
      </c>
      <c r="J790">
        <v>0.2</v>
      </c>
      <c r="K790">
        <v>0</v>
      </c>
      <c r="L790">
        <v>0</v>
      </c>
      <c r="M790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790" s="5" cm="1">
        <f t="array" ref="N790">MAX(IF((ProjectInfoTable[ProjectName]=ContinuousStatsTable[[#This Row],[ProjectName]]),(ProjectInfoTable[ProjectName]=ContinuousStatsTable[[#This Row],[ProjectName]])*ProjectInfoTable[NumberOfReplications]))</f>
        <v>30</v>
      </c>
      <c r="O790" s="5" cm="1">
        <f t="array" ref="O790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790" s="5" cm="1">
        <f t="array" ref="P790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790" s="5" cm="1">
        <f t="array" ref="Q790">MAX(IF((ProjectInfoTable[ProjectName]=ContinuousStatsTable[[#This Row],[ProjectName]]),(ProjectInfoTable[ProjectName]=ContinuousStatsTable[[#This Row],[ProjectName]])*ProjectInfoTable[ConfidenceInterval]))</f>
        <v>0.95</v>
      </c>
      <c r="R7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790" s="5" cm="1">
        <f t="array" ref="S790">MIN(IF((ContinuousStatsTable[GroupByKey]=ContinuousStatsTable[[#This Row],[GroupByKey]]),(ContinuousStatsTable[GroupByKey]=ContinuousStatsTable[[#This Row],[GroupByKey]])*ContinuousStatsTable[Average]))</f>
        <v>2.3718114155243601E-2</v>
      </c>
      <c r="T790" s="5" cm="1">
        <f t="array" ref="T790">MAX(IF((ContinuousStatsTable[GroupByKey]=ContinuousStatsTable[[#This Row],[GroupByKey]]),(ContinuousStatsTable[GroupByKey]=ContinuousStatsTable[[#This Row],[GroupByKey]])*ContinuousStatsTable[Average]))</f>
        <v>4.8583931724403701E-2</v>
      </c>
      <c r="U790" s="5">
        <f>IF((ContinuousStatsTable[[#This Row],[RepsRequested]]&gt;1),ContinuousStatsTable[[#This Row],[HalfWidth]],ContinuousStatsTable[[#This Row],[BatchMeansHalfWidth]])</f>
        <v>2.4839579632442289E-3</v>
      </c>
    </row>
    <row r="791" spans="1:21" x14ac:dyDescent="0.3">
      <c r="A791" t="s">
        <v>66</v>
      </c>
      <c r="B791" t="s">
        <v>68</v>
      </c>
      <c r="C791">
        <v>21</v>
      </c>
      <c r="D791" t="s">
        <v>93</v>
      </c>
      <c r="E791" t="s">
        <v>96</v>
      </c>
      <c r="F791" t="s">
        <v>95</v>
      </c>
      <c r="G791">
        <v>0.79978630769181902</v>
      </c>
      <c r="H791">
        <v>2E+20</v>
      </c>
      <c r="I791">
        <v>0</v>
      </c>
      <c r="J791">
        <v>4</v>
      </c>
      <c r="K791">
        <v>0</v>
      </c>
      <c r="L791">
        <v>0</v>
      </c>
      <c r="M791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791" s="5" cm="1">
        <f t="array" ref="N791">MAX(IF((ProjectInfoTable[ProjectName]=ContinuousStatsTable[[#This Row],[ProjectName]]),(ProjectInfoTable[ProjectName]=ContinuousStatsTable[[#This Row],[ProjectName]])*ProjectInfoTable[NumberOfReplications]))</f>
        <v>30</v>
      </c>
      <c r="O791" s="5" cm="1">
        <f t="array" ref="O791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791" s="5" cm="1">
        <f t="array" ref="P791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791" s="5" cm="1">
        <f t="array" ref="Q791">MAX(IF((ProjectInfoTable[ProjectName]=ContinuousStatsTable[[#This Row],[ProjectName]]),(ProjectInfoTable[ProjectName]=ContinuousStatsTable[[#This Row],[ProjectName]])*ProjectInfoTable[ConfidenceInterval]))</f>
        <v>0.95</v>
      </c>
      <c r="R7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791" s="5" cm="1">
        <f t="array" ref="S791">MIN(IF((ContinuousStatsTable[GroupByKey]=ContinuousStatsTable[[#This Row],[GroupByKey]]),(ContinuousStatsTable[GroupByKey]=ContinuousStatsTable[[#This Row],[GroupByKey]])*ContinuousStatsTable[Average]))</f>
        <v>0.47436228310487299</v>
      </c>
      <c r="T791" s="5" cm="1">
        <f t="array" ref="T791">MAX(IF((ContinuousStatsTable[GroupByKey]=ContinuousStatsTable[[#This Row],[GroupByKey]]),(ContinuousStatsTable[GroupByKey]=ContinuousStatsTable[[#This Row],[GroupByKey]])*ContinuousStatsTable[Average]))</f>
        <v>0.97167863448807401</v>
      </c>
      <c r="U791" s="5">
        <f>IF((ContinuousStatsTable[[#This Row],[RepsRequested]]&gt;1),ContinuousStatsTable[[#This Row],[HalfWidth]],ContinuousStatsTable[[#This Row],[BatchMeansHalfWidth]])</f>
        <v>4.9679159264885281E-2</v>
      </c>
    </row>
    <row r="792" spans="1:21" x14ac:dyDescent="0.3">
      <c r="A792" t="s">
        <v>66</v>
      </c>
      <c r="B792" t="s">
        <v>68</v>
      </c>
      <c r="C792">
        <v>21</v>
      </c>
      <c r="D792" t="s">
        <v>93</v>
      </c>
      <c r="E792" t="s">
        <v>97</v>
      </c>
      <c r="F792" t="s">
        <v>95</v>
      </c>
      <c r="G792">
        <v>20</v>
      </c>
      <c r="H792">
        <v>2E+20</v>
      </c>
      <c r="I792">
        <v>20</v>
      </c>
      <c r="J792">
        <v>20</v>
      </c>
      <c r="K792">
        <v>20</v>
      </c>
      <c r="L792">
        <v>0</v>
      </c>
      <c r="M792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792" s="5" cm="1">
        <f t="array" ref="N792">MAX(IF((ProjectInfoTable[ProjectName]=ContinuousStatsTable[[#This Row],[ProjectName]]),(ProjectInfoTable[ProjectName]=ContinuousStatsTable[[#This Row],[ProjectName]])*ProjectInfoTable[NumberOfReplications]))</f>
        <v>30</v>
      </c>
      <c r="O792" s="5" cm="1">
        <f t="array" ref="O792">IFERROR(AVERAGE(IF((ContinuousStatsTable[GroupByKey]=ContinuousStatsTable[[#This Row],[GroupByKey]]),(ContinuousStatsTable[GroupByKey]=ContinuousStatsTable[[#This Row],[GroupByKey]])*ContinuousStatsTable[Average])),0)</f>
        <v>20</v>
      </c>
      <c r="P792" s="5" cm="1">
        <f t="array" ref="P792">IFERROR(_xlfn.STDEV.S(IF((ContinuousStatsTable[GroupByKey]=ContinuousStatsTable[[#This Row],[GroupByKey]]),(ContinuousStatsTable[GroupByKey]=ContinuousStatsTable[[#This Row],[GroupByKey]])*ContinuousStatsTable[Average])),0)</f>
        <v>0</v>
      </c>
      <c r="Q792" s="5" cm="1">
        <f t="array" ref="Q792">MAX(IF((ProjectInfoTable[ProjectName]=ContinuousStatsTable[[#This Row],[ProjectName]]),(ProjectInfoTable[ProjectName]=ContinuousStatsTable[[#This Row],[ProjectName]])*ProjectInfoTable[ConfidenceInterval]))</f>
        <v>0.95</v>
      </c>
      <c r="R7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2" s="5" cm="1">
        <f t="array" ref="S792">MIN(IF((ContinuousStatsTable[GroupByKey]=ContinuousStatsTable[[#This Row],[GroupByKey]]),(ContinuousStatsTable[GroupByKey]=ContinuousStatsTable[[#This Row],[GroupByKey]])*ContinuousStatsTable[Average]))</f>
        <v>20</v>
      </c>
      <c r="T792" s="5" cm="1">
        <f t="array" ref="T792">MAX(IF((ContinuousStatsTable[GroupByKey]=ContinuousStatsTable[[#This Row],[GroupByKey]]),(ContinuousStatsTable[GroupByKey]=ContinuousStatsTable[[#This Row],[GroupByKey]])*ContinuousStatsTable[Average]))</f>
        <v>20</v>
      </c>
      <c r="U792" s="5">
        <f>IF((ContinuousStatsTable[[#This Row],[RepsRequested]]&gt;1),ContinuousStatsTable[[#This Row],[HalfWidth]],ContinuousStatsTable[[#This Row],[BatchMeansHalfWidth]])</f>
        <v>0</v>
      </c>
    </row>
    <row r="793" spans="1:21" x14ac:dyDescent="0.3">
      <c r="A793" t="s">
        <v>66</v>
      </c>
      <c r="B793" t="s">
        <v>68</v>
      </c>
      <c r="C793">
        <v>21</v>
      </c>
      <c r="D793" t="s">
        <v>98</v>
      </c>
      <c r="E793" t="s">
        <v>94</v>
      </c>
      <c r="F793" t="s">
        <v>95</v>
      </c>
      <c r="G793">
        <v>0.24792793572589999</v>
      </c>
      <c r="H793">
        <v>2E+20</v>
      </c>
      <c r="I793">
        <v>0</v>
      </c>
      <c r="J793">
        <v>0.6</v>
      </c>
      <c r="K793">
        <v>0.4</v>
      </c>
      <c r="L793">
        <v>0</v>
      </c>
      <c r="M793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793" s="5" cm="1">
        <f t="array" ref="N793">MAX(IF((ProjectInfoTable[ProjectName]=ContinuousStatsTable[[#This Row],[ProjectName]]),(ProjectInfoTable[ProjectName]=ContinuousStatsTable[[#This Row],[ProjectName]])*ProjectInfoTable[NumberOfReplications]))</f>
        <v>30</v>
      </c>
      <c r="O793" s="5" cm="1">
        <f t="array" ref="O793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793" s="5" cm="1">
        <f t="array" ref="P793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793" s="5" cm="1">
        <f t="array" ref="Q793">MAX(IF((ProjectInfoTable[ProjectName]=ContinuousStatsTable[[#This Row],[ProjectName]]),(ProjectInfoTable[ProjectName]=ContinuousStatsTable[[#This Row],[ProjectName]])*ProjectInfoTable[ConfidenceInterval]))</f>
        <v>0.95</v>
      </c>
      <c r="R7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793" s="5" cm="1">
        <f t="array" ref="S793">MIN(IF((ContinuousStatsTable[GroupByKey]=ContinuousStatsTable[[#This Row],[GroupByKey]]),(ContinuousStatsTable[GroupByKey]=ContinuousStatsTable[[#This Row],[GroupByKey]])*ContinuousStatsTable[Average]))</f>
        <v>0.20767736113278101</v>
      </c>
      <c r="T793" s="5" cm="1">
        <f t="array" ref="T793">MAX(IF((ContinuousStatsTable[GroupByKey]=ContinuousStatsTable[[#This Row],[GroupByKey]]),(ContinuousStatsTable[GroupByKey]=ContinuousStatsTable[[#This Row],[GroupByKey]])*ContinuousStatsTable[Average]))</f>
        <v>0.28501162927715501</v>
      </c>
      <c r="U793" s="5">
        <f>IF((ContinuousStatsTable[[#This Row],[RepsRequested]]&gt;1),ContinuousStatsTable[[#This Row],[HalfWidth]],ContinuousStatsTable[[#This Row],[BatchMeansHalfWidth]])</f>
        <v>8.7273384073404715E-3</v>
      </c>
    </row>
    <row r="794" spans="1:21" x14ac:dyDescent="0.3">
      <c r="A794" t="s">
        <v>66</v>
      </c>
      <c r="B794" t="s">
        <v>68</v>
      </c>
      <c r="C794">
        <v>21</v>
      </c>
      <c r="D794" t="s">
        <v>98</v>
      </c>
      <c r="E794" t="s">
        <v>96</v>
      </c>
      <c r="F794" t="s">
        <v>95</v>
      </c>
      <c r="G794">
        <v>4.9585587145180003</v>
      </c>
      <c r="H794">
        <v>2E+20</v>
      </c>
      <c r="I794">
        <v>0</v>
      </c>
      <c r="J794">
        <v>12</v>
      </c>
      <c r="K794">
        <v>8</v>
      </c>
      <c r="L794">
        <v>0</v>
      </c>
      <c r="M794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794" s="5" cm="1">
        <f t="array" ref="N794">MAX(IF((ProjectInfoTable[ProjectName]=ContinuousStatsTable[[#This Row],[ProjectName]]),(ProjectInfoTable[ProjectName]=ContinuousStatsTable[[#This Row],[ProjectName]])*ProjectInfoTable[NumberOfReplications]))</f>
        <v>30</v>
      </c>
      <c r="O794" s="5" cm="1">
        <f t="array" ref="O794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794" s="5" cm="1">
        <f t="array" ref="P794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794" s="5" cm="1">
        <f t="array" ref="Q794">MAX(IF((ProjectInfoTable[ProjectName]=ContinuousStatsTable[[#This Row],[ProjectName]]),(ProjectInfoTable[ProjectName]=ContinuousStatsTable[[#This Row],[ProjectName]])*ProjectInfoTable[ConfidenceInterval]))</f>
        <v>0.95</v>
      </c>
      <c r="R7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794" s="5" cm="1">
        <f t="array" ref="S794">MIN(IF((ContinuousStatsTable[GroupByKey]=ContinuousStatsTable[[#This Row],[GroupByKey]]),(ContinuousStatsTable[GroupByKey]=ContinuousStatsTable[[#This Row],[GroupByKey]])*ContinuousStatsTable[Average]))</f>
        <v>4.15354722265561</v>
      </c>
      <c r="T794" s="5" cm="1">
        <f t="array" ref="T794">MAX(IF((ContinuousStatsTable[GroupByKey]=ContinuousStatsTable[[#This Row],[GroupByKey]]),(ContinuousStatsTable[GroupByKey]=ContinuousStatsTable[[#This Row],[GroupByKey]])*ContinuousStatsTable[Average]))</f>
        <v>5.7002325855431097</v>
      </c>
      <c r="U794" s="5">
        <f>IF((ContinuousStatsTable[[#This Row],[RepsRequested]]&gt;1),ContinuousStatsTable[[#This Row],[HalfWidth]],ContinuousStatsTable[[#This Row],[BatchMeansHalfWidth]])</f>
        <v>0.17454676814681078</v>
      </c>
    </row>
    <row r="795" spans="1:21" x14ac:dyDescent="0.3">
      <c r="A795" t="s">
        <v>66</v>
      </c>
      <c r="B795" t="s">
        <v>68</v>
      </c>
      <c r="C795">
        <v>21</v>
      </c>
      <c r="D795" t="s">
        <v>98</v>
      </c>
      <c r="E795" t="s">
        <v>97</v>
      </c>
      <c r="F795" t="s">
        <v>95</v>
      </c>
      <c r="G795">
        <v>20</v>
      </c>
      <c r="H795">
        <v>2E+20</v>
      </c>
      <c r="I795">
        <v>20</v>
      </c>
      <c r="J795">
        <v>20</v>
      </c>
      <c r="K795">
        <v>20</v>
      </c>
      <c r="L795">
        <v>0</v>
      </c>
      <c r="M795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795" s="5" cm="1">
        <f t="array" ref="N795">MAX(IF((ProjectInfoTable[ProjectName]=ContinuousStatsTable[[#This Row],[ProjectName]]),(ProjectInfoTable[ProjectName]=ContinuousStatsTable[[#This Row],[ProjectName]])*ProjectInfoTable[NumberOfReplications]))</f>
        <v>30</v>
      </c>
      <c r="O795" s="5" cm="1">
        <f t="array" ref="O795">IFERROR(AVERAGE(IF((ContinuousStatsTable[GroupByKey]=ContinuousStatsTable[[#This Row],[GroupByKey]]),(ContinuousStatsTable[GroupByKey]=ContinuousStatsTable[[#This Row],[GroupByKey]])*ContinuousStatsTable[Average])),0)</f>
        <v>20</v>
      </c>
      <c r="P795" s="5" cm="1">
        <f t="array" ref="P795">IFERROR(_xlfn.STDEV.S(IF((ContinuousStatsTable[GroupByKey]=ContinuousStatsTable[[#This Row],[GroupByKey]]),(ContinuousStatsTable[GroupByKey]=ContinuousStatsTable[[#This Row],[GroupByKey]])*ContinuousStatsTable[Average])),0)</f>
        <v>0</v>
      </c>
      <c r="Q795" s="5" cm="1">
        <f t="array" ref="Q795">MAX(IF((ProjectInfoTable[ProjectName]=ContinuousStatsTable[[#This Row],[ProjectName]]),(ProjectInfoTable[ProjectName]=ContinuousStatsTable[[#This Row],[ProjectName]])*ProjectInfoTable[ConfidenceInterval]))</f>
        <v>0.95</v>
      </c>
      <c r="R7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5" s="5" cm="1">
        <f t="array" ref="S795">MIN(IF((ContinuousStatsTable[GroupByKey]=ContinuousStatsTable[[#This Row],[GroupByKey]]),(ContinuousStatsTable[GroupByKey]=ContinuousStatsTable[[#This Row],[GroupByKey]])*ContinuousStatsTable[Average]))</f>
        <v>20</v>
      </c>
      <c r="T795" s="5" cm="1">
        <f t="array" ref="T795">MAX(IF((ContinuousStatsTable[GroupByKey]=ContinuousStatsTable[[#This Row],[GroupByKey]]),(ContinuousStatsTable[GroupByKey]=ContinuousStatsTable[[#This Row],[GroupByKey]])*ContinuousStatsTable[Average]))</f>
        <v>20</v>
      </c>
      <c r="U795" s="5">
        <f>IF((ContinuousStatsTable[[#This Row],[RepsRequested]]&gt;1),ContinuousStatsTable[[#This Row],[HalfWidth]],ContinuousStatsTable[[#This Row],[BatchMeansHalfWidth]])</f>
        <v>0</v>
      </c>
    </row>
    <row r="796" spans="1:21" x14ac:dyDescent="0.3">
      <c r="A796" t="s">
        <v>66</v>
      </c>
      <c r="B796" t="s">
        <v>68</v>
      </c>
      <c r="C796">
        <v>21</v>
      </c>
      <c r="D796" t="s">
        <v>99</v>
      </c>
      <c r="E796" t="s">
        <v>94</v>
      </c>
      <c r="F796" t="s">
        <v>95</v>
      </c>
      <c r="G796">
        <v>0.64554233462512001</v>
      </c>
      <c r="H796">
        <v>2E+20</v>
      </c>
      <c r="I796">
        <v>0</v>
      </c>
      <c r="J796">
        <v>1</v>
      </c>
      <c r="K796">
        <v>0.4</v>
      </c>
      <c r="L796">
        <v>0</v>
      </c>
      <c r="M796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796" s="5" cm="1">
        <f t="array" ref="N796">MAX(IF((ProjectInfoTable[ProjectName]=ContinuousStatsTable[[#This Row],[ProjectName]]),(ProjectInfoTable[ProjectName]=ContinuousStatsTable[[#This Row],[ProjectName]])*ProjectInfoTable[NumberOfReplications]))</f>
        <v>30</v>
      </c>
      <c r="O796" s="5" cm="1">
        <f t="array" ref="O796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796" s="5" cm="1">
        <f t="array" ref="P796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796" s="5" cm="1">
        <f t="array" ref="Q796">MAX(IF((ProjectInfoTable[ProjectName]=ContinuousStatsTable[[#This Row],[ProjectName]]),(ProjectInfoTable[ProjectName]=ContinuousStatsTable[[#This Row],[ProjectName]])*ProjectInfoTable[ConfidenceInterval]))</f>
        <v>0.95</v>
      </c>
      <c r="R7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796" s="5" cm="1">
        <f t="array" ref="S796">MIN(IF((ContinuousStatsTable[GroupByKey]=ContinuousStatsTable[[#This Row],[GroupByKey]]),(ContinuousStatsTable[GroupByKey]=ContinuousStatsTable[[#This Row],[GroupByKey]])*ContinuousStatsTable[Average]))</f>
        <v>0.517215348442703</v>
      </c>
      <c r="T796" s="5" cm="1">
        <f t="array" ref="T796">MAX(IF((ContinuousStatsTable[GroupByKey]=ContinuousStatsTable[[#This Row],[GroupByKey]]),(ContinuousStatsTable[GroupByKey]=ContinuousStatsTable[[#This Row],[GroupByKey]])*ContinuousStatsTable[Average]))</f>
        <v>0.67770389283754395</v>
      </c>
      <c r="U796" s="5">
        <f>IF((ContinuousStatsTable[[#This Row],[RepsRequested]]&gt;1),ContinuousStatsTable[[#This Row],[HalfWidth]],ContinuousStatsTable[[#This Row],[BatchMeansHalfWidth]])</f>
        <v>1.8059192833960565E-2</v>
      </c>
    </row>
    <row r="797" spans="1:21" x14ac:dyDescent="0.3">
      <c r="A797" t="s">
        <v>66</v>
      </c>
      <c r="B797" t="s">
        <v>68</v>
      </c>
      <c r="C797">
        <v>21</v>
      </c>
      <c r="D797" t="s">
        <v>99</v>
      </c>
      <c r="E797" t="s">
        <v>96</v>
      </c>
      <c r="F797" t="s">
        <v>95</v>
      </c>
      <c r="G797">
        <v>6.4554233462511901</v>
      </c>
      <c r="H797">
        <v>2E+20</v>
      </c>
      <c r="I797">
        <v>0</v>
      </c>
      <c r="J797">
        <v>10</v>
      </c>
      <c r="K797">
        <v>4</v>
      </c>
      <c r="L797">
        <v>0</v>
      </c>
      <c r="M797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797" s="5" cm="1">
        <f t="array" ref="N797">MAX(IF((ProjectInfoTable[ProjectName]=ContinuousStatsTable[[#This Row],[ProjectName]]),(ProjectInfoTable[ProjectName]=ContinuousStatsTable[[#This Row],[ProjectName]])*ProjectInfoTable[NumberOfReplications]))</f>
        <v>30</v>
      </c>
      <c r="O797" s="5" cm="1">
        <f t="array" ref="O797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797" s="5" cm="1">
        <f t="array" ref="P797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797" s="5" cm="1">
        <f t="array" ref="Q797">MAX(IF((ProjectInfoTable[ProjectName]=ContinuousStatsTable[[#This Row],[ProjectName]]),(ProjectInfoTable[ProjectName]=ContinuousStatsTable[[#This Row],[ProjectName]])*ProjectInfoTable[ConfidenceInterval]))</f>
        <v>0.95</v>
      </c>
      <c r="R7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797" s="5" cm="1">
        <f t="array" ref="S797">MIN(IF((ContinuousStatsTable[GroupByKey]=ContinuousStatsTable[[#This Row],[GroupByKey]]),(ContinuousStatsTable[GroupByKey]=ContinuousStatsTable[[#This Row],[GroupByKey]])*ContinuousStatsTable[Average]))</f>
        <v>5.1721534844270298</v>
      </c>
      <c r="T797" s="5" cm="1">
        <f t="array" ref="T797">MAX(IF((ContinuousStatsTable[GroupByKey]=ContinuousStatsTable[[#This Row],[GroupByKey]]),(ContinuousStatsTable[GroupByKey]=ContinuousStatsTable[[#This Row],[GroupByKey]])*ContinuousStatsTable[Average]))</f>
        <v>6.7770389283754398</v>
      </c>
      <c r="U797" s="5">
        <f>IF((ContinuousStatsTable[[#This Row],[RepsRequested]]&gt;1),ContinuousStatsTable[[#This Row],[HalfWidth]],ContinuousStatsTable[[#This Row],[BatchMeansHalfWidth]])</f>
        <v>0.18059192833960558</v>
      </c>
    </row>
    <row r="798" spans="1:21" x14ac:dyDescent="0.3">
      <c r="A798" t="s">
        <v>66</v>
      </c>
      <c r="B798" t="s">
        <v>68</v>
      </c>
      <c r="C798">
        <v>21</v>
      </c>
      <c r="D798" t="s">
        <v>99</v>
      </c>
      <c r="E798" t="s">
        <v>97</v>
      </c>
      <c r="F798" t="s">
        <v>95</v>
      </c>
      <c r="G798">
        <v>10</v>
      </c>
      <c r="H798">
        <v>2E+20</v>
      </c>
      <c r="I798">
        <v>10</v>
      </c>
      <c r="J798">
        <v>10</v>
      </c>
      <c r="K798">
        <v>10</v>
      </c>
      <c r="L798">
        <v>0</v>
      </c>
      <c r="M798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798" s="5" cm="1">
        <f t="array" ref="N798">MAX(IF((ProjectInfoTable[ProjectName]=ContinuousStatsTable[[#This Row],[ProjectName]]),(ProjectInfoTable[ProjectName]=ContinuousStatsTable[[#This Row],[ProjectName]])*ProjectInfoTable[NumberOfReplications]))</f>
        <v>30</v>
      </c>
      <c r="O798" s="5" cm="1">
        <f t="array" ref="O798">IFERROR(AVERAGE(IF((ContinuousStatsTable[GroupByKey]=ContinuousStatsTable[[#This Row],[GroupByKey]]),(ContinuousStatsTable[GroupByKey]=ContinuousStatsTable[[#This Row],[GroupByKey]])*ContinuousStatsTable[Average])),0)</f>
        <v>10</v>
      </c>
      <c r="P798" s="5" cm="1">
        <f t="array" ref="P798">IFERROR(_xlfn.STDEV.S(IF((ContinuousStatsTable[GroupByKey]=ContinuousStatsTable[[#This Row],[GroupByKey]]),(ContinuousStatsTable[GroupByKey]=ContinuousStatsTable[[#This Row],[GroupByKey]])*ContinuousStatsTable[Average])),0)</f>
        <v>0</v>
      </c>
      <c r="Q798" s="5" cm="1">
        <f t="array" ref="Q798">MAX(IF((ProjectInfoTable[ProjectName]=ContinuousStatsTable[[#This Row],[ProjectName]]),(ProjectInfoTable[ProjectName]=ContinuousStatsTable[[#This Row],[ProjectName]])*ProjectInfoTable[ConfidenceInterval]))</f>
        <v>0.95</v>
      </c>
      <c r="R7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8" s="5" cm="1">
        <f t="array" ref="S798">MIN(IF((ContinuousStatsTable[GroupByKey]=ContinuousStatsTable[[#This Row],[GroupByKey]]),(ContinuousStatsTable[GroupByKey]=ContinuousStatsTable[[#This Row],[GroupByKey]])*ContinuousStatsTable[Average]))</f>
        <v>10</v>
      </c>
      <c r="T798" s="5" cm="1">
        <f t="array" ref="T798">MAX(IF((ContinuousStatsTable[GroupByKey]=ContinuousStatsTable[[#This Row],[GroupByKey]]),(ContinuousStatsTable[GroupByKey]=ContinuousStatsTable[[#This Row],[GroupByKey]])*ContinuousStatsTable[Average]))</f>
        <v>10</v>
      </c>
      <c r="U798" s="5">
        <f>IF((ContinuousStatsTable[[#This Row],[RepsRequested]]&gt;1),ContinuousStatsTable[[#This Row],[HalfWidth]],ContinuousStatsTable[[#This Row],[BatchMeansHalfWidth]])</f>
        <v>0</v>
      </c>
    </row>
    <row r="799" spans="1:21" x14ac:dyDescent="0.3">
      <c r="A799" t="s">
        <v>66</v>
      </c>
      <c r="B799" t="s">
        <v>68</v>
      </c>
      <c r="C799">
        <v>21</v>
      </c>
      <c r="D799" t="s">
        <v>100</v>
      </c>
      <c r="E799" t="s">
        <v>94</v>
      </c>
      <c r="F799" t="s">
        <v>95</v>
      </c>
      <c r="G799">
        <v>0.18740662422347301</v>
      </c>
      <c r="H799">
        <v>2E+20</v>
      </c>
      <c r="I799">
        <v>0</v>
      </c>
      <c r="J799">
        <v>0.38</v>
      </c>
      <c r="K799">
        <v>0.24</v>
      </c>
      <c r="L799">
        <v>0</v>
      </c>
      <c r="M799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799" s="5" cm="1">
        <f t="array" ref="N799">MAX(IF((ProjectInfoTable[ProjectName]=ContinuousStatsTable[[#This Row],[ProjectName]]),(ProjectInfoTable[ProjectName]=ContinuousStatsTable[[#This Row],[ProjectName]])*ProjectInfoTable[NumberOfReplications]))</f>
        <v>30</v>
      </c>
      <c r="O799" s="5" cm="1">
        <f t="array" ref="O799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799" s="5" cm="1">
        <f t="array" ref="P799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799" s="5" cm="1">
        <f t="array" ref="Q799">MAX(IF((ProjectInfoTable[ProjectName]=ContinuousStatsTable[[#This Row],[ProjectName]]),(ProjectInfoTable[ProjectName]=ContinuousStatsTable[[#This Row],[ProjectName]])*ProjectInfoTable[ConfidenceInterval]))</f>
        <v>0.95</v>
      </c>
      <c r="R7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799" s="5" cm="1">
        <f t="array" ref="S799">MIN(IF((ContinuousStatsTable[GroupByKey]=ContinuousStatsTable[[#This Row],[GroupByKey]]),(ContinuousStatsTable[GroupByKey]=ContinuousStatsTable[[#This Row],[GroupByKey]])*ContinuousStatsTable[Average]))</f>
        <v>0.14484829778125299</v>
      </c>
      <c r="T799" s="5" cm="1">
        <f t="array" ref="T799">MAX(IF((ContinuousStatsTable[GroupByKey]=ContinuousStatsTable[[#This Row],[GroupByKey]]),(ContinuousStatsTable[GroupByKey]=ContinuousStatsTable[[#This Row],[GroupByKey]])*ContinuousStatsTable[Average]))</f>
        <v>0.19609322315655101</v>
      </c>
      <c r="U799" s="5">
        <f>IF((ContinuousStatsTable[[#This Row],[RepsRequested]]&gt;1),ContinuousStatsTable[[#This Row],[HalfWidth]],ContinuousStatsTable[[#This Row],[BatchMeansHalfWidth]])</f>
        <v>4.9714113556225048E-3</v>
      </c>
    </row>
    <row r="800" spans="1:21" x14ac:dyDescent="0.3">
      <c r="A800" t="s">
        <v>66</v>
      </c>
      <c r="B800" t="s">
        <v>68</v>
      </c>
      <c r="C800">
        <v>21</v>
      </c>
      <c r="D800" t="s">
        <v>100</v>
      </c>
      <c r="E800" t="s">
        <v>96</v>
      </c>
      <c r="F800" t="s">
        <v>95</v>
      </c>
      <c r="G800">
        <v>9.3703312111736405</v>
      </c>
      <c r="H800">
        <v>2E+20</v>
      </c>
      <c r="I800">
        <v>0</v>
      </c>
      <c r="J800">
        <v>19</v>
      </c>
      <c r="K800">
        <v>12</v>
      </c>
      <c r="L800">
        <v>0</v>
      </c>
      <c r="M800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800" s="5" cm="1">
        <f t="array" ref="N800">MAX(IF((ProjectInfoTable[ProjectName]=ContinuousStatsTable[[#This Row],[ProjectName]]),(ProjectInfoTable[ProjectName]=ContinuousStatsTable[[#This Row],[ProjectName]])*ProjectInfoTable[NumberOfReplications]))</f>
        <v>30</v>
      </c>
      <c r="O800" s="5" cm="1">
        <f t="array" ref="O800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800" s="5" cm="1">
        <f t="array" ref="P800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800" s="5" cm="1">
        <f t="array" ref="Q800">MAX(IF((ProjectInfoTable[ProjectName]=ContinuousStatsTable[[#This Row],[ProjectName]]),(ProjectInfoTable[ProjectName]=ContinuousStatsTable[[#This Row],[ProjectName]])*ProjectInfoTable[ConfidenceInterval]))</f>
        <v>0.95</v>
      </c>
      <c r="R8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800" s="5" cm="1">
        <f t="array" ref="S800">MIN(IF((ContinuousStatsTable[GroupByKey]=ContinuousStatsTable[[#This Row],[GroupByKey]]),(ContinuousStatsTable[GroupByKey]=ContinuousStatsTable[[#This Row],[GroupByKey]])*ContinuousStatsTable[Average]))</f>
        <v>7.2424148890626396</v>
      </c>
      <c r="T800" s="5" cm="1">
        <f t="array" ref="T800">MAX(IF((ContinuousStatsTable[GroupByKey]=ContinuousStatsTable[[#This Row],[GroupByKey]]),(ContinuousStatsTable[GroupByKey]=ContinuousStatsTable[[#This Row],[GroupByKey]])*ContinuousStatsTable[Average]))</f>
        <v>9.8046611578275602</v>
      </c>
      <c r="U800" s="5">
        <f>IF((ContinuousStatsTable[[#This Row],[RepsRequested]]&gt;1),ContinuousStatsTable[[#This Row],[HalfWidth]],ContinuousStatsTable[[#This Row],[BatchMeansHalfWidth]])</f>
        <v>0.24857056778112663</v>
      </c>
    </row>
    <row r="801" spans="1:21" x14ac:dyDescent="0.3">
      <c r="A801" t="s">
        <v>66</v>
      </c>
      <c r="B801" t="s">
        <v>68</v>
      </c>
      <c r="C801">
        <v>21</v>
      </c>
      <c r="D801" t="s">
        <v>100</v>
      </c>
      <c r="E801" t="s">
        <v>97</v>
      </c>
      <c r="F801" t="s">
        <v>95</v>
      </c>
      <c r="G801">
        <v>50</v>
      </c>
      <c r="H801">
        <v>2E+20</v>
      </c>
      <c r="I801">
        <v>50</v>
      </c>
      <c r="J801">
        <v>50</v>
      </c>
      <c r="K801">
        <v>50</v>
      </c>
      <c r="L801">
        <v>0</v>
      </c>
      <c r="M801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801" s="5" cm="1">
        <f t="array" ref="N801">MAX(IF((ProjectInfoTable[ProjectName]=ContinuousStatsTable[[#This Row],[ProjectName]]),(ProjectInfoTable[ProjectName]=ContinuousStatsTable[[#This Row],[ProjectName]])*ProjectInfoTable[NumberOfReplications]))</f>
        <v>30</v>
      </c>
      <c r="O801" s="5" cm="1">
        <f t="array" ref="O801">IFERROR(AVERAGE(IF((ContinuousStatsTable[GroupByKey]=ContinuousStatsTable[[#This Row],[GroupByKey]]),(ContinuousStatsTable[GroupByKey]=ContinuousStatsTable[[#This Row],[GroupByKey]])*ContinuousStatsTable[Average])),0)</f>
        <v>50</v>
      </c>
      <c r="P801" s="5" cm="1">
        <f t="array" ref="P801">IFERROR(_xlfn.STDEV.S(IF((ContinuousStatsTable[GroupByKey]=ContinuousStatsTable[[#This Row],[GroupByKey]]),(ContinuousStatsTable[GroupByKey]=ContinuousStatsTable[[#This Row],[GroupByKey]])*ContinuousStatsTable[Average])),0)</f>
        <v>0</v>
      </c>
      <c r="Q801" s="5" cm="1">
        <f t="array" ref="Q801">MAX(IF((ProjectInfoTable[ProjectName]=ContinuousStatsTable[[#This Row],[ProjectName]]),(ProjectInfoTable[ProjectName]=ContinuousStatsTable[[#This Row],[ProjectName]])*ProjectInfoTable[ConfidenceInterval]))</f>
        <v>0.95</v>
      </c>
      <c r="R8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1" s="5" cm="1">
        <f t="array" ref="S801">MIN(IF((ContinuousStatsTable[GroupByKey]=ContinuousStatsTable[[#This Row],[GroupByKey]]),(ContinuousStatsTable[GroupByKey]=ContinuousStatsTable[[#This Row],[GroupByKey]])*ContinuousStatsTable[Average]))</f>
        <v>50</v>
      </c>
      <c r="T801" s="5" cm="1">
        <f t="array" ref="T801">MAX(IF((ContinuousStatsTable[GroupByKey]=ContinuousStatsTable[[#This Row],[GroupByKey]]),(ContinuousStatsTable[GroupByKey]=ContinuousStatsTable[[#This Row],[GroupByKey]])*ContinuousStatsTable[Average]))</f>
        <v>50</v>
      </c>
      <c r="U801" s="5">
        <f>IF((ContinuousStatsTable[[#This Row],[RepsRequested]]&gt;1),ContinuousStatsTable[[#This Row],[HalfWidth]],ContinuousStatsTable[[#This Row],[BatchMeansHalfWidth]])</f>
        <v>0</v>
      </c>
    </row>
    <row r="802" spans="1:21" x14ac:dyDescent="0.3">
      <c r="A802" t="s">
        <v>66</v>
      </c>
      <c r="B802" t="s">
        <v>68</v>
      </c>
      <c r="C802">
        <v>21</v>
      </c>
      <c r="D802" t="s">
        <v>101</v>
      </c>
      <c r="E802" t="s">
        <v>94</v>
      </c>
      <c r="F802" t="s">
        <v>95</v>
      </c>
      <c r="G802">
        <v>0.10701158519601001</v>
      </c>
      <c r="H802">
        <v>2E+20</v>
      </c>
      <c r="I802">
        <v>0</v>
      </c>
      <c r="J802">
        <v>0.4</v>
      </c>
      <c r="K802">
        <v>0.133333333333333</v>
      </c>
      <c r="L802">
        <v>0</v>
      </c>
      <c r="M802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802" s="5" cm="1">
        <f t="array" ref="N802">MAX(IF((ProjectInfoTable[ProjectName]=ContinuousStatsTable[[#This Row],[ProjectName]]),(ProjectInfoTable[ProjectName]=ContinuousStatsTable[[#This Row],[ProjectName]])*ProjectInfoTable[NumberOfReplications]))</f>
        <v>30</v>
      </c>
      <c r="O802" s="5" cm="1">
        <f t="array" ref="O802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802" s="5" cm="1">
        <f t="array" ref="P802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802" s="5" cm="1">
        <f t="array" ref="Q802">MAX(IF((ProjectInfoTable[ProjectName]=ContinuousStatsTable[[#This Row],[ProjectName]]),(ProjectInfoTable[ProjectName]=ContinuousStatsTable[[#This Row],[ProjectName]])*ProjectInfoTable[ConfidenceInterval]))</f>
        <v>0.95</v>
      </c>
      <c r="R8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802" s="5" cm="1">
        <f t="array" ref="S802">MIN(IF((ContinuousStatsTable[GroupByKey]=ContinuousStatsTable[[#This Row],[GroupByKey]]),(ContinuousStatsTable[GroupByKey]=ContinuousStatsTable[[#This Row],[GroupByKey]])*ContinuousStatsTable[Average]))</f>
        <v>7.4778736536586704E-2</v>
      </c>
      <c r="T802" s="5" cm="1">
        <f t="array" ref="T802">MAX(IF((ContinuousStatsTable[GroupByKey]=ContinuousStatsTable[[#This Row],[GroupByKey]]),(ContinuousStatsTable[GroupByKey]=ContinuousStatsTable[[#This Row],[GroupByKey]])*ContinuousStatsTable[Average]))</f>
        <v>0.111025455742452</v>
      </c>
      <c r="U802" s="5">
        <f>IF((ContinuousStatsTable[[#This Row],[RepsRequested]]&gt;1),ContinuousStatsTable[[#This Row],[HalfWidth]],ContinuousStatsTable[[#This Row],[BatchMeansHalfWidth]])</f>
        <v>4.1821462690338805E-3</v>
      </c>
    </row>
    <row r="803" spans="1:21" x14ac:dyDescent="0.3">
      <c r="A803" t="s">
        <v>66</v>
      </c>
      <c r="B803" t="s">
        <v>68</v>
      </c>
      <c r="C803">
        <v>21</v>
      </c>
      <c r="D803" t="s">
        <v>101</v>
      </c>
      <c r="E803" t="s">
        <v>96</v>
      </c>
      <c r="F803" t="s">
        <v>95</v>
      </c>
      <c r="G803">
        <v>1.60517377794016</v>
      </c>
      <c r="H803">
        <v>2E+20</v>
      </c>
      <c r="I803">
        <v>0</v>
      </c>
      <c r="J803">
        <v>6</v>
      </c>
      <c r="K803">
        <v>2</v>
      </c>
      <c r="L803">
        <v>0</v>
      </c>
      <c r="M803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803" s="5" cm="1">
        <f t="array" ref="N803">MAX(IF((ProjectInfoTable[ProjectName]=ContinuousStatsTable[[#This Row],[ProjectName]]),(ProjectInfoTable[ProjectName]=ContinuousStatsTable[[#This Row],[ProjectName]])*ProjectInfoTable[NumberOfReplications]))</f>
        <v>30</v>
      </c>
      <c r="O803" s="5" cm="1">
        <f t="array" ref="O803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803" s="5" cm="1">
        <f t="array" ref="P803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803" s="5" cm="1">
        <f t="array" ref="Q803">MAX(IF((ProjectInfoTable[ProjectName]=ContinuousStatsTable[[#This Row],[ProjectName]]),(ProjectInfoTable[ProjectName]=ContinuousStatsTable[[#This Row],[ProjectName]])*ProjectInfoTable[ConfidenceInterval]))</f>
        <v>0.95</v>
      </c>
      <c r="R8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803" s="5" cm="1">
        <f t="array" ref="S803">MIN(IF((ContinuousStatsTable[GroupByKey]=ContinuousStatsTable[[#This Row],[GroupByKey]]),(ContinuousStatsTable[GroupByKey]=ContinuousStatsTable[[#This Row],[GroupByKey]])*ContinuousStatsTable[Average]))</f>
        <v>1.1216810480488</v>
      </c>
      <c r="T803" s="5" cm="1">
        <f t="array" ref="T803">MAX(IF((ContinuousStatsTable[GroupByKey]=ContinuousStatsTable[[#This Row],[GroupByKey]]),(ContinuousStatsTable[GroupByKey]=ContinuousStatsTable[[#This Row],[GroupByKey]])*ContinuousStatsTable[Average]))</f>
        <v>1.66538183613678</v>
      </c>
      <c r="U803" s="5">
        <f>IF((ContinuousStatsTable[[#This Row],[RepsRequested]]&gt;1),ContinuousStatsTable[[#This Row],[HalfWidth]],ContinuousStatsTable[[#This Row],[BatchMeansHalfWidth]])</f>
        <v>6.2732194035507963E-2</v>
      </c>
    </row>
    <row r="804" spans="1:21" x14ac:dyDescent="0.3">
      <c r="A804" t="s">
        <v>66</v>
      </c>
      <c r="B804" t="s">
        <v>68</v>
      </c>
      <c r="C804">
        <v>21</v>
      </c>
      <c r="D804" t="s">
        <v>101</v>
      </c>
      <c r="E804" t="s">
        <v>97</v>
      </c>
      <c r="F804" t="s">
        <v>95</v>
      </c>
      <c r="G804">
        <v>15</v>
      </c>
      <c r="H804">
        <v>2E+20</v>
      </c>
      <c r="I804">
        <v>15</v>
      </c>
      <c r="J804">
        <v>15</v>
      </c>
      <c r="K804">
        <v>15</v>
      </c>
      <c r="L804">
        <v>0</v>
      </c>
      <c r="M804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804" s="5" cm="1">
        <f t="array" ref="N804">MAX(IF((ProjectInfoTable[ProjectName]=ContinuousStatsTable[[#This Row],[ProjectName]]),(ProjectInfoTable[ProjectName]=ContinuousStatsTable[[#This Row],[ProjectName]])*ProjectInfoTable[NumberOfReplications]))</f>
        <v>30</v>
      </c>
      <c r="O804" s="5" cm="1">
        <f t="array" ref="O804">IFERROR(AVERAGE(IF((ContinuousStatsTable[GroupByKey]=ContinuousStatsTable[[#This Row],[GroupByKey]]),(ContinuousStatsTable[GroupByKey]=ContinuousStatsTable[[#This Row],[GroupByKey]])*ContinuousStatsTable[Average])),0)</f>
        <v>15</v>
      </c>
      <c r="P804" s="5" cm="1">
        <f t="array" ref="P804">IFERROR(_xlfn.STDEV.S(IF((ContinuousStatsTable[GroupByKey]=ContinuousStatsTable[[#This Row],[GroupByKey]]),(ContinuousStatsTable[GroupByKey]=ContinuousStatsTable[[#This Row],[GroupByKey]])*ContinuousStatsTable[Average])),0)</f>
        <v>0</v>
      </c>
      <c r="Q804" s="5" cm="1">
        <f t="array" ref="Q804">MAX(IF((ProjectInfoTable[ProjectName]=ContinuousStatsTable[[#This Row],[ProjectName]]),(ProjectInfoTable[ProjectName]=ContinuousStatsTable[[#This Row],[ProjectName]])*ProjectInfoTable[ConfidenceInterval]))</f>
        <v>0.95</v>
      </c>
      <c r="R8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4" s="5" cm="1">
        <f t="array" ref="S804">MIN(IF((ContinuousStatsTable[GroupByKey]=ContinuousStatsTable[[#This Row],[GroupByKey]]),(ContinuousStatsTable[GroupByKey]=ContinuousStatsTable[[#This Row],[GroupByKey]])*ContinuousStatsTable[Average]))</f>
        <v>15</v>
      </c>
      <c r="T804" s="5" cm="1">
        <f t="array" ref="T804">MAX(IF((ContinuousStatsTable[GroupByKey]=ContinuousStatsTable[[#This Row],[GroupByKey]]),(ContinuousStatsTable[GroupByKey]=ContinuousStatsTable[[#This Row],[GroupByKey]])*ContinuousStatsTable[Average]))</f>
        <v>15</v>
      </c>
      <c r="U804" s="5">
        <f>IF((ContinuousStatsTable[[#This Row],[RepsRequested]]&gt;1),ContinuousStatsTable[[#This Row],[HalfWidth]],ContinuousStatsTable[[#This Row],[BatchMeansHalfWidth]])</f>
        <v>0</v>
      </c>
    </row>
    <row r="805" spans="1:21" x14ac:dyDescent="0.3">
      <c r="A805" t="s">
        <v>66</v>
      </c>
      <c r="B805" t="s">
        <v>68</v>
      </c>
      <c r="C805">
        <v>21</v>
      </c>
      <c r="D805" t="s">
        <v>102</v>
      </c>
      <c r="E805" t="s">
        <v>94</v>
      </c>
      <c r="F805" t="s">
        <v>95</v>
      </c>
      <c r="G805">
        <v>0.89185005725050803</v>
      </c>
      <c r="H805">
        <v>2E+20</v>
      </c>
      <c r="I805">
        <v>0</v>
      </c>
      <c r="J805">
        <v>1</v>
      </c>
      <c r="K805">
        <v>1</v>
      </c>
      <c r="L805">
        <v>0</v>
      </c>
      <c r="M805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805" s="5" cm="1">
        <f t="array" ref="N805">MAX(IF((ProjectInfoTable[ProjectName]=ContinuousStatsTable[[#This Row],[ProjectName]]),(ProjectInfoTable[ProjectName]=ContinuousStatsTable[[#This Row],[ProjectName]])*ProjectInfoTable[NumberOfReplications]))</f>
        <v>30</v>
      </c>
      <c r="O805" s="5" cm="1">
        <f t="array" ref="O805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805" s="5" cm="1">
        <f t="array" ref="P805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805" s="5" cm="1">
        <f t="array" ref="Q805">MAX(IF((ProjectInfoTable[ProjectName]=ContinuousStatsTable[[#This Row],[ProjectName]]),(ProjectInfoTable[ProjectName]=ContinuousStatsTable[[#This Row],[ProjectName]])*ProjectInfoTable[ConfidenceInterval]))</f>
        <v>0.95</v>
      </c>
      <c r="R8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805" s="5" cm="1">
        <f t="array" ref="S805">MIN(IF((ContinuousStatsTable[GroupByKey]=ContinuousStatsTable[[#This Row],[GroupByKey]]),(ContinuousStatsTable[GroupByKey]=ContinuousStatsTable[[#This Row],[GroupByKey]])*ContinuousStatsTable[Average]))</f>
        <v>0.73673947391417804</v>
      </c>
      <c r="T805" s="5" cm="1">
        <f t="array" ref="T805">MAX(IF((ContinuousStatsTable[GroupByKey]=ContinuousStatsTable[[#This Row],[GroupByKey]]),(ContinuousStatsTable[GroupByKey]=ContinuousStatsTable[[#This Row],[GroupByKey]])*ContinuousStatsTable[Average]))</f>
        <v>0.90592850818388704</v>
      </c>
      <c r="U805" s="5">
        <f>IF((ContinuousStatsTable[[#This Row],[RepsRequested]]&gt;1),ContinuousStatsTable[[#This Row],[HalfWidth]],ContinuousStatsTable[[#This Row],[BatchMeansHalfWidth]])</f>
        <v>1.8636241798384946E-2</v>
      </c>
    </row>
    <row r="806" spans="1:21" x14ac:dyDescent="0.3">
      <c r="A806" t="s">
        <v>66</v>
      </c>
      <c r="B806" t="s">
        <v>68</v>
      </c>
      <c r="C806">
        <v>21</v>
      </c>
      <c r="D806" t="s">
        <v>102</v>
      </c>
      <c r="E806" t="s">
        <v>96</v>
      </c>
      <c r="F806" t="s">
        <v>95</v>
      </c>
      <c r="G806">
        <v>1.74941182233519</v>
      </c>
      <c r="H806">
        <v>2E+20</v>
      </c>
      <c r="I806">
        <v>0</v>
      </c>
      <c r="J806">
        <v>3</v>
      </c>
      <c r="K806">
        <v>1</v>
      </c>
      <c r="L806">
        <v>0</v>
      </c>
      <c r="M806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806" s="5" cm="1">
        <f t="array" ref="N806">MAX(IF((ProjectInfoTable[ProjectName]=ContinuousStatsTable[[#This Row],[ProjectName]]),(ProjectInfoTable[ProjectName]=ContinuousStatsTable[[#This Row],[ProjectName]])*ProjectInfoTable[NumberOfReplications]))</f>
        <v>30</v>
      </c>
      <c r="O806" s="5" cm="1">
        <f t="array" ref="O806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806" s="5" cm="1">
        <f t="array" ref="P806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806" s="5" cm="1">
        <f t="array" ref="Q806">MAX(IF((ProjectInfoTable[ProjectName]=ContinuousStatsTable[[#This Row],[ProjectName]]),(ProjectInfoTable[ProjectName]=ContinuousStatsTable[[#This Row],[ProjectName]])*ProjectInfoTable[ConfidenceInterval]))</f>
        <v>0.95</v>
      </c>
      <c r="R8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806" s="5" cm="1">
        <f t="array" ref="S806">MIN(IF((ContinuousStatsTable[GroupByKey]=ContinuousStatsTable[[#This Row],[GroupByKey]]),(ContinuousStatsTable[GroupByKey]=ContinuousStatsTable[[#This Row],[GroupByKey]])*ContinuousStatsTable[Average]))</f>
        <v>1.3726163545041801</v>
      </c>
      <c r="T806" s="5" cm="1">
        <f t="array" ref="T806">MAX(IF((ContinuousStatsTable[GroupByKey]=ContinuousStatsTable[[#This Row],[GroupByKey]]),(ContinuousStatsTable[GroupByKey]=ContinuousStatsTable[[#This Row],[GroupByKey]])*ContinuousStatsTable[Average]))</f>
        <v>1.7968913949876599</v>
      </c>
      <c r="U806" s="5">
        <f>IF((ContinuousStatsTable[[#This Row],[RepsRequested]]&gt;1),ContinuousStatsTable[[#This Row],[HalfWidth]],ContinuousStatsTable[[#This Row],[BatchMeansHalfWidth]])</f>
        <v>4.3123628688677348E-2</v>
      </c>
    </row>
    <row r="807" spans="1:21" x14ac:dyDescent="0.3">
      <c r="A807" t="s">
        <v>66</v>
      </c>
      <c r="B807" t="s">
        <v>68</v>
      </c>
      <c r="C807">
        <v>21</v>
      </c>
      <c r="D807" t="s">
        <v>102</v>
      </c>
      <c r="E807" t="s">
        <v>97</v>
      </c>
      <c r="F807" t="s">
        <v>95</v>
      </c>
      <c r="G807">
        <v>2</v>
      </c>
      <c r="H807">
        <v>2E+20</v>
      </c>
      <c r="I807">
        <v>1</v>
      </c>
      <c r="J807">
        <v>3</v>
      </c>
      <c r="K807">
        <v>1</v>
      </c>
      <c r="L807">
        <v>0</v>
      </c>
      <c r="M807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807" s="5" cm="1">
        <f t="array" ref="N807">MAX(IF((ProjectInfoTable[ProjectName]=ContinuousStatsTable[[#This Row],[ProjectName]]),(ProjectInfoTable[ProjectName]=ContinuousStatsTable[[#This Row],[ProjectName]])*ProjectInfoTable[NumberOfReplications]))</f>
        <v>30</v>
      </c>
      <c r="O807" s="5" cm="1">
        <f t="array" ref="O807">IFERROR(AVERAGE(IF((ContinuousStatsTable[GroupByKey]=ContinuousStatsTable[[#This Row],[GroupByKey]]),(ContinuousStatsTable[GroupByKey]=ContinuousStatsTable[[#This Row],[GroupByKey]])*ContinuousStatsTable[Average])),0)</f>
        <v>2</v>
      </c>
      <c r="P807" s="5" cm="1">
        <f t="array" ref="P807">IFERROR(_xlfn.STDEV.S(IF((ContinuousStatsTable[GroupByKey]=ContinuousStatsTable[[#This Row],[GroupByKey]]),(ContinuousStatsTable[GroupByKey]=ContinuousStatsTable[[#This Row],[GroupByKey]])*ContinuousStatsTable[Average])),0)</f>
        <v>0</v>
      </c>
      <c r="Q807" s="5" cm="1">
        <f t="array" ref="Q807">MAX(IF((ProjectInfoTable[ProjectName]=ContinuousStatsTable[[#This Row],[ProjectName]]),(ProjectInfoTable[ProjectName]=ContinuousStatsTable[[#This Row],[ProjectName]])*ProjectInfoTable[ConfidenceInterval]))</f>
        <v>0.95</v>
      </c>
      <c r="R8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7" s="5" cm="1">
        <f t="array" ref="S807">MIN(IF((ContinuousStatsTable[GroupByKey]=ContinuousStatsTable[[#This Row],[GroupByKey]]),(ContinuousStatsTable[GroupByKey]=ContinuousStatsTable[[#This Row],[GroupByKey]])*ContinuousStatsTable[Average]))</f>
        <v>2</v>
      </c>
      <c r="T807" s="5" cm="1">
        <f t="array" ref="T807">MAX(IF((ContinuousStatsTable[GroupByKey]=ContinuousStatsTable[[#This Row],[GroupByKey]]),(ContinuousStatsTable[GroupByKey]=ContinuousStatsTable[[#This Row],[GroupByKey]])*ContinuousStatsTable[Average]))</f>
        <v>2</v>
      </c>
      <c r="U807" s="5">
        <f>IF((ContinuousStatsTable[[#This Row],[RepsRequested]]&gt;1),ContinuousStatsTable[[#This Row],[HalfWidth]],ContinuousStatsTable[[#This Row],[BatchMeansHalfWidth]])</f>
        <v>0</v>
      </c>
    </row>
    <row r="808" spans="1:21" x14ac:dyDescent="0.3">
      <c r="A808" t="s">
        <v>66</v>
      </c>
      <c r="B808" t="s">
        <v>68</v>
      </c>
      <c r="C808">
        <v>21</v>
      </c>
      <c r="D808" t="s">
        <v>84</v>
      </c>
      <c r="E808" t="s">
        <v>103</v>
      </c>
      <c r="F808" t="s">
        <v>86</v>
      </c>
      <c r="G808">
        <v>68.606697509327304</v>
      </c>
      <c r="H808">
        <v>2E+20</v>
      </c>
      <c r="I808">
        <v>0</v>
      </c>
      <c r="J808">
        <v>102</v>
      </c>
      <c r="K808">
        <v>50</v>
      </c>
      <c r="L808">
        <v>0</v>
      </c>
      <c r="M808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808" s="5" cm="1">
        <f t="array" ref="N808">MAX(IF((ProjectInfoTable[ProjectName]=ContinuousStatsTable[[#This Row],[ProjectName]]),(ProjectInfoTable[ProjectName]=ContinuousStatsTable[[#This Row],[ProjectName]])*ProjectInfoTable[NumberOfReplications]))</f>
        <v>30</v>
      </c>
      <c r="O808" s="5" cm="1">
        <f t="array" ref="O808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808" s="5" cm="1">
        <f t="array" ref="P808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808" s="5" cm="1">
        <f t="array" ref="Q808">MAX(IF((ProjectInfoTable[ProjectName]=ContinuousStatsTable[[#This Row],[ProjectName]]),(ProjectInfoTable[ProjectName]=ContinuousStatsTable[[#This Row],[ProjectName]])*ProjectInfoTable[ConfidenceInterval]))</f>
        <v>0.95</v>
      </c>
      <c r="R8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808" s="5" cm="1">
        <f t="array" ref="S808">MIN(IF((ContinuousStatsTable[GroupByKey]=ContinuousStatsTable[[#This Row],[GroupByKey]]),(ContinuousStatsTable[GroupByKey]=ContinuousStatsTable[[#This Row],[GroupByKey]])*ContinuousStatsTable[Average]))</f>
        <v>36.709886237305</v>
      </c>
      <c r="T808" s="5" cm="1">
        <f t="array" ref="T808">MAX(IF((ContinuousStatsTable[GroupByKey]=ContinuousStatsTable[[#This Row],[GroupByKey]]),(ContinuousStatsTable[GroupByKey]=ContinuousStatsTable[[#This Row],[GroupByKey]])*ContinuousStatsTable[Average]))</f>
        <v>84.594951996708403</v>
      </c>
      <c r="U808" s="5">
        <f>IF((ContinuousStatsTable[[#This Row],[RepsRequested]]&gt;1),ContinuousStatsTable[[#This Row],[HalfWidth]],ContinuousStatsTable[[#This Row],[BatchMeansHalfWidth]])</f>
        <v>4.0384933567271259</v>
      </c>
    </row>
    <row r="809" spans="1:21" x14ac:dyDescent="0.3">
      <c r="A809" t="s">
        <v>66</v>
      </c>
      <c r="B809" t="s">
        <v>68</v>
      </c>
      <c r="C809">
        <v>21</v>
      </c>
      <c r="D809" t="s">
        <v>104</v>
      </c>
      <c r="E809" t="s">
        <v>94</v>
      </c>
      <c r="F809" t="s">
        <v>95</v>
      </c>
      <c r="G809">
        <v>0</v>
      </c>
      <c r="H809">
        <v>2E+20</v>
      </c>
      <c r="I809">
        <v>0</v>
      </c>
      <c r="J809">
        <v>0</v>
      </c>
      <c r="K809">
        <v>0</v>
      </c>
      <c r="L809">
        <v>0</v>
      </c>
      <c r="M809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809" s="5" cm="1">
        <f t="array" ref="N809">MAX(IF((ProjectInfoTable[ProjectName]=ContinuousStatsTable[[#This Row],[ProjectName]]),(ProjectInfoTable[ProjectName]=ContinuousStatsTable[[#This Row],[ProjectName]])*ProjectInfoTable[NumberOfReplications]))</f>
        <v>30</v>
      </c>
      <c r="O809" s="5" cm="1">
        <f t="array" ref="O809">IFERROR(AVERAGE(IF((ContinuousStatsTable[GroupByKey]=ContinuousStatsTable[[#This Row],[GroupByKey]]),(ContinuousStatsTable[GroupByKey]=ContinuousStatsTable[[#This Row],[GroupByKey]])*ContinuousStatsTable[Average])),0)</f>
        <v>0</v>
      </c>
      <c r="P809" s="5" cm="1">
        <f t="array" ref="P809">IFERROR(_xlfn.STDEV.S(IF((ContinuousStatsTable[GroupByKey]=ContinuousStatsTable[[#This Row],[GroupByKey]]),(ContinuousStatsTable[GroupByKey]=ContinuousStatsTable[[#This Row],[GroupByKey]])*ContinuousStatsTable[Average])),0)</f>
        <v>0</v>
      </c>
      <c r="Q809" s="5" cm="1">
        <f t="array" ref="Q809">MAX(IF((ProjectInfoTable[ProjectName]=ContinuousStatsTable[[#This Row],[ProjectName]]),(ProjectInfoTable[ProjectName]=ContinuousStatsTable[[#This Row],[ProjectName]])*ProjectInfoTable[ConfidenceInterval]))</f>
        <v>0.95</v>
      </c>
      <c r="R8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9" s="5" cm="1">
        <f t="array" ref="S809">MIN(IF((ContinuousStatsTable[GroupByKey]=ContinuousStatsTable[[#This Row],[GroupByKey]]),(ContinuousStatsTable[GroupByKey]=ContinuousStatsTable[[#This Row],[GroupByKey]])*ContinuousStatsTable[Average]))</f>
        <v>0</v>
      </c>
      <c r="T809" s="5" cm="1">
        <f t="array" ref="T809">MAX(IF((ContinuousStatsTable[GroupByKey]=ContinuousStatsTable[[#This Row],[GroupByKey]]),(ContinuousStatsTable[GroupByKey]=ContinuousStatsTable[[#This Row],[GroupByKey]])*ContinuousStatsTable[Average]))</f>
        <v>0</v>
      </c>
      <c r="U809" s="5">
        <f>IF((ContinuousStatsTable[[#This Row],[RepsRequested]]&gt;1),ContinuousStatsTable[[#This Row],[HalfWidth]],ContinuousStatsTable[[#This Row],[BatchMeansHalfWidth]])</f>
        <v>0</v>
      </c>
    </row>
    <row r="810" spans="1:21" x14ac:dyDescent="0.3">
      <c r="A810" t="s">
        <v>66</v>
      </c>
      <c r="B810" t="s">
        <v>68</v>
      </c>
      <c r="C810">
        <v>21</v>
      </c>
      <c r="D810" t="s">
        <v>104</v>
      </c>
      <c r="E810" t="s">
        <v>96</v>
      </c>
      <c r="F810" t="s">
        <v>95</v>
      </c>
      <c r="G810">
        <v>0</v>
      </c>
      <c r="H810">
        <v>2E+20</v>
      </c>
      <c r="I810">
        <v>0</v>
      </c>
      <c r="J810">
        <v>0</v>
      </c>
      <c r="K810">
        <v>0</v>
      </c>
      <c r="L810">
        <v>0</v>
      </c>
      <c r="M810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810" s="5" cm="1">
        <f t="array" ref="N810">MAX(IF((ProjectInfoTable[ProjectName]=ContinuousStatsTable[[#This Row],[ProjectName]]),(ProjectInfoTable[ProjectName]=ContinuousStatsTable[[#This Row],[ProjectName]])*ProjectInfoTable[NumberOfReplications]))</f>
        <v>30</v>
      </c>
      <c r="O810" s="5" cm="1">
        <f t="array" ref="O810">IFERROR(AVERAGE(IF((ContinuousStatsTable[GroupByKey]=ContinuousStatsTable[[#This Row],[GroupByKey]]),(ContinuousStatsTable[GroupByKey]=ContinuousStatsTable[[#This Row],[GroupByKey]])*ContinuousStatsTable[Average])),0)</f>
        <v>0</v>
      </c>
      <c r="P810" s="5" cm="1">
        <f t="array" ref="P810">IFERROR(_xlfn.STDEV.S(IF((ContinuousStatsTable[GroupByKey]=ContinuousStatsTable[[#This Row],[GroupByKey]]),(ContinuousStatsTable[GroupByKey]=ContinuousStatsTable[[#This Row],[GroupByKey]])*ContinuousStatsTable[Average])),0)</f>
        <v>0</v>
      </c>
      <c r="Q810" s="5" cm="1">
        <f t="array" ref="Q810">MAX(IF((ProjectInfoTable[ProjectName]=ContinuousStatsTable[[#This Row],[ProjectName]]),(ProjectInfoTable[ProjectName]=ContinuousStatsTable[[#This Row],[ProjectName]])*ProjectInfoTable[ConfidenceInterval]))</f>
        <v>0.95</v>
      </c>
      <c r="R8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0" s="5" cm="1">
        <f t="array" ref="S810">MIN(IF((ContinuousStatsTable[GroupByKey]=ContinuousStatsTable[[#This Row],[GroupByKey]]),(ContinuousStatsTable[GroupByKey]=ContinuousStatsTable[[#This Row],[GroupByKey]])*ContinuousStatsTable[Average]))</f>
        <v>0</v>
      </c>
      <c r="T810" s="5" cm="1">
        <f t="array" ref="T810">MAX(IF((ContinuousStatsTable[GroupByKey]=ContinuousStatsTable[[#This Row],[GroupByKey]]),(ContinuousStatsTable[GroupByKey]=ContinuousStatsTable[[#This Row],[GroupByKey]])*ContinuousStatsTable[Average]))</f>
        <v>0</v>
      </c>
      <c r="U810" s="5">
        <f>IF((ContinuousStatsTable[[#This Row],[RepsRequested]]&gt;1),ContinuousStatsTable[[#This Row],[HalfWidth]],ContinuousStatsTable[[#This Row],[BatchMeansHalfWidth]])</f>
        <v>0</v>
      </c>
    </row>
    <row r="811" spans="1:21" x14ac:dyDescent="0.3">
      <c r="A811" t="s">
        <v>66</v>
      </c>
      <c r="B811" t="s">
        <v>68</v>
      </c>
      <c r="C811">
        <v>21</v>
      </c>
      <c r="D811" t="s">
        <v>104</v>
      </c>
      <c r="E811" t="s">
        <v>97</v>
      </c>
      <c r="F811" t="s">
        <v>95</v>
      </c>
      <c r="G811">
        <v>3</v>
      </c>
      <c r="H811">
        <v>2E+20</v>
      </c>
      <c r="I811">
        <v>3</v>
      </c>
      <c r="J811">
        <v>3</v>
      </c>
      <c r="K811">
        <v>3</v>
      </c>
      <c r="L811">
        <v>0</v>
      </c>
      <c r="M811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811" s="5" cm="1">
        <f t="array" ref="N811">MAX(IF((ProjectInfoTable[ProjectName]=ContinuousStatsTable[[#This Row],[ProjectName]]),(ProjectInfoTable[ProjectName]=ContinuousStatsTable[[#This Row],[ProjectName]])*ProjectInfoTable[NumberOfReplications]))</f>
        <v>30</v>
      </c>
      <c r="O811" s="5" cm="1">
        <f t="array" ref="O811">IFERROR(AVERAGE(IF((ContinuousStatsTable[GroupByKey]=ContinuousStatsTable[[#This Row],[GroupByKey]]),(ContinuousStatsTable[GroupByKey]=ContinuousStatsTable[[#This Row],[GroupByKey]])*ContinuousStatsTable[Average])),0)</f>
        <v>3</v>
      </c>
      <c r="P811" s="5" cm="1">
        <f t="array" ref="P811">IFERROR(_xlfn.STDEV.S(IF((ContinuousStatsTable[GroupByKey]=ContinuousStatsTable[[#This Row],[GroupByKey]]),(ContinuousStatsTable[GroupByKey]=ContinuousStatsTable[[#This Row],[GroupByKey]])*ContinuousStatsTable[Average])),0)</f>
        <v>0</v>
      </c>
      <c r="Q811" s="5" cm="1">
        <f t="array" ref="Q811">MAX(IF((ProjectInfoTable[ProjectName]=ContinuousStatsTable[[#This Row],[ProjectName]]),(ProjectInfoTable[ProjectName]=ContinuousStatsTable[[#This Row],[ProjectName]])*ProjectInfoTable[ConfidenceInterval]))</f>
        <v>0.95</v>
      </c>
      <c r="R8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1" s="5" cm="1">
        <f t="array" ref="S811">MIN(IF((ContinuousStatsTable[GroupByKey]=ContinuousStatsTable[[#This Row],[GroupByKey]]),(ContinuousStatsTable[GroupByKey]=ContinuousStatsTable[[#This Row],[GroupByKey]])*ContinuousStatsTable[Average]))</f>
        <v>3</v>
      </c>
      <c r="T811" s="5" cm="1">
        <f t="array" ref="T811">MAX(IF((ContinuousStatsTable[GroupByKey]=ContinuousStatsTable[[#This Row],[GroupByKey]]),(ContinuousStatsTable[GroupByKey]=ContinuousStatsTable[[#This Row],[GroupByKey]])*ContinuousStatsTable[Average]))</f>
        <v>3</v>
      </c>
      <c r="U811" s="5">
        <f>IF((ContinuousStatsTable[[#This Row],[RepsRequested]]&gt;1),ContinuousStatsTable[[#This Row],[HalfWidth]],ContinuousStatsTable[[#This Row],[BatchMeansHalfWidth]])</f>
        <v>0</v>
      </c>
    </row>
    <row r="812" spans="1:21" x14ac:dyDescent="0.3">
      <c r="A812" t="s">
        <v>66</v>
      </c>
      <c r="B812" t="s">
        <v>68</v>
      </c>
      <c r="C812">
        <v>21</v>
      </c>
      <c r="D812" t="s">
        <v>105</v>
      </c>
      <c r="E812" t="s">
        <v>94</v>
      </c>
      <c r="F812" t="s">
        <v>95</v>
      </c>
      <c r="G812">
        <v>0.916463621510891</v>
      </c>
      <c r="H812">
        <v>2E+20</v>
      </c>
      <c r="I812">
        <v>0</v>
      </c>
      <c r="J812">
        <v>1</v>
      </c>
      <c r="K812">
        <v>1</v>
      </c>
      <c r="L812">
        <v>0</v>
      </c>
      <c r="M812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812" s="5" cm="1">
        <f t="array" ref="N812">MAX(IF((ProjectInfoTable[ProjectName]=ContinuousStatsTable[[#This Row],[ProjectName]]),(ProjectInfoTable[ProjectName]=ContinuousStatsTable[[#This Row],[ProjectName]])*ProjectInfoTable[NumberOfReplications]))</f>
        <v>30</v>
      </c>
      <c r="O812" s="5" cm="1">
        <f t="array" ref="O812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812" s="5" cm="1">
        <f t="array" ref="P812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812" s="5" cm="1">
        <f t="array" ref="Q812">MAX(IF((ProjectInfoTable[ProjectName]=ContinuousStatsTable[[#This Row],[ProjectName]]),(ProjectInfoTable[ProjectName]=ContinuousStatsTable[[#This Row],[ProjectName]])*ProjectInfoTable[ConfidenceInterval]))</f>
        <v>0.95</v>
      </c>
      <c r="R8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812" s="5" cm="1">
        <f t="array" ref="S812">MIN(IF((ContinuousStatsTable[GroupByKey]=ContinuousStatsTable[[#This Row],[GroupByKey]]),(ContinuousStatsTable[GroupByKey]=ContinuousStatsTable[[#This Row],[GroupByKey]])*ContinuousStatsTable[Average]))</f>
        <v>0.634589476164233</v>
      </c>
      <c r="T812" s="5" cm="1">
        <f t="array" ref="T812">MAX(IF((ContinuousStatsTable[GroupByKey]=ContinuousStatsTable[[#This Row],[GroupByKey]]),(ContinuousStatsTable[GroupByKey]=ContinuousStatsTable[[#This Row],[GroupByKey]])*ContinuousStatsTable[Average]))</f>
        <v>0.99383259650362799</v>
      </c>
      <c r="U812" s="5">
        <f>IF((ContinuousStatsTable[[#This Row],[RepsRequested]]&gt;1),ContinuousStatsTable[[#This Row],[HalfWidth]],ContinuousStatsTable[[#This Row],[BatchMeansHalfWidth]])</f>
        <v>3.9940526897700258E-2</v>
      </c>
    </row>
    <row r="813" spans="1:21" x14ac:dyDescent="0.3">
      <c r="A813" t="s">
        <v>66</v>
      </c>
      <c r="B813" t="s">
        <v>68</v>
      </c>
      <c r="C813">
        <v>21</v>
      </c>
      <c r="D813" t="s">
        <v>105</v>
      </c>
      <c r="E813" t="s">
        <v>96</v>
      </c>
      <c r="F813" t="s">
        <v>95</v>
      </c>
      <c r="G813">
        <v>0.916463621510891</v>
      </c>
      <c r="H813">
        <v>2E+20</v>
      </c>
      <c r="I813">
        <v>0</v>
      </c>
      <c r="J813">
        <v>1</v>
      </c>
      <c r="K813">
        <v>1</v>
      </c>
      <c r="L813">
        <v>0</v>
      </c>
      <c r="M813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813" s="5" cm="1">
        <f t="array" ref="N813">MAX(IF((ProjectInfoTable[ProjectName]=ContinuousStatsTable[[#This Row],[ProjectName]]),(ProjectInfoTable[ProjectName]=ContinuousStatsTable[[#This Row],[ProjectName]])*ProjectInfoTable[NumberOfReplications]))</f>
        <v>30</v>
      </c>
      <c r="O813" s="5" cm="1">
        <f t="array" ref="O813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813" s="5" cm="1">
        <f t="array" ref="P813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813" s="5" cm="1">
        <f t="array" ref="Q813">MAX(IF((ProjectInfoTable[ProjectName]=ContinuousStatsTable[[#This Row],[ProjectName]]),(ProjectInfoTable[ProjectName]=ContinuousStatsTable[[#This Row],[ProjectName]])*ProjectInfoTable[ConfidenceInterval]))</f>
        <v>0.95</v>
      </c>
      <c r="R8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813" s="5" cm="1">
        <f t="array" ref="S813">MIN(IF((ContinuousStatsTable[GroupByKey]=ContinuousStatsTable[[#This Row],[GroupByKey]]),(ContinuousStatsTable[GroupByKey]=ContinuousStatsTable[[#This Row],[GroupByKey]])*ContinuousStatsTable[Average]))</f>
        <v>0.634589476164233</v>
      </c>
      <c r="T813" s="5" cm="1">
        <f t="array" ref="T813">MAX(IF((ContinuousStatsTable[GroupByKey]=ContinuousStatsTable[[#This Row],[GroupByKey]]),(ContinuousStatsTable[GroupByKey]=ContinuousStatsTable[[#This Row],[GroupByKey]])*ContinuousStatsTable[Average]))</f>
        <v>0.99383259650362799</v>
      </c>
      <c r="U813" s="5">
        <f>IF((ContinuousStatsTable[[#This Row],[RepsRequested]]&gt;1),ContinuousStatsTable[[#This Row],[HalfWidth]],ContinuousStatsTable[[#This Row],[BatchMeansHalfWidth]])</f>
        <v>3.9940526897700258E-2</v>
      </c>
    </row>
    <row r="814" spans="1:21" x14ac:dyDescent="0.3">
      <c r="A814" t="s">
        <v>66</v>
      </c>
      <c r="B814" t="s">
        <v>68</v>
      </c>
      <c r="C814">
        <v>21</v>
      </c>
      <c r="D814" t="s">
        <v>105</v>
      </c>
      <c r="E814" t="s">
        <v>97</v>
      </c>
      <c r="F814" t="s">
        <v>95</v>
      </c>
      <c r="G814">
        <v>1</v>
      </c>
      <c r="H814">
        <v>2E+20</v>
      </c>
      <c r="I814">
        <v>1</v>
      </c>
      <c r="J814">
        <v>1</v>
      </c>
      <c r="K814">
        <v>1</v>
      </c>
      <c r="L814">
        <v>0</v>
      </c>
      <c r="M814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814" s="5" cm="1">
        <f t="array" ref="N814">MAX(IF((ProjectInfoTable[ProjectName]=ContinuousStatsTable[[#This Row],[ProjectName]]),(ProjectInfoTable[ProjectName]=ContinuousStatsTable[[#This Row],[ProjectName]])*ProjectInfoTable[NumberOfReplications]))</f>
        <v>30</v>
      </c>
      <c r="O814" s="5" cm="1">
        <f t="array" ref="O814">IFERROR(AVERAGE(IF((ContinuousStatsTable[GroupByKey]=ContinuousStatsTable[[#This Row],[GroupByKey]]),(ContinuousStatsTable[GroupByKey]=ContinuousStatsTable[[#This Row],[GroupByKey]])*ContinuousStatsTable[Average])),0)</f>
        <v>1</v>
      </c>
      <c r="P814" s="5" cm="1">
        <f t="array" ref="P814">IFERROR(_xlfn.STDEV.S(IF((ContinuousStatsTable[GroupByKey]=ContinuousStatsTable[[#This Row],[GroupByKey]]),(ContinuousStatsTable[GroupByKey]=ContinuousStatsTable[[#This Row],[GroupByKey]])*ContinuousStatsTable[Average])),0)</f>
        <v>0</v>
      </c>
      <c r="Q814" s="5" cm="1">
        <f t="array" ref="Q814">MAX(IF((ProjectInfoTable[ProjectName]=ContinuousStatsTable[[#This Row],[ProjectName]]),(ProjectInfoTable[ProjectName]=ContinuousStatsTable[[#This Row],[ProjectName]])*ProjectInfoTable[ConfidenceInterval]))</f>
        <v>0.95</v>
      </c>
      <c r="R8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4" s="5" cm="1">
        <f t="array" ref="S814">MIN(IF((ContinuousStatsTable[GroupByKey]=ContinuousStatsTable[[#This Row],[GroupByKey]]),(ContinuousStatsTable[GroupByKey]=ContinuousStatsTable[[#This Row],[GroupByKey]])*ContinuousStatsTable[Average]))</f>
        <v>1</v>
      </c>
      <c r="T814" s="5" cm="1">
        <f t="array" ref="T814">MAX(IF((ContinuousStatsTable[GroupByKey]=ContinuousStatsTable[[#This Row],[GroupByKey]]),(ContinuousStatsTable[GroupByKey]=ContinuousStatsTable[[#This Row],[GroupByKey]])*ContinuousStatsTable[Average]))</f>
        <v>1</v>
      </c>
      <c r="U814" s="5">
        <f>IF((ContinuousStatsTable[[#This Row],[RepsRequested]]&gt;1),ContinuousStatsTable[[#This Row],[HalfWidth]],ContinuousStatsTable[[#This Row],[BatchMeansHalfWidth]])</f>
        <v>0</v>
      </c>
    </row>
    <row r="815" spans="1:21" x14ac:dyDescent="0.3">
      <c r="A815" t="s">
        <v>66</v>
      </c>
      <c r="B815" t="s">
        <v>68</v>
      </c>
      <c r="C815">
        <v>21</v>
      </c>
      <c r="D815" t="s">
        <v>106</v>
      </c>
      <c r="E815" t="s">
        <v>94</v>
      </c>
      <c r="F815" t="s">
        <v>95</v>
      </c>
      <c r="G815">
        <v>0.92905906561244</v>
      </c>
      <c r="H815">
        <v>2E+20</v>
      </c>
      <c r="I815">
        <v>0</v>
      </c>
      <c r="J815">
        <v>1</v>
      </c>
      <c r="K815">
        <v>1</v>
      </c>
      <c r="L815">
        <v>0</v>
      </c>
      <c r="M815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815" s="5" cm="1">
        <f t="array" ref="N815">MAX(IF((ProjectInfoTable[ProjectName]=ContinuousStatsTable[[#This Row],[ProjectName]]),(ProjectInfoTable[ProjectName]=ContinuousStatsTable[[#This Row],[ProjectName]])*ProjectInfoTable[NumberOfReplications]))</f>
        <v>30</v>
      </c>
      <c r="O815" s="5" cm="1">
        <f t="array" ref="O815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815" s="5" cm="1">
        <f t="array" ref="P815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815" s="5" cm="1">
        <f t="array" ref="Q815">MAX(IF((ProjectInfoTable[ProjectName]=ContinuousStatsTable[[#This Row],[ProjectName]]),(ProjectInfoTable[ProjectName]=ContinuousStatsTable[[#This Row],[ProjectName]])*ProjectInfoTable[ConfidenceInterval]))</f>
        <v>0.95</v>
      </c>
      <c r="R8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815" s="5" cm="1">
        <f t="array" ref="S815">MIN(IF((ContinuousStatsTable[GroupByKey]=ContinuousStatsTable[[#This Row],[GroupByKey]]),(ContinuousStatsTable[GroupByKey]=ContinuousStatsTable[[#This Row],[GroupByKey]])*ContinuousStatsTable[Average]))</f>
        <v>0.74061105631083801</v>
      </c>
      <c r="T815" s="5" cm="1">
        <f t="array" ref="T815">MAX(IF((ContinuousStatsTable[GroupByKey]=ContinuousStatsTable[[#This Row],[GroupByKey]]),(ContinuousStatsTable[GroupByKey]=ContinuousStatsTable[[#This Row],[GroupByKey]])*ContinuousStatsTable[Average]))</f>
        <v>0.99245161744166299</v>
      </c>
      <c r="U815" s="5">
        <f>IF((ContinuousStatsTable[[#This Row],[RepsRequested]]&gt;1),ContinuousStatsTable[[#This Row],[HalfWidth]],ContinuousStatsTable[[#This Row],[BatchMeansHalfWidth]])</f>
        <v>2.8912497794626357E-2</v>
      </c>
    </row>
    <row r="816" spans="1:21" x14ac:dyDescent="0.3">
      <c r="A816" t="s">
        <v>66</v>
      </c>
      <c r="B816" t="s">
        <v>68</v>
      </c>
      <c r="C816">
        <v>21</v>
      </c>
      <c r="D816" t="s">
        <v>106</v>
      </c>
      <c r="E816" t="s">
        <v>96</v>
      </c>
      <c r="F816" t="s">
        <v>95</v>
      </c>
      <c r="G816">
        <v>0.92905906561244</v>
      </c>
      <c r="H816">
        <v>2E+20</v>
      </c>
      <c r="I816">
        <v>0</v>
      </c>
      <c r="J816">
        <v>1</v>
      </c>
      <c r="K816">
        <v>1</v>
      </c>
      <c r="L816">
        <v>0</v>
      </c>
      <c r="M816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816" s="5" cm="1">
        <f t="array" ref="N816">MAX(IF((ProjectInfoTable[ProjectName]=ContinuousStatsTable[[#This Row],[ProjectName]]),(ProjectInfoTable[ProjectName]=ContinuousStatsTable[[#This Row],[ProjectName]])*ProjectInfoTable[NumberOfReplications]))</f>
        <v>30</v>
      </c>
      <c r="O816" s="5" cm="1">
        <f t="array" ref="O816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816" s="5" cm="1">
        <f t="array" ref="P816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816" s="5" cm="1">
        <f t="array" ref="Q816">MAX(IF((ProjectInfoTable[ProjectName]=ContinuousStatsTable[[#This Row],[ProjectName]]),(ProjectInfoTable[ProjectName]=ContinuousStatsTable[[#This Row],[ProjectName]])*ProjectInfoTable[ConfidenceInterval]))</f>
        <v>0.95</v>
      </c>
      <c r="R8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816" s="5" cm="1">
        <f t="array" ref="S816">MIN(IF((ContinuousStatsTable[GroupByKey]=ContinuousStatsTable[[#This Row],[GroupByKey]]),(ContinuousStatsTable[GroupByKey]=ContinuousStatsTable[[#This Row],[GroupByKey]])*ContinuousStatsTable[Average]))</f>
        <v>0.74061105631083801</v>
      </c>
      <c r="T816" s="5" cm="1">
        <f t="array" ref="T816">MAX(IF((ContinuousStatsTable[GroupByKey]=ContinuousStatsTable[[#This Row],[GroupByKey]]),(ContinuousStatsTable[GroupByKey]=ContinuousStatsTable[[#This Row],[GroupByKey]])*ContinuousStatsTable[Average]))</f>
        <v>0.99245161744166299</v>
      </c>
      <c r="U816" s="5">
        <f>IF((ContinuousStatsTable[[#This Row],[RepsRequested]]&gt;1),ContinuousStatsTable[[#This Row],[HalfWidth]],ContinuousStatsTable[[#This Row],[BatchMeansHalfWidth]])</f>
        <v>2.8912497794626357E-2</v>
      </c>
    </row>
    <row r="817" spans="1:21" x14ac:dyDescent="0.3">
      <c r="A817" t="s">
        <v>66</v>
      </c>
      <c r="B817" t="s">
        <v>68</v>
      </c>
      <c r="C817">
        <v>21</v>
      </c>
      <c r="D817" t="s">
        <v>106</v>
      </c>
      <c r="E817" t="s">
        <v>97</v>
      </c>
      <c r="F817" t="s">
        <v>95</v>
      </c>
      <c r="G817">
        <v>1</v>
      </c>
      <c r="H817">
        <v>2E+20</v>
      </c>
      <c r="I817">
        <v>1</v>
      </c>
      <c r="J817">
        <v>1</v>
      </c>
      <c r="K817">
        <v>1</v>
      </c>
      <c r="L817">
        <v>0</v>
      </c>
      <c r="M817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817" s="5" cm="1">
        <f t="array" ref="N817">MAX(IF((ProjectInfoTable[ProjectName]=ContinuousStatsTable[[#This Row],[ProjectName]]),(ProjectInfoTable[ProjectName]=ContinuousStatsTable[[#This Row],[ProjectName]])*ProjectInfoTable[NumberOfReplications]))</f>
        <v>30</v>
      </c>
      <c r="O817" s="5" cm="1">
        <f t="array" ref="O817">IFERROR(AVERAGE(IF((ContinuousStatsTable[GroupByKey]=ContinuousStatsTable[[#This Row],[GroupByKey]]),(ContinuousStatsTable[GroupByKey]=ContinuousStatsTable[[#This Row],[GroupByKey]])*ContinuousStatsTable[Average])),0)</f>
        <v>1</v>
      </c>
      <c r="P817" s="5" cm="1">
        <f t="array" ref="P817">IFERROR(_xlfn.STDEV.S(IF((ContinuousStatsTable[GroupByKey]=ContinuousStatsTable[[#This Row],[GroupByKey]]),(ContinuousStatsTable[GroupByKey]=ContinuousStatsTable[[#This Row],[GroupByKey]])*ContinuousStatsTable[Average])),0)</f>
        <v>0</v>
      </c>
      <c r="Q817" s="5" cm="1">
        <f t="array" ref="Q817">MAX(IF((ProjectInfoTable[ProjectName]=ContinuousStatsTable[[#This Row],[ProjectName]]),(ProjectInfoTable[ProjectName]=ContinuousStatsTable[[#This Row],[ProjectName]])*ProjectInfoTable[ConfidenceInterval]))</f>
        <v>0.95</v>
      </c>
      <c r="R8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7" s="5" cm="1">
        <f t="array" ref="S817">MIN(IF((ContinuousStatsTable[GroupByKey]=ContinuousStatsTable[[#This Row],[GroupByKey]]),(ContinuousStatsTable[GroupByKey]=ContinuousStatsTable[[#This Row],[GroupByKey]])*ContinuousStatsTable[Average]))</f>
        <v>1</v>
      </c>
      <c r="T817" s="5" cm="1">
        <f t="array" ref="T817">MAX(IF((ContinuousStatsTable[GroupByKey]=ContinuousStatsTable[[#This Row],[GroupByKey]]),(ContinuousStatsTable[GroupByKey]=ContinuousStatsTable[[#This Row],[GroupByKey]])*ContinuousStatsTable[Average]))</f>
        <v>1</v>
      </c>
      <c r="U817" s="5">
        <f>IF((ContinuousStatsTable[[#This Row],[RepsRequested]]&gt;1),ContinuousStatsTable[[#This Row],[HalfWidth]],ContinuousStatsTable[[#This Row],[BatchMeansHalfWidth]])</f>
        <v>0</v>
      </c>
    </row>
    <row r="818" spans="1:21" x14ac:dyDescent="0.3">
      <c r="A818" t="s">
        <v>66</v>
      </c>
      <c r="B818" t="s">
        <v>68</v>
      </c>
      <c r="C818">
        <v>21</v>
      </c>
      <c r="D818" t="s">
        <v>107</v>
      </c>
      <c r="E818" t="s">
        <v>94</v>
      </c>
      <c r="F818" t="s">
        <v>95</v>
      </c>
      <c r="G818">
        <v>0.91741321983720503</v>
      </c>
      <c r="H818">
        <v>2E+20</v>
      </c>
      <c r="I818">
        <v>0</v>
      </c>
      <c r="J818">
        <v>1</v>
      </c>
      <c r="K818">
        <v>1</v>
      </c>
      <c r="L818">
        <v>0</v>
      </c>
      <c r="M818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818" s="5" cm="1">
        <f t="array" ref="N818">MAX(IF((ProjectInfoTable[ProjectName]=ContinuousStatsTable[[#This Row],[ProjectName]]),(ProjectInfoTable[ProjectName]=ContinuousStatsTable[[#This Row],[ProjectName]])*ProjectInfoTable[NumberOfReplications]))</f>
        <v>30</v>
      </c>
      <c r="O818" s="5" cm="1">
        <f t="array" ref="O818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818" s="5" cm="1">
        <f t="array" ref="P818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818" s="5" cm="1">
        <f t="array" ref="Q818">MAX(IF((ProjectInfoTable[ProjectName]=ContinuousStatsTable[[#This Row],[ProjectName]]),(ProjectInfoTable[ProjectName]=ContinuousStatsTable[[#This Row],[ProjectName]])*ProjectInfoTable[ConfidenceInterval]))</f>
        <v>0.95</v>
      </c>
      <c r="R8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818" s="5" cm="1">
        <f t="array" ref="S818">MIN(IF((ContinuousStatsTable[GroupByKey]=ContinuousStatsTable[[#This Row],[GroupByKey]]),(ContinuousStatsTable[GroupByKey]=ContinuousStatsTable[[#This Row],[GroupByKey]])*ContinuousStatsTable[Average]))</f>
        <v>0.73843386001690303</v>
      </c>
      <c r="T818" s="5" cm="1">
        <f t="array" ref="T818">MAX(IF((ContinuousStatsTable[GroupByKey]=ContinuousStatsTable[[#This Row],[GroupByKey]]),(ContinuousStatsTable[GroupByKey]=ContinuousStatsTable[[#This Row],[GroupByKey]])*ContinuousStatsTable[Average]))</f>
        <v>0.99245161744166299</v>
      </c>
      <c r="U818" s="5">
        <f>IF((ContinuousStatsTable[[#This Row],[RepsRequested]]&gt;1),ContinuousStatsTable[[#This Row],[HalfWidth]],ContinuousStatsTable[[#This Row],[BatchMeansHalfWidth]])</f>
        <v>2.6057642646860522E-2</v>
      </c>
    </row>
    <row r="819" spans="1:21" x14ac:dyDescent="0.3">
      <c r="A819" t="s">
        <v>66</v>
      </c>
      <c r="B819" t="s">
        <v>68</v>
      </c>
      <c r="C819">
        <v>21</v>
      </c>
      <c r="D819" t="s">
        <v>107</v>
      </c>
      <c r="E819" t="s">
        <v>96</v>
      </c>
      <c r="F819" t="s">
        <v>95</v>
      </c>
      <c r="G819">
        <v>0.91741321983720503</v>
      </c>
      <c r="H819">
        <v>2E+20</v>
      </c>
      <c r="I819">
        <v>0</v>
      </c>
      <c r="J819">
        <v>1</v>
      </c>
      <c r="K819">
        <v>1</v>
      </c>
      <c r="L819">
        <v>0</v>
      </c>
      <c r="M819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819" s="5" cm="1">
        <f t="array" ref="N819">MAX(IF((ProjectInfoTable[ProjectName]=ContinuousStatsTable[[#This Row],[ProjectName]]),(ProjectInfoTable[ProjectName]=ContinuousStatsTable[[#This Row],[ProjectName]])*ProjectInfoTable[NumberOfReplications]))</f>
        <v>30</v>
      </c>
      <c r="O819" s="5" cm="1">
        <f t="array" ref="O819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819" s="5" cm="1">
        <f t="array" ref="P819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819" s="5" cm="1">
        <f t="array" ref="Q819">MAX(IF((ProjectInfoTable[ProjectName]=ContinuousStatsTable[[#This Row],[ProjectName]]),(ProjectInfoTable[ProjectName]=ContinuousStatsTable[[#This Row],[ProjectName]])*ProjectInfoTable[ConfidenceInterval]))</f>
        <v>0.95</v>
      </c>
      <c r="R8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819" s="5" cm="1">
        <f t="array" ref="S819">MIN(IF((ContinuousStatsTable[GroupByKey]=ContinuousStatsTable[[#This Row],[GroupByKey]]),(ContinuousStatsTable[GroupByKey]=ContinuousStatsTable[[#This Row],[GroupByKey]])*ContinuousStatsTable[Average]))</f>
        <v>0.73843386001690303</v>
      </c>
      <c r="T819" s="5" cm="1">
        <f t="array" ref="T819">MAX(IF((ContinuousStatsTable[GroupByKey]=ContinuousStatsTable[[#This Row],[GroupByKey]]),(ContinuousStatsTable[GroupByKey]=ContinuousStatsTable[[#This Row],[GroupByKey]])*ContinuousStatsTable[Average]))</f>
        <v>0.99245161744166299</v>
      </c>
      <c r="U819" s="5">
        <f>IF((ContinuousStatsTable[[#This Row],[RepsRequested]]&gt;1),ContinuousStatsTable[[#This Row],[HalfWidth]],ContinuousStatsTable[[#This Row],[BatchMeansHalfWidth]])</f>
        <v>2.6057642646860522E-2</v>
      </c>
    </row>
    <row r="820" spans="1:21" x14ac:dyDescent="0.3">
      <c r="A820" t="s">
        <v>66</v>
      </c>
      <c r="B820" t="s">
        <v>68</v>
      </c>
      <c r="C820">
        <v>21</v>
      </c>
      <c r="D820" t="s">
        <v>107</v>
      </c>
      <c r="E820" t="s">
        <v>97</v>
      </c>
      <c r="F820" t="s">
        <v>95</v>
      </c>
      <c r="G820">
        <v>1</v>
      </c>
      <c r="H820">
        <v>2E+20</v>
      </c>
      <c r="I820">
        <v>1</v>
      </c>
      <c r="J820">
        <v>1</v>
      </c>
      <c r="K820">
        <v>1</v>
      </c>
      <c r="L820">
        <v>0</v>
      </c>
      <c r="M820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820" s="5" cm="1">
        <f t="array" ref="N820">MAX(IF((ProjectInfoTable[ProjectName]=ContinuousStatsTable[[#This Row],[ProjectName]]),(ProjectInfoTable[ProjectName]=ContinuousStatsTable[[#This Row],[ProjectName]])*ProjectInfoTable[NumberOfReplications]))</f>
        <v>30</v>
      </c>
      <c r="O820" s="5" cm="1">
        <f t="array" ref="O820">IFERROR(AVERAGE(IF((ContinuousStatsTable[GroupByKey]=ContinuousStatsTable[[#This Row],[GroupByKey]]),(ContinuousStatsTable[GroupByKey]=ContinuousStatsTable[[#This Row],[GroupByKey]])*ContinuousStatsTable[Average])),0)</f>
        <v>1</v>
      </c>
      <c r="P820" s="5" cm="1">
        <f t="array" ref="P820">IFERROR(_xlfn.STDEV.S(IF((ContinuousStatsTable[GroupByKey]=ContinuousStatsTable[[#This Row],[GroupByKey]]),(ContinuousStatsTable[GroupByKey]=ContinuousStatsTable[[#This Row],[GroupByKey]])*ContinuousStatsTable[Average])),0)</f>
        <v>0</v>
      </c>
      <c r="Q820" s="5" cm="1">
        <f t="array" ref="Q820">MAX(IF((ProjectInfoTable[ProjectName]=ContinuousStatsTable[[#This Row],[ProjectName]]),(ProjectInfoTable[ProjectName]=ContinuousStatsTable[[#This Row],[ProjectName]])*ProjectInfoTable[ConfidenceInterval]))</f>
        <v>0.95</v>
      </c>
      <c r="R8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0" s="5" cm="1">
        <f t="array" ref="S820">MIN(IF((ContinuousStatsTable[GroupByKey]=ContinuousStatsTable[[#This Row],[GroupByKey]]),(ContinuousStatsTable[GroupByKey]=ContinuousStatsTable[[#This Row],[GroupByKey]])*ContinuousStatsTable[Average]))</f>
        <v>1</v>
      </c>
      <c r="T820" s="5" cm="1">
        <f t="array" ref="T820">MAX(IF((ContinuousStatsTable[GroupByKey]=ContinuousStatsTable[[#This Row],[GroupByKey]]),(ContinuousStatsTable[GroupByKey]=ContinuousStatsTable[[#This Row],[GroupByKey]])*ContinuousStatsTable[Average]))</f>
        <v>1</v>
      </c>
      <c r="U820" s="5">
        <f>IF((ContinuousStatsTable[[#This Row],[RepsRequested]]&gt;1),ContinuousStatsTable[[#This Row],[HalfWidth]],ContinuousStatsTable[[#This Row],[BatchMeansHalfWidth]])</f>
        <v>0</v>
      </c>
    </row>
    <row r="821" spans="1:21" x14ac:dyDescent="0.3">
      <c r="A821" t="s">
        <v>66</v>
      </c>
      <c r="B821" t="s">
        <v>68</v>
      </c>
      <c r="C821">
        <v>22</v>
      </c>
      <c r="D821" t="s">
        <v>69</v>
      </c>
      <c r="E821" t="s">
        <v>92</v>
      </c>
      <c r="F821" t="s">
        <v>71</v>
      </c>
      <c r="G821">
        <v>4.6099938299685199</v>
      </c>
      <c r="H821">
        <v>2E+20</v>
      </c>
      <c r="I821">
        <v>0</v>
      </c>
      <c r="J821">
        <v>20</v>
      </c>
      <c r="K821">
        <v>0</v>
      </c>
      <c r="L821">
        <v>0</v>
      </c>
      <c r="M821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821" s="5" cm="1">
        <f t="array" ref="N821">MAX(IF((ProjectInfoTable[ProjectName]=ContinuousStatsTable[[#This Row],[ProjectName]]),(ProjectInfoTable[ProjectName]=ContinuousStatsTable[[#This Row],[ProjectName]])*ProjectInfoTable[NumberOfReplications]))</f>
        <v>30</v>
      </c>
      <c r="O821" s="5" cm="1">
        <f t="array" ref="O821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821" s="5" cm="1">
        <f t="array" ref="P821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821" s="5" cm="1">
        <f t="array" ref="Q821">MAX(IF((ProjectInfoTable[ProjectName]=ContinuousStatsTable[[#This Row],[ProjectName]]),(ProjectInfoTable[ProjectName]=ContinuousStatsTable[[#This Row],[ProjectName]])*ProjectInfoTable[ConfidenceInterval]))</f>
        <v>0.95</v>
      </c>
      <c r="R8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821" s="5" cm="1">
        <f t="array" ref="S821">MIN(IF((ContinuousStatsTable[GroupByKey]=ContinuousStatsTable[[#This Row],[GroupByKey]]),(ContinuousStatsTable[GroupByKey]=ContinuousStatsTable[[#This Row],[GroupByKey]])*ContinuousStatsTable[Average]))</f>
        <v>2.2853775994771</v>
      </c>
      <c r="T821" s="5" cm="1">
        <f t="array" ref="T821">MAX(IF((ContinuousStatsTable[GroupByKey]=ContinuousStatsTable[[#This Row],[GroupByKey]]),(ContinuousStatsTable[GroupByKey]=ContinuousStatsTable[[#This Row],[GroupByKey]])*ContinuousStatsTable[Average]))</f>
        <v>9.3827575078214593</v>
      </c>
      <c r="U821" s="5">
        <f>IF((ContinuousStatsTable[[#This Row],[RepsRequested]]&gt;1),ContinuousStatsTable[[#This Row],[HalfWidth]],ContinuousStatsTable[[#This Row],[BatchMeansHalfWidth]])</f>
        <v>0.70373665421471332</v>
      </c>
    </row>
    <row r="822" spans="1:21" x14ac:dyDescent="0.3">
      <c r="A822" t="s">
        <v>66</v>
      </c>
      <c r="B822" t="s">
        <v>68</v>
      </c>
      <c r="C822">
        <v>22</v>
      </c>
      <c r="D822" t="s">
        <v>72</v>
      </c>
      <c r="E822" t="s">
        <v>92</v>
      </c>
      <c r="F822" t="s">
        <v>71</v>
      </c>
      <c r="G822">
        <v>3.8562811802852801</v>
      </c>
      <c r="H822">
        <v>2E+20</v>
      </c>
      <c r="I822">
        <v>0</v>
      </c>
      <c r="J822">
        <v>21</v>
      </c>
      <c r="K822">
        <v>1</v>
      </c>
      <c r="L822">
        <v>0</v>
      </c>
      <c r="M822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822" s="5" cm="1">
        <f t="array" ref="N822">MAX(IF((ProjectInfoTable[ProjectName]=ContinuousStatsTable[[#This Row],[ProjectName]]),(ProjectInfoTable[ProjectName]=ContinuousStatsTable[[#This Row],[ProjectName]])*ProjectInfoTable[NumberOfReplications]))</f>
        <v>30</v>
      </c>
      <c r="O822" s="5" cm="1">
        <f t="array" ref="O822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822" s="5" cm="1">
        <f t="array" ref="P822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822" s="5" cm="1">
        <f t="array" ref="Q822">MAX(IF((ProjectInfoTable[ProjectName]=ContinuousStatsTable[[#This Row],[ProjectName]]),(ProjectInfoTable[ProjectName]=ContinuousStatsTable[[#This Row],[ProjectName]])*ProjectInfoTable[ConfidenceInterval]))</f>
        <v>0.95</v>
      </c>
      <c r="R8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822" s="5" cm="1">
        <f t="array" ref="S822">MIN(IF((ContinuousStatsTable[GroupByKey]=ContinuousStatsTable[[#This Row],[GroupByKey]]),(ContinuousStatsTable[GroupByKey]=ContinuousStatsTable[[#This Row],[GroupByKey]])*ContinuousStatsTable[Average]))</f>
        <v>1.4754093813695901</v>
      </c>
      <c r="T822" s="5" cm="1">
        <f t="array" ref="T822">MAX(IF((ContinuousStatsTable[GroupByKey]=ContinuousStatsTable[[#This Row],[GroupByKey]]),(ContinuousStatsTable[GroupByKey]=ContinuousStatsTable[[#This Row],[GroupByKey]])*ContinuousStatsTable[Average]))</f>
        <v>8.0603747791942499</v>
      </c>
      <c r="U822" s="5">
        <f>IF((ContinuousStatsTable[[#This Row],[RepsRequested]]&gt;1),ContinuousStatsTable[[#This Row],[HalfWidth]],ContinuousStatsTable[[#This Row],[BatchMeansHalfWidth]])</f>
        <v>0.5936172943910426</v>
      </c>
    </row>
    <row r="823" spans="1:21" x14ac:dyDescent="0.3">
      <c r="A823" t="s">
        <v>66</v>
      </c>
      <c r="B823" t="s">
        <v>68</v>
      </c>
      <c r="C823">
        <v>22</v>
      </c>
      <c r="D823" t="s">
        <v>73</v>
      </c>
      <c r="E823" t="s">
        <v>92</v>
      </c>
      <c r="F823" t="s">
        <v>71</v>
      </c>
      <c r="G823">
        <v>2.3181834919325199</v>
      </c>
      <c r="H823">
        <v>2E+20</v>
      </c>
      <c r="I823">
        <v>0</v>
      </c>
      <c r="J823">
        <v>11</v>
      </c>
      <c r="K823">
        <v>6</v>
      </c>
      <c r="L823">
        <v>0</v>
      </c>
      <c r="M823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823" s="5" cm="1">
        <f t="array" ref="N823">MAX(IF((ProjectInfoTable[ProjectName]=ContinuousStatsTable[[#This Row],[ProjectName]]),(ProjectInfoTable[ProjectName]=ContinuousStatsTable[[#This Row],[ProjectName]])*ProjectInfoTable[NumberOfReplications]))</f>
        <v>30</v>
      </c>
      <c r="O823" s="5" cm="1">
        <f t="array" ref="O823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823" s="5" cm="1">
        <f t="array" ref="P823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823" s="5" cm="1">
        <f t="array" ref="Q823">MAX(IF((ProjectInfoTable[ProjectName]=ContinuousStatsTable[[#This Row],[ProjectName]]),(ProjectInfoTable[ProjectName]=ContinuousStatsTable[[#This Row],[ProjectName]])*ProjectInfoTable[ConfidenceInterval]))</f>
        <v>0.95</v>
      </c>
      <c r="R8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823" s="5" cm="1">
        <f t="array" ref="S823">MIN(IF((ContinuousStatsTable[GroupByKey]=ContinuousStatsTable[[#This Row],[GroupByKey]]),(ContinuousStatsTable[GroupByKey]=ContinuousStatsTable[[#This Row],[GroupByKey]])*ContinuousStatsTable[Average]))</f>
        <v>1.3305593103954101</v>
      </c>
      <c r="T823" s="5" cm="1">
        <f t="array" ref="T823">MAX(IF((ContinuousStatsTable[GroupByKey]=ContinuousStatsTable[[#This Row],[GroupByKey]]),(ContinuousStatsTable[GroupByKey]=ContinuousStatsTable[[#This Row],[GroupByKey]])*ContinuousStatsTable[Average]))</f>
        <v>29.356614544212601</v>
      </c>
      <c r="U823" s="5">
        <f>IF((ContinuousStatsTable[[#This Row],[RepsRequested]]&gt;1),ContinuousStatsTable[[#This Row],[HalfWidth]],ContinuousStatsTable[[#This Row],[BatchMeansHalfWidth]])</f>
        <v>2.162177461749093</v>
      </c>
    </row>
    <row r="824" spans="1:21" x14ac:dyDescent="0.3">
      <c r="A824" t="s">
        <v>66</v>
      </c>
      <c r="B824" t="s">
        <v>68</v>
      </c>
      <c r="C824">
        <v>22</v>
      </c>
      <c r="D824" t="s">
        <v>74</v>
      </c>
      <c r="E824" t="s">
        <v>92</v>
      </c>
      <c r="F824" t="s">
        <v>71</v>
      </c>
      <c r="G824">
        <v>0</v>
      </c>
      <c r="H824">
        <v>2E+20</v>
      </c>
      <c r="I824">
        <v>0</v>
      </c>
      <c r="J824">
        <v>0</v>
      </c>
      <c r="K824">
        <v>0</v>
      </c>
      <c r="L824">
        <v>0</v>
      </c>
      <c r="M824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824" s="5" cm="1">
        <f t="array" ref="N824">MAX(IF((ProjectInfoTable[ProjectName]=ContinuousStatsTable[[#This Row],[ProjectName]]),(ProjectInfoTable[ProjectName]=ContinuousStatsTable[[#This Row],[ProjectName]])*ProjectInfoTable[NumberOfReplications]))</f>
        <v>30</v>
      </c>
      <c r="O824" s="5" cm="1">
        <f t="array" ref="O824">IFERROR(AVERAGE(IF((ContinuousStatsTable[GroupByKey]=ContinuousStatsTable[[#This Row],[GroupByKey]]),(ContinuousStatsTable[GroupByKey]=ContinuousStatsTable[[#This Row],[GroupByKey]])*ContinuousStatsTable[Average])),0)</f>
        <v>0</v>
      </c>
      <c r="P824" s="5" cm="1">
        <f t="array" ref="P824">IFERROR(_xlfn.STDEV.S(IF((ContinuousStatsTable[GroupByKey]=ContinuousStatsTable[[#This Row],[GroupByKey]]),(ContinuousStatsTable[GroupByKey]=ContinuousStatsTable[[#This Row],[GroupByKey]])*ContinuousStatsTable[Average])),0)</f>
        <v>0</v>
      </c>
      <c r="Q824" s="5" cm="1">
        <f t="array" ref="Q824">MAX(IF((ProjectInfoTable[ProjectName]=ContinuousStatsTable[[#This Row],[ProjectName]]),(ProjectInfoTable[ProjectName]=ContinuousStatsTable[[#This Row],[ProjectName]])*ProjectInfoTable[ConfidenceInterval]))</f>
        <v>0.95</v>
      </c>
      <c r="R8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4" s="5" cm="1">
        <f t="array" ref="S824">MIN(IF((ContinuousStatsTable[GroupByKey]=ContinuousStatsTable[[#This Row],[GroupByKey]]),(ContinuousStatsTable[GroupByKey]=ContinuousStatsTable[[#This Row],[GroupByKey]])*ContinuousStatsTable[Average]))</f>
        <v>0</v>
      </c>
      <c r="T824" s="5" cm="1">
        <f t="array" ref="T824">MAX(IF((ContinuousStatsTable[GroupByKey]=ContinuousStatsTable[[#This Row],[GroupByKey]]),(ContinuousStatsTable[GroupByKey]=ContinuousStatsTable[[#This Row],[GroupByKey]])*ContinuousStatsTable[Average]))</f>
        <v>0</v>
      </c>
      <c r="U824" s="5">
        <f>IF((ContinuousStatsTable[[#This Row],[RepsRequested]]&gt;1),ContinuousStatsTable[[#This Row],[HalfWidth]],ContinuousStatsTable[[#This Row],[BatchMeansHalfWidth]])</f>
        <v>0</v>
      </c>
    </row>
    <row r="825" spans="1:21" x14ac:dyDescent="0.3">
      <c r="A825" t="s">
        <v>66</v>
      </c>
      <c r="B825" t="s">
        <v>68</v>
      </c>
      <c r="C825">
        <v>22</v>
      </c>
      <c r="D825" t="s">
        <v>75</v>
      </c>
      <c r="E825" t="s">
        <v>92</v>
      </c>
      <c r="F825" t="s">
        <v>71</v>
      </c>
      <c r="G825">
        <v>0</v>
      </c>
      <c r="H825">
        <v>2E+20</v>
      </c>
      <c r="I825">
        <v>0</v>
      </c>
      <c r="J825">
        <v>0</v>
      </c>
      <c r="K825">
        <v>0</v>
      </c>
      <c r="L825">
        <v>0</v>
      </c>
      <c r="M825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825" s="5" cm="1">
        <f t="array" ref="N825">MAX(IF((ProjectInfoTable[ProjectName]=ContinuousStatsTable[[#This Row],[ProjectName]]),(ProjectInfoTable[ProjectName]=ContinuousStatsTable[[#This Row],[ProjectName]])*ProjectInfoTable[NumberOfReplications]))</f>
        <v>30</v>
      </c>
      <c r="O825" s="5" cm="1">
        <f t="array" ref="O825">IFERROR(AVERAGE(IF((ContinuousStatsTable[GroupByKey]=ContinuousStatsTable[[#This Row],[GroupByKey]]),(ContinuousStatsTable[GroupByKey]=ContinuousStatsTable[[#This Row],[GroupByKey]])*ContinuousStatsTable[Average])),0)</f>
        <v>0</v>
      </c>
      <c r="P825" s="5" cm="1">
        <f t="array" ref="P825">IFERROR(_xlfn.STDEV.S(IF((ContinuousStatsTable[GroupByKey]=ContinuousStatsTable[[#This Row],[GroupByKey]]),(ContinuousStatsTable[GroupByKey]=ContinuousStatsTable[[#This Row],[GroupByKey]])*ContinuousStatsTable[Average])),0)</f>
        <v>0</v>
      </c>
      <c r="Q825" s="5" cm="1">
        <f t="array" ref="Q825">MAX(IF((ProjectInfoTable[ProjectName]=ContinuousStatsTable[[#This Row],[ProjectName]]),(ProjectInfoTable[ProjectName]=ContinuousStatsTable[[#This Row],[ProjectName]])*ProjectInfoTable[ConfidenceInterval]))</f>
        <v>0.95</v>
      </c>
      <c r="R8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5" s="5" cm="1">
        <f t="array" ref="S825">MIN(IF((ContinuousStatsTable[GroupByKey]=ContinuousStatsTable[[#This Row],[GroupByKey]]),(ContinuousStatsTable[GroupByKey]=ContinuousStatsTable[[#This Row],[GroupByKey]])*ContinuousStatsTable[Average]))</f>
        <v>0</v>
      </c>
      <c r="T825" s="5" cm="1">
        <f t="array" ref="T825">MAX(IF((ContinuousStatsTable[GroupByKey]=ContinuousStatsTable[[#This Row],[GroupByKey]]),(ContinuousStatsTable[GroupByKey]=ContinuousStatsTable[[#This Row],[GroupByKey]])*ContinuousStatsTable[Average]))</f>
        <v>0</v>
      </c>
      <c r="U825" s="5">
        <f>IF((ContinuousStatsTable[[#This Row],[RepsRequested]]&gt;1),ContinuousStatsTable[[#This Row],[HalfWidth]],ContinuousStatsTable[[#This Row],[BatchMeansHalfWidth]])</f>
        <v>0</v>
      </c>
    </row>
    <row r="826" spans="1:21" x14ac:dyDescent="0.3">
      <c r="A826" t="s">
        <v>66</v>
      </c>
      <c r="B826" t="s">
        <v>68</v>
      </c>
      <c r="C826">
        <v>22</v>
      </c>
      <c r="D826" t="s">
        <v>76</v>
      </c>
      <c r="E826" t="s">
        <v>92</v>
      </c>
      <c r="F826" t="s">
        <v>71</v>
      </c>
      <c r="G826">
        <v>4.5869485136026601E-2</v>
      </c>
      <c r="H826">
        <v>2E+20</v>
      </c>
      <c r="I826">
        <v>0</v>
      </c>
      <c r="J826">
        <v>3</v>
      </c>
      <c r="K826">
        <v>0</v>
      </c>
      <c r="L826">
        <v>0</v>
      </c>
      <c r="M826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826" s="5" cm="1">
        <f t="array" ref="N826">MAX(IF((ProjectInfoTable[ProjectName]=ContinuousStatsTable[[#This Row],[ProjectName]]),(ProjectInfoTable[ProjectName]=ContinuousStatsTable[[#This Row],[ProjectName]])*ProjectInfoTable[NumberOfReplications]))</f>
        <v>30</v>
      </c>
      <c r="O826" s="5" cm="1">
        <f t="array" ref="O826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826" s="5" cm="1">
        <f t="array" ref="P826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826" s="5" cm="1">
        <f t="array" ref="Q826">MAX(IF((ProjectInfoTable[ProjectName]=ContinuousStatsTable[[#This Row],[ProjectName]]),(ProjectInfoTable[ProjectName]=ContinuousStatsTable[[#This Row],[ProjectName]])*ProjectInfoTable[ConfidenceInterval]))</f>
        <v>0.95</v>
      </c>
      <c r="R8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826" s="5" cm="1">
        <f t="array" ref="S826">MIN(IF((ContinuousStatsTable[GroupByKey]=ContinuousStatsTable[[#This Row],[GroupByKey]]),(ContinuousStatsTable[GroupByKey]=ContinuousStatsTable[[#This Row],[GroupByKey]])*ContinuousStatsTable[Average]))</f>
        <v>4.5869485136026601E-2</v>
      </c>
      <c r="T826" s="5" cm="1">
        <f t="array" ref="T826">MAX(IF((ContinuousStatsTable[GroupByKey]=ContinuousStatsTable[[#This Row],[GroupByKey]]),(ContinuousStatsTable[GroupByKey]=ContinuousStatsTable[[#This Row],[GroupByKey]])*ContinuousStatsTable[Average]))</f>
        <v>4.1119263103435699</v>
      </c>
      <c r="U826" s="5">
        <f>IF((ContinuousStatsTable[[#This Row],[RepsRequested]]&gt;1),ContinuousStatsTable[[#This Row],[HalfWidth]],ContinuousStatsTable[[#This Row],[BatchMeansHalfWidth]])</f>
        <v>0.43252967563899991</v>
      </c>
    </row>
    <row r="827" spans="1:21" x14ac:dyDescent="0.3">
      <c r="A827" t="s">
        <v>66</v>
      </c>
      <c r="B827" t="s">
        <v>68</v>
      </c>
      <c r="C827">
        <v>22</v>
      </c>
      <c r="D827" t="s">
        <v>77</v>
      </c>
      <c r="E827" t="s">
        <v>92</v>
      </c>
      <c r="F827" t="s">
        <v>71</v>
      </c>
      <c r="G827">
        <v>0</v>
      </c>
      <c r="H827">
        <v>2E+20</v>
      </c>
      <c r="I827">
        <v>0</v>
      </c>
      <c r="J827">
        <v>0</v>
      </c>
      <c r="K827">
        <v>0</v>
      </c>
      <c r="L827">
        <v>0</v>
      </c>
      <c r="M827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827" s="5" cm="1">
        <f t="array" ref="N827">MAX(IF((ProjectInfoTable[ProjectName]=ContinuousStatsTable[[#This Row],[ProjectName]]),(ProjectInfoTable[ProjectName]=ContinuousStatsTable[[#This Row],[ProjectName]])*ProjectInfoTable[NumberOfReplications]))</f>
        <v>30</v>
      </c>
      <c r="O827" s="5" cm="1">
        <f t="array" ref="O827">IFERROR(AVERAGE(IF((ContinuousStatsTable[GroupByKey]=ContinuousStatsTable[[#This Row],[GroupByKey]]),(ContinuousStatsTable[GroupByKey]=ContinuousStatsTable[[#This Row],[GroupByKey]])*ContinuousStatsTable[Average])),0)</f>
        <v>0</v>
      </c>
      <c r="P827" s="5" cm="1">
        <f t="array" ref="P827">IFERROR(_xlfn.STDEV.S(IF((ContinuousStatsTable[GroupByKey]=ContinuousStatsTable[[#This Row],[GroupByKey]]),(ContinuousStatsTable[GroupByKey]=ContinuousStatsTable[[#This Row],[GroupByKey]])*ContinuousStatsTable[Average])),0)</f>
        <v>0</v>
      </c>
      <c r="Q827" s="5" cm="1">
        <f t="array" ref="Q827">MAX(IF((ProjectInfoTable[ProjectName]=ContinuousStatsTable[[#This Row],[ProjectName]]),(ProjectInfoTable[ProjectName]=ContinuousStatsTable[[#This Row],[ProjectName]])*ProjectInfoTable[ConfidenceInterval]))</f>
        <v>0.95</v>
      </c>
      <c r="R8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7" s="5" cm="1">
        <f t="array" ref="S827">MIN(IF((ContinuousStatsTable[GroupByKey]=ContinuousStatsTable[[#This Row],[GroupByKey]]),(ContinuousStatsTable[GroupByKey]=ContinuousStatsTable[[#This Row],[GroupByKey]])*ContinuousStatsTable[Average]))</f>
        <v>0</v>
      </c>
      <c r="T827" s="5" cm="1">
        <f t="array" ref="T827">MAX(IF((ContinuousStatsTable[GroupByKey]=ContinuousStatsTable[[#This Row],[GroupByKey]]),(ContinuousStatsTable[GroupByKey]=ContinuousStatsTable[[#This Row],[GroupByKey]])*ContinuousStatsTable[Average]))</f>
        <v>0</v>
      </c>
      <c r="U827" s="5">
        <f>IF((ContinuousStatsTable[[#This Row],[RepsRequested]]&gt;1),ContinuousStatsTable[[#This Row],[HalfWidth]],ContinuousStatsTable[[#This Row],[BatchMeansHalfWidth]])</f>
        <v>0</v>
      </c>
    </row>
    <row r="828" spans="1:21" x14ac:dyDescent="0.3">
      <c r="A828" t="s">
        <v>66</v>
      </c>
      <c r="B828" t="s">
        <v>68</v>
      </c>
      <c r="C828">
        <v>22</v>
      </c>
      <c r="D828" t="s">
        <v>78</v>
      </c>
      <c r="E828" t="s">
        <v>92</v>
      </c>
      <c r="F828" t="s">
        <v>71</v>
      </c>
      <c r="G828">
        <v>0</v>
      </c>
      <c r="H828">
        <v>2E+20</v>
      </c>
      <c r="I828">
        <v>0</v>
      </c>
      <c r="J828">
        <v>0</v>
      </c>
      <c r="K828">
        <v>0</v>
      </c>
      <c r="L828">
        <v>0</v>
      </c>
      <c r="M828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828" s="5" cm="1">
        <f t="array" ref="N828">MAX(IF((ProjectInfoTable[ProjectName]=ContinuousStatsTable[[#This Row],[ProjectName]]),(ProjectInfoTable[ProjectName]=ContinuousStatsTable[[#This Row],[ProjectName]])*ProjectInfoTable[NumberOfReplications]))</f>
        <v>30</v>
      </c>
      <c r="O828" s="5" cm="1">
        <f t="array" ref="O828">IFERROR(AVERAGE(IF((ContinuousStatsTable[GroupByKey]=ContinuousStatsTable[[#This Row],[GroupByKey]]),(ContinuousStatsTable[GroupByKey]=ContinuousStatsTable[[#This Row],[GroupByKey]])*ContinuousStatsTable[Average])),0)</f>
        <v>0</v>
      </c>
      <c r="P828" s="5" cm="1">
        <f t="array" ref="P828">IFERROR(_xlfn.STDEV.S(IF((ContinuousStatsTable[GroupByKey]=ContinuousStatsTable[[#This Row],[GroupByKey]]),(ContinuousStatsTable[GroupByKey]=ContinuousStatsTable[[#This Row],[GroupByKey]])*ContinuousStatsTable[Average])),0)</f>
        <v>0</v>
      </c>
      <c r="Q828" s="5" cm="1">
        <f t="array" ref="Q828">MAX(IF((ProjectInfoTable[ProjectName]=ContinuousStatsTable[[#This Row],[ProjectName]]),(ProjectInfoTable[ProjectName]=ContinuousStatsTable[[#This Row],[ProjectName]])*ProjectInfoTable[ConfidenceInterval]))</f>
        <v>0.95</v>
      </c>
      <c r="R8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8" s="5" cm="1">
        <f t="array" ref="S828">MIN(IF((ContinuousStatsTable[GroupByKey]=ContinuousStatsTable[[#This Row],[GroupByKey]]),(ContinuousStatsTable[GroupByKey]=ContinuousStatsTable[[#This Row],[GroupByKey]])*ContinuousStatsTable[Average]))</f>
        <v>0</v>
      </c>
      <c r="T828" s="5" cm="1">
        <f t="array" ref="T828">MAX(IF((ContinuousStatsTable[GroupByKey]=ContinuousStatsTable[[#This Row],[GroupByKey]]),(ContinuousStatsTable[GroupByKey]=ContinuousStatsTable[[#This Row],[GroupByKey]])*ContinuousStatsTable[Average]))</f>
        <v>0</v>
      </c>
      <c r="U828" s="5">
        <f>IF((ContinuousStatsTable[[#This Row],[RepsRequested]]&gt;1),ContinuousStatsTable[[#This Row],[HalfWidth]],ContinuousStatsTable[[#This Row],[BatchMeansHalfWidth]])</f>
        <v>0</v>
      </c>
    </row>
    <row r="829" spans="1:21" x14ac:dyDescent="0.3">
      <c r="A829" t="s">
        <v>66</v>
      </c>
      <c r="B829" t="s">
        <v>68</v>
      </c>
      <c r="C829">
        <v>22</v>
      </c>
      <c r="D829" t="s">
        <v>93</v>
      </c>
      <c r="E829" t="s">
        <v>94</v>
      </c>
      <c r="F829" t="s">
        <v>95</v>
      </c>
      <c r="G829">
        <v>3.3227469149237902E-2</v>
      </c>
      <c r="H829">
        <v>2E+20</v>
      </c>
      <c r="I829">
        <v>0</v>
      </c>
      <c r="J829">
        <v>0.2</v>
      </c>
      <c r="K829">
        <v>0</v>
      </c>
      <c r="L829">
        <v>0</v>
      </c>
      <c r="M829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829" s="5" cm="1">
        <f t="array" ref="N829">MAX(IF((ProjectInfoTable[ProjectName]=ContinuousStatsTable[[#This Row],[ProjectName]]),(ProjectInfoTable[ProjectName]=ContinuousStatsTable[[#This Row],[ProjectName]])*ProjectInfoTable[NumberOfReplications]))</f>
        <v>30</v>
      </c>
      <c r="O829" s="5" cm="1">
        <f t="array" ref="O829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829" s="5" cm="1">
        <f t="array" ref="P829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829" s="5" cm="1">
        <f t="array" ref="Q829">MAX(IF((ProjectInfoTable[ProjectName]=ContinuousStatsTable[[#This Row],[ProjectName]]),(ProjectInfoTable[ProjectName]=ContinuousStatsTable[[#This Row],[ProjectName]])*ProjectInfoTable[ConfidenceInterval]))</f>
        <v>0.95</v>
      </c>
      <c r="R8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829" s="5" cm="1">
        <f t="array" ref="S829">MIN(IF((ContinuousStatsTable[GroupByKey]=ContinuousStatsTable[[#This Row],[GroupByKey]]),(ContinuousStatsTable[GroupByKey]=ContinuousStatsTable[[#This Row],[GroupByKey]])*ContinuousStatsTable[Average]))</f>
        <v>2.3718114155243601E-2</v>
      </c>
      <c r="T829" s="5" cm="1">
        <f t="array" ref="T829">MAX(IF((ContinuousStatsTable[GroupByKey]=ContinuousStatsTable[[#This Row],[GroupByKey]]),(ContinuousStatsTable[GroupByKey]=ContinuousStatsTable[[#This Row],[GroupByKey]])*ContinuousStatsTable[Average]))</f>
        <v>4.8583931724403701E-2</v>
      </c>
      <c r="U829" s="5">
        <f>IF((ContinuousStatsTable[[#This Row],[RepsRequested]]&gt;1),ContinuousStatsTable[[#This Row],[HalfWidth]],ContinuousStatsTable[[#This Row],[BatchMeansHalfWidth]])</f>
        <v>2.4839579632442289E-3</v>
      </c>
    </row>
    <row r="830" spans="1:21" x14ac:dyDescent="0.3">
      <c r="A830" t="s">
        <v>66</v>
      </c>
      <c r="B830" t="s">
        <v>68</v>
      </c>
      <c r="C830">
        <v>22</v>
      </c>
      <c r="D830" t="s">
        <v>93</v>
      </c>
      <c r="E830" t="s">
        <v>96</v>
      </c>
      <c r="F830" t="s">
        <v>95</v>
      </c>
      <c r="G830">
        <v>0.66454938298475796</v>
      </c>
      <c r="H830">
        <v>2E+20</v>
      </c>
      <c r="I830">
        <v>0</v>
      </c>
      <c r="J830">
        <v>4</v>
      </c>
      <c r="K830">
        <v>0</v>
      </c>
      <c r="L830">
        <v>0</v>
      </c>
      <c r="M830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830" s="5" cm="1">
        <f t="array" ref="N830">MAX(IF((ProjectInfoTable[ProjectName]=ContinuousStatsTable[[#This Row],[ProjectName]]),(ProjectInfoTable[ProjectName]=ContinuousStatsTable[[#This Row],[ProjectName]])*ProjectInfoTable[NumberOfReplications]))</f>
        <v>30</v>
      </c>
      <c r="O830" s="5" cm="1">
        <f t="array" ref="O830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830" s="5" cm="1">
        <f t="array" ref="P830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830" s="5" cm="1">
        <f t="array" ref="Q830">MAX(IF((ProjectInfoTable[ProjectName]=ContinuousStatsTable[[#This Row],[ProjectName]]),(ProjectInfoTable[ProjectName]=ContinuousStatsTable[[#This Row],[ProjectName]])*ProjectInfoTable[ConfidenceInterval]))</f>
        <v>0.95</v>
      </c>
      <c r="R8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830" s="5" cm="1">
        <f t="array" ref="S830">MIN(IF((ContinuousStatsTable[GroupByKey]=ContinuousStatsTable[[#This Row],[GroupByKey]]),(ContinuousStatsTable[GroupByKey]=ContinuousStatsTable[[#This Row],[GroupByKey]])*ContinuousStatsTable[Average]))</f>
        <v>0.47436228310487299</v>
      </c>
      <c r="T830" s="5" cm="1">
        <f t="array" ref="T830">MAX(IF((ContinuousStatsTable[GroupByKey]=ContinuousStatsTable[[#This Row],[GroupByKey]]),(ContinuousStatsTable[GroupByKey]=ContinuousStatsTable[[#This Row],[GroupByKey]])*ContinuousStatsTable[Average]))</f>
        <v>0.97167863448807401</v>
      </c>
      <c r="U830" s="5">
        <f>IF((ContinuousStatsTable[[#This Row],[RepsRequested]]&gt;1),ContinuousStatsTable[[#This Row],[HalfWidth]],ContinuousStatsTable[[#This Row],[BatchMeansHalfWidth]])</f>
        <v>4.9679159264885281E-2</v>
      </c>
    </row>
    <row r="831" spans="1:21" x14ac:dyDescent="0.3">
      <c r="A831" t="s">
        <v>66</v>
      </c>
      <c r="B831" t="s">
        <v>68</v>
      </c>
      <c r="C831">
        <v>22</v>
      </c>
      <c r="D831" t="s">
        <v>93</v>
      </c>
      <c r="E831" t="s">
        <v>97</v>
      </c>
      <c r="F831" t="s">
        <v>95</v>
      </c>
      <c r="G831">
        <v>20</v>
      </c>
      <c r="H831">
        <v>2E+20</v>
      </c>
      <c r="I831">
        <v>20</v>
      </c>
      <c r="J831">
        <v>20</v>
      </c>
      <c r="K831">
        <v>20</v>
      </c>
      <c r="L831">
        <v>0</v>
      </c>
      <c r="M831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831" s="5" cm="1">
        <f t="array" ref="N831">MAX(IF((ProjectInfoTable[ProjectName]=ContinuousStatsTable[[#This Row],[ProjectName]]),(ProjectInfoTable[ProjectName]=ContinuousStatsTable[[#This Row],[ProjectName]])*ProjectInfoTable[NumberOfReplications]))</f>
        <v>30</v>
      </c>
      <c r="O831" s="5" cm="1">
        <f t="array" ref="O831">IFERROR(AVERAGE(IF((ContinuousStatsTable[GroupByKey]=ContinuousStatsTable[[#This Row],[GroupByKey]]),(ContinuousStatsTable[GroupByKey]=ContinuousStatsTable[[#This Row],[GroupByKey]])*ContinuousStatsTable[Average])),0)</f>
        <v>20</v>
      </c>
      <c r="P831" s="5" cm="1">
        <f t="array" ref="P831">IFERROR(_xlfn.STDEV.S(IF((ContinuousStatsTable[GroupByKey]=ContinuousStatsTable[[#This Row],[GroupByKey]]),(ContinuousStatsTable[GroupByKey]=ContinuousStatsTable[[#This Row],[GroupByKey]])*ContinuousStatsTable[Average])),0)</f>
        <v>0</v>
      </c>
      <c r="Q831" s="5" cm="1">
        <f t="array" ref="Q831">MAX(IF((ProjectInfoTable[ProjectName]=ContinuousStatsTable[[#This Row],[ProjectName]]),(ProjectInfoTable[ProjectName]=ContinuousStatsTable[[#This Row],[ProjectName]])*ProjectInfoTable[ConfidenceInterval]))</f>
        <v>0.95</v>
      </c>
      <c r="R8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1" s="5" cm="1">
        <f t="array" ref="S831">MIN(IF((ContinuousStatsTable[GroupByKey]=ContinuousStatsTable[[#This Row],[GroupByKey]]),(ContinuousStatsTable[GroupByKey]=ContinuousStatsTable[[#This Row],[GroupByKey]])*ContinuousStatsTable[Average]))</f>
        <v>20</v>
      </c>
      <c r="T831" s="5" cm="1">
        <f t="array" ref="T831">MAX(IF((ContinuousStatsTable[GroupByKey]=ContinuousStatsTable[[#This Row],[GroupByKey]]),(ContinuousStatsTable[GroupByKey]=ContinuousStatsTable[[#This Row],[GroupByKey]])*ContinuousStatsTable[Average]))</f>
        <v>20</v>
      </c>
      <c r="U831" s="5">
        <f>IF((ContinuousStatsTable[[#This Row],[RepsRequested]]&gt;1),ContinuousStatsTable[[#This Row],[HalfWidth]],ContinuousStatsTable[[#This Row],[BatchMeansHalfWidth]])</f>
        <v>0</v>
      </c>
    </row>
    <row r="832" spans="1:21" x14ac:dyDescent="0.3">
      <c r="A832" t="s">
        <v>66</v>
      </c>
      <c r="B832" t="s">
        <v>68</v>
      </c>
      <c r="C832">
        <v>22</v>
      </c>
      <c r="D832" t="s">
        <v>98</v>
      </c>
      <c r="E832" t="s">
        <v>94</v>
      </c>
      <c r="F832" t="s">
        <v>95</v>
      </c>
      <c r="G832">
        <v>0.23102303195412999</v>
      </c>
      <c r="H832">
        <v>2E+20</v>
      </c>
      <c r="I832">
        <v>0</v>
      </c>
      <c r="J832">
        <v>0.5</v>
      </c>
      <c r="K832">
        <v>0.15</v>
      </c>
      <c r="L832">
        <v>0</v>
      </c>
      <c r="M832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832" s="5" cm="1">
        <f t="array" ref="N832">MAX(IF((ProjectInfoTable[ProjectName]=ContinuousStatsTable[[#This Row],[ProjectName]]),(ProjectInfoTable[ProjectName]=ContinuousStatsTable[[#This Row],[ProjectName]])*ProjectInfoTable[NumberOfReplications]))</f>
        <v>30</v>
      </c>
      <c r="O832" s="5" cm="1">
        <f t="array" ref="O832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832" s="5" cm="1">
        <f t="array" ref="P832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832" s="5" cm="1">
        <f t="array" ref="Q832">MAX(IF((ProjectInfoTable[ProjectName]=ContinuousStatsTable[[#This Row],[ProjectName]]),(ProjectInfoTable[ProjectName]=ContinuousStatsTable[[#This Row],[ProjectName]])*ProjectInfoTable[ConfidenceInterval]))</f>
        <v>0.95</v>
      </c>
      <c r="R8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832" s="5" cm="1">
        <f t="array" ref="S832">MIN(IF((ContinuousStatsTable[GroupByKey]=ContinuousStatsTable[[#This Row],[GroupByKey]]),(ContinuousStatsTable[GroupByKey]=ContinuousStatsTable[[#This Row],[GroupByKey]])*ContinuousStatsTable[Average]))</f>
        <v>0.20767736113278101</v>
      </c>
      <c r="T832" s="5" cm="1">
        <f t="array" ref="T832">MAX(IF((ContinuousStatsTable[GroupByKey]=ContinuousStatsTable[[#This Row],[GroupByKey]]),(ContinuousStatsTable[GroupByKey]=ContinuousStatsTable[[#This Row],[GroupByKey]])*ContinuousStatsTable[Average]))</f>
        <v>0.28501162927715501</v>
      </c>
      <c r="U832" s="5">
        <f>IF((ContinuousStatsTable[[#This Row],[RepsRequested]]&gt;1),ContinuousStatsTable[[#This Row],[HalfWidth]],ContinuousStatsTable[[#This Row],[BatchMeansHalfWidth]])</f>
        <v>8.7273384073404715E-3</v>
      </c>
    </row>
    <row r="833" spans="1:21" x14ac:dyDescent="0.3">
      <c r="A833" t="s">
        <v>66</v>
      </c>
      <c r="B833" t="s">
        <v>68</v>
      </c>
      <c r="C833">
        <v>22</v>
      </c>
      <c r="D833" t="s">
        <v>98</v>
      </c>
      <c r="E833" t="s">
        <v>96</v>
      </c>
      <c r="F833" t="s">
        <v>95</v>
      </c>
      <c r="G833">
        <v>4.6204606390825997</v>
      </c>
      <c r="H833">
        <v>2E+20</v>
      </c>
      <c r="I833">
        <v>0</v>
      </c>
      <c r="J833">
        <v>10</v>
      </c>
      <c r="K833">
        <v>3</v>
      </c>
      <c r="L833">
        <v>0</v>
      </c>
      <c r="M833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833" s="5" cm="1">
        <f t="array" ref="N833">MAX(IF((ProjectInfoTable[ProjectName]=ContinuousStatsTable[[#This Row],[ProjectName]]),(ProjectInfoTable[ProjectName]=ContinuousStatsTable[[#This Row],[ProjectName]])*ProjectInfoTable[NumberOfReplications]))</f>
        <v>30</v>
      </c>
      <c r="O833" s="5" cm="1">
        <f t="array" ref="O833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833" s="5" cm="1">
        <f t="array" ref="P833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833" s="5" cm="1">
        <f t="array" ref="Q833">MAX(IF((ProjectInfoTable[ProjectName]=ContinuousStatsTable[[#This Row],[ProjectName]]),(ProjectInfoTable[ProjectName]=ContinuousStatsTable[[#This Row],[ProjectName]])*ProjectInfoTable[ConfidenceInterval]))</f>
        <v>0.95</v>
      </c>
      <c r="R8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833" s="5" cm="1">
        <f t="array" ref="S833">MIN(IF((ContinuousStatsTable[GroupByKey]=ContinuousStatsTable[[#This Row],[GroupByKey]]),(ContinuousStatsTable[GroupByKey]=ContinuousStatsTable[[#This Row],[GroupByKey]])*ContinuousStatsTable[Average]))</f>
        <v>4.15354722265561</v>
      </c>
      <c r="T833" s="5" cm="1">
        <f t="array" ref="T833">MAX(IF((ContinuousStatsTable[GroupByKey]=ContinuousStatsTable[[#This Row],[GroupByKey]]),(ContinuousStatsTable[GroupByKey]=ContinuousStatsTable[[#This Row],[GroupByKey]])*ContinuousStatsTable[Average]))</f>
        <v>5.7002325855431097</v>
      </c>
      <c r="U833" s="5">
        <f>IF((ContinuousStatsTable[[#This Row],[RepsRequested]]&gt;1),ContinuousStatsTable[[#This Row],[HalfWidth]],ContinuousStatsTable[[#This Row],[BatchMeansHalfWidth]])</f>
        <v>0.17454676814681078</v>
      </c>
    </row>
    <row r="834" spans="1:21" x14ac:dyDescent="0.3">
      <c r="A834" t="s">
        <v>66</v>
      </c>
      <c r="B834" t="s">
        <v>68</v>
      </c>
      <c r="C834">
        <v>22</v>
      </c>
      <c r="D834" t="s">
        <v>98</v>
      </c>
      <c r="E834" t="s">
        <v>97</v>
      </c>
      <c r="F834" t="s">
        <v>95</v>
      </c>
      <c r="G834">
        <v>20</v>
      </c>
      <c r="H834">
        <v>2E+20</v>
      </c>
      <c r="I834">
        <v>20</v>
      </c>
      <c r="J834">
        <v>20</v>
      </c>
      <c r="K834">
        <v>20</v>
      </c>
      <c r="L834">
        <v>0</v>
      </c>
      <c r="M834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834" s="5" cm="1">
        <f t="array" ref="N834">MAX(IF((ProjectInfoTable[ProjectName]=ContinuousStatsTable[[#This Row],[ProjectName]]),(ProjectInfoTable[ProjectName]=ContinuousStatsTable[[#This Row],[ProjectName]])*ProjectInfoTable[NumberOfReplications]))</f>
        <v>30</v>
      </c>
      <c r="O834" s="5" cm="1">
        <f t="array" ref="O834">IFERROR(AVERAGE(IF((ContinuousStatsTable[GroupByKey]=ContinuousStatsTable[[#This Row],[GroupByKey]]),(ContinuousStatsTable[GroupByKey]=ContinuousStatsTable[[#This Row],[GroupByKey]])*ContinuousStatsTable[Average])),0)</f>
        <v>20</v>
      </c>
      <c r="P834" s="5" cm="1">
        <f t="array" ref="P834">IFERROR(_xlfn.STDEV.S(IF((ContinuousStatsTable[GroupByKey]=ContinuousStatsTable[[#This Row],[GroupByKey]]),(ContinuousStatsTable[GroupByKey]=ContinuousStatsTable[[#This Row],[GroupByKey]])*ContinuousStatsTable[Average])),0)</f>
        <v>0</v>
      </c>
      <c r="Q834" s="5" cm="1">
        <f t="array" ref="Q834">MAX(IF((ProjectInfoTable[ProjectName]=ContinuousStatsTable[[#This Row],[ProjectName]]),(ProjectInfoTable[ProjectName]=ContinuousStatsTable[[#This Row],[ProjectName]])*ProjectInfoTable[ConfidenceInterval]))</f>
        <v>0.95</v>
      </c>
      <c r="R8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4" s="5" cm="1">
        <f t="array" ref="S834">MIN(IF((ContinuousStatsTable[GroupByKey]=ContinuousStatsTable[[#This Row],[GroupByKey]]),(ContinuousStatsTable[GroupByKey]=ContinuousStatsTable[[#This Row],[GroupByKey]])*ContinuousStatsTable[Average]))</f>
        <v>20</v>
      </c>
      <c r="T834" s="5" cm="1">
        <f t="array" ref="T834">MAX(IF((ContinuousStatsTable[GroupByKey]=ContinuousStatsTable[[#This Row],[GroupByKey]]),(ContinuousStatsTable[GroupByKey]=ContinuousStatsTable[[#This Row],[GroupByKey]])*ContinuousStatsTable[Average]))</f>
        <v>20</v>
      </c>
      <c r="U834" s="5">
        <f>IF((ContinuousStatsTable[[#This Row],[RepsRequested]]&gt;1),ContinuousStatsTable[[#This Row],[HalfWidth]],ContinuousStatsTable[[#This Row],[BatchMeansHalfWidth]])</f>
        <v>0</v>
      </c>
    </row>
    <row r="835" spans="1:21" x14ac:dyDescent="0.3">
      <c r="A835" t="s">
        <v>66</v>
      </c>
      <c r="B835" t="s">
        <v>68</v>
      </c>
      <c r="C835">
        <v>22</v>
      </c>
      <c r="D835" t="s">
        <v>99</v>
      </c>
      <c r="E835" t="s">
        <v>94</v>
      </c>
      <c r="F835" t="s">
        <v>95</v>
      </c>
      <c r="G835">
        <v>0.56346421215110598</v>
      </c>
      <c r="H835">
        <v>2E+20</v>
      </c>
      <c r="I835">
        <v>0</v>
      </c>
      <c r="J835">
        <v>1</v>
      </c>
      <c r="K835">
        <v>0.9</v>
      </c>
      <c r="L835">
        <v>0</v>
      </c>
      <c r="M835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835" s="5" cm="1">
        <f t="array" ref="N835">MAX(IF((ProjectInfoTable[ProjectName]=ContinuousStatsTable[[#This Row],[ProjectName]]),(ProjectInfoTable[ProjectName]=ContinuousStatsTable[[#This Row],[ProjectName]])*ProjectInfoTable[NumberOfReplications]))</f>
        <v>30</v>
      </c>
      <c r="O835" s="5" cm="1">
        <f t="array" ref="O835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835" s="5" cm="1">
        <f t="array" ref="P835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835" s="5" cm="1">
        <f t="array" ref="Q835">MAX(IF((ProjectInfoTable[ProjectName]=ContinuousStatsTable[[#This Row],[ProjectName]]),(ProjectInfoTable[ProjectName]=ContinuousStatsTable[[#This Row],[ProjectName]])*ProjectInfoTable[ConfidenceInterval]))</f>
        <v>0.95</v>
      </c>
      <c r="R8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835" s="5" cm="1">
        <f t="array" ref="S835">MIN(IF((ContinuousStatsTable[GroupByKey]=ContinuousStatsTable[[#This Row],[GroupByKey]]),(ContinuousStatsTable[GroupByKey]=ContinuousStatsTable[[#This Row],[GroupByKey]])*ContinuousStatsTable[Average]))</f>
        <v>0.517215348442703</v>
      </c>
      <c r="T835" s="5" cm="1">
        <f t="array" ref="T835">MAX(IF((ContinuousStatsTable[GroupByKey]=ContinuousStatsTable[[#This Row],[GroupByKey]]),(ContinuousStatsTable[GroupByKey]=ContinuousStatsTable[[#This Row],[GroupByKey]])*ContinuousStatsTable[Average]))</f>
        <v>0.67770389283754395</v>
      </c>
      <c r="U835" s="5">
        <f>IF((ContinuousStatsTable[[#This Row],[RepsRequested]]&gt;1),ContinuousStatsTable[[#This Row],[HalfWidth]],ContinuousStatsTable[[#This Row],[BatchMeansHalfWidth]])</f>
        <v>1.8059192833960565E-2</v>
      </c>
    </row>
    <row r="836" spans="1:21" x14ac:dyDescent="0.3">
      <c r="A836" t="s">
        <v>66</v>
      </c>
      <c r="B836" t="s">
        <v>68</v>
      </c>
      <c r="C836">
        <v>22</v>
      </c>
      <c r="D836" t="s">
        <v>99</v>
      </c>
      <c r="E836" t="s">
        <v>96</v>
      </c>
      <c r="F836" t="s">
        <v>95</v>
      </c>
      <c r="G836">
        <v>5.63464212151107</v>
      </c>
      <c r="H836">
        <v>2E+20</v>
      </c>
      <c r="I836">
        <v>0</v>
      </c>
      <c r="J836">
        <v>10</v>
      </c>
      <c r="K836">
        <v>9</v>
      </c>
      <c r="L836">
        <v>0</v>
      </c>
      <c r="M836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836" s="5" cm="1">
        <f t="array" ref="N836">MAX(IF((ProjectInfoTable[ProjectName]=ContinuousStatsTable[[#This Row],[ProjectName]]),(ProjectInfoTable[ProjectName]=ContinuousStatsTable[[#This Row],[ProjectName]])*ProjectInfoTable[NumberOfReplications]))</f>
        <v>30</v>
      </c>
      <c r="O836" s="5" cm="1">
        <f t="array" ref="O836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836" s="5" cm="1">
        <f t="array" ref="P836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836" s="5" cm="1">
        <f t="array" ref="Q836">MAX(IF((ProjectInfoTable[ProjectName]=ContinuousStatsTable[[#This Row],[ProjectName]]),(ProjectInfoTable[ProjectName]=ContinuousStatsTable[[#This Row],[ProjectName]])*ProjectInfoTable[ConfidenceInterval]))</f>
        <v>0.95</v>
      </c>
      <c r="R8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836" s="5" cm="1">
        <f t="array" ref="S836">MIN(IF((ContinuousStatsTable[GroupByKey]=ContinuousStatsTable[[#This Row],[GroupByKey]]),(ContinuousStatsTable[GroupByKey]=ContinuousStatsTable[[#This Row],[GroupByKey]])*ContinuousStatsTable[Average]))</f>
        <v>5.1721534844270298</v>
      </c>
      <c r="T836" s="5" cm="1">
        <f t="array" ref="T836">MAX(IF((ContinuousStatsTable[GroupByKey]=ContinuousStatsTable[[#This Row],[GroupByKey]]),(ContinuousStatsTable[GroupByKey]=ContinuousStatsTable[[#This Row],[GroupByKey]])*ContinuousStatsTable[Average]))</f>
        <v>6.7770389283754398</v>
      </c>
      <c r="U836" s="5">
        <f>IF((ContinuousStatsTable[[#This Row],[RepsRequested]]&gt;1),ContinuousStatsTable[[#This Row],[HalfWidth]],ContinuousStatsTable[[#This Row],[BatchMeansHalfWidth]])</f>
        <v>0.18059192833960558</v>
      </c>
    </row>
    <row r="837" spans="1:21" x14ac:dyDescent="0.3">
      <c r="A837" t="s">
        <v>66</v>
      </c>
      <c r="B837" t="s">
        <v>68</v>
      </c>
      <c r="C837">
        <v>22</v>
      </c>
      <c r="D837" t="s">
        <v>99</v>
      </c>
      <c r="E837" t="s">
        <v>97</v>
      </c>
      <c r="F837" t="s">
        <v>95</v>
      </c>
      <c r="G837">
        <v>10</v>
      </c>
      <c r="H837">
        <v>2E+20</v>
      </c>
      <c r="I837">
        <v>10</v>
      </c>
      <c r="J837">
        <v>10</v>
      </c>
      <c r="K837">
        <v>10</v>
      </c>
      <c r="L837">
        <v>0</v>
      </c>
      <c r="M837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837" s="5" cm="1">
        <f t="array" ref="N837">MAX(IF((ProjectInfoTable[ProjectName]=ContinuousStatsTable[[#This Row],[ProjectName]]),(ProjectInfoTable[ProjectName]=ContinuousStatsTable[[#This Row],[ProjectName]])*ProjectInfoTable[NumberOfReplications]))</f>
        <v>30</v>
      </c>
      <c r="O837" s="5" cm="1">
        <f t="array" ref="O837">IFERROR(AVERAGE(IF((ContinuousStatsTable[GroupByKey]=ContinuousStatsTable[[#This Row],[GroupByKey]]),(ContinuousStatsTable[GroupByKey]=ContinuousStatsTable[[#This Row],[GroupByKey]])*ContinuousStatsTable[Average])),0)</f>
        <v>10</v>
      </c>
      <c r="P837" s="5" cm="1">
        <f t="array" ref="P837">IFERROR(_xlfn.STDEV.S(IF((ContinuousStatsTable[GroupByKey]=ContinuousStatsTable[[#This Row],[GroupByKey]]),(ContinuousStatsTable[GroupByKey]=ContinuousStatsTable[[#This Row],[GroupByKey]])*ContinuousStatsTable[Average])),0)</f>
        <v>0</v>
      </c>
      <c r="Q837" s="5" cm="1">
        <f t="array" ref="Q837">MAX(IF((ProjectInfoTable[ProjectName]=ContinuousStatsTable[[#This Row],[ProjectName]]),(ProjectInfoTable[ProjectName]=ContinuousStatsTable[[#This Row],[ProjectName]])*ProjectInfoTable[ConfidenceInterval]))</f>
        <v>0.95</v>
      </c>
      <c r="R8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7" s="5" cm="1">
        <f t="array" ref="S837">MIN(IF((ContinuousStatsTable[GroupByKey]=ContinuousStatsTable[[#This Row],[GroupByKey]]),(ContinuousStatsTable[GroupByKey]=ContinuousStatsTable[[#This Row],[GroupByKey]])*ContinuousStatsTable[Average]))</f>
        <v>10</v>
      </c>
      <c r="T837" s="5" cm="1">
        <f t="array" ref="T837">MAX(IF((ContinuousStatsTable[GroupByKey]=ContinuousStatsTable[[#This Row],[GroupByKey]]),(ContinuousStatsTable[GroupByKey]=ContinuousStatsTable[[#This Row],[GroupByKey]])*ContinuousStatsTable[Average]))</f>
        <v>10</v>
      </c>
      <c r="U837" s="5">
        <f>IF((ContinuousStatsTable[[#This Row],[RepsRequested]]&gt;1),ContinuousStatsTable[[#This Row],[HalfWidth]],ContinuousStatsTable[[#This Row],[BatchMeansHalfWidth]])</f>
        <v>0</v>
      </c>
    </row>
    <row r="838" spans="1:21" x14ac:dyDescent="0.3">
      <c r="A838" t="s">
        <v>66</v>
      </c>
      <c r="B838" t="s">
        <v>68</v>
      </c>
      <c r="C838">
        <v>22</v>
      </c>
      <c r="D838" t="s">
        <v>100</v>
      </c>
      <c r="E838" t="s">
        <v>94</v>
      </c>
      <c r="F838" t="s">
        <v>95</v>
      </c>
      <c r="G838">
        <v>0.15878629061452401</v>
      </c>
      <c r="H838">
        <v>2E+20</v>
      </c>
      <c r="I838">
        <v>0</v>
      </c>
      <c r="J838">
        <v>0.34</v>
      </c>
      <c r="K838">
        <v>0.14000000000000001</v>
      </c>
      <c r="L838">
        <v>0</v>
      </c>
      <c r="M838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838" s="5" cm="1">
        <f t="array" ref="N838">MAX(IF((ProjectInfoTable[ProjectName]=ContinuousStatsTable[[#This Row],[ProjectName]]),(ProjectInfoTable[ProjectName]=ContinuousStatsTable[[#This Row],[ProjectName]])*ProjectInfoTable[NumberOfReplications]))</f>
        <v>30</v>
      </c>
      <c r="O838" s="5" cm="1">
        <f t="array" ref="O838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838" s="5" cm="1">
        <f t="array" ref="P838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838" s="5" cm="1">
        <f t="array" ref="Q838">MAX(IF((ProjectInfoTable[ProjectName]=ContinuousStatsTable[[#This Row],[ProjectName]]),(ProjectInfoTable[ProjectName]=ContinuousStatsTable[[#This Row],[ProjectName]])*ProjectInfoTable[ConfidenceInterval]))</f>
        <v>0.95</v>
      </c>
      <c r="R8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838" s="5" cm="1">
        <f t="array" ref="S838">MIN(IF((ContinuousStatsTable[GroupByKey]=ContinuousStatsTable[[#This Row],[GroupByKey]]),(ContinuousStatsTable[GroupByKey]=ContinuousStatsTable[[#This Row],[GroupByKey]])*ContinuousStatsTable[Average]))</f>
        <v>0.14484829778125299</v>
      </c>
      <c r="T838" s="5" cm="1">
        <f t="array" ref="T838">MAX(IF((ContinuousStatsTable[GroupByKey]=ContinuousStatsTable[[#This Row],[GroupByKey]]),(ContinuousStatsTable[GroupByKey]=ContinuousStatsTable[[#This Row],[GroupByKey]])*ContinuousStatsTable[Average]))</f>
        <v>0.19609322315655101</v>
      </c>
      <c r="U838" s="5">
        <f>IF((ContinuousStatsTable[[#This Row],[RepsRequested]]&gt;1),ContinuousStatsTable[[#This Row],[HalfWidth]],ContinuousStatsTable[[#This Row],[BatchMeansHalfWidth]])</f>
        <v>4.9714113556225048E-3</v>
      </c>
    </row>
    <row r="839" spans="1:21" x14ac:dyDescent="0.3">
      <c r="A839" t="s">
        <v>66</v>
      </c>
      <c r="B839" t="s">
        <v>68</v>
      </c>
      <c r="C839">
        <v>22</v>
      </c>
      <c r="D839" t="s">
        <v>100</v>
      </c>
      <c r="E839" t="s">
        <v>96</v>
      </c>
      <c r="F839" t="s">
        <v>95</v>
      </c>
      <c r="G839">
        <v>7.9393145307262101</v>
      </c>
      <c r="H839">
        <v>2E+20</v>
      </c>
      <c r="I839">
        <v>0</v>
      </c>
      <c r="J839">
        <v>17</v>
      </c>
      <c r="K839">
        <v>7</v>
      </c>
      <c r="L839">
        <v>0</v>
      </c>
      <c r="M839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839" s="5" cm="1">
        <f t="array" ref="N839">MAX(IF((ProjectInfoTable[ProjectName]=ContinuousStatsTable[[#This Row],[ProjectName]]),(ProjectInfoTable[ProjectName]=ContinuousStatsTable[[#This Row],[ProjectName]])*ProjectInfoTable[NumberOfReplications]))</f>
        <v>30</v>
      </c>
      <c r="O839" s="5" cm="1">
        <f t="array" ref="O839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839" s="5" cm="1">
        <f t="array" ref="P839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839" s="5" cm="1">
        <f t="array" ref="Q839">MAX(IF((ProjectInfoTable[ProjectName]=ContinuousStatsTable[[#This Row],[ProjectName]]),(ProjectInfoTable[ProjectName]=ContinuousStatsTable[[#This Row],[ProjectName]])*ProjectInfoTable[ConfidenceInterval]))</f>
        <v>0.95</v>
      </c>
      <c r="R8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839" s="5" cm="1">
        <f t="array" ref="S839">MIN(IF((ContinuousStatsTable[GroupByKey]=ContinuousStatsTable[[#This Row],[GroupByKey]]),(ContinuousStatsTable[GroupByKey]=ContinuousStatsTable[[#This Row],[GroupByKey]])*ContinuousStatsTable[Average]))</f>
        <v>7.2424148890626396</v>
      </c>
      <c r="T839" s="5" cm="1">
        <f t="array" ref="T839">MAX(IF((ContinuousStatsTable[GroupByKey]=ContinuousStatsTable[[#This Row],[GroupByKey]]),(ContinuousStatsTable[GroupByKey]=ContinuousStatsTable[[#This Row],[GroupByKey]])*ContinuousStatsTable[Average]))</f>
        <v>9.8046611578275602</v>
      </c>
      <c r="U839" s="5">
        <f>IF((ContinuousStatsTable[[#This Row],[RepsRequested]]&gt;1),ContinuousStatsTable[[#This Row],[HalfWidth]],ContinuousStatsTable[[#This Row],[BatchMeansHalfWidth]])</f>
        <v>0.24857056778112663</v>
      </c>
    </row>
    <row r="840" spans="1:21" x14ac:dyDescent="0.3">
      <c r="A840" t="s">
        <v>66</v>
      </c>
      <c r="B840" t="s">
        <v>68</v>
      </c>
      <c r="C840">
        <v>22</v>
      </c>
      <c r="D840" t="s">
        <v>100</v>
      </c>
      <c r="E840" t="s">
        <v>97</v>
      </c>
      <c r="F840" t="s">
        <v>95</v>
      </c>
      <c r="G840">
        <v>50</v>
      </c>
      <c r="H840">
        <v>2E+20</v>
      </c>
      <c r="I840">
        <v>50</v>
      </c>
      <c r="J840">
        <v>50</v>
      </c>
      <c r="K840">
        <v>50</v>
      </c>
      <c r="L840">
        <v>0</v>
      </c>
      <c r="M840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840" s="5" cm="1">
        <f t="array" ref="N840">MAX(IF((ProjectInfoTable[ProjectName]=ContinuousStatsTable[[#This Row],[ProjectName]]),(ProjectInfoTable[ProjectName]=ContinuousStatsTable[[#This Row],[ProjectName]])*ProjectInfoTable[NumberOfReplications]))</f>
        <v>30</v>
      </c>
      <c r="O840" s="5" cm="1">
        <f t="array" ref="O840">IFERROR(AVERAGE(IF((ContinuousStatsTable[GroupByKey]=ContinuousStatsTable[[#This Row],[GroupByKey]]),(ContinuousStatsTable[GroupByKey]=ContinuousStatsTable[[#This Row],[GroupByKey]])*ContinuousStatsTable[Average])),0)</f>
        <v>50</v>
      </c>
      <c r="P840" s="5" cm="1">
        <f t="array" ref="P840">IFERROR(_xlfn.STDEV.S(IF((ContinuousStatsTable[GroupByKey]=ContinuousStatsTable[[#This Row],[GroupByKey]]),(ContinuousStatsTable[GroupByKey]=ContinuousStatsTable[[#This Row],[GroupByKey]])*ContinuousStatsTable[Average])),0)</f>
        <v>0</v>
      </c>
      <c r="Q840" s="5" cm="1">
        <f t="array" ref="Q840">MAX(IF((ProjectInfoTable[ProjectName]=ContinuousStatsTable[[#This Row],[ProjectName]]),(ProjectInfoTable[ProjectName]=ContinuousStatsTable[[#This Row],[ProjectName]])*ProjectInfoTable[ConfidenceInterval]))</f>
        <v>0.95</v>
      </c>
      <c r="R8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0" s="5" cm="1">
        <f t="array" ref="S840">MIN(IF((ContinuousStatsTable[GroupByKey]=ContinuousStatsTable[[#This Row],[GroupByKey]]),(ContinuousStatsTable[GroupByKey]=ContinuousStatsTable[[#This Row],[GroupByKey]])*ContinuousStatsTable[Average]))</f>
        <v>50</v>
      </c>
      <c r="T840" s="5" cm="1">
        <f t="array" ref="T840">MAX(IF((ContinuousStatsTable[GroupByKey]=ContinuousStatsTable[[#This Row],[GroupByKey]]),(ContinuousStatsTable[GroupByKey]=ContinuousStatsTable[[#This Row],[GroupByKey]])*ContinuousStatsTable[Average]))</f>
        <v>50</v>
      </c>
      <c r="U840" s="5">
        <f>IF((ContinuousStatsTable[[#This Row],[RepsRequested]]&gt;1),ContinuousStatsTable[[#This Row],[HalfWidth]],ContinuousStatsTable[[#This Row],[BatchMeansHalfWidth]])</f>
        <v>0</v>
      </c>
    </row>
    <row r="841" spans="1:21" x14ac:dyDescent="0.3">
      <c r="A841" t="s">
        <v>66</v>
      </c>
      <c r="B841" t="s">
        <v>68</v>
      </c>
      <c r="C841">
        <v>22</v>
      </c>
      <c r="D841" t="s">
        <v>101</v>
      </c>
      <c r="E841" t="s">
        <v>94</v>
      </c>
      <c r="F841" t="s">
        <v>95</v>
      </c>
      <c r="G841">
        <v>8.1293560247452296E-2</v>
      </c>
      <c r="H841">
        <v>2E+20</v>
      </c>
      <c r="I841">
        <v>0</v>
      </c>
      <c r="J841">
        <v>0.33333333333333298</v>
      </c>
      <c r="K841">
        <v>0.2</v>
      </c>
      <c r="L841">
        <v>0</v>
      </c>
      <c r="M841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841" s="5" cm="1">
        <f t="array" ref="N841">MAX(IF((ProjectInfoTable[ProjectName]=ContinuousStatsTable[[#This Row],[ProjectName]]),(ProjectInfoTable[ProjectName]=ContinuousStatsTable[[#This Row],[ProjectName]])*ProjectInfoTable[NumberOfReplications]))</f>
        <v>30</v>
      </c>
      <c r="O841" s="5" cm="1">
        <f t="array" ref="O841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841" s="5" cm="1">
        <f t="array" ref="P841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841" s="5" cm="1">
        <f t="array" ref="Q841">MAX(IF((ProjectInfoTable[ProjectName]=ContinuousStatsTable[[#This Row],[ProjectName]]),(ProjectInfoTable[ProjectName]=ContinuousStatsTable[[#This Row],[ProjectName]])*ProjectInfoTable[ConfidenceInterval]))</f>
        <v>0.95</v>
      </c>
      <c r="R8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841" s="5" cm="1">
        <f t="array" ref="S841">MIN(IF((ContinuousStatsTable[GroupByKey]=ContinuousStatsTable[[#This Row],[GroupByKey]]),(ContinuousStatsTable[GroupByKey]=ContinuousStatsTable[[#This Row],[GroupByKey]])*ContinuousStatsTable[Average]))</f>
        <v>7.4778736536586704E-2</v>
      </c>
      <c r="T841" s="5" cm="1">
        <f t="array" ref="T841">MAX(IF((ContinuousStatsTable[GroupByKey]=ContinuousStatsTable[[#This Row],[GroupByKey]]),(ContinuousStatsTable[GroupByKey]=ContinuousStatsTable[[#This Row],[GroupByKey]])*ContinuousStatsTable[Average]))</f>
        <v>0.111025455742452</v>
      </c>
      <c r="U841" s="5">
        <f>IF((ContinuousStatsTable[[#This Row],[RepsRequested]]&gt;1),ContinuousStatsTable[[#This Row],[HalfWidth]],ContinuousStatsTable[[#This Row],[BatchMeansHalfWidth]])</f>
        <v>4.1821462690338805E-3</v>
      </c>
    </row>
    <row r="842" spans="1:21" x14ac:dyDescent="0.3">
      <c r="A842" t="s">
        <v>66</v>
      </c>
      <c r="B842" t="s">
        <v>68</v>
      </c>
      <c r="C842">
        <v>22</v>
      </c>
      <c r="D842" t="s">
        <v>101</v>
      </c>
      <c r="E842" t="s">
        <v>96</v>
      </c>
      <c r="F842" t="s">
        <v>95</v>
      </c>
      <c r="G842">
        <v>1.21940340371179</v>
      </c>
      <c r="H842">
        <v>2E+20</v>
      </c>
      <c r="I842">
        <v>0</v>
      </c>
      <c r="J842">
        <v>5</v>
      </c>
      <c r="K842">
        <v>3</v>
      </c>
      <c r="L842">
        <v>0</v>
      </c>
      <c r="M842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842" s="5" cm="1">
        <f t="array" ref="N842">MAX(IF((ProjectInfoTable[ProjectName]=ContinuousStatsTable[[#This Row],[ProjectName]]),(ProjectInfoTable[ProjectName]=ContinuousStatsTable[[#This Row],[ProjectName]])*ProjectInfoTable[NumberOfReplications]))</f>
        <v>30</v>
      </c>
      <c r="O842" s="5" cm="1">
        <f t="array" ref="O842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842" s="5" cm="1">
        <f t="array" ref="P842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842" s="5" cm="1">
        <f t="array" ref="Q842">MAX(IF((ProjectInfoTable[ProjectName]=ContinuousStatsTable[[#This Row],[ProjectName]]),(ProjectInfoTable[ProjectName]=ContinuousStatsTable[[#This Row],[ProjectName]])*ProjectInfoTable[ConfidenceInterval]))</f>
        <v>0.95</v>
      </c>
      <c r="R8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842" s="5" cm="1">
        <f t="array" ref="S842">MIN(IF((ContinuousStatsTable[GroupByKey]=ContinuousStatsTable[[#This Row],[GroupByKey]]),(ContinuousStatsTable[GroupByKey]=ContinuousStatsTable[[#This Row],[GroupByKey]])*ContinuousStatsTable[Average]))</f>
        <v>1.1216810480488</v>
      </c>
      <c r="T842" s="5" cm="1">
        <f t="array" ref="T842">MAX(IF((ContinuousStatsTable[GroupByKey]=ContinuousStatsTable[[#This Row],[GroupByKey]]),(ContinuousStatsTable[GroupByKey]=ContinuousStatsTable[[#This Row],[GroupByKey]])*ContinuousStatsTable[Average]))</f>
        <v>1.66538183613678</v>
      </c>
      <c r="U842" s="5">
        <f>IF((ContinuousStatsTable[[#This Row],[RepsRequested]]&gt;1),ContinuousStatsTable[[#This Row],[HalfWidth]],ContinuousStatsTable[[#This Row],[BatchMeansHalfWidth]])</f>
        <v>6.2732194035507963E-2</v>
      </c>
    </row>
    <row r="843" spans="1:21" x14ac:dyDescent="0.3">
      <c r="A843" t="s">
        <v>66</v>
      </c>
      <c r="B843" t="s">
        <v>68</v>
      </c>
      <c r="C843">
        <v>22</v>
      </c>
      <c r="D843" t="s">
        <v>101</v>
      </c>
      <c r="E843" t="s">
        <v>97</v>
      </c>
      <c r="F843" t="s">
        <v>95</v>
      </c>
      <c r="G843">
        <v>15</v>
      </c>
      <c r="H843">
        <v>2E+20</v>
      </c>
      <c r="I843">
        <v>15</v>
      </c>
      <c r="J843">
        <v>15</v>
      </c>
      <c r="K843">
        <v>15</v>
      </c>
      <c r="L843">
        <v>0</v>
      </c>
      <c r="M843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843" s="5" cm="1">
        <f t="array" ref="N843">MAX(IF((ProjectInfoTable[ProjectName]=ContinuousStatsTable[[#This Row],[ProjectName]]),(ProjectInfoTable[ProjectName]=ContinuousStatsTable[[#This Row],[ProjectName]])*ProjectInfoTable[NumberOfReplications]))</f>
        <v>30</v>
      </c>
      <c r="O843" s="5" cm="1">
        <f t="array" ref="O843">IFERROR(AVERAGE(IF((ContinuousStatsTable[GroupByKey]=ContinuousStatsTable[[#This Row],[GroupByKey]]),(ContinuousStatsTable[GroupByKey]=ContinuousStatsTable[[#This Row],[GroupByKey]])*ContinuousStatsTable[Average])),0)</f>
        <v>15</v>
      </c>
      <c r="P843" s="5" cm="1">
        <f t="array" ref="P843">IFERROR(_xlfn.STDEV.S(IF((ContinuousStatsTable[GroupByKey]=ContinuousStatsTable[[#This Row],[GroupByKey]]),(ContinuousStatsTable[GroupByKey]=ContinuousStatsTable[[#This Row],[GroupByKey]])*ContinuousStatsTable[Average])),0)</f>
        <v>0</v>
      </c>
      <c r="Q843" s="5" cm="1">
        <f t="array" ref="Q843">MAX(IF((ProjectInfoTable[ProjectName]=ContinuousStatsTable[[#This Row],[ProjectName]]),(ProjectInfoTable[ProjectName]=ContinuousStatsTable[[#This Row],[ProjectName]])*ProjectInfoTable[ConfidenceInterval]))</f>
        <v>0.95</v>
      </c>
      <c r="R8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3" s="5" cm="1">
        <f t="array" ref="S843">MIN(IF((ContinuousStatsTable[GroupByKey]=ContinuousStatsTable[[#This Row],[GroupByKey]]),(ContinuousStatsTable[GroupByKey]=ContinuousStatsTable[[#This Row],[GroupByKey]])*ContinuousStatsTable[Average]))</f>
        <v>15</v>
      </c>
      <c r="T843" s="5" cm="1">
        <f t="array" ref="T843">MAX(IF((ContinuousStatsTable[GroupByKey]=ContinuousStatsTable[[#This Row],[GroupByKey]]),(ContinuousStatsTable[GroupByKey]=ContinuousStatsTable[[#This Row],[GroupByKey]])*ContinuousStatsTable[Average]))</f>
        <v>15</v>
      </c>
      <c r="U843" s="5">
        <f>IF((ContinuousStatsTable[[#This Row],[RepsRequested]]&gt;1),ContinuousStatsTable[[#This Row],[HalfWidth]],ContinuousStatsTable[[#This Row],[BatchMeansHalfWidth]])</f>
        <v>0</v>
      </c>
    </row>
    <row r="844" spans="1:21" x14ac:dyDescent="0.3">
      <c r="A844" t="s">
        <v>66</v>
      </c>
      <c r="B844" t="s">
        <v>68</v>
      </c>
      <c r="C844">
        <v>22</v>
      </c>
      <c r="D844" t="s">
        <v>102</v>
      </c>
      <c r="E844" t="s">
        <v>94</v>
      </c>
      <c r="F844" t="s">
        <v>95</v>
      </c>
      <c r="G844">
        <v>0.77871377307874301</v>
      </c>
      <c r="H844">
        <v>2E+20</v>
      </c>
      <c r="I844">
        <v>0</v>
      </c>
      <c r="J844">
        <v>1</v>
      </c>
      <c r="K844">
        <v>1</v>
      </c>
      <c r="L844">
        <v>0</v>
      </c>
      <c r="M844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844" s="5" cm="1">
        <f t="array" ref="N844">MAX(IF((ProjectInfoTable[ProjectName]=ContinuousStatsTable[[#This Row],[ProjectName]]),(ProjectInfoTable[ProjectName]=ContinuousStatsTable[[#This Row],[ProjectName]])*ProjectInfoTable[NumberOfReplications]))</f>
        <v>30</v>
      </c>
      <c r="O844" s="5" cm="1">
        <f t="array" ref="O844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844" s="5" cm="1">
        <f t="array" ref="P844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844" s="5" cm="1">
        <f t="array" ref="Q844">MAX(IF((ProjectInfoTable[ProjectName]=ContinuousStatsTable[[#This Row],[ProjectName]]),(ProjectInfoTable[ProjectName]=ContinuousStatsTable[[#This Row],[ProjectName]])*ProjectInfoTable[ConfidenceInterval]))</f>
        <v>0.95</v>
      </c>
      <c r="R8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844" s="5" cm="1">
        <f t="array" ref="S844">MIN(IF((ContinuousStatsTable[GroupByKey]=ContinuousStatsTable[[#This Row],[GroupByKey]]),(ContinuousStatsTable[GroupByKey]=ContinuousStatsTable[[#This Row],[GroupByKey]])*ContinuousStatsTable[Average]))</f>
        <v>0.73673947391417804</v>
      </c>
      <c r="T844" s="5" cm="1">
        <f t="array" ref="T844">MAX(IF((ContinuousStatsTable[GroupByKey]=ContinuousStatsTable[[#This Row],[GroupByKey]]),(ContinuousStatsTable[GroupByKey]=ContinuousStatsTable[[#This Row],[GroupByKey]])*ContinuousStatsTable[Average]))</f>
        <v>0.90592850818388704</v>
      </c>
      <c r="U844" s="5">
        <f>IF((ContinuousStatsTable[[#This Row],[RepsRequested]]&gt;1),ContinuousStatsTable[[#This Row],[HalfWidth]],ContinuousStatsTable[[#This Row],[BatchMeansHalfWidth]])</f>
        <v>1.8636241798384946E-2</v>
      </c>
    </row>
    <row r="845" spans="1:21" x14ac:dyDescent="0.3">
      <c r="A845" t="s">
        <v>66</v>
      </c>
      <c r="B845" t="s">
        <v>68</v>
      </c>
      <c r="C845">
        <v>22</v>
      </c>
      <c r="D845" t="s">
        <v>102</v>
      </c>
      <c r="E845" t="s">
        <v>96</v>
      </c>
      <c r="F845" t="s">
        <v>95</v>
      </c>
      <c r="G845">
        <v>1.4810204642861899</v>
      </c>
      <c r="H845">
        <v>2E+20</v>
      </c>
      <c r="I845">
        <v>0</v>
      </c>
      <c r="J845">
        <v>3</v>
      </c>
      <c r="K845">
        <v>3</v>
      </c>
      <c r="L845">
        <v>0</v>
      </c>
      <c r="M845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845" s="5" cm="1">
        <f t="array" ref="N845">MAX(IF((ProjectInfoTable[ProjectName]=ContinuousStatsTable[[#This Row],[ProjectName]]),(ProjectInfoTable[ProjectName]=ContinuousStatsTable[[#This Row],[ProjectName]])*ProjectInfoTable[NumberOfReplications]))</f>
        <v>30</v>
      </c>
      <c r="O845" s="5" cm="1">
        <f t="array" ref="O845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845" s="5" cm="1">
        <f t="array" ref="P845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845" s="5" cm="1">
        <f t="array" ref="Q845">MAX(IF((ProjectInfoTable[ProjectName]=ContinuousStatsTable[[#This Row],[ProjectName]]),(ProjectInfoTable[ProjectName]=ContinuousStatsTable[[#This Row],[ProjectName]])*ProjectInfoTable[ConfidenceInterval]))</f>
        <v>0.95</v>
      </c>
      <c r="R8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845" s="5" cm="1">
        <f t="array" ref="S845">MIN(IF((ContinuousStatsTable[GroupByKey]=ContinuousStatsTable[[#This Row],[GroupByKey]]),(ContinuousStatsTable[GroupByKey]=ContinuousStatsTable[[#This Row],[GroupByKey]])*ContinuousStatsTable[Average]))</f>
        <v>1.3726163545041801</v>
      </c>
      <c r="T845" s="5" cm="1">
        <f t="array" ref="T845">MAX(IF((ContinuousStatsTable[GroupByKey]=ContinuousStatsTable[[#This Row],[GroupByKey]]),(ContinuousStatsTable[GroupByKey]=ContinuousStatsTable[[#This Row],[GroupByKey]])*ContinuousStatsTable[Average]))</f>
        <v>1.7968913949876599</v>
      </c>
      <c r="U845" s="5">
        <f>IF((ContinuousStatsTable[[#This Row],[RepsRequested]]&gt;1),ContinuousStatsTable[[#This Row],[HalfWidth]],ContinuousStatsTable[[#This Row],[BatchMeansHalfWidth]])</f>
        <v>4.3123628688677348E-2</v>
      </c>
    </row>
    <row r="846" spans="1:21" x14ac:dyDescent="0.3">
      <c r="A846" t="s">
        <v>66</v>
      </c>
      <c r="B846" t="s">
        <v>68</v>
      </c>
      <c r="C846">
        <v>22</v>
      </c>
      <c r="D846" t="s">
        <v>102</v>
      </c>
      <c r="E846" t="s">
        <v>97</v>
      </c>
      <c r="F846" t="s">
        <v>95</v>
      </c>
      <c r="G846">
        <v>2</v>
      </c>
      <c r="H846">
        <v>2E+20</v>
      </c>
      <c r="I846">
        <v>1</v>
      </c>
      <c r="J846">
        <v>3</v>
      </c>
      <c r="K846">
        <v>1</v>
      </c>
      <c r="L846">
        <v>0</v>
      </c>
      <c r="M846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846" s="5" cm="1">
        <f t="array" ref="N846">MAX(IF((ProjectInfoTable[ProjectName]=ContinuousStatsTable[[#This Row],[ProjectName]]),(ProjectInfoTable[ProjectName]=ContinuousStatsTable[[#This Row],[ProjectName]])*ProjectInfoTable[NumberOfReplications]))</f>
        <v>30</v>
      </c>
      <c r="O846" s="5" cm="1">
        <f t="array" ref="O846">IFERROR(AVERAGE(IF((ContinuousStatsTable[GroupByKey]=ContinuousStatsTable[[#This Row],[GroupByKey]]),(ContinuousStatsTable[GroupByKey]=ContinuousStatsTable[[#This Row],[GroupByKey]])*ContinuousStatsTable[Average])),0)</f>
        <v>2</v>
      </c>
      <c r="P846" s="5" cm="1">
        <f t="array" ref="P846">IFERROR(_xlfn.STDEV.S(IF((ContinuousStatsTable[GroupByKey]=ContinuousStatsTable[[#This Row],[GroupByKey]]),(ContinuousStatsTable[GroupByKey]=ContinuousStatsTable[[#This Row],[GroupByKey]])*ContinuousStatsTable[Average])),0)</f>
        <v>0</v>
      </c>
      <c r="Q846" s="5" cm="1">
        <f t="array" ref="Q846">MAX(IF((ProjectInfoTable[ProjectName]=ContinuousStatsTable[[#This Row],[ProjectName]]),(ProjectInfoTable[ProjectName]=ContinuousStatsTable[[#This Row],[ProjectName]])*ProjectInfoTable[ConfidenceInterval]))</f>
        <v>0.95</v>
      </c>
      <c r="R8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6" s="5" cm="1">
        <f t="array" ref="S846">MIN(IF((ContinuousStatsTable[GroupByKey]=ContinuousStatsTable[[#This Row],[GroupByKey]]),(ContinuousStatsTable[GroupByKey]=ContinuousStatsTable[[#This Row],[GroupByKey]])*ContinuousStatsTable[Average]))</f>
        <v>2</v>
      </c>
      <c r="T846" s="5" cm="1">
        <f t="array" ref="T846">MAX(IF((ContinuousStatsTable[GroupByKey]=ContinuousStatsTable[[#This Row],[GroupByKey]]),(ContinuousStatsTable[GroupByKey]=ContinuousStatsTable[[#This Row],[GroupByKey]])*ContinuousStatsTable[Average]))</f>
        <v>2</v>
      </c>
      <c r="U846" s="5">
        <f>IF((ContinuousStatsTable[[#This Row],[RepsRequested]]&gt;1),ContinuousStatsTable[[#This Row],[HalfWidth]],ContinuousStatsTable[[#This Row],[BatchMeansHalfWidth]])</f>
        <v>0</v>
      </c>
    </row>
    <row r="847" spans="1:21" x14ac:dyDescent="0.3">
      <c r="A847" t="s">
        <v>66</v>
      </c>
      <c r="B847" t="s">
        <v>68</v>
      </c>
      <c r="C847">
        <v>22</v>
      </c>
      <c r="D847" t="s">
        <v>84</v>
      </c>
      <c r="E847" t="s">
        <v>103</v>
      </c>
      <c r="F847" t="s">
        <v>86</v>
      </c>
      <c r="G847">
        <v>44.016459980665999</v>
      </c>
      <c r="H847">
        <v>2E+20</v>
      </c>
      <c r="I847">
        <v>0</v>
      </c>
      <c r="J847">
        <v>70</v>
      </c>
      <c r="K847">
        <v>49</v>
      </c>
      <c r="L847">
        <v>0</v>
      </c>
      <c r="M847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847" s="5" cm="1">
        <f t="array" ref="N847">MAX(IF((ProjectInfoTable[ProjectName]=ContinuousStatsTable[[#This Row],[ProjectName]]),(ProjectInfoTable[ProjectName]=ContinuousStatsTable[[#This Row],[ProjectName]])*ProjectInfoTable[NumberOfReplications]))</f>
        <v>30</v>
      </c>
      <c r="O847" s="5" cm="1">
        <f t="array" ref="O847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847" s="5" cm="1">
        <f t="array" ref="P847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847" s="5" cm="1">
        <f t="array" ref="Q847">MAX(IF((ProjectInfoTable[ProjectName]=ContinuousStatsTable[[#This Row],[ProjectName]]),(ProjectInfoTable[ProjectName]=ContinuousStatsTable[[#This Row],[ProjectName]])*ProjectInfoTable[ConfidenceInterval]))</f>
        <v>0.95</v>
      </c>
      <c r="R8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847" s="5" cm="1">
        <f t="array" ref="S847">MIN(IF((ContinuousStatsTable[GroupByKey]=ContinuousStatsTable[[#This Row],[GroupByKey]]),(ContinuousStatsTable[GroupByKey]=ContinuousStatsTable[[#This Row],[GroupByKey]])*ContinuousStatsTable[Average]))</f>
        <v>36.709886237305</v>
      </c>
      <c r="T847" s="5" cm="1">
        <f t="array" ref="T847">MAX(IF((ContinuousStatsTable[GroupByKey]=ContinuousStatsTable[[#This Row],[GroupByKey]]),(ContinuousStatsTable[GroupByKey]=ContinuousStatsTable[[#This Row],[GroupByKey]])*ContinuousStatsTable[Average]))</f>
        <v>84.594951996708403</v>
      </c>
      <c r="U847" s="5">
        <f>IF((ContinuousStatsTable[[#This Row],[RepsRequested]]&gt;1),ContinuousStatsTable[[#This Row],[HalfWidth]],ContinuousStatsTable[[#This Row],[BatchMeansHalfWidth]])</f>
        <v>4.0384933567271259</v>
      </c>
    </row>
    <row r="848" spans="1:21" x14ac:dyDescent="0.3">
      <c r="A848" t="s">
        <v>66</v>
      </c>
      <c r="B848" t="s">
        <v>68</v>
      </c>
      <c r="C848">
        <v>22</v>
      </c>
      <c r="D848" t="s">
        <v>104</v>
      </c>
      <c r="E848" t="s">
        <v>94</v>
      </c>
      <c r="F848" t="s">
        <v>95</v>
      </c>
      <c r="G848">
        <v>0</v>
      </c>
      <c r="H848">
        <v>2E+20</v>
      </c>
      <c r="I848">
        <v>0</v>
      </c>
      <c r="J848">
        <v>0</v>
      </c>
      <c r="K848">
        <v>0</v>
      </c>
      <c r="L848">
        <v>0</v>
      </c>
      <c r="M848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848" s="5" cm="1">
        <f t="array" ref="N848">MAX(IF((ProjectInfoTable[ProjectName]=ContinuousStatsTable[[#This Row],[ProjectName]]),(ProjectInfoTable[ProjectName]=ContinuousStatsTable[[#This Row],[ProjectName]])*ProjectInfoTable[NumberOfReplications]))</f>
        <v>30</v>
      </c>
      <c r="O848" s="5" cm="1">
        <f t="array" ref="O848">IFERROR(AVERAGE(IF((ContinuousStatsTable[GroupByKey]=ContinuousStatsTable[[#This Row],[GroupByKey]]),(ContinuousStatsTable[GroupByKey]=ContinuousStatsTable[[#This Row],[GroupByKey]])*ContinuousStatsTable[Average])),0)</f>
        <v>0</v>
      </c>
      <c r="P848" s="5" cm="1">
        <f t="array" ref="P848">IFERROR(_xlfn.STDEV.S(IF((ContinuousStatsTable[GroupByKey]=ContinuousStatsTable[[#This Row],[GroupByKey]]),(ContinuousStatsTable[GroupByKey]=ContinuousStatsTable[[#This Row],[GroupByKey]])*ContinuousStatsTable[Average])),0)</f>
        <v>0</v>
      </c>
      <c r="Q848" s="5" cm="1">
        <f t="array" ref="Q848">MAX(IF((ProjectInfoTable[ProjectName]=ContinuousStatsTable[[#This Row],[ProjectName]]),(ProjectInfoTable[ProjectName]=ContinuousStatsTable[[#This Row],[ProjectName]])*ProjectInfoTable[ConfidenceInterval]))</f>
        <v>0.95</v>
      </c>
      <c r="R8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8" s="5" cm="1">
        <f t="array" ref="S848">MIN(IF((ContinuousStatsTable[GroupByKey]=ContinuousStatsTable[[#This Row],[GroupByKey]]),(ContinuousStatsTable[GroupByKey]=ContinuousStatsTable[[#This Row],[GroupByKey]])*ContinuousStatsTable[Average]))</f>
        <v>0</v>
      </c>
      <c r="T848" s="5" cm="1">
        <f t="array" ref="T848">MAX(IF((ContinuousStatsTable[GroupByKey]=ContinuousStatsTable[[#This Row],[GroupByKey]]),(ContinuousStatsTable[GroupByKey]=ContinuousStatsTable[[#This Row],[GroupByKey]])*ContinuousStatsTable[Average]))</f>
        <v>0</v>
      </c>
      <c r="U848" s="5">
        <f>IF((ContinuousStatsTable[[#This Row],[RepsRequested]]&gt;1),ContinuousStatsTable[[#This Row],[HalfWidth]],ContinuousStatsTable[[#This Row],[BatchMeansHalfWidth]])</f>
        <v>0</v>
      </c>
    </row>
    <row r="849" spans="1:21" x14ac:dyDescent="0.3">
      <c r="A849" t="s">
        <v>66</v>
      </c>
      <c r="B849" t="s">
        <v>68</v>
      </c>
      <c r="C849">
        <v>22</v>
      </c>
      <c r="D849" t="s">
        <v>104</v>
      </c>
      <c r="E849" t="s">
        <v>96</v>
      </c>
      <c r="F849" t="s">
        <v>95</v>
      </c>
      <c r="G849">
        <v>0</v>
      </c>
      <c r="H849">
        <v>2E+20</v>
      </c>
      <c r="I849">
        <v>0</v>
      </c>
      <c r="J849">
        <v>0</v>
      </c>
      <c r="K849">
        <v>0</v>
      </c>
      <c r="L849">
        <v>0</v>
      </c>
      <c r="M849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849" s="5" cm="1">
        <f t="array" ref="N849">MAX(IF((ProjectInfoTable[ProjectName]=ContinuousStatsTable[[#This Row],[ProjectName]]),(ProjectInfoTable[ProjectName]=ContinuousStatsTable[[#This Row],[ProjectName]])*ProjectInfoTable[NumberOfReplications]))</f>
        <v>30</v>
      </c>
      <c r="O849" s="5" cm="1">
        <f t="array" ref="O849">IFERROR(AVERAGE(IF((ContinuousStatsTable[GroupByKey]=ContinuousStatsTable[[#This Row],[GroupByKey]]),(ContinuousStatsTable[GroupByKey]=ContinuousStatsTable[[#This Row],[GroupByKey]])*ContinuousStatsTable[Average])),0)</f>
        <v>0</v>
      </c>
      <c r="P849" s="5" cm="1">
        <f t="array" ref="P849">IFERROR(_xlfn.STDEV.S(IF((ContinuousStatsTable[GroupByKey]=ContinuousStatsTable[[#This Row],[GroupByKey]]),(ContinuousStatsTable[GroupByKey]=ContinuousStatsTable[[#This Row],[GroupByKey]])*ContinuousStatsTable[Average])),0)</f>
        <v>0</v>
      </c>
      <c r="Q849" s="5" cm="1">
        <f t="array" ref="Q849">MAX(IF((ProjectInfoTable[ProjectName]=ContinuousStatsTable[[#This Row],[ProjectName]]),(ProjectInfoTable[ProjectName]=ContinuousStatsTable[[#This Row],[ProjectName]])*ProjectInfoTable[ConfidenceInterval]))</f>
        <v>0.95</v>
      </c>
      <c r="R8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9" s="5" cm="1">
        <f t="array" ref="S849">MIN(IF((ContinuousStatsTable[GroupByKey]=ContinuousStatsTable[[#This Row],[GroupByKey]]),(ContinuousStatsTable[GroupByKey]=ContinuousStatsTable[[#This Row],[GroupByKey]])*ContinuousStatsTable[Average]))</f>
        <v>0</v>
      </c>
      <c r="T849" s="5" cm="1">
        <f t="array" ref="T849">MAX(IF((ContinuousStatsTable[GroupByKey]=ContinuousStatsTable[[#This Row],[GroupByKey]]),(ContinuousStatsTable[GroupByKey]=ContinuousStatsTable[[#This Row],[GroupByKey]])*ContinuousStatsTable[Average]))</f>
        <v>0</v>
      </c>
      <c r="U849" s="5">
        <f>IF((ContinuousStatsTable[[#This Row],[RepsRequested]]&gt;1),ContinuousStatsTable[[#This Row],[HalfWidth]],ContinuousStatsTable[[#This Row],[BatchMeansHalfWidth]])</f>
        <v>0</v>
      </c>
    </row>
    <row r="850" spans="1:21" x14ac:dyDescent="0.3">
      <c r="A850" t="s">
        <v>66</v>
      </c>
      <c r="B850" t="s">
        <v>68</v>
      </c>
      <c r="C850">
        <v>22</v>
      </c>
      <c r="D850" t="s">
        <v>104</v>
      </c>
      <c r="E850" t="s">
        <v>97</v>
      </c>
      <c r="F850" t="s">
        <v>95</v>
      </c>
      <c r="G850">
        <v>3</v>
      </c>
      <c r="H850">
        <v>2E+20</v>
      </c>
      <c r="I850">
        <v>3</v>
      </c>
      <c r="J850">
        <v>3</v>
      </c>
      <c r="K850">
        <v>3</v>
      </c>
      <c r="L850">
        <v>0</v>
      </c>
      <c r="M850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850" s="5" cm="1">
        <f t="array" ref="N850">MAX(IF((ProjectInfoTable[ProjectName]=ContinuousStatsTable[[#This Row],[ProjectName]]),(ProjectInfoTable[ProjectName]=ContinuousStatsTable[[#This Row],[ProjectName]])*ProjectInfoTable[NumberOfReplications]))</f>
        <v>30</v>
      </c>
      <c r="O850" s="5" cm="1">
        <f t="array" ref="O850">IFERROR(AVERAGE(IF((ContinuousStatsTable[GroupByKey]=ContinuousStatsTable[[#This Row],[GroupByKey]]),(ContinuousStatsTable[GroupByKey]=ContinuousStatsTable[[#This Row],[GroupByKey]])*ContinuousStatsTable[Average])),0)</f>
        <v>3</v>
      </c>
      <c r="P850" s="5" cm="1">
        <f t="array" ref="P850">IFERROR(_xlfn.STDEV.S(IF((ContinuousStatsTable[GroupByKey]=ContinuousStatsTable[[#This Row],[GroupByKey]]),(ContinuousStatsTable[GroupByKey]=ContinuousStatsTable[[#This Row],[GroupByKey]])*ContinuousStatsTable[Average])),0)</f>
        <v>0</v>
      </c>
      <c r="Q850" s="5" cm="1">
        <f t="array" ref="Q850">MAX(IF((ProjectInfoTable[ProjectName]=ContinuousStatsTable[[#This Row],[ProjectName]]),(ProjectInfoTable[ProjectName]=ContinuousStatsTable[[#This Row],[ProjectName]])*ProjectInfoTable[ConfidenceInterval]))</f>
        <v>0.95</v>
      </c>
      <c r="R8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0" s="5" cm="1">
        <f t="array" ref="S850">MIN(IF((ContinuousStatsTable[GroupByKey]=ContinuousStatsTable[[#This Row],[GroupByKey]]),(ContinuousStatsTable[GroupByKey]=ContinuousStatsTable[[#This Row],[GroupByKey]])*ContinuousStatsTable[Average]))</f>
        <v>3</v>
      </c>
      <c r="T850" s="5" cm="1">
        <f t="array" ref="T850">MAX(IF((ContinuousStatsTable[GroupByKey]=ContinuousStatsTable[[#This Row],[GroupByKey]]),(ContinuousStatsTable[GroupByKey]=ContinuousStatsTable[[#This Row],[GroupByKey]])*ContinuousStatsTable[Average]))</f>
        <v>3</v>
      </c>
      <c r="U850" s="5">
        <f>IF((ContinuousStatsTable[[#This Row],[RepsRequested]]&gt;1),ContinuousStatsTable[[#This Row],[HalfWidth]],ContinuousStatsTable[[#This Row],[BatchMeansHalfWidth]])</f>
        <v>0</v>
      </c>
    </row>
    <row r="851" spans="1:21" x14ac:dyDescent="0.3">
      <c r="A851" t="s">
        <v>66</v>
      </c>
      <c r="B851" t="s">
        <v>68</v>
      </c>
      <c r="C851">
        <v>22</v>
      </c>
      <c r="D851" t="s">
        <v>105</v>
      </c>
      <c r="E851" t="s">
        <v>94</v>
      </c>
      <c r="F851" t="s">
        <v>95</v>
      </c>
      <c r="G851">
        <v>0.720732463961128</v>
      </c>
      <c r="H851">
        <v>2E+20</v>
      </c>
      <c r="I851">
        <v>0</v>
      </c>
      <c r="J851">
        <v>1</v>
      </c>
      <c r="K851">
        <v>1</v>
      </c>
      <c r="L851">
        <v>0</v>
      </c>
      <c r="M851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851" s="5" cm="1">
        <f t="array" ref="N851">MAX(IF((ProjectInfoTable[ProjectName]=ContinuousStatsTable[[#This Row],[ProjectName]]),(ProjectInfoTable[ProjectName]=ContinuousStatsTable[[#This Row],[ProjectName]])*ProjectInfoTable[NumberOfReplications]))</f>
        <v>30</v>
      </c>
      <c r="O851" s="5" cm="1">
        <f t="array" ref="O851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851" s="5" cm="1">
        <f t="array" ref="P851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851" s="5" cm="1">
        <f t="array" ref="Q851">MAX(IF((ProjectInfoTable[ProjectName]=ContinuousStatsTable[[#This Row],[ProjectName]]),(ProjectInfoTable[ProjectName]=ContinuousStatsTable[[#This Row],[ProjectName]])*ProjectInfoTable[ConfidenceInterval]))</f>
        <v>0.95</v>
      </c>
      <c r="R8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851" s="5" cm="1">
        <f t="array" ref="S851">MIN(IF((ContinuousStatsTable[GroupByKey]=ContinuousStatsTable[[#This Row],[GroupByKey]]),(ContinuousStatsTable[GroupByKey]=ContinuousStatsTable[[#This Row],[GroupByKey]])*ContinuousStatsTable[Average]))</f>
        <v>0.634589476164233</v>
      </c>
      <c r="T851" s="5" cm="1">
        <f t="array" ref="T851">MAX(IF((ContinuousStatsTable[GroupByKey]=ContinuousStatsTable[[#This Row],[GroupByKey]]),(ContinuousStatsTable[GroupByKey]=ContinuousStatsTable[[#This Row],[GroupByKey]])*ContinuousStatsTable[Average]))</f>
        <v>0.99383259650362799</v>
      </c>
      <c r="U851" s="5">
        <f>IF((ContinuousStatsTable[[#This Row],[RepsRequested]]&gt;1),ContinuousStatsTable[[#This Row],[HalfWidth]],ContinuousStatsTable[[#This Row],[BatchMeansHalfWidth]])</f>
        <v>3.9940526897700258E-2</v>
      </c>
    </row>
    <row r="852" spans="1:21" x14ac:dyDescent="0.3">
      <c r="A852" t="s">
        <v>66</v>
      </c>
      <c r="B852" t="s">
        <v>68</v>
      </c>
      <c r="C852">
        <v>22</v>
      </c>
      <c r="D852" t="s">
        <v>105</v>
      </c>
      <c r="E852" t="s">
        <v>96</v>
      </c>
      <c r="F852" t="s">
        <v>95</v>
      </c>
      <c r="G852">
        <v>0.720732463961128</v>
      </c>
      <c r="H852">
        <v>2E+20</v>
      </c>
      <c r="I852">
        <v>0</v>
      </c>
      <c r="J852">
        <v>1</v>
      </c>
      <c r="K852">
        <v>1</v>
      </c>
      <c r="L852">
        <v>0</v>
      </c>
      <c r="M852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852" s="5" cm="1">
        <f t="array" ref="N852">MAX(IF((ProjectInfoTable[ProjectName]=ContinuousStatsTable[[#This Row],[ProjectName]]),(ProjectInfoTable[ProjectName]=ContinuousStatsTable[[#This Row],[ProjectName]])*ProjectInfoTable[NumberOfReplications]))</f>
        <v>30</v>
      </c>
      <c r="O852" s="5" cm="1">
        <f t="array" ref="O852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852" s="5" cm="1">
        <f t="array" ref="P852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852" s="5" cm="1">
        <f t="array" ref="Q852">MAX(IF((ProjectInfoTable[ProjectName]=ContinuousStatsTable[[#This Row],[ProjectName]]),(ProjectInfoTable[ProjectName]=ContinuousStatsTable[[#This Row],[ProjectName]])*ProjectInfoTable[ConfidenceInterval]))</f>
        <v>0.95</v>
      </c>
      <c r="R8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852" s="5" cm="1">
        <f t="array" ref="S852">MIN(IF((ContinuousStatsTable[GroupByKey]=ContinuousStatsTable[[#This Row],[GroupByKey]]),(ContinuousStatsTable[GroupByKey]=ContinuousStatsTable[[#This Row],[GroupByKey]])*ContinuousStatsTable[Average]))</f>
        <v>0.634589476164233</v>
      </c>
      <c r="T852" s="5" cm="1">
        <f t="array" ref="T852">MAX(IF((ContinuousStatsTable[GroupByKey]=ContinuousStatsTable[[#This Row],[GroupByKey]]),(ContinuousStatsTable[GroupByKey]=ContinuousStatsTable[[#This Row],[GroupByKey]])*ContinuousStatsTable[Average]))</f>
        <v>0.99383259650362799</v>
      </c>
      <c r="U852" s="5">
        <f>IF((ContinuousStatsTable[[#This Row],[RepsRequested]]&gt;1),ContinuousStatsTable[[#This Row],[HalfWidth]],ContinuousStatsTable[[#This Row],[BatchMeansHalfWidth]])</f>
        <v>3.9940526897700258E-2</v>
      </c>
    </row>
    <row r="853" spans="1:21" x14ac:dyDescent="0.3">
      <c r="A853" t="s">
        <v>66</v>
      </c>
      <c r="B853" t="s">
        <v>68</v>
      </c>
      <c r="C853">
        <v>22</v>
      </c>
      <c r="D853" t="s">
        <v>105</v>
      </c>
      <c r="E853" t="s">
        <v>97</v>
      </c>
      <c r="F853" t="s">
        <v>95</v>
      </c>
      <c r="G853">
        <v>1</v>
      </c>
      <c r="H853">
        <v>2E+20</v>
      </c>
      <c r="I853">
        <v>1</v>
      </c>
      <c r="J853">
        <v>1</v>
      </c>
      <c r="K853">
        <v>1</v>
      </c>
      <c r="L853">
        <v>0</v>
      </c>
      <c r="M853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853" s="5" cm="1">
        <f t="array" ref="N853">MAX(IF((ProjectInfoTable[ProjectName]=ContinuousStatsTable[[#This Row],[ProjectName]]),(ProjectInfoTable[ProjectName]=ContinuousStatsTable[[#This Row],[ProjectName]])*ProjectInfoTable[NumberOfReplications]))</f>
        <v>30</v>
      </c>
      <c r="O853" s="5" cm="1">
        <f t="array" ref="O853">IFERROR(AVERAGE(IF((ContinuousStatsTable[GroupByKey]=ContinuousStatsTable[[#This Row],[GroupByKey]]),(ContinuousStatsTable[GroupByKey]=ContinuousStatsTable[[#This Row],[GroupByKey]])*ContinuousStatsTable[Average])),0)</f>
        <v>1</v>
      </c>
      <c r="P853" s="5" cm="1">
        <f t="array" ref="P853">IFERROR(_xlfn.STDEV.S(IF((ContinuousStatsTable[GroupByKey]=ContinuousStatsTable[[#This Row],[GroupByKey]]),(ContinuousStatsTable[GroupByKey]=ContinuousStatsTable[[#This Row],[GroupByKey]])*ContinuousStatsTable[Average])),0)</f>
        <v>0</v>
      </c>
      <c r="Q853" s="5" cm="1">
        <f t="array" ref="Q853">MAX(IF((ProjectInfoTable[ProjectName]=ContinuousStatsTable[[#This Row],[ProjectName]]),(ProjectInfoTable[ProjectName]=ContinuousStatsTable[[#This Row],[ProjectName]])*ProjectInfoTable[ConfidenceInterval]))</f>
        <v>0.95</v>
      </c>
      <c r="R8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3" s="5" cm="1">
        <f t="array" ref="S853">MIN(IF((ContinuousStatsTable[GroupByKey]=ContinuousStatsTable[[#This Row],[GroupByKey]]),(ContinuousStatsTable[GroupByKey]=ContinuousStatsTable[[#This Row],[GroupByKey]])*ContinuousStatsTable[Average]))</f>
        <v>1</v>
      </c>
      <c r="T853" s="5" cm="1">
        <f t="array" ref="T853">MAX(IF((ContinuousStatsTable[GroupByKey]=ContinuousStatsTable[[#This Row],[GroupByKey]]),(ContinuousStatsTable[GroupByKey]=ContinuousStatsTable[[#This Row],[GroupByKey]])*ContinuousStatsTable[Average]))</f>
        <v>1</v>
      </c>
      <c r="U853" s="5">
        <f>IF((ContinuousStatsTable[[#This Row],[RepsRequested]]&gt;1),ContinuousStatsTable[[#This Row],[HalfWidth]],ContinuousStatsTable[[#This Row],[BatchMeansHalfWidth]])</f>
        <v>0</v>
      </c>
    </row>
    <row r="854" spans="1:21" x14ac:dyDescent="0.3">
      <c r="A854" t="s">
        <v>66</v>
      </c>
      <c r="B854" t="s">
        <v>68</v>
      </c>
      <c r="C854">
        <v>22</v>
      </c>
      <c r="D854" t="s">
        <v>106</v>
      </c>
      <c r="E854" t="s">
        <v>94</v>
      </c>
      <c r="F854" t="s">
        <v>95</v>
      </c>
      <c r="G854">
        <v>0.76175647530327495</v>
      </c>
      <c r="H854">
        <v>2E+20</v>
      </c>
      <c r="I854">
        <v>0</v>
      </c>
      <c r="J854">
        <v>1</v>
      </c>
      <c r="K854">
        <v>1</v>
      </c>
      <c r="L854">
        <v>0</v>
      </c>
      <c r="M854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854" s="5" cm="1">
        <f t="array" ref="N854">MAX(IF((ProjectInfoTable[ProjectName]=ContinuousStatsTable[[#This Row],[ProjectName]]),(ProjectInfoTable[ProjectName]=ContinuousStatsTable[[#This Row],[ProjectName]])*ProjectInfoTable[NumberOfReplications]))</f>
        <v>30</v>
      </c>
      <c r="O854" s="5" cm="1">
        <f t="array" ref="O854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854" s="5" cm="1">
        <f t="array" ref="P854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854" s="5" cm="1">
        <f t="array" ref="Q854">MAX(IF((ProjectInfoTable[ProjectName]=ContinuousStatsTable[[#This Row],[ProjectName]]),(ProjectInfoTable[ProjectName]=ContinuousStatsTable[[#This Row],[ProjectName]])*ProjectInfoTable[ConfidenceInterval]))</f>
        <v>0.95</v>
      </c>
      <c r="R8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854" s="5" cm="1">
        <f t="array" ref="S854">MIN(IF((ContinuousStatsTable[GroupByKey]=ContinuousStatsTable[[#This Row],[GroupByKey]]),(ContinuousStatsTable[GroupByKey]=ContinuousStatsTable[[#This Row],[GroupByKey]])*ContinuousStatsTable[Average]))</f>
        <v>0.74061105631083801</v>
      </c>
      <c r="T854" s="5" cm="1">
        <f t="array" ref="T854">MAX(IF((ContinuousStatsTable[GroupByKey]=ContinuousStatsTable[[#This Row],[GroupByKey]]),(ContinuousStatsTable[GroupByKey]=ContinuousStatsTable[[#This Row],[GroupByKey]])*ContinuousStatsTable[Average]))</f>
        <v>0.99245161744166299</v>
      </c>
      <c r="U854" s="5">
        <f>IF((ContinuousStatsTable[[#This Row],[RepsRequested]]&gt;1),ContinuousStatsTable[[#This Row],[HalfWidth]],ContinuousStatsTable[[#This Row],[BatchMeansHalfWidth]])</f>
        <v>2.8912497794626357E-2</v>
      </c>
    </row>
    <row r="855" spans="1:21" x14ac:dyDescent="0.3">
      <c r="A855" t="s">
        <v>66</v>
      </c>
      <c r="B855" t="s">
        <v>68</v>
      </c>
      <c r="C855">
        <v>22</v>
      </c>
      <c r="D855" t="s">
        <v>106</v>
      </c>
      <c r="E855" t="s">
        <v>96</v>
      </c>
      <c r="F855" t="s">
        <v>95</v>
      </c>
      <c r="G855">
        <v>0.76175647530327495</v>
      </c>
      <c r="H855">
        <v>2E+20</v>
      </c>
      <c r="I855">
        <v>0</v>
      </c>
      <c r="J855">
        <v>1</v>
      </c>
      <c r="K855">
        <v>1</v>
      </c>
      <c r="L855">
        <v>0</v>
      </c>
      <c r="M855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855" s="5" cm="1">
        <f t="array" ref="N855">MAX(IF((ProjectInfoTable[ProjectName]=ContinuousStatsTable[[#This Row],[ProjectName]]),(ProjectInfoTable[ProjectName]=ContinuousStatsTable[[#This Row],[ProjectName]])*ProjectInfoTable[NumberOfReplications]))</f>
        <v>30</v>
      </c>
      <c r="O855" s="5" cm="1">
        <f t="array" ref="O855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855" s="5" cm="1">
        <f t="array" ref="P855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855" s="5" cm="1">
        <f t="array" ref="Q855">MAX(IF((ProjectInfoTable[ProjectName]=ContinuousStatsTable[[#This Row],[ProjectName]]),(ProjectInfoTable[ProjectName]=ContinuousStatsTable[[#This Row],[ProjectName]])*ProjectInfoTable[ConfidenceInterval]))</f>
        <v>0.95</v>
      </c>
      <c r="R8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855" s="5" cm="1">
        <f t="array" ref="S855">MIN(IF((ContinuousStatsTable[GroupByKey]=ContinuousStatsTable[[#This Row],[GroupByKey]]),(ContinuousStatsTable[GroupByKey]=ContinuousStatsTable[[#This Row],[GroupByKey]])*ContinuousStatsTable[Average]))</f>
        <v>0.74061105631083801</v>
      </c>
      <c r="T855" s="5" cm="1">
        <f t="array" ref="T855">MAX(IF((ContinuousStatsTable[GroupByKey]=ContinuousStatsTable[[#This Row],[GroupByKey]]),(ContinuousStatsTable[GroupByKey]=ContinuousStatsTable[[#This Row],[GroupByKey]])*ContinuousStatsTable[Average]))</f>
        <v>0.99245161744166299</v>
      </c>
      <c r="U855" s="5">
        <f>IF((ContinuousStatsTable[[#This Row],[RepsRequested]]&gt;1),ContinuousStatsTable[[#This Row],[HalfWidth]],ContinuousStatsTable[[#This Row],[BatchMeansHalfWidth]])</f>
        <v>2.8912497794626357E-2</v>
      </c>
    </row>
    <row r="856" spans="1:21" x14ac:dyDescent="0.3">
      <c r="A856" t="s">
        <v>66</v>
      </c>
      <c r="B856" t="s">
        <v>68</v>
      </c>
      <c r="C856">
        <v>22</v>
      </c>
      <c r="D856" t="s">
        <v>106</v>
      </c>
      <c r="E856" t="s">
        <v>97</v>
      </c>
      <c r="F856" t="s">
        <v>95</v>
      </c>
      <c r="G856">
        <v>1</v>
      </c>
      <c r="H856">
        <v>2E+20</v>
      </c>
      <c r="I856">
        <v>1</v>
      </c>
      <c r="J856">
        <v>1</v>
      </c>
      <c r="K856">
        <v>1</v>
      </c>
      <c r="L856">
        <v>0</v>
      </c>
      <c r="M856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856" s="5" cm="1">
        <f t="array" ref="N856">MAX(IF((ProjectInfoTable[ProjectName]=ContinuousStatsTable[[#This Row],[ProjectName]]),(ProjectInfoTable[ProjectName]=ContinuousStatsTable[[#This Row],[ProjectName]])*ProjectInfoTable[NumberOfReplications]))</f>
        <v>30</v>
      </c>
      <c r="O856" s="5" cm="1">
        <f t="array" ref="O856">IFERROR(AVERAGE(IF((ContinuousStatsTable[GroupByKey]=ContinuousStatsTable[[#This Row],[GroupByKey]]),(ContinuousStatsTable[GroupByKey]=ContinuousStatsTable[[#This Row],[GroupByKey]])*ContinuousStatsTable[Average])),0)</f>
        <v>1</v>
      </c>
      <c r="P856" s="5" cm="1">
        <f t="array" ref="P856">IFERROR(_xlfn.STDEV.S(IF((ContinuousStatsTable[GroupByKey]=ContinuousStatsTable[[#This Row],[GroupByKey]]),(ContinuousStatsTable[GroupByKey]=ContinuousStatsTable[[#This Row],[GroupByKey]])*ContinuousStatsTable[Average])),0)</f>
        <v>0</v>
      </c>
      <c r="Q856" s="5" cm="1">
        <f t="array" ref="Q856">MAX(IF((ProjectInfoTable[ProjectName]=ContinuousStatsTable[[#This Row],[ProjectName]]),(ProjectInfoTable[ProjectName]=ContinuousStatsTable[[#This Row],[ProjectName]])*ProjectInfoTable[ConfidenceInterval]))</f>
        <v>0.95</v>
      </c>
      <c r="R8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6" s="5" cm="1">
        <f t="array" ref="S856">MIN(IF((ContinuousStatsTable[GroupByKey]=ContinuousStatsTable[[#This Row],[GroupByKey]]),(ContinuousStatsTable[GroupByKey]=ContinuousStatsTable[[#This Row],[GroupByKey]])*ContinuousStatsTable[Average]))</f>
        <v>1</v>
      </c>
      <c r="T856" s="5" cm="1">
        <f t="array" ref="T856">MAX(IF((ContinuousStatsTable[GroupByKey]=ContinuousStatsTable[[#This Row],[GroupByKey]]),(ContinuousStatsTable[GroupByKey]=ContinuousStatsTable[[#This Row],[GroupByKey]])*ContinuousStatsTable[Average]))</f>
        <v>1</v>
      </c>
      <c r="U856" s="5">
        <f>IF((ContinuousStatsTable[[#This Row],[RepsRequested]]&gt;1),ContinuousStatsTable[[#This Row],[HalfWidth]],ContinuousStatsTable[[#This Row],[BatchMeansHalfWidth]])</f>
        <v>0</v>
      </c>
    </row>
    <row r="857" spans="1:21" x14ac:dyDescent="0.3">
      <c r="A857" t="s">
        <v>66</v>
      </c>
      <c r="B857" t="s">
        <v>68</v>
      </c>
      <c r="C857">
        <v>22</v>
      </c>
      <c r="D857" t="s">
        <v>107</v>
      </c>
      <c r="E857" t="s">
        <v>94</v>
      </c>
      <c r="F857" t="s">
        <v>95</v>
      </c>
      <c r="G857">
        <v>0.86406011243746295</v>
      </c>
      <c r="H857">
        <v>2E+20</v>
      </c>
      <c r="I857">
        <v>0</v>
      </c>
      <c r="J857">
        <v>1</v>
      </c>
      <c r="K857">
        <v>1</v>
      </c>
      <c r="L857">
        <v>0</v>
      </c>
      <c r="M857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857" s="5" cm="1">
        <f t="array" ref="N857">MAX(IF((ProjectInfoTable[ProjectName]=ContinuousStatsTable[[#This Row],[ProjectName]]),(ProjectInfoTable[ProjectName]=ContinuousStatsTable[[#This Row],[ProjectName]])*ProjectInfoTable[NumberOfReplications]))</f>
        <v>30</v>
      </c>
      <c r="O857" s="5" cm="1">
        <f t="array" ref="O857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857" s="5" cm="1">
        <f t="array" ref="P857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857" s="5" cm="1">
        <f t="array" ref="Q857">MAX(IF((ProjectInfoTable[ProjectName]=ContinuousStatsTable[[#This Row],[ProjectName]]),(ProjectInfoTable[ProjectName]=ContinuousStatsTable[[#This Row],[ProjectName]])*ProjectInfoTable[ConfidenceInterval]))</f>
        <v>0.95</v>
      </c>
      <c r="R8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857" s="5" cm="1">
        <f t="array" ref="S857">MIN(IF((ContinuousStatsTable[GroupByKey]=ContinuousStatsTable[[#This Row],[GroupByKey]]),(ContinuousStatsTable[GroupByKey]=ContinuousStatsTable[[#This Row],[GroupByKey]])*ContinuousStatsTable[Average]))</f>
        <v>0.73843386001690303</v>
      </c>
      <c r="T857" s="5" cm="1">
        <f t="array" ref="T857">MAX(IF((ContinuousStatsTable[GroupByKey]=ContinuousStatsTable[[#This Row],[GroupByKey]]),(ContinuousStatsTable[GroupByKey]=ContinuousStatsTable[[#This Row],[GroupByKey]])*ContinuousStatsTable[Average]))</f>
        <v>0.99245161744166299</v>
      </c>
      <c r="U857" s="5">
        <f>IF((ContinuousStatsTable[[#This Row],[RepsRequested]]&gt;1),ContinuousStatsTable[[#This Row],[HalfWidth]],ContinuousStatsTable[[#This Row],[BatchMeansHalfWidth]])</f>
        <v>2.6057642646860522E-2</v>
      </c>
    </row>
    <row r="858" spans="1:21" x14ac:dyDescent="0.3">
      <c r="A858" t="s">
        <v>66</v>
      </c>
      <c r="B858" t="s">
        <v>68</v>
      </c>
      <c r="C858">
        <v>22</v>
      </c>
      <c r="D858" t="s">
        <v>107</v>
      </c>
      <c r="E858" t="s">
        <v>96</v>
      </c>
      <c r="F858" t="s">
        <v>95</v>
      </c>
      <c r="G858">
        <v>0.86406011243746295</v>
      </c>
      <c r="H858">
        <v>2E+20</v>
      </c>
      <c r="I858">
        <v>0</v>
      </c>
      <c r="J858">
        <v>1</v>
      </c>
      <c r="K858">
        <v>1</v>
      </c>
      <c r="L858">
        <v>0</v>
      </c>
      <c r="M858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858" s="5" cm="1">
        <f t="array" ref="N858">MAX(IF((ProjectInfoTable[ProjectName]=ContinuousStatsTable[[#This Row],[ProjectName]]),(ProjectInfoTable[ProjectName]=ContinuousStatsTable[[#This Row],[ProjectName]])*ProjectInfoTable[NumberOfReplications]))</f>
        <v>30</v>
      </c>
      <c r="O858" s="5" cm="1">
        <f t="array" ref="O858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858" s="5" cm="1">
        <f t="array" ref="P858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858" s="5" cm="1">
        <f t="array" ref="Q858">MAX(IF((ProjectInfoTable[ProjectName]=ContinuousStatsTable[[#This Row],[ProjectName]]),(ProjectInfoTable[ProjectName]=ContinuousStatsTable[[#This Row],[ProjectName]])*ProjectInfoTable[ConfidenceInterval]))</f>
        <v>0.95</v>
      </c>
      <c r="R8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858" s="5" cm="1">
        <f t="array" ref="S858">MIN(IF((ContinuousStatsTable[GroupByKey]=ContinuousStatsTable[[#This Row],[GroupByKey]]),(ContinuousStatsTable[GroupByKey]=ContinuousStatsTable[[#This Row],[GroupByKey]])*ContinuousStatsTable[Average]))</f>
        <v>0.73843386001690303</v>
      </c>
      <c r="T858" s="5" cm="1">
        <f t="array" ref="T858">MAX(IF((ContinuousStatsTable[GroupByKey]=ContinuousStatsTable[[#This Row],[GroupByKey]]),(ContinuousStatsTable[GroupByKey]=ContinuousStatsTable[[#This Row],[GroupByKey]])*ContinuousStatsTable[Average]))</f>
        <v>0.99245161744166299</v>
      </c>
      <c r="U858" s="5">
        <f>IF((ContinuousStatsTable[[#This Row],[RepsRequested]]&gt;1),ContinuousStatsTable[[#This Row],[HalfWidth]],ContinuousStatsTable[[#This Row],[BatchMeansHalfWidth]])</f>
        <v>2.6057642646860522E-2</v>
      </c>
    </row>
    <row r="859" spans="1:21" x14ac:dyDescent="0.3">
      <c r="A859" t="s">
        <v>66</v>
      </c>
      <c r="B859" t="s">
        <v>68</v>
      </c>
      <c r="C859">
        <v>22</v>
      </c>
      <c r="D859" t="s">
        <v>107</v>
      </c>
      <c r="E859" t="s">
        <v>97</v>
      </c>
      <c r="F859" t="s">
        <v>95</v>
      </c>
      <c r="G859">
        <v>1</v>
      </c>
      <c r="H859">
        <v>2E+20</v>
      </c>
      <c r="I859">
        <v>1</v>
      </c>
      <c r="J859">
        <v>1</v>
      </c>
      <c r="K859">
        <v>1</v>
      </c>
      <c r="L859">
        <v>0</v>
      </c>
      <c r="M859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859" s="5" cm="1">
        <f t="array" ref="N859">MAX(IF((ProjectInfoTable[ProjectName]=ContinuousStatsTable[[#This Row],[ProjectName]]),(ProjectInfoTable[ProjectName]=ContinuousStatsTable[[#This Row],[ProjectName]])*ProjectInfoTable[NumberOfReplications]))</f>
        <v>30</v>
      </c>
      <c r="O859" s="5" cm="1">
        <f t="array" ref="O859">IFERROR(AVERAGE(IF((ContinuousStatsTable[GroupByKey]=ContinuousStatsTable[[#This Row],[GroupByKey]]),(ContinuousStatsTable[GroupByKey]=ContinuousStatsTable[[#This Row],[GroupByKey]])*ContinuousStatsTable[Average])),0)</f>
        <v>1</v>
      </c>
      <c r="P859" s="5" cm="1">
        <f t="array" ref="P859">IFERROR(_xlfn.STDEV.S(IF((ContinuousStatsTable[GroupByKey]=ContinuousStatsTable[[#This Row],[GroupByKey]]),(ContinuousStatsTable[GroupByKey]=ContinuousStatsTable[[#This Row],[GroupByKey]])*ContinuousStatsTable[Average])),0)</f>
        <v>0</v>
      </c>
      <c r="Q859" s="5" cm="1">
        <f t="array" ref="Q859">MAX(IF((ProjectInfoTable[ProjectName]=ContinuousStatsTable[[#This Row],[ProjectName]]),(ProjectInfoTable[ProjectName]=ContinuousStatsTable[[#This Row],[ProjectName]])*ProjectInfoTable[ConfidenceInterval]))</f>
        <v>0.95</v>
      </c>
      <c r="R8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9" s="5" cm="1">
        <f t="array" ref="S859">MIN(IF((ContinuousStatsTable[GroupByKey]=ContinuousStatsTable[[#This Row],[GroupByKey]]),(ContinuousStatsTable[GroupByKey]=ContinuousStatsTable[[#This Row],[GroupByKey]])*ContinuousStatsTable[Average]))</f>
        <v>1</v>
      </c>
      <c r="T859" s="5" cm="1">
        <f t="array" ref="T859">MAX(IF((ContinuousStatsTable[GroupByKey]=ContinuousStatsTable[[#This Row],[GroupByKey]]),(ContinuousStatsTable[GroupByKey]=ContinuousStatsTable[[#This Row],[GroupByKey]])*ContinuousStatsTable[Average]))</f>
        <v>1</v>
      </c>
      <c r="U859" s="5">
        <f>IF((ContinuousStatsTable[[#This Row],[RepsRequested]]&gt;1),ContinuousStatsTable[[#This Row],[HalfWidth]],ContinuousStatsTable[[#This Row],[BatchMeansHalfWidth]])</f>
        <v>0</v>
      </c>
    </row>
    <row r="860" spans="1:21" x14ac:dyDescent="0.3">
      <c r="A860" t="s">
        <v>66</v>
      </c>
      <c r="B860" t="s">
        <v>68</v>
      </c>
      <c r="C860">
        <v>23</v>
      </c>
      <c r="D860" t="s">
        <v>69</v>
      </c>
      <c r="E860" t="s">
        <v>92</v>
      </c>
      <c r="F860" t="s">
        <v>71</v>
      </c>
      <c r="G860">
        <v>2.2853775994771</v>
      </c>
      <c r="H860">
        <v>2E+20</v>
      </c>
      <c r="I860">
        <v>0</v>
      </c>
      <c r="J860">
        <v>15</v>
      </c>
      <c r="K860">
        <v>0</v>
      </c>
      <c r="L860">
        <v>0</v>
      </c>
      <c r="M860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860" s="5" cm="1">
        <f t="array" ref="N860">MAX(IF((ProjectInfoTable[ProjectName]=ContinuousStatsTable[[#This Row],[ProjectName]]),(ProjectInfoTable[ProjectName]=ContinuousStatsTable[[#This Row],[ProjectName]])*ProjectInfoTable[NumberOfReplications]))</f>
        <v>30</v>
      </c>
      <c r="O860" s="5" cm="1">
        <f t="array" ref="O860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860" s="5" cm="1">
        <f t="array" ref="P860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860" s="5" cm="1">
        <f t="array" ref="Q860">MAX(IF((ProjectInfoTable[ProjectName]=ContinuousStatsTable[[#This Row],[ProjectName]]),(ProjectInfoTable[ProjectName]=ContinuousStatsTable[[#This Row],[ProjectName]])*ProjectInfoTable[ConfidenceInterval]))</f>
        <v>0.95</v>
      </c>
      <c r="R8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860" s="5" cm="1">
        <f t="array" ref="S860">MIN(IF((ContinuousStatsTable[GroupByKey]=ContinuousStatsTable[[#This Row],[GroupByKey]]),(ContinuousStatsTable[GroupByKey]=ContinuousStatsTable[[#This Row],[GroupByKey]])*ContinuousStatsTable[Average]))</f>
        <v>2.2853775994771</v>
      </c>
      <c r="T860" s="5" cm="1">
        <f t="array" ref="T860">MAX(IF((ContinuousStatsTable[GroupByKey]=ContinuousStatsTable[[#This Row],[GroupByKey]]),(ContinuousStatsTable[GroupByKey]=ContinuousStatsTable[[#This Row],[GroupByKey]])*ContinuousStatsTable[Average]))</f>
        <v>9.3827575078214593</v>
      </c>
      <c r="U860" s="5">
        <f>IF((ContinuousStatsTable[[#This Row],[RepsRequested]]&gt;1),ContinuousStatsTable[[#This Row],[HalfWidth]],ContinuousStatsTable[[#This Row],[BatchMeansHalfWidth]])</f>
        <v>0.70373665421471332</v>
      </c>
    </row>
    <row r="861" spans="1:21" x14ac:dyDescent="0.3">
      <c r="A861" t="s">
        <v>66</v>
      </c>
      <c r="B861" t="s">
        <v>68</v>
      </c>
      <c r="C861">
        <v>23</v>
      </c>
      <c r="D861" t="s">
        <v>72</v>
      </c>
      <c r="E861" t="s">
        <v>92</v>
      </c>
      <c r="F861" t="s">
        <v>71</v>
      </c>
      <c r="G861">
        <v>1.4754093813695901</v>
      </c>
      <c r="H861">
        <v>2E+20</v>
      </c>
      <c r="I861">
        <v>0</v>
      </c>
      <c r="J861">
        <v>9</v>
      </c>
      <c r="K861">
        <v>0</v>
      </c>
      <c r="L861">
        <v>0</v>
      </c>
      <c r="M861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861" s="5" cm="1">
        <f t="array" ref="N861">MAX(IF((ProjectInfoTable[ProjectName]=ContinuousStatsTable[[#This Row],[ProjectName]]),(ProjectInfoTable[ProjectName]=ContinuousStatsTable[[#This Row],[ProjectName]])*ProjectInfoTable[NumberOfReplications]))</f>
        <v>30</v>
      </c>
      <c r="O861" s="5" cm="1">
        <f t="array" ref="O861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861" s="5" cm="1">
        <f t="array" ref="P861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861" s="5" cm="1">
        <f t="array" ref="Q861">MAX(IF((ProjectInfoTable[ProjectName]=ContinuousStatsTable[[#This Row],[ProjectName]]),(ProjectInfoTable[ProjectName]=ContinuousStatsTable[[#This Row],[ProjectName]])*ProjectInfoTable[ConfidenceInterval]))</f>
        <v>0.95</v>
      </c>
      <c r="R8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861" s="5" cm="1">
        <f t="array" ref="S861">MIN(IF((ContinuousStatsTable[GroupByKey]=ContinuousStatsTable[[#This Row],[GroupByKey]]),(ContinuousStatsTable[GroupByKey]=ContinuousStatsTable[[#This Row],[GroupByKey]])*ContinuousStatsTable[Average]))</f>
        <v>1.4754093813695901</v>
      </c>
      <c r="T861" s="5" cm="1">
        <f t="array" ref="T861">MAX(IF((ContinuousStatsTable[GroupByKey]=ContinuousStatsTable[[#This Row],[GroupByKey]]),(ContinuousStatsTable[GroupByKey]=ContinuousStatsTable[[#This Row],[GroupByKey]])*ContinuousStatsTable[Average]))</f>
        <v>8.0603747791942499</v>
      </c>
      <c r="U861" s="5">
        <f>IF((ContinuousStatsTable[[#This Row],[RepsRequested]]&gt;1),ContinuousStatsTable[[#This Row],[HalfWidth]],ContinuousStatsTable[[#This Row],[BatchMeansHalfWidth]])</f>
        <v>0.5936172943910426</v>
      </c>
    </row>
    <row r="862" spans="1:21" x14ac:dyDescent="0.3">
      <c r="A862" t="s">
        <v>66</v>
      </c>
      <c r="B862" t="s">
        <v>68</v>
      </c>
      <c r="C862">
        <v>23</v>
      </c>
      <c r="D862" t="s">
        <v>73</v>
      </c>
      <c r="E862" t="s">
        <v>92</v>
      </c>
      <c r="F862" t="s">
        <v>71</v>
      </c>
      <c r="G862">
        <v>2.2223721659289901</v>
      </c>
      <c r="H862">
        <v>2E+20</v>
      </c>
      <c r="I862">
        <v>0</v>
      </c>
      <c r="J862">
        <v>10</v>
      </c>
      <c r="K862">
        <v>1</v>
      </c>
      <c r="L862">
        <v>0</v>
      </c>
      <c r="M862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862" s="5" cm="1">
        <f t="array" ref="N862">MAX(IF((ProjectInfoTable[ProjectName]=ContinuousStatsTable[[#This Row],[ProjectName]]),(ProjectInfoTable[ProjectName]=ContinuousStatsTable[[#This Row],[ProjectName]])*ProjectInfoTable[NumberOfReplications]))</f>
        <v>30</v>
      </c>
      <c r="O862" s="5" cm="1">
        <f t="array" ref="O862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862" s="5" cm="1">
        <f t="array" ref="P862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862" s="5" cm="1">
        <f t="array" ref="Q862">MAX(IF((ProjectInfoTable[ProjectName]=ContinuousStatsTable[[#This Row],[ProjectName]]),(ProjectInfoTable[ProjectName]=ContinuousStatsTable[[#This Row],[ProjectName]])*ProjectInfoTable[ConfidenceInterval]))</f>
        <v>0.95</v>
      </c>
      <c r="R8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862" s="5" cm="1">
        <f t="array" ref="S862">MIN(IF((ContinuousStatsTable[GroupByKey]=ContinuousStatsTable[[#This Row],[GroupByKey]]),(ContinuousStatsTable[GroupByKey]=ContinuousStatsTable[[#This Row],[GroupByKey]])*ContinuousStatsTable[Average]))</f>
        <v>1.3305593103954101</v>
      </c>
      <c r="T862" s="5" cm="1">
        <f t="array" ref="T862">MAX(IF((ContinuousStatsTable[GroupByKey]=ContinuousStatsTable[[#This Row],[GroupByKey]]),(ContinuousStatsTable[GroupByKey]=ContinuousStatsTable[[#This Row],[GroupByKey]])*ContinuousStatsTable[Average]))</f>
        <v>29.356614544212601</v>
      </c>
      <c r="U862" s="5">
        <f>IF((ContinuousStatsTable[[#This Row],[RepsRequested]]&gt;1),ContinuousStatsTable[[#This Row],[HalfWidth]],ContinuousStatsTable[[#This Row],[BatchMeansHalfWidth]])</f>
        <v>2.162177461749093</v>
      </c>
    </row>
    <row r="863" spans="1:21" x14ac:dyDescent="0.3">
      <c r="A863" t="s">
        <v>66</v>
      </c>
      <c r="B863" t="s">
        <v>68</v>
      </c>
      <c r="C863">
        <v>23</v>
      </c>
      <c r="D863" t="s">
        <v>74</v>
      </c>
      <c r="E863" t="s">
        <v>92</v>
      </c>
      <c r="F863" t="s">
        <v>71</v>
      </c>
      <c r="G863">
        <v>0</v>
      </c>
      <c r="H863">
        <v>2E+20</v>
      </c>
      <c r="I863">
        <v>0</v>
      </c>
      <c r="J863">
        <v>0</v>
      </c>
      <c r="K863">
        <v>0</v>
      </c>
      <c r="L863">
        <v>0</v>
      </c>
      <c r="M863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863" s="5" cm="1">
        <f t="array" ref="N863">MAX(IF((ProjectInfoTable[ProjectName]=ContinuousStatsTable[[#This Row],[ProjectName]]),(ProjectInfoTable[ProjectName]=ContinuousStatsTable[[#This Row],[ProjectName]])*ProjectInfoTable[NumberOfReplications]))</f>
        <v>30</v>
      </c>
      <c r="O863" s="5" cm="1">
        <f t="array" ref="O863">IFERROR(AVERAGE(IF((ContinuousStatsTable[GroupByKey]=ContinuousStatsTable[[#This Row],[GroupByKey]]),(ContinuousStatsTable[GroupByKey]=ContinuousStatsTable[[#This Row],[GroupByKey]])*ContinuousStatsTable[Average])),0)</f>
        <v>0</v>
      </c>
      <c r="P863" s="5" cm="1">
        <f t="array" ref="P863">IFERROR(_xlfn.STDEV.S(IF((ContinuousStatsTable[GroupByKey]=ContinuousStatsTable[[#This Row],[GroupByKey]]),(ContinuousStatsTable[GroupByKey]=ContinuousStatsTable[[#This Row],[GroupByKey]])*ContinuousStatsTable[Average])),0)</f>
        <v>0</v>
      </c>
      <c r="Q863" s="5" cm="1">
        <f t="array" ref="Q863">MAX(IF((ProjectInfoTable[ProjectName]=ContinuousStatsTable[[#This Row],[ProjectName]]),(ProjectInfoTable[ProjectName]=ContinuousStatsTable[[#This Row],[ProjectName]])*ProjectInfoTable[ConfidenceInterval]))</f>
        <v>0.95</v>
      </c>
      <c r="R8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3" s="5" cm="1">
        <f t="array" ref="S863">MIN(IF((ContinuousStatsTable[GroupByKey]=ContinuousStatsTable[[#This Row],[GroupByKey]]),(ContinuousStatsTable[GroupByKey]=ContinuousStatsTable[[#This Row],[GroupByKey]])*ContinuousStatsTable[Average]))</f>
        <v>0</v>
      </c>
      <c r="T863" s="5" cm="1">
        <f t="array" ref="T863">MAX(IF((ContinuousStatsTable[GroupByKey]=ContinuousStatsTable[[#This Row],[GroupByKey]]),(ContinuousStatsTable[GroupByKey]=ContinuousStatsTable[[#This Row],[GroupByKey]])*ContinuousStatsTable[Average]))</f>
        <v>0</v>
      </c>
      <c r="U863" s="5">
        <f>IF((ContinuousStatsTable[[#This Row],[RepsRequested]]&gt;1),ContinuousStatsTable[[#This Row],[HalfWidth]],ContinuousStatsTable[[#This Row],[BatchMeansHalfWidth]])</f>
        <v>0</v>
      </c>
    </row>
    <row r="864" spans="1:21" x14ac:dyDescent="0.3">
      <c r="A864" t="s">
        <v>66</v>
      </c>
      <c r="B864" t="s">
        <v>68</v>
      </c>
      <c r="C864">
        <v>23</v>
      </c>
      <c r="D864" t="s">
        <v>75</v>
      </c>
      <c r="E864" t="s">
        <v>92</v>
      </c>
      <c r="F864" t="s">
        <v>71</v>
      </c>
      <c r="G864">
        <v>0</v>
      </c>
      <c r="H864">
        <v>2E+20</v>
      </c>
      <c r="I864">
        <v>0</v>
      </c>
      <c r="J864">
        <v>0</v>
      </c>
      <c r="K864">
        <v>0</v>
      </c>
      <c r="L864">
        <v>0</v>
      </c>
      <c r="M864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864" s="5" cm="1">
        <f t="array" ref="N864">MAX(IF((ProjectInfoTable[ProjectName]=ContinuousStatsTable[[#This Row],[ProjectName]]),(ProjectInfoTable[ProjectName]=ContinuousStatsTable[[#This Row],[ProjectName]])*ProjectInfoTable[NumberOfReplications]))</f>
        <v>30</v>
      </c>
      <c r="O864" s="5" cm="1">
        <f t="array" ref="O864">IFERROR(AVERAGE(IF((ContinuousStatsTable[GroupByKey]=ContinuousStatsTable[[#This Row],[GroupByKey]]),(ContinuousStatsTable[GroupByKey]=ContinuousStatsTable[[#This Row],[GroupByKey]])*ContinuousStatsTable[Average])),0)</f>
        <v>0</v>
      </c>
      <c r="P864" s="5" cm="1">
        <f t="array" ref="P864">IFERROR(_xlfn.STDEV.S(IF((ContinuousStatsTable[GroupByKey]=ContinuousStatsTable[[#This Row],[GroupByKey]]),(ContinuousStatsTable[GroupByKey]=ContinuousStatsTable[[#This Row],[GroupByKey]])*ContinuousStatsTable[Average])),0)</f>
        <v>0</v>
      </c>
      <c r="Q864" s="5" cm="1">
        <f t="array" ref="Q864">MAX(IF((ProjectInfoTable[ProjectName]=ContinuousStatsTable[[#This Row],[ProjectName]]),(ProjectInfoTable[ProjectName]=ContinuousStatsTable[[#This Row],[ProjectName]])*ProjectInfoTable[ConfidenceInterval]))</f>
        <v>0.95</v>
      </c>
      <c r="R8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4" s="5" cm="1">
        <f t="array" ref="S864">MIN(IF((ContinuousStatsTable[GroupByKey]=ContinuousStatsTable[[#This Row],[GroupByKey]]),(ContinuousStatsTable[GroupByKey]=ContinuousStatsTable[[#This Row],[GroupByKey]])*ContinuousStatsTable[Average]))</f>
        <v>0</v>
      </c>
      <c r="T864" s="5" cm="1">
        <f t="array" ref="T864">MAX(IF((ContinuousStatsTable[GroupByKey]=ContinuousStatsTable[[#This Row],[GroupByKey]]),(ContinuousStatsTable[GroupByKey]=ContinuousStatsTable[[#This Row],[GroupByKey]])*ContinuousStatsTable[Average]))</f>
        <v>0</v>
      </c>
      <c r="U864" s="5">
        <f>IF((ContinuousStatsTable[[#This Row],[RepsRequested]]&gt;1),ContinuousStatsTable[[#This Row],[HalfWidth]],ContinuousStatsTable[[#This Row],[BatchMeansHalfWidth]])</f>
        <v>0</v>
      </c>
    </row>
    <row r="865" spans="1:21" x14ac:dyDescent="0.3">
      <c r="A865" t="s">
        <v>66</v>
      </c>
      <c r="B865" t="s">
        <v>68</v>
      </c>
      <c r="C865">
        <v>23</v>
      </c>
      <c r="D865" t="s">
        <v>76</v>
      </c>
      <c r="E865" t="s">
        <v>92</v>
      </c>
      <c r="F865" t="s">
        <v>71</v>
      </c>
      <c r="G865">
        <v>0.17968420900453799</v>
      </c>
      <c r="H865">
        <v>2E+20</v>
      </c>
      <c r="I865">
        <v>0</v>
      </c>
      <c r="J865">
        <v>5</v>
      </c>
      <c r="K865">
        <v>0</v>
      </c>
      <c r="L865">
        <v>0</v>
      </c>
      <c r="M865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865" s="5" cm="1">
        <f t="array" ref="N865">MAX(IF((ProjectInfoTable[ProjectName]=ContinuousStatsTable[[#This Row],[ProjectName]]),(ProjectInfoTable[ProjectName]=ContinuousStatsTable[[#This Row],[ProjectName]])*ProjectInfoTable[NumberOfReplications]))</f>
        <v>30</v>
      </c>
      <c r="O865" s="5" cm="1">
        <f t="array" ref="O865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865" s="5" cm="1">
        <f t="array" ref="P865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865" s="5" cm="1">
        <f t="array" ref="Q865">MAX(IF((ProjectInfoTable[ProjectName]=ContinuousStatsTable[[#This Row],[ProjectName]]),(ProjectInfoTable[ProjectName]=ContinuousStatsTable[[#This Row],[ProjectName]])*ProjectInfoTable[ConfidenceInterval]))</f>
        <v>0.95</v>
      </c>
      <c r="R8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865" s="5" cm="1">
        <f t="array" ref="S865">MIN(IF((ContinuousStatsTable[GroupByKey]=ContinuousStatsTable[[#This Row],[GroupByKey]]),(ContinuousStatsTable[GroupByKey]=ContinuousStatsTable[[#This Row],[GroupByKey]])*ContinuousStatsTable[Average]))</f>
        <v>4.5869485136026601E-2</v>
      </c>
      <c r="T865" s="5" cm="1">
        <f t="array" ref="T865">MAX(IF((ContinuousStatsTable[GroupByKey]=ContinuousStatsTable[[#This Row],[GroupByKey]]),(ContinuousStatsTable[GroupByKey]=ContinuousStatsTable[[#This Row],[GroupByKey]])*ContinuousStatsTable[Average]))</f>
        <v>4.1119263103435699</v>
      </c>
      <c r="U865" s="5">
        <f>IF((ContinuousStatsTable[[#This Row],[RepsRequested]]&gt;1),ContinuousStatsTable[[#This Row],[HalfWidth]],ContinuousStatsTable[[#This Row],[BatchMeansHalfWidth]])</f>
        <v>0.43252967563899991</v>
      </c>
    </row>
    <row r="866" spans="1:21" x14ac:dyDescent="0.3">
      <c r="A866" t="s">
        <v>66</v>
      </c>
      <c r="B866" t="s">
        <v>68</v>
      </c>
      <c r="C866">
        <v>23</v>
      </c>
      <c r="D866" t="s">
        <v>77</v>
      </c>
      <c r="E866" t="s">
        <v>92</v>
      </c>
      <c r="F866" t="s">
        <v>71</v>
      </c>
      <c r="G866">
        <v>0</v>
      </c>
      <c r="H866">
        <v>2E+20</v>
      </c>
      <c r="I866">
        <v>0</v>
      </c>
      <c r="J866">
        <v>0</v>
      </c>
      <c r="K866">
        <v>0</v>
      </c>
      <c r="L866">
        <v>0</v>
      </c>
      <c r="M866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866" s="5" cm="1">
        <f t="array" ref="N866">MAX(IF((ProjectInfoTable[ProjectName]=ContinuousStatsTable[[#This Row],[ProjectName]]),(ProjectInfoTable[ProjectName]=ContinuousStatsTable[[#This Row],[ProjectName]])*ProjectInfoTable[NumberOfReplications]))</f>
        <v>30</v>
      </c>
      <c r="O866" s="5" cm="1">
        <f t="array" ref="O866">IFERROR(AVERAGE(IF((ContinuousStatsTable[GroupByKey]=ContinuousStatsTable[[#This Row],[GroupByKey]]),(ContinuousStatsTable[GroupByKey]=ContinuousStatsTable[[#This Row],[GroupByKey]])*ContinuousStatsTable[Average])),0)</f>
        <v>0</v>
      </c>
      <c r="P866" s="5" cm="1">
        <f t="array" ref="P866">IFERROR(_xlfn.STDEV.S(IF((ContinuousStatsTable[GroupByKey]=ContinuousStatsTable[[#This Row],[GroupByKey]]),(ContinuousStatsTable[GroupByKey]=ContinuousStatsTable[[#This Row],[GroupByKey]])*ContinuousStatsTable[Average])),0)</f>
        <v>0</v>
      </c>
      <c r="Q866" s="5" cm="1">
        <f t="array" ref="Q866">MAX(IF((ProjectInfoTable[ProjectName]=ContinuousStatsTable[[#This Row],[ProjectName]]),(ProjectInfoTable[ProjectName]=ContinuousStatsTable[[#This Row],[ProjectName]])*ProjectInfoTable[ConfidenceInterval]))</f>
        <v>0.95</v>
      </c>
      <c r="R8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6" s="5" cm="1">
        <f t="array" ref="S866">MIN(IF((ContinuousStatsTable[GroupByKey]=ContinuousStatsTable[[#This Row],[GroupByKey]]),(ContinuousStatsTable[GroupByKey]=ContinuousStatsTable[[#This Row],[GroupByKey]])*ContinuousStatsTable[Average]))</f>
        <v>0</v>
      </c>
      <c r="T866" s="5" cm="1">
        <f t="array" ref="T866">MAX(IF((ContinuousStatsTable[GroupByKey]=ContinuousStatsTable[[#This Row],[GroupByKey]]),(ContinuousStatsTable[GroupByKey]=ContinuousStatsTable[[#This Row],[GroupByKey]])*ContinuousStatsTable[Average]))</f>
        <v>0</v>
      </c>
      <c r="U866" s="5">
        <f>IF((ContinuousStatsTable[[#This Row],[RepsRequested]]&gt;1),ContinuousStatsTable[[#This Row],[HalfWidth]],ContinuousStatsTable[[#This Row],[BatchMeansHalfWidth]])</f>
        <v>0</v>
      </c>
    </row>
    <row r="867" spans="1:21" x14ac:dyDescent="0.3">
      <c r="A867" t="s">
        <v>66</v>
      </c>
      <c r="B867" t="s">
        <v>68</v>
      </c>
      <c r="C867">
        <v>23</v>
      </c>
      <c r="D867" t="s">
        <v>78</v>
      </c>
      <c r="E867" t="s">
        <v>92</v>
      </c>
      <c r="F867" t="s">
        <v>71</v>
      </c>
      <c r="G867">
        <v>0</v>
      </c>
      <c r="H867">
        <v>2E+20</v>
      </c>
      <c r="I867">
        <v>0</v>
      </c>
      <c r="J867">
        <v>0</v>
      </c>
      <c r="K867">
        <v>0</v>
      </c>
      <c r="L867">
        <v>0</v>
      </c>
      <c r="M867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867" s="5" cm="1">
        <f t="array" ref="N867">MAX(IF((ProjectInfoTable[ProjectName]=ContinuousStatsTable[[#This Row],[ProjectName]]),(ProjectInfoTable[ProjectName]=ContinuousStatsTable[[#This Row],[ProjectName]])*ProjectInfoTable[NumberOfReplications]))</f>
        <v>30</v>
      </c>
      <c r="O867" s="5" cm="1">
        <f t="array" ref="O867">IFERROR(AVERAGE(IF((ContinuousStatsTable[GroupByKey]=ContinuousStatsTable[[#This Row],[GroupByKey]]),(ContinuousStatsTable[GroupByKey]=ContinuousStatsTable[[#This Row],[GroupByKey]])*ContinuousStatsTable[Average])),0)</f>
        <v>0</v>
      </c>
      <c r="P867" s="5" cm="1">
        <f t="array" ref="P867">IFERROR(_xlfn.STDEV.S(IF((ContinuousStatsTable[GroupByKey]=ContinuousStatsTable[[#This Row],[GroupByKey]]),(ContinuousStatsTable[GroupByKey]=ContinuousStatsTable[[#This Row],[GroupByKey]])*ContinuousStatsTable[Average])),0)</f>
        <v>0</v>
      </c>
      <c r="Q867" s="5" cm="1">
        <f t="array" ref="Q867">MAX(IF((ProjectInfoTable[ProjectName]=ContinuousStatsTable[[#This Row],[ProjectName]]),(ProjectInfoTable[ProjectName]=ContinuousStatsTable[[#This Row],[ProjectName]])*ProjectInfoTable[ConfidenceInterval]))</f>
        <v>0.95</v>
      </c>
      <c r="R8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7" s="5" cm="1">
        <f t="array" ref="S867">MIN(IF((ContinuousStatsTable[GroupByKey]=ContinuousStatsTable[[#This Row],[GroupByKey]]),(ContinuousStatsTable[GroupByKey]=ContinuousStatsTable[[#This Row],[GroupByKey]])*ContinuousStatsTable[Average]))</f>
        <v>0</v>
      </c>
      <c r="T867" s="5" cm="1">
        <f t="array" ref="T867">MAX(IF((ContinuousStatsTable[GroupByKey]=ContinuousStatsTable[[#This Row],[GroupByKey]]),(ContinuousStatsTable[GroupByKey]=ContinuousStatsTable[[#This Row],[GroupByKey]])*ContinuousStatsTable[Average]))</f>
        <v>0</v>
      </c>
      <c r="U867" s="5">
        <f>IF((ContinuousStatsTable[[#This Row],[RepsRequested]]&gt;1),ContinuousStatsTable[[#This Row],[HalfWidth]],ContinuousStatsTable[[#This Row],[BatchMeansHalfWidth]])</f>
        <v>0</v>
      </c>
    </row>
    <row r="868" spans="1:21" x14ac:dyDescent="0.3">
      <c r="A868" t="s">
        <v>66</v>
      </c>
      <c r="B868" t="s">
        <v>68</v>
      </c>
      <c r="C868">
        <v>23</v>
      </c>
      <c r="D868" t="s">
        <v>93</v>
      </c>
      <c r="E868" t="s">
        <v>94</v>
      </c>
      <c r="F868" t="s">
        <v>95</v>
      </c>
      <c r="G868">
        <v>3.0451088583282802E-2</v>
      </c>
      <c r="H868">
        <v>2E+20</v>
      </c>
      <c r="I868">
        <v>0</v>
      </c>
      <c r="J868">
        <v>0.25</v>
      </c>
      <c r="K868">
        <v>0.05</v>
      </c>
      <c r="L868">
        <v>0</v>
      </c>
      <c r="M868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868" s="5" cm="1">
        <f t="array" ref="N868">MAX(IF((ProjectInfoTable[ProjectName]=ContinuousStatsTable[[#This Row],[ProjectName]]),(ProjectInfoTable[ProjectName]=ContinuousStatsTable[[#This Row],[ProjectName]])*ProjectInfoTable[NumberOfReplications]))</f>
        <v>30</v>
      </c>
      <c r="O868" s="5" cm="1">
        <f t="array" ref="O868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868" s="5" cm="1">
        <f t="array" ref="P868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868" s="5" cm="1">
        <f t="array" ref="Q868">MAX(IF((ProjectInfoTable[ProjectName]=ContinuousStatsTable[[#This Row],[ProjectName]]),(ProjectInfoTable[ProjectName]=ContinuousStatsTable[[#This Row],[ProjectName]])*ProjectInfoTable[ConfidenceInterval]))</f>
        <v>0.95</v>
      </c>
      <c r="R8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868" s="5" cm="1">
        <f t="array" ref="S868">MIN(IF((ContinuousStatsTable[GroupByKey]=ContinuousStatsTable[[#This Row],[GroupByKey]]),(ContinuousStatsTable[GroupByKey]=ContinuousStatsTable[[#This Row],[GroupByKey]])*ContinuousStatsTable[Average]))</f>
        <v>2.3718114155243601E-2</v>
      </c>
      <c r="T868" s="5" cm="1">
        <f t="array" ref="T868">MAX(IF((ContinuousStatsTable[GroupByKey]=ContinuousStatsTable[[#This Row],[GroupByKey]]),(ContinuousStatsTable[GroupByKey]=ContinuousStatsTable[[#This Row],[GroupByKey]])*ContinuousStatsTable[Average]))</f>
        <v>4.8583931724403701E-2</v>
      </c>
      <c r="U868" s="5">
        <f>IF((ContinuousStatsTable[[#This Row],[RepsRequested]]&gt;1),ContinuousStatsTable[[#This Row],[HalfWidth]],ContinuousStatsTable[[#This Row],[BatchMeansHalfWidth]])</f>
        <v>2.4839579632442289E-3</v>
      </c>
    </row>
    <row r="869" spans="1:21" x14ac:dyDescent="0.3">
      <c r="A869" t="s">
        <v>66</v>
      </c>
      <c r="B869" t="s">
        <v>68</v>
      </c>
      <c r="C869">
        <v>23</v>
      </c>
      <c r="D869" t="s">
        <v>93</v>
      </c>
      <c r="E869" t="s">
        <v>96</v>
      </c>
      <c r="F869" t="s">
        <v>95</v>
      </c>
      <c r="G869">
        <v>0.60902177166565596</v>
      </c>
      <c r="H869">
        <v>2E+20</v>
      </c>
      <c r="I869">
        <v>0</v>
      </c>
      <c r="J869">
        <v>5</v>
      </c>
      <c r="K869">
        <v>1</v>
      </c>
      <c r="L869">
        <v>0</v>
      </c>
      <c r="M869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869" s="5" cm="1">
        <f t="array" ref="N869">MAX(IF((ProjectInfoTable[ProjectName]=ContinuousStatsTable[[#This Row],[ProjectName]]),(ProjectInfoTable[ProjectName]=ContinuousStatsTable[[#This Row],[ProjectName]])*ProjectInfoTable[NumberOfReplications]))</f>
        <v>30</v>
      </c>
      <c r="O869" s="5" cm="1">
        <f t="array" ref="O869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869" s="5" cm="1">
        <f t="array" ref="P869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869" s="5" cm="1">
        <f t="array" ref="Q869">MAX(IF((ProjectInfoTable[ProjectName]=ContinuousStatsTable[[#This Row],[ProjectName]]),(ProjectInfoTable[ProjectName]=ContinuousStatsTable[[#This Row],[ProjectName]])*ProjectInfoTable[ConfidenceInterval]))</f>
        <v>0.95</v>
      </c>
      <c r="R8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869" s="5" cm="1">
        <f t="array" ref="S869">MIN(IF((ContinuousStatsTable[GroupByKey]=ContinuousStatsTable[[#This Row],[GroupByKey]]),(ContinuousStatsTable[GroupByKey]=ContinuousStatsTable[[#This Row],[GroupByKey]])*ContinuousStatsTable[Average]))</f>
        <v>0.47436228310487299</v>
      </c>
      <c r="T869" s="5" cm="1">
        <f t="array" ref="T869">MAX(IF((ContinuousStatsTable[GroupByKey]=ContinuousStatsTable[[#This Row],[GroupByKey]]),(ContinuousStatsTable[GroupByKey]=ContinuousStatsTable[[#This Row],[GroupByKey]])*ContinuousStatsTable[Average]))</f>
        <v>0.97167863448807401</v>
      </c>
      <c r="U869" s="5">
        <f>IF((ContinuousStatsTable[[#This Row],[RepsRequested]]&gt;1),ContinuousStatsTable[[#This Row],[HalfWidth]],ContinuousStatsTable[[#This Row],[BatchMeansHalfWidth]])</f>
        <v>4.9679159264885281E-2</v>
      </c>
    </row>
    <row r="870" spans="1:21" x14ac:dyDescent="0.3">
      <c r="A870" t="s">
        <v>66</v>
      </c>
      <c r="B870" t="s">
        <v>68</v>
      </c>
      <c r="C870">
        <v>23</v>
      </c>
      <c r="D870" t="s">
        <v>93</v>
      </c>
      <c r="E870" t="s">
        <v>97</v>
      </c>
      <c r="F870" t="s">
        <v>95</v>
      </c>
      <c r="G870">
        <v>20</v>
      </c>
      <c r="H870">
        <v>2E+20</v>
      </c>
      <c r="I870">
        <v>20</v>
      </c>
      <c r="J870">
        <v>20</v>
      </c>
      <c r="K870">
        <v>20</v>
      </c>
      <c r="L870">
        <v>0</v>
      </c>
      <c r="M870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870" s="5" cm="1">
        <f t="array" ref="N870">MAX(IF((ProjectInfoTable[ProjectName]=ContinuousStatsTable[[#This Row],[ProjectName]]),(ProjectInfoTable[ProjectName]=ContinuousStatsTable[[#This Row],[ProjectName]])*ProjectInfoTable[NumberOfReplications]))</f>
        <v>30</v>
      </c>
      <c r="O870" s="5" cm="1">
        <f t="array" ref="O870">IFERROR(AVERAGE(IF((ContinuousStatsTable[GroupByKey]=ContinuousStatsTable[[#This Row],[GroupByKey]]),(ContinuousStatsTable[GroupByKey]=ContinuousStatsTable[[#This Row],[GroupByKey]])*ContinuousStatsTable[Average])),0)</f>
        <v>20</v>
      </c>
      <c r="P870" s="5" cm="1">
        <f t="array" ref="P870">IFERROR(_xlfn.STDEV.S(IF((ContinuousStatsTable[GroupByKey]=ContinuousStatsTable[[#This Row],[GroupByKey]]),(ContinuousStatsTable[GroupByKey]=ContinuousStatsTable[[#This Row],[GroupByKey]])*ContinuousStatsTable[Average])),0)</f>
        <v>0</v>
      </c>
      <c r="Q870" s="5" cm="1">
        <f t="array" ref="Q870">MAX(IF((ProjectInfoTable[ProjectName]=ContinuousStatsTable[[#This Row],[ProjectName]]),(ProjectInfoTable[ProjectName]=ContinuousStatsTable[[#This Row],[ProjectName]])*ProjectInfoTable[ConfidenceInterval]))</f>
        <v>0.95</v>
      </c>
      <c r="R8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0" s="5" cm="1">
        <f t="array" ref="S870">MIN(IF((ContinuousStatsTable[GroupByKey]=ContinuousStatsTable[[#This Row],[GroupByKey]]),(ContinuousStatsTable[GroupByKey]=ContinuousStatsTable[[#This Row],[GroupByKey]])*ContinuousStatsTable[Average]))</f>
        <v>20</v>
      </c>
      <c r="T870" s="5" cm="1">
        <f t="array" ref="T870">MAX(IF((ContinuousStatsTable[GroupByKey]=ContinuousStatsTable[[#This Row],[GroupByKey]]),(ContinuousStatsTable[GroupByKey]=ContinuousStatsTable[[#This Row],[GroupByKey]])*ContinuousStatsTable[Average]))</f>
        <v>20</v>
      </c>
      <c r="U870" s="5">
        <f>IF((ContinuousStatsTable[[#This Row],[RepsRequested]]&gt;1),ContinuousStatsTable[[#This Row],[HalfWidth]],ContinuousStatsTable[[#This Row],[BatchMeansHalfWidth]])</f>
        <v>0</v>
      </c>
    </row>
    <row r="871" spans="1:21" x14ac:dyDescent="0.3">
      <c r="A871" t="s">
        <v>66</v>
      </c>
      <c r="B871" t="s">
        <v>68</v>
      </c>
      <c r="C871">
        <v>23</v>
      </c>
      <c r="D871" t="s">
        <v>98</v>
      </c>
      <c r="E871" t="s">
        <v>94</v>
      </c>
      <c r="F871" t="s">
        <v>95</v>
      </c>
      <c r="G871">
        <v>0.21763471517820801</v>
      </c>
      <c r="H871">
        <v>2E+20</v>
      </c>
      <c r="I871">
        <v>0</v>
      </c>
      <c r="J871">
        <v>0.6</v>
      </c>
      <c r="K871">
        <v>0.3</v>
      </c>
      <c r="L871">
        <v>0</v>
      </c>
      <c r="M871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871" s="5" cm="1">
        <f t="array" ref="N871">MAX(IF((ProjectInfoTable[ProjectName]=ContinuousStatsTable[[#This Row],[ProjectName]]),(ProjectInfoTable[ProjectName]=ContinuousStatsTable[[#This Row],[ProjectName]])*ProjectInfoTable[NumberOfReplications]))</f>
        <v>30</v>
      </c>
      <c r="O871" s="5" cm="1">
        <f t="array" ref="O871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871" s="5" cm="1">
        <f t="array" ref="P871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871" s="5" cm="1">
        <f t="array" ref="Q871">MAX(IF((ProjectInfoTable[ProjectName]=ContinuousStatsTable[[#This Row],[ProjectName]]),(ProjectInfoTable[ProjectName]=ContinuousStatsTable[[#This Row],[ProjectName]])*ProjectInfoTable[ConfidenceInterval]))</f>
        <v>0.95</v>
      </c>
      <c r="R8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871" s="5" cm="1">
        <f t="array" ref="S871">MIN(IF((ContinuousStatsTable[GroupByKey]=ContinuousStatsTable[[#This Row],[GroupByKey]]),(ContinuousStatsTable[GroupByKey]=ContinuousStatsTable[[#This Row],[GroupByKey]])*ContinuousStatsTable[Average]))</f>
        <v>0.20767736113278101</v>
      </c>
      <c r="T871" s="5" cm="1">
        <f t="array" ref="T871">MAX(IF((ContinuousStatsTable[GroupByKey]=ContinuousStatsTable[[#This Row],[GroupByKey]]),(ContinuousStatsTable[GroupByKey]=ContinuousStatsTable[[#This Row],[GroupByKey]])*ContinuousStatsTable[Average]))</f>
        <v>0.28501162927715501</v>
      </c>
      <c r="U871" s="5">
        <f>IF((ContinuousStatsTable[[#This Row],[RepsRequested]]&gt;1),ContinuousStatsTable[[#This Row],[HalfWidth]],ContinuousStatsTable[[#This Row],[BatchMeansHalfWidth]])</f>
        <v>8.7273384073404715E-3</v>
      </c>
    </row>
    <row r="872" spans="1:21" x14ac:dyDescent="0.3">
      <c r="A872" t="s">
        <v>66</v>
      </c>
      <c r="B872" t="s">
        <v>68</v>
      </c>
      <c r="C872">
        <v>23</v>
      </c>
      <c r="D872" t="s">
        <v>98</v>
      </c>
      <c r="E872" t="s">
        <v>96</v>
      </c>
      <c r="F872" t="s">
        <v>95</v>
      </c>
      <c r="G872">
        <v>4.3526943035641503</v>
      </c>
      <c r="H872">
        <v>2E+20</v>
      </c>
      <c r="I872">
        <v>0</v>
      </c>
      <c r="J872">
        <v>12</v>
      </c>
      <c r="K872">
        <v>6</v>
      </c>
      <c r="L872">
        <v>0</v>
      </c>
      <c r="M872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872" s="5" cm="1">
        <f t="array" ref="N872">MAX(IF((ProjectInfoTable[ProjectName]=ContinuousStatsTable[[#This Row],[ProjectName]]),(ProjectInfoTable[ProjectName]=ContinuousStatsTable[[#This Row],[ProjectName]])*ProjectInfoTable[NumberOfReplications]))</f>
        <v>30</v>
      </c>
      <c r="O872" s="5" cm="1">
        <f t="array" ref="O872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872" s="5" cm="1">
        <f t="array" ref="P872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872" s="5" cm="1">
        <f t="array" ref="Q872">MAX(IF((ProjectInfoTable[ProjectName]=ContinuousStatsTable[[#This Row],[ProjectName]]),(ProjectInfoTable[ProjectName]=ContinuousStatsTable[[#This Row],[ProjectName]])*ProjectInfoTable[ConfidenceInterval]))</f>
        <v>0.95</v>
      </c>
      <c r="R8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872" s="5" cm="1">
        <f t="array" ref="S872">MIN(IF((ContinuousStatsTable[GroupByKey]=ContinuousStatsTable[[#This Row],[GroupByKey]]),(ContinuousStatsTable[GroupByKey]=ContinuousStatsTable[[#This Row],[GroupByKey]])*ContinuousStatsTable[Average]))</f>
        <v>4.15354722265561</v>
      </c>
      <c r="T872" s="5" cm="1">
        <f t="array" ref="T872">MAX(IF((ContinuousStatsTable[GroupByKey]=ContinuousStatsTable[[#This Row],[GroupByKey]]),(ContinuousStatsTable[GroupByKey]=ContinuousStatsTable[[#This Row],[GroupByKey]])*ContinuousStatsTable[Average]))</f>
        <v>5.7002325855431097</v>
      </c>
      <c r="U872" s="5">
        <f>IF((ContinuousStatsTable[[#This Row],[RepsRequested]]&gt;1),ContinuousStatsTable[[#This Row],[HalfWidth]],ContinuousStatsTable[[#This Row],[BatchMeansHalfWidth]])</f>
        <v>0.17454676814681078</v>
      </c>
    </row>
    <row r="873" spans="1:21" x14ac:dyDescent="0.3">
      <c r="A873" t="s">
        <v>66</v>
      </c>
      <c r="B873" t="s">
        <v>68</v>
      </c>
      <c r="C873">
        <v>23</v>
      </c>
      <c r="D873" t="s">
        <v>98</v>
      </c>
      <c r="E873" t="s">
        <v>97</v>
      </c>
      <c r="F873" t="s">
        <v>95</v>
      </c>
      <c r="G873">
        <v>20</v>
      </c>
      <c r="H873">
        <v>2E+20</v>
      </c>
      <c r="I873">
        <v>20</v>
      </c>
      <c r="J873">
        <v>20</v>
      </c>
      <c r="K873">
        <v>20</v>
      </c>
      <c r="L873">
        <v>0</v>
      </c>
      <c r="M873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873" s="5" cm="1">
        <f t="array" ref="N873">MAX(IF((ProjectInfoTable[ProjectName]=ContinuousStatsTable[[#This Row],[ProjectName]]),(ProjectInfoTable[ProjectName]=ContinuousStatsTable[[#This Row],[ProjectName]])*ProjectInfoTable[NumberOfReplications]))</f>
        <v>30</v>
      </c>
      <c r="O873" s="5" cm="1">
        <f t="array" ref="O873">IFERROR(AVERAGE(IF((ContinuousStatsTable[GroupByKey]=ContinuousStatsTable[[#This Row],[GroupByKey]]),(ContinuousStatsTable[GroupByKey]=ContinuousStatsTable[[#This Row],[GroupByKey]])*ContinuousStatsTable[Average])),0)</f>
        <v>20</v>
      </c>
      <c r="P873" s="5" cm="1">
        <f t="array" ref="P873">IFERROR(_xlfn.STDEV.S(IF((ContinuousStatsTable[GroupByKey]=ContinuousStatsTable[[#This Row],[GroupByKey]]),(ContinuousStatsTable[GroupByKey]=ContinuousStatsTable[[#This Row],[GroupByKey]])*ContinuousStatsTable[Average])),0)</f>
        <v>0</v>
      </c>
      <c r="Q873" s="5" cm="1">
        <f t="array" ref="Q873">MAX(IF((ProjectInfoTable[ProjectName]=ContinuousStatsTable[[#This Row],[ProjectName]]),(ProjectInfoTable[ProjectName]=ContinuousStatsTable[[#This Row],[ProjectName]])*ProjectInfoTable[ConfidenceInterval]))</f>
        <v>0.95</v>
      </c>
      <c r="R8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3" s="5" cm="1">
        <f t="array" ref="S873">MIN(IF((ContinuousStatsTable[GroupByKey]=ContinuousStatsTable[[#This Row],[GroupByKey]]),(ContinuousStatsTable[GroupByKey]=ContinuousStatsTable[[#This Row],[GroupByKey]])*ContinuousStatsTable[Average]))</f>
        <v>20</v>
      </c>
      <c r="T873" s="5" cm="1">
        <f t="array" ref="T873">MAX(IF((ContinuousStatsTable[GroupByKey]=ContinuousStatsTable[[#This Row],[GroupByKey]]),(ContinuousStatsTable[GroupByKey]=ContinuousStatsTable[[#This Row],[GroupByKey]])*ContinuousStatsTable[Average]))</f>
        <v>20</v>
      </c>
      <c r="U873" s="5">
        <f>IF((ContinuousStatsTable[[#This Row],[RepsRequested]]&gt;1),ContinuousStatsTable[[#This Row],[HalfWidth]],ContinuousStatsTable[[#This Row],[BatchMeansHalfWidth]])</f>
        <v>0</v>
      </c>
    </row>
    <row r="874" spans="1:21" x14ac:dyDescent="0.3">
      <c r="A874" t="s">
        <v>66</v>
      </c>
      <c r="B874" t="s">
        <v>68</v>
      </c>
      <c r="C874">
        <v>23</v>
      </c>
      <c r="D874" t="s">
        <v>99</v>
      </c>
      <c r="E874" t="s">
        <v>94</v>
      </c>
      <c r="F874" t="s">
        <v>95</v>
      </c>
      <c r="G874">
        <v>0.53156390183434898</v>
      </c>
      <c r="H874">
        <v>2E+20</v>
      </c>
      <c r="I874">
        <v>0</v>
      </c>
      <c r="J874">
        <v>1</v>
      </c>
      <c r="K874">
        <v>0.7</v>
      </c>
      <c r="L874">
        <v>0</v>
      </c>
      <c r="M874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874" s="5" cm="1">
        <f t="array" ref="N874">MAX(IF((ProjectInfoTable[ProjectName]=ContinuousStatsTable[[#This Row],[ProjectName]]),(ProjectInfoTable[ProjectName]=ContinuousStatsTable[[#This Row],[ProjectName]])*ProjectInfoTable[NumberOfReplications]))</f>
        <v>30</v>
      </c>
      <c r="O874" s="5" cm="1">
        <f t="array" ref="O874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874" s="5" cm="1">
        <f t="array" ref="P874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874" s="5" cm="1">
        <f t="array" ref="Q874">MAX(IF((ProjectInfoTable[ProjectName]=ContinuousStatsTable[[#This Row],[ProjectName]]),(ProjectInfoTable[ProjectName]=ContinuousStatsTable[[#This Row],[ProjectName]])*ProjectInfoTable[ConfidenceInterval]))</f>
        <v>0.95</v>
      </c>
      <c r="R8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874" s="5" cm="1">
        <f t="array" ref="S874">MIN(IF((ContinuousStatsTable[GroupByKey]=ContinuousStatsTable[[#This Row],[GroupByKey]]),(ContinuousStatsTable[GroupByKey]=ContinuousStatsTable[[#This Row],[GroupByKey]])*ContinuousStatsTable[Average]))</f>
        <v>0.517215348442703</v>
      </c>
      <c r="T874" s="5" cm="1">
        <f t="array" ref="T874">MAX(IF((ContinuousStatsTable[GroupByKey]=ContinuousStatsTable[[#This Row],[GroupByKey]]),(ContinuousStatsTable[GroupByKey]=ContinuousStatsTable[[#This Row],[GroupByKey]])*ContinuousStatsTable[Average]))</f>
        <v>0.67770389283754395</v>
      </c>
      <c r="U874" s="5">
        <f>IF((ContinuousStatsTable[[#This Row],[RepsRequested]]&gt;1),ContinuousStatsTable[[#This Row],[HalfWidth]],ContinuousStatsTable[[#This Row],[BatchMeansHalfWidth]])</f>
        <v>1.8059192833960565E-2</v>
      </c>
    </row>
    <row r="875" spans="1:21" x14ac:dyDescent="0.3">
      <c r="A875" t="s">
        <v>66</v>
      </c>
      <c r="B875" t="s">
        <v>68</v>
      </c>
      <c r="C875">
        <v>23</v>
      </c>
      <c r="D875" t="s">
        <v>99</v>
      </c>
      <c r="E875" t="s">
        <v>96</v>
      </c>
      <c r="F875" t="s">
        <v>95</v>
      </c>
      <c r="G875">
        <v>5.3156390183434903</v>
      </c>
      <c r="H875">
        <v>2E+20</v>
      </c>
      <c r="I875">
        <v>0</v>
      </c>
      <c r="J875">
        <v>10</v>
      </c>
      <c r="K875">
        <v>7</v>
      </c>
      <c r="L875">
        <v>0</v>
      </c>
      <c r="M875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875" s="5" cm="1">
        <f t="array" ref="N875">MAX(IF((ProjectInfoTable[ProjectName]=ContinuousStatsTable[[#This Row],[ProjectName]]),(ProjectInfoTable[ProjectName]=ContinuousStatsTable[[#This Row],[ProjectName]])*ProjectInfoTable[NumberOfReplications]))</f>
        <v>30</v>
      </c>
      <c r="O875" s="5" cm="1">
        <f t="array" ref="O875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875" s="5" cm="1">
        <f t="array" ref="P875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875" s="5" cm="1">
        <f t="array" ref="Q875">MAX(IF((ProjectInfoTable[ProjectName]=ContinuousStatsTable[[#This Row],[ProjectName]]),(ProjectInfoTable[ProjectName]=ContinuousStatsTable[[#This Row],[ProjectName]])*ProjectInfoTable[ConfidenceInterval]))</f>
        <v>0.95</v>
      </c>
      <c r="R8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875" s="5" cm="1">
        <f t="array" ref="S875">MIN(IF((ContinuousStatsTable[GroupByKey]=ContinuousStatsTable[[#This Row],[GroupByKey]]),(ContinuousStatsTable[GroupByKey]=ContinuousStatsTable[[#This Row],[GroupByKey]])*ContinuousStatsTable[Average]))</f>
        <v>5.1721534844270298</v>
      </c>
      <c r="T875" s="5" cm="1">
        <f t="array" ref="T875">MAX(IF((ContinuousStatsTable[GroupByKey]=ContinuousStatsTable[[#This Row],[GroupByKey]]),(ContinuousStatsTable[GroupByKey]=ContinuousStatsTable[[#This Row],[GroupByKey]])*ContinuousStatsTable[Average]))</f>
        <v>6.7770389283754398</v>
      </c>
      <c r="U875" s="5">
        <f>IF((ContinuousStatsTable[[#This Row],[RepsRequested]]&gt;1),ContinuousStatsTable[[#This Row],[HalfWidth]],ContinuousStatsTable[[#This Row],[BatchMeansHalfWidth]])</f>
        <v>0.18059192833960558</v>
      </c>
    </row>
    <row r="876" spans="1:21" x14ac:dyDescent="0.3">
      <c r="A876" t="s">
        <v>66</v>
      </c>
      <c r="B876" t="s">
        <v>68</v>
      </c>
      <c r="C876">
        <v>23</v>
      </c>
      <c r="D876" t="s">
        <v>99</v>
      </c>
      <c r="E876" t="s">
        <v>97</v>
      </c>
      <c r="F876" t="s">
        <v>95</v>
      </c>
      <c r="G876">
        <v>10</v>
      </c>
      <c r="H876">
        <v>2E+20</v>
      </c>
      <c r="I876">
        <v>10</v>
      </c>
      <c r="J876">
        <v>10</v>
      </c>
      <c r="K876">
        <v>10</v>
      </c>
      <c r="L876">
        <v>0</v>
      </c>
      <c r="M876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876" s="5" cm="1">
        <f t="array" ref="N876">MAX(IF((ProjectInfoTable[ProjectName]=ContinuousStatsTable[[#This Row],[ProjectName]]),(ProjectInfoTable[ProjectName]=ContinuousStatsTable[[#This Row],[ProjectName]])*ProjectInfoTable[NumberOfReplications]))</f>
        <v>30</v>
      </c>
      <c r="O876" s="5" cm="1">
        <f t="array" ref="O876">IFERROR(AVERAGE(IF((ContinuousStatsTable[GroupByKey]=ContinuousStatsTable[[#This Row],[GroupByKey]]),(ContinuousStatsTable[GroupByKey]=ContinuousStatsTable[[#This Row],[GroupByKey]])*ContinuousStatsTable[Average])),0)</f>
        <v>10</v>
      </c>
      <c r="P876" s="5" cm="1">
        <f t="array" ref="P876">IFERROR(_xlfn.STDEV.S(IF((ContinuousStatsTable[GroupByKey]=ContinuousStatsTable[[#This Row],[GroupByKey]]),(ContinuousStatsTable[GroupByKey]=ContinuousStatsTable[[#This Row],[GroupByKey]])*ContinuousStatsTable[Average])),0)</f>
        <v>0</v>
      </c>
      <c r="Q876" s="5" cm="1">
        <f t="array" ref="Q876">MAX(IF((ProjectInfoTable[ProjectName]=ContinuousStatsTable[[#This Row],[ProjectName]]),(ProjectInfoTable[ProjectName]=ContinuousStatsTable[[#This Row],[ProjectName]])*ProjectInfoTable[ConfidenceInterval]))</f>
        <v>0.95</v>
      </c>
      <c r="R8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6" s="5" cm="1">
        <f t="array" ref="S876">MIN(IF((ContinuousStatsTable[GroupByKey]=ContinuousStatsTable[[#This Row],[GroupByKey]]),(ContinuousStatsTable[GroupByKey]=ContinuousStatsTable[[#This Row],[GroupByKey]])*ContinuousStatsTable[Average]))</f>
        <v>10</v>
      </c>
      <c r="T876" s="5" cm="1">
        <f t="array" ref="T876">MAX(IF((ContinuousStatsTable[GroupByKey]=ContinuousStatsTable[[#This Row],[GroupByKey]]),(ContinuousStatsTable[GroupByKey]=ContinuousStatsTable[[#This Row],[GroupByKey]])*ContinuousStatsTable[Average]))</f>
        <v>10</v>
      </c>
      <c r="U876" s="5">
        <f>IF((ContinuousStatsTable[[#This Row],[RepsRequested]]&gt;1),ContinuousStatsTable[[#This Row],[HalfWidth]],ContinuousStatsTable[[#This Row],[BatchMeansHalfWidth]])</f>
        <v>0</v>
      </c>
    </row>
    <row r="877" spans="1:21" x14ac:dyDescent="0.3">
      <c r="A877" t="s">
        <v>66</v>
      </c>
      <c r="B877" t="s">
        <v>68</v>
      </c>
      <c r="C877">
        <v>23</v>
      </c>
      <c r="D877" t="s">
        <v>100</v>
      </c>
      <c r="E877" t="s">
        <v>94</v>
      </c>
      <c r="F877" t="s">
        <v>95</v>
      </c>
      <c r="G877">
        <v>0.14484829778125299</v>
      </c>
      <c r="H877">
        <v>2E+20</v>
      </c>
      <c r="I877">
        <v>0</v>
      </c>
      <c r="J877">
        <v>0.44</v>
      </c>
      <c r="K877">
        <v>0.06</v>
      </c>
      <c r="L877">
        <v>0</v>
      </c>
      <c r="M877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877" s="5" cm="1">
        <f t="array" ref="N877">MAX(IF((ProjectInfoTable[ProjectName]=ContinuousStatsTable[[#This Row],[ProjectName]]),(ProjectInfoTable[ProjectName]=ContinuousStatsTable[[#This Row],[ProjectName]])*ProjectInfoTable[NumberOfReplications]))</f>
        <v>30</v>
      </c>
      <c r="O877" s="5" cm="1">
        <f t="array" ref="O877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877" s="5" cm="1">
        <f t="array" ref="P877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877" s="5" cm="1">
        <f t="array" ref="Q877">MAX(IF((ProjectInfoTable[ProjectName]=ContinuousStatsTable[[#This Row],[ProjectName]]),(ProjectInfoTable[ProjectName]=ContinuousStatsTable[[#This Row],[ProjectName]])*ProjectInfoTable[ConfidenceInterval]))</f>
        <v>0.95</v>
      </c>
      <c r="R8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877" s="5" cm="1">
        <f t="array" ref="S877">MIN(IF((ContinuousStatsTable[GroupByKey]=ContinuousStatsTable[[#This Row],[GroupByKey]]),(ContinuousStatsTable[GroupByKey]=ContinuousStatsTable[[#This Row],[GroupByKey]])*ContinuousStatsTable[Average]))</f>
        <v>0.14484829778125299</v>
      </c>
      <c r="T877" s="5" cm="1">
        <f t="array" ref="T877">MAX(IF((ContinuousStatsTable[GroupByKey]=ContinuousStatsTable[[#This Row],[GroupByKey]]),(ContinuousStatsTable[GroupByKey]=ContinuousStatsTable[[#This Row],[GroupByKey]])*ContinuousStatsTable[Average]))</f>
        <v>0.19609322315655101</v>
      </c>
      <c r="U877" s="5">
        <f>IF((ContinuousStatsTable[[#This Row],[RepsRequested]]&gt;1),ContinuousStatsTable[[#This Row],[HalfWidth]],ContinuousStatsTable[[#This Row],[BatchMeansHalfWidth]])</f>
        <v>4.9714113556225048E-3</v>
      </c>
    </row>
    <row r="878" spans="1:21" x14ac:dyDescent="0.3">
      <c r="A878" t="s">
        <v>66</v>
      </c>
      <c r="B878" t="s">
        <v>68</v>
      </c>
      <c r="C878">
        <v>23</v>
      </c>
      <c r="D878" t="s">
        <v>100</v>
      </c>
      <c r="E878" t="s">
        <v>96</v>
      </c>
      <c r="F878" t="s">
        <v>95</v>
      </c>
      <c r="G878">
        <v>7.2424148890626396</v>
      </c>
      <c r="H878">
        <v>2E+20</v>
      </c>
      <c r="I878">
        <v>0</v>
      </c>
      <c r="J878">
        <v>22</v>
      </c>
      <c r="K878">
        <v>3</v>
      </c>
      <c r="L878">
        <v>0</v>
      </c>
      <c r="M878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878" s="5" cm="1">
        <f t="array" ref="N878">MAX(IF((ProjectInfoTable[ProjectName]=ContinuousStatsTable[[#This Row],[ProjectName]]),(ProjectInfoTable[ProjectName]=ContinuousStatsTable[[#This Row],[ProjectName]])*ProjectInfoTable[NumberOfReplications]))</f>
        <v>30</v>
      </c>
      <c r="O878" s="5" cm="1">
        <f t="array" ref="O878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878" s="5" cm="1">
        <f t="array" ref="P878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878" s="5" cm="1">
        <f t="array" ref="Q878">MAX(IF((ProjectInfoTable[ProjectName]=ContinuousStatsTable[[#This Row],[ProjectName]]),(ProjectInfoTable[ProjectName]=ContinuousStatsTable[[#This Row],[ProjectName]])*ProjectInfoTable[ConfidenceInterval]))</f>
        <v>0.95</v>
      </c>
      <c r="R8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878" s="5" cm="1">
        <f t="array" ref="S878">MIN(IF((ContinuousStatsTable[GroupByKey]=ContinuousStatsTable[[#This Row],[GroupByKey]]),(ContinuousStatsTable[GroupByKey]=ContinuousStatsTable[[#This Row],[GroupByKey]])*ContinuousStatsTable[Average]))</f>
        <v>7.2424148890626396</v>
      </c>
      <c r="T878" s="5" cm="1">
        <f t="array" ref="T878">MAX(IF((ContinuousStatsTable[GroupByKey]=ContinuousStatsTable[[#This Row],[GroupByKey]]),(ContinuousStatsTable[GroupByKey]=ContinuousStatsTable[[#This Row],[GroupByKey]])*ContinuousStatsTable[Average]))</f>
        <v>9.8046611578275602</v>
      </c>
      <c r="U878" s="5">
        <f>IF((ContinuousStatsTable[[#This Row],[RepsRequested]]&gt;1),ContinuousStatsTable[[#This Row],[HalfWidth]],ContinuousStatsTable[[#This Row],[BatchMeansHalfWidth]])</f>
        <v>0.24857056778112663</v>
      </c>
    </row>
    <row r="879" spans="1:21" x14ac:dyDescent="0.3">
      <c r="A879" t="s">
        <v>66</v>
      </c>
      <c r="B879" t="s">
        <v>68</v>
      </c>
      <c r="C879">
        <v>23</v>
      </c>
      <c r="D879" t="s">
        <v>100</v>
      </c>
      <c r="E879" t="s">
        <v>97</v>
      </c>
      <c r="F879" t="s">
        <v>95</v>
      </c>
      <c r="G879">
        <v>50</v>
      </c>
      <c r="H879">
        <v>2E+20</v>
      </c>
      <c r="I879">
        <v>50</v>
      </c>
      <c r="J879">
        <v>50</v>
      </c>
      <c r="K879">
        <v>50</v>
      </c>
      <c r="L879">
        <v>0</v>
      </c>
      <c r="M879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879" s="5" cm="1">
        <f t="array" ref="N879">MAX(IF((ProjectInfoTable[ProjectName]=ContinuousStatsTable[[#This Row],[ProjectName]]),(ProjectInfoTable[ProjectName]=ContinuousStatsTable[[#This Row],[ProjectName]])*ProjectInfoTable[NumberOfReplications]))</f>
        <v>30</v>
      </c>
      <c r="O879" s="5" cm="1">
        <f t="array" ref="O879">IFERROR(AVERAGE(IF((ContinuousStatsTable[GroupByKey]=ContinuousStatsTable[[#This Row],[GroupByKey]]),(ContinuousStatsTable[GroupByKey]=ContinuousStatsTable[[#This Row],[GroupByKey]])*ContinuousStatsTable[Average])),0)</f>
        <v>50</v>
      </c>
      <c r="P879" s="5" cm="1">
        <f t="array" ref="P879">IFERROR(_xlfn.STDEV.S(IF((ContinuousStatsTable[GroupByKey]=ContinuousStatsTable[[#This Row],[GroupByKey]]),(ContinuousStatsTable[GroupByKey]=ContinuousStatsTable[[#This Row],[GroupByKey]])*ContinuousStatsTable[Average])),0)</f>
        <v>0</v>
      </c>
      <c r="Q879" s="5" cm="1">
        <f t="array" ref="Q879">MAX(IF((ProjectInfoTable[ProjectName]=ContinuousStatsTable[[#This Row],[ProjectName]]),(ProjectInfoTable[ProjectName]=ContinuousStatsTable[[#This Row],[ProjectName]])*ProjectInfoTable[ConfidenceInterval]))</f>
        <v>0.95</v>
      </c>
      <c r="R8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9" s="5" cm="1">
        <f t="array" ref="S879">MIN(IF((ContinuousStatsTable[GroupByKey]=ContinuousStatsTable[[#This Row],[GroupByKey]]),(ContinuousStatsTable[GroupByKey]=ContinuousStatsTable[[#This Row],[GroupByKey]])*ContinuousStatsTable[Average]))</f>
        <v>50</v>
      </c>
      <c r="T879" s="5" cm="1">
        <f t="array" ref="T879">MAX(IF((ContinuousStatsTable[GroupByKey]=ContinuousStatsTable[[#This Row],[GroupByKey]]),(ContinuousStatsTable[GroupByKey]=ContinuousStatsTable[[#This Row],[GroupByKey]])*ContinuousStatsTable[Average]))</f>
        <v>50</v>
      </c>
      <c r="U879" s="5">
        <f>IF((ContinuousStatsTable[[#This Row],[RepsRequested]]&gt;1),ContinuousStatsTable[[#This Row],[HalfWidth]],ContinuousStatsTable[[#This Row],[BatchMeansHalfWidth]])</f>
        <v>0</v>
      </c>
    </row>
    <row r="880" spans="1:21" x14ac:dyDescent="0.3">
      <c r="A880" t="s">
        <v>66</v>
      </c>
      <c r="B880" t="s">
        <v>68</v>
      </c>
      <c r="C880">
        <v>23</v>
      </c>
      <c r="D880" t="s">
        <v>101</v>
      </c>
      <c r="E880" t="s">
        <v>94</v>
      </c>
      <c r="F880" t="s">
        <v>95</v>
      </c>
      <c r="G880">
        <v>7.7329206101059894E-2</v>
      </c>
      <c r="H880">
        <v>2E+20</v>
      </c>
      <c r="I880">
        <v>0</v>
      </c>
      <c r="J880">
        <v>0.4</v>
      </c>
      <c r="K880">
        <v>0</v>
      </c>
      <c r="L880">
        <v>0</v>
      </c>
      <c r="M880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880" s="5" cm="1">
        <f t="array" ref="N880">MAX(IF((ProjectInfoTable[ProjectName]=ContinuousStatsTable[[#This Row],[ProjectName]]),(ProjectInfoTable[ProjectName]=ContinuousStatsTable[[#This Row],[ProjectName]])*ProjectInfoTable[NumberOfReplications]))</f>
        <v>30</v>
      </c>
      <c r="O880" s="5" cm="1">
        <f t="array" ref="O880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880" s="5" cm="1">
        <f t="array" ref="P880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880" s="5" cm="1">
        <f t="array" ref="Q880">MAX(IF((ProjectInfoTable[ProjectName]=ContinuousStatsTable[[#This Row],[ProjectName]]),(ProjectInfoTable[ProjectName]=ContinuousStatsTable[[#This Row],[ProjectName]])*ProjectInfoTable[ConfidenceInterval]))</f>
        <v>0.95</v>
      </c>
      <c r="R8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880" s="5" cm="1">
        <f t="array" ref="S880">MIN(IF((ContinuousStatsTable[GroupByKey]=ContinuousStatsTable[[#This Row],[GroupByKey]]),(ContinuousStatsTable[GroupByKey]=ContinuousStatsTable[[#This Row],[GroupByKey]])*ContinuousStatsTable[Average]))</f>
        <v>7.4778736536586704E-2</v>
      </c>
      <c r="T880" s="5" cm="1">
        <f t="array" ref="T880">MAX(IF((ContinuousStatsTable[GroupByKey]=ContinuousStatsTable[[#This Row],[GroupByKey]]),(ContinuousStatsTable[GroupByKey]=ContinuousStatsTable[[#This Row],[GroupByKey]])*ContinuousStatsTable[Average]))</f>
        <v>0.111025455742452</v>
      </c>
      <c r="U880" s="5">
        <f>IF((ContinuousStatsTable[[#This Row],[RepsRequested]]&gt;1),ContinuousStatsTable[[#This Row],[HalfWidth]],ContinuousStatsTable[[#This Row],[BatchMeansHalfWidth]])</f>
        <v>4.1821462690338805E-3</v>
      </c>
    </row>
    <row r="881" spans="1:21" x14ac:dyDescent="0.3">
      <c r="A881" t="s">
        <v>66</v>
      </c>
      <c r="B881" t="s">
        <v>68</v>
      </c>
      <c r="C881">
        <v>23</v>
      </c>
      <c r="D881" t="s">
        <v>101</v>
      </c>
      <c r="E881" t="s">
        <v>96</v>
      </c>
      <c r="F881" t="s">
        <v>95</v>
      </c>
      <c r="G881">
        <v>1.1599380915159001</v>
      </c>
      <c r="H881">
        <v>2E+20</v>
      </c>
      <c r="I881">
        <v>0</v>
      </c>
      <c r="J881">
        <v>6</v>
      </c>
      <c r="K881">
        <v>0</v>
      </c>
      <c r="L881">
        <v>0</v>
      </c>
      <c r="M881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881" s="5" cm="1">
        <f t="array" ref="N881">MAX(IF((ProjectInfoTable[ProjectName]=ContinuousStatsTable[[#This Row],[ProjectName]]),(ProjectInfoTable[ProjectName]=ContinuousStatsTable[[#This Row],[ProjectName]])*ProjectInfoTable[NumberOfReplications]))</f>
        <v>30</v>
      </c>
      <c r="O881" s="5" cm="1">
        <f t="array" ref="O881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881" s="5" cm="1">
        <f t="array" ref="P881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881" s="5" cm="1">
        <f t="array" ref="Q881">MAX(IF((ProjectInfoTable[ProjectName]=ContinuousStatsTable[[#This Row],[ProjectName]]),(ProjectInfoTable[ProjectName]=ContinuousStatsTable[[#This Row],[ProjectName]])*ProjectInfoTable[ConfidenceInterval]))</f>
        <v>0.95</v>
      </c>
      <c r="R8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881" s="5" cm="1">
        <f t="array" ref="S881">MIN(IF((ContinuousStatsTable[GroupByKey]=ContinuousStatsTable[[#This Row],[GroupByKey]]),(ContinuousStatsTable[GroupByKey]=ContinuousStatsTable[[#This Row],[GroupByKey]])*ContinuousStatsTable[Average]))</f>
        <v>1.1216810480488</v>
      </c>
      <c r="T881" s="5" cm="1">
        <f t="array" ref="T881">MAX(IF((ContinuousStatsTable[GroupByKey]=ContinuousStatsTable[[#This Row],[GroupByKey]]),(ContinuousStatsTable[GroupByKey]=ContinuousStatsTable[[#This Row],[GroupByKey]])*ContinuousStatsTable[Average]))</f>
        <v>1.66538183613678</v>
      </c>
      <c r="U881" s="5">
        <f>IF((ContinuousStatsTable[[#This Row],[RepsRequested]]&gt;1),ContinuousStatsTable[[#This Row],[HalfWidth]],ContinuousStatsTable[[#This Row],[BatchMeansHalfWidth]])</f>
        <v>6.2732194035507963E-2</v>
      </c>
    </row>
    <row r="882" spans="1:21" x14ac:dyDescent="0.3">
      <c r="A882" t="s">
        <v>66</v>
      </c>
      <c r="B882" t="s">
        <v>68</v>
      </c>
      <c r="C882">
        <v>23</v>
      </c>
      <c r="D882" t="s">
        <v>101</v>
      </c>
      <c r="E882" t="s">
        <v>97</v>
      </c>
      <c r="F882" t="s">
        <v>95</v>
      </c>
      <c r="G882">
        <v>15</v>
      </c>
      <c r="H882">
        <v>2E+20</v>
      </c>
      <c r="I882">
        <v>15</v>
      </c>
      <c r="J882">
        <v>15</v>
      </c>
      <c r="K882">
        <v>15</v>
      </c>
      <c r="L882">
        <v>0</v>
      </c>
      <c r="M882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882" s="5" cm="1">
        <f t="array" ref="N882">MAX(IF((ProjectInfoTable[ProjectName]=ContinuousStatsTable[[#This Row],[ProjectName]]),(ProjectInfoTable[ProjectName]=ContinuousStatsTable[[#This Row],[ProjectName]])*ProjectInfoTable[NumberOfReplications]))</f>
        <v>30</v>
      </c>
      <c r="O882" s="5" cm="1">
        <f t="array" ref="O882">IFERROR(AVERAGE(IF((ContinuousStatsTable[GroupByKey]=ContinuousStatsTable[[#This Row],[GroupByKey]]),(ContinuousStatsTable[GroupByKey]=ContinuousStatsTable[[#This Row],[GroupByKey]])*ContinuousStatsTable[Average])),0)</f>
        <v>15</v>
      </c>
      <c r="P882" s="5" cm="1">
        <f t="array" ref="P882">IFERROR(_xlfn.STDEV.S(IF((ContinuousStatsTable[GroupByKey]=ContinuousStatsTable[[#This Row],[GroupByKey]]),(ContinuousStatsTable[GroupByKey]=ContinuousStatsTable[[#This Row],[GroupByKey]])*ContinuousStatsTable[Average])),0)</f>
        <v>0</v>
      </c>
      <c r="Q882" s="5" cm="1">
        <f t="array" ref="Q882">MAX(IF((ProjectInfoTable[ProjectName]=ContinuousStatsTable[[#This Row],[ProjectName]]),(ProjectInfoTable[ProjectName]=ContinuousStatsTable[[#This Row],[ProjectName]])*ProjectInfoTable[ConfidenceInterval]))</f>
        <v>0.95</v>
      </c>
      <c r="R8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2" s="5" cm="1">
        <f t="array" ref="S882">MIN(IF((ContinuousStatsTable[GroupByKey]=ContinuousStatsTable[[#This Row],[GroupByKey]]),(ContinuousStatsTable[GroupByKey]=ContinuousStatsTable[[#This Row],[GroupByKey]])*ContinuousStatsTable[Average]))</f>
        <v>15</v>
      </c>
      <c r="T882" s="5" cm="1">
        <f t="array" ref="T882">MAX(IF((ContinuousStatsTable[GroupByKey]=ContinuousStatsTable[[#This Row],[GroupByKey]]),(ContinuousStatsTable[GroupByKey]=ContinuousStatsTable[[#This Row],[GroupByKey]])*ContinuousStatsTable[Average]))</f>
        <v>15</v>
      </c>
      <c r="U882" s="5">
        <f>IF((ContinuousStatsTable[[#This Row],[RepsRequested]]&gt;1),ContinuousStatsTable[[#This Row],[HalfWidth]],ContinuousStatsTable[[#This Row],[BatchMeansHalfWidth]])</f>
        <v>0</v>
      </c>
    </row>
    <row r="883" spans="1:21" x14ac:dyDescent="0.3">
      <c r="A883" t="s">
        <v>66</v>
      </c>
      <c r="B883" t="s">
        <v>68</v>
      </c>
      <c r="C883">
        <v>23</v>
      </c>
      <c r="D883" t="s">
        <v>102</v>
      </c>
      <c r="E883" t="s">
        <v>94</v>
      </c>
      <c r="F883" t="s">
        <v>95</v>
      </c>
      <c r="G883">
        <v>0.74287797206966599</v>
      </c>
      <c r="H883">
        <v>2E+20</v>
      </c>
      <c r="I883">
        <v>0</v>
      </c>
      <c r="J883">
        <v>1</v>
      </c>
      <c r="K883">
        <v>1</v>
      </c>
      <c r="L883">
        <v>0</v>
      </c>
      <c r="M883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883" s="5" cm="1">
        <f t="array" ref="N883">MAX(IF((ProjectInfoTable[ProjectName]=ContinuousStatsTable[[#This Row],[ProjectName]]),(ProjectInfoTable[ProjectName]=ContinuousStatsTable[[#This Row],[ProjectName]])*ProjectInfoTable[NumberOfReplications]))</f>
        <v>30</v>
      </c>
      <c r="O883" s="5" cm="1">
        <f t="array" ref="O883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883" s="5" cm="1">
        <f t="array" ref="P883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883" s="5" cm="1">
        <f t="array" ref="Q883">MAX(IF((ProjectInfoTable[ProjectName]=ContinuousStatsTable[[#This Row],[ProjectName]]),(ProjectInfoTable[ProjectName]=ContinuousStatsTable[[#This Row],[ProjectName]])*ProjectInfoTable[ConfidenceInterval]))</f>
        <v>0.95</v>
      </c>
      <c r="R8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883" s="5" cm="1">
        <f t="array" ref="S883">MIN(IF((ContinuousStatsTable[GroupByKey]=ContinuousStatsTable[[#This Row],[GroupByKey]]),(ContinuousStatsTable[GroupByKey]=ContinuousStatsTable[[#This Row],[GroupByKey]])*ContinuousStatsTable[Average]))</f>
        <v>0.73673947391417804</v>
      </c>
      <c r="T883" s="5" cm="1">
        <f t="array" ref="T883">MAX(IF((ContinuousStatsTable[GroupByKey]=ContinuousStatsTable[[#This Row],[GroupByKey]]),(ContinuousStatsTable[GroupByKey]=ContinuousStatsTable[[#This Row],[GroupByKey]])*ContinuousStatsTable[Average]))</f>
        <v>0.90592850818388704</v>
      </c>
      <c r="U883" s="5">
        <f>IF((ContinuousStatsTable[[#This Row],[RepsRequested]]&gt;1),ContinuousStatsTable[[#This Row],[HalfWidth]],ContinuousStatsTable[[#This Row],[BatchMeansHalfWidth]])</f>
        <v>1.8636241798384946E-2</v>
      </c>
    </row>
    <row r="884" spans="1:21" x14ac:dyDescent="0.3">
      <c r="A884" t="s">
        <v>66</v>
      </c>
      <c r="B884" t="s">
        <v>68</v>
      </c>
      <c r="C884">
        <v>23</v>
      </c>
      <c r="D884" t="s">
        <v>102</v>
      </c>
      <c r="E884" t="s">
        <v>96</v>
      </c>
      <c r="F884" t="s">
        <v>95</v>
      </c>
      <c r="G884">
        <v>1.3726163545041801</v>
      </c>
      <c r="H884">
        <v>2E+20</v>
      </c>
      <c r="I884">
        <v>0</v>
      </c>
      <c r="J884">
        <v>3</v>
      </c>
      <c r="K884">
        <v>2</v>
      </c>
      <c r="L884">
        <v>0</v>
      </c>
      <c r="M884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884" s="5" cm="1">
        <f t="array" ref="N884">MAX(IF((ProjectInfoTable[ProjectName]=ContinuousStatsTable[[#This Row],[ProjectName]]),(ProjectInfoTable[ProjectName]=ContinuousStatsTable[[#This Row],[ProjectName]])*ProjectInfoTable[NumberOfReplications]))</f>
        <v>30</v>
      </c>
      <c r="O884" s="5" cm="1">
        <f t="array" ref="O884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884" s="5" cm="1">
        <f t="array" ref="P884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884" s="5" cm="1">
        <f t="array" ref="Q884">MAX(IF((ProjectInfoTable[ProjectName]=ContinuousStatsTable[[#This Row],[ProjectName]]),(ProjectInfoTable[ProjectName]=ContinuousStatsTable[[#This Row],[ProjectName]])*ProjectInfoTable[ConfidenceInterval]))</f>
        <v>0.95</v>
      </c>
      <c r="R8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884" s="5" cm="1">
        <f t="array" ref="S884">MIN(IF((ContinuousStatsTable[GroupByKey]=ContinuousStatsTable[[#This Row],[GroupByKey]]),(ContinuousStatsTable[GroupByKey]=ContinuousStatsTable[[#This Row],[GroupByKey]])*ContinuousStatsTable[Average]))</f>
        <v>1.3726163545041801</v>
      </c>
      <c r="T884" s="5" cm="1">
        <f t="array" ref="T884">MAX(IF((ContinuousStatsTable[GroupByKey]=ContinuousStatsTable[[#This Row],[GroupByKey]]),(ContinuousStatsTable[GroupByKey]=ContinuousStatsTable[[#This Row],[GroupByKey]])*ContinuousStatsTable[Average]))</f>
        <v>1.7968913949876599</v>
      </c>
      <c r="U884" s="5">
        <f>IF((ContinuousStatsTable[[#This Row],[RepsRequested]]&gt;1),ContinuousStatsTable[[#This Row],[HalfWidth]],ContinuousStatsTable[[#This Row],[BatchMeansHalfWidth]])</f>
        <v>4.3123628688677348E-2</v>
      </c>
    </row>
    <row r="885" spans="1:21" x14ac:dyDescent="0.3">
      <c r="A885" t="s">
        <v>66</v>
      </c>
      <c r="B885" t="s">
        <v>68</v>
      </c>
      <c r="C885">
        <v>23</v>
      </c>
      <c r="D885" t="s">
        <v>102</v>
      </c>
      <c r="E885" t="s">
        <v>97</v>
      </c>
      <c r="F885" t="s">
        <v>95</v>
      </c>
      <c r="G885">
        <v>2</v>
      </c>
      <c r="H885">
        <v>2E+20</v>
      </c>
      <c r="I885">
        <v>1</v>
      </c>
      <c r="J885">
        <v>3</v>
      </c>
      <c r="K885">
        <v>1</v>
      </c>
      <c r="L885">
        <v>0</v>
      </c>
      <c r="M885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885" s="5" cm="1">
        <f t="array" ref="N885">MAX(IF((ProjectInfoTable[ProjectName]=ContinuousStatsTable[[#This Row],[ProjectName]]),(ProjectInfoTable[ProjectName]=ContinuousStatsTable[[#This Row],[ProjectName]])*ProjectInfoTable[NumberOfReplications]))</f>
        <v>30</v>
      </c>
      <c r="O885" s="5" cm="1">
        <f t="array" ref="O885">IFERROR(AVERAGE(IF((ContinuousStatsTable[GroupByKey]=ContinuousStatsTable[[#This Row],[GroupByKey]]),(ContinuousStatsTable[GroupByKey]=ContinuousStatsTable[[#This Row],[GroupByKey]])*ContinuousStatsTable[Average])),0)</f>
        <v>2</v>
      </c>
      <c r="P885" s="5" cm="1">
        <f t="array" ref="P885">IFERROR(_xlfn.STDEV.S(IF((ContinuousStatsTable[GroupByKey]=ContinuousStatsTable[[#This Row],[GroupByKey]]),(ContinuousStatsTable[GroupByKey]=ContinuousStatsTable[[#This Row],[GroupByKey]])*ContinuousStatsTable[Average])),0)</f>
        <v>0</v>
      </c>
      <c r="Q885" s="5" cm="1">
        <f t="array" ref="Q885">MAX(IF((ProjectInfoTable[ProjectName]=ContinuousStatsTable[[#This Row],[ProjectName]]),(ProjectInfoTable[ProjectName]=ContinuousStatsTable[[#This Row],[ProjectName]])*ProjectInfoTable[ConfidenceInterval]))</f>
        <v>0.95</v>
      </c>
      <c r="R8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5" s="5" cm="1">
        <f t="array" ref="S885">MIN(IF((ContinuousStatsTable[GroupByKey]=ContinuousStatsTable[[#This Row],[GroupByKey]]),(ContinuousStatsTable[GroupByKey]=ContinuousStatsTable[[#This Row],[GroupByKey]])*ContinuousStatsTable[Average]))</f>
        <v>2</v>
      </c>
      <c r="T885" s="5" cm="1">
        <f t="array" ref="T885">MAX(IF((ContinuousStatsTable[GroupByKey]=ContinuousStatsTable[[#This Row],[GroupByKey]]),(ContinuousStatsTable[GroupByKey]=ContinuousStatsTable[[#This Row],[GroupByKey]])*ContinuousStatsTable[Average]))</f>
        <v>2</v>
      </c>
      <c r="U885" s="5">
        <f>IF((ContinuousStatsTable[[#This Row],[RepsRequested]]&gt;1),ContinuousStatsTable[[#This Row],[HalfWidth]],ContinuousStatsTable[[#This Row],[BatchMeansHalfWidth]])</f>
        <v>0</v>
      </c>
    </row>
    <row r="886" spans="1:21" x14ac:dyDescent="0.3">
      <c r="A886" t="s">
        <v>66</v>
      </c>
      <c r="B886" t="s">
        <v>68</v>
      </c>
      <c r="C886">
        <v>23</v>
      </c>
      <c r="D886" t="s">
        <v>84</v>
      </c>
      <c r="E886" t="s">
        <v>103</v>
      </c>
      <c r="F886" t="s">
        <v>86</v>
      </c>
      <c r="G886">
        <v>36.709886237305</v>
      </c>
      <c r="H886">
        <v>2E+20</v>
      </c>
      <c r="I886">
        <v>0</v>
      </c>
      <c r="J886">
        <v>59</v>
      </c>
      <c r="K886">
        <v>36</v>
      </c>
      <c r="L886">
        <v>0</v>
      </c>
      <c r="M886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886" s="5" cm="1">
        <f t="array" ref="N886">MAX(IF((ProjectInfoTable[ProjectName]=ContinuousStatsTable[[#This Row],[ProjectName]]),(ProjectInfoTable[ProjectName]=ContinuousStatsTable[[#This Row],[ProjectName]])*ProjectInfoTable[NumberOfReplications]))</f>
        <v>30</v>
      </c>
      <c r="O886" s="5" cm="1">
        <f t="array" ref="O886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886" s="5" cm="1">
        <f t="array" ref="P886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886" s="5" cm="1">
        <f t="array" ref="Q886">MAX(IF((ProjectInfoTable[ProjectName]=ContinuousStatsTable[[#This Row],[ProjectName]]),(ProjectInfoTable[ProjectName]=ContinuousStatsTable[[#This Row],[ProjectName]])*ProjectInfoTable[ConfidenceInterval]))</f>
        <v>0.95</v>
      </c>
      <c r="R8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886" s="5" cm="1">
        <f t="array" ref="S886">MIN(IF((ContinuousStatsTable[GroupByKey]=ContinuousStatsTable[[#This Row],[GroupByKey]]),(ContinuousStatsTable[GroupByKey]=ContinuousStatsTable[[#This Row],[GroupByKey]])*ContinuousStatsTable[Average]))</f>
        <v>36.709886237305</v>
      </c>
      <c r="T886" s="5" cm="1">
        <f t="array" ref="T886">MAX(IF((ContinuousStatsTable[GroupByKey]=ContinuousStatsTable[[#This Row],[GroupByKey]]),(ContinuousStatsTable[GroupByKey]=ContinuousStatsTable[[#This Row],[GroupByKey]])*ContinuousStatsTable[Average]))</f>
        <v>84.594951996708403</v>
      </c>
      <c r="U886" s="5">
        <f>IF((ContinuousStatsTable[[#This Row],[RepsRequested]]&gt;1),ContinuousStatsTable[[#This Row],[HalfWidth]],ContinuousStatsTable[[#This Row],[BatchMeansHalfWidth]])</f>
        <v>4.0384933567271259</v>
      </c>
    </row>
    <row r="887" spans="1:21" x14ac:dyDescent="0.3">
      <c r="A887" t="s">
        <v>66</v>
      </c>
      <c r="B887" t="s">
        <v>68</v>
      </c>
      <c r="C887">
        <v>23</v>
      </c>
      <c r="D887" t="s">
        <v>104</v>
      </c>
      <c r="E887" t="s">
        <v>94</v>
      </c>
      <c r="F887" t="s">
        <v>95</v>
      </c>
      <c r="G887">
        <v>0</v>
      </c>
      <c r="H887">
        <v>2E+20</v>
      </c>
      <c r="I887">
        <v>0</v>
      </c>
      <c r="J887">
        <v>0</v>
      </c>
      <c r="K887">
        <v>0</v>
      </c>
      <c r="L887">
        <v>0</v>
      </c>
      <c r="M887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887" s="5" cm="1">
        <f t="array" ref="N887">MAX(IF((ProjectInfoTable[ProjectName]=ContinuousStatsTable[[#This Row],[ProjectName]]),(ProjectInfoTable[ProjectName]=ContinuousStatsTable[[#This Row],[ProjectName]])*ProjectInfoTable[NumberOfReplications]))</f>
        <v>30</v>
      </c>
      <c r="O887" s="5" cm="1">
        <f t="array" ref="O887">IFERROR(AVERAGE(IF((ContinuousStatsTable[GroupByKey]=ContinuousStatsTable[[#This Row],[GroupByKey]]),(ContinuousStatsTable[GroupByKey]=ContinuousStatsTable[[#This Row],[GroupByKey]])*ContinuousStatsTable[Average])),0)</f>
        <v>0</v>
      </c>
      <c r="P887" s="5" cm="1">
        <f t="array" ref="P887">IFERROR(_xlfn.STDEV.S(IF((ContinuousStatsTable[GroupByKey]=ContinuousStatsTable[[#This Row],[GroupByKey]]),(ContinuousStatsTable[GroupByKey]=ContinuousStatsTable[[#This Row],[GroupByKey]])*ContinuousStatsTable[Average])),0)</f>
        <v>0</v>
      </c>
      <c r="Q887" s="5" cm="1">
        <f t="array" ref="Q887">MAX(IF((ProjectInfoTable[ProjectName]=ContinuousStatsTable[[#This Row],[ProjectName]]),(ProjectInfoTable[ProjectName]=ContinuousStatsTable[[#This Row],[ProjectName]])*ProjectInfoTable[ConfidenceInterval]))</f>
        <v>0.95</v>
      </c>
      <c r="R8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7" s="5" cm="1">
        <f t="array" ref="S887">MIN(IF((ContinuousStatsTable[GroupByKey]=ContinuousStatsTable[[#This Row],[GroupByKey]]),(ContinuousStatsTable[GroupByKey]=ContinuousStatsTable[[#This Row],[GroupByKey]])*ContinuousStatsTable[Average]))</f>
        <v>0</v>
      </c>
      <c r="T887" s="5" cm="1">
        <f t="array" ref="T887">MAX(IF((ContinuousStatsTable[GroupByKey]=ContinuousStatsTable[[#This Row],[GroupByKey]]),(ContinuousStatsTable[GroupByKey]=ContinuousStatsTable[[#This Row],[GroupByKey]])*ContinuousStatsTable[Average]))</f>
        <v>0</v>
      </c>
      <c r="U887" s="5">
        <f>IF((ContinuousStatsTable[[#This Row],[RepsRequested]]&gt;1),ContinuousStatsTable[[#This Row],[HalfWidth]],ContinuousStatsTable[[#This Row],[BatchMeansHalfWidth]])</f>
        <v>0</v>
      </c>
    </row>
    <row r="888" spans="1:21" x14ac:dyDescent="0.3">
      <c r="A888" t="s">
        <v>66</v>
      </c>
      <c r="B888" t="s">
        <v>68</v>
      </c>
      <c r="C888">
        <v>23</v>
      </c>
      <c r="D888" t="s">
        <v>104</v>
      </c>
      <c r="E888" t="s">
        <v>96</v>
      </c>
      <c r="F888" t="s">
        <v>95</v>
      </c>
      <c r="G888">
        <v>0</v>
      </c>
      <c r="H888">
        <v>2E+20</v>
      </c>
      <c r="I888">
        <v>0</v>
      </c>
      <c r="J888">
        <v>0</v>
      </c>
      <c r="K888">
        <v>0</v>
      </c>
      <c r="L888">
        <v>0</v>
      </c>
      <c r="M888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888" s="5" cm="1">
        <f t="array" ref="N888">MAX(IF((ProjectInfoTable[ProjectName]=ContinuousStatsTable[[#This Row],[ProjectName]]),(ProjectInfoTable[ProjectName]=ContinuousStatsTable[[#This Row],[ProjectName]])*ProjectInfoTable[NumberOfReplications]))</f>
        <v>30</v>
      </c>
      <c r="O888" s="5" cm="1">
        <f t="array" ref="O888">IFERROR(AVERAGE(IF((ContinuousStatsTable[GroupByKey]=ContinuousStatsTable[[#This Row],[GroupByKey]]),(ContinuousStatsTable[GroupByKey]=ContinuousStatsTable[[#This Row],[GroupByKey]])*ContinuousStatsTable[Average])),0)</f>
        <v>0</v>
      </c>
      <c r="P888" s="5" cm="1">
        <f t="array" ref="P888">IFERROR(_xlfn.STDEV.S(IF((ContinuousStatsTable[GroupByKey]=ContinuousStatsTable[[#This Row],[GroupByKey]]),(ContinuousStatsTable[GroupByKey]=ContinuousStatsTable[[#This Row],[GroupByKey]])*ContinuousStatsTable[Average])),0)</f>
        <v>0</v>
      </c>
      <c r="Q888" s="5" cm="1">
        <f t="array" ref="Q888">MAX(IF((ProjectInfoTable[ProjectName]=ContinuousStatsTable[[#This Row],[ProjectName]]),(ProjectInfoTable[ProjectName]=ContinuousStatsTable[[#This Row],[ProjectName]])*ProjectInfoTable[ConfidenceInterval]))</f>
        <v>0.95</v>
      </c>
      <c r="R8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8" s="5" cm="1">
        <f t="array" ref="S888">MIN(IF((ContinuousStatsTable[GroupByKey]=ContinuousStatsTable[[#This Row],[GroupByKey]]),(ContinuousStatsTable[GroupByKey]=ContinuousStatsTable[[#This Row],[GroupByKey]])*ContinuousStatsTable[Average]))</f>
        <v>0</v>
      </c>
      <c r="T888" s="5" cm="1">
        <f t="array" ref="T888">MAX(IF((ContinuousStatsTable[GroupByKey]=ContinuousStatsTable[[#This Row],[GroupByKey]]),(ContinuousStatsTable[GroupByKey]=ContinuousStatsTable[[#This Row],[GroupByKey]])*ContinuousStatsTable[Average]))</f>
        <v>0</v>
      </c>
      <c r="U888" s="5">
        <f>IF((ContinuousStatsTable[[#This Row],[RepsRequested]]&gt;1),ContinuousStatsTable[[#This Row],[HalfWidth]],ContinuousStatsTable[[#This Row],[BatchMeansHalfWidth]])</f>
        <v>0</v>
      </c>
    </row>
    <row r="889" spans="1:21" x14ac:dyDescent="0.3">
      <c r="A889" t="s">
        <v>66</v>
      </c>
      <c r="B889" t="s">
        <v>68</v>
      </c>
      <c r="C889">
        <v>23</v>
      </c>
      <c r="D889" t="s">
        <v>104</v>
      </c>
      <c r="E889" t="s">
        <v>97</v>
      </c>
      <c r="F889" t="s">
        <v>95</v>
      </c>
      <c r="G889">
        <v>3</v>
      </c>
      <c r="H889">
        <v>2E+20</v>
      </c>
      <c r="I889">
        <v>3</v>
      </c>
      <c r="J889">
        <v>3</v>
      </c>
      <c r="K889">
        <v>3</v>
      </c>
      <c r="L889">
        <v>0</v>
      </c>
      <c r="M889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889" s="5" cm="1">
        <f t="array" ref="N889">MAX(IF((ProjectInfoTable[ProjectName]=ContinuousStatsTable[[#This Row],[ProjectName]]),(ProjectInfoTable[ProjectName]=ContinuousStatsTable[[#This Row],[ProjectName]])*ProjectInfoTable[NumberOfReplications]))</f>
        <v>30</v>
      </c>
      <c r="O889" s="5" cm="1">
        <f t="array" ref="O889">IFERROR(AVERAGE(IF((ContinuousStatsTable[GroupByKey]=ContinuousStatsTable[[#This Row],[GroupByKey]]),(ContinuousStatsTable[GroupByKey]=ContinuousStatsTable[[#This Row],[GroupByKey]])*ContinuousStatsTable[Average])),0)</f>
        <v>3</v>
      </c>
      <c r="P889" s="5" cm="1">
        <f t="array" ref="P889">IFERROR(_xlfn.STDEV.S(IF((ContinuousStatsTable[GroupByKey]=ContinuousStatsTable[[#This Row],[GroupByKey]]),(ContinuousStatsTable[GroupByKey]=ContinuousStatsTable[[#This Row],[GroupByKey]])*ContinuousStatsTable[Average])),0)</f>
        <v>0</v>
      </c>
      <c r="Q889" s="5" cm="1">
        <f t="array" ref="Q889">MAX(IF((ProjectInfoTable[ProjectName]=ContinuousStatsTable[[#This Row],[ProjectName]]),(ProjectInfoTable[ProjectName]=ContinuousStatsTable[[#This Row],[ProjectName]])*ProjectInfoTable[ConfidenceInterval]))</f>
        <v>0.95</v>
      </c>
      <c r="R8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9" s="5" cm="1">
        <f t="array" ref="S889">MIN(IF((ContinuousStatsTable[GroupByKey]=ContinuousStatsTable[[#This Row],[GroupByKey]]),(ContinuousStatsTable[GroupByKey]=ContinuousStatsTable[[#This Row],[GroupByKey]])*ContinuousStatsTable[Average]))</f>
        <v>3</v>
      </c>
      <c r="T889" s="5" cm="1">
        <f t="array" ref="T889">MAX(IF((ContinuousStatsTable[GroupByKey]=ContinuousStatsTable[[#This Row],[GroupByKey]]),(ContinuousStatsTable[GroupByKey]=ContinuousStatsTable[[#This Row],[GroupByKey]])*ContinuousStatsTable[Average]))</f>
        <v>3</v>
      </c>
      <c r="U889" s="5">
        <f>IF((ContinuousStatsTable[[#This Row],[RepsRequested]]&gt;1),ContinuousStatsTable[[#This Row],[HalfWidth]],ContinuousStatsTable[[#This Row],[BatchMeansHalfWidth]])</f>
        <v>0</v>
      </c>
    </row>
    <row r="890" spans="1:21" x14ac:dyDescent="0.3">
      <c r="A890" t="s">
        <v>66</v>
      </c>
      <c r="B890" t="s">
        <v>68</v>
      </c>
      <c r="C890">
        <v>23</v>
      </c>
      <c r="D890" t="s">
        <v>105</v>
      </c>
      <c r="E890" t="s">
        <v>94</v>
      </c>
      <c r="F890" t="s">
        <v>95</v>
      </c>
      <c r="G890">
        <v>0.68623908393770205</v>
      </c>
      <c r="H890">
        <v>2E+20</v>
      </c>
      <c r="I890">
        <v>0</v>
      </c>
      <c r="J890">
        <v>1</v>
      </c>
      <c r="K890">
        <v>1</v>
      </c>
      <c r="L890">
        <v>0</v>
      </c>
      <c r="M890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890" s="5" cm="1">
        <f t="array" ref="N890">MAX(IF((ProjectInfoTable[ProjectName]=ContinuousStatsTable[[#This Row],[ProjectName]]),(ProjectInfoTable[ProjectName]=ContinuousStatsTable[[#This Row],[ProjectName]])*ProjectInfoTable[NumberOfReplications]))</f>
        <v>30</v>
      </c>
      <c r="O890" s="5" cm="1">
        <f t="array" ref="O890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890" s="5" cm="1">
        <f t="array" ref="P890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890" s="5" cm="1">
        <f t="array" ref="Q890">MAX(IF((ProjectInfoTable[ProjectName]=ContinuousStatsTable[[#This Row],[ProjectName]]),(ProjectInfoTable[ProjectName]=ContinuousStatsTable[[#This Row],[ProjectName]])*ProjectInfoTable[ConfidenceInterval]))</f>
        <v>0.95</v>
      </c>
      <c r="R8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890" s="5" cm="1">
        <f t="array" ref="S890">MIN(IF((ContinuousStatsTable[GroupByKey]=ContinuousStatsTable[[#This Row],[GroupByKey]]),(ContinuousStatsTable[GroupByKey]=ContinuousStatsTable[[#This Row],[GroupByKey]])*ContinuousStatsTable[Average]))</f>
        <v>0.634589476164233</v>
      </c>
      <c r="T890" s="5" cm="1">
        <f t="array" ref="T890">MAX(IF((ContinuousStatsTable[GroupByKey]=ContinuousStatsTable[[#This Row],[GroupByKey]]),(ContinuousStatsTable[GroupByKey]=ContinuousStatsTable[[#This Row],[GroupByKey]])*ContinuousStatsTable[Average]))</f>
        <v>0.99383259650362799</v>
      </c>
      <c r="U890" s="5">
        <f>IF((ContinuousStatsTable[[#This Row],[RepsRequested]]&gt;1),ContinuousStatsTable[[#This Row],[HalfWidth]],ContinuousStatsTable[[#This Row],[BatchMeansHalfWidth]])</f>
        <v>3.9940526897700258E-2</v>
      </c>
    </row>
    <row r="891" spans="1:21" x14ac:dyDescent="0.3">
      <c r="A891" t="s">
        <v>66</v>
      </c>
      <c r="B891" t="s">
        <v>68</v>
      </c>
      <c r="C891">
        <v>23</v>
      </c>
      <c r="D891" t="s">
        <v>105</v>
      </c>
      <c r="E891" t="s">
        <v>96</v>
      </c>
      <c r="F891" t="s">
        <v>95</v>
      </c>
      <c r="G891">
        <v>0.68623908393770205</v>
      </c>
      <c r="H891">
        <v>2E+20</v>
      </c>
      <c r="I891">
        <v>0</v>
      </c>
      <c r="J891">
        <v>1</v>
      </c>
      <c r="K891">
        <v>1</v>
      </c>
      <c r="L891">
        <v>0</v>
      </c>
      <c r="M891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891" s="5" cm="1">
        <f t="array" ref="N891">MAX(IF((ProjectInfoTable[ProjectName]=ContinuousStatsTable[[#This Row],[ProjectName]]),(ProjectInfoTable[ProjectName]=ContinuousStatsTable[[#This Row],[ProjectName]])*ProjectInfoTable[NumberOfReplications]))</f>
        <v>30</v>
      </c>
      <c r="O891" s="5" cm="1">
        <f t="array" ref="O891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891" s="5" cm="1">
        <f t="array" ref="P891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891" s="5" cm="1">
        <f t="array" ref="Q891">MAX(IF((ProjectInfoTable[ProjectName]=ContinuousStatsTable[[#This Row],[ProjectName]]),(ProjectInfoTable[ProjectName]=ContinuousStatsTable[[#This Row],[ProjectName]])*ProjectInfoTable[ConfidenceInterval]))</f>
        <v>0.95</v>
      </c>
      <c r="R8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891" s="5" cm="1">
        <f t="array" ref="S891">MIN(IF((ContinuousStatsTable[GroupByKey]=ContinuousStatsTable[[#This Row],[GroupByKey]]),(ContinuousStatsTable[GroupByKey]=ContinuousStatsTable[[#This Row],[GroupByKey]])*ContinuousStatsTable[Average]))</f>
        <v>0.634589476164233</v>
      </c>
      <c r="T891" s="5" cm="1">
        <f t="array" ref="T891">MAX(IF((ContinuousStatsTable[GroupByKey]=ContinuousStatsTable[[#This Row],[GroupByKey]]),(ContinuousStatsTable[GroupByKey]=ContinuousStatsTable[[#This Row],[GroupByKey]])*ContinuousStatsTable[Average]))</f>
        <v>0.99383259650362799</v>
      </c>
      <c r="U891" s="5">
        <f>IF((ContinuousStatsTable[[#This Row],[RepsRequested]]&gt;1),ContinuousStatsTable[[#This Row],[HalfWidth]],ContinuousStatsTable[[#This Row],[BatchMeansHalfWidth]])</f>
        <v>3.9940526897700258E-2</v>
      </c>
    </row>
    <row r="892" spans="1:21" x14ac:dyDescent="0.3">
      <c r="A892" t="s">
        <v>66</v>
      </c>
      <c r="B892" t="s">
        <v>68</v>
      </c>
      <c r="C892">
        <v>23</v>
      </c>
      <c r="D892" t="s">
        <v>105</v>
      </c>
      <c r="E892" t="s">
        <v>97</v>
      </c>
      <c r="F892" t="s">
        <v>95</v>
      </c>
      <c r="G892">
        <v>1</v>
      </c>
      <c r="H892">
        <v>2E+20</v>
      </c>
      <c r="I892">
        <v>1</v>
      </c>
      <c r="J892">
        <v>1</v>
      </c>
      <c r="K892">
        <v>1</v>
      </c>
      <c r="L892">
        <v>0</v>
      </c>
      <c r="M892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892" s="5" cm="1">
        <f t="array" ref="N892">MAX(IF((ProjectInfoTable[ProjectName]=ContinuousStatsTable[[#This Row],[ProjectName]]),(ProjectInfoTable[ProjectName]=ContinuousStatsTable[[#This Row],[ProjectName]])*ProjectInfoTable[NumberOfReplications]))</f>
        <v>30</v>
      </c>
      <c r="O892" s="5" cm="1">
        <f t="array" ref="O892">IFERROR(AVERAGE(IF((ContinuousStatsTable[GroupByKey]=ContinuousStatsTable[[#This Row],[GroupByKey]]),(ContinuousStatsTable[GroupByKey]=ContinuousStatsTable[[#This Row],[GroupByKey]])*ContinuousStatsTable[Average])),0)</f>
        <v>1</v>
      </c>
      <c r="P892" s="5" cm="1">
        <f t="array" ref="P892">IFERROR(_xlfn.STDEV.S(IF((ContinuousStatsTable[GroupByKey]=ContinuousStatsTable[[#This Row],[GroupByKey]]),(ContinuousStatsTable[GroupByKey]=ContinuousStatsTable[[#This Row],[GroupByKey]])*ContinuousStatsTable[Average])),0)</f>
        <v>0</v>
      </c>
      <c r="Q892" s="5" cm="1">
        <f t="array" ref="Q892">MAX(IF((ProjectInfoTable[ProjectName]=ContinuousStatsTable[[#This Row],[ProjectName]]),(ProjectInfoTable[ProjectName]=ContinuousStatsTable[[#This Row],[ProjectName]])*ProjectInfoTable[ConfidenceInterval]))</f>
        <v>0.95</v>
      </c>
      <c r="R8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92" s="5" cm="1">
        <f t="array" ref="S892">MIN(IF((ContinuousStatsTable[GroupByKey]=ContinuousStatsTable[[#This Row],[GroupByKey]]),(ContinuousStatsTable[GroupByKey]=ContinuousStatsTable[[#This Row],[GroupByKey]])*ContinuousStatsTable[Average]))</f>
        <v>1</v>
      </c>
      <c r="T892" s="5" cm="1">
        <f t="array" ref="T892">MAX(IF((ContinuousStatsTable[GroupByKey]=ContinuousStatsTable[[#This Row],[GroupByKey]]),(ContinuousStatsTable[GroupByKey]=ContinuousStatsTable[[#This Row],[GroupByKey]])*ContinuousStatsTable[Average]))</f>
        <v>1</v>
      </c>
      <c r="U892" s="5">
        <f>IF((ContinuousStatsTable[[#This Row],[RepsRequested]]&gt;1),ContinuousStatsTable[[#This Row],[HalfWidth]],ContinuousStatsTable[[#This Row],[BatchMeansHalfWidth]])</f>
        <v>0</v>
      </c>
    </row>
    <row r="893" spans="1:21" x14ac:dyDescent="0.3">
      <c r="A893" t="s">
        <v>66</v>
      </c>
      <c r="B893" t="s">
        <v>68</v>
      </c>
      <c r="C893">
        <v>23</v>
      </c>
      <c r="D893" t="s">
        <v>106</v>
      </c>
      <c r="E893" t="s">
        <v>94</v>
      </c>
      <c r="F893" t="s">
        <v>95</v>
      </c>
      <c r="G893">
        <v>0.765483147292917</v>
      </c>
      <c r="H893">
        <v>2E+20</v>
      </c>
      <c r="I893">
        <v>0</v>
      </c>
      <c r="J893">
        <v>1</v>
      </c>
      <c r="K893">
        <v>1</v>
      </c>
      <c r="L893">
        <v>0</v>
      </c>
      <c r="M893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893" s="5" cm="1">
        <f t="array" ref="N893">MAX(IF((ProjectInfoTable[ProjectName]=ContinuousStatsTable[[#This Row],[ProjectName]]),(ProjectInfoTable[ProjectName]=ContinuousStatsTable[[#This Row],[ProjectName]])*ProjectInfoTable[NumberOfReplications]))</f>
        <v>30</v>
      </c>
      <c r="O893" s="5" cm="1">
        <f t="array" ref="O893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893" s="5" cm="1">
        <f t="array" ref="P893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893" s="5" cm="1">
        <f t="array" ref="Q893">MAX(IF((ProjectInfoTable[ProjectName]=ContinuousStatsTable[[#This Row],[ProjectName]]),(ProjectInfoTable[ProjectName]=ContinuousStatsTable[[#This Row],[ProjectName]])*ProjectInfoTable[ConfidenceInterval]))</f>
        <v>0.95</v>
      </c>
      <c r="R8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893" s="5" cm="1">
        <f t="array" ref="S893">MIN(IF((ContinuousStatsTable[GroupByKey]=ContinuousStatsTable[[#This Row],[GroupByKey]]),(ContinuousStatsTable[GroupByKey]=ContinuousStatsTable[[#This Row],[GroupByKey]])*ContinuousStatsTable[Average]))</f>
        <v>0.74061105631083801</v>
      </c>
      <c r="T893" s="5" cm="1">
        <f t="array" ref="T893">MAX(IF((ContinuousStatsTable[GroupByKey]=ContinuousStatsTable[[#This Row],[GroupByKey]]),(ContinuousStatsTable[GroupByKey]=ContinuousStatsTable[[#This Row],[GroupByKey]])*ContinuousStatsTable[Average]))</f>
        <v>0.99245161744166299</v>
      </c>
      <c r="U893" s="5">
        <f>IF((ContinuousStatsTable[[#This Row],[RepsRequested]]&gt;1),ContinuousStatsTable[[#This Row],[HalfWidth]],ContinuousStatsTable[[#This Row],[BatchMeansHalfWidth]])</f>
        <v>2.8912497794626357E-2</v>
      </c>
    </row>
    <row r="894" spans="1:21" x14ac:dyDescent="0.3">
      <c r="A894" t="s">
        <v>66</v>
      </c>
      <c r="B894" t="s">
        <v>68</v>
      </c>
      <c r="C894">
        <v>23</v>
      </c>
      <c r="D894" t="s">
        <v>106</v>
      </c>
      <c r="E894" t="s">
        <v>96</v>
      </c>
      <c r="F894" t="s">
        <v>95</v>
      </c>
      <c r="G894">
        <v>0.765483147292917</v>
      </c>
      <c r="H894">
        <v>2E+20</v>
      </c>
      <c r="I894">
        <v>0</v>
      </c>
      <c r="J894">
        <v>1</v>
      </c>
      <c r="K894">
        <v>1</v>
      </c>
      <c r="L894">
        <v>0</v>
      </c>
      <c r="M894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894" s="5" cm="1">
        <f t="array" ref="N894">MAX(IF((ProjectInfoTable[ProjectName]=ContinuousStatsTable[[#This Row],[ProjectName]]),(ProjectInfoTable[ProjectName]=ContinuousStatsTable[[#This Row],[ProjectName]])*ProjectInfoTable[NumberOfReplications]))</f>
        <v>30</v>
      </c>
      <c r="O894" s="5" cm="1">
        <f t="array" ref="O894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894" s="5" cm="1">
        <f t="array" ref="P894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894" s="5" cm="1">
        <f t="array" ref="Q894">MAX(IF((ProjectInfoTable[ProjectName]=ContinuousStatsTable[[#This Row],[ProjectName]]),(ProjectInfoTable[ProjectName]=ContinuousStatsTable[[#This Row],[ProjectName]])*ProjectInfoTable[ConfidenceInterval]))</f>
        <v>0.95</v>
      </c>
      <c r="R8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894" s="5" cm="1">
        <f t="array" ref="S894">MIN(IF((ContinuousStatsTable[GroupByKey]=ContinuousStatsTable[[#This Row],[GroupByKey]]),(ContinuousStatsTable[GroupByKey]=ContinuousStatsTable[[#This Row],[GroupByKey]])*ContinuousStatsTable[Average]))</f>
        <v>0.74061105631083801</v>
      </c>
      <c r="T894" s="5" cm="1">
        <f t="array" ref="T894">MAX(IF((ContinuousStatsTable[GroupByKey]=ContinuousStatsTable[[#This Row],[GroupByKey]]),(ContinuousStatsTable[GroupByKey]=ContinuousStatsTable[[#This Row],[GroupByKey]])*ContinuousStatsTable[Average]))</f>
        <v>0.99245161744166299</v>
      </c>
      <c r="U894" s="5">
        <f>IF((ContinuousStatsTable[[#This Row],[RepsRequested]]&gt;1),ContinuousStatsTable[[#This Row],[HalfWidth]],ContinuousStatsTable[[#This Row],[BatchMeansHalfWidth]])</f>
        <v>2.8912497794626357E-2</v>
      </c>
    </row>
    <row r="895" spans="1:21" x14ac:dyDescent="0.3">
      <c r="A895" t="s">
        <v>66</v>
      </c>
      <c r="B895" t="s">
        <v>68</v>
      </c>
      <c r="C895">
        <v>23</v>
      </c>
      <c r="D895" t="s">
        <v>106</v>
      </c>
      <c r="E895" t="s">
        <v>97</v>
      </c>
      <c r="F895" t="s">
        <v>95</v>
      </c>
      <c r="G895">
        <v>1</v>
      </c>
      <c r="H895">
        <v>2E+20</v>
      </c>
      <c r="I895">
        <v>1</v>
      </c>
      <c r="J895">
        <v>1</v>
      </c>
      <c r="K895">
        <v>1</v>
      </c>
      <c r="L895">
        <v>0</v>
      </c>
      <c r="M895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895" s="5" cm="1">
        <f t="array" ref="N895">MAX(IF((ProjectInfoTable[ProjectName]=ContinuousStatsTable[[#This Row],[ProjectName]]),(ProjectInfoTable[ProjectName]=ContinuousStatsTable[[#This Row],[ProjectName]])*ProjectInfoTable[NumberOfReplications]))</f>
        <v>30</v>
      </c>
      <c r="O895" s="5" cm="1">
        <f t="array" ref="O895">IFERROR(AVERAGE(IF((ContinuousStatsTable[GroupByKey]=ContinuousStatsTable[[#This Row],[GroupByKey]]),(ContinuousStatsTable[GroupByKey]=ContinuousStatsTable[[#This Row],[GroupByKey]])*ContinuousStatsTable[Average])),0)</f>
        <v>1</v>
      </c>
      <c r="P895" s="5" cm="1">
        <f t="array" ref="P895">IFERROR(_xlfn.STDEV.S(IF((ContinuousStatsTable[GroupByKey]=ContinuousStatsTable[[#This Row],[GroupByKey]]),(ContinuousStatsTable[GroupByKey]=ContinuousStatsTable[[#This Row],[GroupByKey]])*ContinuousStatsTable[Average])),0)</f>
        <v>0</v>
      </c>
      <c r="Q895" s="5" cm="1">
        <f t="array" ref="Q895">MAX(IF((ProjectInfoTable[ProjectName]=ContinuousStatsTable[[#This Row],[ProjectName]]),(ProjectInfoTable[ProjectName]=ContinuousStatsTable[[#This Row],[ProjectName]])*ProjectInfoTable[ConfidenceInterval]))</f>
        <v>0.95</v>
      </c>
      <c r="R8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95" s="5" cm="1">
        <f t="array" ref="S895">MIN(IF((ContinuousStatsTable[GroupByKey]=ContinuousStatsTable[[#This Row],[GroupByKey]]),(ContinuousStatsTable[GroupByKey]=ContinuousStatsTable[[#This Row],[GroupByKey]])*ContinuousStatsTable[Average]))</f>
        <v>1</v>
      </c>
      <c r="T895" s="5" cm="1">
        <f t="array" ref="T895">MAX(IF((ContinuousStatsTable[GroupByKey]=ContinuousStatsTable[[#This Row],[GroupByKey]]),(ContinuousStatsTable[GroupByKey]=ContinuousStatsTable[[#This Row],[GroupByKey]])*ContinuousStatsTable[Average]))</f>
        <v>1</v>
      </c>
      <c r="U895" s="5">
        <f>IF((ContinuousStatsTable[[#This Row],[RepsRequested]]&gt;1),ContinuousStatsTable[[#This Row],[HalfWidth]],ContinuousStatsTable[[#This Row],[BatchMeansHalfWidth]])</f>
        <v>0</v>
      </c>
    </row>
    <row r="896" spans="1:21" x14ac:dyDescent="0.3">
      <c r="A896" t="s">
        <v>66</v>
      </c>
      <c r="B896" t="s">
        <v>68</v>
      </c>
      <c r="C896">
        <v>23</v>
      </c>
      <c r="D896" t="s">
        <v>107</v>
      </c>
      <c r="E896" t="s">
        <v>94</v>
      </c>
      <c r="F896" t="s">
        <v>95</v>
      </c>
      <c r="G896">
        <v>0.75560671418055303</v>
      </c>
      <c r="H896">
        <v>2E+20</v>
      </c>
      <c r="I896">
        <v>0</v>
      </c>
      <c r="J896">
        <v>1</v>
      </c>
      <c r="K896">
        <v>1</v>
      </c>
      <c r="L896">
        <v>0</v>
      </c>
      <c r="M896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896" s="5" cm="1">
        <f t="array" ref="N896">MAX(IF((ProjectInfoTable[ProjectName]=ContinuousStatsTable[[#This Row],[ProjectName]]),(ProjectInfoTable[ProjectName]=ContinuousStatsTable[[#This Row],[ProjectName]])*ProjectInfoTable[NumberOfReplications]))</f>
        <v>30</v>
      </c>
      <c r="O896" s="5" cm="1">
        <f t="array" ref="O896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896" s="5" cm="1">
        <f t="array" ref="P896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896" s="5" cm="1">
        <f t="array" ref="Q896">MAX(IF((ProjectInfoTable[ProjectName]=ContinuousStatsTable[[#This Row],[ProjectName]]),(ProjectInfoTable[ProjectName]=ContinuousStatsTable[[#This Row],[ProjectName]])*ProjectInfoTable[ConfidenceInterval]))</f>
        <v>0.95</v>
      </c>
      <c r="R8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896" s="5" cm="1">
        <f t="array" ref="S896">MIN(IF((ContinuousStatsTable[GroupByKey]=ContinuousStatsTable[[#This Row],[GroupByKey]]),(ContinuousStatsTable[GroupByKey]=ContinuousStatsTable[[#This Row],[GroupByKey]])*ContinuousStatsTable[Average]))</f>
        <v>0.73843386001690303</v>
      </c>
      <c r="T896" s="5" cm="1">
        <f t="array" ref="T896">MAX(IF((ContinuousStatsTable[GroupByKey]=ContinuousStatsTable[[#This Row],[GroupByKey]]),(ContinuousStatsTable[GroupByKey]=ContinuousStatsTable[[#This Row],[GroupByKey]])*ContinuousStatsTable[Average]))</f>
        <v>0.99245161744166299</v>
      </c>
      <c r="U896" s="5">
        <f>IF((ContinuousStatsTable[[#This Row],[RepsRequested]]&gt;1),ContinuousStatsTable[[#This Row],[HalfWidth]],ContinuousStatsTable[[#This Row],[BatchMeansHalfWidth]])</f>
        <v>2.6057642646860522E-2</v>
      </c>
    </row>
    <row r="897" spans="1:21" x14ac:dyDescent="0.3">
      <c r="A897" t="s">
        <v>66</v>
      </c>
      <c r="B897" t="s">
        <v>68</v>
      </c>
      <c r="C897">
        <v>23</v>
      </c>
      <c r="D897" t="s">
        <v>107</v>
      </c>
      <c r="E897" t="s">
        <v>96</v>
      </c>
      <c r="F897" t="s">
        <v>95</v>
      </c>
      <c r="G897">
        <v>0.75560671418055303</v>
      </c>
      <c r="H897">
        <v>2E+20</v>
      </c>
      <c r="I897">
        <v>0</v>
      </c>
      <c r="J897">
        <v>1</v>
      </c>
      <c r="K897">
        <v>1</v>
      </c>
      <c r="L897">
        <v>0</v>
      </c>
      <c r="M897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897" s="5" cm="1">
        <f t="array" ref="N897">MAX(IF((ProjectInfoTable[ProjectName]=ContinuousStatsTable[[#This Row],[ProjectName]]),(ProjectInfoTable[ProjectName]=ContinuousStatsTable[[#This Row],[ProjectName]])*ProjectInfoTable[NumberOfReplications]))</f>
        <v>30</v>
      </c>
      <c r="O897" s="5" cm="1">
        <f t="array" ref="O897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897" s="5" cm="1">
        <f t="array" ref="P897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897" s="5" cm="1">
        <f t="array" ref="Q897">MAX(IF((ProjectInfoTable[ProjectName]=ContinuousStatsTable[[#This Row],[ProjectName]]),(ProjectInfoTable[ProjectName]=ContinuousStatsTable[[#This Row],[ProjectName]])*ProjectInfoTable[ConfidenceInterval]))</f>
        <v>0.95</v>
      </c>
      <c r="R8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897" s="5" cm="1">
        <f t="array" ref="S897">MIN(IF((ContinuousStatsTable[GroupByKey]=ContinuousStatsTable[[#This Row],[GroupByKey]]),(ContinuousStatsTable[GroupByKey]=ContinuousStatsTable[[#This Row],[GroupByKey]])*ContinuousStatsTable[Average]))</f>
        <v>0.73843386001690303</v>
      </c>
      <c r="T897" s="5" cm="1">
        <f t="array" ref="T897">MAX(IF((ContinuousStatsTable[GroupByKey]=ContinuousStatsTable[[#This Row],[GroupByKey]]),(ContinuousStatsTable[GroupByKey]=ContinuousStatsTable[[#This Row],[GroupByKey]])*ContinuousStatsTable[Average]))</f>
        <v>0.99245161744166299</v>
      </c>
      <c r="U897" s="5">
        <f>IF((ContinuousStatsTable[[#This Row],[RepsRequested]]&gt;1),ContinuousStatsTable[[#This Row],[HalfWidth]],ContinuousStatsTable[[#This Row],[BatchMeansHalfWidth]])</f>
        <v>2.6057642646860522E-2</v>
      </c>
    </row>
    <row r="898" spans="1:21" x14ac:dyDescent="0.3">
      <c r="A898" t="s">
        <v>66</v>
      </c>
      <c r="B898" t="s">
        <v>68</v>
      </c>
      <c r="C898">
        <v>23</v>
      </c>
      <c r="D898" t="s">
        <v>107</v>
      </c>
      <c r="E898" t="s">
        <v>97</v>
      </c>
      <c r="F898" t="s">
        <v>95</v>
      </c>
      <c r="G898">
        <v>1</v>
      </c>
      <c r="H898">
        <v>2E+20</v>
      </c>
      <c r="I898">
        <v>1</v>
      </c>
      <c r="J898">
        <v>1</v>
      </c>
      <c r="K898">
        <v>1</v>
      </c>
      <c r="L898">
        <v>0</v>
      </c>
      <c r="M898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898" s="5" cm="1">
        <f t="array" ref="N898">MAX(IF((ProjectInfoTable[ProjectName]=ContinuousStatsTable[[#This Row],[ProjectName]]),(ProjectInfoTable[ProjectName]=ContinuousStatsTable[[#This Row],[ProjectName]])*ProjectInfoTable[NumberOfReplications]))</f>
        <v>30</v>
      </c>
      <c r="O898" s="5" cm="1">
        <f t="array" ref="O898">IFERROR(AVERAGE(IF((ContinuousStatsTable[GroupByKey]=ContinuousStatsTable[[#This Row],[GroupByKey]]),(ContinuousStatsTable[GroupByKey]=ContinuousStatsTable[[#This Row],[GroupByKey]])*ContinuousStatsTable[Average])),0)</f>
        <v>1</v>
      </c>
      <c r="P898" s="5" cm="1">
        <f t="array" ref="P898">IFERROR(_xlfn.STDEV.S(IF((ContinuousStatsTable[GroupByKey]=ContinuousStatsTable[[#This Row],[GroupByKey]]),(ContinuousStatsTable[GroupByKey]=ContinuousStatsTable[[#This Row],[GroupByKey]])*ContinuousStatsTable[Average])),0)</f>
        <v>0</v>
      </c>
      <c r="Q898" s="5" cm="1">
        <f t="array" ref="Q898">MAX(IF((ProjectInfoTable[ProjectName]=ContinuousStatsTable[[#This Row],[ProjectName]]),(ProjectInfoTable[ProjectName]=ContinuousStatsTable[[#This Row],[ProjectName]])*ProjectInfoTable[ConfidenceInterval]))</f>
        <v>0.95</v>
      </c>
      <c r="R8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98" s="5" cm="1">
        <f t="array" ref="S898">MIN(IF((ContinuousStatsTable[GroupByKey]=ContinuousStatsTable[[#This Row],[GroupByKey]]),(ContinuousStatsTable[GroupByKey]=ContinuousStatsTable[[#This Row],[GroupByKey]])*ContinuousStatsTable[Average]))</f>
        <v>1</v>
      </c>
      <c r="T898" s="5" cm="1">
        <f t="array" ref="T898">MAX(IF((ContinuousStatsTable[GroupByKey]=ContinuousStatsTable[[#This Row],[GroupByKey]]),(ContinuousStatsTable[GroupByKey]=ContinuousStatsTable[[#This Row],[GroupByKey]])*ContinuousStatsTable[Average]))</f>
        <v>1</v>
      </c>
      <c r="U898" s="5">
        <f>IF((ContinuousStatsTable[[#This Row],[RepsRequested]]&gt;1),ContinuousStatsTable[[#This Row],[HalfWidth]],ContinuousStatsTable[[#This Row],[BatchMeansHalfWidth]])</f>
        <v>0</v>
      </c>
    </row>
    <row r="899" spans="1:21" x14ac:dyDescent="0.3">
      <c r="A899" t="s">
        <v>66</v>
      </c>
      <c r="B899" t="s">
        <v>68</v>
      </c>
      <c r="C899">
        <v>24</v>
      </c>
      <c r="D899" t="s">
        <v>69</v>
      </c>
      <c r="E899" t="s">
        <v>92</v>
      </c>
      <c r="F899" t="s">
        <v>71</v>
      </c>
      <c r="G899">
        <v>2.5783095314464699</v>
      </c>
      <c r="H899">
        <v>2E+20</v>
      </c>
      <c r="I899">
        <v>0</v>
      </c>
      <c r="J899">
        <v>17</v>
      </c>
      <c r="K899">
        <v>0</v>
      </c>
      <c r="L899">
        <v>0</v>
      </c>
      <c r="M899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899" s="5" cm="1">
        <f t="array" ref="N899">MAX(IF((ProjectInfoTable[ProjectName]=ContinuousStatsTable[[#This Row],[ProjectName]]),(ProjectInfoTable[ProjectName]=ContinuousStatsTable[[#This Row],[ProjectName]])*ProjectInfoTable[NumberOfReplications]))</f>
        <v>30</v>
      </c>
      <c r="O899" s="5" cm="1">
        <f t="array" ref="O899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899" s="5" cm="1">
        <f t="array" ref="P899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899" s="5" cm="1">
        <f t="array" ref="Q899">MAX(IF((ProjectInfoTable[ProjectName]=ContinuousStatsTable[[#This Row],[ProjectName]]),(ProjectInfoTable[ProjectName]=ContinuousStatsTable[[#This Row],[ProjectName]])*ProjectInfoTable[ConfidenceInterval]))</f>
        <v>0.95</v>
      </c>
      <c r="R8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899" s="5" cm="1">
        <f t="array" ref="S899">MIN(IF((ContinuousStatsTable[GroupByKey]=ContinuousStatsTable[[#This Row],[GroupByKey]]),(ContinuousStatsTable[GroupByKey]=ContinuousStatsTable[[#This Row],[GroupByKey]])*ContinuousStatsTable[Average]))</f>
        <v>2.2853775994771</v>
      </c>
      <c r="T899" s="5" cm="1">
        <f t="array" ref="T899">MAX(IF((ContinuousStatsTable[GroupByKey]=ContinuousStatsTable[[#This Row],[GroupByKey]]),(ContinuousStatsTable[GroupByKey]=ContinuousStatsTable[[#This Row],[GroupByKey]])*ContinuousStatsTable[Average]))</f>
        <v>9.3827575078214593</v>
      </c>
      <c r="U899" s="5">
        <f>IF((ContinuousStatsTable[[#This Row],[RepsRequested]]&gt;1),ContinuousStatsTable[[#This Row],[HalfWidth]],ContinuousStatsTable[[#This Row],[BatchMeansHalfWidth]])</f>
        <v>0.70373665421471332</v>
      </c>
    </row>
    <row r="900" spans="1:21" x14ac:dyDescent="0.3">
      <c r="A900" t="s">
        <v>66</v>
      </c>
      <c r="B900" t="s">
        <v>68</v>
      </c>
      <c r="C900">
        <v>24</v>
      </c>
      <c r="D900" t="s">
        <v>72</v>
      </c>
      <c r="E900" t="s">
        <v>92</v>
      </c>
      <c r="F900" t="s">
        <v>71</v>
      </c>
      <c r="G900">
        <v>1.57397312007254</v>
      </c>
      <c r="H900">
        <v>2E+20</v>
      </c>
      <c r="I900">
        <v>0</v>
      </c>
      <c r="J900">
        <v>13</v>
      </c>
      <c r="K900">
        <v>0</v>
      </c>
      <c r="L900">
        <v>0</v>
      </c>
      <c r="M900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900" s="5" cm="1">
        <f t="array" ref="N900">MAX(IF((ProjectInfoTable[ProjectName]=ContinuousStatsTable[[#This Row],[ProjectName]]),(ProjectInfoTable[ProjectName]=ContinuousStatsTable[[#This Row],[ProjectName]])*ProjectInfoTable[NumberOfReplications]))</f>
        <v>30</v>
      </c>
      <c r="O900" s="5" cm="1">
        <f t="array" ref="O900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900" s="5" cm="1">
        <f t="array" ref="P900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900" s="5" cm="1">
        <f t="array" ref="Q900">MAX(IF((ProjectInfoTable[ProjectName]=ContinuousStatsTable[[#This Row],[ProjectName]]),(ProjectInfoTable[ProjectName]=ContinuousStatsTable[[#This Row],[ProjectName]])*ProjectInfoTable[ConfidenceInterval]))</f>
        <v>0.95</v>
      </c>
      <c r="R9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900" s="5" cm="1">
        <f t="array" ref="S900">MIN(IF((ContinuousStatsTable[GroupByKey]=ContinuousStatsTable[[#This Row],[GroupByKey]]),(ContinuousStatsTable[GroupByKey]=ContinuousStatsTable[[#This Row],[GroupByKey]])*ContinuousStatsTable[Average]))</f>
        <v>1.4754093813695901</v>
      </c>
      <c r="T900" s="5" cm="1">
        <f t="array" ref="T900">MAX(IF((ContinuousStatsTable[GroupByKey]=ContinuousStatsTable[[#This Row],[GroupByKey]]),(ContinuousStatsTable[GroupByKey]=ContinuousStatsTable[[#This Row],[GroupByKey]])*ContinuousStatsTable[Average]))</f>
        <v>8.0603747791942499</v>
      </c>
      <c r="U900" s="5">
        <f>IF((ContinuousStatsTable[[#This Row],[RepsRequested]]&gt;1),ContinuousStatsTable[[#This Row],[HalfWidth]],ContinuousStatsTable[[#This Row],[BatchMeansHalfWidth]])</f>
        <v>0.5936172943910426</v>
      </c>
    </row>
    <row r="901" spans="1:21" x14ac:dyDescent="0.3">
      <c r="A901" t="s">
        <v>66</v>
      </c>
      <c r="B901" t="s">
        <v>68</v>
      </c>
      <c r="C901">
        <v>24</v>
      </c>
      <c r="D901" t="s">
        <v>73</v>
      </c>
      <c r="E901" t="s">
        <v>92</v>
      </c>
      <c r="F901" t="s">
        <v>71</v>
      </c>
      <c r="G901">
        <v>11.5039779052666</v>
      </c>
      <c r="H901">
        <v>2E+20</v>
      </c>
      <c r="I901">
        <v>0</v>
      </c>
      <c r="J901">
        <v>27</v>
      </c>
      <c r="K901">
        <v>23</v>
      </c>
      <c r="L901">
        <v>0</v>
      </c>
      <c r="M901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901" s="5" cm="1">
        <f t="array" ref="N901">MAX(IF((ProjectInfoTable[ProjectName]=ContinuousStatsTable[[#This Row],[ProjectName]]),(ProjectInfoTable[ProjectName]=ContinuousStatsTable[[#This Row],[ProjectName]])*ProjectInfoTable[NumberOfReplications]))</f>
        <v>30</v>
      </c>
      <c r="O901" s="5" cm="1">
        <f t="array" ref="O901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901" s="5" cm="1">
        <f t="array" ref="P901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901" s="5" cm="1">
        <f t="array" ref="Q901">MAX(IF((ProjectInfoTable[ProjectName]=ContinuousStatsTable[[#This Row],[ProjectName]]),(ProjectInfoTable[ProjectName]=ContinuousStatsTable[[#This Row],[ProjectName]])*ProjectInfoTable[ConfidenceInterval]))</f>
        <v>0.95</v>
      </c>
      <c r="R9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901" s="5" cm="1">
        <f t="array" ref="S901">MIN(IF((ContinuousStatsTable[GroupByKey]=ContinuousStatsTable[[#This Row],[GroupByKey]]),(ContinuousStatsTable[GroupByKey]=ContinuousStatsTable[[#This Row],[GroupByKey]])*ContinuousStatsTable[Average]))</f>
        <v>1.3305593103954101</v>
      </c>
      <c r="T901" s="5" cm="1">
        <f t="array" ref="T901">MAX(IF((ContinuousStatsTable[GroupByKey]=ContinuousStatsTable[[#This Row],[GroupByKey]]),(ContinuousStatsTable[GroupByKey]=ContinuousStatsTable[[#This Row],[GroupByKey]])*ContinuousStatsTable[Average]))</f>
        <v>29.356614544212601</v>
      </c>
      <c r="U901" s="5">
        <f>IF((ContinuousStatsTable[[#This Row],[RepsRequested]]&gt;1),ContinuousStatsTable[[#This Row],[HalfWidth]],ContinuousStatsTable[[#This Row],[BatchMeansHalfWidth]])</f>
        <v>2.162177461749093</v>
      </c>
    </row>
    <row r="902" spans="1:21" x14ac:dyDescent="0.3">
      <c r="A902" t="s">
        <v>66</v>
      </c>
      <c r="B902" t="s">
        <v>68</v>
      </c>
      <c r="C902">
        <v>24</v>
      </c>
      <c r="D902" t="s">
        <v>74</v>
      </c>
      <c r="E902" t="s">
        <v>92</v>
      </c>
      <c r="F902" t="s">
        <v>71</v>
      </c>
      <c r="G902">
        <v>0</v>
      </c>
      <c r="H902">
        <v>2E+20</v>
      </c>
      <c r="I902">
        <v>0</v>
      </c>
      <c r="J902">
        <v>0</v>
      </c>
      <c r="K902">
        <v>0</v>
      </c>
      <c r="L902">
        <v>0</v>
      </c>
      <c r="M902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902" s="5" cm="1">
        <f t="array" ref="N902">MAX(IF((ProjectInfoTable[ProjectName]=ContinuousStatsTable[[#This Row],[ProjectName]]),(ProjectInfoTable[ProjectName]=ContinuousStatsTable[[#This Row],[ProjectName]])*ProjectInfoTable[NumberOfReplications]))</f>
        <v>30</v>
      </c>
      <c r="O902" s="5" cm="1">
        <f t="array" ref="O902">IFERROR(AVERAGE(IF((ContinuousStatsTable[GroupByKey]=ContinuousStatsTable[[#This Row],[GroupByKey]]),(ContinuousStatsTable[GroupByKey]=ContinuousStatsTable[[#This Row],[GroupByKey]])*ContinuousStatsTable[Average])),0)</f>
        <v>0</v>
      </c>
      <c r="P902" s="5" cm="1">
        <f t="array" ref="P902">IFERROR(_xlfn.STDEV.S(IF((ContinuousStatsTable[GroupByKey]=ContinuousStatsTable[[#This Row],[GroupByKey]]),(ContinuousStatsTable[GroupByKey]=ContinuousStatsTable[[#This Row],[GroupByKey]])*ContinuousStatsTable[Average])),0)</f>
        <v>0</v>
      </c>
      <c r="Q902" s="5" cm="1">
        <f t="array" ref="Q902">MAX(IF((ProjectInfoTable[ProjectName]=ContinuousStatsTable[[#This Row],[ProjectName]]),(ProjectInfoTable[ProjectName]=ContinuousStatsTable[[#This Row],[ProjectName]])*ProjectInfoTable[ConfidenceInterval]))</f>
        <v>0.95</v>
      </c>
      <c r="R9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2" s="5" cm="1">
        <f t="array" ref="S902">MIN(IF((ContinuousStatsTable[GroupByKey]=ContinuousStatsTable[[#This Row],[GroupByKey]]),(ContinuousStatsTable[GroupByKey]=ContinuousStatsTable[[#This Row],[GroupByKey]])*ContinuousStatsTable[Average]))</f>
        <v>0</v>
      </c>
      <c r="T902" s="5" cm="1">
        <f t="array" ref="T902">MAX(IF((ContinuousStatsTable[GroupByKey]=ContinuousStatsTable[[#This Row],[GroupByKey]]),(ContinuousStatsTable[GroupByKey]=ContinuousStatsTable[[#This Row],[GroupByKey]])*ContinuousStatsTable[Average]))</f>
        <v>0</v>
      </c>
      <c r="U902" s="5">
        <f>IF((ContinuousStatsTable[[#This Row],[RepsRequested]]&gt;1),ContinuousStatsTable[[#This Row],[HalfWidth]],ContinuousStatsTable[[#This Row],[BatchMeansHalfWidth]])</f>
        <v>0</v>
      </c>
    </row>
    <row r="903" spans="1:21" x14ac:dyDescent="0.3">
      <c r="A903" t="s">
        <v>66</v>
      </c>
      <c r="B903" t="s">
        <v>68</v>
      </c>
      <c r="C903">
        <v>24</v>
      </c>
      <c r="D903" t="s">
        <v>75</v>
      </c>
      <c r="E903" t="s">
        <v>92</v>
      </c>
      <c r="F903" t="s">
        <v>71</v>
      </c>
      <c r="G903">
        <v>0</v>
      </c>
      <c r="H903">
        <v>2E+20</v>
      </c>
      <c r="I903">
        <v>0</v>
      </c>
      <c r="J903">
        <v>0</v>
      </c>
      <c r="K903">
        <v>0</v>
      </c>
      <c r="L903">
        <v>0</v>
      </c>
      <c r="M903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903" s="5" cm="1">
        <f t="array" ref="N903">MAX(IF((ProjectInfoTable[ProjectName]=ContinuousStatsTable[[#This Row],[ProjectName]]),(ProjectInfoTable[ProjectName]=ContinuousStatsTable[[#This Row],[ProjectName]])*ProjectInfoTable[NumberOfReplications]))</f>
        <v>30</v>
      </c>
      <c r="O903" s="5" cm="1">
        <f t="array" ref="O903">IFERROR(AVERAGE(IF((ContinuousStatsTable[GroupByKey]=ContinuousStatsTable[[#This Row],[GroupByKey]]),(ContinuousStatsTable[GroupByKey]=ContinuousStatsTable[[#This Row],[GroupByKey]])*ContinuousStatsTable[Average])),0)</f>
        <v>0</v>
      </c>
      <c r="P903" s="5" cm="1">
        <f t="array" ref="P903">IFERROR(_xlfn.STDEV.S(IF((ContinuousStatsTable[GroupByKey]=ContinuousStatsTable[[#This Row],[GroupByKey]]),(ContinuousStatsTable[GroupByKey]=ContinuousStatsTable[[#This Row],[GroupByKey]])*ContinuousStatsTable[Average])),0)</f>
        <v>0</v>
      </c>
      <c r="Q903" s="5" cm="1">
        <f t="array" ref="Q903">MAX(IF((ProjectInfoTable[ProjectName]=ContinuousStatsTable[[#This Row],[ProjectName]]),(ProjectInfoTable[ProjectName]=ContinuousStatsTable[[#This Row],[ProjectName]])*ProjectInfoTable[ConfidenceInterval]))</f>
        <v>0.95</v>
      </c>
      <c r="R9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3" s="5" cm="1">
        <f t="array" ref="S903">MIN(IF((ContinuousStatsTable[GroupByKey]=ContinuousStatsTable[[#This Row],[GroupByKey]]),(ContinuousStatsTable[GroupByKey]=ContinuousStatsTable[[#This Row],[GroupByKey]])*ContinuousStatsTable[Average]))</f>
        <v>0</v>
      </c>
      <c r="T903" s="5" cm="1">
        <f t="array" ref="T903">MAX(IF((ContinuousStatsTable[GroupByKey]=ContinuousStatsTable[[#This Row],[GroupByKey]]),(ContinuousStatsTable[GroupByKey]=ContinuousStatsTable[[#This Row],[GroupByKey]])*ContinuousStatsTable[Average]))</f>
        <v>0</v>
      </c>
      <c r="U903" s="5">
        <f>IF((ContinuousStatsTable[[#This Row],[RepsRequested]]&gt;1),ContinuousStatsTable[[#This Row],[HalfWidth]],ContinuousStatsTable[[#This Row],[BatchMeansHalfWidth]])</f>
        <v>0</v>
      </c>
    </row>
    <row r="904" spans="1:21" x14ac:dyDescent="0.3">
      <c r="A904" t="s">
        <v>66</v>
      </c>
      <c r="B904" t="s">
        <v>68</v>
      </c>
      <c r="C904">
        <v>24</v>
      </c>
      <c r="D904" t="s">
        <v>76</v>
      </c>
      <c r="E904" t="s">
        <v>92</v>
      </c>
      <c r="F904" t="s">
        <v>71</v>
      </c>
      <c r="G904">
        <v>0.49317317875764399</v>
      </c>
      <c r="H904">
        <v>2E+20</v>
      </c>
      <c r="I904">
        <v>0</v>
      </c>
      <c r="J904">
        <v>6</v>
      </c>
      <c r="K904">
        <v>0</v>
      </c>
      <c r="L904">
        <v>0</v>
      </c>
      <c r="M904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904" s="5" cm="1">
        <f t="array" ref="N904">MAX(IF((ProjectInfoTable[ProjectName]=ContinuousStatsTable[[#This Row],[ProjectName]]),(ProjectInfoTable[ProjectName]=ContinuousStatsTable[[#This Row],[ProjectName]])*ProjectInfoTable[NumberOfReplications]))</f>
        <v>30</v>
      </c>
      <c r="O904" s="5" cm="1">
        <f t="array" ref="O904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904" s="5" cm="1">
        <f t="array" ref="P904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904" s="5" cm="1">
        <f t="array" ref="Q904">MAX(IF((ProjectInfoTable[ProjectName]=ContinuousStatsTable[[#This Row],[ProjectName]]),(ProjectInfoTable[ProjectName]=ContinuousStatsTable[[#This Row],[ProjectName]])*ProjectInfoTable[ConfidenceInterval]))</f>
        <v>0.95</v>
      </c>
      <c r="R9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904" s="5" cm="1">
        <f t="array" ref="S904">MIN(IF((ContinuousStatsTable[GroupByKey]=ContinuousStatsTable[[#This Row],[GroupByKey]]),(ContinuousStatsTable[GroupByKey]=ContinuousStatsTable[[#This Row],[GroupByKey]])*ContinuousStatsTable[Average]))</f>
        <v>4.5869485136026601E-2</v>
      </c>
      <c r="T904" s="5" cm="1">
        <f t="array" ref="T904">MAX(IF((ContinuousStatsTable[GroupByKey]=ContinuousStatsTable[[#This Row],[GroupByKey]]),(ContinuousStatsTable[GroupByKey]=ContinuousStatsTable[[#This Row],[GroupByKey]])*ContinuousStatsTable[Average]))</f>
        <v>4.1119263103435699</v>
      </c>
      <c r="U904" s="5">
        <f>IF((ContinuousStatsTable[[#This Row],[RepsRequested]]&gt;1),ContinuousStatsTable[[#This Row],[HalfWidth]],ContinuousStatsTable[[#This Row],[BatchMeansHalfWidth]])</f>
        <v>0.43252967563899991</v>
      </c>
    </row>
    <row r="905" spans="1:21" x14ac:dyDescent="0.3">
      <c r="A905" t="s">
        <v>66</v>
      </c>
      <c r="B905" t="s">
        <v>68</v>
      </c>
      <c r="C905">
        <v>24</v>
      </c>
      <c r="D905" t="s">
        <v>77</v>
      </c>
      <c r="E905" t="s">
        <v>92</v>
      </c>
      <c r="F905" t="s">
        <v>71</v>
      </c>
      <c r="G905">
        <v>0</v>
      </c>
      <c r="H905">
        <v>2E+20</v>
      </c>
      <c r="I905">
        <v>0</v>
      </c>
      <c r="J905">
        <v>0</v>
      </c>
      <c r="K905">
        <v>0</v>
      </c>
      <c r="L905">
        <v>0</v>
      </c>
      <c r="M905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905" s="5" cm="1">
        <f t="array" ref="N905">MAX(IF((ProjectInfoTable[ProjectName]=ContinuousStatsTable[[#This Row],[ProjectName]]),(ProjectInfoTable[ProjectName]=ContinuousStatsTable[[#This Row],[ProjectName]])*ProjectInfoTable[NumberOfReplications]))</f>
        <v>30</v>
      </c>
      <c r="O905" s="5" cm="1">
        <f t="array" ref="O905">IFERROR(AVERAGE(IF((ContinuousStatsTable[GroupByKey]=ContinuousStatsTable[[#This Row],[GroupByKey]]),(ContinuousStatsTable[GroupByKey]=ContinuousStatsTable[[#This Row],[GroupByKey]])*ContinuousStatsTable[Average])),0)</f>
        <v>0</v>
      </c>
      <c r="P905" s="5" cm="1">
        <f t="array" ref="P905">IFERROR(_xlfn.STDEV.S(IF((ContinuousStatsTable[GroupByKey]=ContinuousStatsTable[[#This Row],[GroupByKey]]),(ContinuousStatsTable[GroupByKey]=ContinuousStatsTable[[#This Row],[GroupByKey]])*ContinuousStatsTable[Average])),0)</f>
        <v>0</v>
      </c>
      <c r="Q905" s="5" cm="1">
        <f t="array" ref="Q905">MAX(IF((ProjectInfoTable[ProjectName]=ContinuousStatsTable[[#This Row],[ProjectName]]),(ProjectInfoTable[ProjectName]=ContinuousStatsTable[[#This Row],[ProjectName]])*ProjectInfoTable[ConfidenceInterval]))</f>
        <v>0.95</v>
      </c>
      <c r="R9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5" s="5" cm="1">
        <f t="array" ref="S905">MIN(IF((ContinuousStatsTable[GroupByKey]=ContinuousStatsTable[[#This Row],[GroupByKey]]),(ContinuousStatsTable[GroupByKey]=ContinuousStatsTable[[#This Row],[GroupByKey]])*ContinuousStatsTable[Average]))</f>
        <v>0</v>
      </c>
      <c r="T905" s="5" cm="1">
        <f t="array" ref="T905">MAX(IF((ContinuousStatsTable[GroupByKey]=ContinuousStatsTable[[#This Row],[GroupByKey]]),(ContinuousStatsTable[GroupByKey]=ContinuousStatsTable[[#This Row],[GroupByKey]])*ContinuousStatsTable[Average]))</f>
        <v>0</v>
      </c>
      <c r="U905" s="5">
        <f>IF((ContinuousStatsTable[[#This Row],[RepsRequested]]&gt;1),ContinuousStatsTable[[#This Row],[HalfWidth]],ContinuousStatsTable[[#This Row],[BatchMeansHalfWidth]])</f>
        <v>0</v>
      </c>
    </row>
    <row r="906" spans="1:21" x14ac:dyDescent="0.3">
      <c r="A906" t="s">
        <v>66</v>
      </c>
      <c r="B906" t="s">
        <v>68</v>
      </c>
      <c r="C906">
        <v>24</v>
      </c>
      <c r="D906" t="s">
        <v>78</v>
      </c>
      <c r="E906" t="s">
        <v>92</v>
      </c>
      <c r="F906" t="s">
        <v>71</v>
      </c>
      <c r="G906">
        <v>0</v>
      </c>
      <c r="H906">
        <v>2E+20</v>
      </c>
      <c r="I906">
        <v>0</v>
      </c>
      <c r="J906">
        <v>0</v>
      </c>
      <c r="K906">
        <v>0</v>
      </c>
      <c r="L906">
        <v>0</v>
      </c>
      <c r="M906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906" s="5" cm="1">
        <f t="array" ref="N906">MAX(IF((ProjectInfoTable[ProjectName]=ContinuousStatsTable[[#This Row],[ProjectName]]),(ProjectInfoTable[ProjectName]=ContinuousStatsTable[[#This Row],[ProjectName]])*ProjectInfoTable[NumberOfReplications]))</f>
        <v>30</v>
      </c>
      <c r="O906" s="5" cm="1">
        <f t="array" ref="O906">IFERROR(AVERAGE(IF((ContinuousStatsTable[GroupByKey]=ContinuousStatsTable[[#This Row],[GroupByKey]]),(ContinuousStatsTable[GroupByKey]=ContinuousStatsTable[[#This Row],[GroupByKey]])*ContinuousStatsTable[Average])),0)</f>
        <v>0</v>
      </c>
      <c r="P906" s="5" cm="1">
        <f t="array" ref="P906">IFERROR(_xlfn.STDEV.S(IF((ContinuousStatsTable[GroupByKey]=ContinuousStatsTable[[#This Row],[GroupByKey]]),(ContinuousStatsTable[GroupByKey]=ContinuousStatsTable[[#This Row],[GroupByKey]])*ContinuousStatsTable[Average])),0)</f>
        <v>0</v>
      </c>
      <c r="Q906" s="5" cm="1">
        <f t="array" ref="Q906">MAX(IF((ProjectInfoTable[ProjectName]=ContinuousStatsTable[[#This Row],[ProjectName]]),(ProjectInfoTable[ProjectName]=ContinuousStatsTable[[#This Row],[ProjectName]])*ProjectInfoTable[ConfidenceInterval]))</f>
        <v>0.95</v>
      </c>
      <c r="R9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6" s="5" cm="1">
        <f t="array" ref="S906">MIN(IF((ContinuousStatsTable[GroupByKey]=ContinuousStatsTable[[#This Row],[GroupByKey]]),(ContinuousStatsTable[GroupByKey]=ContinuousStatsTable[[#This Row],[GroupByKey]])*ContinuousStatsTable[Average]))</f>
        <v>0</v>
      </c>
      <c r="T906" s="5" cm="1">
        <f t="array" ref="T906">MAX(IF((ContinuousStatsTable[GroupByKey]=ContinuousStatsTable[[#This Row],[GroupByKey]]),(ContinuousStatsTable[GroupByKey]=ContinuousStatsTable[[#This Row],[GroupByKey]])*ContinuousStatsTable[Average]))</f>
        <v>0</v>
      </c>
      <c r="U906" s="5">
        <f>IF((ContinuousStatsTable[[#This Row],[RepsRequested]]&gt;1),ContinuousStatsTable[[#This Row],[HalfWidth]],ContinuousStatsTable[[#This Row],[BatchMeansHalfWidth]])</f>
        <v>0</v>
      </c>
    </row>
    <row r="907" spans="1:21" x14ac:dyDescent="0.3">
      <c r="A907" t="s">
        <v>66</v>
      </c>
      <c r="B907" t="s">
        <v>68</v>
      </c>
      <c r="C907">
        <v>24</v>
      </c>
      <c r="D907" t="s">
        <v>93</v>
      </c>
      <c r="E907" t="s">
        <v>94</v>
      </c>
      <c r="F907" t="s">
        <v>95</v>
      </c>
      <c r="G907">
        <v>2.3718114155243601E-2</v>
      </c>
      <c r="H907">
        <v>2E+20</v>
      </c>
      <c r="I907">
        <v>0</v>
      </c>
      <c r="J907">
        <v>0.15</v>
      </c>
      <c r="K907">
        <v>0.05</v>
      </c>
      <c r="L907">
        <v>0</v>
      </c>
      <c r="M907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907" s="5" cm="1">
        <f t="array" ref="N907">MAX(IF((ProjectInfoTable[ProjectName]=ContinuousStatsTable[[#This Row],[ProjectName]]),(ProjectInfoTable[ProjectName]=ContinuousStatsTable[[#This Row],[ProjectName]])*ProjectInfoTable[NumberOfReplications]))</f>
        <v>30</v>
      </c>
      <c r="O907" s="5" cm="1">
        <f t="array" ref="O907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907" s="5" cm="1">
        <f t="array" ref="P907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907" s="5" cm="1">
        <f t="array" ref="Q907">MAX(IF((ProjectInfoTable[ProjectName]=ContinuousStatsTable[[#This Row],[ProjectName]]),(ProjectInfoTable[ProjectName]=ContinuousStatsTable[[#This Row],[ProjectName]])*ProjectInfoTable[ConfidenceInterval]))</f>
        <v>0.95</v>
      </c>
      <c r="R9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907" s="5" cm="1">
        <f t="array" ref="S907">MIN(IF((ContinuousStatsTable[GroupByKey]=ContinuousStatsTable[[#This Row],[GroupByKey]]),(ContinuousStatsTable[GroupByKey]=ContinuousStatsTable[[#This Row],[GroupByKey]])*ContinuousStatsTable[Average]))</f>
        <v>2.3718114155243601E-2</v>
      </c>
      <c r="T907" s="5" cm="1">
        <f t="array" ref="T907">MAX(IF((ContinuousStatsTable[GroupByKey]=ContinuousStatsTable[[#This Row],[GroupByKey]]),(ContinuousStatsTable[GroupByKey]=ContinuousStatsTable[[#This Row],[GroupByKey]])*ContinuousStatsTable[Average]))</f>
        <v>4.8583931724403701E-2</v>
      </c>
      <c r="U907" s="5">
        <f>IF((ContinuousStatsTable[[#This Row],[RepsRequested]]&gt;1),ContinuousStatsTable[[#This Row],[HalfWidth]],ContinuousStatsTable[[#This Row],[BatchMeansHalfWidth]])</f>
        <v>2.4839579632442289E-3</v>
      </c>
    </row>
    <row r="908" spans="1:21" x14ac:dyDescent="0.3">
      <c r="A908" t="s">
        <v>66</v>
      </c>
      <c r="B908" t="s">
        <v>68</v>
      </c>
      <c r="C908">
        <v>24</v>
      </c>
      <c r="D908" t="s">
        <v>93</v>
      </c>
      <c r="E908" t="s">
        <v>96</v>
      </c>
      <c r="F908" t="s">
        <v>95</v>
      </c>
      <c r="G908">
        <v>0.47436228310487299</v>
      </c>
      <c r="H908">
        <v>2E+20</v>
      </c>
      <c r="I908">
        <v>0</v>
      </c>
      <c r="J908">
        <v>3</v>
      </c>
      <c r="K908">
        <v>1</v>
      </c>
      <c r="L908">
        <v>0</v>
      </c>
      <c r="M908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908" s="5" cm="1">
        <f t="array" ref="N908">MAX(IF((ProjectInfoTable[ProjectName]=ContinuousStatsTable[[#This Row],[ProjectName]]),(ProjectInfoTable[ProjectName]=ContinuousStatsTable[[#This Row],[ProjectName]])*ProjectInfoTable[NumberOfReplications]))</f>
        <v>30</v>
      </c>
      <c r="O908" s="5" cm="1">
        <f t="array" ref="O908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908" s="5" cm="1">
        <f t="array" ref="P908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908" s="5" cm="1">
        <f t="array" ref="Q908">MAX(IF((ProjectInfoTable[ProjectName]=ContinuousStatsTable[[#This Row],[ProjectName]]),(ProjectInfoTable[ProjectName]=ContinuousStatsTable[[#This Row],[ProjectName]])*ProjectInfoTable[ConfidenceInterval]))</f>
        <v>0.95</v>
      </c>
      <c r="R9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908" s="5" cm="1">
        <f t="array" ref="S908">MIN(IF((ContinuousStatsTable[GroupByKey]=ContinuousStatsTable[[#This Row],[GroupByKey]]),(ContinuousStatsTable[GroupByKey]=ContinuousStatsTable[[#This Row],[GroupByKey]])*ContinuousStatsTable[Average]))</f>
        <v>0.47436228310487299</v>
      </c>
      <c r="T908" s="5" cm="1">
        <f t="array" ref="T908">MAX(IF((ContinuousStatsTable[GroupByKey]=ContinuousStatsTable[[#This Row],[GroupByKey]]),(ContinuousStatsTable[GroupByKey]=ContinuousStatsTable[[#This Row],[GroupByKey]])*ContinuousStatsTable[Average]))</f>
        <v>0.97167863448807401</v>
      </c>
      <c r="U908" s="5">
        <f>IF((ContinuousStatsTable[[#This Row],[RepsRequested]]&gt;1),ContinuousStatsTable[[#This Row],[HalfWidth]],ContinuousStatsTable[[#This Row],[BatchMeansHalfWidth]])</f>
        <v>4.9679159264885281E-2</v>
      </c>
    </row>
    <row r="909" spans="1:21" x14ac:dyDescent="0.3">
      <c r="A909" t="s">
        <v>66</v>
      </c>
      <c r="B909" t="s">
        <v>68</v>
      </c>
      <c r="C909">
        <v>24</v>
      </c>
      <c r="D909" t="s">
        <v>93</v>
      </c>
      <c r="E909" t="s">
        <v>97</v>
      </c>
      <c r="F909" t="s">
        <v>95</v>
      </c>
      <c r="G909">
        <v>20</v>
      </c>
      <c r="H909">
        <v>2E+20</v>
      </c>
      <c r="I909">
        <v>20</v>
      </c>
      <c r="J909">
        <v>20</v>
      </c>
      <c r="K909">
        <v>20</v>
      </c>
      <c r="L909">
        <v>0</v>
      </c>
      <c r="M909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909" s="5" cm="1">
        <f t="array" ref="N909">MAX(IF((ProjectInfoTable[ProjectName]=ContinuousStatsTable[[#This Row],[ProjectName]]),(ProjectInfoTable[ProjectName]=ContinuousStatsTable[[#This Row],[ProjectName]])*ProjectInfoTable[NumberOfReplications]))</f>
        <v>30</v>
      </c>
      <c r="O909" s="5" cm="1">
        <f t="array" ref="O909">IFERROR(AVERAGE(IF((ContinuousStatsTable[GroupByKey]=ContinuousStatsTable[[#This Row],[GroupByKey]]),(ContinuousStatsTable[GroupByKey]=ContinuousStatsTable[[#This Row],[GroupByKey]])*ContinuousStatsTable[Average])),0)</f>
        <v>20</v>
      </c>
      <c r="P909" s="5" cm="1">
        <f t="array" ref="P909">IFERROR(_xlfn.STDEV.S(IF((ContinuousStatsTable[GroupByKey]=ContinuousStatsTable[[#This Row],[GroupByKey]]),(ContinuousStatsTable[GroupByKey]=ContinuousStatsTable[[#This Row],[GroupByKey]])*ContinuousStatsTable[Average])),0)</f>
        <v>0</v>
      </c>
      <c r="Q909" s="5" cm="1">
        <f t="array" ref="Q909">MAX(IF((ProjectInfoTable[ProjectName]=ContinuousStatsTable[[#This Row],[ProjectName]]),(ProjectInfoTable[ProjectName]=ContinuousStatsTable[[#This Row],[ProjectName]])*ProjectInfoTable[ConfidenceInterval]))</f>
        <v>0.95</v>
      </c>
      <c r="R9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9" s="5" cm="1">
        <f t="array" ref="S909">MIN(IF((ContinuousStatsTable[GroupByKey]=ContinuousStatsTable[[#This Row],[GroupByKey]]),(ContinuousStatsTable[GroupByKey]=ContinuousStatsTable[[#This Row],[GroupByKey]])*ContinuousStatsTable[Average]))</f>
        <v>20</v>
      </c>
      <c r="T909" s="5" cm="1">
        <f t="array" ref="T909">MAX(IF((ContinuousStatsTable[GroupByKey]=ContinuousStatsTable[[#This Row],[GroupByKey]]),(ContinuousStatsTable[GroupByKey]=ContinuousStatsTable[[#This Row],[GroupByKey]])*ContinuousStatsTable[Average]))</f>
        <v>20</v>
      </c>
      <c r="U909" s="5">
        <f>IF((ContinuousStatsTable[[#This Row],[RepsRequested]]&gt;1),ContinuousStatsTable[[#This Row],[HalfWidth]],ContinuousStatsTable[[#This Row],[BatchMeansHalfWidth]])</f>
        <v>0</v>
      </c>
    </row>
    <row r="910" spans="1:21" x14ac:dyDescent="0.3">
      <c r="A910" t="s">
        <v>66</v>
      </c>
      <c r="B910" t="s">
        <v>68</v>
      </c>
      <c r="C910">
        <v>24</v>
      </c>
      <c r="D910" t="s">
        <v>98</v>
      </c>
      <c r="E910" t="s">
        <v>94</v>
      </c>
      <c r="F910" t="s">
        <v>95</v>
      </c>
      <c r="G910">
        <v>0.22562670141869701</v>
      </c>
      <c r="H910">
        <v>2E+20</v>
      </c>
      <c r="I910">
        <v>0</v>
      </c>
      <c r="J910">
        <v>0.6</v>
      </c>
      <c r="K910">
        <v>0.25</v>
      </c>
      <c r="L910">
        <v>0</v>
      </c>
      <c r="M910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910" s="5" cm="1">
        <f t="array" ref="N910">MAX(IF((ProjectInfoTable[ProjectName]=ContinuousStatsTable[[#This Row],[ProjectName]]),(ProjectInfoTable[ProjectName]=ContinuousStatsTable[[#This Row],[ProjectName]])*ProjectInfoTable[NumberOfReplications]))</f>
        <v>30</v>
      </c>
      <c r="O910" s="5" cm="1">
        <f t="array" ref="O910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910" s="5" cm="1">
        <f t="array" ref="P910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910" s="5" cm="1">
        <f t="array" ref="Q910">MAX(IF((ProjectInfoTable[ProjectName]=ContinuousStatsTable[[#This Row],[ProjectName]]),(ProjectInfoTable[ProjectName]=ContinuousStatsTable[[#This Row],[ProjectName]])*ProjectInfoTable[ConfidenceInterval]))</f>
        <v>0.95</v>
      </c>
      <c r="R9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910" s="5" cm="1">
        <f t="array" ref="S910">MIN(IF((ContinuousStatsTable[GroupByKey]=ContinuousStatsTable[[#This Row],[GroupByKey]]),(ContinuousStatsTable[GroupByKey]=ContinuousStatsTable[[#This Row],[GroupByKey]])*ContinuousStatsTable[Average]))</f>
        <v>0.20767736113278101</v>
      </c>
      <c r="T910" s="5" cm="1">
        <f t="array" ref="T910">MAX(IF((ContinuousStatsTable[GroupByKey]=ContinuousStatsTable[[#This Row],[GroupByKey]]),(ContinuousStatsTable[GroupByKey]=ContinuousStatsTable[[#This Row],[GroupByKey]])*ContinuousStatsTable[Average]))</f>
        <v>0.28501162927715501</v>
      </c>
      <c r="U910" s="5">
        <f>IF((ContinuousStatsTable[[#This Row],[RepsRequested]]&gt;1),ContinuousStatsTable[[#This Row],[HalfWidth]],ContinuousStatsTable[[#This Row],[BatchMeansHalfWidth]])</f>
        <v>8.7273384073404715E-3</v>
      </c>
    </row>
    <row r="911" spans="1:21" x14ac:dyDescent="0.3">
      <c r="A911" t="s">
        <v>66</v>
      </c>
      <c r="B911" t="s">
        <v>68</v>
      </c>
      <c r="C911">
        <v>24</v>
      </c>
      <c r="D911" t="s">
        <v>98</v>
      </c>
      <c r="E911" t="s">
        <v>96</v>
      </c>
      <c r="F911" t="s">
        <v>95</v>
      </c>
      <c r="G911">
        <v>4.5125340283739401</v>
      </c>
      <c r="H911">
        <v>2E+20</v>
      </c>
      <c r="I911">
        <v>0</v>
      </c>
      <c r="J911">
        <v>12</v>
      </c>
      <c r="K911">
        <v>5</v>
      </c>
      <c r="L911">
        <v>0</v>
      </c>
      <c r="M911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911" s="5" cm="1">
        <f t="array" ref="N911">MAX(IF((ProjectInfoTable[ProjectName]=ContinuousStatsTable[[#This Row],[ProjectName]]),(ProjectInfoTable[ProjectName]=ContinuousStatsTable[[#This Row],[ProjectName]])*ProjectInfoTable[NumberOfReplications]))</f>
        <v>30</v>
      </c>
      <c r="O911" s="5" cm="1">
        <f t="array" ref="O911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911" s="5" cm="1">
        <f t="array" ref="P911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911" s="5" cm="1">
        <f t="array" ref="Q911">MAX(IF((ProjectInfoTable[ProjectName]=ContinuousStatsTable[[#This Row],[ProjectName]]),(ProjectInfoTable[ProjectName]=ContinuousStatsTable[[#This Row],[ProjectName]])*ProjectInfoTable[ConfidenceInterval]))</f>
        <v>0.95</v>
      </c>
      <c r="R9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911" s="5" cm="1">
        <f t="array" ref="S911">MIN(IF((ContinuousStatsTable[GroupByKey]=ContinuousStatsTable[[#This Row],[GroupByKey]]),(ContinuousStatsTable[GroupByKey]=ContinuousStatsTable[[#This Row],[GroupByKey]])*ContinuousStatsTable[Average]))</f>
        <v>4.15354722265561</v>
      </c>
      <c r="T911" s="5" cm="1">
        <f t="array" ref="T911">MAX(IF((ContinuousStatsTable[GroupByKey]=ContinuousStatsTable[[#This Row],[GroupByKey]]),(ContinuousStatsTable[GroupByKey]=ContinuousStatsTable[[#This Row],[GroupByKey]])*ContinuousStatsTable[Average]))</f>
        <v>5.7002325855431097</v>
      </c>
      <c r="U911" s="5">
        <f>IF((ContinuousStatsTable[[#This Row],[RepsRequested]]&gt;1),ContinuousStatsTable[[#This Row],[HalfWidth]],ContinuousStatsTable[[#This Row],[BatchMeansHalfWidth]])</f>
        <v>0.17454676814681078</v>
      </c>
    </row>
    <row r="912" spans="1:21" x14ac:dyDescent="0.3">
      <c r="A912" t="s">
        <v>66</v>
      </c>
      <c r="B912" t="s">
        <v>68</v>
      </c>
      <c r="C912">
        <v>24</v>
      </c>
      <c r="D912" t="s">
        <v>98</v>
      </c>
      <c r="E912" t="s">
        <v>97</v>
      </c>
      <c r="F912" t="s">
        <v>95</v>
      </c>
      <c r="G912">
        <v>20</v>
      </c>
      <c r="H912">
        <v>2E+20</v>
      </c>
      <c r="I912">
        <v>20</v>
      </c>
      <c r="J912">
        <v>20</v>
      </c>
      <c r="K912">
        <v>20</v>
      </c>
      <c r="L912">
        <v>0</v>
      </c>
      <c r="M912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912" s="5" cm="1">
        <f t="array" ref="N912">MAX(IF((ProjectInfoTable[ProjectName]=ContinuousStatsTable[[#This Row],[ProjectName]]),(ProjectInfoTable[ProjectName]=ContinuousStatsTable[[#This Row],[ProjectName]])*ProjectInfoTable[NumberOfReplications]))</f>
        <v>30</v>
      </c>
      <c r="O912" s="5" cm="1">
        <f t="array" ref="O912">IFERROR(AVERAGE(IF((ContinuousStatsTable[GroupByKey]=ContinuousStatsTable[[#This Row],[GroupByKey]]),(ContinuousStatsTable[GroupByKey]=ContinuousStatsTable[[#This Row],[GroupByKey]])*ContinuousStatsTable[Average])),0)</f>
        <v>20</v>
      </c>
      <c r="P912" s="5" cm="1">
        <f t="array" ref="P912">IFERROR(_xlfn.STDEV.S(IF((ContinuousStatsTable[GroupByKey]=ContinuousStatsTable[[#This Row],[GroupByKey]]),(ContinuousStatsTable[GroupByKey]=ContinuousStatsTable[[#This Row],[GroupByKey]])*ContinuousStatsTable[Average])),0)</f>
        <v>0</v>
      </c>
      <c r="Q912" s="5" cm="1">
        <f t="array" ref="Q912">MAX(IF((ProjectInfoTable[ProjectName]=ContinuousStatsTable[[#This Row],[ProjectName]]),(ProjectInfoTable[ProjectName]=ContinuousStatsTable[[#This Row],[ProjectName]])*ProjectInfoTable[ConfidenceInterval]))</f>
        <v>0.95</v>
      </c>
      <c r="R9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2" s="5" cm="1">
        <f t="array" ref="S912">MIN(IF((ContinuousStatsTable[GroupByKey]=ContinuousStatsTable[[#This Row],[GroupByKey]]),(ContinuousStatsTable[GroupByKey]=ContinuousStatsTable[[#This Row],[GroupByKey]])*ContinuousStatsTable[Average]))</f>
        <v>20</v>
      </c>
      <c r="T912" s="5" cm="1">
        <f t="array" ref="T912">MAX(IF((ContinuousStatsTable[GroupByKey]=ContinuousStatsTable[[#This Row],[GroupByKey]]),(ContinuousStatsTable[GroupByKey]=ContinuousStatsTable[[#This Row],[GroupByKey]])*ContinuousStatsTable[Average]))</f>
        <v>20</v>
      </c>
      <c r="U912" s="5">
        <f>IF((ContinuousStatsTable[[#This Row],[RepsRequested]]&gt;1),ContinuousStatsTable[[#This Row],[HalfWidth]],ContinuousStatsTable[[#This Row],[BatchMeansHalfWidth]])</f>
        <v>0</v>
      </c>
    </row>
    <row r="913" spans="1:21" x14ac:dyDescent="0.3">
      <c r="A913" t="s">
        <v>66</v>
      </c>
      <c r="B913" t="s">
        <v>68</v>
      </c>
      <c r="C913">
        <v>24</v>
      </c>
      <c r="D913" t="s">
        <v>99</v>
      </c>
      <c r="E913" t="s">
        <v>94</v>
      </c>
      <c r="F913" t="s">
        <v>95</v>
      </c>
      <c r="G913">
        <v>0.59696568518832804</v>
      </c>
      <c r="H913">
        <v>2E+20</v>
      </c>
      <c r="I913">
        <v>0</v>
      </c>
      <c r="J913">
        <v>1</v>
      </c>
      <c r="K913">
        <v>0.6</v>
      </c>
      <c r="L913">
        <v>0</v>
      </c>
      <c r="M913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913" s="5" cm="1">
        <f t="array" ref="N913">MAX(IF((ProjectInfoTable[ProjectName]=ContinuousStatsTable[[#This Row],[ProjectName]]),(ProjectInfoTable[ProjectName]=ContinuousStatsTable[[#This Row],[ProjectName]])*ProjectInfoTable[NumberOfReplications]))</f>
        <v>30</v>
      </c>
      <c r="O913" s="5" cm="1">
        <f t="array" ref="O913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913" s="5" cm="1">
        <f t="array" ref="P913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913" s="5" cm="1">
        <f t="array" ref="Q913">MAX(IF((ProjectInfoTable[ProjectName]=ContinuousStatsTable[[#This Row],[ProjectName]]),(ProjectInfoTable[ProjectName]=ContinuousStatsTable[[#This Row],[ProjectName]])*ProjectInfoTable[ConfidenceInterval]))</f>
        <v>0.95</v>
      </c>
      <c r="R9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913" s="5" cm="1">
        <f t="array" ref="S913">MIN(IF((ContinuousStatsTable[GroupByKey]=ContinuousStatsTable[[#This Row],[GroupByKey]]),(ContinuousStatsTable[GroupByKey]=ContinuousStatsTable[[#This Row],[GroupByKey]])*ContinuousStatsTable[Average]))</f>
        <v>0.517215348442703</v>
      </c>
      <c r="T913" s="5" cm="1">
        <f t="array" ref="T913">MAX(IF((ContinuousStatsTable[GroupByKey]=ContinuousStatsTable[[#This Row],[GroupByKey]]),(ContinuousStatsTable[GroupByKey]=ContinuousStatsTable[[#This Row],[GroupByKey]])*ContinuousStatsTable[Average]))</f>
        <v>0.67770389283754395</v>
      </c>
      <c r="U913" s="5">
        <f>IF((ContinuousStatsTable[[#This Row],[RepsRequested]]&gt;1),ContinuousStatsTable[[#This Row],[HalfWidth]],ContinuousStatsTable[[#This Row],[BatchMeansHalfWidth]])</f>
        <v>1.8059192833960565E-2</v>
      </c>
    </row>
    <row r="914" spans="1:21" x14ac:dyDescent="0.3">
      <c r="A914" t="s">
        <v>66</v>
      </c>
      <c r="B914" t="s">
        <v>68</v>
      </c>
      <c r="C914">
        <v>24</v>
      </c>
      <c r="D914" t="s">
        <v>99</v>
      </c>
      <c r="E914" t="s">
        <v>96</v>
      </c>
      <c r="F914" t="s">
        <v>95</v>
      </c>
      <c r="G914">
        <v>5.96965685188328</v>
      </c>
      <c r="H914">
        <v>2E+20</v>
      </c>
      <c r="I914">
        <v>0</v>
      </c>
      <c r="J914">
        <v>10</v>
      </c>
      <c r="K914">
        <v>6</v>
      </c>
      <c r="L914">
        <v>0</v>
      </c>
      <c r="M914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914" s="5" cm="1">
        <f t="array" ref="N914">MAX(IF((ProjectInfoTable[ProjectName]=ContinuousStatsTable[[#This Row],[ProjectName]]),(ProjectInfoTable[ProjectName]=ContinuousStatsTable[[#This Row],[ProjectName]])*ProjectInfoTable[NumberOfReplications]))</f>
        <v>30</v>
      </c>
      <c r="O914" s="5" cm="1">
        <f t="array" ref="O914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914" s="5" cm="1">
        <f t="array" ref="P914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914" s="5" cm="1">
        <f t="array" ref="Q914">MAX(IF((ProjectInfoTable[ProjectName]=ContinuousStatsTable[[#This Row],[ProjectName]]),(ProjectInfoTable[ProjectName]=ContinuousStatsTable[[#This Row],[ProjectName]])*ProjectInfoTable[ConfidenceInterval]))</f>
        <v>0.95</v>
      </c>
      <c r="R9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914" s="5" cm="1">
        <f t="array" ref="S914">MIN(IF((ContinuousStatsTable[GroupByKey]=ContinuousStatsTable[[#This Row],[GroupByKey]]),(ContinuousStatsTable[GroupByKey]=ContinuousStatsTable[[#This Row],[GroupByKey]])*ContinuousStatsTable[Average]))</f>
        <v>5.1721534844270298</v>
      </c>
      <c r="T914" s="5" cm="1">
        <f t="array" ref="T914">MAX(IF((ContinuousStatsTable[GroupByKey]=ContinuousStatsTable[[#This Row],[GroupByKey]]),(ContinuousStatsTable[GroupByKey]=ContinuousStatsTable[[#This Row],[GroupByKey]])*ContinuousStatsTable[Average]))</f>
        <v>6.7770389283754398</v>
      </c>
      <c r="U914" s="5">
        <f>IF((ContinuousStatsTable[[#This Row],[RepsRequested]]&gt;1),ContinuousStatsTable[[#This Row],[HalfWidth]],ContinuousStatsTable[[#This Row],[BatchMeansHalfWidth]])</f>
        <v>0.18059192833960558</v>
      </c>
    </row>
    <row r="915" spans="1:21" x14ac:dyDescent="0.3">
      <c r="A915" t="s">
        <v>66</v>
      </c>
      <c r="B915" t="s">
        <v>68</v>
      </c>
      <c r="C915">
        <v>24</v>
      </c>
      <c r="D915" t="s">
        <v>99</v>
      </c>
      <c r="E915" t="s">
        <v>97</v>
      </c>
      <c r="F915" t="s">
        <v>95</v>
      </c>
      <c r="G915">
        <v>10</v>
      </c>
      <c r="H915">
        <v>2E+20</v>
      </c>
      <c r="I915">
        <v>10</v>
      </c>
      <c r="J915">
        <v>10</v>
      </c>
      <c r="K915">
        <v>10</v>
      </c>
      <c r="L915">
        <v>0</v>
      </c>
      <c r="M915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915" s="5" cm="1">
        <f t="array" ref="N915">MAX(IF((ProjectInfoTable[ProjectName]=ContinuousStatsTable[[#This Row],[ProjectName]]),(ProjectInfoTable[ProjectName]=ContinuousStatsTable[[#This Row],[ProjectName]])*ProjectInfoTable[NumberOfReplications]))</f>
        <v>30</v>
      </c>
      <c r="O915" s="5" cm="1">
        <f t="array" ref="O915">IFERROR(AVERAGE(IF((ContinuousStatsTable[GroupByKey]=ContinuousStatsTable[[#This Row],[GroupByKey]]),(ContinuousStatsTable[GroupByKey]=ContinuousStatsTable[[#This Row],[GroupByKey]])*ContinuousStatsTable[Average])),0)</f>
        <v>10</v>
      </c>
      <c r="P915" s="5" cm="1">
        <f t="array" ref="P915">IFERROR(_xlfn.STDEV.S(IF((ContinuousStatsTable[GroupByKey]=ContinuousStatsTable[[#This Row],[GroupByKey]]),(ContinuousStatsTable[GroupByKey]=ContinuousStatsTable[[#This Row],[GroupByKey]])*ContinuousStatsTable[Average])),0)</f>
        <v>0</v>
      </c>
      <c r="Q915" s="5" cm="1">
        <f t="array" ref="Q915">MAX(IF((ProjectInfoTable[ProjectName]=ContinuousStatsTable[[#This Row],[ProjectName]]),(ProjectInfoTable[ProjectName]=ContinuousStatsTable[[#This Row],[ProjectName]])*ProjectInfoTable[ConfidenceInterval]))</f>
        <v>0.95</v>
      </c>
      <c r="R9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5" s="5" cm="1">
        <f t="array" ref="S915">MIN(IF((ContinuousStatsTable[GroupByKey]=ContinuousStatsTable[[#This Row],[GroupByKey]]),(ContinuousStatsTable[GroupByKey]=ContinuousStatsTable[[#This Row],[GroupByKey]])*ContinuousStatsTable[Average]))</f>
        <v>10</v>
      </c>
      <c r="T915" s="5" cm="1">
        <f t="array" ref="T915">MAX(IF((ContinuousStatsTable[GroupByKey]=ContinuousStatsTable[[#This Row],[GroupByKey]]),(ContinuousStatsTable[GroupByKey]=ContinuousStatsTable[[#This Row],[GroupByKey]])*ContinuousStatsTable[Average]))</f>
        <v>10</v>
      </c>
      <c r="U915" s="5">
        <f>IF((ContinuousStatsTable[[#This Row],[RepsRequested]]&gt;1),ContinuousStatsTable[[#This Row],[HalfWidth]],ContinuousStatsTable[[#This Row],[BatchMeansHalfWidth]])</f>
        <v>0</v>
      </c>
    </row>
    <row r="916" spans="1:21" x14ac:dyDescent="0.3">
      <c r="A916" t="s">
        <v>66</v>
      </c>
      <c r="B916" t="s">
        <v>68</v>
      </c>
      <c r="C916">
        <v>24</v>
      </c>
      <c r="D916" t="s">
        <v>100</v>
      </c>
      <c r="E916" t="s">
        <v>94</v>
      </c>
      <c r="F916" t="s">
        <v>95</v>
      </c>
      <c r="G916">
        <v>0.160142422616219</v>
      </c>
      <c r="H916">
        <v>2E+20</v>
      </c>
      <c r="I916">
        <v>0</v>
      </c>
      <c r="J916">
        <v>0.4</v>
      </c>
      <c r="K916">
        <v>0.28000000000000003</v>
      </c>
      <c r="L916">
        <v>0</v>
      </c>
      <c r="M916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916" s="5" cm="1">
        <f t="array" ref="N916">MAX(IF((ProjectInfoTable[ProjectName]=ContinuousStatsTable[[#This Row],[ProjectName]]),(ProjectInfoTable[ProjectName]=ContinuousStatsTable[[#This Row],[ProjectName]])*ProjectInfoTable[NumberOfReplications]))</f>
        <v>30</v>
      </c>
      <c r="O916" s="5" cm="1">
        <f t="array" ref="O916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916" s="5" cm="1">
        <f t="array" ref="P916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916" s="5" cm="1">
        <f t="array" ref="Q916">MAX(IF((ProjectInfoTable[ProjectName]=ContinuousStatsTable[[#This Row],[ProjectName]]),(ProjectInfoTable[ProjectName]=ContinuousStatsTable[[#This Row],[ProjectName]])*ProjectInfoTable[ConfidenceInterval]))</f>
        <v>0.95</v>
      </c>
      <c r="R9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916" s="5" cm="1">
        <f t="array" ref="S916">MIN(IF((ContinuousStatsTable[GroupByKey]=ContinuousStatsTable[[#This Row],[GroupByKey]]),(ContinuousStatsTable[GroupByKey]=ContinuousStatsTable[[#This Row],[GroupByKey]])*ContinuousStatsTable[Average]))</f>
        <v>0.14484829778125299</v>
      </c>
      <c r="T916" s="5" cm="1">
        <f t="array" ref="T916">MAX(IF((ContinuousStatsTable[GroupByKey]=ContinuousStatsTable[[#This Row],[GroupByKey]]),(ContinuousStatsTable[GroupByKey]=ContinuousStatsTable[[#This Row],[GroupByKey]])*ContinuousStatsTable[Average]))</f>
        <v>0.19609322315655101</v>
      </c>
      <c r="U916" s="5">
        <f>IF((ContinuousStatsTable[[#This Row],[RepsRequested]]&gt;1),ContinuousStatsTable[[#This Row],[HalfWidth]],ContinuousStatsTable[[#This Row],[BatchMeansHalfWidth]])</f>
        <v>4.9714113556225048E-3</v>
      </c>
    </row>
    <row r="917" spans="1:21" x14ac:dyDescent="0.3">
      <c r="A917" t="s">
        <v>66</v>
      </c>
      <c r="B917" t="s">
        <v>68</v>
      </c>
      <c r="C917">
        <v>24</v>
      </c>
      <c r="D917" t="s">
        <v>100</v>
      </c>
      <c r="E917" t="s">
        <v>96</v>
      </c>
      <c r="F917" t="s">
        <v>95</v>
      </c>
      <c r="G917">
        <v>8.00712113081096</v>
      </c>
      <c r="H917">
        <v>2E+20</v>
      </c>
      <c r="I917">
        <v>0</v>
      </c>
      <c r="J917">
        <v>20</v>
      </c>
      <c r="K917">
        <v>14</v>
      </c>
      <c r="L917">
        <v>0</v>
      </c>
      <c r="M917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917" s="5" cm="1">
        <f t="array" ref="N917">MAX(IF((ProjectInfoTable[ProjectName]=ContinuousStatsTable[[#This Row],[ProjectName]]),(ProjectInfoTable[ProjectName]=ContinuousStatsTable[[#This Row],[ProjectName]])*ProjectInfoTable[NumberOfReplications]))</f>
        <v>30</v>
      </c>
      <c r="O917" s="5" cm="1">
        <f t="array" ref="O917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917" s="5" cm="1">
        <f t="array" ref="P917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917" s="5" cm="1">
        <f t="array" ref="Q917">MAX(IF((ProjectInfoTable[ProjectName]=ContinuousStatsTable[[#This Row],[ProjectName]]),(ProjectInfoTable[ProjectName]=ContinuousStatsTable[[#This Row],[ProjectName]])*ProjectInfoTable[ConfidenceInterval]))</f>
        <v>0.95</v>
      </c>
      <c r="R9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917" s="5" cm="1">
        <f t="array" ref="S917">MIN(IF((ContinuousStatsTable[GroupByKey]=ContinuousStatsTable[[#This Row],[GroupByKey]]),(ContinuousStatsTable[GroupByKey]=ContinuousStatsTable[[#This Row],[GroupByKey]])*ContinuousStatsTable[Average]))</f>
        <v>7.2424148890626396</v>
      </c>
      <c r="T917" s="5" cm="1">
        <f t="array" ref="T917">MAX(IF((ContinuousStatsTable[GroupByKey]=ContinuousStatsTable[[#This Row],[GroupByKey]]),(ContinuousStatsTable[GroupByKey]=ContinuousStatsTable[[#This Row],[GroupByKey]])*ContinuousStatsTable[Average]))</f>
        <v>9.8046611578275602</v>
      </c>
      <c r="U917" s="5">
        <f>IF((ContinuousStatsTable[[#This Row],[RepsRequested]]&gt;1),ContinuousStatsTable[[#This Row],[HalfWidth]],ContinuousStatsTable[[#This Row],[BatchMeansHalfWidth]])</f>
        <v>0.24857056778112663</v>
      </c>
    </row>
    <row r="918" spans="1:21" x14ac:dyDescent="0.3">
      <c r="A918" t="s">
        <v>66</v>
      </c>
      <c r="B918" t="s">
        <v>68</v>
      </c>
      <c r="C918">
        <v>24</v>
      </c>
      <c r="D918" t="s">
        <v>100</v>
      </c>
      <c r="E918" t="s">
        <v>97</v>
      </c>
      <c r="F918" t="s">
        <v>95</v>
      </c>
      <c r="G918">
        <v>50</v>
      </c>
      <c r="H918">
        <v>2E+20</v>
      </c>
      <c r="I918">
        <v>50</v>
      </c>
      <c r="J918">
        <v>50</v>
      </c>
      <c r="K918">
        <v>50</v>
      </c>
      <c r="L918">
        <v>0</v>
      </c>
      <c r="M918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918" s="5" cm="1">
        <f t="array" ref="N918">MAX(IF((ProjectInfoTable[ProjectName]=ContinuousStatsTable[[#This Row],[ProjectName]]),(ProjectInfoTable[ProjectName]=ContinuousStatsTable[[#This Row],[ProjectName]])*ProjectInfoTable[NumberOfReplications]))</f>
        <v>30</v>
      </c>
      <c r="O918" s="5" cm="1">
        <f t="array" ref="O918">IFERROR(AVERAGE(IF((ContinuousStatsTable[GroupByKey]=ContinuousStatsTable[[#This Row],[GroupByKey]]),(ContinuousStatsTable[GroupByKey]=ContinuousStatsTable[[#This Row],[GroupByKey]])*ContinuousStatsTable[Average])),0)</f>
        <v>50</v>
      </c>
      <c r="P918" s="5" cm="1">
        <f t="array" ref="P918">IFERROR(_xlfn.STDEV.S(IF((ContinuousStatsTable[GroupByKey]=ContinuousStatsTable[[#This Row],[GroupByKey]]),(ContinuousStatsTable[GroupByKey]=ContinuousStatsTable[[#This Row],[GroupByKey]])*ContinuousStatsTable[Average])),0)</f>
        <v>0</v>
      </c>
      <c r="Q918" s="5" cm="1">
        <f t="array" ref="Q918">MAX(IF((ProjectInfoTable[ProjectName]=ContinuousStatsTable[[#This Row],[ProjectName]]),(ProjectInfoTable[ProjectName]=ContinuousStatsTable[[#This Row],[ProjectName]])*ProjectInfoTable[ConfidenceInterval]))</f>
        <v>0.95</v>
      </c>
      <c r="R9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8" s="5" cm="1">
        <f t="array" ref="S918">MIN(IF((ContinuousStatsTable[GroupByKey]=ContinuousStatsTable[[#This Row],[GroupByKey]]),(ContinuousStatsTable[GroupByKey]=ContinuousStatsTable[[#This Row],[GroupByKey]])*ContinuousStatsTable[Average]))</f>
        <v>50</v>
      </c>
      <c r="T918" s="5" cm="1">
        <f t="array" ref="T918">MAX(IF((ContinuousStatsTable[GroupByKey]=ContinuousStatsTable[[#This Row],[GroupByKey]]),(ContinuousStatsTable[GroupByKey]=ContinuousStatsTable[[#This Row],[GroupByKey]])*ContinuousStatsTable[Average]))</f>
        <v>50</v>
      </c>
      <c r="U918" s="5">
        <f>IF((ContinuousStatsTable[[#This Row],[RepsRequested]]&gt;1),ContinuousStatsTable[[#This Row],[HalfWidth]],ContinuousStatsTable[[#This Row],[BatchMeansHalfWidth]])</f>
        <v>0</v>
      </c>
    </row>
    <row r="919" spans="1:21" x14ac:dyDescent="0.3">
      <c r="A919" t="s">
        <v>66</v>
      </c>
      <c r="B919" t="s">
        <v>68</v>
      </c>
      <c r="C919">
        <v>24</v>
      </c>
      <c r="D919" t="s">
        <v>101</v>
      </c>
      <c r="E919" t="s">
        <v>94</v>
      </c>
      <c r="F919" t="s">
        <v>95</v>
      </c>
      <c r="G919">
        <v>8.1143797382031299E-2</v>
      </c>
      <c r="H919">
        <v>2E+20</v>
      </c>
      <c r="I919">
        <v>0</v>
      </c>
      <c r="J919">
        <v>0.33333333333333298</v>
      </c>
      <c r="K919">
        <v>0.266666666666667</v>
      </c>
      <c r="L919">
        <v>0</v>
      </c>
      <c r="M919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919" s="5" cm="1">
        <f t="array" ref="N919">MAX(IF((ProjectInfoTable[ProjectName]=ContinuousStatsTable[[#This Row],[ProjectName]]),(ProjectInfoTable[ProjectName]=ContinuousStatsTable[[#This Row],[ProjectName]])*ProjectInfoTable[NumberOfReplications]))</f>
        <v>30</v>
      </c>
      <c r="O919" s="5" cm="1">
        <f t="array" ref="O919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919" s="5" cm="1">
        <f t="array" ref="P919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919" s="5" cm="1">
        <f t="array" ref="Q919">MAX(IF((ProjectInfoTable[ProjectName]=ContinuousStatsTable[[#This Row],[ProjectName]]),(ProjectInfoTable[ProjectName]=ContinuousStatsTable[[#This Row],[ProjectName]])*ProjectInfoTable[ConfidenceInterval]))</f>
        <v>0.95</v>
      </c>
      <c r="R9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919" s="5" cm="1">
        <f t="array" ref="S919">MIN(IF((ContinuousStatsTable[GroupByKey]=ContinuousStatsTable[[#This Row],[GroupByKey]]),(ContinuousStatsTable[GroupByKey]=ContinuousStatsTable[[#This Row],[GroupByKey]])*ContinuousStatsTable[Average]))</f>
        <v>7.4778736536586704E-2</v>
      </c>
      <c r="T919" s="5" cm="1">
        <f t="array" ref="T919">MAX(IF((ContinuousStatsTable[GroupByKey]=ContinuousStatsTable[[#This Row],[GroupByKey]]),(ContinuousStatsTable[GroupByKey]=ContinuousStatsTable[[#This Row],[GroupByKey]])*ContinuousStatsTable[Average]))</f>
        <v>0.111025455742452</v>
      </c>
      <c r="U919" s="5">
        <f>IF((ContinuousStatsTable[[#This Row],[RepsRequested]]&gt;1),ContinuousStatsTable[[#This Row],[HalfWidth]],ContinuousStatsTable[[#This Row],[BatchMeansHalfWidth]])</f>
        <v>4.1821462690338805E-3</v>
      </c>
    </row>
    <row r="920" spans="1:21" x14ac:dyDescent="0.3">
      <c r="A920" t="s">
        <v>66</v>
      </c>
      <c r="B920" t="s">
        <v>68</v>
      </c>
      <c r="C920">
        <v>24</v>
      </c>
      <c r="D920" t="s">
        <v>101</v>
      </c>
      <c r="E920" t="s">
        <v>96</v>
      </c>
      <c r="F920" t="s">
        <v>95</v>
      </c>
      <c r="G920">
        <v>1.21715696073047</v>
      </c>
      <c r="H920">
        <v>2E+20</v>
      </c>
      <c r="I920">
        <v>0</v>
      </c>
      <c r="J920">
        <v>5</v>
      </c>
      <c r="K920">
        <v>4</v>
      </c>
      <c r="L920">
        <v>0</v>
      </c>
      <c r="M920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920" s="5" cm="1">
        <f t="array" ref="N920">MAX(IF((ProjectInfoTable[ProjectName]=ContinuousStatsTable[[#This Row],[ProjectName]]),(ProjectInfoTable[ProjectName]=ContinuousStatsTable[[#This Row],[ProjectName]])*ProjectInfoTable[NumberOfReplications]))</f>
        <v>30</v>
      </c>
      <c r="O920" s="5" cm="1">
        <f t="array" ref="O920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920" s="5" cm="1">
        <f t="array" ref="P920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920" s="5" cm="1">
        <f t="array" ref="Q920">MAX(IF((ProjectInfoTable[ProjectName]=ContinuousStatsTable[[#This Row],[ProjectName]]),(ProjectInfoTable[ProjectName]=ContinuousStatsTable[[#This Row],[ProjectName]])*ProjectInfoTable[ConfidenceInterval]))</f>
        <v>0.95</v>
      </c>
      <c r="R9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920" s="5" cm="1">
        <f t="array" ref="S920">MIN(IF((ContinuousStatsTable[GroupByKey]=ContinuousStatsTable[[#This Row],[GroupByKey]]),(ContinuousStatsTable[GroupByKey]=ContinuousStatsTable[[#This Row],[GroupByKey]])*ContinuousStatsTable[Average]))</f>
        <v>1.1216810480488</v>
      </c>
      <c r="T920" s="5" cm="1">
        <f t="array" ref="T920">MAX(IF((ContinuousStatsTable[GroupByKey]=ContinuousStatsTable[[#This Row],[GroupByKey]]),(ContinuousStatsTable[GroupByKey]=ContinuousStatsTable[[#This Row],[GroupByKey]])*ContinuousStatsTable[Average]))</f>
        <v>1.66538183613678</v>
      </c>
      <c r="U920" s="5">
        <f>IF((ContinuousStatsTable[[#This Row],[RepsRequested]]&gt;1),ContinuousStatsTable[[#This Row],[HalfWidth]],ContinuousStatsTable[[#This Row],[BatchMeansHalfWidth]])</f>
        <v>6.2732194035507963E-2</v>
      </c>
    </row>
    <row r="921" spans="1:21" x14ac:dyDescent="0.3">
      <c r="A921" t="s">
        <v>66</v>
      </c>
      <c r="B921" t="s">
        <v>68</v>
      </c>
      <c r="C921">
        <v>24</v>
      </c>
      <c r="D921" t="s">
        <v>101</v>
      </c>
      <c r="E921" t="s">
        <v>97</v>
      </c>
      <c r="F921" t="s">
        <v>95</v>
      </c>
      <c r="G921">
        <v>15</v>
      </c>
      <c r="H921">
        <v>2E+20</v>
      </c>
      <c r="I921">
        <v>15</v>
      </c>
      <c r="J921">
        <v>15</v>
      </c>
      <c r="K921">
        <v>15</v>
      </c>
      <c r="L921">
        <v>0</v>
      </c>
      <c r="M921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921" s="5" cm="1">
        <f t="array" ref="N921">MAX(IF((ProjectInfoTable[ProjectName]=ContinuousStatsTable[[#This Row],[ProjectName]]),(ProjectInfoTable[ProjectName]=ContinuousStatsTable[[#This Row],[ProjectName]])*ProjectInfoTable[NumberOfReplications]))</f>
        <v>30</v>
      </c>
      <c r="O921" s="5" cm="1">
        <f t="array" ref="O921">IFERROR(AVERAGE(IF((ContinuousStatsTable[GroupByKey]=ContinuousStatsTable[[#This Row],[GroupByKey]]),(ContinuousStatsTable[GroupByKey]=ContinuousStatsTable[[#This Row],[GroupByKey]])*ContinuousStatsTable[Average])),0)</f>
        <v>15</v>
      </c>
      <c r="P921" s="5" cm="1">
        <f t="array" ref="P921">IFERROR(_xlfn.STDEV.S(IF((ContinuousStatsTable[GroupByKey]=ContinuousStatsTable[[#This Row],[GroupByKey]]),(ContinuousStatsTable[GroupByKey]=ContinuousStatsTable[[#This Row],[GroupByKey]])*ContinuousStatsTable[Average])),0)</f>
        <v>0</v>
      </c>
      <c r="Q921" s="5" cm="1">
        <f t="array" ref="Q921">MAX(IF((ProjectInfoTable[ProjectName]=ContinuousStatsTable[[#This Row],[ProjectName]]),(ProjectInfoTable[ProjectName]=ContinuousStatsTable[[#This Row],[ProjectName]])*ProjectInfoTable[ConfidenceInterval]))</f>
        <v>0.95</v>
      </c>
      <c r="R9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1" s="5" cm="1">
        <f t="array" ref="S921">MIN(IF((ContinuousStatsTable[GroupByKey]=ContinuousStatsTable[[#This Row],[GroupByKey]]),(ContinuousStatsTable[GroupByKey]=ContinuousStatsTable[[#This Row],[GroupByKey]])*ContinuousStatsTable[Average]))</f>
        <v>15</v>
      </c>
      <c r="T921" s="5" cm="1">
        <f t="array" ref="T921">MAX(IF((ContinuousStatsTable[GroupByKey]=ContinuousStatsTable[[#This Row],[GroupByKey]]),(ContinuousStatsTable[GroupByKey]=ContinuousStatsTable[[#This Row],[GroupByKey]])*ContinuousStatsTable[Average]))</f>
        <v>15</v>
      </c>
      <c r="U921" s="5">
        <f>IF((ContinuousStatsTable[[#This Row],[RepsRequested]]&gt;1),ContinuousStatsTable[[#This Row],[HalfWidth]],ContinuousStatsTable[[#This Row],[BatchMeansHalfWidth]])</f>
        <v>0</v>
      </c>
    </row>
    <row r="922" spans="1:21" x14ac:dyDescent="0.3">
      <c r="A922" t="s">
        <v>66</v>
      </c>
      <c r="B922" t="s">
        <v>68</v>
      </c>
      <c r="C922">
        <v>24</v>
      </c>
      <c r="D922" t="s">
        <v>102</v>
      </c>
      <c r="E922" t="s">
        <v>94</v>
      </c>
      <c r="F922" t="s">
        <v>95</v>
      </c>
      <c r="G922">
        <v>0.73673947391417804</v>
      </c>
      <c r="H922">
        <v>2E+20</v>
      </c>
      <c r="I922">
        <v>0</v>
      </c>
      <c r="J922">
        <v>1</v>
      </c>
      <c r="K922">
        <v>1</v>
      </c>
      <c r="L922">
        <v>0</v>
      </c>
      <c r="M922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922" s="5" cm="1">
        <f t="array" ref="N922">MAX(IF((ProjectInfoTable[ProjectName]=ContinuousStatsTable[[#This Row],[ProjectName]]),(ProjectInfoTable[ProjectName]=ContinuousStatsTable[[#This Row],[ProjectName]])*ProjectInfoTable[NumberOfReplications]))</f>
        <v>30</v>
      </c>
      <c r="O922" s="5" cm="1">
        <f t="array" ref="O922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922" s="5" cm="1">
        <f t="array" ref="P922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922" s="5" cm="1">
        <f t="array" ref="Q922">MAX(IF((ProjectInfoTable[ProjectName]=ContinuousStatsTable[[#This Row],[ProjectName]]),(ProjectInfoTable[ProjectName]=ContinuousStatsTable[[#This Row],[ProjectName]])*ProjectInfoTable[ConfidenceInterval]))</f>
        <v>0.95</v>
      </c>
      <c r="R9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922" s="5" cm="1">
        <f t="array" ref="S922">MIN(IF((ContinuousStatsTable[GroupByKey]=ContinuousStatsTable[[#This Row],[GroupByKey]]),(ContinuousStatsTable[GroupByKey]=ContinuousStatsTable[[#This Row],[GroupByKey]])*ContinuousStatsTable[Average]))</f>
        <v>0.73673947391417804</v>
      </c>
      <c r="T922" s="5" cm="1">
        <f t="array" ref="T922">MAX(IF((ContinuousStatsTable[GroupByKey]=ContinuousStatsTable[[#This Row],[GroupByKey]]),(ContinuousStatsTable[GroupByKey]=ContinuousStatsTable[[#This Row],[GroupByKey]])*ContinuousStatsTable[Average]))</f>
        <v>0.90592850818388704</v>
      </c>
      <c r="U922" s="5">
        <f>IF((ContinuousStatsTable[[#This Row],[RepsRequested]]&gt;1),ContinuousStatsTable[[#This Row],[HalfWidth]],ContinuousStatsTable[[#This Row],[BatchMeansHalfWidth]])</f>
        <v>1.8636241798384946E-2</v>
      </c>
    </row>
    <row r="923" spans="1:21" x14ac:dyDescent="0.3">
      <c r="A923" t="s">
        <v>66</v>
      </c>
      <c r="B923" t="s">
        <v>68</v>
      </c>
      <c r="C923">
        <v>24</v>
      </c>
      <c r="D923" t="s">
        <v>102</v>
      </c>
      <c r="E923" t="s">
        <v>96</v>
      </c>
      <c r="F923" t="s">
        <v>95</v>
      </c>
      <c r="G923">
        <v>1.47086268837774</v>
      </c>
      <c r="H923">
        <v>2E+20</v>
      </c>
      <c r="I923">
        <v>0</v>
      </c>
      <c r="J923">
        <v>3</v>
      </c>
      <c r="K923">
        <v>2</v>
      </c>
      <c r="L923">
        <v>0</v>
      </c>
      <c r="M923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923" s="5" cm="1">
        <f t="array" ref="N923">MAX(IF((ProjectInfoTable[ProjectName]=ContinuousStatsTable[[#This Row],[ProjectName]]),(ProjectInfoTable[ProjectName]=ContinuousStatsTable[[#This Row],[ProjectName]])*ProjectInfoTable[NumberOfReplications]))</f>
        <v>30</v>
      </c>
      <c r="O923" s="5" cm="1">
        <f t="array" ref="O923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923" s="5" cm="1">
        <f t="array" ref="P923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923" s="5" cm="1">
        <f t="array" ref="Q923">MAX(IF((ProjectInfoTable[ProjectName]=ContinuousStatsTable[[#This Row],[ProjectName]]),(ProjectInfoTable[ProjectName]=ContinuousStatsTable[[#This Row],[ProjectName]])*ProjectInfoTable[ConfidenceInterval]))</f>
        <v>0.95</v>
      </c>
      <c r="R9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923" s="5" cm="1">
        <f t="array" ref="S923">MIN(IF((ContinuousStatsTable[GroupByKey]=ContinuousStatsTable[[#This Row],[GroupByKey]]),(ContinuousStatsTable[GroupByKey]=ContinuousStatsTable[[#This Row],[GroupByKey]])*ContinuousStatsTable[Average]))</f>
        <v>1.3726163545041801</v>
      </c>
      <c r="T923" s="5" cm="1">
        <f t="array" ref="T923">MAX(IF((ContinuousStatsTable[GroupByKey]=ContinuousStatsTable[[#This Row],[GroupByKey]]),(ContinuousStatsTable[GroupByKey]=ContinuousStatsTable[[#This Row],[GroupByKey]])*ContinuousStatsTable[Average]))</f>
        <v>1.7968913949876599</v>
      </c>
      <c r="U923" s="5">
        <f>IF((ContinuousStatsTable[[#This Row],[RepsRequested]]&gt;1),ContinuousStatsTable[[#This Row],[HalfWidth]],ContinuousStatsTable[[#This Row],[BatchMeansHalfWidth]])</f>
        <v>4.3123628688677348E-2</v>
      </c>
    </row>
    <row r="924" spans="1:21" x14ac:dyDescent="0.3">
      <c r="A924" t="s">
        <v>66</v>
      </c>
      <c r="B924" t="s">
        <v>68</v>
      </c>
      <c r="C924">
        <v>24</v>
      </c>
      <c r="D924" t="s">
        <v>102</v>
      </c>
      <c r="E924" t="s">
        <v>97</v>
      </c>
      <c r="F924" t="s">
        <v>95</v>
      </c>
      <c r="G924">
        <v>2</v>
      </c>
      <c r="H924">
        <v>2E+20</v>
      </c>
      <c r="I924">
        <v>1</v>
      </c>
      <c r="J924">
        <v>3</v>
      </c>
      <c r="K924">
        <v>1</v>
      </c>
      <c r="L924">
        <v>0</v>
      </c>
      <c r="M924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924" s="5" cm="1">
        <f t="array" ref="N924">MAX(IF((ProjectInfoTable[ProjectName]=ContinuousStatsTable[[#This Row],[ProjectName]]),(ProjectInfoTable[ProjectName]=ContinuousStatsTable[[#This Row],[ProjectName]])*ProjectInfoTable[NumberOfReplications]))</f>
        <v>30</v>
      </c>
      <c r="O924" s="5" cm="1">
        <f t="array" ref="O924">IFERROR(AVERAGE(IF((ContinuousStatsTable[GroupByKey]=ContinuousStatsTable[[#This Row],[GroupByKey]]),(ContinuousStatsTable[GroupByKey]=ContinuousStatsTable[[#This Row],[GroupByKey]])*ContinuousStatsTable[Average])),0)</f>
        <v>2</v>
      </c>
      <c r="P924" s="5" cm="1">
        <f t="array" ref="P924">IFERROR(_xlfn.STDEV.S(IF((ContinuousStatsTable[GroupByKey]=ContinuousStatsTable[[#This Row],[GroupByKey]]),(ContinuousStatsTable[GroupByKey]=ContinuousStatsTable[[#This Row],[GroupByKey]])*ContinuousStatsTable[Average])),0)</f>
        <v>0</v>
      </c>
      <c r="Q924" s="5" cm="1">
        <f t="array" ref="Q924">MAX(IF((ProjectInfoTable[ProjectName]=ContinuousStatsTable[[#This Row],[ProjectName]]),(ProjectInfoTable[ProjectName]=ContinuousStatsTable[[#This Row],[ProjectName]])*ProjectInfoTable[ConfidenceInterval]))</f>
        <v>0.95</v>
      </c>
      <c r="R9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4" s="5" cm="1">
        <f t="array" ref="S924">MIN(IF((ContinuousStatsTable[GroupByKey]=ContinuousStatsTable[[#This Row],[GroupByKey]]),(ContinuousStatsTable[GroupByKey]=ContinuousStatsTable[[#This Row],[GroupByKey]])*ContinuousStatsTable[Average]))</f>
        <v>2</v>
      </c>
      <c r="T924" s="5" cm="1">
        <f t="array" ref="T924">MAX(IF((ContinuousStatsTable[GroupByKey]=ContinuousStatsTable[[#This Row],[GroupByKey]]),(ContinuousStatsTable[GroupByKey]=ContinuousStatsTable[[#This Row],[GroupByKey]])*ContinuousStatsTable[Average]))</f>
        <v>2</v>
      </c>
      <c r="U924" s="5">
        <f>IF((ContinuousStatsTable[[#This Row],[RepsRequested]]&gt;1),ContinuousStatsTable[[#This Row],[HalfWidth]],ContinuousStatsTable[[#This Row],[BatchMeansHalfWidth]])</f>
        <v>0</v>
      </c>
    </row>
    <row r="925" spans="1:21" x14ac:dyDescent="0.3">
      <c r="A925" t="s">
        <v>66</v>
      </c>
      <c r="B925" t="s">
        <v>68</v>
      </c>
      <c r="C925">
        <v>24</v>
      </c>
      <c r="D925" t="s">
        <v>84</v>
      </c>
      <c r="E925" t="s">
        <v>103</v>
      </c>
      <c r="F925" t="s">
        <v>86</v>
      </c>
      <c r="G925">
        <v>49.579375642514997</v>
      </c>
      <c r="H925">
        <v>2E+20</v>
      </c>
      <c r="I925">
        <v>0</v>
      </c>
      <c r="J925">
        <v>79</v>
      </c>
      <c r="K925">
        <v>76</v>
      </c>
      <c r="L925">
        <v>0</v>
      </c>
      <c r="M925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925" s="5" cm="1">
        <f t="array" ref="N925">MAX(IF((ProjectInfoTable[ProjectName]=ContinuousStatsTable[[#This Row],[ProjectName]]),(ProjectInfoTable[ProjectName]=ContinuousStatsTable[[#This Row],[ProjectName]])*ProjectInfoTable[NumberOfReplications]))</f>
        <v>30</v>
      </c>
      <c r="O925" s="5" cm="1">
        <f t="array" ref="O925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925" s="5" cm="1">
        <f t="array" ref="P925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925" s="5" cm="1">
        <f t="array" ref="Q925">MAX(IF((ProjectInfoTable[ProjectName]=ContinuousStatsTable[[#This Row],[ProjectName]]),(ProjectInfoTable[ProjectName]=ContinuousStatsTable[[#This Row],[ProjectName]])*ProjectInfoTable[ConfidenceInterval]))</f>
        <v>0.95</v>
      </c>
      <c r="R9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925" s="5" cm="1">
        <f t="array" ref="S925">MIN(IF((ContinuousStatsTable[GroupByKey]=ContinuousStatsTable[[#This Row],[GroupByKey]]),(ContinuousStatsTable[GroupByKey]=ContinuousStatsTable[[#This Row],[GroupByKey]])*ContinuousStatsTable[Average]))</f>
        <v>36.709886237305</v>
      </c>
      <c r="T925" s="5" cm="1">
        <f t="array" ref="T925">MAX(IF((ContinuousStatsTable[GroupByKey]=ContinuousStatsTable[[#This Row],[GroupByKey]]),(ContinuousStatsTable[GroupByKey]=ContinuousStatsTable[[#This Row],[GroupByKey]])*ContinuousStatsTable[Average]))</f>
        <v>84.594951996708403</v>
      </c>
      <c r="U925" s="5">
        <f>IF((ContinuousStatsTable[[#This Row],[RepsRequested]]&gt;1),ContinuousStatsTable[[#This Row],[HalfWidth]],ContinuousStatsTable[[#This Row],[BatchMeansHalfWidth]])</f>
        <v>4.0384933567271259</v>
      </c>
    </row>
    <row r="926" spans="1:21" x14ac:dyDescent="0.3">
      <c r="A926" t="s">
        <v>66</v>
      </c>
      <c r="B926" t="s">
        <v>68</v>
      </c>
      <c r="C926">
        <v>24</v>
      </c>
      <c r="D926" t="s">
        <v>104</v>
      </c>
      <c r="E926" t="s">
        <v>94</v>
      </c>
      <c r="F926" t="s">
        <v>95</v>
      </c>
      <c r="G926">
        <v>0</v>
      </c>
      <c r="H926">
        <v>2E+20</v>
      </c>
      <c r="I926">
        <v>0</v>
      </c>
      <c r="J926">
        <v>0</v>
      </c>
      <c r="K926">
        <v>0</v>
      </c>
      <c r="L926">
        <v>0</v>
      </c>
      <c r="M926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926" s="5" cm="1">
        <f t="array" ref="N926">MAX(IF((ProjectInfoTable[ProjectName]=ContinuousStatsTable[[#This Row],[ProjectName]]),(ProjectInfoTable[ProjectName]=ContinuousStatsTable[[#This Row],[ProjectName]])*ProjectInfoTable[NumberOfReplications]))</f>
        <v>30</v>
      </c>
      <c r="O926" s="5" cm="1">
        <f t="array" ref="O926">IFERROR(AVERAGE(IF((ContinuousStatsTable[GroupByKey]=ContinuousStatsTable[[#This Row],[GroupByKey]]),(ContinuousStatsTable[GroupByKey]=ContinuousStatsTable[[#This Row],[GroupByKey]])*ContinuousStatsTable[Average])),0)</f>
        <v>0</v>
      </c>
      <c r="P926" s="5" cm="1">
        <f t="array" ref="P926">IFERROR(_xlfn.STDEV.S(IF((ContinuousStatsTable[GroupByKey]=ContinuousStatsTable[[#This Row],[GroupByKey]]),(ContinuousStatsTable[GroupByKey]=ContinuousStatsTable[[#This Row],[GroupByKey]])*ContinuousStatsTable[Average])),0)</f>
        <v>0</v>
      </c>
      <c r="Q926" s="5" cm="1">
        <f t="array" ref="Q926">MAX(IF((ProjectInfoTable[ProjectName]=ContinuousStatsTable[[#This Row],[ProjectName]]),(ProjectInfoTable[ProjectName]=ContinuousStatsTable[[#This Row],[ProjectName]])*ProjectInfoTable[ConfidenceInterval]))</f>
        <v>0.95</v>
      </c>
      <c r="R9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6" s="5" cm="1">
        <f t="array" ref="S926">MIN(IF((ContinuousStatsTable[GroupByKey]=ContinuousStatsTable[[#This Row],[GroupByKey]]),(ContinuousStatsTable[GroupByKey]=ContinuousStatsTable[[#This Row],[GroupByKey]])*ContinuousStatsTable[Average]))</f>
        <v>0</v>
      </c>
      <c r="T926" s="5" cm="1">
        <f t="array" ref="T926">MAX(IF((ContinuousStatsTable[GroupByKey]=ContinuousStatsTable[[#This Row],[GroupByKey]]),(ContinuousStatsTable[GroupByKey]=ContinuousStatsTable[[#This Row],[GroupByKey]])*ContinuousStatsTable[Average]))</f>
        <v>0</v>
      </c>
      <c r="U926" s="5">
        <f>IF((ContinuousStatsTable[[#This Row],[RepsRequested]]&gt;1),ContinuousStatsTable[[#This Row],[HalfWidth]],ContinuousStatsTable[[#This Row],[BatchMeansHalfWidth]])</f>
        <v>0</v>
      </c>
    </row>
    <row r="927" spans="1:21" x14ac:dyDescent="0.3">
      <c r="A927" t="s">
        <v>66</v>
      </c>
      <c r="B927" t="s">
        <v>68</v>
      </c>
      <c r="C927">
        <v>24</v>
      </c>
      <c r="D927" t="s">
        <v>104</v>
      </c>
      <c r="E927" t="s">
        <v>96</v>
      </c>
      <c r="F927" t="s">
        <v>95</v>
      </c>
      <c r="G927">
        <v>0</v>
      </c>
      <c r="H927">
        <v>2E+20</v>
      </c>
      <c r="I927">
        <v>0</v>
      </c>
      <c r="J927">
        <v>0</v>
      </c>
      <c r="K927">
        <v>0</v>
      </c>
      <c r="L927">
        <v>0</v>
      </c>
      <c r="M927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927" s="5" cm="1">
        <f t="array" ref="N927">MAX(IF((ProjectInfoTable[ProjectName]=ContinuousStatsTable[[#This Row],[ProjectName]]),(ProjectInfoTable[ProjectName]=ContinuousStatsTable[[#This Row],[ProjectName]])*ProjectInfoTable[NumberOfReplications]))</f>
        <v>30</v>
      </c>
      <c r="O927" s="5" cm="1">
        <f t="array" ref="O927">IFERROR(AVERAGE(IF((ContinuousStatsTable[GroupByKey]=ContinuousStatsTable[[#This Row],[GroupByKey]]),(ContinuousStatsTable[GroupByKey]=ContinuousStatsTable[[#This Row],[GroupByKey]])*ContinuousStatsTable[Average])),0)</f>
        <v>0</v>
      </c>
      <c r="P927" s="5" cm="1">
        <f t="array" ref="P927">IFERROR(_xlfn.STDEV.S(IF((ContinuousStatsTable[GroupByKey]=ContinuousStatsTable[[#This Row],[GroupByKey]]),(ContinuousStatsTable[GroupByKey]=ContinuousStatsTable[[#This Row],[GroupByKey]])*ContinuousStatsTable[Average])),0)</f>
        <v>0</v>
      </c>
      <c r="Q927" s="5" cm="1">
        <f t="array" ref="Q927">MAX(IF((ProjectInfoTable[ProjectName]=ContinuousStatsTable[[#This Row],[ProjectName]]),(ProjectInfoTable[ProjectName]=ContinuousStatsTable[[#This Row],[ProjectName]])*ProjectInfoTable[ConfidenceInterval]))</f>
        <v>0.95</v>
      </c>
      <c r="R9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7" s="5" cm="1">
        <f t="array" ref="S927">MIN(IF((ContinuousStatsTable[GroupByKey]=ContinuousStatsTable[[#This Row],[GroupByKey]]),(ContinuousStatsTable[GroupByKey]=ContinuousStatsTable[[#This Row],[GroupByKey]])*ContinuousStatsTable[Average]))</f>
        <v>0</v>
      </c>
      <c r="T927" s="5" cm="1">
        <f t="array" ref="T927">MAX(IF((ContinuousStatsTable[GroupByKey]=ContinuousStatsTable[[#This Row],[GroupByKey]]),(ContinuousStatsTable[GroupByKey]=ContinuousStatsTable[[#This Row],[GroupByKey]])*ContinuousStatsTable[Average]))</f>
        <v>0</v>
      </c>
      <c r="U927" s="5">
        <f>IF((ContinuousStatsTable[[#This Row],[RepsRequested]]&gt;1),ContinuousStatsTable[[#This Row],[HalfWidth]],ContinuousStatsTable[[#This Row],[BatchMeansHalfWidth]])</f>
        <v>0</v>
      </c>
    </row>
    <row r="928" spans="1:21" x14ac:dyDescent="0.3">
      <c r="A928" t="s">
        <v>66</v>
      </c>
      <c r="B928" t="s">
        <v>68</v>
      </c>
      <c r="C928">
        <v>24</v>
      </c>
      <c r="D928" t="s">
        <v>104</v>
      </c>
      <c r="E928" t="s">
        <v>97</v>
      </c>
      <c r="F928" t="s">
        <v>95</v>
      </c>
      <c r="G928">
        <v>3</v>
      </c>
      <c r="H928">
        <v>2E+20</v>
      </c>
      <c r="I928">
        <v>3</v>
      </c>
      <c r="J928">
        <v>3</v>
      </c>
      <c r="K928">
        <v>3</v>
      </c>
      <c r="L928">
        <v>0</v>
      </c>
      <c r="M928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928" s="5" cm="1">
        <f t="array" ref="N928">MAX(IF((ProjectInfoTable[ProjectName]=ContinuousStatsTable[[#This Row],[ProjectName]]),(ProjectInfoTable[ProjectName]=ContinuousStatsTable[[#This Row],[ProjectName]])*ProjectInfoTable[NumberOfReplications]))</f>
        <v>30</v>
      </c>
      <c r="O928" s="5" cm="1">
        <f t="array" ref="O928">IFERROR(AVERAGE(IF((ContinuousStatsTable[GroupByKey]=ContinuousStatsTable[[#This Row],[GroupByKey]]),(ContinuousStatsTable[GroupByKey]=ContinuousStatsTable[[#This Row],[GroupByKey]])*ContinuousStatsTable[Average])),0)</f>
        <v>3</v>
      </c>
      <c r="P928" s="5" cm="1">
        <f t="array" ref="P928">IFERROR(_xlfn.STDEV.S(IF((ContinuousStatsTable[GroupByKey]=ContinuousStatsTable[[#This Row],[GroupByKey]]),(ContinuousStatsTable[GroupByKey]=ContinuousStatsTable[[#This Row],[GroupByKey]])*ContinuousStatsTable[Average])),0)</f>
        <v>0</v>
      </c>
      <c r="Q928" s="5" cm="1">
        <f t="array" ref="Q928">MAX(IF((ProjectInfoTable[ProjectName]=ContinuousStatsTable[[#This Row],[ProjectName]]),(ProjectInfoTable[ProjectName]=ContinuousStatsTable[[#This Row],[ProjectName]])*ProjectInfoTable[ConfidenceInterval]))</f>
        <v>0.95</v>
      </c>
      <c r="R9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8" s="5" cm="1">
        <f t="array" ref="S928">MIN(IF((ContinuousStatsTable[GroupByKey]=ContinuousStatsTable[[#This Row],[GroupByKey]]),(ContinuousStatsTable[GroupByKey]=ContinuousStatsTable[[#This Row],[GroupByKey]])*ContinuousStatsTable[Average]))</f>
        <v>3</v>
      </c>
      <c r="T928" s="5" cm="1">
        <f t="array" ref="T928">MAX(IF((ContinuousStatsTable[GroupByKey]=ContinuousStatsTable[[#This Row],[GroupByKey]]),(ContinuousStatsTable[GroupByKey]=ContinuousStatsTable[[#This Row],[GroupByKey]])*ContinuousStatsTable[Average]))</f>
        <v>3</v>
      </c>
      <c r="U928" s="5">
        <f>IF((ContinuousStatsTable[[#This Row],[RepsRequested]]&gt;1),ContinuousStatsTable[[#This Row],[HalfWidth]],ContinuousStatsTable[[#This Row],[BatchMeansHalfWidth]])</f>
        <v>0</v>
      </c>
    </row>
    <row r="929" spans="1:21" x14ac:dyDescent="0.3">
      <c r="A929" t="s">
        <v>66</v>
      </c>
      <c r="B929" t="s">
        <v>68</v>
      </c>
      <c r="C929">
        <v>24</v>
      </c>
      <c r="D929" t="s">
        <v>105</v>
      </c>
      <c r="E929" t="s">
        <v>94</v>
      </c>
      <c r="F929" t="s">
        <v>95</v>
      </c>
      <c r="G929">
        <v>0.911001933301818</v>
      </c>
      <c r="H929">
        <v>2E+20</v>
      </c>
      <c r="I929">
        <v>0</v>
      </c>
      <c r="J929">
        <v>1</v>
      </c>
      <c r="K929">
        <v>1</v>
      </c>
      <c r="L929">
        <v>0</v>
      </c>
      <c r="M929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929" s="5" cm="1">
        <f t="array" ref="N929">MAX(IF((ProjectInfoTable[ProjectName]=ContinuousStatsTable[[#This Row],[ProjectName]]),(ProjectInfoTable[ProjectName]=ContinuousStatsTable[[#This Row],[ProjectName]])*ProjectInfoTable[NumberOfReplications]))</f>
        <v>30</v>
      </c>
      <c r="O929" s="5" cm="1">
        <f t="array" ref="O929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929" s="5" cm="1">
        <f t="array" ref="P929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929" s="5" cm="1">
        <f t="array" ref="Q929">MAX(IF((ProjectInfoTable[ProjectName]=ContinuousStatsTable[[#This Row],[ProjectName]]),(ProjectInfoTable[ProjectName]=ContinuousStatsTable[[#This Row],[ProjectName]])*ProjectInfoTable[ConfidenceInterval]))</f>
        <v>0.95</v>
      </c>
      <c r="R9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929" s="5" cm="1">
        <f t="array" ref="S929">MIN(IF((ContinuousStatsTable[GroupByKey]=ContinuousStatsTable[[#This Row],[GroupByKey]]),(ContinuousStatsTable[GroupByKey]=ContinuousStatsTable[[#This Row],[GroupByKey]])*ContinuousStatsTable[Average]))</f>
        <v>0.634589476164233</v>
      </c>
      <c r="T929" s="5" cm="1">
        <f t="array" ref="T929">MAX(IF((ContinuousStatsTable[GroupByKey]=ContinuousStatsTable[[#This Row],[GroupByKey]]),(ContinuousStatsTable[GroupByKey]=ContinuousStatsTable[[#This Row],[GroupByKey]])*ContinuousStatsTable[Average]))</f>
        <v>0.99383259650362799</v>
      </c>
      <c r="U929" s="5">
        <f>IF((ContinuousStatsTable[[#This Row],[RepsRequested]]&gt;1),ContinuousStatsTable[[#This Row],[HalfWidth]],ContinuousStatsTable[[#This Row],[BatchMeansHalfWidth]])</f>
        <v>3.9940526897700258E-2</v>
      </c>
    </row>
    <row r="930" spans="1:21" x14ac:dyDescent="0.3">
      <c r="A930" t="s">
        <v>66</v>
      </c>
      <c r="B930" t="s">
        <v>68</v>
      </c>
      <c r="C930">
        <v>24</v>
      </c>
      <c r="D930" t="s">
        <v>105</v>
      </c>
      <c r="E930" t="s">
        <v>96</v>
      </c>
      <c r="F930" t="s">
        <v>95</v>
      </c>
      <c r="G930">
        <v>0.911001933301818</v>
      </c>
      <c r="H930">
        <v>2E+20</v>
      </c>
      <c r="I930">
        <v>0</v>
      </c>
      <c r="J930">
        <v>1</v>
      </c>
      <c r="K930">
        <v>1</v>
      </c>
      <c r="L930">
        <v>0</v>
      </c>
      <c r="M930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930" s="5" cm="1">
        <f t="array" ref="N930">MAX(IF((ProjectInfoTable[ProjectName]=ContinuousStatsTable[[#This Row],[ProjectName]]),(ProjectInfoTable[ProjectName]=ContinuousStatsTable[[#This Row],[ProjectName]])*ProjectInfoTable[NumberOfReplications]))</f>
        <v>30</v>
      </c>
      <c r="O930" s="5" cm="1">
        <f t="array" ref="O930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930" s="5" cm="1">
        <f t="array" ref="P930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930" s="5" cm="1">
        <f t="array" ref="Q930">MAX(IF((ProjectInfoTable[ProjectName]=ContinuousStatsTable[[#This Row],[ProjectName]]),(ProjectInfoTable[ProjectName]=ContinuousStatsTable[[#This Row],[ProjectName]])*ProjectInfoTable[ConfidenceInterval]))</f>
        <v>0.95</v>
      </c>
      <c r="R9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930" s="5" cm="1">
        <f t="array" ref="S930">MIN(IF((ContinuousStatsTable[GroupByKey]=ContinuousStatsTable[[#This Row],[GroupByKey]]),(ContinuousStatsTable[GroupByKey]=ContinuousStatsTable[[#This Row],[GroupByKey]])*ContinuousStatsTable[Average]))</f>
        <v>0.634589476164233</v>
      </c>
      <c r="T930" s="5" cm="1">
        <f t="array" ref="T930">MAX(IF((ContinuousStatsTable[GroupByKey]=ContinuousStatsTable[[#This Row],[GroupByKey]]),(ContinuousStatsTable[GroupByKey]=ContinuousStatsTable[[#This Row],[GroupByKey]])*ContinuousStatsTable[Average]))</f>
        <v>0.99383259650362799</v>
      </c>
      <c r="U930" s="5">
        <f>IF((ContinuousStatsTable[[#This Row],[RepsRequested]]&gt;1),ContinuousStatsTable[[#This Row],[HalfWidth]],ContinuousStatsTable[[#This Row],[BatchMeansHalfWidth]])</f>
        <v>3.9940526897700258E-2</v>
      </c>
    </row>
    <row r="931" spans="1:21" x14ac:dyDescent="0.3">
      <c r="A931" t="s">
        <v>66</v>
      </c>
      <c r="B931" t="s">
        <v>68</v>
      </c>
      <c r="C931">
        <v>24</v>
      </c>
      <c r="D931" t="s">
        <v>105</v>
      </c>
      <c r="E931" t="s">
        <v>97</v>
      </c>
      <c r="F931" t="s">
        <v>95</v>
      </c>
      <c r="G931">
        <v>1</v>
      </c>
      <c r="H931">
        <v>2E+20</v>
      </c>
      <c r="I931">
        <v>1</v>
      </c>
      <c r="J931">
        <v>1</v>
      </c>
      <c r="K931">
        <v>1</v>
      </c>
      <c r="L931">
        <v>0</v>
      </c>
      <c r="M931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931" s="5" cm="1">
        <f t="array" ref="N931">MAX(IF((ProjectInfoTable[ProjectName]=ContinuousStatsTable[[#This Row],[ProjectName]]),(ProjectInfoTable[ProjectName]=ContinuousStatsTable[[#This Row],[ProjectName]])*ProjectInfoTable[NumberOfReplications]))</f>
        <v>30</v>
      </c>
      <c r="O931" s="5" cm="1">
        <f t="array" ref="O931">IFERROR(AVERAGE(IF((ContinuousStatsTable[GroupByKey]=ContinuousStatsTable[[#This Row],[GroupByKey]]),(ContinuousStatsTable[GroupByKey]=ContinuousStatsTable[[#This Row],[GroupByKey]])*ContinuousStatsTable[Average])),0)</f>
        <v>1</v>
      </c>
      <c r="P931" s="5" cm="1">
        <f t="array" ref="P931">IFERROR(_xlfn.STDEV.S(IF((ContinuousStatsTable[GroupByKey]=ContinuousStatsTable[[#This Row],[GroupByKey]]),(ContinuousStatsTable[GroupByKey]=ContinuousStatsTable[[#This Row],[GroupByKey]])*ContinuousStatsTable[Average])),0)</f>
        <v>0</v>
      </c>
      <c r="Q931" s="5" cm="1">
        <f t="array" ref="Q931">MAX(IF((ProjectInfoTable[ProjectName]=ContinuousStatsTable[[#This Row],[ProjectName]]),(ProjectInfoTable[ProjectName]=ContinuousStatsTable[[#This Row],[ProjectName]])*ProjectInfoTable[ConfidenceInterval]))</f>
        <v>0.95</v>
      </c>
      <c r="R9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1" s="5" cm="1">
        <f t="array" ref="S931">MIN(IF((ContinuousStatsTable[GroupByKey]=ContinuousStatsTable[[#This Row],[GroupByKey]]),(ContinuousStatsTable[GroupByKey]=ContinuousStatsTable[[#This Row],[GroupByKey]])*ContinuousStatsTable[Average]))</f>
        <v>1</v>
      </c>
      <c r="T931" s="5" cm="1">
        <f t="array" ref="T931">MAX(IF((ContinuousStatsTable[GroupByKey]=ContinuousStatsTable[[#This Row],[GroupByKey]]),(ContinuousStatsTable[GroupByKey]=ContinuousStatsTable[[#This Row],[GroupByKey]])*ContinuousStatsTable[Average]))</f>
        <v>1</v>
      </c>
      <c r="U931" s="5">
        <f>IF((ContinuousStatsTable[[#This Row],[RepsRequested]]&gt;1),ContinuousStatsTable[[#This Row],[HalfWidth]],ContinuousStatsTable[[#This Row],[BatchMeansHalfWidth]])</f>
        <v>0</v>
      </c>
    </row>
    <row r="932" spans="1:21" x14ac:dyDescent="0.3">
      <c r="A932" t="s">
        <v>66</v>
      </c>
      <c r="B932" t="s">
        <v>68</v>
      </c>
      <c r="C932">
        <v>24</v>
      </c>
      <c r="D932" t="s">
        <v>106</v>
      </c>
      <c r="E932" t="s">
        <v>94</v>
      </c>
      <c r="F932" t="s">
        <v>95</v>
      </c>
      <c r="G932">
        <v>0.95890374566069803</v>
      </c>
      <c r="H932">
        <v>2E+20</v>
      </c>
      <c r="I932">
        <v>0</v>
      </c>
      <c r="J932">
        <v>1</v>
      </c>
      <c r="K932">
        <v>1</v>
      </c>
      <c r="L932">
        <v>0</v>
      </c>
      <c r="M932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932" s="5" cm="1">
        <f t="array" ref="N932">MAX(IF((ProjectInfoTable[ProjectName]=ContinuousStatsTable[[#This Row],[ProjectName]]),(ProjectInfoTable[ProjectName]=ContinuousStatsTable[[#This Row],[ProjectName]])*ProjectInfoTable[NumberOfReplications]))</f>
        <v>30</v>
      </c>
      <c r="O932" s="5" cm="1">
        <f t="array" ref="O932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932" s="5" cm="1">
        <f t="array" ref="P932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932" s="5" cm="1">
        <f t="array" ref="Q932">MAX(IF((ProjectInfoTable[ProjectName]=ContinuousStatsTable[[#This Row],[ProjectName]]),(ProjectInfoTable[ProjectName]=ContinuousStatsTable[[#This Row],[ProjectName]])*ProjectInfoTable[ConfidenceInterval]))</f>
        <v>0.95</v>
      </c>
      <c r="R9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932" s="5" cm="1">
        <f t="array" ref="S932">MIN(IF((ContinuousStatsTable[GroupByKey]=ContinuousStatsTable[[#This Row],[GroupByKey]]),(ContinuousStatsTable[GroupByKey]=ContinuousStatsTable[[#This Row],[GroupByKey]])*ContinuousStatsTable[Average]))</f>
        <v>0.74061105631083801</v>
      </c>
      <c r="T932" s="5" cm="1">
        <f t="array" ref="T932">MAX(IF((ContinuousStatsTable[GroupByKey]=ContinuousStatsTable[[#This Row],[GroupByKey]]),(ContinuousStatsTable[GroupByKey]=ContinuousStatsTable[[#This Row],[GroupByKey]])*ContinuousStatsTable[Average]))</f>
        <v>0.99245161744166299</v>
      </c>
      <c r="U932" s="5">
        <f>IF((ContinuousStatsTable[[#This Row],[RepsRequested]]&gt;1),ContinuousStatsTable[[#This Row],[HalfWidth]],ContinuousStatsTable[[#This Row],[BatchMeansHalfWidth]])</f>
        <v>2.8912497794626357E-2</v>
      </c>
    </row>
    <row r="933" spans="1:21" x14ac:dyDescent="0.3">
      <c r="A933" t="s">
        <v>66</v>
      </c>
      <c r="B933" t="s">
        <v>68</v>
      </c>
      <c r="C933">
        <v>24</v>
      </c>
      <c r="D933" t="s">
        <v>106</v>
      </c>
      <c r="E933" t="s">
        <v>96</v>
      </c>
      <c r="F933" t="s">
        <v>95</v>
      </c>
      <c r="G933">
        <v>0.95890374566069803</v>
      </c>
      <c r="H933">
        <v>2E+20</v>
      </c>
      <c r="I933">
        <v>0</v>
      </c>
      <c r="J933">
        <v>1</v>
      </c>
      <c r="K933">
        <v>1</v>
      </c>
      <c r="L933">
        <v>0</v>
      </c>
      <c r="M933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933" s="5" cm="1">
        <f t="array" ref="N933">MAX(IF((ProjectInfoTable[ProjectName]=ContinuousStatsTable[[#This Row],[ProjectName]]),(ProjectInfoTable[ProjectName]=ContinuousStatsTable[[#This Row],[ProjectName]])*ProjectInfoTable[NumberOfReplications]))</f>
        <v>30</v>
      </c>
      <c r="O933" s="5" cm="1">
        <f t="array" ref="O933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933" s="5" cm="1">
        <f t="array" ref="P933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933" s="5" cm="1">
        <f t="array" ref="Q933">MAX(IF((ProjectInfoTable[ProjectName]=ContinuousStatsTable[[#This Row],[ProjectName]]),(ProjectInfoTable[ProjectName]=ContinuousStatsTable[[#This Row],[ProjectName]])*ProjectInfoTable[ConfidenceInterval]))</f>
        <v>0.95</v>
      </c>
      <c r="R9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933" s="5" cm="1">
        <f t="array" ref="S933">MIN(IF((ContinuousStatsTable[GroupByKey]=ContinuousStatsTable[[#This Row],[GroupByKey]]),(ContinuousStatsTable[GroupByKey]=ContinuousStatsTable[[#This Row],[GroupByKey]])*ContinuousStatsTable[Average]))</f>
        <v>0.74061105631083801</v>
      </c>
      <c r="T933" s="5" cm="1">
        <f t="array" ref="T933">MAX(IF((ContinuousStatsTable[GroupByKey]=ContinuousStatsTable[[#This Row],[GroupByKey]]),(ContinuousStatsTable[GroupByKey]=ContinuousStatsTable[[#This Row],[GroupByKey]])*ContinuousStatsTable[Average]))</f>
        <v>0.99245161744166299</v>
      </c>
      <c r="U933" s="5">
        <f>IF((ContinuousStatsTable[[#This Row],[RepsRequested]]&gt;1),ContinuousStatsTable[[#This Row],[HalfWidth]],ContinuousStatsTable[[#This Row],[BatchMeansHalfWidth]])</f>
        <v>2.8912497794626357E-2</v>
      </c>
    </row>
    <row r="934" spans="1:21" x14ac:dyDescent="0.3">
      <c r="A934" t="s">
        <v>66</v>
      </c>
      <c r="B934" t="s">
        <v>68</v>
      </c>
      <c r="C934">
        <v>24</v>
      </c>
      <c r="D934" t="s">
        <v>106</v>
      </c>
      <c r="E934" t="s">
        <v>97</v>
      </c>
      <c r="F934" t="s">
        <v>95</v>
      </c>
      <c r="G934">
        <v>1</v>
      </c>
      <c r="H934">
        <v>2E+20</v>
      </c>
      <c r="I934">
        <v>1</v>
      </c>
      <c r="J934">
        <v>1</v>
      </c>
      <c r="K934">
        <v>1</v>
      </c>
      <c r="L934">
        <v>0</v>
      </c>
      <c r="M934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934" s="5" cm="1">
        <f t="array" ref="N934">MAX(IF((ProjectInfoTable[ProjectName]=ContinuousStatsTable[[#This Row],[ProjectName]]),(ProjectInfoTable[ProjectName]=ContinuousStatsTable[[#This Row],[ProjectName]])*ProjectInfoTable[NumberOfReplications]))</f>
        <v>30</v>
      </c>
      <c r="O934" s="5" cm="1">
        <f t="array" ref="O934">IFERROR(AVERAGE(IF((ContinuousStatsTable[GroupByKey]=ContinuousStatsTable[[#This Row],[GroupByKey]]),(ContinuousStatsTable[GroupByKey]=ContinuousStatsTable[[#This Row],[GroupByKey]])*ContinuousStatsTable[Average])),0)</f>
        <v>1</v>
      </c>
      <c r="P934" s="5" cm="1">
        <f t="array" ref="P934">IFERROR(_xlfn.STDEV.S(IF((ContinuousStatsTable[GroupByKey]=ContinuousStatsTable[[#This Row],[GroupByKey]]),(ContinuousStatsTable[GroupByKey]=ContinuousStatsTable[[#This Row],[GroupByKey]])*ContinuousStatsTable[Average])),0)</f>
        <v>0</v>
      </c>
      <c r="Q934" s="5" cm="1">
        <f t="array" ref="Q934">MAX(IF((ProjectInfoTable[ProjectName]=ContinuousStatsTable[[#This Row],[ProjectName]]),(ProjectInfoTable[ProjectName]=ContinuousStatsTable[[#This Row],[ProjectName]])*ProjectInfoTable[ConfidenceInterval]))</f>
        <v>0.95</v>
      </c>
      <c r="R9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4" s="5" cm="1">
        <f t="array" ref="S934">MIN(IF((ContinuousStatsTable[GroupByKey]=ContinuousStatsTable[[#This Row],[GroupByKey]]),(ContinuousStatsTable[GroupByKey]=ContinuousStatsTable[[#This Row],[GroupByKey]])*ContinuousStatsTable[Average]))</f>
        <v>1</v>
      </c>
      <c r="T934" s="5" cm="1">
        <f t="array" ref="T934">MAX(IF((ContinuousStatsTable[GroupByKey]=ContinuousStatsTable[[#This Row],[GroupByKey]]),(ContinuousStatsTable[GroupByKey]=ContinuousStatsTable[[#This Row],[GroupByKey]])*ContinuousStatsTable[Average]))</f>
        <v>1</v>
      </c>
      <c r="U934" s="5">
        <f>IF((ContinuousStatsTable[[#This Row],[RepsRequested]]&gt;1),ContinuousStatsTable[[#This Row],[HalfWidth]],ContinuousStatsTable[[#This Row],[BatchMeansHalfWidth]])</f>
        <v>0</v>
      </c>
    </row>
    <row r="935" spans="1:21" x14ac:dyDescent="0.3">
      <c r="A935" t="s">
        <v>66</v>
      </c>
      <c r="B935" t="s">
        <v>68</v>
      </c>
      <c r="C935">
        <v>24</v>
      </c>
      <c r="D935" t="s">
        <v>107</v>
      </c>
      <c r="E935" t="s">
        <v>94</v>
      </c>
      <c r="F935" t="s">
        <v>95</v>
      </c>
      <c r="G935">
        <v>0.92569165943714105</v>
      </c>
      <c r="H935">
        <v>2E+20</v>
      </c>
      <c r="I935">
        <v>0</v>
      </c>
      <c r="J935">
        <v>1</v>
      </c>
      <c r="K935">
        <v>1</v>
      </c>
      <c r="L935">
        <v>0</v>
      </c>
      <c r="M935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935" s="5" cm="1">
        <f t="array" ref="N935">MAX(IF((ProjectInfoTable[ProjectName]=ContinuousStatsTable[[#This Row],[ProjectName]]),(ProjectInfoTable[ProjectName]=ContinuousStatsTable[[#This Row],[ProjectName]])*ProjectInfoTable[NumberOfReplications]))</f>
        <v>30</v>
      </c>
      <c r="O935" s="5" cm="1">
        <f t="array" ref="O935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935" s="5" cm="1">
        <f t="array" ref="P935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935" s="5" cm="1">
        <f t="array" ref="Q935">MAX(IF((ProjectInfoTable[ProjectName]=ContinuousStatsTable[[#This Row],[ProjectName]]),(ProjectInfoTable[ProjectName]=ContinuousStatsTable[[#This Row],[ProjectName]])*ProjectInfoTable[ConfidenceInterval]))</f>
        <v>0.95</v>
      </c>
      <c r="R9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935" s="5" cm="1">
        <f t="array" ref="S935">MIN(IF((ContinuousStatsTable[GroupByKey]=ContinuousStatsTable[[#This Row],[GroupByKey]]),(ContinuousStatsTable[GroupByKey]=ContinuousStatsTable[[#This Row],[GroupByKey]])*ContinuousStatsTable[Average]))</f>
        <v>0.73843386001690303</v>
      </c>
      <c r="T935" s="5" cm="1">
        <f t="array" ref="T935">MAX(IF((ContinuousStatsTable[GroupByKey]=ContinuousStatsTable[[#This Row],[GroupByKey]]),(ContinuousStatsTable[GroupByKey]=ContinuousStatsTable[[#This Row],[GroupByKey]])*ContinuousStatsTable[Average]))</f>
        <v>0.99245161744166299</v>
      </c>
      <c r="U935" s="5">
        <f>IF((ContinuousStatsTable[[#This Row],[RepsRequested]]&gt;1),ContinuousStatsTable[[#This Row],[HalfWidth]],ContinuousStatsTable[[#This Row],[BatchMeansHalfWidth]])</f>
        <v>2.6057642646860522E-2</v>
      </c>
    </row>
    <row r="936" spans="1:21" x14ac:dyDescent="0.3">
      <c r="A936" t="s">
        <v>66</v>
      </c>
      <c r="B936" t="s">
        <v>68</v>
      </c>
      <c r="C936">
        <v>24</v>
      </c>
      <c r="D936" t="s">
        <v>107</v>
      </c>
      <c r="E936" t="s">
        <v>96</v>
      </c>
      <c r="F936" t="s">
        <v>95</v>
      </c>
      <c r="G936">
        <v>0.92569165943714105</v>
      </c>
      <c r="H936">
        <v>2E+20</v>
      </c>
      <c r="I936">
        <v>0</v>
      </c>
      <c r="J936">
        <v>1</v>
      </c>
      <c r="K936">
        <v>1</v>
      </c>
      <c r="L936">
        <v>0</v>
      </c>
      <c r="M936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936" s="5" cm="1">
        <f t="array" ref="N936">MAX(IF((ProjectInfoTable[ProjectName]=ContinuousStatsTable[[#This Row],[ProjectName]]),(ProjectInfoTable[ProjectName]=ContinuousStatsTable[[#This Row],[ProjectName]])*ProjectInfoTable[NumberOfReplications]))</f>
        <v>30</v>
      </c>
      <c r="O936" s="5" cm="1">
        <f t="array" ref="O936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936" s="5" cm="1">
        <f t="array" ref="P936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936" s="5" cm="1">
        <f t="array" ref="Q936">MAX(IF((ProjectInfoTable[ProjectName]=ContinuousStatsTable[[#This Row],[ProjectName]]),(ProjectInfoTable[ProjectName]=ContinuousStatsTable[[#This Row],[ProjectName]])*ProjectInfoTable[ConfidenceInterval]))</f>
        <v>0.95</v>
      </c>
      <c r="R9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936" s="5" cm="1">
        <f t="array" ref="S936">MIN(IF((ContinuousStatsTable[GroupByKey]=ContinuousStatsTable[[#This Row],[GroupByKey]]),(ContinuousStatsTable[GroupByKey]=ContinuousStatsTable[[#This Row],[GroupByKey]])*ContinuousStatsTable[Average]))</f>
        <v>0.73843386001690303</v>
      </c>
      <c r="T936" s="5" cm="1">
        <f t="array" ref="T936">MAX(IF((ContinuousStatsTable[GroupByKey]=ContinuousStatsTable[[#This Row],[GroupByKey]]),(ContinuousStatsTable[GroupByKey]=ContinuousStatsTable[[#This Row],[GroupByKey]])*ContinuousStatsTable[Average]))</f>
        <v>0.99245161744166299</v>
      </c>
      <c r="U936" s="5">
        <f>IF((ContinuousStatsTable[[#This Row],[RepsRequested]]&gt;1),ContinuousStatsTable[[#This Row],[HalfWidth]],ContinuousStatsTable[[#This Row],[BatchMeansHalfWidth]])</f>
        <v>2.6057642646860522E-2</v>
      </c>
    </row>
    <row r="937" spans="1:21" x14ac:dyDescent="0.3">
      <c r="A937" t="s">
        <v>66</v>
      </c>
      <c r="B937" t="s">
        <v>68</v>
      </c>
      <c r="C937">
        <v>24</v>
      </c>
      <c r="D937" t="s">
        <v>107</v>
      </c>
      <c r="E937" t="s">
        <v>97</v>
      </c>
      <c r="F937" t="s">
        <v>95</v>
      </c>
      <c r="G937">
        <v>1</v>
      </c>
      <c r="H937">
        <v>2E+20</v>
      </c>
      <c r="I937">
        <v>1</v>
      </c>
      <c r="J937">
        <v>1</v>
      </c>
      <c r="K937">
        <v>1</v>
      </c>
      <c r="L937">
        <v>0</v>
      </c>
      <c r="M937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937" s="5" cm="1">
        <f t="array" ref="N937">MAX(IF((ProjectInfoTable[ProjectName]=ContinuousStatsTable[[#This Row],[ProjectName]]),(ProjectInfoTable[ProjectName]=ContinuousStatsTable[[#This Row],[ProjectName]])*ProjectInfoTable[NumberOfReplications]))</f>
        <v>30</v>
      </c>
      <c r="O937" s="5" cm="1">
        <f t="array" ref="O937">IFERROR(AVERAGE(IF((ContinuousStatsTable[GroupByKey]=ContinuousStatsTable[[#This Row],[GroupByKey]]),(ContinuousStatsTable[GroupByKey]=ContinuousStatsTable[[#This Row],[GroupByKey]])*ContinuousStatsTable[Average])),0)</f>
        <v>1</v>
      </c>
      <c r="P937" s="5" cm="1">
        <f t="array" ref="P937">IFERROR(_xlfn.STDEV.S(IF((ContinuousStatsTable[GroupByKey]=ContinuousStatsTable[[#This Row],[GroupByKey]]),(ContinuousStatsTable[GroupByKey]=ContinuousStatsTable[[#This Row],[GroupByKey]])*ContinuousStatsTable[Average])),0)</f>
        <v>0</v>
      </c>
      <c r="Q937" s="5" cm="1">
        <f t="array" ref="Q937">MAX(IF((ProjectInfoTable[ProjectName]=ContinuousStatsTable[[#This Row],[ProjectName]]),(ProjectInfoTable[ProjectName]=ContinuousStatsTable[[#This Row],[ProjectName]])*ProjectInfoTable[ConfidenceInterval]))</f>
        <v>0.95</v>
      </c>
      <c r="R9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7" s="5" cm="1">
        <f t="array" ref="S937">MIN(IF((ContinuousStatsTable[GroupByKey]=ContinuousStatsTable[[#This Row],[GroupByKey]]),(ContinuousStatsTable[GroupByKey]=ContinuousStatsTable[[#This Row],[GroupByKey]])*ContinuousStatsTable[Average]))</f>
        <v>1</v>
      </c>
      <c r="T937" s="5" cm="1">
        <f t="array" ref="T937">MAX(IF((ContinuousStatsTable[GroupByKey]=ContinuousStatsTable[[#This Row],[GroupByKey]]),(ContinuousStatsTable[GroupByKey]=ContinuousStatsTable[[#This Row],[GroupByKey]])*ContinuousStatsTable[Average]))</f>
        <v>1</v>
      </c>
      <c r="U937" s="5">
        <f>IF((ContinuousStatsTable[[#This Row],[RepsRequested]]&gt;1),ContinuousStatsTable[[#This Row],[HalfWidth]],ContinuousStatsTable[[#This Row],[BatchMeansHalfWidth]])</f>
        <v>0</v>
      </c>
    </row>
    <row r="938" spans="1:21" x14ac:dyDescent="0.3">
      <c r="A938" t="s">
        <v>66</v>
      </c>
      <c r="B938" t="s">
        <v>68</v>
      </c>
      <c r="C938">
        <v>25</v>
      </c>
      <c r="D938" t="s">
        <v>69</v>
      </c>
      <c r="E938" t="s">
        <v>92</v>
      </c>
      <c r="F938" t="s">
        <v>71</v>
      </c>
      <c r="G938">
        <v>4.7500330860325404</v>
      </c>
      <c r="H938">
        <v>2E+20</v>
      </c>
      <c r="I938">
        <v>0</v>
      </c>
      <c r="J938">
        <v>21</v>
      </c>
      <c r="K938">
        <v>0</v>
      </c>
      <c r="L938">
        <v>0</v>
      </c>
      <c r="M938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938" s="5" cm="1">
        <f t="array" ref="N938">MAX(IF((ProjectInfoTable[ProjectName]=ContinuousStatsTable[[#This Row],[ProjectName]]),(ProjectInfoTable[ProjectName]=ContinuousStatsTable[[#This Row],[ProjectName]])*ProjectInfoTable[NumberOfReplications]))</f>
        <v>30</v>
      </c>
      <c r="O938" s="5" cm="1">
        <f t="array" ref="O938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938" s="5" cm="1">
        <f t="array" ref="P938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938" s="5" cm="1">
        <f t="array" ref="Q938">MAX(IF((ProjectInfoTable[ProjectName]=ContinuousStatsTable[[#This Row],[ProjectName]]),(ProjectInfoTable[ProjectName]=ContinuousStatsTable[[#This Row],[ProjectName]])*ProjectInfoTable[ConfidenceInterval]))</f>
        <v>0.95</v>
      </c>
      <c r="R9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938" s="5" cm="1">
        <f t="array" ref="S938">MIN(IF((ContinuousStatsTable[GroupByKey]=ContinuousStatsTable[[#This Row],[GroupByKey]]),(ContinuousStatsTable[GroupByKey]=ContinuousStatsTable[[#This Row],[GroupByKey]])*ContinuousStatsTable[Average]))</f>
        <v>2.2853775994771</v>
      </c>
      <c r="T938" s="5" cm="1">
        <f t="array" ref="T938">MAX(IF((ContinuousStatsTable[GroupByKey]=ContinuousStatsTable[[#This Row],[GroupByKey]]),(ContinuousStatsTable[GroupByKey]=ContinuousStatsTable[[#This Row],[GroupByKey]])*ContinuousStatsTable[Average]))</f>
        <v>9.3827575078214593</v>
      </c>
      <c r="U938" s="5">
        <f>IF((ContinuousStatsTable[[#This Row],[RepsRequested]]&gt;1),ContinuousStatsTable[[#This Row],[HalfWidth]],ContinuousStatsTable[[#This Row],[BatchMeansHalfWidth]])</f>
        <v>0.70373665421471332</v>
      </c>
    </row>
    <row r="939" spans="1:21" x14ac:dyDescent="0.3">
      <c r="A939" t="s">
        <v>66</v>
      </c>
      <c r="B939" t="s">
        <v>68</v>
      </c>
      <c r="C939">
        <v>25</v>
      </c>
      <c r="D939" t="s">
        <v>72</v>
      </c>
      <c r="E939" t="s">
        <v>92</v>
      </c>
      <c r="F939" t="s">
        <v>71</v>
      </c>
      <c r="G939">
        <v>3.7989381704347398</v>
      </c>
      <c r="H939">
        <v>2E+20</v>
      </c>
      <c r="I939">
        <v>0</v>
      </c>
      <c r="J939">
        <v>20</v>
      </c>
      <c r="K939">
        <v>0</v>
      </c>
      <c r="L939">
        <v>0</v>
      </c>
      <c r="M939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939" s="5" cm="1">
        <f t="array" ref="N939">MAX(IF((ProjectInfoTable[ProjectName]=ContinuousStatsTable[[#This Row],[ProjectName]]),(ProjectInfoTable[ProjectName]=ContinuousStatsTable[[#This Row],[ProjectName]])*ProjectInfoTable[NumberOfReplications]))</f>
        <v>30</v>
      </c>
      <c r="O939" s="5" cm="1">
        <f t="array" ref="O939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939" s="5" cm="1">
        <f t="array" ref="P939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939" s="5" cm="1">
        <f t="array" ref="Q939">MAX(IF((ProjectInfoTable[ProjectName]=ContinuousStatsTable[[#This Row],[ProjectName]]),(ProjectInfoTable[ProjectName]=ContinuousStatsTable[[#This Row],[ProjectName]])*ProjectInfoTable[ConfidenceInterval]))</f>
        <v>0.95</v>
      </c>
      <c r="R9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939" s="5" cm="1">
        <f t="array" ref="S939">MIN(IF((ContinuousStatsTable[GroupByKey]=ContinuousStatsTable[[#This Row],[GroupByKey]]),(ContinuousStatsTable[GroupByKey]=ContinuousStatsTable[[#This Row],[GroupByKey]])*ContinuousStatsTable[Average]))</f>
        <v>1.4754093813695901</v>
      </c>
      <c r="T939" s="5" cm="1">
        <f t="array" ref="T939">MAX(IF((ContinuousStatsTable[GroupByKey]=ContinuousStatsTable[[#This Row],[GroupByKey]]),(ContinuousStatsTable[GroupByKey]=ContinuousStatsTable[[#This Row],[GroupByKey]])*ContinuousStatsTable[Average]))</f>
        <v>8.0603747791942499</v>
      </c>
      <c r="U939" s="5">
        <f>IF((ContinuousStatsTable[[#This Row],[RepsRequested]]&gt;1),ContinuousStatsTable[[#This Row],[HalfWidth]],ContinuousStatsTable[[#This Row],[BatchMeansHalfWidth]])</f>
        <v>0.5936172943910426</v>
      </c>
    </row>
    <row r="940" spans="1:21" x14ac:dyDescent="0.3">
      <c r="A940" t="s">
        <v>66</v>
      </c>
      <c r="B940" t="s">
        <v>68</v>
      </c>
      <c r="C940">
        <v>25</v>
      </c>
      <c r="D940" t="s">
        <v>73</v>
      </c>
      <c r="E940" t="s">
        <v>92</v>
      </c>
      <c r="F940" t="s">
        <v>71</v>
      </c>
      <c r="G940">
        <v>3.1911973661833599</v>
      </c>
      <c r="H940">
        <v>2E+20</v>
      </c>
      <c r="I940">
        <v>0</v>
      </c>
      <c r="J940">
        <v>20</v>
      </c>
      <c r="K940">
        <v>0</v>
      </c>
      <c r="L940">
        <v>0</v>
      </c>
      <c r="M940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940" s="5" cm="1">
        <f t="array" ref="N940">MAX(IF((ProjectInfoTable[ProjectName]=ContinuousStatsTable[[#This Row],[ProjectName]]),(ProjectInfoTable[ProjectName]=ContinuousStatsTable[[#This Row],[ProjectName]])*ProjectInfoTable[NumberOfReplications]))</f>
        <v>30</v>
      </c>
      <c r="O940" s="5" cm="1">
        <f t="array" ref="O940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940" s="5" cm="1">
        <f t="array" ref="P940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940" s="5" cm="1">
        <f t="array" ref="Q940">MAX(IF((ProjectInfoTable[ProjectName]=ContinuousStatsTable[[#This Row],[ProjectName]]),(ProjectInfoTable[ProjectName]=ContinuousStatsTable[[#This Row],[ProjectName]])*ProjectInfoTable[ConfidenceInterval]))</f>
        <v>0.95</v>
      </c>
      <c r="R9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940" s="5" cm="1">
        <f t="array" ref="S940">MIN(IF((ContinuousStatsTable[GroupByKey]=ContinuousStatsTable[[#This Row],[GroupByKey]]),(ContinuousStatsTable[GroupByKey]=ContinuousStatsTable[[#This Row],[GroupByKey]])*ContinuousStatsTable[Average]))</f>
        <v>1.3305593103954101</v>
      </c>
      <c r="T940" s="5" cm="1">
        <f t="array" ref="T940">MAX(IF((ContinuousStatsTable[GroupByKey]=ContinuousStatsTable[[#This Row],[GroupByKey]]),(ContinuousStatsTable[GroupByKey]=ContinuousStatsTable[[#This Row],[GroupByKey]])*ContinuousStatsTable[Average]))</f>
        <v>29.356614544212601</v>
      </c>
      <c r="U940" s="5">
        <f>IF((ContinuousStatsTable[[#This Row],[RepsRequested]]&gt;1),ContinuousStatsTable[[#This Row],[HalfWidth]],ContinuousStatsTable[[#This Row],[BatchMeansHalfWidth]])</f>
        <v>2.162177461749093</v>
      </c>
    </row>
    <row r="941" spans="1:21" x14ac:dyDescent="0.3">
      <c r="A941" t="s">
        <v>66</v>
      </c>
      <c r="B941" t="s">
        <v>68</v>
      </c>
      <c r="C941">
        <v>25</v>
      </c>
      <c r="D941" t="s">
        <v>74</v>
      </c>
      <c r="E941" t="s">
        <v>92</v>
      </c>
      <c r="F941" t="s">
        <v>71</v>
      </c>
      <c r="G941">
        <v>0</v>
      </c>
      <c r="H941">
        <v>2E+20</v>
      </c>
      <c r="I941">
        <v>0</v>
      </c>
      <c r="J941">
        <v>0</v>
      </c>
      <c r="K941">
        <v>0</v>
      </c>
      <c r="L941">
        <v>0</v>
      </c>
      <c r="M941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941" s="5" cm="1">
        <f t="array" ref="N941">MAX(IF((ProjectInfoTable[ProjectName]=ContinuousStatsTable[[#This Row],[ProjectName]]),(ProjectInfoTable[ProjectName]=ContinuousStatsTable[[#This Row],[ProjectName]])*ProjectInfoTable[NumberOfReplications]))</f>
        <v>30</v>
      </c>
      <c r="O941" s="5" cm="1">
        <f t="array" ref="O941">IFERROR(AVERAGE(IF((ContinuousStatsTable[GroupByKey]=ContinuousStatsTable[[#This Row],[GroupByKey]]),(ContinuousStatsTable[GroupByKey]=ContinuousStatsTable[[#This Row],[GroupByKey]])*ContinuousStatsTable[Average])),0)</f>
        <v>0</v>
      </c>
      <c r="P941" s="5" cm="1">
        <f t="array" ref="P941">IFERROR(_xlfn.STDEV.S(IF((ContinuousStatsTable[GroupByKey]=ContinuousStatsTable[[#This Row],[GroupByKey]]),(ContinuousStatsTable[GroupByKey]=ContinuousStatsTable[[#This Row],[GroupByKey]])*ContinuousStatsTable[Average])),0)</f>
        <v>0</v>
      </c>
      <c r="Q941" s="5" cm="1">
        <f t="array" ref="Q941">MAX(IF((ProjectInfoTable[ProjectName]=ContinuousStatsTable[[#This Row],[ProjectName]]),(ProjectInfoTable[ProjectName]=ContinuousStatsTable[[#This Row],[ProjectName]])*ProjectInfoTable[ConfidenceInterval]))</f>
        <v>0.95</v>
      </c>
      <c r="R9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1" s="5" cm="1">
        <f t="array" ref="S941">MIN(IF((ContinuousStatsTable[GroupByKey]=ContinuousStatsTable[[#This Row],[GroupByKey]]),(ContinuousStatsTable[GroupByKey]=ContinuousStatsTable[[#This Row],[GroupByKey]])*ContinuousStatsTable[Average]))</f>
        <v>0</v>
      </c>
      <c r="T941" s="5" cm="1">
        <f t="array" ref="T941">MAX(IF((ContinuousStatsTable[GroupByKey]=ContinuousStatsTable[[#This Row],[GroupByKey]]),(ContinuousStatsTable[GroupByKey]=ContinuousStatsTable[[#This Row],[GroupByKey]])*ContinuousStatsTable[Average]))</f>
        <v>0</v>
      </c>
      <c r="U941" s="5">
        <f>IF((ContinuousStatsTable[[#This Row],[RepsRequested]]&gt;1),ContinuousStatsTable[[#This Row],[HalfWidth]],ContinuousStatsTable[[#This Row],[BatchMeansHalfWidth]])</f>
        <v>0</v>
      </c>
    </row>
    <row r="942" spans="1:21" x14ac:dyDescent="0.3">
      <c r="A942" t="s">
        <v>66</v>
      </c>
      <c r="B942" t="s">
        <v>68</v>
      </c>
      <c r="C942">
        <v>25</v>
      </c>
      <c r="D942" t="s">
        <v>75</v>
      </c>
      <c r="E942" t="s">
        <v>92</v>
      </c>
      <c r="F942" t="s">
        <v>71</v>
      </c>
      <c r="G942">
        <v>0</v>
      </c>
      <c r="H942">
        <v>2E+20</v>
      </c>
      <c r="I942">
        <v>0</v>
      </c>
      <c r="J942">
        <v>0</v>
      </c>
      <c r="K942">
        <v>0</v>
      </c>
      <c r="L942">
        <v>0</v>
      </c>
      <c r="M942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942" s="5" cm="1">
        <f t="array" ref="N942">MAX(IF((ProjectInfoTable[ProjectName]=ContinuousStatsTable[[#This Row],[ProjectName]]),(ProjectInfoTable[ProjectName]=ContinuousStatsTable[[#This Row],[ProjectName]])*ProjectInfoTable[NumberOfReplications]))</f>
        <v>30</v>
      </c>
      <c r="O942" s="5" cm="1">
        <f t="array" ref="O942">IFERROR(AVERAGE(IF((ContinuousStatsTable[GroupByKey]=ContinuousStatsTable[[#This Row],[GroupByKey]]),(ContinuousStatsTable[GroupByKey]=ContinuousStatsTable[[#This Row],[GroupByKey]])*ContinuousStatsTable[Average])),0)</f>
        <v>0</v>
      </c>
      <c r="P942" s="5" cm="1">
        <f t="array" ref="P942">IFERROR(_xlfn.STDEV.S(IF((ContinuousStatsTable[GroupByKey]=ContinuousStatsTable[[#This Row],[GroupByKey]]),(ContinuousStatsTable[GroupByKey]=ContinuousStatsTable[[#This Row],[GroupByKey]])*ContinuousStatsTable[Average])),0)</f>
        <v>0</v>
      </c>
      <c r="Q942" s="5" cm="1">
        <f t="array" ref="Q942">MAX(IF((ProjectInfoTable[ProjectName]=ContinuousStatsTable[[#This Row],[ProjectName]]),(ProjectInfoTable[ProjectName]=ContinuousStatsTable[[#This Row],[ProjectName]])*ProjectInfoTable[ConfidenceInterval]))</f>
        <v>0.95</v>
      </c>
      <c r="R9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2" s="5" cm="1">
        <f t="array" ref="S942">MIN(IF((ContinuousStatsTable[GroupByKey]=ContinuousStatsTable[[#This Row],[GroupByKey]]),(ContinuousStatsTable[GroupByKey]=ContinuousStatsTable[[#This Row],[GroupByKey]])*ContinuousStatsTable[Average]))</f>
        <v>0</v>
      </c>
      <c r="T942" s="5" cm="1">
        <f t="array" ref="T942">MAX(IF((ContinuousStatsTable[GroupByKey]=ContinuousStatsTable[[#This Row],[GroupByKey]]),(ContinuousStatsTable[GroupByKey]=ContinuousStatsTable[[#This Row],[GroupByKey]])*ContinuousStatsTable[Average]))</f>
        <v>0</v>
      </c>
      <c r="U942" s="5">
        <f>IF((ContinuousStatsTable[[#This Row],[RepsRequested]]&gt;1),ContinuousStatsTable[[#This Row],[HalfWidth]],ContinuousStatsTable[[#This Row],[BatchMeansHalfWidth]])</f>
        <v>0</v>
      </c>
    </row>
    <row r="943" spans="1:21" x14ac:dyDescent="0.3">
      <c r="A943" t="s">
        <v>66</v>
      </c>
      <c r="B943" t="s">
        <v>68</v>
      </c>
      <c r="C943">
        <v>25</v>
      </c>
      <c r="D943" t="s">
        <v>76</v>
      </c>
      <c r="E943" t="s">
        <v>92</v>
      </c>
      <c r="F943" t="s">
        <v>71</v>
      </c>
      <c r="G943">
        <v>0.50812971092078596</v>
      </c>
      <c r="H943">
        <v>2E+20</v>
      </c>
      <c r="I943">
        <v>0</v>
      </c>
      <c r="J943">
        <v>7</v>
      </c>
      <c r="K943">
        <v>0</v>
      </c>
      <c r="L943">
        <v>0</v>
      </c>
      <c r="M943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943" s="5" cm="1">
        <f t="array" ref="N943">MAX(IF((ProjectInfoTable[ProjectName]=ContinuousStatsTable[[#This Row],[ProjectName]]),(ProjectInfoTable[ProjectName]=ContinuousStatsTable[[#This Row],[ProjectName]])*ProjectInfoTable[NumberOfReplications]))</f>
        <v>30</v>
      </c>
      <c r="O943" s="5" cm="1">
        <f t="array" ref="O943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943" s="5" cm="1">
        <f t="array" ref="P943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943" s="5" cm="1">
        <f t="array" ref="Q943">MAX(IF((ProjectInfoTable[ProjectName]=ContinuousStatsTable[[#This Row],[ProjectName]]),(ProjectInfoTable[ProjectName]=ContinuousStatsTable[[#This Row],[ProjectName]])*ProjectInfoTable[ConfidenceInterval]))</f>
        <v>0.95</v>
      </c>
      <c r="R9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943" s="5" cm="1">
        <f t="array" ref="S943">MIN(IF((ContinuousStatsTable[GroupByKey]=ContinuousStatsTable[[#This Row],[GroupByKey]]),(ContinuousStatsTable[GroupByKey]=ContinuousStatsTable[[#This Row],[GroupByKey]])*ContinuousStatsTable[Average]))</f>
        <v>4.5869485136026601E-2</v>
      </c>
      <c r="T943" s="5" cm="1">
        <f t="array" ref="T943">MAX(IF((ContinuousStatsTable[GroupByKey]=ContinuousStatsTable[[#This Row],[GroupByKey]]),(ContinuousStatsTable[GroupByKey]=ContinuousStatsTable[[#This Row],[GroupByKey]])*ContinuousStatsTable[Average]))</f>
        <v>4.1119263103435699</v>
      </c>
      <c r="U943" s="5">
        <f>IF((ContinuousStatsTable[[#This Row],[RepsRequested]]&gt;1),ContinuousStatsTable[[#This Row],[HalfWidth]],ContinuousStatsTable[[#This Row],[BatchMeansHalfWidth]])</f>
        <v>0.43252967563899991</v>
      </c>
    </row>
    <row r="944" spans="1:21" x14ac:dyDescent="0.3">
      <c r="A944" t="s">
        <v>66</v>
      </c>
      <c r="B944" t="s">
        <v>68</v>
      </c>
      <c r="C944">
        <v>25</v>
      </c>
      <c r="D944" t="s">
        <v>77</v>
      </c>
      <c r="E944" t="s">
        <v>92</v>
      </c>
      <c r="F944" t="s">
        <v>71</v>
      </c>
      <c r="G944">
        <v>0</v>
      </c>
      <c r="H944">
        <v>2E+20</v>
      </c>
      <c r="I944">
        <v>0</v>
      </c>
      <c r="J944">
        <v>0</v>
      </c>
      <c r="K944">
        <v>0</v>
      </c>
      <c r="L944">
        <v>0</v>
      </c>
      <c r="M944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944" s="5" cm="1">
        <f t="array" ref="N944">MAX(IF((ProjectInfoTable[ProjectName]=ContinuousStatsTable[[#This Row],[ProjectName]]),(ProjectInfoTable[ProjectName]=ContinuousStatsTable[[#This Row],[ProjectName]])*ProjectInfoTable[NumberOfReplications]))</f>
        <v>30</v>
      </c>
      <c r="O944" s="5" cm="1">
        <f t="array" ref="O944">IFERROR(AVERAGE(IF((ContinuousStatsTable[GroupByKey]=ContinuousStatsTable[[#This Row],[GroupByKey]]),(ContinuousStatsTable[GroupByKey]=ContinuousStatsTable[[#This Row],[GroupByKey]])*ContinuousStatsTable[Average])),0)</f>
        <v>0</v>
      </c>
      <c r="P944" s="5" cm="1">
        <f t="array" ref="P944">IFERROR(_xlfn.STDEV.S(IF((ContinuousStatsTable[GroupByKey]=ContinuousStatsTable[[#This Row],[GroupByKey]]),(ContinuousStatsTable[GroupByKey]=ContinuousStatsTable[[#This Row],[GroupByKey]])*ContinuousStatsTable[Average])),0)</f>
        <v>0</v>
      </c>
      <c r="Q944" s="5" cm="1">
        <f t="array" ref="Q944">MAX(IF((ProjectInfoTable[ProjectName]=ContinuousStatsTable[[#This Row],[ProjectName]]),(ProjectInfoTable[ProjectName]=ContinuousStatsTable[[#This Row],[ProjectName]])*ProjectInfoTable[ConfidenceInterval]))</f>
        <v>0.95</v>
      </c>
      <c r="R9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4" s="5" cm="1">
        <f t="array" ref="S944">MIN(IF((ContinuousStatsTable[GroupByKey]=ContinuousStatsTable[[#This Row],[GroupByKey]]),(ContinuousStatsTable[GroupByKey]=ContinuousStatsTable[[#This Row],[GroupByKey]])*ContinuousStatsTable[Average]))</f>
        <v>0</v>
      </c>
      <c r="T944" s="5" cm="1">
        <f t="array" ref="T944">MAX(IF((ContinuousStatsTable[GroupByKey]=ContinuousStatsTable[[#This Row],[GroupByKey]]),(ContinuousStatsTable[GroupByKey]=ContinuousStatsTable[[#This Row],[GroupByKey]])*ContinuousStatsTable[Average]))</f>
        <v>0</v>
      </c>
      <c r="U944" s="5">
        <f>IF((ContinuousStatsTable[[#This Row],[RepsRequested]]&gt;1),ContinuousStatsTable[[#This Row],[HalfWidth]],ContinuousStatsTable[[#This Row],[BatchMeansHalfWidth]])</f>
        <v>0</v>
      </c>
    </row>
    <row r="945" spans="1:21" x14ac:dyDescent="0.3">
      <c r="A945" t="s">
        <v>66</v>
      </c>
      <c r="B945" t="s">
        <v>68</v>
      </c>
      <c r="C945">
        <v>25</v>
      </c>
      <c r="D945" t="s">
        <v>78</v>
      </c>
      <c r="E945" t="s">
        <v>92</v>
      </c>
      <c r="F945" t="s">
        <v>71</v>
      </c>
      <c r="G945">
        <v>0</v>
      </c>
      <c r="H945">
        <v>2E+20</v>
      </c>
      <c r="I945">
        <v>0</v>
      </c>
      <c r="J945">
        <v>0</v>
      </c>
      <c r="K945">
        <v>0</v>
      </c>
      <c r="L945">
        <v>0</v>
      </c>
      <c r="M945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945" s="5" cm="1">
        <f t="array" ref="N945">MAX(IF((ProjectInfoTable[ProjectName]=ContinuousStatsTable[[#This Row],[ProjectName]]),(ProjectInfoTable[ProjectName]=ContinuousStatsTable[[#This Row],[ProjectName]])*ProjectInfoTable[NumberOfReplications]))</f>
        <v>30</v>
      </c>
      <c r="O945" s="5" cm="1">
        <f t="array" ref="O945">IFERROR(AVERAGE(IF((ContinuousStatsTable[GroupByKey]=ContinuousStatsTable[[#This Row],[GroupByKey]]),(ContinuousStatsTable[GroupByKey]=ContinuousStatsTable[[#This Row],[GroupByKey]])*ContinuousStatsTable[Average])),0)</f>
        <v>0</v>
      </c>
      <c r="P945" s="5" cm="1">
        <f t="array" ref="P945">IFERROR(_xlfn.STDEV.S(IF((ContinuousStatsTable[GroupByKey]=ContinuousStatsTable[[#This Row],[GroupByKey]]),(ContinuousStatsTable[GroupByKey]=ContinuousStatsTable[[#This Row],[GroupByKey]])*ContinuousStatsTable[Average])),0)</f>
        <v>0</v>
      </c>
      <c r="Q945" s="5" cm="1">
        <f t="array" ref="Q945">MAX(IF((ProjectInfoTable[ProjectName]=ContinuousStatsTable[[#This Row],[ProjectName]]),(ProjectInfoTable[ProjectName]=ContinuousStatsTable[[#This Row],[ProjectName]])*ProjectInfoTable[ConfidenceInterval]))</f>
        <v>0.95</v>
      </c>
      <c r="R9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5" s="5" cm="1">
        <f t="array" ref="S945">MIN(IF((ContinuousStatsTable[GroupByKey]=ContinuousStatsTable[[#This Row],[GroupByKey]]),(ContinuousStatsTable[GroupByKey]=ContinuousStatsTable[[#This Row],[GroupByKey]])*ContinuousStatsTable[Average]))</f>
        <v>0</v>
      </c>
      <c r="T945" s="5" cm="1">
        <f t="array" ref="T945">MAX(IF((ContinuousStatsTable[GroupByKey]=ContinuousStatsTable[[#This Row],[GroupByKey]]),(ContinuousStatsTable[GroupByKey]=ContinuousStatsTable[[#This Row],[GroupByKey]])*ContinuousStatsTable[Average]))</f>
        <v>0</v>
      </c>
      <c r="U945" s="5">
        <f>IF((ContinuousStatsTable[[#This Row],[RepsRequested]]&gt;1),ContinuousStatsTable[[#This Row],[HalfWidth]],ContinuousStatsTable[[#This Row],[BatchMeansHalfWidth]])</f>
        <v>0</v>
      </c>
    </row>
    <row r="946" spans="1:21" x14ac:dyDescent="0.3">
      <c r="A946" t="s">
        <v>66</v>
      </c>
      <c r="B946" t="s">
        <v>68</v>
      </c>
      <c r="C946">
        <v>25</v>
      </c>
      <c r="D946" t="s">
        <v>93</v>
      </c>
      <c r="E946" t="s">
        <v>94</v>
      </c>
      <c r="F946" t="s">
        <v>95</v>
      </c>
      <c r="G946">
        <v>3.7359407874086301E-2</v>
      </c>
      <c r="H946">
        <v>2E+20</v>
      </c>
      <c r="I946">
        <v>0</v>
      </c>
      <c r="J946">
        <v>0.25</v>
      </c>
      <c r="K946">
        <v>0.05</v>
      </c>
      <c r="L946">
        <v>0</v>
      </c>
      <c r="M946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946" s="5" cm="1">
        <f t="array" ref="N946">MAX(IF((ProjectInfoTable[ProjectName]=ContinuousStatsTable[[#This Row],[ProjectName]]),(ProjectInfoTable[ProjectName]=ContinuousStatsTable[[#This Row],[ProjectName]])*ProjectInfoTable[NumberOfReplications]))</f>
        <v>30</v>
      </c>
      <c r="O946" s="5" cm="1">
        <f t="array" ref="O946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946" s="5" cm="1">
        <f t="array" ref="P946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946" s="5" cm="1">
        <f t="array" ref="Q946">MAX(IF((ProjectInfoTable[ProjectName]=ContinuousStatsTable[[#This Row],[ProjectName]]),(ProjectInfoTable[ProjectName]=ContinuousStatsTable[[#This Row],[ProjectName]])*ProjectInfoTable[ConfidenceInterval]))</f>
        <v>0.95</v>
      </c>
      <c r="R9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946" s="5" cm="1">
        <f t="array" ref="S946">MIN(IF((ContinuousStatsTable[GroupByKey]=ContinuousStatsTable[[#This Row],[GroupByKey]]),(ContinuousStatsTable[GroupByKey]=ContinuousStatsTable[[#This Row],[GroupByKey]])*ContinuousStatsTable[Average]))</f>
        <v>2.3718114155243601E-2</v>
      </c>
      <c r="T946" s="5" cm="1">
        <f t="array" ref="T946">MAX(IF((ContinuousStatsTable[GroupByKey]=ContinuousStatsTable[[#This Row],[GroupByKey]]),(ContinuousStatsTable[GroupByKey]=ContinuousStatsTable[[#This Row],[GroupByKey]])*ContinuousStatsTable[Average]))</f>
        <v>4.8583931724403701E-2</v>
      </c>
      <c r="U946" s="5">
        <f>IF((ContinuousStatsTable[[#This Row],[RepsRequested]]&gt;1),ContinuousStatsTable[[#This Row],[HalfWidth]],ContinuousStatsTable[[#This Row],[BatchMeansHalfWidth]])</f>
        <v>2.4839579632442289E-3</v>
      </c>
    </row>
    <row r="947" spans="1:21" x14ac:dyDescent="0.3">
      <c r="A947" t="s">
        <v>66</v>
      </c>
      <c r="B947" t="s">
        <v>68</v>
      </c>
      <c r="C947">
        <v>25</v>
      </c>
      <c r="D947" t="s">
        <v>93</v>
      </c>
      <c r="E947" t="s">
        <v>96</v>
      </c>
      <c r="F947" t="s">
        <v>95</v>
      </c>
      <c r="G947">
        <v>0.74718815748172596</v>
      </c>
      <c r="H947">
        <v>2E+20</v>
      </c>
      <c r="I947">
        <v>0</v>
      </c>
      <c r="J947">
        <v>5</v>
      </c>
      <c r="K947">
        <v>1</v>
      </c>
      <c r="L947">
        <v>0</v>
      </c>
      <c r="M947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947" s="5" cm="1">
        <f t="array" ref="N947">MAX(IF((ProjectInfoTable[ProjectName]=ContinuousStatsTable[[#This Row],[ProjectName]]),(ProjectInfoTable[ProjectName]=ContinuousStatsTable[[#This Row],[ProjectName]])*ProjectInfoTable[NumberOfReplications]))</f>
        <v>30</v>
      </c>
      <c r="O947" s="5" cm="1">
        <f t="array" ref="O947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947" s="5" cm="1">
        <f t="array" ref="P947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947" s="5" cm="1">
        <f t="array" ref="Q947">MAX(IF((ProjectInfoTable[ProjectName]=ContinuousStatsTable[[#This Row],[ProjectName]]),(ProjectInfoTable[ProjectName]=ContinuousStatsTable[[#This Row],[ProjectName]])*ProjectInfoTable[ConfidenceInterval]))</f>
        <v>0.95</v>
      </c>
      <c r="R9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947" s="5" cm="1">
        <f t="array" ref="S947">MIN(IF((ContinuousStatsTable[GroupByKey]=ContinuousStatsTable[[#This Row],[GroupByKey]]),(ContinuousStatsTable[GroupByKey]=ContinuousStatsTable[[#This Row],[GroupByKey]])*ContinuousStatsTable[Average]))</f>
        <v>0.47436228310487299</v>
      </c>
      <c r="T947" s="5" cm="1">
        <f t="array" ref="T947">MAX(IF((ContinuousStatsTable[GroupByKey]=ContinuousStatsTable[[#This Row],[GroupByKey]]),(ContinuousStatsTable[GroupByKey]=ContinuousStatsTable[[#This Row],[GroupByKey]])*ContinuousStatsTable[Average]))</f>
        <v>0.97167863448807401</v>
      </c>
      <c r="U947" s="5">
        <f>IF((ContinuousStatsTable[[#This Row],[RepsRequested]]&gt;1),ContinuousStatsTable[[#This Row],[HalfWidth]],ContinuousStatsTable[[#This Row],[BatchMeansHalfWidth]])</f>
        <v>4.9679159264885281E-2</v>
      </c>
    </row>
    <row r="948" spans="1:21" x14ac:dyDescent="0.3">
      <c r="A948" t="s">
        <v>66</v>
      </c>
      <c r="B948" t="s">
        <v>68</v>
      </c>
      <c r="C948">
        <v>25</v>
      </c>
      <c r="D948" t="s">
        <v>93</v>
      </c>
      <c r="E948" t="s">
        <v>97</v>
      </c>
      <c r="F948" t="s">
        <v>95</v>
      </c>
      <c r="G948">
        <v>20</v>
      </c>
      <c r="H948">
        <v>2E+20</v>
      </c>
      <c r="I948">
        <v>20</v>
      </c>
      <c r="J948">
        <v>20</v>
      </c>
      <c r="K948">
        <v>20</v>
      </c>
      <c r="L948">
        <v>0</v>
      </c>
      <c r="M948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948" s="5" cm="1">
        <f t="array" ref="N948">MAX(IF((ProjectInfoTable[ProjectName]=ContinuousStatsTable[[#This Row],[ProjectName]]),(ProjectInfoTable[ProjectName]=ContinuousStatsTable[[#This Row],[ProjectName]])*ProjectInfoTable[NumberOfReplications]))</f>
        <v>30</v>
      </c>
      <c r="O948" s="5" cm="1">
        <f t="array" ref="O948">IFERROR(AVERAGE(IF((ContinuousStatsTable[GroupByKey]=ContinuousStatsTable[[#This Row],[GroupByKey]]),(ContinuousStatsTable[GroupByKey]=ContinuousStatsTable[[#This Row],[GroupByKey]])*ContinuousStatsTable[Average])),0)</f>
        <v>20</v>
      </c>
      <c r="P948" s="5" cm="1">
        <f t="array" ref="P948">IFERROR(_xlfn.STDEV.S(IF((ContinuousStatsTable[GroupByKey]=ContinuousStatsTable[[#This Row],[GroupByKey]]),(ContinuousStatsTable[GroupByKey]=ContinuousStatsTable[[#This Row],[GroupByKey]])*ContinuousStatsTable[Average])),0)</f>
        <v>0</v>
      </c>
      <c r="Q948" s="5" cm="1">
        <f t="array" ref="Q948">MAX(IF((ProjectInfoTable[ProjectName]=ContinuousStatsTable[[#This Row],[ProjectName]]),(ProjectInfoTable[ProjectName]=ContinuousStatsTable[[#This Row],[ProjectName]])*ProjectInfoTable[ConfidenceInterval]))</f>
        <v>0.95</v>
      </c>
      <c r="R9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8" s="5" cm="1">
        <f t="array" ref="S948">MIN(IF((ContinuousStatsTable[GroupByKey]=ContinuousStatsTable[[#This Row],[GroupByKey]]),(ContinuousStatsTable[GroupByKey]=ContinuousStatsTable[[#This Row],[GroupByKey]])*ContinuousStatsTable[Average]))</f>
        <v>20</v>
      </c>
      <c r="T948" s="5" cm="1">
        <f t="array" ref="T948">MAX(IF((ContinuousStatsTable[GroupByKey]=ContinuousStatsTable[[#This Row],[GroupByKey]]),(ContinuousStatsTable[GroupByKey]=ContinuousStatsTable[[#This Row],[GroupByKey]])*ContinuousStatsTable[Average]))</f>
        <v>20</v>
      </c>
      <c r="U948" s="5">
        <f>IF((ContinuousStatsTable[[#This Row],[RepsRequested]]&gt;1),ContinuousStatsTable[[#This Row],[HalfWidth]],ContinuousStatsTable[[#This Row],[BatchMeansHalfWidth]])</f>
        <v>0</v>
      </c>
    </row>
    <row r="949" spans="1:21" x14ac:dyDescent="0.3">
      <c r="A949" t="s">
        <v>66</v>
      </c>
      <c r="B949" t="s">
        <v>68</v>
      </c>
      <c r="C949">
        <v>25</v>
      </c>
      <c r="D949" t="s">
        <v>98</v>
      </c>
      <c r="E949" t="s">
        <v>94</v>
      </c>
      <c r="F949" t="s">
        <v>95</v>
      </c>
      <c r="G949">
        <v>0.23177057137797399</v>
      </c>
      <c r="H949">
        <v>2E+20</v>
      </c>
      <c r="I949">
        <v>0</v>
      </c>
      <c r="J949">
        <v>0.65</v>
      </c>
      <c r="K949">
        <v>0.45</v>
      </c>
      <c r="L949">
        <v>0</v>
      </c>
      <c r="M949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949" s="5" cm="1">
        <f t="array" ref="N949">MAX(IF((ProjectInfoTable[ProjectName]=ContinuousStatsTable[[#This Row],[ProjectName]]),(ProjectInfoTable[ProjectName]=ContinuousStatsTable[[#This Row],[ProjectName]])*ProjectInfoTable[NumberOfReplications]))</f>
        <v>30</v>
      </c>
      <c r="O949" s="5" cm="1">
        <f t="array" ref="O949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949" s="5" cm="1">
        <f t="array" ref="P949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949" s="5" cm="1">
        <f t="array" ref="Q949">MAX(IF((ProjectInfoTable[ProjectName]=ContinuousStatsTable[[#This Row],[ProjectName]]),(ProjectInfoTable[ProjectName]=ContinuousStatsTable[[#This Row],[ProjectName]])*ProjectInfoTable[ConfidenceInterval]))</f>
        <v>0.95</v>
      </c>
      <c r="R9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949" s="5" cm="1">
        <f t="array" ref="S949">MIN(IF((ContinuousStatsTable[GroupByKey]=ContinuousStatsTable[[#This Row],[GroupByKey]]),(ContinuousStatsTable[GroupByKey]=ContinuousStatsTable[[#This Row],[GroupByKey]])*ContinuousStatsTable[Average]))</f>
        <v>0.20767736113278101</v>
      </c>
      <c r="T949" s="5" cm="1">
        <f t="array" ref="T949">MAX(IF((ContinuousStatsTable[GroupByKey]=ContinuousStatsTable[[#This Row],[GroupByKey]]),(ContinuousStatsTable[GroupByKey]=ContinuousStatsTable[[#This Row],[GroupByKey]])*ContinuousStatsTable[Average]))</f>
        <v>0.28501162927715501</v>
      </c>
      <c r="U949" s="5">
        <f>IF((ContinuousStatsTable[[#This Row],[RepsRequested]]&gt;1),ContinuousStatsTable[[#This Row],[HalfWidth]],ContinuousStatsTable[[#This Row],[BatchMeansHalfWidth]])</f>
        <v>8.7273384073404715E-3</v>
      </c>
    </row>
    <row r="950" spans="1:21" x14ac:dyDescent="0.3">
      <c r="A950" t="s">
        <v>66</v>
      </c>
      <c r="B950" t="s">
        <v>68</v>
      </c>
      <c r="C950">
        <v>25</v>
      </c>
      <c r="D950" t="s">
        <v>98</v>
      </c>
      <c r="E950" t="s">
        <v>96</v>
      </c>
      <c r="F950" t="s">
        <v>95</v>
      </c>
      <c r="G950">
        <v>4.6354114275594904</v>
      </c>
      <c r="H950">
        <v>2E+20</v>
      </c>
      <c r="I950">
        <v>0</v>
      </c>
      <c r="J950">
        <v>13</v>
      </c>
      <c r="K950">
        <v>9</v>
      </c>
      <c r="L950">
        <v>0</v>
      </c>
      <c r="M950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950" s="5" cm="1">
        <f t="array" ref="N950">MAX(IF((ProjectInfoTable[ProjectName]=ContinuousStatsTable[[#This Row],[ProjectName]]),(ProjectInfoTable[ProjectName]=ContinuousStatsTable[[#This Row],[ProjectName]])*ProjectInfoTable[NumberOfReplications]))</f>
        <v>30</v>
      </c>
      <c r="O950" s="5" cm="1">
        <f t="array" ref="O950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950" s="5" cm="1">
        <f t="array" ref="P950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950" s="5" cm="1">
        <f t="array" ref="Q950">MAX(IF((ProjectInfoTable[ProjectName]=ContinuousStatsTable[[#This Row],[ProjectName]]),(ProjectInfoTable[ProjectName]=ContinuousStatsTable[[#This Row],[ProjectName]])*ProjectInfoTable[ConfidenceInterval]))</f>
        <v>0.95</v>
      </c>
      <c r="R9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950" s="5" cm="1">
        <f t="array" ref="S950">MIN(IF((ContinuousStatsTable[GroupByKey]=ContinuousStatsTable[[#This Row],[GroupByKey]]),(ContinuousStatsTable[GroupByKey]=ContinuousStatsTable[[#This Row],[GroupByKey]])*ContinuousStatsTable[Average]))</f>
        <v>4.15354722265561</v>
      </c>
      <c r="T950" s="5" cm="1">
        <f t="array" ref="T950">MAX(IF((ContinuousStatsTable[GroupByKey]=ContinuousStatsTable[[#This Row],[GroupByKey]]),(ContinuousStatsTable[GroupByKey]=ContinuousStatsTable[[#This Row],[GroupByKey]])*ContinuousStatsTable[Average]))</f>
        <v>5.7002325855431097</v>
      </c>
      <c r="U950" s="5">
        <f>IF((ContinuousStatsTable[[#This Row],[RepsRequested]]&gt;1),ContinuousStatsTable[[#This Row],[HalfWidth]],ContinuousStatsTable[[#This Row],[BatchMeansHalfWidth]])</f>
        <v>0.17454676814681078</v>
      </c>
    </row>
    <row r="951" spans="1:21" x14ac:dyDescent="0.3">
      <c r="A951" t="s">
        <v>66</v>
      </c>
      <c r="B951" t="s">
        <v>68</v>
      </c>
      <c r="C951">
        <v>25</v>
      </c>
      <c r="D951" t="s">
        <v>98</v>
      </c>
      <c r="E951" t="s">
        <v>97</v>
      </c>
      <c r="F951" t="s">
        <v>95</v>
      </c>
      <c r="G951">
        <v>20</v>
      </c>
      <c r="H951">
        <v>2E+20</v>
      </c>
      <c r="I951">
        <v>20</v>
      </c>
      <c r="J951">
        <v>20</v>
      </c>
      <c r="K951">
        <v>20</v>
      </c>
      <c r="L951">
        <v>0</v>
      </c>
      <c r="M951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951" s="5" cm="1">
        <f t="array" ref="N951">MAX(IF((ProjectInfoTable[ProjectName]=ContinuousStatsTable[[#This Row],[ProjectName]]),(ProjectInfoTable[ProjectName]=ContinuousStatsTable[[#This Row],[ProjectName]])*ProjectInfoTable[NumberOfReplications]))</f>
        <v>30</v>
      </c>
      <c r="O951" s="5" cm="1">
        <f t="array" ref="O951">IFERROR(AVERAGE(IF((ContinuousStatsTable[GroupByKey]=ContinuousStatsTable[[#This Row],[GroupByKey]]),(ContinuousStatsTable[GroupByKey]=ContinuousStatsTable[[#This Row],[GroupByKey]])*ContinuousStatsTable[Average])),0)</f>
        <v>20</v>
      </c>
      <c r="P951" s="5" cm="1">
        <f t="array" ref="P951">IFERROR(_xlfn.STDEV.S(IF((ContinuousStatsTable[GroupByKey]=ContinuousStatsTable[[#This Row],[GroupByKey]]),(ContinuousStatsTable[GroupByKey]=ContinuousStatsTable[[#This Row],[GroupByKey]])*ContinuousStatsTable[Average])),0)</f>
        <v>0</v>
      </c>
      <c r="Q951" s="5" cm="1">
        <f t="array" ref="Q951">MAX(IF((ProjectInfoTable[ProjectName]=ContinuousStatsTable[[#This Row],[ProjectName]]),(ProjectInfoTable[ProjectName]=ContinuousStatsTable[[#This Row],[ProjectName]])*ProjectInfoTable[ConfidenceInterval]))</f>
        <v>0.95</v>
      </c>
      <c r="R9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1" s="5" cm="1">
        <f t="array" ref="S951">MIN(IF((ContinuousStatsTable[GroupByKey]=ContinuousStatsTable[[#This Row],[GroupByKey]]),(ContinuousStatsTable[GroupByKey]=ContinuousStatsTable[[#This Row],[GroupByKey]])*ContinuousStatsTable[Average]))</f>
        <v>20</v>
      </c>
      <c r="T951" s="5" cm="1">
        <f t="array" ref="T951">MAX(IF((ContinuousStatsTable[GroupByKey]=ContinuousStatsTable[[#This Row],[GroupByKey]]),(ContinuousStatsTable[GroupByKey]=ContinuousStatsTable[[#This Row],[GroupByKey]])*ContinuousStatsTable[Average]))</f>
        <v>20</v>
      </c>
      <c r="U951" s="5">
        <f>IF((ContinuousStatsTable[[#This Row],[RepsRequested]]&gt;1),ContinuousStatsTable[[#This Row],[HalfWidth]],ContinuousStatsTable[[#This Row],[BatchMeansHalfWidth]])</f>
        <v>0</v>
      </c>
    </row>
    <row r="952" spans="1:21" x14ac:dyDescent="0.3">
      <c r="A952" t="s">
        <v>66</v>
      </c>
      <c r="B952" t="s">
        <v>68</v>
      </c>
      <c r="C952">
        <v>25</v>
      </c>
      <c r="D952" t="s">
        <v>99</v>
      </c>
      <c r="E952" t="s">
        <v>94</v>
      </c>
      <c r="F952" t="s">
        <v>95</v>
      </c>
      <c r="G952">
        <v>0.61200575653800104</v>
      </c>
      <c r="H952">
        <v>2E+20</v>
      </c>
      <c r="I952">
        <v>0</v>
      </c>
      <c r="J952">
        <v>1</v>
      </c>
      <c r="K952">
        <v>1</v>
      </c>
      <c r="L952">
        <v>0</v>
      </c>
      <c r="M952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952" s="5" cm="1">
        <f t="array" ref="N952">MAX(IF((ProjectInfoTable[ProjectName]=ContinuousStatsTable[[#This Row],[ProjectName]]),(ProjectInfoTable[ProjectName]=ContinuousStatsTable[[#This Row],[ProjectName]])*ProjectInfoTable[NumberOfReplications]))</f>
        <v>30</v>
      </c>
      <c r="O952" s="5" cm="1">
        <f t="array" ref="O952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952" s="5" cm="1">
        <f t="array" ref="P952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952" s="5" cm="1">
        <f t="array" ref="Q952">MAX(IF((ProjectInfoTable[ProjectName]=ContinuousStatsTable[[#This Row],[ProjectName]]),(ProjectInfoTable[ProjectName]=ContinuousStatsTable[[#This Row],[ProjectName]])*ProjectInfoTable[ConfidenceInterval]))</f>
        <v>0.95</v>
      </c>
      <c r="R9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952" s="5" cm="1">
        <f t="array" ref="S952">MIN(IF((ContinuousStatsTable[GroupByKey]=ContinuousStatsTable[[#This Row],[GroupByKey]]),(ContinuousStatsTable[GroupByKey]=ContinuousStatsTable[[#This Row],[GroupByKey]])*ContinuousStatsTable[Average]))</f>
        <v>0.517215348442703</v>
      </c>
      <c r="T952" s="5" cm="1">
        <f t="array" ref="T952">MAX(IF((ContinuousStatsTable[GroupByKey]=ContinuousStatsTable[[#This Row],[GroupByKey]]),(ContinuousStatsTable[GroupByKey]=ContinuousStatsTable[[#This Row],[GroupByKey]])*ContinuousStatsTable[Average]))</f>
        <v>0.67770389283754395</v>
      </c>
      <c r="U952" s="5">
        <f>IF((ContinuousStatsTable[[#This Row],[RepsRequested]]&gt;1),ContinuousStatsTable[[#This Row],[HalfWidth]],ContinuousStatsTable[[#This Row],[BatchMeansHalfWidth]])</f>
        <v>1.8059192833960565E-2</v>
      </c>
    </row>
    <row r="953" spans="1:21" x14ac:dyDescent="0.3">
      <c r="A953" t="s">
        <v>66</v>
      </c>
      <c r="B953" t="s">
        <v>68</v>
      </c>
      <c r="C953">
        <v>25</v>
      </c>
      <c r="D953" t="s">
        <v>99</v>
      </c>
      <c r="E953" t="s">
        <v>96</v>
      </c>
      <c r="F953" t="s">
        <v>95</v>
      </c>
      <c r="G953">
        <v>6.1200575653800096</v>
      </c>
      <c r="H953">
        <v>2E+20</v>
      </c>
      <c r="I953">
        <v>0</v>
      </c>
      <c r="J953">
        <v>10</v>
      </c>
      <c r="K953">
        <v>10</v>
      </c>
      <c r="L953">
        <v>0</v>
      </c>
      <c r="M953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953" s="5" cm="1">
        <f t="array" ref="N953">MAX(IF((ProjectInfoTable[ProjectName]=ContinuousStatsTable[[#This Row],[ProjectName]]),(ProjectInfoTable[ProjectName]=ContinuousStatsTable[[#This Row],[ProjectName]])*ProjectInfoTable[NumberOfReplications]))</f>
        <v>30</v>
      </c>
      <c r="O953" s="5" cm="1">
        <f t="array" ref="O953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953" s="5" cm="1">
        <f t="array" ref="P953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953" s="5" cm="1">
        <f t="array" ref="Q953">MAX(IF((ProjectInfoTable[ProjectName]=ContinuousStatsTable[[#This Row],[ProjectName]]),(ProjectInfoTable[ProjectName]=ContinuousStatsTable[[#This Row],[ProjectName]])*ProjectInfoTable[ConfidenceInterval]))</f>
        <v>0.95</v>
      </c>
      <c r="R9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953" s="5" cm="1">
        <f t="array" ref="S953">MIN(IF((ContinuousStatsTable[GroupByKey]=ContinuousStatsTable[[#This Row],[GroupByKey]]),(ContinuousStatsTable[GroupByKey]=ContinuousStatsTable[[#This Row],[GroupByKey]])*ContinuousStatsTable[Average]))</f>
        <v>5.1721534844270298</v>
      </c>
      <c r="T953" s="5" cm="1">
        <f t="array" ref="T953">MAX(IF((ContinuousStatsTable[GroupByKey]=ContinuousStatsTable[[#This Row],[GroupByKey]]),(ContinuousStatsTable[GroupByKey]=ContinuousStatsTable[[#This Row],[GroupByKey]])*ContinuousStatsTable[Average]))</f>
        <v>6.7770389283754398</v>
      </c>
      <c r="U953" s="5">
        <f>IF((ContinuousStatsTable[[#This Row],[RepsRequested]]&gt;1),ContinuousStatsTable[[#This Row],[HalfWidth]],ContinuousStatsTable[[#This Row],[BatchMeansHalfWidth]])</f>
        <v>0.18059192833960558</v>
      </c>
    </row>
    <row r="954" spans="1:21" x14ac:dyDescent="0.3">
      <c r="A954" t="s">
        <v>66</v>
      </c>
      <c r="B954" t="s">
        <v>68</v>
      </c>
      <c r="C954">
        <v>25</v>
      </c>
      <c r="D954" t="s">
        <v>99</v>
      </c>
      <c r="E954" t="s">
        <v>97</v>
      </c>
      <c r="F954" t="s">
        <v>95</v>
      </c>
      <c r="G954">
        <v>10</v>
      </c>
      <c r="H954">
        <v>2E+20</v>
      </c>
      <c r="I954">
        <v>10</v>
      </c>
      <c r="J954">
        <v>10</v>
      </c>
      <c r="K954">
        <v>10</v>
      </c>
      <c r="L954">
        <v>0</v>
      </c>
      <c r="M954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954" s="5" cm="1">
        <f t="array" ref="N954">MAX(IF((ProjectInfoTable[ProjectName]=ContinuousStatsTable[[#This Row],[ProjectName]]),(ProjectInfoTable[ProjectName]=ContinuousStatsTable[[#This Row],[ProjectName]])*ProjectInfoTable[NumberOfReplications]))</f>
        <v>30</v>
      </c>
      <c r="O954" s="5" cm="1">
        <f t="array" ref="O954">IFERROR(AVERAGE(IF((ContinuousStatsTable[GroupByKey]=ContinuousStatsTable[[#This Row],[GroupByKey]]),(ContinuousStatsTable[GroupByKey]=ContinuousStatsTable[[#This Row],[GroupByKey]])*ContinuousStatsTable[Average])),0)</f>
        <v>10</v>
      </c>
      <c r="P954" s="5" cm="1">
        <f t="array" ref="P954">IFERROR(_xlfn.STDEV.S(IF((ContinuousStatsTable[GroupByKey]=ContinuousStatsTable[[#This Row],[GroupByKey]]),(ContinuousStatsTable[GroupByKey]=ContinuousStatsTable[[#This Row],[GroupByKey]])*ContinuousStatsTable[Average])),0)</f>
        <v>0</v>
      </c>
      <c r="Q954" s="5" cm="1">
        <f t="array" ref="Q954">MAX(IF((ProjectInfoTable[ProjectName]=ContinuousStatsTable[[#This Row],[ProjectName]]),(ProjectInfoTable[ProjectName]=ContinuousStatsTable[[#This Row],[ProjectName]])*ProjectInfoTable[ConfidenceInterval]))</f>
        <v>0.95</v>
      </c>
      <c r="R9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4" s="5" cm="1">
        <f t="array" ref="S954">MIN(IF((ContinuousStatsTable[GroupByKey]=ContinuousStatsTable[[#This Row],[GroupByKey]]),(ContinuousStatsTable[GroupByKey]=ContinuousStatsTable[[#This Row],[GroupByKey]])*ContinuousStatsTable[Average]))</f>
        <v>10</v>
      </c>
      <c r="T954" s="5" cm="1">
        <f t="array" ref="T954">MAX(IF((ContinuousStatsTable[GroupByKey]=ContinuousStatsTable[[#This Row],[GroupByKey]]),(ContinuousStatsTable[GroupByKey]=ContinuousStatsTable[[#This Row],[GroupByKey]])*ContinuousStatsTable[Average]))</f>
        <v>10</v>
      </c>
      <c r="U954" s="5">
        <f>IF((ContinuousStatsTable[[#This Row],[RepsRequested]]&gt;1),ContinuousStatsTable[[#This Row],[HalfWidth]],ContinuousStatsTable[[#This Row],[BatchMeansHalfWidth]])</f>
        <v>0</v>
      </c>
    </row>
    <row r="955" spans="1:21" x14ac:dyDescent="0.3">
      <c r="A955" t="s">
        <v>66</v>
      </c>
      <c r="B955" t="s">
        <v>68</v>
      </c>
      <c r="C955">
        <v>25</v>
      </c>
      <c r="D955" t="s">
        <v>100</v>
      </c>
      <c r="E955" t="s">
        <v>94</v>
      </c>
      <c r="F955" t="s">
        <v>95</v>
      </c>
      <c r="G955">
        <v>0.160911278179313</v>
      </c>
      <c r="H955">
        <v>2E+20</v>
      </c>
      <c r="I955">
        <v>0</v>
      </c>
      <c r="J955">
        <v>0.4</v>
      </c>
      <c r="K955">
        <v>0.2</v>
      </c>
      <c r="L955">
        <v>0</v>
      </c>
      <c r="M955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955" s="5" cm="1">
        <f t="array" ref="N955">MAX(IF((ProjectInfoTable[ProjectName]=ContinuousStatsTable[[#This Row],[ProjectName]]),(ProjectInfoTable[ProjectName]=ContinuousStatsTable[[#This Row],[ProjectName]])*ProjectInfoTable[NumberOfReplications]))</f>
        <v>30</v>
      </c>
      <c r="O955" s="5" cm="1">
        <f t="array" ref="O955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955" s="5" cm="1">
        <f t="array" ref="P955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955" s="5" cm="1">
        <f t="array" ref="Q955">MAX(IF((ProjectInfoTable[ProjectName]=ContinuousStatsTable[[#This Row],[ProjectName]]),(ProjectInfoTable[ProjectName]=ContinuousStatsTable[[#This Row],[ProjectName]])*ProjectInfoTable[ConfidenceInterval]))</f>
        <v>0.95</v>
      </c>
      <c r="R9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955" s="5" cm="1">
        <f t="array" ref="S955">MIN(IF((ContinuousStatsTable[GroupByKey]=ContinuousStatsTable[[#This Row],[GroupByKey]]),(ContinuousStatsTable[GroupByKey]=ContinuousStatsTable[[#This Row],[GroupByKey]])*ContinuousStatsTable[Average]))</f>
        <v>0.14484829778125299</v>
      </c>
      <c r="T955" s="5" cm="1">
        <f t="array" ref="T955">MAX(IF((ContinuousStatsTable[GroupByKey]=ContinuousStatsTable[[#This Row],[GroupByKey]]),(ContinuousStatsTable[GroupByKey]=ContinuousStatsTable[[#This Row],[GroupByKey]])*ContinuousStatsTable[Average]))</f>
        <v>0.19609322315655101</v>
      </c>
      <c r="U955" s="5">
        <f>IF((ContinuousStatsTable[[#This Row],[RepsRequested]]&gt;1),ContinuousStatsTable[[#This Row],[HalfWidth]],ContinuousStatsTable[[#This Row],[BatchMeansHalfWidth]])</f>
        <v>4.9714113556225048E-3</v>
      </c>
    </row>
    <row r="956" spans="1:21" x14ac:dyDescent="0.3">
      <c r="A956" t="s">
        <v>66</v>
      </c>
      <c r="B956" t="s">
        <v>68</v>
      </c>
      <c r="C956">
        <v>25</v>
      </c>
      <c r="D956" t="s">
        <v>100</v>
      </c>
      <c r="E956" t="s">
        <v>96</v>
      </c>
      <c r="F956" t="s">
        <v>95</v>
      </c>
      <c r="G956">
        <v>8.0455639089656295</v>
      </c>
      <c r="H956">
        <v>2E+20</v>
      </c>
      <c r="I956">
        <v>0</v>
      </c>
      <c r="J956">
        <v>20</v>
      </c>
      <c r="K956">
        <v>10</v>
      </c>
      <c r="L956">
        <v>0</v>
      </c>
      <c r="M956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956" s="5" cm="1">
        <f t="array" ref="N956">MAX(IF((ProjectInfoTable[ProjectName]=ContinuousStatsTable[[#This Row],[ProjectName]]),(ProjectInfoTable[ProjectName]=ContinuousStatsTable[[#This Row],[ProjectName]])*ProjectInfoTable[NumberOfReplications]))</f>
        <v>30</v>
      </c>
      <c r="O956" s="5" cm="1">
        <f t="array" ref="O956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956" s="5" cm="1">
        <f t="array" ref="P956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956" s="5" cm="1">
        <f t="array" ref="Q956">MAX(IF((ProjectInfoTable[ProjectName]=ContinuousStatsTable[[#This Row],[ProjectName]]),(ProjectInfoTable[ProjectName]=ContinuousStatsTable[[#This Row],[ProjectName]])*ProjectInfoTable[ConfidenceInterval]))</f>
        <v>0.95</v>
      </c>
      <c r="R9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956" s="5" cm="1">
        <f t="array" ref="S956">MIN(IF((ContinuousStatsTable[GroupByKey]=ContinuousStatsTable[[#This Row],[GroupByKey]]),(ContinuousStatsTable[GroupByKey]=ContinuousStatsTable[[#This Row],[GroupByKey]])*ContinuousStatsTable[Average]))</f>
        <v>7.2424148890626396</v>
      </c>
      <c r="T956" s="5" cm="1">
        <f t="array" ref="T956">MAX(IF((ContinuousStatsTable[GroupByKey]=ContinuousStatsTable[[#This Row],[GroupByKey]]),(ContinuousStatsTable[GroupByKey]=ContinuousStatsTable[[#This Row],[GroupByKey]])*ContinuousStatsTable[Average]))</f>
        <v>9.8046611578275602</v>
      </c>
      <c r="U956" s="5">
        <f>IF((ContinuousStatsTable[[#This Row],[RepsRequested]]&gt;1),ContinuousStatsTable[[#This Row],[HalfWidth]],ContinuousStatsTable[[#This Row],[BatchMeansHalfWidth]])</f>
        <v>0.24857056778112663</v>
      </c>
    </row>
    <row r="957" spans="1:21" x14ac:dyDescent="0.3">
      <c r="A957" t="s">
        <v>66</v>
      </c>
      <c r="B957" t="s">
        <v>68</v>
      </c>
      <c r="C957">
        <v>25</v>
      </c>
      <c r="D957" t="s">
        <v>100</v>
      </c>
      <c r="E957" t="s">
        <v>97</v>
      </c>
      <c r="F957" t="s">
        <v>95</v>
      </c>
      <c r="G957">
        <v>50</v>
      </c>
      <c r="H957">
        <v>2E+20</v>
      </c>
      <c r="I957">
        <v>50</v>
      </c>
      <c r="J957">
        <v>50</v>
      </c>
      <c r="K957">
        <v>50</v>
      </c>
      <c r="L957">
        <v>0</v>
      </c>
      <c r="M957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957" s="5" cm="1">
        <f t="array" ref="N957">MAX(IF((ProjectInfoTable[ProjectName]=ContinuousStatsTable[[#This Row],[ProjectName]]),(ProjectInfoTable[ProjectName]=ContinuousStatsTable[[#This Row],[ProjectName]])*ProjectInfoTable[NumberOfReplications]))</f>
        <v>30</v>
      </c>
      <c r="O957" s="5" cm="1">
        <f t="array" ref="O957">IFERROR(AVERAGE(IF((ContinuousStatsTable[GroupByKey]=ContinuousStatsTable[[#This Row],[GroupByKey]]),(ContinuousStatsTable[GroupByKey]=ContinuousStatsTable[[#This Row],[GroupByKey]])*ContinuousStatsTable[Average])),0)</f>
        <v>50</v>
      </c>
      <c r="P957" s="5" cm="1">
        <f t="array" ref="P957">IFERROR(_xlfn.STDEV.S(IF((ContinuousStatsTable[GroupByKey]=ContinuousStatsTable[[#This Row],[GroupByKey]]),(ContinuousStatsTable[GroupByKey]=ContinuousStatsTable[[#This Row],[GroupByKey]])*ContinuousStatsTable[Average])),0)</f>
        <v>0</v>
      </c>
      <c r="Q957" s="5" cm="1">
        <f t="array" ref="Q957">MAX(IF((ProjectInfoTable[ProjectName]=ContinuousStatsTable[[#This Row],[ProjectName]]),(ProjectInfoTable[ProjectName]=ContinuousStatsTable[[#This Row],[ProjectName]])*ProjectInfoTable[ConfidenceInterval]))</f>
        <v>0.95</v>
      </c>
      <c r="R9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7" s="5" cm="1">
        <f t="array" ref="S957">MIN(IF((ContinuousStatsTable[GroupByKey]=ContinuousStatsTable[[#This Row],[GroupByKey]]),(ContinuousStatsTable[GroupByKey]=ContinuousStatsTable[[#This Row],[GroupByKey]])*ContinuousStatsTable[Average]))</f>
        <v>50</v>
      </c>
      <c r="T957" s="5" cm="1">
        <f t="array" ref="T957">MAX(IF((ContinuousStatsTable[GroupByKey]=ContinuousStatsTable[[#This Row],[GroupByKey]]),(ContinuousStatsTable[GroupByKey]=ContinuousStatsTable[[#This Row],[GroupByKey]])*ContinuousStatsTable[Average]))</f>
        <v>50</v>
      </c>
      <c r="U957" s="5">
        <f>IF((ContinuousStatsTable[[#This Row],[RepsRequested]]&gt;1),ContinuousStatsTable[[#This Row],[HalfWidth]],ContinuousStatsTable[[#This Row],[BatchMeansHalfWidth]])</f>
        <v>0</v>
      </c>
    </row>
    <row r="958" spans="1:21" x14ac:dyDescent="0.3">
      <c r="A958" t="s">
        <v>66</v>
      </c>
      <c r="B958" t="s">
        <v>68</v>
      </c>
      <c r="C958">
        <v>25</v>
      </c>
      <c r="D958" t="s">
        <v>101</v>
      </c>
      <c r="E958" t="s">
        <v>94</v>
      </c>
      <c r="F958" t="s">
        <v>95</v>
      </c>
      <c r="G958">
        <v>8.6095066958714106E-2</v>
      </c>
      <c r="H958">
        <v>2E+20</v>
      </c>
      <c r="I958">
        <v>0</v>
      </c>
      <c r="J958">
        <v>0.33333333333333298</v>
      </c>
      <c r="K958">
        <v>0.133333333333333</v>
      </c>
      <c r="L958">
        <v>0</v>
      </c>
      <c r="M958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958" s="5" cm="1">
        <f t="array" ref="N958">MAX(IF((ProjectInfoTable[ProjectName]=ContinuousStatsTable[[#This Row],[ProjectName]]),(ProjectInfoTable[ProjectName]=ContinuousStatsTable[[#This Row],[ProjectName]])*ProjectInfoTable[NumberOfReplications]))</f>
        <v>30</v>
      </c>
      <c r="O958" s="5" cm="1">
        <f t="array" ref="O958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958" s="5" cm="1">
        <f t="array" ref="P958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958" s="5" cm="1">
        <f t="array" ref="Q958">MAX(IF((ProjectInfoTable[ProjectName]=ContinuousStatsTable[[#This Row],[ProjectName]]),(ProjectInfoTable[ProjectName]=ContinuousStatsTable[[#This Row],[ProjectName]])*ProjectInfoTable[ConfidenceInterval]))</f>
        <v>0.95</v>
      </c>
      <c r="R9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958" s="5" cm="1">
        <f t="array" ref="S958">MIN(IF((ContinuousStatsTable[GroupByKey]=ContinuousStatsTable[[#This Row],[GroupByKey]]),(ContinuousStatsTable[GroupByKey]=ContinuousStatsTable[[#This Row],[GroupByKey]])*ContinuousStatsTable[Average]))</f>
        <v>7.4778736536586704E-2</v>
      </c>
      <c r="T958" s="5" cm="1">
        <f t="array" ref="T958">MAX(IF((ContinuousStatsTable[GroupByKey]=ContinuousStatsTable[[#This Row],[GroupByKey]]),(ContinuousStatsTable[GroupByKey]=ContinuousStatsTable[[#This Row],[GroupByKey]])*ContinuousStatsTable[Average]))</f>
        <v>0.111025455742452</v>
      </c>
      <c r="U958" s="5">
        <f>IF((ContinuousStatsTable[[#This Row],[RepsRequested]]&gt;1),ContinuousStatsTable[[#This Row],[HalfWidth]],ContinuousStatsTable[[#This Row],[BatchMeansHalfWidth]])</f>
        <v>4.1821462690338805E-3</v>
      </c>
    </row>
    <row r="959" spans="1:21" x14ac:dyDescent="0.3">
      <c r="A959" t="s">
        <v>66</v>
      </c>
      <c r="B959" t="s">
        <v>68</v>
      </c>
      <c r="C959">
        <v>25</v>
      </c>
      <c r="D959" t="s">
        <v>101</v>
      </c>
      <c r="E959" t="s">
        <v>96</v>
      </c>
      <c r="F959" t="s">
        <v>95</v>
      </c>
      <c r="G959">
        <v>1.29142600438071</v>
      </c>
      <c r="H959">
        <v>2E+20</v>
      </c>
      <c r="I959">
        <v>0</v>
      </c>
      <c r="J959">
        <v>5</v>
      </c>
      <c r="K959">
        <v>2</v>
      </c>
      <c r="L959">
        <v>0</v>
      </c>
      <c r="M959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959" s="5" cm="1">
        <f t="array" ref="N959">MAX(IF((ProjectInfoTable[ProjectName]=ContinuousStatsTable[[#This Row],[ProjectName]]),(ProjectInfoTable[ProjectName]=ContinuousStatsTable[[#This Row],[ProjectName]])*ProjectInfoTable[NumberOfReplications]))</f>
        <v>30</v>
      </c>
      <c r="O959" s="5" cm="1">
        <f t="array" ref="O959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959" s="5" cm="1">
        <f t="array" ref="P959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959" s="5" cm="1">
        <f t="array" ref="Q959">MAX(IF((ProjectInfoTable[ProjectName]=ContinuousStatsTable[[#This Row],[ProjectName]]),(ProjectInfoTable[ProjectName]=ContinuousStatsTable[[#This Row],[ProjectName]])*ProjectInfoTable[ConfidenceInterval]))</f>
        <v>0.95</v>
      </c>
      <c r="R9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959" s="5" cm="1">
        <f t="array" ref="S959">MIN(IF((ContinuousStatsTable[GroupByKey]=ContinuousStatsTable[[#This Row],[GroupByKey]]),(ContinuousStatsTable[GroupByKey]=ContinuousStatsTable[[#This Row],[GroupByKey]])*ContinuousStatsTable[Average]))</f>
        <v>1.1216810480488</v>
      </c>
      <c r="T959" s="5" cm="1">
        <f t="array" ref="T959">MAX(IF((ContinuousStatsTable[GroupByKey]=ContinuousStatsTable[[#This Row],[GroupByKey]]),(ContinuousStatsTable[GroupByKey]=ContinuousStatsTable[[#This Row],[GroupByKey]])*ContinuousStatsTable[Average]))</f>
        <v>1.66538183613678</v>
      </c>
      <c r="U959" s="5">
        <f>IF((ContinuousStatsTable[[#This Row],[RepsRequested]]&gt;1),ContinuousStatsTable[[#This Row],[HalfWidth]],ContinuousStatsTable[[#This Row],[BatchMeansHalfWidth]])</f>
        <v>6.2732194035507963E-2</v>
      </c>
    </row>
    <row r="960" spans="1:21" x14ac:dyDescent="0.3">
      <c r="A960" t="s">
        <v>66</v>
      </c>
      <c r="B960" t="s">
        <v>68</v>
      </c>
      <c r="C960">
        <v>25</v>
      </c>
      <c r="D960" t="s">
        <v>101</v>
      </c>
      <c r="E960" t="s">
        <v>97</v>
      </c>
      <c r="F960" t="s">
        <v>95</v>
      </c>
      <c r="G960">
        <v>15</v>
      </c>
      <c r="H960">
        <v>2E+20</v>
      </c>
      <c r="I960">
        <v>15</v>
      </c>
      <c r="J960">
        <v>15</v>
      </c>
      <c r="K960">
        <v>15</v>
      </c>
      <c r="L960">
        <v>0</v>
      </c>
      <c r="M960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960" s="5" cm="1">
        <f t="array" ref="N960">MAX(IF((ProjectInfoTable[ProjectName]=ContinuousStatsTable[[#This Row],[ProjectName]]),(ProjectInfoTable[ProjectName]=ContinuousStatsTable[[#This Row],[ProjectName]])*ProjectInfoTable[NumberOfReplications]))</f>
        <v>30</v>
      </c>
      <c r="O960" s="5" cm="1">
        <f t="array" ref="O960">IFERROR(AVERAGE(IF((ContinuousStatsTable[GroupByKey]=ContinuousStatsTable[[#This Row],[GroupByKey]]),(ContinuousStatsTable[GroupByKey]=ContinuousStatsTable[[#This Row],[GroupByKey]])*ContinuousStatsTable[Average])),0)</f>
        <v>15</v>
      </c>
      <c r="P960" s="5" cm="1">
        <f t="array" ref="P960">IFERROR(_xlfn.STDEV.S(IF((ContinuousStatsTable[GroupByKey]=ContinuousStatsTable[[#This Row],[GroupByKey]]),(ContinuousStatsTable[GroupByKey]=ContinuousStatsTable[[#This Row],[GroupByKey]])*ContinuousStatsTable[Average])),0)</f>
        <v>0</v>
      </c>
      <c r="Q960" s="5" cm="1">
        <f t="array" ref="Q960">MAX(IF((ProjectInfoTable[ProjectName]=ContinuousStatsTable[[#This Row],[ProjectName]]),(ProjectInfoTable[ProjectName]=ContinuousStatsTable[[#This Row],[ProjectName]])*ProjectInfoTable[ConfidenceInterval]))</f>
        <v>0.95</v>
      </c>
      <c r="R9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0" s="5" cm="1">
        <f t="array" ref="S960">MIN(IF((ContinuousStatsTable[GroupByKey]=ContinuousStatsTable[[#This Row],[GroupByKey]]),(ContinuousStatsTable[GroupByKey]=ContinuousStatsTable[[#This Row],[GroupByKey]])*ContinuousStatsTable[Average]))</f>
        <v>15</v>
      </c>
      <c r="T960" s="5" cm="1">
        <f t="array" ref="T960">MAX(IF((ContinuousStatsTable[GroupByKey]=ContinuousStatsTable[[#This Row],[GroupByKey]]),(ContinuousStatsTable[GroupByKey]=ContinuousStatsTable[[#This Row],[GroupByKey]])*ContinuousStatsTable[Average]))</f>
        <v>15</v>
      </c>
      <c r="U960" s="5">
        <f>IF((ContinuousStatsTable[[#This Row],[RepsRequested]]&gt;1),ContinuousStatsTable[[#This Row],[HalfWidth]],ContinuousStatsTable[[#This Row],[BatchMeansHalfWidth]])</f>
        <v>0</v>
      </c>
    </row>
    <row r="961" spans="1:21" x14ac:dyDescent="0.3">
      <c r="A961" t="s">
        <v>66</v>
      </c>
      <c r="B961" t="s">
        <v>68</v>
      </c>
      <c r="C961">
        <v>25</v>
      </c>
      <c r="D961" t="s">
        <v>102</v>
      </c>
      <c r="E961" t="s">
        <v>94</v>
      </c>
      <c r="F961" t="s">
        <v>95</v>
      </c>
      <c r="G961">
        <v>0.80923425271381799</v>
      </c>
      <c r="H961">
        <v>2E+20</v>
      </c>
      <c r="I961">
        <v>0</v>
      </c>
      <c r="J961">
        <v>1</v>
      </c>
      <c r="K961">
        <v>1</v>
      </c>
      <c r="L961">
        <v>0</v>
      </c>
      <c r="M961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961" s="5" cm="1">
        <f t="array" ref="N961">MAX(IF((ProjectInfoTable[ProjectName]=ContinuousStatsTable[[#This Row],[ProjectName]]),(ProjectInfoTable[ProjectName]=ContinuousStatsTable[[#This Row],[ProjectName]])*ProjectInfoTable[NumberOfReplications]))</f>
        <v>30</v>
      </c>
      <c r="O961" s="5" cm="1">
        <f t="array" ref="O961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961" s="5" cm="1">
        <f t="array" ref="P961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961" s="5" cm="1">
        <f t="array" ref="Q961">MAX(IF((ProjectInfoTable[ProjectName]=ContinuousStatsTable[[#This Row],[ProjectName]]),(ProjectInfoTable[ProjectName]=ContinuousStatsTable[[#This Row],[ProjectName]])*ProjectInfoTable[ConfidenceInterval]))</f>
        <v>0.95</v>
      </c>
      <c r="R9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961" s="5" cm="1">
        <f t="array" ref="S961">MIN(IF((ContinuousStatsTable[GroupByKey]=ContinuousStatsTable[[#This Row],[GroupByKey]]),(ContinuousStatsTable[GroupByKey]=ContinuousStatsTable[[#This Row],[GroupByKey]])*ContinuousStatsTable[Average]))</f>
        <v>0.73673947391417804</v>
      </c>
      <c r="T961" s="5" cm="1">
        <f t="array" ref="T961">MAX(IF((ContinuousStatsTable[GroupByKey]=ContinuousStatsTable[[#This Row],[GroupByKey]]),(ContinuousStatsTable[GroupByKey]=ContinuousStatsTable[[#This Row],[GroupByKey]])*ContinuousStatsTable[Average]))</f>
        <v>0.90592850818388704</v>
      </c>
      <c r="U961" s="5">
        <f>IF((ContinuousStatsTable[[#This Row],[RepsRequested]]&gt;1),ContinuousStatsTable[[#This Row],[HalfWidth]],ContinuousStatsTable[[#This Row],[BatchMeansHalfWidth]])</f>
        <v>1.8636241798384946E-2</v>
      </c>
    </row>
    <row r="962" spans="1:21" x14ac:dyDescent="0.3">
      <c r="A962" t="s">
        <v>66</v>
      </c>
      <c r="B962" t="s">
        <v>68</v>
      </c>
      <c r="C962">
        <v>25</v>
      </c>
      <c r="D962" t="s">
        <v>102</v>
      </c>
      <c r="E962" t="s">
        <v>96</v>
      </c>
      <c r="F962" t="s">
        <v>95</v>
      </c>
      <c r="G962">
        <v>1.5208219437325701</v>
      </c>
      <c r="H962">
        <v>2E+20</v>
      </c>
      <c r="I962">
        <v>0</v>
      </c>
      <c r="J962">
        <v>3</v>
      </c>
      <c r="K962">
        <v>3</v>
      </c>
      <c r="L962">
        <v>0</v>
      </c>
      <c r="M962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962" s="5" cm="1">
        <f t="array" ref="N962">MAX(IF((ProjectInfoTable[ProjectName]=ContinuousStatsTable[[#This Row],[ProjectName]]),(ProjectInfoTable[ProjectName]=ContinuousStatsTable[[#This Row],[ProjectName]])*ProjectInfoTable[NumberOfReplications]))</f>
        <v>30</v>
      </c>
      <c r="O962" s="5" cm="1">
        <f t="array" ref="O962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962" s="5" cm="1">
        <f t="array" ref="P962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962" s="5" cm="1">
        <f t="array" ref="Q962">MAX(IF((ProjectInfoTable[ProjectName]=ContinuousStatsTable[[#This Row],[ProjectName]]),(ProjectInfoTable[ProjectName]=ContinuousStatsTable[[#This Row],[ProjectName]])*ProjectInfoTable[ConfidenceInterval]))</f>
        <v>0.95</v>
      </c>
      <c r="R9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962" s="5" cm="1">
        <f t="array" ref="S962">MIN(IF((ContinuousStatsTable[GroupByKey]=ContinuousStatsTable[[#This Row],[GroupByKey]]),(ContinuousStatsTable[GroupByKey]=ContinuousStatsTable[[#This Row],[GroupByKey]])*ContinuousStatsTable[Average]))</f>
        <v>1.3726163545041801</v>
      </c>
      <c r="T962" s="5" cm="1">
        <f t="array" ref="T962">MAX(IF((ContinuousStatsTable[GroupByKey]=ContinuousStatsTable[[#This Row],[GroupByKey]]),(ContinuousStatsTable[GroupByKey]=ContinuousStatsTable[[#This Row],[GroupByKey]])*ContinuousStatsTable[Average]))</f>
        <v>1.7968913949876599</v>
      </c>
      <c r="U962" s="5">
        <f>IF((ContinuousStatsTable[[#This Row],[RepsRequested]]&gt;1),ContinuousStatsTable[[#This Row],[HalfWidth]],ContinuousStatsTable[[#This Row],[BatchMeansHalfWidth]])</f>
        <v>4.3123628688677348E-2</v>
      </c>
    </row>
    <row r="963" spans="1:21" x14ac:dyDescent="0.3">
      <c r="A963" t="s">
        <v>66</v>
      </c>
      <c r="B963" t="s">
        <v>68</v>
      </c>
      <c r="C963">
        <v>25</v>
      </c>
      <c r="D963" t="s">
        <v>102</v>
      </c>
      <c r="E963" t="s">
        <v>97</v>
      </c>
      <c r="F963" t="s">
        <v>95</v>
      </c>
      <c r="G963">
        <v>2</v>
      </c>
      <c r="H963">
        <v>2E+20</v>
      </c>
      <c r="I963">
        <v>1</v>
      </c>
      <c r="J963">
        <v>3</v>
      </c>
      <c r="K963">
        <v>1</v>
      </c>
      <c r="L963">
        <v>0</v>
      </c>
      <c r="M963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963" s="5" cm="1">
        <f t="array" ref="N963">MAX(IF((ProjectInfoTable[ProjectName]=ContinuousStatsTable[[#This Row],[ProjectName]]),(ProjectInfoTable[ProjectName]=ContinuousStatsTable[[#This Row],[ProjectName]])*ProjectInfoTable[NumberOfReplications]))</f>
        <v>30</v>
      </c>
      <c r="O963" s="5" cm="1">
        <f t="array" ref="O963">IFERROR(AVERAGE(IF((ContinuousStatsTable[GroupByKey]=ContinuousStatsTable[[#This Row],[GroupByKey]]),(ContinuousStatsTable[GroupByKey]=ContinuousStatsTable[[#This Row],[GroupByKey]])*ContinuousStatsTable[Average])),0)</f>
        <v>2</v>
      </c>
      <c r="P963" s="5" cm="1">
        <f t="array" ref="P963">IFERROR(_xlfn.STDEV.S(IF((ContinuousStatsTable[GroupByKey]=ContinuousStatsTable[[#This Row],[GroupByKey]]),(ContinuousStatsTable[GroupByKey]=ContinuousStatsTable[[#This Row],[GroupByKey]])*ContinuousStatsTable[Average])),0)</f>
        <v>0</v>
      </c>
      <c r="Q963" s="5" cm="1">
        <f t="array" ref="Q963">MAX(IF((ProjectInfoTable[ProjectName]=ContinuousStatsTable[[#This Row],[ProjectName]]),(ProjectInfoTable[ProjectName]=ContinuousStatsTable[[#This Row],[ProjectName]])*ProjectInfoTable[ConfidenceInterval]))</f>
        <v>0.95</v>
      </c>
      <c r="R9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3" s="5" cm="1">
        <f t="array" ref="S963">MIN(IF((ContinuousStatsTable[GroupByKey]=ContinuousStatsTable[[#This Row],[GroupByKey]]),(ContinuousStatsTable[GroupByKey]=ContinuousStatsTable[[#This Row],[GroupByKey]])*ContinuousStatsTable[Average]))</f>
        <v>2</v>
      </c>
      <c r="T963" s="5" cm="1">
        <f t="array" ref="T963">MAX(IF((ContinuousStatsTable[GroupByKey]=ContinuousStatsTable[[#This Row],[GroupByKey]]),(ContinuousStatsTable[GroupByKey]=ContinuousStatsTable[[#This Row],[GroupByKey]])*ContinuousStatsTable[Average]))</f>
        <v>2</v>
      </c>
      <c r="U963" s="5">
        <f>IF((ContinuousStatsTable[[#This Row],[RepsRequested]]&gt;1),ContinuousStatsTable[[#This Row],[HalfWidth]],ContinuousStatsTable[[#This Row],[BatchMeansHalfWidth]])</f>
        <v>0</v>
      </c>
    </row>
    <row r="964" spans="1:21" x14ac:dyDescent="0.3">
      <c r="A964" t="s">
        <v>66</v>
      </c>
      <c r="B964" t="s">
        <v>68</v>
      </c>
      <c r="C964">
        <v>25</v>
      </c>
      <c r="D964" t="s">
        <v>84</v>
      </c>
      <c r="E964" t="s">
        <v>103</v>
      </c>
      <c r="F964" t="s">
        <v>86</v>
      </c>
      <c r="G964">
        <v>46.739459662082503</v>
      </c>
      <c r="H964">
        <v>2E+20</v>
      </c>
      <c r="I964">
        <v>0</v>
      </c>
      <c r="J964">
        <v>71</v>
      </c>
      <c r="K964">
        <v>52</v>
      </c>
      <c r="L964">
        <v>0</v>
      </c>
      <c r="M964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964" s="5" cm="1">
        <f t="array" ref="N964">MAX(IF((ProjectInfoTable[ProjectName]=ContinuousStatsTable[[#This Row],[ProjectName]]),(ProjectInfoTable[ProjectName]=ContinuousStatsTable[[#This Row],[ProjectName]])*ProjectInfoTable[NumberOfReplications]))</f>
        <v>30</v>
      </c>
      <c r="O964" s="5" cm="1">
        <f t="array" ref="O964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964" s="5" cm="1">
        <f t="array" ref="P964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964" s="5" cm="1">
        <f t="array" ref="Q964">MAX(IF((ProjectInfoTable[ProjectName]=ContinuousStatsTable[[#This Row],[ProjectName]]),(ProjectInfoTable[ProjectName]=ContinuousStatsTable[[#This Row],[ProjectName]])*ProjectInfoTable[ConfidenceInterval]))</f>
        <v>0.95</v>
      </c>
      <c r="R9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964" s="5" cm="1">
        <f t="array" ref="S964">MIN(IF((ContinuousStatsTable[GroupByKey]=ContinuousStatsTable[[#This Row],[GroupByKey]]),(ContinuousStatsTable[GroupByKey]=ContinuousStatsTable[[#This Row],[GroupByKey]])*ContinuousStatsTable[Average]))</f>
        <v>36.709886237305</v>
      </c>
      <c r="T964" s="5" cm="1">
        <f t="array" ref="T964">MAX(IF((ContinuousStatsTable[GroupByKey]=ContinuousStatsTable[[#This Row],[GroupByKey]]),(ContinuousStatsTable[GroupByKey]=ContinuousStatsTable[[#This Row],[GroupByKey]])*ContinuousStatsTable[Average]))</f>
        <v>84.594951996708403</v>
      </c>
      <c r="U964" s="5">
        <f>IF((ContinuousStatsTable[[#This Row],[RepsRequested]]&gt;1),ContinuousStatsTable[[#This Row],[HalfWidth]],ContinuousStatsTable[[#This Row],[BatchMeansHalfWidth]])</f>
        <v>4.0384933567271259</v>
      </c>
    </row>
    <row r="965" spans="1:21" x14ac:dyDescent="0.3">
      <c r="A965" t="s">
        <v>66</v>
      </c>
      <c r="B965" t="s">
        <v>68</v>
      </c>
      <c r="C965">
        <v>25</v>
      </c>
      <c r="D965" t="s">
        <v>104</v>
      </c>
      <c r="E965" t="s">
        <v>94</v>
      </c>
      <c r="F965" t="s">
        <v>95</v>
      </c>
      <c r="G965">
        <v>0</v>
      </c>
      <c r="H965">
        <v>2E+20</v>
      </c>
      <c r="I965">
        <v>0</v>
      </c>
      <c r="J965">
        <v>0</v>
      </c>
      <c r="K965">
        <v>0</v>
      </c>
      <c r="L965">
        <v>0</v>
      </c>
      <c r="M965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965" s="5" cm="1">
        <f t="array" ref="N965">MAX(IF((ProjectInfoTable[ProjectName]=ContinuousStatsTable[[#This Row],[ProjectName]]),(ProjectInfoTable[ProjectName]=ContinuousStatsTable[[#This Row],[ProjectName]])*ProjectInfoTable[NumberOfReplications]))</f>
        <v>30</v>
      </c>
      <c r="O965" s="5" cm="1">
        <f t="array" ref="O965">IFERROR(AVERAGE(IF((ContinuousStatsTable[GroupByKey]=ContinuousStatsTable[[#This Row],[GroupByKey]]),(ContinuousStatsTable[GroupByKey]=ContinuousStatsTable[[#This Row],[GroupByKey]])*ContinuousStatsTable[Average])),0)</f>
        <v>0</v>
      </c>
      <c r="P965" s="5" cm="1">
        <f t="array" ref="P965">IFERROR(_xlfn.STDEV.S(IF((ContinuousStatsTable[GroupByKey]=ContinuousStatsTable[[#This Row],[GroupByKey]]),(ContinuousStatsTable[GroupByKey]=ContinuousStatsTable[[#This Row],[GroupByKey]])*ContinuousStatsTable[Average])),0)</f>
        <v>0</v>
      </c>
      <c r="Q965" s="5" cm="1">
        <f t="array" ref="Q965">MAX(IF((ProjectInfoTable[ProjectName]=ContinuousStatsTable[[#This Row],[ProjectName]]),(ProjectInfoTable[ProjectName]=ContinuousStatsTable[[#This Row],[ProjectName]])*ProjectInfoTable[ConfidenceInterval]))</f>
        <v>0.95</v>
      </c>
      <c r="R9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5" s="5" cm="1">
        <f t="array" ref="S965">MIN(IF((ContinuousStatsTable[GroupByKey]=ContinuousStatsTable[[#This Row],[GroupByKey]]),(ContinuousStatsTable[GroupByKey]=ContinuousStatsTable[[#This Row],[GroupByKey]])*ContinuousStatsTable[Average]))</f>
        <v>0</v>
      </c>
      <c r="T965" s="5" cm="1">
        <f t="array" ref="T965">MAX(IF((ContinuousStatsTable[GroupByKey]=ContinuousStatsTable[[#This Row],[GroupByKey]]),(ContinuousStatsTable[GroupByKey]=ContinuousStatsTable[[#This Row],[GroupByKey]])*ContinuousStatsTable[Average]))</f>
        <v>0</v>
      </c>
      <c r="U965" s="5">
        <f>IF((ContinuousStatsTable[[#This Row],[RepsRequested]]&gt;1),ContinuousStatsTable[[#This Row],[HalfWidth]],ContinuousStatsTable[[#This Row],[BatchMeansHalfWidth]])</f>
        <v>0</v>
      </c>
    </row>
    <row r="966" spans="1:21" x14ac:dyDescent="0.3">
      <c r="A966" t="s">
        <v>66</v>
      </c>
      <c r="B966" t="s">
        <v>68</v>
      </c>
      <c r="C966">
        <v>25</v>
      </c>
      <c r="D966" t="s">
        <v>104</v>
      </c>
      <c r="E966" t="s">
        <v>96</v>
      </c>
      <c r="F966" t="s">
        <v>95</v>
      </c>
      <c r="G966">
        <v>0</v>
      </c>
      <c r="H966">
        <v>2E+20</v>
      </c>
      <c r="I966">
        <v>0</v>
      </c>
      <c r="J966">
        <v>0</v>
      </c>
      <c r="K966">
        <v>0</v>
      </c>
      <c r="L966">
        <v>0</v>
      </c>
      <c r="M966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966" s="5" cm="1">
        <f t="array" ref="N966">MAX(IF((ProjectInfoTable[ProjectName]=ContinuousStatsTable[[#This Row],[ProjectName]]),(ProjectInfoTable[ProjectName]=ContinuousStatsTable[[#This Row],[ProjectName]])*ProjectInfoTable[NumberOfReplications]))</f>
        <v>30</v>
      </c>
      <c r="O966" s="5" cm="1">
        <f t="array" ref="O966">IFERROR(AVERAGE(IF((ContinuousStatsTable[GroupByKey]=ContinuousStatsTable[[#This Row],[GroupByKey]]),(ContinuousStatsTable[GroupByKey]=ContinuousStatsTable[[#This Row],[GroupByKey]])*ContinuousStatsTable[Average])),0)</f>
        <v>0</v>
      </c>
      <c r="P966" s="5" cm="1">
        <f t="array" ref="P966">IFERROR(_xlfn.STDEV.S(IF((ContinuousStatsTable[GroupByKey]=ContinuousStatsTable[[#This Row],[GroupByKey]]),(ContinuousStatsTable[GroupByKey]=ContinuousStatsTable[[#This Row],[GroupByKey]])*ContinuousStatsTable[Average])),0)</f>
        <v>0</v>
      </c>
      <c r="Q966" s="5" cm="1">
        <f t="array" ref="Q966">MAX(IF((ProjectInfoTable[ProjectName]=ContinuousStatsTable[[#This Row],[ProjectName]]),(ProjectInfoTable[ProjectName]=ContinuousStatsTable[[#This Row],[ProjectName]])*ProjectInfoTable[ConfidenceInterval]))</f>
        <v>0.95</v>
      </c>
      <c r="R9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6" s="5" cm="1">
        <f t="array" ref="S966">MIN(IF((ContinuousStatsTable[GroupByKey]=ContinuousStatsTable[[#This Row],[GroupByKey]]),(ContinuousStatsTable[GroupByKey]=ContinuousStatsTable[[#This Row],[GroupByKey]])*ContinuousStatsTable[Average]))</f>
        <v>0</v>
      </c>
      <c r="T966" s="5" cm="1">
        <f t="array" ref="T966">MAX(IF((ContinuousStatsTable[GroupByKey]=ContinuousStatsTable[[#This Row],[GroupByKey]]),(ContinuousStatsTable[GroupByKey]=ContinuousStatsTable[[#This Row],[GroupByKey]])*ContinuousStatsTable[Average]))</f>
        <v>0</v>
      </c>
      <c r="U966" s="5">
        <f>IF((ContinuousStatsTable[[#This Row],[RepsRequested]]&gt;1),ContinuousStatsTable[[#This Row],[HalfWidth]],ContinuousStatsTable[[#This Row],[BatchMeansHalfWidth]])</f>
        <v>0</v>
      </c>
    </row>
    <row r="967" spans="1:21" x14ac:dyDescent="0.3">
      <c r="A967" t="s">
        <v>66</v>
      </c>
      <c r="B967" t="s">
        <v>68</v>
      </c>
      <c r="C967">
        <v>25</v>
      </c>
      <c r="D967" t="s">
        <v>104</v>
      </c>
      <c r="E967" t="s">
        <v>97</v>
      </c>
      <c r="F967" t="s">
        <v>95</v>
      </c>
      <c r="G967">
        <v>3</v>
      </c>
      <c r="H967">
        <v>2E+20</v>
      </c>
      <c r="I967">
        <v>3</v>
      </c>
      <c r="J967">
        <v>3</v>
      </c>
      <c r="K967">
        <v>3</v>
      </c>
      <c r="L967">
        <v>0</v>
      </c>
      <c r="M967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967" s="5" cm="1">
        <f t="array" ref="N967">MAX(IF((ProjectInfoTable[ProjectName]=ContinuousStatsTable[[#This Row],[ProjectName]]),(ProjectInfoTable[ProjectName]=ContinuousStatsTable[[#This Row],[ProjectName]])*ProjectInfoTable[NumberOfReplications]))</f>
        <v>30</v>
      </c>
      <c r="O967" s="5" cm="1">
        <f t="array" ref="O967">IFERROR(AVERAGE(IF((ContinuousStatsTable[GroupByKey]=ContinuousStatsTable[[#This Row],[GroupByKey]]),(ContinuousStatsTable[GroupByKey]=ContinuousStatsTable[[#This Row],[GroupByKey]])*ContinuousStatsTable[Average])),0)</f>
        <v>3</v>
      </c>
      <c r="P967" s="5" cm="1">
        <f t="array" ref="P967">IFERROR(_xlfn.STDEV.S(IF((ContinuousStatsTable[GroupByKey]=ContinuousStatsTable[[#This Row],[GroupByKey]]),(ContinuousStatsTable[GroupByKey]=ContinuousStatsTable[[#This Row],[GroupByKey]])*ContinuousStatsTable[Average])),0)</f>
        <v>0</v>
      </c>
      <c r="Q967" s="5" cm="1">
        <f t="array" ref="Q967">MAX(IF((ProjectInfoTable[ProjectName]=ContinuousStatsTable[[#This Row],[ProjectName]]),(ProjectInfoTable[ProjectName]=ContinuousStatsTable[[#This Row],[ProjectName]])*ProjectInfoTable[ConfidenceInterval]))</f>
        <v>0.95</v>
      </c>
      <c r="R9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7" s="5" cm="1">
        <f t="array" ref="S967">MIN(IF((ContinuousStatsTable[GroupByKey]=ContinuousStatsTable[[#This Row],[GroupByKey]]),(ContinuousStatsTable[GroupByKey]=ContinuousStatsTable[[#This Row],[GroupByKey]])*ContinuousStatsTable[Average]))</f>
        <v>3</v>
      </c>
      <c r="T967" s="5" cm="1">
        <f t="array" ref="T967">MAX(IF((ContinuousStatsTable[GroupByKey]=ContinuousStatsTable[[#This Row],[GroupByKey]]),(ContinuousStatsTable[GroupByKey]=ContinuousStatsTable[[#This Row],[GroupByKey]])*ContinuousStatsTable[Average]))</f>
        <v>3</v>
      </c>
      <c r="U967" s="5">
        <f>IF((ContinuousStatsTable[[#This Row],[RepsRequested]]&gt;1),ContinuousStatsTable[[#This Row],[HalfWidth]],ContinuousStatsTable[[#This Row],[BatchMeansHalfWidth]])</f>
        <v>0</v>
      </c>
    </row>
    <row r="968" spans="1:21" x14ac:dyDescent="0.3">
      <c r="A968" t="s">
        <v>66</v>
      </c>
      <c r="B968" t="s">
        <v>68</v>
      </c>
      <c r="C968">
        <v>25</v>
      </c>
      <c r="D968" t="s">
        <v>105</v>
      </c>
      <c r="E968" t="s">
        <v>94</v>
      </c>
      <c r="F968" t="s">
        <v>95</v>
      </c>
      <c r="G968">
        <v>0.78667152568139198</v>
      </c>
      <c r="H968">
        <v>2E+20</v>
      </c>
      <c r="I968">
        <v>0</v>
      </c>
      <c r="J968">
        <v>1</v>
      </c>
      <c r="K968">
        <v>0</v>
      </c>
      <c r="L968">
        <v>0</v>
      </c>
      <c r="M968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968" s="5" cm="1">
        <f t="array" ref="N968">MAX(IF((ProjectInfoTable[ProjectName]=ContinuousStatsTable[[#This Row],[ProjectName]]),(ProjectInfoTable[ProjectName]=ContinuousStatsTable[[#This Row],[ProjectName]])*ProjectInfoTable[NumberOfReplications]))</f>
        <v>30</v>
      </c>
      <c r="O968" s="5" cm="1">
        <f t="array" ref="O968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968" s="5" cm="1">
        <f t="array" ref="P968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968" s="5" cm="1">
        <f t="array" ref="Q968">MAX(IF((ProjectInfoTable[ProjectName]=ContinuousStatsTable[[#This Row],[ProjectName]]),(ProjectInfoTable[ProjectName]=ContinuousStatsTable[[#This Row],[ProjectName]])*ProjectInfoTable[ConfidenceInterval]))</f>
        <v>0.95</v>
      </c>
      <c r="R9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968" s="5" cm="1">
        <f t="array" ref="S968">MIN(IF((ContinuousStatsTable[GroupByKey]=ContinuousStatsTable[[#This Row],[GroupByKey]]),(ContinuousStatsTable[GroupByKey]=ContinuousStatsTable[[#This Row],[GroupByKey]])*ContinuousStatsTable[Average]))</f>
        <v>0.634589476164233</v>
      </c>
      <c r="T968" s="5" cm="1">
        <f t="array" ref="T968">MAX(IF((ContinuousStatsTable[GroupByKey]=ContinuousStatsTable[[#This Row],[GroupByKey]]),(ContinuousStatsTable[GroupByKey]=ContinuousStatsTable[[#This Row],[GroupByKey]])*ContinuousStatsTable[Average]))</f>
        <v>0.99383259650362799</v>
      </c>
      <c r="U968" s="5">
        <f>IF((ContinuousStatsTable[[#This Row],[RepsRequested]]&gt;1),ContinuousStatsTable[[#This Row],[HalfWidth]],ContinuousStatsTable[[#This Row],[BatchMeansHalfWidth]])</f>
        <v>3.9940526897700258E-2</v>
      </c>
    </row>
    <row r="969" spans="1:21" x14ac:dyDescent="0.3">
      <c r="A969" t="s">
        <v>66</v>
      </c>
      <c r="B969" t="s">
        <v>68</v>
      </c>
      <c r="C969">
        <v>25</v>
      </c>
      <c r="D969" t="s">
        <v>105</v>
      </c>
      <c r="E969" t="s">
        <v>96</v>
      </c>
      <c r="F969" t="s">
        <v>95</v>
      </c>
      <c r="G969">
        <v>0.78667152568139198</v>
      </c>
      <c r="H969">
        <v>2E+20</v>
      </c>
      <c r="I969">
        <v>0</v>
      </c>
      <c r="J969">
        <v>1</v>
      </c>
      <c r="K969">
        <v>0</v>
      </c>
      <c r="L969">
        <v>0</v>
      </c>
      <c r="M969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969" s="5" cm="1">
        <f t="array" ref="N969">MAX(IF((ProjectInfoTable[ProjectName]=ContinuousStatsTable[[#This Row],[ProjectName]]),(ProjectInfoTable[ProjectName]=ContinuousStatsTable[[#This Row],[ProjectName]])*ProjectInfoTable[NumberOfReplications]))</f>
        <v>30</v>
      </c>
      <c r="O969" s="5" cm="1">
        <f t="array" ref="O969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969" s="5" cm="1">
        <f t="array" ref="P969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969" s="5" cm="1">
        <f t="array" ref="Q969">MAX(IF((ProjectInfoTable[ProjectName]=ContinuousStatsTable[[#This Row],[ProjectName]]),(ProjectInfoTable[ProjectName]=ContinuousStatsTable[[#This Row],[ProjectName]])*ProjectInfoTable[ConfidenceInterval]))</f>
        <v>0.95</v>
      </c>
      <c r="R9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969" s="5" cm="1">
        <f t="array" ref="S969">MIN(IF((ContinuousStatsTable[GroupByKey]=ContinuousStatsTable[[#This Row],[GroupByKey]]),(ContinuousStatsTable[GroupByKey]=ContinuousStatsTable[[#This Row],[GroupByKey]])*ContinuousStatsTable[Average]))</f>
        <v>0.634589476164233</v>
      </c>
      <c r="T969" s="5" cm="1">
        <f t="array" ref="T969">MAX(IF((ContinuousStatsTable[GroupByKey]=ContinuousStatsTable[[#This Row],[GroupByKey]]),(ContinuousStatsTable[GroupByKey]=ContinuousStatsTable[[#This Row],[GroupByKey]])*ContinuousStatsTable[Average]))</f>
        <v>0.99383259650362799</v>
      </c>
      <c r="U969" s="5">
        <f>IF((ContinuousStatsTable[[#This Row],[RepsRequested]]&gt;1),ContinuousStatsTable[[#This Row],[HalfWidth]],ContinuousStatsTable[[#This Row],[BatchMeansHalfWidth]])</f>
        <v>3.9940526897700258E-2</v>
      </c>
    </row>
    <row r="970" spans="1:21" x14ac:dyDescent="0.3">
      <c r="A970" t="s">
        <v>66</v>
      </c>
      <c r="B970" t="s">
        <v>68</v>
      </c>
      <c r="C970">
        <v>25</v>
      </c>
      <c r="D970" t="s">
        <v>105</v>
      </c>
      <c r="E970" t="s">
        <v>97</v>
      </c>
      <c r="F970" t="s">
        <v>95</v>
      </c>
      <c r="G970">
        <v>1</v>
      </c>
      <c r="H970">
        <v>2E+20</v>
      </c>
      <c r="I970">
        <v>1</v>
      </c>
      <c r="J970">
        <v>1</v>
      </c>
      <c r="K970">
        <v>1</v>
      </c>
      <c r="L970">
        <v>0</v>
      </c>
      <c r="M970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970" s="5" cm="1">
        <f t="array" ref="N970">MAX(IF((ProjectInfoTable[ProjectName]=ContinuousStatsTable[[#This Row],[ProjectName]]),(ProjectInfoTable[ProjectName]=ContinuousStatsTable[[#This Row],[ProjectName]])*ProjectInfoTable[NumberOfReplications]))</f>
        <v>30</v>
      </c>
      <c r="O970" s="5" cm="1">
        <f t="array" ref="O970">IFERROR(AVERAGE(IF((ContinuousStatsTable[GroupByKey]=ContinuousStatsTable[[#This Row],[GroupByKey]]),(ContinuousStatsTable[GroupByKey]=ContinuousStatsTable[[#This Row],[GroupByKey]])*ContinuousStatsTable[Average])),0)</f>
        <v>1</v>
      </c>
      <c r="P970" s="5" cm="1">
        <f t="array" ref="P970">IFERROR(_xlfn.STDEV.S(IF((ContinuousStatsTable[GroupByKey]=ContinuousStatsTable[[#This Row],[GroupByKey]]),(ContinuousStatsTable[GroupByKey]=ContinuousStatsTable[[#This Row],[GroupByKey]])*ContinuousStatsTable[Average])),0)</f>
        <v>0</v>
      </c>
      <c r="Q970" s="5" cm="1">
        <f t="array" ref="Q970">MAX(IF((ProjectInfoTable[ProjectName]=ContinuousStatsTable[[#This Row],[ProjectName]]),(ProjectInfoTable[ProjectName]=ContinuousStatsTable[[#This Row],[ProjectName]])*ProjectInfoTable[ConfidenceInterval]))</f>
        <v>0.95</v>
      </c>
      <c r="R9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0" s="5" cm="1">
        <f t="array" ref="S970">MIN(IF((ContinuousStatsTable[GroupByKey]=ContinuousStatsTable[[#This Row],[GroupByKey]]),(ContinuousStatsTable[GroupByKey]=ContinuousStatsTable[[#This Row],[GroupByKey]])*ContinuousStatsTable[Average]))</f>
        <v>1</v>
      </c>
      <c r="T970" s="5" cm="1">
        <f t="array" ref="T970">MAX(IF((ContinuousStatsTable[GroupByKey]=ContinuousStatsTable[[#This Row],[GroupByKey]]),(ContinuousStatsTable[GroupByKey]=ContinuousStatsTable[[#This Row],[GroupByKey]])*ContinuousStatsTable[Average]))</f>
        <v>1</v>
      </c>
      <c r="U970" s="5">
        <f>IF((ContinuousStatsTable[[#This Row],[RepsRequested]]&gt;1),ContinuousStatsTable[[#This Row],[HalfWidth]],ContinuousStatsTable[[#This Row],[BatchMeansHalfWidth]])</f>
        <v>0</v>
      </c>
    </row>
    <row r="971" spans="1:21" x14ac:dyDescent="0.3">
      <c r="A971" t="s">
        <v>66</v>
      </c>
      <c r="B971" t="s">
        <v>68</v>
      </c>
      <c r="C971">
        <v>25</v>
      </c>
      <c r="D971" t="s">
        <v>106</v>
      </c>
      <c r="E971" t="s">
        <v>94</v>
      </c>
      <c r="F971" t="s">
        <v>95</v>
      </c>
      <c r="G971">
        <v>0.85274105820123502</v>
      </c>
      <c r="H971">
        <v>2E+20</v>
      </c>
      <c r="I971">
        <v>0</v>
      </c>
      <c r="J971">
        <v>1</v>
      </c>
      <c r="K971">
        <v>1</v>
      </c>
      <c r="L971">
        <v>0</v>
      </c>
      <c r="M971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971" s="5" cm="1">
        <f t="array" ref="N971">MAX(IF((ProjectInfoTable[ProjectName]=ContinuousStatsTable[[#This Row],[ProjectName]]),(ProjectInfoTable[ProjectName]=ContinuousStatsTable[[#This Row],[ProjectName]])*ProjectInfoTable[NumberOfReplications]))</f>
        <v>30</v>
      </c>
      <c r="O971" s="5" cm="1">
        <f t="array" ref="O971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971" s="5" cm="1">
        <f t="array" ref="P971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971" s="5" cm="1">
        <f t="array" ref="Q971">MAX(IF((ProjectInfoTable[ProjectName]=ContinuousStatsTable[[#This Row],[ProjectName]]),(ProjectInfoTable[ProjectName]=ContinuousStatsTable[[#This Row],[ProjectName]])*ProjectInfoTable[ConfidenceInterval]))</f>
        <v>0.95</v>
      </c>
      <c r="R9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971" s="5" cm="1">
        <f t="array" ref="S971">MIN(IF((ContinuousStatsTable[GroupByKey]=ContinuousStatsTable[[#This Row],[GroupByKey]]),(ContinuousStatsTable[GroupByKey]=ContinuousStatsTable[[#This Row],[GroupByKey]])*ContinuousStatsTable[Average]))</f>
        <v>0.74061105631083801</v>
      </c>
      <c r="T971" s="5" cm="1">
        <f t="array" ref="T971">MAX(IF((ContinuousStatsTable[GroupByKey]=ContinuousStatsTable[[#This Row],[GroupByKey]]),(ContinuousStatsTable[GroupByKey]=ContinuousStatsTable[[#This Row],[GroupByKey]])*ContinuousStatsTable[Average]))</f>
        <v>0.99245161744166299</v>
      </c>
      <c r="U971" s="5">
        <f>IF((ContinuousStatsTable[[#This Row],[RepsRequested]]&gt;1),ContinuousStatsTable[[#This Row],[HalfWidth]],ContinuousStatsTable[[#This Row],[BatchMeansHalfWidth]])</f>
        <v>2.8912497794626357E-2</v>
      </c>
    </row>
    <row r="972" spans="1:21" x14ac:dyDescent="0.3">
      <c r="A972" t="s">
        <v>66</v>
      </c>
      <c r="B972" t="s">
        <v>68</v>
      </c>
      <c r="C972">
        <v>25</v>
      </c>
      <c r="D972" t="s">
        <v>106</v>
      </c>
      <c r="E972" t="s">
        <v>96</v>
      </c>
      <c r="F972" t="s">
        <v>95</v>
      </c>
      <c r="G972">
        <v>0.85274105820123502</v>
      </c>
      <c r="H972">
        <v>2E+20</v>
      </c>
      <c r="I972">
        <v>0</v>
      </c>
      <c r="J972">
        <v>1</v>
      </c>
      <c r="K972">
        <v>1</v>
      </c>
      <c r="L972">
        <v>0</v>
      </c>
      <c r="M972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972" s="5" cm="1">
        <f t="array" ref="N972">MAX(IF((ProjectInfoTable[ProjectName]=ContinuousStatsTable[[#This Row],[ProjectName]]),(ProjectInfoTable[ProjectName]=ContinuousStatsTable[[#This Row],[ProjectName]])*ProjectInfoTable[NumberOfReplications]))</f>
        <v>30</v>
      </c>
      <c r="O972" s="5" cm="1">
        <f t="array" ref="O972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972" s="5" cm="1">
        <f t="array" ref="P972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972" s="5" cm="1">
        <f t="array" ref="Q972">MAX(IF((ProjectInfoTable[ProjectName]=ContinuousStatsTable[[#This Row],[ProjectName]]),(ProjectInfoTable[ProjectName]=ContinuousStatsTable[[#This Row],[ProjectName]])*ProjectInfoTable[ConfidenceInterval]))</f>
        <v>0.95</v>
      </c>
      <c r="R9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972" s="5" cm="1">
        <f t="array" ref="S972">MIN(IF((ContinuousStatsTable[GroupByKey]=ContinuousStatsTable[[#This Row],[GroupByKey]]),(ContinuousStatsTable[GroupByKey]=ContinuousStatsTable[[#This Row],[GroupByKey]])*ContinuousStatsTable[Average]))</f>
        <v>0.74061105631083801</v>
      </c>
      <c r="T972" s="5" cm="1">
        <f t="array" ref="T972">MAX(IF((ContinuousStatsTable[GroupByKey]=ContinuousStatsTable[[#This Row],[GroupByKey]]),(ContinuousStatsTable[GroupByKey]=ContinuousStatsTable[[#This Row],[GroupByKey]])*ContinuousStatsTable[Average]))</f>
        <v>0.99245161744166299</v>
      </c>
      <c r="U972" s="5">
        <f>IF((ContinuousStatsTable[[#This Row],[RepsRequested]]&gt;1),ContinuousStatsTable[[#This Row],[HalfWidth]],ContinuousStatsTable[[#This Row],[BatchMeansHalfWidth]])</f>
        <v>2.8912497794626357E-2</v>
      </c>
    </row>
    <row r="973" spans="1:21" x14ac:dyDescent="0.3">
      <c r="A973" t="s">
        <v>66</v>
      </c>
      <c r="B973" t="s">
        <v>68</v>
      </c>
      <c r="C973">
        <v>25</v>
      </c>
      <c r="D973" t="s">
        <v>106</v>
      </c>
      <c r="E973" t="s">
        <v>97</v>
      </c>
      <c r="F973" t="s">
        <v>95</v>
      </c>
      <c r="G973">
        <v>1</v>
      </c>
      <c r="H973">
        <v>2E+20</v>
      </c>
      <c r="I973">
        <v>1</v>
      </c>
      <c r="J973">
        <v>1</v>
      </c>
      <c r="K973">
        <v>1</v>
      </c>
      <c r="L973">
        <v>0</v>
      </c>
      <c r="M973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973" s="5" cm="1">
        <f t="array" ref="N973">MAX(IF((ProjectInfoTable[ProjectName]=ContinuousStatsTable[[#This Row],[ProjectName]]),(ProjectInfoTable[ProjectName]=ContinuousStatsTable[[#This Row],[ProjectName]])*ProjectInfoTable[NumberOfReplications]))</f>
        <v>30</v>
      </c>
      <c r="O973" s="5" cm="1">
        <f t="array" ref="O973">IFERROR(AVERAGE(IF((ContinuousStatsTable[GroupByKey]=ContinuousStatsTable[[#This Row],[GroupByKey]]),(ContinuousStatsTable[GroupByKey]=ContinuousStatsTable[[#This Row],[GroupByKey]])*ContinuousStatsTable[Average])),0)</f>
        <v>1</v>
      </c>
      <c r="P973" s="5" cm="1">
        <f t="array" ref="P973">IFERROR(_xlfn.STDEV.S(IF((ContinuousStatsTable[GroupByKey]=ContinuousStatsTable[[#This Row],[GroupByKey]]),(ContinuousStatsTable[GroupByKey]=ContinuousStatsTable[[#This Row],[GroupByKey]])*ContinuousStatsTable[Average])),0)</f>
        <v>0</v>
      </c>
      <c r="Q973" s="5" cm="1">
        <f t="array" ref="Q973">MAX(IF((ProjectInfoTable[ProjectName]=ContinuousStatsTable[[#This Row],[ProjectName]]),(ProjectInfoTable[ProjectName]=ContinuousStatsTable[[#This Row],[ProjectName]])*ProjectInfoTable[ConfidenceInterval]))</f>
        <v>0.95</v>
      </c>
      <c r="R9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3" s="5" cm="1">
        <f t="array" ref="S973">MIN(IF((ContinuousStatsTable[GroupByKey]=ContinuousStatsTable[[#This Row],[GroupByKey]]),(ContinuousStatsTable[GroupByKey]=ContinuousStatsTable[[#This Row],[GroupByKey]])*ContinuousStatsTable[Average]))</f>
        <v>1</v>
      </c>
      <c r="T973" s="5" cm="1">
        <f t="array" ref="T973">MAX(IF((ContinuousStatsTable[GroupByKey]=ContinuousStatsTable[[#This Row],[GroupByKey]]),(ContinuousStatsTable[GroupByKey]=ContinuousStatsTable[[#This Row],[GroupByKey]])*ContinuousStatsTable[Average]))</f>
        <v>1</v>
      </c>
      <c r="U973" s="5">
        <f>IF((ContinuousStatsTable[[#This Row],[RepsRequested]]&gt;1),ContinuousStatsTable[[#This Row],[HalfWidth]],ContinuousStatsTable[[#This Row],[BatchMeansHalfWidth]])</f>
        <v>0</v>
      </c>
    </row>
    <row r="974" spans="1:21" x14ac:dyDescent="0.3">
      <c r="A974" t="s">
        <v>66</v>
      </c>
      <c r="B974" t="s">
        <v>68</v>
      </c>
      <c r="C974">
        <v>25</v>
      </c>
      <c r="D974" t="s">
        <v>107</v>
      </c>
      <c r="E974" t="s">
        <v>94</v>
      </c>
      <c r="F974" t="s">
        <v>95</v>
      </c>
      <c r="G974">
        <v>0.90400263344126597</v>
      </c>
      <c r="H974">
        <v>2E+20</v>
      </c>
      <c r="I974">
        <v>0</v>
      </c>
      <c r="J974">
        <v>1</v>
      </c>
      <c r="K974">
        <v>1</v>
      </c>
      <c r="L974">
        <v>0</v>
      </c>
      <c r="M974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974" s="5" cm="1">
        <f t="array" ref="N974">MAX(IF((ProjectInfoTable[ProjectName]=ContinuousStatsTable[[#This Row],[ProjectName]]),(ProjectInfoTable[ProjectName]=ContinuousStatsTable[[#This Row],[ProjectName]])*ProjectInfoTable[NumberOfReplications]))</f>
        <v>30</v>
      </c>
      <c r="O974" s="5" cm="1">
        <f t="array" ref="O974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974" s="5" cm="1">
        <f t="array" ref="P974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974" s="5" cm="1">
        <f t="array" ref="Q974">MAX(IF((ProjectInfoTable[ProjectName]=ContinuousStatsTable[[#This Row],[ProjectName]]),(ProjectInfoTable[ProjectName]=ContinuousStatsTable[[#This Row],[ProjectName]])*ProjectInfoTable[ConfidenceInterval]))</f>
        <v>0.95</v>
      </c>
      <c r="R9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974" s="5" cm="1">
        <f t="array" ref="S974">MIN(IF((ContinuousStatsTable[GroupByKey]=ContinuousStatsTable[[#This Row],[GroupByKey]]),(ContinuousStatsTable[GroupByKey]=ContinuousStatsTable[[#This Row],[GroupByKey]])*ContinuousStatsTable[Average]))</f>
        <v>0.73843386001690303</v>
      </c>
      <c r="T974" s="5" cm="1">
        <f t="array" ref="T974">MAX(IF((ContinuousStatsTable[GroupByKey]=ContinuousStatsTable[[#This Row],[GroupByKey]]),(ContinuousStatsTable[GroupByKey]=ContinuousStatsTable[[#This Row],[GroupByKey]])*ContinuousStatsTable[Average]))</f>
        <v>0.99245161744166299</v>
      </c>
      <c r="U974" s="5">
        <f>IF((ContinuousStatsTable[[#This Row],[RepsRequested]]&gt;1),ContinuousStatsTable[[#This Row],[HalfWidth]],ContinuousStatsTable[[#This Row],[BatchMeansHalfWidth]])</f>
        <v>2.6057642646860522E-2</v>
      </c>
    </row>
    <row r="975" spans="1:21" x14ac:dyDescent="0.3">
      <c r="A975" t="s">
        <v>66</v>
      </c>
      <c r="B975" t="s">
        <v>68</v>
      </c>
      <c r="C975">
        <v>25</v>
      </c>
      <c r="D975" t="s">
        <v>107</v>
      </c>
      <c r="E975" t="s">
        <v>96</v>
      </c>
      <c r="F975" t="s">
        <v>95</v>
      </c>
      <c r="G975">
        <v>0.90400263344126597</v>
      </c>
      <c r="H975">
        <v>2E+20</v>
      </c>
      <c r="I975">
        <v>0</v>
      </c>
      <c r="J975">
        <v>1</v>
      </c>
      <c r="K975">
        <v>1</v>
      </c>
      <c r="L975">
        <v>0</v>
      </c>
      <c r="M975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975" s="5" cm="1">
        <f t="array" ref="N975">MAX(IF((ProjectInfoTable[ProjectName]=ContinuousStatsTable[[#This Row],[ProjectName]]),(ProjectInfoTable[ProjectName]=ContinuousStatsTable[[#This Row],[ProjectName]])*ProjectInfoTable[NumberOfReplications]))</f>
        <v>30</v>
      </c>
      <c r="O975" s="5" cm="1">
        <f t="array" ref="O975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975" s="5" cm="1">
        <f t="array" ref="P975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975" s="5" cm="1">
        <f t="array" ref="Q975">MAX(IF((ProjectInfoTable[ProjectName]=ContinuousStatsTable[[#This Row],[ProjectName]]),(ProjectInfoTable[ProjectName]=ContinuousStatsTable[[#This Row],[ProjectName]])*ProjectInfoTable[ConfidenceInterval]))</f>
        <v>0.95</v>
      </c>
      <c r="R9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975" s="5" cm="1">
        <f t="array" ref="S975">MIN(IF((ContinuousStatsTable[GroupByKey]=ContinuousStatsTable[[#This Row],[GroupByKey]]),(ContinuousStatsTable[GroupByKey]=ContinuousStatsTable[[#This Row],[GroupByKey]])*ContinuousStatsTable[Average]))</f>
        <v>0.73843386001690303</v>
      </c>
      <c r="T975" s="5" cm="1">
        <f t="array" ref="T975">MAX(IF((ContinuousStatsTable[GroupByKey]=ContinuousStatsTable[[#This Row],[GroupByKey]]),(ContinuousStatsTable[GroupByKey]=ContinuousStatsTable[[#This Row],[GroupByKey]])*ContinuousStatsTable[Average]))</f>
        <v>0.99245161744166299</v>
      </c>
      <c r="U975" s="5">
        <f>IF((ContinuousStatsTable[[#This Row],[RepsRequested]]&gt;1),ContinuousStatsTable[[#This Row],[HalfWidth]],ContinuousStatsTable[[#This Row],[BatchMeansHalfWidth]])</f>
        <v>2.6057642646860522E-2</v>
      </c>
    </row>
    <row r="976" spans="1:21" x14ac:dyDescent="0.3">
      <c r="A976" t="s">
        <v>66</v>
      </c>
      <c r="B976" t="s">
        <v>68</v>
      </c>
      <c r="C976">
        <v>25</v>
      </c>
      <c r="D976" t="s">
        <v>107</v>
      </c>
      <c r="E976" t="s">
        <v>97</v>
      </c>
      <c r="F976" t="s">
        <v>95</v>
      </c>
      <c r="G976">
        <v>1</v>
      </c>
      <c r="H976">
        <v>2E+20</v>
      </c>
      <c r="I976">
        <v>1</v>
      </c>
      <c r="J976">
        <v>1</v>
      </c>
      <c r="K976">
        <v>1</v>
      </c>
      <c r="L976">
        <v>0</v>
      </c>
      <c r="M976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976" s="5" cm="1">
        <f t="array" ref="N976">MAX(IF((ProjectInfoTable[ProjectName]=ContinuousStatsTable[[#This Row],[ProjectName]]),(ProjectInfoTable[ProjectName]=ContinuousStatsTable[[#This Row],[ProjectName]])*ProjectInfoTable[NumberOfReplications]))</f>
        <v>30</v>
      </c>
      <c r="O976" s="5" cm="1">
        <f t="array" ref="O976">IFERROR(AVERAGE(IF((ContinuousStatsTable[GroupByKey]=ContinuousStatsTable[[#This Row],[GroupByKey]]),(ContinuousStatsTable[GroupByKey]=ContinuousStatsTable[[#This Row],[GroupByKey]])*ContinuousStatsTable[Average])),0)</f>
        <v>1</v>
      </c>
      <c r="P976" s="5" cm="1">
        <f t="array" ref="P976">IFERROR(_xlfn.STDEV.S(IF((ContinuousStatsTable[GroupByKey]=ContinuousStatsTable[[#This Row],[GroupByKey]]),(ContinuousStatsTable[GroupByKey]=ContinuousStatsTable[[#This Row],[GroupByKey]])*ContinuousStatsTable[Average])),0)</f>
        <v>0</v>
      </c>
      <c r="Q976" s="5" cm="1">
        <f t="array" ref="Q976">MAX(IF((ProjectInfoTable[ProjectName]=ContinuousStatsTable[[#This Row],[ProjectName]]),(ProjectInfoTable[ProjectName]=ContinuousStatsTable[[#This Row],[ProjectName]])*ProjectInfoTable[ConfidenceInterval]))</f>
        <v>0.95</v>
      </c>
      <c r="R9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6" s="5" cm="1">
        <f t="array" ref="S976">MIN(IF((ContinuousStatsTable[GroupByKey]=ContinuousStatsTable[[#This Row],[GroupByKey]]),(ContinuousStatsTable[GroupByKey]=ContinuousStatsTable[[#This Row],[GroupByKey]])*ContinuousStatsTable[Average]))</f>
        <v>1</v>
      </c>
      <c r="T976" s="5" cm="1">
        <f t="array" ref="T976">MAX(IF((ContinuousStatsTable[GroupByKey]=ContinuousStatsTable[[#This Row],[GroupByKey]]),(ContinuousStatsTable[GroupByKey]=ContinuousStatsTable[[#This Row],[GroupByKey]])*ContinuousStatsTable[Average]))</f>
        <v>1</v>
      </c>
      <c r="U976" s="5">
        <f>IF((ContinuousStatsTable[[#This Row],[RepsRequested]]&gt;1),ContinuousStatsTable[[#This Row],[HalfWidth]],ContinuousStatsTable[[#This Row],[BatchMeansHalfWidth]])</f>
        <v>0</v>
      </c>
    </row>
    <row r="977" spans="1:21" x14ac:dyDescent="0.3">
      <c r="A977" t="s">
        <v>66</v>
      </c>
      <c r="B977" t="s">
        <v>68</v>
      </c>
      <c r="C977">
        <v>26</v>
      </c>
      <c r="D977" t="s">
        <v>69</v>
      </c>
      <c r="E977" t="s">
        <v>92</v>
      </c>
      <c r="F977" t="s">
        <v>71</v>
      </c>
      <c r="G977">
        <v>2.9131501049235502</v>
      </c>
      <c r="H977">
        <v>2E+20</v>
      </c>
      <c r="I977">
        <v>0</v>
      </c>
      <c r="J977">
        <v>20</v>
      </c>
      <c r="K977">
        <v>0</v>
      </c>
      <c r="L977">
        <v>0</v>
      </c>
      <c r="M977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977" s="5" cm="1">
        <f t="array" ref="N977">MAX(IF((ProjectInfoTable[ProjectName]=ContinuousStatsTable[[#This Row],[ProjectName]]),(ProjectInfoTable[ProjectName]=ContinuousStatsTable[[#This Row],[ProjectName]])*ProjectInfoTable[NumberOfReplications]))</f>
        <v>30</v>
      </c>
      <c r="O977" s="5" cm="1">
        <f t="array" ref="O977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977" s="5" cm="1">
        <f t="array" ref="P977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977" s="5" cm="1">
        <f t="array" ref="Q977">MAX(IF((ProjectInfoTable[ProjectName]=ContinuousStatsTable[[#This Row],[ProjectName]]),(ProjectInfoTable[ProjectName]=ContinuousStatsTable[[#This Row],[ProjectName]])*ProjectInfoTable[ConfidenceInterval]))</f>
        <v>0.95</v>
      </c>
      <c r="R9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977" s="5" cm="1">
        <f t="array" ref="S977">MIN(IF((ContinuousStatsTable[GroupByKey]=ContinuousStatsTable[[#This Row],[GroupByKey]]),(ContinuousStatsTable[GroupByKey]=ContinuousStatsTable[[#This Row],[GroupByKey]])*ContinuousStatsTable[Average]))</f>
        <v>2.2853775994771</v>
      </c>
      <c r="T977" s="5" cm="1">
        <f t="array" ref="T977">MAX(IF((ContinuousStatsTable[GroupByKey]=ContinuousStatsTable[[#This Row],[GroupByKey]]),(ContinuousStatsTable[GroupByKey]=ContinuousStatsTable[[#This Row],[GroupByKey]])*ContinuousStatsTable[Average]))</f>
        <v>9.3827575078214593</v>
      </c>
      <c r="U977" s="5">
        <f>IF((ContinuousStatsTable[[#This Row],[RepsRequested]]&gt;1),ContinuousStatsTable[[#This Row],[HalfWidth]],ContinuousStatsTable[[#This Row],[BatchMeansHalfWidth]])</f>
        <v>0.70373665421471332</v>
      </c>
    </row>
    <row r="978" spans="1:21" x14ac:dyDescent="0.3">
      <c r="A978" t="s">
        <v>66</v>
      </c>
      <c r="B978" t="s">
        <v>68</v>
      </c>
      <c r="C978">
        <v>26</v>
      </c>
      <c r="D978" t="s">
        <v>72</v>
      </c>
      <c r="E978" t="s">
        <v>92</v>
      </c>
      <c r="F978" t="s">
        <v>71</v>
      </c>
      <c r="G978">
        <v>1.9021963606218999</v>
      </c>
      <c r="H978">
        <v>2E+20</v>
      </c>
      <c r="I978">
        <v>0</v>
      </c>
      <c r="J978">
        <v>13</v>
      </c>
      <c r="K978">
        <v>0</v>
      </c>
      <c r="L978">
        <v>0</v>
      </c>
      <c r="M978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978" s="5" cm="1">
        <f t="array" ref="N978">MAX(IF((ProjectInfoTable[ProjectName]=ContinuousStatsTable[[#This Row],[ProjectName]]),(ProjectInfoTable[ProjectName]=ContinuousStatsTable[[#This Row],[ProjectName]])*ProjectInfoTable[NumberOfReplications]))</f>
        <v>30</v>
      </c>
      <c r="O978" s="5" cm="1">
        <f t="array" ref="O978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978" s="5" cm="1">
        <f t="array" ref="P978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978" s="5" cm="1">
        <f t="array" ref="Q978">MAX(IF((ProjectInfoTable[ProjectName]=ContinuousStatsTable[[#This Row],[ProjectName]]),(ProjectInfoTable[ProjectName]=ContinuousStatsTable[[#This Row],[ProjectName]])*ProjectInfoTable[ConfidenceInterval]))</f>
        <v>0.95</v>
      </c>
      <c r="R9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978" s="5" cm="1">
        <f t="array" ref="S978">MIN(IF((ContinuousStatsTable[GroupByKey]=ContinuousStatsTable[[#This Row],[GroupByKey]]),(ContinuousStatsTable[GroupByKey]=ContinuousStatsTable[[#This Row],[GroupByKey]])*ContinuousStatsTable[Average]))</f>
        <v>1.4754093813695901</v>
      </c>
      <c r="T978" s="5" cm="1">
        <f t="array" ref="T978">MAX(IF((ContinuousStatsTable[GroupByKey]=ContinuousStatsTable[[#This Row],[GroupByKey]]),(ContinuousStatsTable[GroupByKey]=ContinuousStatsTable[[#This Row],[GroupByKey]])*ContinuousStatsTable[Average]))</f>
        <v>8.0603747791942499</v>
      </c>
      <c r="U978" s="5">
        <f>IF((ContinuousStatsTable[[#This Row],[RepsRequested]]&gt;1),ContinuousStatsTable[[#This Row],[HalfWidth]],ContinuousStatsTable[[#This Row],[BatchMeansHalfWidth]])</f>
        <v>0.5936172943910426</v>
      </c>
    </row>
    <row r="979" spans="1:21" x14ac:dyDescent="0.3">
      <c r="A979" t="s">
        <v>66</v>
      </c>
      <c r="B979" t="s">
        <v>68</v>
      </c>
      <c r="C979">
        <v>26</v>
      </c>
      <c r="D979" t="s">
        <v>73</v>
      </c>
      <c r="E979" t="s">
        <v>92</v>
      </c>
      <c r="F979" t="s">
        <v>71</v>
      </c>
      <c r="G979">
        <v>1.84842569081291</v>
      </c>
      <c r="H979">
        <v>2E+20</v>
      </c>
      <c r="I979">
        <v>0</v>
      </c>
      <c r="J979">
        <v>13</v>
      </c>
      <c r="K979">
        <v>6</v>
      </c>
      <c r="L979">
        <v>0</v>
      </c>
      <c r="M979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979" s="5" cm="1">
        <f t="array" ref="N979">MAX(IF((ProjectInfoTable[ProjectName]=ContinuousStatsTable[[#This Row],[ProjectName]]),(ProjectInfoTable[ProjectName]=ContinuousStatsTable[[#This Row],[ProjectName]])*ProjectInfoTable[NumberOfReplications]))</f>
        <v>30</v>
      </c>
      <c r="O979" s="5" cm="1">
        <f t="array" ref="O979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979" s="5" cm="1">
        <f t="array" ref="P979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979" s="5" cm="1">
        <f t="array" ref="Q979">MAX(IF((ProjectInfoTable[ProjectName]=ContinuousStatsTable[[#This Row],[ProjectName]]),(ProjectInfoTable[ProjectName]=ContinuousStatsTable[[#This Row],[ProjectName]])*ProjectInfoTable[ConfidenceInterval]))</f>
        <v>0.95</v>
      </c>
      <c r="R9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979" s="5" cm="1">
        <f t="array" ref="S979">MIN(IF((ContinuousStatsTable[GroupByKey]=ContinuousStatsTable[[#This Row],[GroupByKey]]),(ContinuousStatsTable[GroupByKey]=ContinuousStatsTable[[#This Row],[GroupByKey]])*ContinuousStatsTable[Average]))</f>
        <v>1.3305593103954101</v>
      </c>
      <c r="T979" s="5" cm="1">
        <f t="array" ref="T979">MAX(IF((ContinuousStatsTable[GroupByKey]=ContinuousStatsTable[[#This Row],[GroupByKey]]),(ContinuousStatsTable[GroupByKey]=ContinuousStatsTable[[#This Row],[GroupByKey]])*ContinuousStatsTable[Average]))</f>
        <v>29.356614544212601</v>
      </c>
      <c r="U979" s="5">
        <f>IF((ContinuousStatsTable[[#This Row],[RepsRequested]]&gt;1),ContinuousStatsTable[[#This Row],[HalfWidth]],ContinuousStatsTable[[#This Row],[BatchMeansHalfWidth]])</f>
        <v>2.162177461749093</v>
      </c>
    </row>
    <row r="980" spans="1:21" x14ac:dyDescent="0.3">
      <c r="A980" t="s">
        <v>66</v>
      </c>
      <c r="B980" t="s">
        <v>68</v>
      </c>
      <c r="C980">
        <v>26</v>
      </c>
      <c r="D980" t="s">
        <v>74</v>
      </c>
      <c r="E980" t="s">
        <v>92</v>
      </c>
      <c r="F980" t="s">
        <v>71</v>
      </c>
      <c r="G980">
        <v>0</v>
      </c>
      <c r="H980">
        <v>2E+20</v>
      </c>
      <c r="I980">
        <v>0</v>
      </c>
      <c r="J980">
        <v>0</v>
      </c>
      <c r="K980">
        <v>0</v>
      </c>
      <c r="L980">
        <v>0</v>
      </c>
      <c r="M980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980" s="5" cm="1">
        <f t="array" ref="N980">MAX(IF((ProjectInfoTable[ProjectName]=ContinuousStatsTable[[#This Row],[ProjectName]]),(ProjectInfoTable[ProjectName]=ContinuousStatsTable[[#This Row],[ProjectName]])*ProjectInfoTable[NumberOfReplications]))</f>
        <v>30</v>
      </c>
      <c r="O980" s="5" cm="1">
        <f t="array" ref="O980">IFERROR(AVERAGE(IF((ContinuousStatsTable[GroupByKey]=ContinuousStatsTable[[#This Row],[GroupByKey]]),(ContinuousStatsTable[GroupByKey]=ContinuousStatsTable[[#This Row],[GroupByKey]])*ContinuousStatsTable[Average])),0)</f>
        <v>0</v>
      </c>
      <c r="P980" s="5" cm="1">
        <f t="array" ref="P980">IFERROR(_xlfn.STDEV.S(IF((ContinuousStatsTable[GroupByKey]=ContinuousStatsTable[[#This Row],[GroupByKey]]),(ContinuousStatsTable[GroupByKey]=ContinuousStatsTable[[#This Row],[GroupByKey]])*ContinuousStatsTable[Average])),0)</f>
        <v>0</v>
      </c>
      <c r="Q980" s="5" cm="1">
        <f t="array" ref="Q980">MAX(IF((ProjectInfoTable[ProjectName]=ContinuousStatsTable[[#This Row],[ProjectName]]),(ProjectInfoTable[ProjectName]=ContinuousStatsTable[[#This Row],[ProjectName]])*ProjectInfoTable[ConfidenceInterval]))</f>
        <v>0.95</v>
      </c>
      <c r="R9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0" s="5" cm="1">
        <f t="array" ref="S980">MIN(IF((ContinuousStatsTable[GroupByKey]=ContinuousStatsTable[[#This Row],[GroupByKey]]),(ContinuousStatsTable[GroupByKey]=ContinuousStatsTable[[#This Row],[GroupByKey]])*ContinuousStatsTable[Average]))</f>
        <v>0</v>
      </c>
      <c r="T980" s="5" cm="1">
        <f t="array" ref="T980">MAX(IF((ContinuousStatsTable[GroupByKey]=ContinuousStatsTable[[#This Row],[GroupByKey]]),(ContinuousStatsTable[GroupByKey]=ContinuousStatsTable[[#This Row],[GroupByKey]])*ContinuousStatsTable[Average]))</f>
        <v>0</v>
      </c>
      <c r="U980" s="5">
        <f>IF((ContinuousStatsTable[[#This Row],[RepsRequested]]&gt;1),ContinuousStatsTable[[#This Row],[HalfWidth]],ContinuousStatsTable[[#This Row],[BatchMeansHalfWidth]])</f>
        <v>0</v>
      </c>
    </row>
    <row r="981" spans="1:21" x14ac:dyDescent="0.3">
      <c r="A981" t="s">
        <v>66</v>
      </c>
      <c r="B981" t="s">
        <v>68</v>
      </c>
      <c r="C981">
        <v>26</v>
      </c>
      <c r="D981" t="s">
        <v>75</v>
      </c>
      <c r="E981" t="s">
        <v>92</v>
      </c>
      <c r="F981" t="s">
        <v>71</v>
      </c>
      <c r="G981">
        <v>0</v>
      </c>
      <c r="H981">
        <v>2E+20</v>
      </c>
      <c r="I981">
        <v>0</v>
      </c>
      <c r="J981">
        <v>0</v>
      </c>
      <c r="K981">
        <v>0</v>
      </c>
      <c r="L981">
        <v>0</v>
      </c>
      <c r="M981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981" s="5" cm="1">
        <f t="array" ref="N981">MAX(IF((ProjectInfoTable[ProjectName]=ContinuousStatsTable[[#This Row],[ProjectName]]),(ProjectInfoTable[ProjectName]=ContinuousStatsTable[[#This Row],[ProjectName]])*ProjectInfoTable[NumberOfReplications]))</f>
        <v>30</v>
      </c>
      <c r="O981" s="5" cm="1">
        <f t="array" ref="O981">IFERROR(AVERAGE(IF((ContinuousStatsTable[GroupByKey]=ContinuousStatsTable[[#This Row],[GroupByKey]]),(ContinuousStatsTable[GroupByKey]=ContinuousStatsTable[[#This Row],[GroupByKey]])*ContinuousStatsTable[Average])),0)</f>
        <v>0</v>
      </c>
      <c r="P981" s="5" cm="1">
        <f t="array" ref="P981">IFERROR(_xlfn.STDEV.S(IF((ContinuousStatsTable[GroupByKey]=ContinuousStatsTable[[#This Row],[GroupByKey]]),(ContinuousStatsTable[GroupByKey]=ContinuousStatsTable[[#This Row],[GroupByKey]])*ContinuousStatsTable[Average])),0)</f>
        <v>0</v>
      </c>
      <c r="Q981" s="5" cm="1">
        <f t="array" ref="Q981">MAX(IF((ProjectInfoTable[ProjectName]=ContinuousStatsTable[[#This Row],[ProjectName]]),(ProjectInfoTable[ProjectName]=ContinuousStatsTable[[#This Row],[ProjectName]])*ProjectInfoTable[ConfidenceInterval]))</f>
        <v>0.95</v>
      </c>
      <c r="R9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1" s="5" cm="1">
        <f t="array" ref="S981">MIN(IF((ContinuousStatsTable[GroupByKey]=ContinuousStatsTable[[#This Row],[GroupByKey]]),(ContinuousStatsTable[GroupByKey]=ContinuousStatsTable[[#This Row],[GroupByKey]])*ContinuousStatsTable[Average]))</f>
        <v>0</v>
      </c>
      <c r="T981" s="5" cm="1">
        <f t="array" ref="T981">MAX(IF((ContinuousStatsTable[GroupByKey]=ContinuousStatsTable[[#This Row],[GroupByKey]]),(ContinuousStatsTable[GroupByKey]=ContinuousStatsTable[[#This Row],[GroupByKey]])*ContinuousStatsTable[Average]))</f>
        <v>0</v>
      </c>
      <c r="U981" s="5">
        <f>IF((ContinuousStatsTable[[#This Row],[RepsRequested]]&gt;1),ContinuousStatsTable[[#This Row],[HalfWidth]],ContinuousStatsTable[[#This Row],[BatchMeansHalfWidth]])</f>
        <v>0</v>
      </c>
    </row>
    <row r="982" spans="1:21" x14ac:dyDescent="0.3">
      <c r="A982" t="s">
        <v>66</v>
      </c>
      <c r="B982" t="s">
        <v>68</v>
      </c>
      <c r="C982">
        <v>26</v>
      </c>
      <c r="D982" t="s">
        <v>76</v>
      </c>
      <c r="E982" t="s">
        <v>92</v>
      </c>
      <c r="F982" t="s">
        <v>71</v>
      </c>
      <c r="G982">
        <v>0.133594497271773</v>
      </c>
      <c r="H982">
        <v>2E+20</v>
      </c>
      <c r="I982">
        <v>0</v>
      </c>
      <c r="J982">
        <v>4</v>
      </c>
      <c r="K982">
        <v>0</v>
      </c>
      <c r="L982">
        <v>0</v>
      </c>
      <c r="M982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982" s="5" cm="1">
        <f t="array" ref="N982">MAX(IF((ProjectInfoTable[ProjectName]=ContinuousStatsTable[[#This Row],[ProjectName]]),(ProjectInfoTable[ProjectName]=ContinuousStatsTable[[#This Row],[ProjectName]])*ProjectInfoTable[NumberOfReplications]))</f>
        <v>30</v>
      </c>
      <c r="O982" s="5" cm="1">
        <f t="array" ref="O982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982" s="5" cm="1">
        <f t="array" ref="P982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982" s="5" cm="1">
        <f t="array" ref="Q982">MAX(IF((ProjectInfoTable[ProjectName]=ContinuousStatsTable[[#This Row],[ProjectName]]),(ProjectInfoTable[ProjectName]=ContinuousStatsTable[[#This Row],[ProjectName]])*ProjectInfoTable[ConfidenceInterval]))</f>
        <v>0.95</v>
      </c>
      <c r="R9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982" s="5" cm="1">
        <f t="array" ref="S982">MIN(IF((ContinuousStatsTable[GroupByKey]=ContinuousStatsTable[[#This Row],[GroupByKey]]),(ContinuousStatsTable[GroupByKey]=ContinuousStatsTable[[#This Row],[GroupByKey]])*ContinuousStatsTable[Average]))</f>
        <v>4.5869485136026601E-2</v>
      </c>
      <c r="T982" s="5" cm="1">
        <f t="array" ref="T982">MAX(IF((ContinuousStatsTable[GroupByKey]=ContinuousStatsTable[[#This Row],[GroupByKey]]),(ContinuousStatsTable[GroupByKey]=ContinuousStatsTable[[#This Row],[GroupByKey]])*ContinuousStatsTable[Average]))</f>
        <v>4.1119263103435699</v>
      </c>
      <c r="U982" s="5">
        <f>IF((ContinuousStatsTable[[#This Row],[RepsRequested]]&gt;1),ContinuousStatsTable[[#This Row],[HalfWidth]],ContinuousStatsTable[[#This Row],[BatchMeansHalfWidth]])</f>
        <v>0.43252967563899991</v>
      </c>
    </row>
    <row r="983" spans="1:21" x14ac:dyDescent="0.3">
      <c r="A983" t="s">
        <v>66</v>
      </c>
      <c r="B983" t="s">
        <v>68</v>
      </c>
      <c r="C983">
        <v>26</v>
      </c>
      <c r="D983" t="s">
        <v>77</v>
      </c>
      <c r="E983" t="s">
        <v>92</v>
      </c>
      <c r="F983" t="s">
        <v>71</v>
      </c>
      <c r="G983">
        <v>0</v>
      </c>
      <c r="H983">
        <v>2E+20</v>
      </c>
      <c r="I983">
        <v>0</v>
      </c>
      <c r="J983">
        <v>0</v>
      </c>
      <c r="K983">
        <v>0</v>
      </c>
      <c r="L983">
        <v>0</v>
      </c>
      <c r="M983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983" s="5" cm="1">
        <f t="array" ref="N983">MAX(IF((ProjectInfoTable[ProjectName]=ContinuousStatsTable[[#This Row],[ProjectName]]),(ProjectInfoTable[ProjectName]=ContinuousStatsTable[[#This Row],[ProjectName]])*ProjectInfoTable[NumberOfReplications]))</f>
        <v>30</v>
      </c>
      <c r="O983" s="5" cm="1">
        <f t="array" ref="O983">IFERROR(AVERAGE(IF((ContinuousStatsTable[GroupByKey]=ContinuousStatsTable[[#This Row],[GroupByKey]]),(ContinuousStatsTable[GroupByKey]=ContinuousStatsTable[[#This Row],[GroupByKey]])*ContinuousStatsTable[Average])),0)</f>
        <v>0</v>
      </c>
      <c r="P983" s="5" cm="1">
        <f t="array" ref="P983">IFERROR(_xlfn.STDEV.S(IF((ContinuousStatsTable[GroupByKey]=ContinuousStatsTable[[#This Row],[GroupByKey]]),(ContinuousStatsTable[GroupByKey]=ContinuousStatsTable[[#This Row],[GroupByKey]])*ContinuousStatsTable[Average])),0)</f>
        <v>0</v>
      </c>
      <c r="Q983" s="5" cm="1">
        <f t="array" ref="Q983">MAX(IF((ProjectInfoTable[ProjectName]=ContinuousStatsTable[[#This Row],[ProjectName]]),(ProjectInfoTable[ProjectName]=ContinuousStatsTable[[#This Row],[ProjectName]])*ProjectInfoTable[ConfidenceInterval]))</f>
        <v>0.95</v>
      </c>
      <c r="R9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3" s="5" cm="1">
        <f t="array" ref="S983">MIN(IF((ContinuousStatsTable[GroupByKey]=ContinuousStatsTable[[#This Row],[GroupByKey]]),(ContinuousStatsTable[GroupByKey]=ContinuousStatsTable[[#This Row],[GroupByKey]])*ContinuousStatsTable[Average]))</f>
        <v>0</v>
      </c>
      <c r="T983" s="5" cm="1">
        <f t="array" ref="T983">MAX(IF((ContinuousStatsTable[GroupByKey]=ContinuousStatsTable[[#This Row],[GroupByKey]]),(ContinuousStatsTable[GroupByKey]=ContinuousStatsTable[[#This Row],[GroupByKey]])*ContinuousStatsTable[Average]))</f>
        <v>0</v>
      </c>
      <c r="U983" s="5">
        <f>IF((ContinuousStatsTable[[#This Row],[RepsRequested]]&gt;1),ContinuousStatsTable[[#This Row],[HalfWidth]],ContinuousStatsTable[[#This Row],[BatchMeansHalfWidth]])</f>
        <v>0</v>
      </c>
    </row>
    <row r="984" spans="1:21" x14ac:dyDescent="0.3">
      <c r="A984" t="s">
        <v>66</v>
      </c>
      <c r="B984" t="s">
        <v>68</v>
      </c>
      <c r="C984">
        <v>26</v>
      </c>
      <c r="D984" t="s">
        <v>78</v>
      </c>
      <c r="E984" t="s">
        <v>92</v>
      </c>
      <c r="F984" t="s">
        <v>71</v>
      </c>
      <c r="G984">
        <v>0</v>
      </c>
      <c r="H984">
        <v>2E+20</v>
      </c>
      <c r="I984">
        <v>0</v>
      </c>
      <c r="J984">
        <v>0</v>
      </c>
      <c r="K984">
        <v>0</v>
      </c>
      <c r="L984">
        <v>0</v>
      </c>
      <c r="M984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984" s="5" cm="1">
        <f t="array" ref="N984">MAX(IF((ProjectInfoTable[ProjectName]=ContinuousStatsTable[[#This Row],[ProjectName]]),(ProjectInfoTable[ProjectName]=ContinuousStatsTable[[#This Row],[ProjectName]])*ProjectInfoTable[NumberOfReplications]))</f>
        <v>30</v>
      </c>
      <c r="O984" s="5" cm="1">
        <f t="array" ref="O984">IFERROR(AVERAGE(IF((ContinuousStatsTable[GroupByKey]=ContinuousStatsTable[[#This Row],[GroupByKey]]),(ContinuousStatsTable[GroupByKey]=ContinuousStatsTable[[#This Row],[GroupByKey]])*ContinuousStatsTable[Average])),0)</f>
        <v>0</v>
      </c>
      <c r="P984" s="5" cm="1">
        <f t="array" ref="P984">IFERROR(_xlfn.STDEV.S(IF((ContinuousStatsTable[GroupByKey]=ContinuousStatsTable[[#This Row],[GroupByKey]]),(ContinuousStatsTable[GroupByKey]=ContinuousStatsTable[[#This Row],[GroupByKey]])*ContinuousStatsTable[Average])),0)</f>
        <v>0</v>
      </c>
      <c r="Q984" s="5" cm="1">
        <f t="array" ref="Q984">MAX(IF((ProjectInfoTable[ProjectName]=ContinuousStatsTable[[#This Row],[ProjectName]]),(ProjectInfoTable[ProjectName]=ContinuousStatsTable[[#This Row],[ProjectName]])*ProjectInfoTable[ConfidenceInterval]))</f>
        <v>0.95</v>
      </c>
      <c r="R9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4" s="5" cm="1">
        <f t="array" ref="S984">MIN(IF((ContinuousStatsTable[GroupByKey]=ContinuousStatsTable[[#This Row],[GroupByKey]]),(ContinuousStatsTable[GroupByKey]=ContinuousStatsTable[[#This Row],[GroupByKey]])*ContinuousStatsTable[Average]))</f>
        <v>0</v>
      </c>
      <c r="T984" s="5" cm="1">
        <f t="array" ref="T984">MAX(IF((ContinuousStatsTable[GroupByKey]=ContinuousStatsTable[[#This Row],[GroupByKey]]),(ContinuousStatsTable[GroupByKey]=ContinuousStatsTable[[#This Row],[GroupByKey]])*ContinuousStatsTable[Average]))</f>
        <v>0</v>
      </c>
      <c r="U984" s="5">
        <f>IF((ContinuousStatsTable[[#This Row],[RepsRequested]]&gt;1),ContinuousStatsTable[[#This Row],[HalfWidth]],ContinuousStatsTable[[#This Row],[BatchMeansHalfWidth]])</f>
        <v>0</v>
      </c>
    </row>
    <row r="985" spans="1:21" x14ac:dyDescent="0.3">
      <c r="A985" t="s">
        <v>66</v>
      </c>
      <c r="B985" t="s">
        <v>68</v>
      </c>
      <c r="C985">
        <v>26</v>
      </c>
      <c r="D985" t="s">
        <v>93</v>
      </c>
      <c r="E985" t="s">
        <v>94</v>
      </c>
      <c r="F985" t="s">
        <v>95</v>
      </c>
      <c r="G985">
        <v>3.2178136375918903E-2</v>
      </c>
      <c r="H985">
        <v>2E+20</v>
      </c>
      <c r="I985">
        <v>0</v>
      </c>
      <c r="J985">
        <v>0.2</v>
      </c>
      <c r="K985">
        <v>0</v>
      </c>
      <c r="L985">
        <v>0</v>
      </c>
      <c r="M985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985" s="5" cm="1">
        <f t="array" ref="N985">MAX(IF((ProjectInfoTable[ProjectName]=ContinuousStatsTable[[#This Row],[ProjectName]]),(ProjectInfoTable[ProjectName]=ContinuousStatsTable[[#This Row],[ProjectName]])*ProjectInfoTable[NumberOfReplications]))</f>
        <v>30</v>
      </c>
      <c r="O985" s="5" cm="1">
        <f t="array" ref="O985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985" s="5" cm="1">
        <f t="array" ref="P985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985" s="5" cm="1">
        <f t="array" ref="Q985">MAX(IF((ProjectInfoTable[ProjectName]=ContinuousStatsTable[[#This Row],[ProjectName]]),(ProjectInfoTable[ProjectName]=ContinuousStatsTable[[#This Row],[ProjectName]])*ProjectInfoTable[ConfidenceInterval]))</f>
        <v>0.95</v>
      </c>
      <c r="R9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985" s="5" cm="1">
        <f t="array" ref="S985">MIN(IF((ContinuousStatsTable[GroupByKey]=ContinuousStatsTable[[#This Row],[GroupByKey]]),(ContinuousStatsTable[GroupByKey]=ContinuousStatsTable[[#This Row],[GroupByKey]])*ContinuousStatsTable[Average]))</f>
        <v>2.3718114155243601E-2</v>
      </c>
      <c r="T985" s="5" cm="1">
        <f t="array" ref="T985">MAX(IF((ContinuousStatsTable[GroupByKey]=ContinuousStatsTable[[#This Row],[GroupByKey]]),(ContinuousStatsTable[GroupByKey]=ContinuousStatsTable[[#This Row],[GroupByKey]])*ContinuousStatsTable[Average]))</f>
        <v>4.8583931724403701E-2</v>
      </c>
      <c r="U985" s="5">
        <f>IF((ContinuousStatsTable[[#This Row],[RepsRequested]]&gt;1),ContinuousStatsTable[[#This Row],[HalfWidth]],ContinuousStatsTable[[#This Row],[BatchMeansHalfWidth]])</f>
        <v>2.4839579632442289E-3</v>
      </c>
    </row>
    <row r="986" spans="1:21" x14ac:dyDescent="0.3">
      <c r="A986" t="s">
        <v>66</v>
      </c>
      <c r="B986" t="s">
        <v>68</v>
      </c>
      <c r="C986">
        <v>26</v>
      </c>
      <c r="D986" t="s">
        <v>93</v>
      </c>
      <c r="E986" t="s">
        <v>96</v>
      </c>
      <c r="F986" t="s">
        <v>95</v>
      </c>
      <c r="G986">
        <v>0.64356272751837895</v>
      </c>
      <c r="H986">
        <v>2E+20</v>
      </c>
      <c r="I986">
        <v>0</v>
      </c>
      <c r="J986">
        <v>4</v>
      </c>
      <c r="K986">
        <v>0</v>
      </c>
      <c r="L986">
        <v>0</v>
      </c>
      <c r="M986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986" s="5" cm="1">
        <f t="array" ref="N986">MAX(IF((ProjectInfoTable[ProjectName]=ContinuousStatsTable[[#This Row],[ProjectName]]),(ProjectInfoTable[ProjectName]=ContinuousStatsTable[[#This Row],[ProjectName]])*ProjectInfoTable[NumberOfReplications]))</f>
        <v>30</v>
      </c>
      <c r="O986" s="5" cm="1">
        <f t="array" ref="O986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986" s="5" cm="1">
        <f t="array" ref="P986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986" s="5" cm="1">
        <f t="array" ref="Q986">MAX(IF((ProjectInfoTable[ProjectName]=ContinuousStatsTable[[#This Row],[ProjectName]]),(ProjectInfoTable[ProjectName]=ContinuousStatsTable[[#This Row],[ProjectName]])*ProjectInfoTable[ConfidenceInterval]))</f>
        <v>0.95</v>
      </c>
      <c r="R9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986" s="5" cm="1">
        <f t="array" ref="S986">MIN(IF((ContinuousStatsTable[GroupByKey]=ContinuousStatsTable[[#This Row],[GroupByKey]]),(ContinuousStatsTable[GroupByKey]=ContinuousStatsTable[[#This Row],[GroupByKey]])*ContinuousStatsTable[Average]))</f>
        <v>0.47436228310487299</v>
      </c>
      <c r="T986" s="5" cm="1">
        <f t="array" ref="T986">MAX(IF((ContinuousStatsTable[GroupByKey]=ContinuousStatsTable[[#This Row],[GroupByKey]]),(ContinuousStatsTable[GroupByKey]=ContinuousStatsTable[[#This Row],[GroupByKey]])*ContinuousStatsTable[Average]))</f>
        <v>0.97167863448807401</v>
      </c>
      <c r="U986" s="5">
        <f>IF((ContinuousStatsTable[[#This Row],[RepsRequested]]&gt;1),ContinuousStatsTable[[#This Row],[HalfWidth]],ContinuousStatsTable[[#This Row],[BatchMeansHalfWidth]])</f>
        <v>4.9679159264885281E-2</v>
      </c>
    </row>
    <row r="987" spans="1:21" x14ac:dyDescent="0.3">
      <c r="A987" t="s">
        <v>66</v>
      </c>
      <c r="B987" t="s">
        <v>68</v>
      </c>
      <c r="C987">
        <v>26</v>
      </c>
      <c r="D987" t="s">
        <v>93</v>
      </c>
      <c r="E987" t="s">
        <v>97</v>
      </c>
      <c r="F987" t="s">
        <v>95</v>
      </c>
      <c r="G987">
        <v>20</v>
      </c>
      <c r="H987">
        <v>2E+20</v>
      </c>
      <c r="I987">
        <v>20</v>
      </c>
      <c r="J987">
        <v>20</v>
      </c>
      <c r="K987">
        <v>20</v>
      </c>
      <c r="L987">
        <v>0</v>
      </c>
      <c r="M987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987" s="5" cm="1">
        <f t="array" ref="N987">MAX(IF((ProjectInfoTable[ProjectName]=ContinuousStatsTable[[#This Row],[ProjectName]]),(ProjectInfoTable[ProjectName]=ContinuousStatsTable[[#This Row],[ProjectName]])*ProjectInfoTable[NumberOfReplications]))</f>
        <v>30</v>
      </c>
      <c r="O987" s="5" cm="1">
        <f t="array" ref="O987">IFERROR(AVERAGE(IF((ContinuousStatsTable[GroupByKey]=ContinuousStatsTable[[#This Row],[GroupByKey]]),(ContinuousStatsTable[GroupByKey]=ContinuousStatsTable[[#This Row],[GroupByKey]])*ContinuousStatsTable[Average])),0)</f>
        <v>20</v>
      </c>
      <c r="P987" s="5" cm="1">
        <f t="array" ref="P987">IFERROR(_xlfn.STDEV.S(IF((ContinuousStatsTable[GroupByKey]=ContinuousStatsTable[[#This Row],[GroupByKey]]),(ContinuousStatsTable[GroupByKey]=ContinuousStatsTable[[#This Row],[GroupByKey]])*ContinuousStatsTable[Average])),0)</f>
        <v>0</v>
      </c>
      <c r="Q987" s="5" cm="1">
        <f t="array" ref="Q987">MAX(IF((ProjectInfoTable[ProjectName]=ContinuousStatsTable[[#This Row],[ProjectName]]),(ProjectInfoTable[ProjectName]=ContinuousStatsTable[[#This Row],[ProjectName]])*ProjectInfoTable[ConfidenceInterval]))</f>
        <v>0.95</v>
      </c>
      <c r="R9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7" s="5" cm="1">
        <f t="array" ref="S987">MIN(IF((ContinuousStatsTable[GroupByKey]=ContinuousStatsTable[[#This Row],[GroupByKey]]),(ContinuousStatsTable[GroupByKey]=ContinuousStatsTable[[#This Row],[GroupByKey]])*ContinuousStatsTable[Average]))</f>
        <v>20</v>
      </c>
      <c r="T987" s="5" cm="1">
        <f t="array" ref="T987">MAX(IF((ContinuousStatsTable[GroupByKey]=ContinuousStatsTable[[#This Row],[GroupByKey]]),(ContinuousStatsTable[GroupByKey]=ContinuousStatsTable[[#This Row],[GroupByKey]])*ContinuousStatsTable[Average]))</f>
        <v>20</v>
      </c>
      <c r="U987" s="5">
        <f>IF((ContinuousStatsTable[[#This Row],[RepsRequested]]&gt;1),ContinuousStatsTable[[#This Row],[HalfWidth]],ContinuousStatsTable[[#This Row],[BatchMeansHalfWidth]])</f>
        <v>0</v>
      </c>
    </row>
    <row r="988" spans="1:21" x14ac:dyDescent="0.3">
      <c r="A988" t="s">
        <v>66</v>
      </c>
      <c r="B988" t="s">
        <v>68</v>
      </c>
      <c r="C988">
        <v>26</v>
      </c>
      <c r="D988" t="s">
        <v>98</v>
      </c>
      <c r="E988" t="s">
        <v>94</v>
      </c>
      <c r="F988" t="s">
        <v>95</v>
      </c>
      <c r="G988">
        <v>0.226531024246099</v>
      </c>
      <c r="H988">
        <v>2E+20</v>
      </c>
      <c r="I988">
        <v>0</v>
      </c>
      <c r="J988">
        <v>0.8</v>
      </c>
      <c r="K988">
        <v>0.4</v>
      </c>
      <c r="L988">
        <v>0</v>
      </c>
      <c r="M988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988" s="5" cm="1">
        <f t="array" ref="N988">MAX(IF((ProjectInfoTable[ProjectName]=ContinuousStatsTable[[#This Row],[ProjectName]]),(ProjectInfoTable[ProjectName]=ContinuousStatsTable[[#This Row],[ProjectName]])*ProjectInfoTable[NumberOfReplications]))</f>
        <v>30</v>
      </c>
      <c r="O988" s="5" cm="1">
        <f t="array" ref="O988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988" s="5" cm="1">
        <f t="array" ref="P988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988" s="5" cm="1">
        <f t="array" ref="Q988">MAX(IF((ProjectInfoTable[ProjectName]=ContinuousStatsTable[[#This Row],[ProjectName]]),(ProjectInfoTable[ProjectName]=ContinuousStatsTable[[#This Row],[ProjectName]])*ProjectInfoTable[ConfidenceInterval]))</f>
        <v>0.95</v>
      </c>
      <c r="R9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988" s="5" cm="1">
        <f t="array" ref="S988">MIN(IF((ContinuousStatsTable[GroupByKey]=ContinuousStatsTable[[#This Row],[GroupByKey]]),(ContinuousStatsTable[GroupByKey]=ContinuousStatsTable[[#This Row],[GroupByKey]])*ContinuousStatsTable[Average]))</f>
        <v>0.20767736113278101</v>
      </c>
      <c r="T988" s="5" cm="1">
        <f t="array" ref="T988">MAX(IF((ContinuousStatsTable[GroupByKey]=ContinuousStatsTable[[#This Row],[GroupByKey]]),(ContinuousStatsTable[GroupByKey]=ContinuousStatsTable[[#This Row],[GroupByKey]])*ContinuousStatsTable[Average]))</f>
        <v>0.28501162927715501</v>
      </c>
      <c r="U988" s="5">
        <f>IF((ContinuousStatsTable[[#This Row],[RepsRequested]]&gt;1),ContinuousStatsTable[[#This Row],[HalfWidth]],ContinuousStatsTable[[#This Row],[BatchMeansHalfWidth]])</f>
        <v>8.7273384073404715E-3</v>
      </c>
    </row>
    <row r="989" spans="1:21" x14ac:dyDescent="0.3">
      <c r="A989" t="s">
        <v>66</v>
      </c>
      <c r="B989" t="s">
        <v>68</v>
      </c>
      <c r="C989">
        <v>26</v>
      </c>
      <c r="D989" t="s">
        <v>98</v>
      </c>
      <c r="E989" t="s">
        <v>96</v>
      </c>
      <c r="F989" t="s">
        <v>95</v>
      </c>
      <c r="G989">
        <v>4.53062048492197</v>
      </c>
      <c r="H989">
        <v>2E+20</v>
      </c>
      <c r="I989">
        <v>0</v>
      </c>
      <c r="J989">
        <v>16</v>
      </c>
      <c r="K989">
        <v>8</v>
      </c>
      <c r="L989">
        <v>0</v>
      </c>
      <c r="M989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989" s="5" cm="1">
        <f t="array" ref="N989">MAX(IF((ProjectInfoTable[ProjectName]=ContinuousStatsTable[[#This Row],[ProjectName]]),(ProjectInfoTable[ProjectName]=ContinuousStatsTable[[#This Row],[ProjectName]])*ProjectInfoTable[NumberOfReplications]))</f>
        <v>30</v>
      </c>
      <c r="O989" s="5" cm="1">
        <f t="array" ref="O989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989" s="5" cm="1">
        <f t="array" ref="P989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989" s="5" cm="1">
        <f t="array" ref="Q989">MAX(IF((ProjectInfoTable[ProjectName]=ContinuousStatsTable[[#This Row],[ProjectName]]),(ProjectInfoTable[ProjectName]=ContinuousStatsTable[[#This Row],[ProjectName]])*ProjectInfoTable[ConfidenceInterval]))</f>
        <v>0.95</v>
      </c>
      <c r="R9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989" s="5" cm="1">
        <f t="array" ref="S989">MIN(IF((ContinuousStatsTable[GroupByKey]=ContinuousStatsTable[[#This Row],[GroupByKey]]),(ContinuousStatsTable[GroupByKey]=ContinuousStatsTable[[#This Row],[GroupByKey]])*ContinuousStatsTable[Average]))</f>
        <v>4.15354722265561</v>
      </c>
      <c r="T989" s="5" cm="1">
        <f t="array" ref="T989">MAX(IF((ContinuousStatsTable[GroupByKey]=ContinuousStatsTable[[#This Row],[GroupByKey]]),(ContinuousStatsTable[GroupByKey]=ContinuousStatsTable[[#This Row],[GroupByKey]])*ContinuousStatsTable[Average]))</f>
        <v>5.7002325855431097</v>
      </c>
      <c r="U989" s="5">
        <f>IF((ContinuousStatsTable[[#This Row],[RepsRequested]]&gt;1),ContinuousStatsTable[[#This Row],[HalfWidth]],ContinuousStatsTable[[#This Row],[BatchMeansHalfWidth]])</f>
        <v>0.17454676814681078</v>
      </c>
    </row>
    <row r="990" spans="1:21" x14ac:dyDescent="0.3">
      <c r="A990" t="s">
        <v>66</v>
      </c>
      <c r="B990" t="s">
        <v>68</v>
      </c>
      <c r="C990">
        <v>26</v>
      </c>
      <c r="D990" t="s">
        <v>98</v>
      </c>
      <c r="E990" t="s">
        <v>97</v>
      </c>
      <c r="F990" t="s">
        <v>95</v>
      </c>
      <c r="G990">
        <v>20</v>
      </c>
      <c r="H990">
        <v>2E+20</v>
      </c>
      <c r="I990">
        <v>20</v>
      </c>
      <c r="J990">
        <v>20</v>
      </c>
      <c r="K990">
        <v>20</v>
      </c>
      <c r="L990">
        <v>0</v>
      </c>
      <c r="M990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990" s="5" cm="1">
        <f t="array" ref="N990">MAX(IF((ProjectInfoTable[ProjectName]=ContinuousStatsTable[[#This Row],[ProjectName]]),(ProjectInfoTable[ProjectName]=ContinuousStatsTable[[#This Row],[ProjectName]])*ProjectInfoTable[NumberOfReplications]))</f>
        <v>30</v>
      </c>
      <c r="O990" s="5" cm="1">
        <f t="array" ref="O990">IFERROR(AVERAGE(IF((ContinuousStatsTable[GroupByKey]=ContinuousStatsTable[[#This Row],[GroupByKey]]),(ContinuousStatsTable[GroupByKey]=ContinuousStatsTable[[#This Row],[GroupByKey]])*ContinuousStatsTable[Average])),0)</f>
        <v>20</v>
      </c>
      <c r="P990" s="5" cm="1">
        <f t="array" ref="P990">IFERROR(_xlfn.STDEV.S(IF((ContinuousStatsTable[GroupByKey]=ContinuousStatsTable[[#This Row],[GroupByKey]]),(ContinuousStatsTable[GroupByKey]=ContinuousStatsTable[[#This Row],[GroupByKey]])*ContinuousStatsTable[Average])),0)</f>
        <v>0</v>
      </c>
      <c r="Q990" s="5" cm="1">
        <f t="array" ref="Q990">MAX(IF((ProjectInfoTable[ProjectName]=ContinuousStatsTable[[#This Row],[ProjectName]]),(ProjectInfoTable[ProjectName]=ContinuousStatsTable[[#This Row],[ProjectName]])*ProjectInfoTable[ConfidenceInterval]))</f>
        <v>0.95</v>
      </c>
      <c r="R9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0" s="5" cm="1">
        <f t="array" ref="S990">MIN(IF((ContinuousStatsTable[GroupByKey]=ContinuousStatsTable[[#This Row],[GroupByKey]]),(ContinuousStatsTable[GroupByKey]=ContinuousStatsTable[[#This Row],[GroupByKey]])*ContinuousStatsTable[Average]))</f>
        <v>20</v>
      </c>
      <c r="T990" s="5" cm="1">
        <f t="array" ref="T990">MAX(IF((ContinuousStatsTable[GroupByKey]=ContinuousStatsTable[[#This Row],[GroupByKey]]),(ContinuousStatsTable[GroupByKey]=ContinuousStatsTable[[#This Row],[GroupByKey]])*ContinuousStatsTable[Average]))</f>
        <v>20</v>
      </c>
      <c r="U990" s="5">
        <f>IF((ContinuousStatsTable[[#This Row],[RepsRequested]]&gt;1),ContinuousStatsTable[[#This Row],[HalfWidth]],ContinuousStatsTable[[#This Row],[BatchMeansHalfWidth]])</f>
        <v>0</v>
      </c>
    </row>
    <row r="991" spans="1:21" x14ac:dyDescent="0.3">
      <c r="A991" t="s">
        <v>66</v>
      </c>
      <c r="B991" t="s">
        <v>68</v>
      </c>
      <c r="C991">
        <v>26</v>
      </c>
      <c r="D991" t="s">
        <v>99</v>
      </c>
      <c r="E991" t="s">
        <v>94</v>
      </c>
      <c r="F991" t="s">
        <v>95</v>
      </c>
      <c r="G991">
        <v>0.53893987213746497</v>
      </c>
      <c r="H991">
        <v>2E+20</v>
      </c>
      <c r="I991">
        <v>0</v>
      </c>
      <c r="J991">
        <v>1</v>
      </c>
      <c r="K991">
        <v>0.2</v>
      </c>
      <c r="L991">
        <v>0</v>
      </c>
      <c r="M991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991" s="5" cm="1">
        <f t="array" ref="N991">MAX(IF((ProjectInfoTable[ProjectName]=ContinuousStatsTable[[#This Row],[ProjectName]]),(ProjectInfoTable[ProjectName]=ContinuousStatsTable[[#This Row],[ProjectName]])*ProjectInfoTable[NumberOfReplications]))</f>
        <v>30</v>
      </c>
      <c r="O991" s="5" cm="1">
        <f t="array" ref="O991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991" s="5" cm="1">
        <f t="array" ref="P991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991" s="5" cm="1">
        <f t="array" ref="Q991">MAX(IF((ProjectInfoTable[ProjectName]=ContinuousStatsTable[[#This Row],[ProjectName]]),(ProjectInfoTable[ProjectName]=ContinuousStatsTable[[#This Row],[ProjectName]])*ProjectInfoTable[ConfidenceInterval]))</f>
        <v>0.95</v>
      </c>
      <c r="R9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991" s="5" cm="1">
        <f t="array" ref="S991">MIN(IF((ContinuousStatsTable[GroupByKey]=ContinuousStatsTable[[#This Row],[GroupByKey]]),(ContinuousStatsTable[GroupByKey]=ContinuousStatsTable[[#This Row],[GroupByKey]])*ContinuousStatsTable[Average]))</f>
        <v>0.517215348442703</v>
      </c>
      <c r="T991" s="5" cm="1">
        <f t="array" ref="T991">MAX(IF((ContinuousStatsTable[GroupByKey]=ContinuousStatsTable[[#This Row],[GroupByKey]]),(ContinuousStatsTable[GroupByKey]=ContinuousStatsTable[[#This Row],[GroupByKey]])*ContinuousStatsTable[Average]))</f>
        <v>0.67770389283754395</v>
      </c>
      <c r="U991" s="5">
        <f>IF((ContinuousStatsTable[[#This Row],[RepsRequested]]&gt;1),ContinuousStatsTable[[#This Row],[HalfWidth]],ContinuousStatsTable[[#This Row],[BatchMeansHalfWidth]])</f>
        <v>1.8059192833960565E-2</v>
      </c>
    </row>
    <row r="992" spans="1:21" x14ac:dyDescent="0.3">
      <c r="A992" t="s">
        <v>66</v>
      </c>
      <c r="B992" t="s">
        <v>68</v>
      </c>
      <c r="C992">
        <v>26</v>
      </c>
      <c r="D992" t="s">
        <v>99</v>
      </c>
      <c r="E992" t="s">
        <v>96</v>
      </c>
      <c r="F992" t="s">
        <v>95</v>
      </c>
      <c r="G992">
        <v>5.3893987213746497</v>
      </c>
      <c r="H992">
        <v>2E+20</v>
      </c>
      <c r="I992">
        <v>0</v>
      </c>
      <c r="J992">
        <v>10</v>
      </c>
      <c r="K992">
        <v>2</v>
      </c>
      <c r="L992">
        <v>0</v>
      </c>
      <c r="M992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992" s="5" cm="1">
        <f t="array" ref="N992">MAX(IF((ProjectInfoTable[ProjectName]=ContinuousStatsTable[[#This Row],[ProjectName]]),(ProjectInfoTable[ProjectName]=ContinuousStatsTable[[#This Row],[ProjectName]])*ProjectInfoTable[NumberOfReplications]))</f>
        <v>30</v>
      </c>
      <c r="O992" s="5" cm="1">
        <f t="array" ref="O992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992" s="5" cm="1">
        <f t="array" ref="P992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992" s="5" cm="1">
        <f t="array" ref="Q992">MAX(IF((ProjectInfoTable[ProjectName]=ContinuousStatsTable[[#This Row],[ProjectName]]),(ProjectInfoTable[ProjectName]=ContinuousStatsTable[[#This Row],[ProjectName]])*ProjectInfoTable[ConfidenceInterval]))</f>
        <v>0.95</v>
      </c>
      <c r="R9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992" s="5" cm="1">
        <f t="array" ref="S992">MIN(IF((ContinuousStatsTable[GroupByKey]=ContinuousStatsTable[[#This Row],[GroupByKey]]),(ContinuousStatsTable[GroupByKey]=ContinuousStatsTable[[#This Row],[GroupByKey]])*ContinuousStatsTable[Average]))</f>
        <v>5.1721534844270298</v>
      </c>
      <c r="T992" s="5" cm="1">
        <f t="array" ref="T992">MAX(IF((ContinuousStatsTable[GroupByKey]=ContinuousStatsTable[[#This Row],[GroupByKey]]),(ContinuousStatsTable[GroupByKey]=ContinuousStatsTable[[#This Row],[GroupByKey]])*ContinuousStatsTable[Average]))</f>
        <v>6.7770389283754398</v>
      </c>
      <c r="U992" s="5">
        <f>IF((ContinuousStatsTable[[#This Row],[RepsRequested]]&gt;1),ContinuousStatsTable[[#This Row],[HalfWidth]],ContinuousStatsTable[[#This Row],[BatchMeansHalfWidth]])</f>
        <v>0.18059192833960558</v>
      </c>
    </row>
    <row r="993" spans="1:21" x14ac:dyDescent="0.3">
      <c r="A993" t="s">
        <v>66</v>
      </c>
      <c r="B993" t="s">
        <v>68</v>
      </c>
      <c r="C993">
        <v>26</v>
      </c>
      <c r="D993" t="s">
        <v>99</v>
      </c>
      <c r="E993" t="s">
        <v>97</v>
      </c>
      <c r="F993" t="s">
        <v>95</v>
      </c>
      <c r="G993">
        <v>10</v>
      </c>
      <c r="H993">
        <v>2E+20</v>
      </c>
      <c r="I993">
        <v>10</v>
      </c>
      <c r="J993">
        <v>10</v>
      </c>
      <c r="K993">
        <v>10</v>
      </c>
      <c r="L993">
        <v>0</v>
      </c>
      <c r="M993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993" s="5" cm="1">
        <f t="array" ref="N993">MAX(IF((ProjectInfoTable[ProjectName]=ContinuousStatsTable[[#This Row],[ProjectName]]),(ProjectInfoTable[ProjectName]=ContinuousStatsTable[[#This Row],[ProjectName]])*ProjectInfoTable[NumberOfReplications]))</f>
        <v>30</v>
      </c>
      <c r="O993" s="5" cm="1">
        <f t="array" ref="O993">IFERROR(AVERAGE(IF((ContinuousStatsTable[GroupByKey]=ContinuousStatsTable[[#This Row],[GroupByKey]]),(ContinuousStatsTable[GroupByKey]=ContinuousStatsTable[[#This Row],[GroupByKey]])*ContinuousStatsTable[Average])),0)</f>
        <v>10</v>
      </c>
      <c r="P993" s="5" cm="1">
        <f t="array" ref="P993">IFERROR(_xlfn.STDEV.S(IF((ContinuousStatsTable[GroupByKey]=ContinuousStatsTable[[#This Row],[GroupByKey]]),(ContinuousStatsTable[GroupByKey]=ContinuousStatsTable[[#This Row],[GroupByKey]])*ContinuousStatsTable[Average])),0)</f>
        <v>0</v>
      </c>
      <c r="Q993" s="5" cm="1">
        <f t="array" ref="Q993">MAX(IF((ProjectInfoTable[ProjectName]=ContinuousStatsTable[[#This Row],[ProjectName]]),(ProjectInfoTable[ProjectName]=ContinuousStatsTable[[#This Row],[ProjectName]])*ProjectInfoTable[ConfidenceInterval]))</f>
        <v>0.95</v>
      </c>
      <c r="R9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3" s="5" cm="1">
        <f t="array" ref="S993">MIN(IF((ContinuousStatsTable[GroupByKey]=ContinuousStatsTable[[#This Row],[GroupByKey]]),(ContinuousStatsTable[GroupByKey]=ContinuousStatsTable[[#This Row],[GroupByKey]])*ContinuousStatsTable[Average]))</f>
        <v>10</v>
      </c>
      <c r="T993" s="5" cm="1">
        <f t="array" ref="T993">MAX(IF((ContinuousStatsTable[GroupByKey]=ContinuousStatsTable[[#This Row],[GroupByKey]]),(ContinuousStatsTable[GroupByKey]=ContinuousStatsTable[[#This Row],[GroupByKey]])*ContinuousStatsTable[Average]))</f>
        <v>10</v>
      </c>
      <c r="U993" s="5">
        <f>IF((ContinuousStatsTable[[#This Row],[RepsRequested]]&gt;1),ContinuousStatsTable[[#This Row],[HalfWidth]],ContinuousStatsTable[[#This Row],[BatchMeansHalfWidth]])</f>
        <v>0</v>
      </c>
    </row>
    <row r="994" spans="1:21" x14ac:dyDescent="0.3">
      <c r="A994" t="s">
        <v>66</v>
      </c>
      <c r="B994" t="s">
        <v>68</v>
      </c>
      <c r="C994">
        <v>26</v>
      </c>
      <c r="D994" t="s">
        <v>100</v>
      </c>
      <c r="E994" t="s">
        <v>94</v>
      </c>
      <c r="F994" t="s">
        <v>95</v>
      </c>
      <c r="G994">
        <v>0.149324872924091</v>
      </c>
      <c r="H994">
        <v>2E+20</v>
      </c>
      <c r="I994">
        <v>0</v>
      </c>
      <c r="J994">
        <v>0.36</v>
      </c>
      <c r="K994">
        <v>0.26</v>
      </c>
      <c r="L994">
        <v>0</v>
      </c>
      <c r="M994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994" s="5" cm="1">
        <f t="array" ref="N994">MAX(IF((ProjectInfoTable[ProjectName]=ContinuousStatsTable[[#This Row],[ProjectName]]),(ProjectInfoTable[ProjectName]=ContinuousStatsTable[[#This Row],[ProjectName]])*ProjectInfoTable[NumberOfReplications]))</f>
        <v>30</v>
      </c>
      <c r="O994" s="5" cm="1">
        <f t="array" ref="O994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994" s="5" cm="1">
        <f t="array" ref="P994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994" s="5" cm="1">
        <f t="array" ref="Q994">MAX(IF((ProjectInfoTable[ProjectName]=ContinuousStatsTable[[#This Row],[ProjectName]]),(ProjectInfoTable[ProjectName]=ContinuousStatsTable[[#This Row],[ProjectName]])*ProjectInfoTable[ConfidenceInterval]))</f>
        <v>0.95</v>
      </c>
      <c r="R9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994" s="5" cm="1">
        <f t="array" ref="S994">MIN(IF((ContinuousStatsTable[GroupByKey]=ContinuousStatsTable[[#This Row],[GroupByKey]]),(ContinuousStatsTable[GroupByKey]=ContinuousStatsTable[[#This Row],[GroupByKey]])*ContinuousStatsTable[Average]))</f>
        <v>0.14484829778125299</v>
      </c>
      <c r="T994" s="5" cm="1">
        <f t="array" ref="T994">MAX(IF((ContinuousStatsTable[GroupByKey]=ContinuousStatsTable[[#This Row],[GroupByKey]]),(ContinuousStatsTable[GroupByKey]=ContinuousStatsTable[[#This Row],[GroupByKey]])*ContinuousStatsTable[Average]))</f>
        <v>0.19609322315655101</v>
      </c>
      <c r="U994" s="5">
        <f>IF((ContinuousStatsTable[[#This Row],[RepsRequested]]&gt;1),ContinuousStatsTable[[#This Row],[HalfWidth]],ContinuousStatsTable[[#This Row],[BatchMeansHalfWidth]])</f>
        <v>4.9714113556225048E-3</v>
      </c>
    </row>
    <row r="995" spans="1:21" x14ac:dyDescent="0.3">
      <c r="A995" t="s">
        <v>66</v>
      </c>
      <c r="B995" t="s">
        <v>68</v>
      </c>
      <c r="C995">
        <v>26</v>
      </c>
      <c r="D995" t="s">
        <v>100</v>
      </c>
      <c r="E995" t="s">
        <v>96</v>
      </c>
      <c r="F995" t="s">
        <v>95</v>
      </c>
      <c r="G995">
        <v>7.4662436462045303</v>
      </c>
      <c r="H995">
        <v>2E+20</v>
      </c>
      <c r="I995">
        <v>0</v>
      </c>
      <c r="J995">
        <v>18</v>
      </c>
      <c r="K995">
        <v>13</v>
      </c>
      <c r="L995">
        <v>0</v>
      </c>
      <c r="M995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995" s="5" cm="1">
        <f t="array" ref="N995">MAX(IF((ProjectInfoTable[ProjectName]=ContinuousStatsTable[[#This Row],[ProjectName]]),(ProjectInfoTable[ProjectName]=ContinuousStatsTable[[#This Row],[ProjectName]])*ProjectInfoTable[NumberOfReplications]))</f>
        <v>30</v>
      </c>
      <c r="O995" s="5" cm="1">
        <f t="array" ref="O995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995" s="5" cm="1">
        <f t="array" ref="P995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995" s="5" cm="1">
        <f t="array" ref="Q995">MAX(IF((ProjectInfoTable[ProjectName]=ContinuousStatsTable[[#This Row],[ProjectName]]),(ProjectInfoTable[ProjectName]=ContinuousStatsTable[[#This Row],[ProjectName]])*ProjectInfoTable[ConfidenceInterval]))</f>
        <v>0.95</v>
      </c>
      <c r="R9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995" s="5" cm="1">
        <f t="array" ref="S995">MIN(IF((ContinuousStatsTable[GroupByKey]=ContinuousStatsTable[[#This Row],[GroupByKey]]),(ContinuousStatsTable[GroupByKey]=ContinuousStatsTable[[#This Row],[GroupByKey]])*ContinuousStatsTable[Average]))</f>
        <v>7.2424148890626396</v>
      </c>
      <c r="T995" s="5" cm="1">
        <f t="array" ref="T995">MAX(IF((ContinuousStatsTable[GroupByKey]=ContinuousStatsTable[[#This Row],[GroupByKey]]),(ContinuousStatsTable[GroupByKey]=ContinuousStatsTable[[#This Row],[GroupByKey]])*ContinuousStatsTable[Average]))</f>
        <v>9.8046611578275602</v>
      </c>
      <c r="U995" s="5">
        <f>IF((ContinuousStatsTable[[#This Row],[RepsRequested]]&gt;1),ContinuousStatsTable[[#This Row],[HalfWidth]],ContinuousStatsTable[[#This Row],[BatchMeansHalfWidth]])</f>
        <v>0.24857056778112663</v>
      </c>
    </row>
    <row r="996" spans="1:21" x14ac:dyDescent="0.3">
      <c r="A996" t="s">
        <v>66</v>
      </c>
      <c r="B996" t="s">
        <v>68</v>
      </c>
      <c r="C996">
        <v>26</v>
      </c>
      <c r="D996" t="s">
        <v>100</v>
      </c>
      <c r="E996" t="s">
        <v>97</v>
      </c>
      <c r="F996" t="s">
        <v>95</v>
      </c>
      <c r="G996">
        <v>50</v>
      </c>
      <c r="H996">
        <v>2E+20</v>
      </c>
      <c r="I996">
        <v>50</v>
      </c>
      <c r="J996">
        <v>50</v>
      </c>
      <c r="K996">
        <v>50</v>
      </c>
      <c r="L996">
        <v>0</v>
      </c>
      <c r="M996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996" s="5" cm="1">
        <f t="array" ref="N996">MAX(IF((ProjectInfoTable[ProjectName]=ContinuousStatsTable[[#This Row],[ProjectName]]),(ProjectInfoTable[ProjectName]=ContinuousStatsTable[[#This Row],[ProjectName]])*ProjectInfoTable[NumberOfReplications]))</f>
        <v>30</v>
      </c>
      <c r="O996" s="5" cm="1">
        <f t="array" ref="O996">IFERROR(AVERAGE(IF((ContinuousStatsTable[GroupByKey]=ContinuousStatsTable[[#This Row],[GroupByKey]]),(ContinuousStatsTable[GroupByKey]=ContinuousStatsTable[[#This Row],[GroupByKey]])*ContinuousStatsTable[Average])),0)</f>
        <v>50</v>
      </c>
      <c r="P996" s="5" cm="1">
        <f t="array" ref="P996">IFERROR(_xlfn.STDEV.S(IF((ContinuousStatsTable[GroupByKey]=ContinuousStatsTable[[#This Row],[GroupByKey]]),(ContinuousStatsTable[GroupByKey]=ContinuousStatsTable[[#This Row],[GroupByKey]])*ContinuousStatsTable[Average])),0)</f>
        <v>0</v>
      </c>
      <c r="Q996" s="5" cm="1">
        <f t="array" ref="Q996">MAX(IF((ProjectInfoTable[ProjectName]=ContinuousStatsTable[[#This Row],[ProjectName]]),(ProjectInfoTable[ProjectName]=ContinuousStatsTable[[#This Row],[ProjectName]])*ProjectInfoTable[ConfidenceInterval]))</f>
        <v>0.95</v>
      </c>
      <c r="R9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6" s="5" cm="1">
        <f t="array" ref="S996">MIN(IF((ContinuousStatsTable[GroupByKey]=ContinuousStatsTable[[#This Row],[GroupByKey]]),(ContinuousStatsTable[GroupByKey]=ContinuousStatsTable[[#This Row],[GroupByKey]])*ContinuousStatsTable[Average]))</f>
        <v>50</v>
      </c>
      <c r="T996" s="5" cm="1">
        <f t="array" ref="T996">MAX(IF((ContinuousStatsTable[GroupByKey]=ContinuousStatsTable[[#This Row],[GroupByKey]]),(ContinuousStatsTable[GroupByKey]=ContinuousStatsTable[[#This Row],[GroupByKey]])*ContinuousStatsTable[Average]))</f>
        <v>50</v>
      </c>
      <c r="U996" s="5">
        <f>IF((ContinuousStatsTable[[#This Row],[RepsRequested]]&gt;1),ContinuousStatsTable[[#This Row],[HalfWidth]],ContinuousStatsTable[[#This Row],[BatchMeansHalfWidth]])</f>
        <v>0</v>
      </c>
    </row>
    <row r="997" spans="1:21" x14ac:dyDescent="0.3">
      <c r="A997" t="s">
        <v>66</v>
      </c>
      <c r="B997" t="s">
        <v>68</v>
      </c>
      <c r="C997">
        <v>26</v>
      </c>
      <c r="D997" t="s">
        <v>101</v>
      </c>
      <c r="E997" t="s">
        <v>94</v>
      </c>
      <c r="F997" t="s">
        <v>95</v>
      </c>
      <c r="G997">
        <v>7.6614897455845807E-2</v>
      </c>
      <c r="H997">
        <v>2E+20</v>
      </c>
      <c r="I997">
        <v>0</v>
      </c>
      <c r="J997">
        <v>0.4</v>
      </c>
      <c r="K997">
        <v>0.2</v>
      </c>
      <c r="L997">
        <v>0</v>
      </c>
      <c r="M997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997" s="5" cm="1">
        <f t="array" ref="N997">MAX(IF((ProjectInfoTable[ProjectName]=ContinuousStatsTable[[#This Row],[ProjectName]]),(ProjectInfoTable[ProjectName]=ContinuousStatsTable[[#This Row],[ProjectName]])*ProjectInfoTable[NumberOfReplications]))</f>
        <v>30</v>
      </c>
      <c r="O997" s="5" cm="1">
        <f t="array" ref="O997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997" s="5" cm="1">
        <f t="array" ref="P997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997" s="5" cm="1">
        <f t="array" ref="Q997">MAX(IF((ProjectInfoTable[ProjectName]=ContinuousStatsTable[[#This Row],[ProjectName]]),(ProjectInfoTable[ProjectName]=ContinuousStatsTable[[#This Row],[ProjectName]])*ProjectInfoTable[ConfidenceInterval]))</f>
        <v>0.95</v>
      </c>
      <c r="R9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997" s="5" cm="1">
        <f t="array" ref="S997">MIN(IF((ContinuousStatsTable[GroupByKey]=ContinuousStatsTable[[#This Row],[GroupByKey]]),(ContinuousStatsTable[GroupByKey]=ContinuousStatsTable[[#This Row],[GroupByKey]])*ContinuousStatsTable[Average]))</f>
        <v>7.4778736536586704E-2</v>
      </c>
      <c r="T997" s="5" cm="1">
        <f t="array" ref="T997">MAX(IF((ContinuousStatsTable[GroupByKey]=ContinuousStatsTable[[#This Row],[GroupByKey]]),(ContinuousStatsTable[GroupByKey]=ContinuousStatsTable[[#This Row],[GroupByKey]])*ContinuousStatsTable[Average]))</f>
        <v>0.111025455742452</v>
      </c>
      <c r="U997" s="5">
        <f>IF((ContinuousStatsTable[[#This Row],[RepsRequested]]&gt;1),ContinuousStatsTable[[#This Row],[HalfWidth]],ContinuousStatsTable[[#This Row],[BatchMeansHalfWidth]])</f>
        <v>4.1821462690338805E-3</v>
      </c>
    </row>
    <row r="998" spans="1:21" x14ac:dyDescent="0.3">
      <c r="A998" t="s">
        <v>66</v>
      </c>
      <c r="B998" t="s">
        <v>68</v>
      </c>
      <c r="C998">
        <v>26</v>
      </c>
      <c r="D998" t="s">
        <v>101</v>
      </c>
      <c r="E998" t="s">
        <v>96</v>
      </c>
      <c r="F998" t="s">
        <v>95</v>
      </c>
      <c r="G998">
        <v>1.14922346183769</v>
      </c>
      <c r="H998">
        <v>2E+20</v>
      </c>
      <c r="I998">
        <v>0</v>
      </c>
      <c r="J998">
        <v>6</v>
      </c>
      <c r="K998">
        <v>3</v>
      </c>
      <c r="L998">
        <v>0</v>
      </c>
      <c r="M998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998" s="5" cm="1">
        <f t="array" ref="N998">MAX(IF((ProjectInfoTable[ProjectName]=ContinuousStatsTable[[#This Row],[ProjectName]]),(ProjectInfoTable[ProjectName]=ContinuousStatsTable[[#This Row],[ProjectName]])*ProjectInfoTable[NumberOfReplications]))</f>
        <v>30</v>
      </c>
      <c r="O998" s="5" cm="1">
        <f t="array" ref="O998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998" s="5" cm="1">
        <f t="array" ref="P998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998" s="5" cm="1">
        <f t="array" ref="Q998">MAX(IF((ProjectInfoTable[ProjectName]=ContinuousStatsTable[[#This Row],[ProjectName]]),(ProjectInfoTable[ProjectName]=ContinuousStatsTable[[#This Row],[ProjectName]])*ProjectInfoTable[ConfidenceInterval]))</f>
        <v>0.95</v>
      </c>
      <c r="R9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998" s="5" cm="1">
        <f t="array" ref="S998">MIN(IF((ContinuousStatsTable[GroupByKey]=ContinuousStatsTable[[#This Row],[GroupByKey]]),(ContinuousStatsTable[GroupByKey]=ContinuousStatsTable[[#This Row],[GroupByKey]])*ContinuousStatsTable[Average]))</f>
        <v>1.1216810480488</v>
      </c>
      <c r="T998" s="5" cm="1">
        <f t="array" ref="T998">MAX(IF((ContinuousStatsTable[GroupByKey]=ContinuousStatsTable[[#This Row],[GroupByKey]]),(ContinuousStatsTable[GroupByKey]=ContinuousStatsTable[[#This Row],[GroupByKey]])*ContinuousStatsTable[Average]))</f>
        <v>1.66538183613678</v>
      </c>
      <c r="U998" s="5">
        <f>IF((ContinuousStatsTable[[#This Row],[RepsRequested]]&gt;1),ContinuousStatsTable[[#This Row],[HalfWidth]],ContinuousStatsTable[[#This Row],[BatchMeansHalfWidth]])</f>
        <v>6.2732194035507963E-2</v>
      </c>
    </row>
    <row r="999" spans="1:21" x14ac:dyDescent="0.3">
      <c r="A999" t="s">
        <v>66</v>
      </c>
      <c r="B999" t="s">
        <v>68</v>
      </c>
      <c r="C999">
        <v>26</v>
      </c>
      <c r="D999" t="s">
        <v>101</v>
      </c>
      <c r="E999" t="s">
        <v>97</v>
      </c>
      <c r="F999" t="s">
        <v>95</v>
      </c>
      <c r="G999">
        <v>15</v>
      </c>
      <c r="H999">
        <v>2E+20</v>
      </c>
      <c r="I999">
        <v>15</v>
      </c>
      <c r="J999">
        <v>15</v>
      </c>
      <c r="K999">
        <v>15</v>
      </c>
      <c r="L999">
        <v>0</v>
      </c>
      <c r="M999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999" s="5" cm="1">
        <f t="array" ref="N999">MAX(IF((ProjectInfoTable[ProjectName]=ContinuousStatsTable[[#This Row],[ProjectName]]),(ProjectInfoTable[ProjectName]=ContinuousStatsTable[[#This Row],[ProjectName]])*ProjectInfoTable[NumberOfReplications]))</f>
        <v>30</v>
      </c>
      <c r="O999" s="5" cm="1">
        <f t="array" ref="O999">IFERROR(AVERAGE(IF((ContinuousStatsTable[GroupByKey]=ContinuousStatsTable[[#This Row],[GroupByKey]]),(ContinuousStatsTable[GroupByKey]=ContinuousStatsTable[[#This Row],[GroupByKey]])*ContinuousStatsTable[Average])),0)</f>
        <v>15</v>
      </c>
      <c r="P999" s="5" cm="1">
        <f t="array" ref="P999">IFERROR(_xlfn.STDEV.S(IF((ContinuousStatsTable[GroupByKey]=ContinuousStatsTable[[#This Row],[GroupByKey]]),(ContinuousStatsTable[GroupByKey]=ContinuousStatsTable[[#This Row],[GroupByKey]])*ContinuousStatsTable[Average])),0)</f>
        <v>0</v>
      </c>
      <c r="Q999" s="5" cm="1">
        <f t="array" ref="Q999">MAX(IF((ProjectInfoTable[ProjectName]=ContinuousStatsTable[[#This Row],[ProjectName]]),(ProjectInfoTable[ProjectName]=ContinuousStatsTable[[#This Row],[ProjectName]])*ProjectInfoTable[ConfidenceInterval]))</f>
        <v>0.95</v>
      </c>
      <c r="R9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9" s="5" cm="1">
        <f t="array" ref="S999">MIN(IF((ContinuousStatsTable[GroupByKey]=ContinuousStatsTable[[#This Row],[GroupByKey]]),(ContinuousStatsTable[GroupByKey]=ContinuousStatsTable[[#This Row],[GroupByKey]])*ContinuousStatsTable[Average]))</f>
        <v>15</v>
      </c>
      <c r="T999" s="5" cm="1">
        <f t="array" ref="T999">MAX(IF((ContinuousStatsTable[GroupByKey]=ContinuousStatsTable[[#This Row],[GroupByKey]]),(ContinuousStatsTable[GroupByKey]=ContinuousStatsTable[[#This Row],[GroupByKey]])*ContinuousStatsTable[Average]))</f>
        <v>15</v>
      </c>
      <c r="U999" s="5">
        <f>IF((ContinuousStatsTable[[#This Row],[RepsRequested]]&gt;1),ContinuousStatsTable[[#This Row],[HalfWidth]],ContinuousStatsTable[[#This Row],[BatchMeansHalfWidth]])</f>
        <v>0</v>
      </c>
    </row>
    <row r="1000" spans="1:21" x14ac:dyDescent="0.3">
      <c r="A1000" t="s">
        <v>66</v>
      </c>
      <c r="B1000" t="s">
        <v>68</v>
      </c>
      <c r="C1000">
        <v>26</v>
      </c>
      <c r="D1000" t="s">
        <v>102</v>
      </c>
      <c r="E1000" t="s">
        <v>94</v>
      </c>
      <c r="F1000" t="s">
        <v>95</v>
      </c>
      <c r="G1000">
        <v>0.73750024749077403</v>
      </c>
      <c r="H1000">
        <v>2E+20</v>
      </c>
      <c r="I1000">
        <v>0</v>
      </c>
      <c r="J1000">
        <v>1</v>
      </c>
      <c r="K1000">
        <v>1</v>
      </c>
      <c r="L1000">
        <v>0</v>
      </c>
      <c r="M1000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1000" s="5" cm="1">
        <f t="array" ref="N1000">MAX(IF((ProjectInfoTable[ProjectName]=ContinuousStatsTable[[#This Row],[ProjectName]]),(ProjectInfoTable[ProjectName]=ContinuousStatsTable[[#This Row],[ProjectName]])*ProjectInfoTable[NumberOfReplications]))</f>
        <v>30</v>
      </c>
      <c r="O1000" s="5" cm="1">
        <f t="array" ref="O1000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1000" s="5" cm="1">
        <f t="array" ref="P1000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1000" s="5" cm="1">
        <f t="array" ref="Q1000">MAX(IF((ProjectInfoTable[ProjectName]=ContinuousStatsTable[[#This Row],[ProjectName]]),(ProjectInfoTable[ProjectName]=ContinuousStatsTable[[#This Row],[ProjectName]])*ProjectInfoTable[ConfidenceInterval]))</f>
        <v>0.95</v>
      </c>
      <c r="R10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1000" s="5" cm="1">
        <f t="array" ref="S1000">MIN(IF((ContinuousStatsTable[GroupByKey]=ContinuousStatsTable[[#This Row],[GroupByKey]]),(ContinuousStatsTable[GroupByKey]=ContinuousStatsTable[[#This Row],[GroupByKey]])*ContinuousStatsTable[Average]))</f>
        <v>0.73673947391417804</v>
      </c>
      <c r="T1000" s="5" cm="1">
        <f t="array" ref="T1000">MAX(IF((ContinuousStatsTable[GroupByKey]=ContinuousStatsTable[[#This Row],[GroupByKey]]),(ContinuousStatsTable[GroupByKey]=ContinuousStatsTable[[#This Row],[GroupByKey]])*ContinuousStatsTable[Average]))</f>
        <v>0.90592850818388704</v>
      </c>
      <c r="U1000" s="5">
        <f>IF((ContinuousStatsTable[[#This Row],[RepsRequested]]&gt;1),ContinuousStatsTable[[#This Row],[HalfWidth]],ContinuousStatsTable[[#This Row],[BatchMeansHalfWidth]])</f>
        <v>1.8636241798384946E-2</v>
      </c>
    </row>
    <row r="1001" spans="1:21" x14ac:dyDescent="0.3">
      <c r="A1001" t="s">
        <v>66</v>
      </c>
      <c r="B1001" t="s">
        <v>68</v>
      </c>
      <c r="C1001">
        <v>26</v>
      </c>
      <c r="D1001" t="s">
        <v>102</v>
      </c>
      <c r="E1001" t="s">
        <v>96</v>
      </c>
      <c r="F1001" t="s">
        <v>95</v>
      </c>
      <c r="G1001">
        <v>1.3806360526983801</v>
      </c>
      <c r="H1001">
        <v>2E+20</v>
      </c>
      <c r="I1001">
        <v>0</v>
      </c>
      <c r="J1001">
        <v>3</v>
      </c>
      <c r="K1001">
        <v>1</v>
      </c>
      <c r="L1001">
        <v>0</v>
      </c>
      <c r="M1001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1001" s="5" cm="1">
        <f t="array" ref="N1001">MAX(IF((ProjectInfoTable[ProjectName]=ContinuousStatsTable[[#This Row],[ProjectName]]),(ProjectInfoTable[ProjectName]=ContinuousStatsTable[[#This Row],[ProjectName]])*ProjectInfoTable[NumberOfReplications]))</f>
        <v>30</v>
      </c>
      <c r="O1001" s="5" cm="1">
        <f t="array" ref="O1001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1001" s="5" cm="1">
        <f t="array" ref="P1001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1001" s="5" cm="1">
        <f t="array" ref="Q1001">MAX(IF((ProjectInfoTable[ProjectName]=ContinuousStatsTable[[#This Row],[ProjectName]]),(ProjectInfoTable[ProjectName]=ContinuousStatsTable[[#This Row],[ProjectName]])*ProjectInfoTable[ConfidenceInterval]))</f>
        <v>0.95</v>
      </c>
      <c r="R10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1001" s="5" cm="1">
        <f t="array" ref="S1001">MIN(IF((ContinuousStatsTable[GroupByKey]=ContinuousStatsTable[[#This Row],[GroupByKey]]),(ContinuousStatsTable[GroupByKey]=ContinuousStatsTable[[#This Row],[GroupByKey]])*ContinuousStatsTable[Average]))</f>
        <v>1.3726163545041801</v>
      </c>
      <c r="T1001" s="5" cm="1">
        <f t="array" ref="T1001">MAX(IF((ContinuousStatsTable[GroupByKey]=ContinuousStatsTable[[#This Row],[GroupByKey]]),(ContinuousStatsTable[GroupByKey]=ContinuousStatsTable[[#This Row],[GroupByKey]])*ContinuousStatsTable[Average]))</f>
        <v>1.7968913949876599</v>
      </c>
      <c r="U1001" s="5">
        <f>IF((ContinuousStatsTable[[#This Row],[RepsRequested]]&gt;1),ContinuousStatsTable[[#This Row],[HalfWidth]],ContinuousStatsTable[[#This Row],[BatchMeansHalfWidth]])</f>
        <v>4.3123628688677348E-2</v>
      </c>
    </row>
    <row r="1002" spans="1:21" x14ac:dyDescent="0.3">
      <c r="A1002" t="s">
        <v>66</v>
      </c>
      <c r="B1002" t="s">
        <v>68</v>
      </c>
      <c r="C1002">
        <v>26</v>
      </c>
      <c r="D1002" t="s">
        <v>102</v>
      </c>
      <c r="E1002" t="s">
        <v>97</v>
      </c>
      <c r="F1002" t="s">
        <v>95</v>
      </c>
      <c r="G1002">
        <v>2</v>
      </c>
      <c r="H1002">
        <v>2E+20</v>
      </c>
      <c r="I1002">
        <v>1</v>
      </c>
      <c r="J1002">
        <v>3</v>
      </c>
      <c r="K1002">
        <v>1</v>
      </c>
      <c r="L1002">
        <v>0</v>
      </c>
      <c r="M1002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1002" s="5" cm="1">
        <f t="array" ref="N1002">MAX(IF((ProjectInfoTable[ProjectName]=ContinuousStatsTable[[#This Row],[ProjectName]]),(ProjectInfoTable[ProjectName]=ContinuousStatsTable[[#This Row],[ProjectName]])*ProjectInfoTable[NumberOfReplications]))</f>
        <v>30</v>
      </c>
      <c r="O1002" s="5" cm="1">
        <f t="array" ref="O1002">IFERROR(AVERAGE(IF((ContinuousStatsTable[GroupByKey]=ContinuousStatsTable[[#This Row],[GroupByKey]]),(ContinuousStatsTable[GroupByKey]=ContinuousStatsTable[[#This Row],[GroupByKey]])*ContinuousStatsTable[Average])),0)</f>
        <v>2</v>
      </c>
      <c r="P1002" s="5" cm="1">
        <f t="array" ref="P1002">IFERROR(_xlfn.STDEV.S(IF((ContinuousStatsTable[GroupByKey]=ContinuousStatsTable[[#This Row],[GroupByKey]]),(ContinuousStatsTable[GroupByKey]=ContinuousStatsTable[[#This Row],[GroupByKey]])*ContinuousStatsTable[Average])),0)</f>
        <v>0</v>
      </c>
      <c r="Q1002" s="5" cm="1">
        <f t="array" ref="Q1002">MAX(IF((ProjectInfoTable[ProjectName]=ContinuousStatsTable[[#This Row],[ProjectName]]),(ProjectInfoTable[ProjectName]=ContinuousStatsTable[[#This Row],[ProjectName]])*ProjectInfoTable[ConfidenceInterval]))</f>
        <v>0.95</v>
      </c>
      <c r="R10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2" s="5" cm="1">
        <f t="array" ref="S1002">MIN(IF((ContinuousStatsTable[GroupByKey]=ContinuousStatsTable[[#This Row],[GroupByKey]]),(ContinuousStatsTable[GroupByKey]=ContinuousStatsTable[[#This Row],[GroupByKey]])*ContinuousStatsTable[Average]))</f>
        <v>2</v>
      </c>
      <c r="T1002" s="5" cm="1">
        <f t="array" ref="T1002">MAX(IF((ContinuousStatsTable[GroupByKey]=ContinuousStatsTable[[#This Row],[GroupByKey]]),(ContinuousStatsTable[GroupByKey]=ContinuousStatsTable[[#This Row],[GroupByKey]])*ContinuousStatsTable[Average]))</f>
        <v>2</v>
      </c>
      <c r="U1002" s="5">
        <f>IF((ContinuousStatsTable[[#This Row],[RepsRequested]]&gt;1),ContinuousStatsTable[[#This Row],[HalfWidth]],ContinuousStatsTable[[#This Row],[BatchMeansHalfWidth]])</f>
        <v>0</v>
      </c>
    </row>
    <row r="1003" spans="1:21" x14ac:dyDescent="0.3">
      <c r="A1003" t="s">
        <v>66</v>
      </c>
      <c r="B1003" t="s">
        <v>68</v>
      </c>
      <c r="C1003">
        <v>26</v>
      </c>
      <c r="D1003" t="s">
        <v>84</v>
      </c>
      <c r="E1003" t="s">
        <v>103</v>
      </c>
      <c r="F1003" t="s">
        <v>86</v>
      </c>
      <c r="G1003">
        <v>38.07950623987</v>
      </c>
      <c r="H1003">
        <v>2E+20</v>
      </c>
      <c r="I1003">
        <v>0</v>
      </c>
      <c r="J1003">
        <v>59</v>
      </c>
      <c r="K1003">
        <v>48</v>
      </c>
      <c r="L1003">
        <v>0</v>
      </c>
      <c r="M1003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1003" s="5" cm="1">
        <f t="array" ref="N1003">MAX(IF((ProjectInfoTable[ProjectName]=ContinuousStatsTable[[#This Row],[ProjectName]]),(ProjectInfoTable[ProjectName]=ContinuousStatsTable[[#This Row],[ProjectName]])*ProjectInfoTable[NumberOfReplications]))</f>
        <v>30</v>
      </c>
      <c r="O1003" s="5" cm="1">
        <f t="array" ref="O1003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1003" s="5" cm="1">
        <f t="array" ref="P1003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1003" s="5" cm="1">
        <f t="array" ref="Q1003">MAX(IF((ProjectInfoTable[ProjectName]=ContinuousStatsTable[[#This Row],[ProjectName]]),(ProjectInfoTable[ProjectName]=ContinuousStatsTable[[#This Row],[ProjectName]])*ProjectInfoTable[ConfidenceInterval]))</f>
        <v>0.95</v>
      </c>
      <c r="R10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1003" s="5" cm="1">
        <f t="array" ref="S1003">MIN(IF((ContinuousStatsTable[GroupByKey]=ContinuousStatsTable[[#This Row],[GroupByKey]]),(ContinuousStatsTable[GroupByKey]=ContinuousStatsTable[[#This Row],[GroupByKey]])*ContinuousStatsTable[Average]))</f>
        <v>36.709886237305</v>
      </c>
      <c r="T1003" s="5" cm="1">
        <f t="array" ref="T1003">MAX(IF((ContinuousStatsTable[GroupByKey]=ContinuousStatsTable[[#This Row],[GroupByKey]]),(ContinuousStatsTable[GroupByKey]=ContinuousStatsTable[[#This Row],[GroupByKey]])*ContinuousStatsTable[Average]))</f>
        <v>84.594951996708403</v>
      </c>
      <c r="U1003" s="5">
        <f>IF((ContinuousStatsTable[[#This Row],[RepsRequested]]&gt;1),ContinuousStatsTable[[#This Row],[HalfWidth]],ContinuousStatsTable[[#This Row],[BatchMeansHalfWidth]])</f>
        <v>4.0384933567271259</v>
      </c>
    </row>
    <row r="1004" spans="1:21" x14ac:dyDescent="0.3">
      <c r="A1004" t="s">
        <v>66</v>
      </c>
      <c r="B1004" t="s">
        <v>68</v>
      </c>
      <c r="C1004">
        <v>26</v>
      </c>
      <c r="D1004" t="s">
        <v>104</v>
      </c>
      <c r="E1004" t="s">
        <v>94</v>
      </c>
      <c r="F1004" t="s">
        <v>95</v>
      </c>
      <c r="G1004">
        <v>0</v>
      </c>
      <c r="H1004">
        <v>2E+20</v>
      </c>
      <c r="I1004">
        <v>0</v>
      </c>
      <c r="J1004">
        <v>0</v>
      </c>
      <c r="K1004">
        <v>0</v>
      </c>
      <c r="L1004">
        <v>0</v>
      </c>
      <c r="M1004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1004" s="5" cm="1">
        <f t="array" ref="N1004">MAX(IF((ProjectInfoTable[ProjectName]=ContinuousStatsTable[[#This Row],[ProjectName]]),(ProjectInfoTable[ProjectName]=ContinuousStatsTable[[#This Row],[ProjectName]])*ProjectInfoTable[NumberOfReplications]))</f>
        <v>30</v>
      </c>
      <c r="O1004" s="5" cm="1">
        <f t="array" ref="O1004">IFERROR(AVERAGE(IF((ContinuousStatsTable[GroupByKey]=ContinuousStatsTable[[#This Row],[GroupByKey]]),(ContinuousStatsTable[GroupByKey]=ContinuousStatsTable[[#This Row],[GroupByKey]])*ContinuousStatsTable[Average])),0)</f>
        <v>0</v>
      </c>
      <c r="P1004" s="5" cm="1">
        <f t="array" ref="P1004">IFERROR(_xlfn.STDEV.S(IF((ContinuousStatsTable[GroupByKey]=ContinuousStatsTable[[#This Row],[GroupByKey]]),(ContinuousStatsTable[GroupByKey]=ContinuousStatsTable[[#This Row],[GroupByKey]])*ContinuousStatsTable[Average])),0)</f>
        <v>0</v>
      </c>
      <c r="Q1004" s="5" cm="1">
        <f t="array" ref="Q1004">MAX(IF((ProjectInfoTable[ProjectName]=ContinuousStatsTable[[#This Row],[ProjectName]]),(ProjectInfoTable[ProjectName]=ContinuousStatsTable[[#This Row],[ProjectName]])*ProjectInfoTable[ConfidenceInterval]))</f>
        <v>0.95</v>
      </c>
      <c r="R10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4" s="5" cm="1">
        <f t="array" ref="S1004">MIN(IF((ContinuousStatsTable[GroupByKey]=ContinuousStatsTable[[#This Row],[GroupByKey]]),(ContinuousStatsTable[GroupByKey]=ContinuousStatsTable[[#This Row],[GroupByKey]])*ContinuousStatsTable[Average]))</f>
        <v>0</v>
      </c>
      <c r="T1004" s="5" cm="1">
        <f t="array" ref="T1004">MAX(IF((ContinuousStatsTable[GroupByKey]=ContinuousStatsTable[[#This Row],[GroupByKey]]),(ContinuousStatsTable[GroupByKey]=ContinuousStatsTable[[#This Row],[GroupByKey]])*ContinuousStatsTable[Average]))</f>
        <v>0</v>
      </c>
      <c r="U1004" s="5">
        <f>IF((ContinuousStatsTable[[#This Row],[RepsRequested]]&gt;1),ContinuousStatsTable[[#This Row],[HalfWidth]],ContinuousStatsTable[[#This Row],[BatchMeansHalfWidth]])</f>
        <v>0</v>
      </c>
    </row>
    <row r="1005" spans="1:21" x14ac:dyDescent="0.3">
      <c r="A1005" t="s">
        <v>66</v>
      </c>
      <c r="B1005" t="s">
        <v>68</v>
      </c>
      <c r="C1005">
        <v>26</v>
      </c>
      <c r="D1005" t="s">
        <v>104</v>
      </c>
      <c r="E1005" t="s">
        <v>96</v>
      </c>
      <c r="F1005" t="s">
        <v>95</v>
      </c>
      <c r="G1005">
        <v>0</v>
      </c>
      <c r="H1005">
        <v>2E+20</v>
      </c>
      <c r="I1005">
        <v>0</v>
      </c>
      <c r="J1005">
        <v>0</v>
      </c>
      <c r="K1005">
        <v>0</v>
      </c>
      <c r="L1005">
        <v>0</v>
      </c>
      <c r="M1005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1005" s="5" cm="1">
        <f t="array" ref="N1005">MAX(IF((ProjectInfoTable[ProjectName]=ContinuousStatsTable[[#This Row],[ProjectName]]),(ProjectInfoTable[ProjectName]=ContinuousStatsTable[[#This Row],[ProjectName]])*ProjectInfoTable[NumberOfReplications]))</f>
        <v>30</v>
      </c>
      <c r="O1005" s="5" cm="1">
        <f t="array" ref="O1005">IFERROR(AVERAGE(IF((ContinuousStatsTable[GroupByKey]=ContinuousStatsTable[[#This Row],[GroupByKey]]),(ContinuousStatsTable[GroupByKey]=ContinuousStatsTable[[#This Row],[GroupByKey]])*ContinuousStatsTable[Average])),0)</f>
        <v>0</v>
      </c>
      <c r="P1005" s="5" cm="1">
        <f t="array" ref="P1005">IFERROR(_xlfn.STDEV.S(IF((ContinuousStatsTable[GroupByKey]=ContinuousStatsTable[[#This Row],[GroupByKey]]),(ContinuousStatsTable[GroupByKey]=ContinuousStatsTable[[#This Row],[GroupByKey]])*ContinuousStatsTable[Average])),0)</f>
        <v>0</v>
      </c>
      <c r="Q1005" s="5" cm="1">
        <f t="array" ref="Q1005">MAX(IF((ProjectInfoTable[ProjectName]=ContinuousStatsTable[[#This Row],[ProjectName]]),(ProjectInfoTable[ProjectName]=ContinuousStatsTable[[#This Row],[ProjectName]])*ProjectInfoTable[ConfidenceInterval]))</f>
        <v>0.95</v>
      </c>
      <c r="R10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5" s="5" cm="1">
        <f t="array" ref="S1005">MIN(IF((ContinuousStatsTable[GroupByKey]=ContinuousStatsTable[[#This Row],[GroupByKey]]),(ContinuousStatsTable[GroupByKey]=ContinuousStatsTable[[#This Row],[GroupByKey]])*ContinuousStatsTable[Average]))</f>
        <v>0</v>
      </c>
      <c r="T1005" s="5" cm="1">
        <f t="array" ref="T1005">MAX(IF((ContinuousStatsTable[GroupByKey]=ContinuousStatsTable[[#This Row],[GroupByKey]]),(ContinuousStatsTable[GroupByKey]=ContinuousStatsTable[[#This Row],[GroupByKey]])*ContinuousStatsTable[Average]))</f>
        <v>0</v>
      </c>
      <c r="U1005" s="5">
        <f>IF((ContinuousStatsTable[[#This Row],[RepsRequested]]&gt;1),ContinuousStatsTable[[#This Row],[HalfWidth]],ContinuousStatsTable[[#This Row],[BatchMeansHalfWidth]])</f>
        <v>0</v>
      </c>
    </row>
    <row r="1006" spans="1:21" x14ac:dyDescent="0.3">
      <c r="A1006" t="s">
        <v>66</v>
      </c>
      <c r="B1006" t="s">
        <v>68</v>
      </c>
      <c r="C1006">
        <v>26</v>
      </c>
      <c r="D1006" t="s">
        <v>104</v>
      </c>
      <c r="E1006" t="s">
        <v>97</v>
      </c>
      <c r="F1006" t="s">
        <v>95</v>
      </c>
      <c r="G1006">
        <v>3</v>
      </c>
      <c r="H1006">
        <v>2E+20</v>
      </c>
      <c r="I1006">
        <v>3</v>
      </c>
      <c r="J1006">
        <v>3</v>
      </c>
      <c r="K1006">
        <v>3</v>
      </c>
      <c r="L1006">
        <v>0</v>
      </c>
      <c r="M1006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1006" s="5" cm="1">
        <f t="array" ref="N1006">MAX(IF((ProjectInfoTable[ProjectName]=ContinuousStatsTable[[#This Row],[ProjectName]]),(ProjectInfoTable[ProjectName]=ContinuousStatsTable[[#This Row],[ProjectName]])*ProjectInfoTable[NumberOfReplications]))</f>
        <v>30</v>
      </c>
      <c r="O1006" s="5" cm="1">
        <f t="array" ref="O1006">IFERROR(AVERAGE(IF((ContinuousStatsTable[GroupByKey]=ContinuousStatsTable[[#This Row],[GroupByKey]]),(ContinuousStatsTable[GroupByKey]=ContinuousStatsTable[[#This Row],[GroupByKey]])*ContinuousStatsTable[Average])),0)</f>
        <v>3</v>
      </c>
      <c r="P1006" s="5" cm="1">
        <f t="array" ref="P1006">IFERROR(_xlfn.STDEV.S(IF((ContinuousStatsTable[GroupByKey]=ContinuousStatsTable[[#This Row],[GroupByKey]]),(ContinuousStatsTable[GroupByKey]=ContinuousStatsTable[[#This Row],[GroupByKey]])*ContinuousStatsTable[Average])),0)</f>
        <v>0</v>
      </c>
      <c r="Q1006" s="5" cm="1">
        <f t="array" ref="Q1006">MAX(IF((ProjectInfoTable[ProjectName]=ContinuousStatsTable[[#This Row],[ProjectName]]),(ProjectInfoTable[ProjectName]=ContinuousStatsTable[[#This Row],[ProjectName]])*ProjectInfoTable[ConfidenceInterval]))</f>
        <v>0.95</v>
      </c>
      <c r="R10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6" s="5" cm="1">
        <f t="array" ref="S1006">MIN(IF((ContinuousStatsTable[GroupByKey]=ContinuousStatsTable[[#This Row],[GroupByKey]]),(ContinuousStatsTable[GroupByKey]=ContinuousStatsTable[[#This Row],[GroupByKey]])*ContinuousStatsTable[Average]))</f>
        <v>3</v>
      </c>
      <c r="T1006" s="5" cm="1">
        <f t="array" ref="T1006">MAX(IF((ContinuousStatsTable[GroupByKey]=ContinuousStatsTable[[#This Row],[GroupByKey]]),(ContinuousStatsTable[GroupByKey]=ContinuousStatsTable[[#This Row],[GroupByKey]])*ContinuousStatsTable[Average]))</f>
        <v>3</v>
      </c>
      <c r="U1006" s="5">
        <f>IF((ContinuousStatsTable[[#This Row],[RepsRequested]]&gt;1),ContinuousStatsTable[[#This Row],[HalfWidth]],ContinuousStatsTable[[#This Row],[BatchMeansHalfWidth]])</f>
        <v>0</v>
      </c>
    </row>
    <row r="1007" spans="1:21" x14ac:dyDescent="0.3">
      <c r="A1007" t="s">
        <v>66</v>
      </c>
      <c r="B1007" t="s">
        <v>68</v>
      </c>
      <c r="C1007">
        <v>26</v>
      </c>
      <c r="D1007" t="s">
        <v>105</v>
      </c>
      <c r="E1007" t="s">
        <v>94</v>
      </c>
      <c r="F1007" t="s">
        <v>95</v>
      </c>
      <c r="G1007">
        <v>0.64763492298344505</v>
      </c>
      <c r="H1007">
        <v>2E+20</v>
      </c>
      <c r="I1007">
        <v>0</v>
      </c>
      <c r="J1007">
        <v>1</v>
      </c>
      <c r="K1007">
        <v>1</v>
      </c>
      <c r="L1007">
        <v>0</v>
      </c>
      <c r="M1007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1007" s="5" cm="1">
        <f t="array" ref="N1007">MAX(IF((ProjectInfoTable[ProjectName]=ContinuousStatsTable[[#This Row],[ProjectName]]),(ProjectInfoTable[ProjectName]=ContinuousStatsTable[[#This Row],[ProjectName]])*ProjectInfoTable[NumberOfReplications]))</f>
        <v>30</v>
      </c>
      <c r="O1007" s="5" cm="1">
        <f t="array" ref="O1007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007" s="5" cm="1">
        <f t="array" ref="P1007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007" s="5" cm="1">
        <f t="array" ref="Q1007">MAX(IF((ProjectInfoTable[ProjectName]=ContinuousStatsTable[[#This Row],[ProjectName]]),(ProjectInfoTable[ProjectName]=ContinuousStatsTable[[#This Row],[ProjectName]])*ProjectInfoTable[ConfidenceInterval]))</f>
        <v>0.95</v>
      </c>
      <c r="R10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007" s="5" cm="1">
        <f t="array" ref="S1007">MIN(IF((ContinuousStatsTable[GroupByKey]=ContinuousStatsTable[[#This Row],[GroupByKey]]),(ContinuousStatsTable[GroupByKey]=ContinuousStatsTable[[#This Row],[GroupByKey]])*ContinuousStatsTable[Average]))</f>
        <v>0.634589476164233</v>
      </c>
      <c r="T1007" s="5" cm="1">
        <f t="array" ref="T1007">MAX(IF((ContinuousStatsTable[GroupByKey]=ContinuousStatsTable[[#This Row],[GroupByKey]]),(ContinuousStatsTable[GroupByKey]=ContinuousStatsTable[[#This Row],[GroupByKey]])*ContinuousStatsTable[Average]))</f>
        <v>0.99383259650362799</v>
      </c>
      <c r="U1007" s="5">
        <f>IF((ContinuousStatsTable[[#This Row],[RepsRequested]]&gt;1),ContinuousStatsTable[[#This Row],[HalfWidth]],ContinuousStatsTable[[#This Row],[BatchMeansHalfWidth]])</f>
        <v>3.9940526897700258E-2</v>
      </c>
    </row>
    <row r="1008" spans="1:21" x14ac:dyDescent="0.3">
      <c r="A1008" t="s">
        <v>66</v>
      </c>
      <c r="B1008" t="s">
        <v>68</v>
      </c>
      <c r="C1008">
        <v>26</v>
      </c>
      <c r="D1008" t="s">
        <v>105</v>
      </c>
      <c r="E1008" t="s">
        <v>96</v>
      </c>
      <c r="F1008" t="s">
        <v>95</v>
      </c>
      <c r="G1008">
        <v>0.64763492298344505</v>
      </c>
      <c r="H1008">
        <v>2E+20</v>
      </c>
      <c r="I1008">
        <v>0</v>
      </c>
      <c r="J1008">
        <v>1</v>
      </c>
      <c r="K1008">
        <v>1</v>
      </c>
      <c r="L1008">
        <v>0</v>
      </c>
      <c r="M1008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1008" s="5" cm="1">
        <f t="array" ref="N1008">MAX(IF((ProjectInfoTable[ProjectName]=ContinuousStatsTable[[#This Row],[ProjectName]]),(ProjectInfoTable[ProjectName]=ContinuousStatsTable[[#This Row],[ProjectName]])*ProjectInfoTable[NumberOfReplications]))</f>
        <v>30</v>
      </c>
      <c r="O1008" s="5" cm="1">
        <f t="array" ref="O1008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008" s="5" cm="1">
        <f t="array" ref="P1008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008" s="5" cm="1">
        <f t="array" ref="Q1008">MAX(IF((ProjectInfoTable[ProjectName]=ContinuousStatsTable[[#This Row],[ProjectName]]),(ProjectInfoTable[ProjectName]=ContinuousStatsTable[[#This Row],[ProjectName]])*ProjectInfoTable[ConfidenceInterval]))</f>
        <v>0.95</v>
      </c>
      <c r="R10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008" s="5" cm="1">
        <f t="array" ref="S1008">MIN(IF((ContinuousStatsTable[GroupByKey]=ContinuousStatsTable[[#This Row],[GroupByKey]]),(ContinuousStatsTable[GroupByKey]=ContinuousStatsTable[[#This Row],[GroupByKey]])*ContinuousStatsTable[Average]))</f>
        <v>0.634589476164233</v>
      </c>
      <c r="T1008" s="5" cm="1">
        <f t="array" ref="T1008">MAX(IF((ContinuousStatsTable[GroupByKey]=ContinuousStatsTable[[#This Row],[GroupByKey]]),(ContinuousStatsTable[GroupByKey]=ContinuousStatsTable[[#This Row],[GroupByKey]])*ContinuousStatsTable[Average]))</f>
        <v>0.99383259650362799</v>
      </c>
      <c r="U1008" s="5">
        <f>IF((ContinuousStatsTable[[#This Row],[RepsRequested]]&gt;1),ContinuousStatsTable[[#This Row],[HalfWidth]],ContinuousStatsTable[[#This Row],[BatchMeansHalfWidth]])</f>
        <v>3.9940526897700258E-2</v>
      </c>
    </row>
    <row r="1009" spans="1:21" x14ac:dyDescent="0.3">
      <c r="A1009" t="s">
        <v>66</v>
      </c>
      <c r="B1009" t="s">
        <v>68</v>
      </c>
      <c r="C1009">
        <v>26</v>
      </c>
      <c r="D1009" t="s">
        <v>105</v>
      </c>
      <c r="E1009" t="s">
        <v>97</v>
      </c>
      <c r="F1009" t="s">
        <v>95</v>
      </c>
      <c r="G1009">
        <v>1</v>
      </c>
      <c r="H1009">
        <v>2E+20</v>
      </c>
      <c r="I1009">
        <v>1</v>
      </c>
      <c r="J1009">
        <v>1</v>
      </c>
      <c r="K1009">
        <v>1</v>
      </c>
      <c r="L1009">
        <v>0</v>
      </c>
      <c r="M1009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1009" s="5" cm="1">
        <f t="array" ref="N1009">MAX(IF((ProjectInfoTable[ProjectName]=ContinuousStatsTable[[#This Row],[ProjectName]]),(ProjectInfoTable[ProjectName]=ContinuousStatsTable[[#This Row],[ProjectName]])*ProjectInfoTable[NumberOfReplications]))</f>
        <v>30</v>
      </c>
      <c r="O1009" s="5" cm="1">
        <f t="array" ref="O1009">IFERROR(AVERAGE(IF((ContinuousStatsTable[GroupByKey]=ContinuousStatsTable[[#This Row],[GroupByKey]]),(ContinuousStatsTable[GroupByKey]=ContinuousStatsTable[[#This Row],[GroupByKey]])*ContinuousStatsTable[Average])),0)</f>
        <v>1</v>
      </c>
      <c r="P1009" s="5" cm="1">
        <f t="array" ref="P1009">IFERROR(_xlfn.STDEV.S(IF((ContinuousStatsTable[GroupByKey]=ContinuousStatsTable[[#This Row],[GroupByKey]]),(ContinuousStatsTable[GroupByKey]=ContinuousStatsTable[[#This Row],[GroupByKey]])*ContinuousStatsTable[Average])),0)</f>
        <v>0</v>
      </c>
      <c r="Q1009" s="5" cm="1">
        <f t="array" ref="Q1009">MAX(IF((ProjectInfoTable[ProjectName]=ContinuousStatsTable[[#This Row],[ProjectName]]),(ProjectInfoTable[ProjectName]=ContinuousStatsTable[[#This Row],[ProjectName]])*ProjectInfoTable[ConfidenceInterval]))</f>
        <v>0.95</v>
      </c>
      <c r="R10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9" s="5" cm="1">
        <f t="array" ref="S1009">MIN(IF((ContinuousStatsTable[GroupByKey]=ContinuousStatsTable[[#This Row],[GroupByKey]]),(ContinuousStatsTable[GroupByKey]=ContinuousStatsTable[[#This Row],[GroupByKey]])*ContinuousStatsTable[Average]))</f>
        <v>1</v>
      </c>
      <c r="T1009" s="5" cm="1">
        <f t="array" ref="T1009">MAX(IF((ContinuousStatsTable[GroupByKey]=ContinuousStatsTable[[#This Row],[GroupByKey]]),(ContinuousStatsTable[GroupByKey]=ContinuousStatsTable[[#This Row],[GroupByKey]])*ContinuousStatsTable[Average]))</f>
        <v>1</v>
      </c>
      <c r="U1009" s="5">
        <f>IF((ContinuousStatsTable[[#This Row],[RepsRequested]]&gt;1),ContinuousStatsTable[[#This Row],[HalfWidth]],ContinuousStatsTable[[#This Row],[BatchMeansHalfWidth]])</f>
        <v>0</v>
      </c>
    </row>
    <row r="1010" spans="1:21" x14ac:dyDescent="0.3">
      <c r="A1010" t="s">
        <v>66</v>
      </c>
      <c r="B1010" t="s">
        <v>68</v>
      </c>
      <c r="C1010">
        <v>26</v>
      </c>
      <c r="D1010" t="s">
        <v>106</v>
      </c>
      <c r="E1010" t="s">
        <v>94</v>
      </c>
      <c r="F1010" t="s">
        <v>95</v>
      </c>
      <c r="G1010">
        <v>0.760896733409826</v>
      </c>
      <c r="H1010">
        <v>2E+20</v>
      </c>
      <c r="I1010">
        <v>0</v>
      </c>
      <c r="J1010">
        <v>1</v>
      </c>
      <c r="K1010">
        <v>1</v>
      </c>
      <c r="L1010">
        <v>0</v>
      </c>
      <c r="M1010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1010" s="5" cm="1">
        <f t="array" ref="N1010">MAX(IF((ProjectInfoTable[ProjectName]=ContinuousStatsTable[[#This Row],[ProjectName]]),(ProjectInfoTable[ProjectName]=ContinuousStatsTable[[#This Row],[ProjectName]])*ProjectInfoTable[NumberOfReplications]))</f>
        <v>30</v>
      </c>
      <c r="O1010" s="5" cm="1">
        <f t="array" ref="O1010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010" s="5" cm="1">
        <f t="array" ref="P1010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010" s="5" cm="1">
        <f t="array" ref="Q1010">MAX(IF((ProjectInfoTable[ProjectName]=ContinuousStatsTable[[#This Row],[ProjectName]]),(ProjectInfoTable[ProjectName]=ContinuousStatsTable[[#This Row],[ProjectName]])*ProjectInfoTable[ConfidenceInterval]))</f>
        <v>0.95</v>
      </c>
      <c r="R10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010" s="5" cm="1">
        <f t="array" ref="S1010">MIN(IF((ContinuousStatsTable[GroupByKey]=ContinuousStatsTable[[#This Row],[GroupByKey]]),(ContinuousStatsTable[GroupByKey]=ContinuousStatsTable[[#This Row],[GroupByKey]])*ContinuousStatsTable[Average]))</f>
        <v>0.74061105631083801</v>
      </c>
      <c r="T1010" s="5" cm="1">
        <f t="array" ref="T1010">MAX(IF((ContinuousStatsTable[GroupByKey]=ContinuousStatsTable[[#This Row],[GroupByKey]]),(ContinuousStatsTable[GroupByKey]=ContinuousStatsTable[[#This Row],[GroupByKey]])*ContinuousStatsTable[Average]))</f>
        <v>0.99245161744166299</v>
      </c>
      <c r="U1010" s="5">
        <f>IF((ContinuousStatsTable[[#This Row],[RepsRequested]]&gt;1),ContinuousStatsTable[[#This Row],[HalfWidth]],ContinuousStatsTable[[#This Row],[BatchMeansHalfWidth]])</f>
        <v>2.8912497794626357E-2</v>
      </c>
    </row>
    <row r="1011" spans="1:21" x14ac:dyDescent="0.3">
      <c r="A1011" t="s">
        <v>66</v>
      </c>
      <c r="B1011" t="s">
        <v>68</v>
      </c>
      <c r="C1011">
        <v>26</v>
      </c>
      <c r="D1011" t="s">
        <v>106</v>
      </c>
      <c r="E1011" t="s">
        <v>96</v>
      </c>
      <c r="F1011" t="s">
        <v>95</v>
      </c>
      <c r="G1011">
        <v>0.760896733409826</v>
      </c>
      <c r="H1011">
        <v>2E+20</v>
      </c>
      <c r="I1011">
        <v>0</v>
      </c>
      <c r="J1011">
        <v>1</v>
      </c>
      <c r="K1011">
        <v>1</v>
      </c>
      <c r="L1011">
        <v>0</v>
      </c>
      <c r="M1011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1011" s="5" cm="1">
        <f t="array" ref="N1011">MAX(IF((ProjectInfoTable[ProjectName]=ContinuousStatsTable[[#This Row],[ProjectName]]),(ProjectInfoTable[ProjectName]=ContinuousStatsTable[[#This Row],[ProjectName]])*ProjectInfoTable[NumberOfReplications]))</f>
        <v>30</v>
      </c>
      <c r="O1011" s="5" cm="1">
        <f t="array" ref="O1011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011" s="5" cm="1">
        <f t="array" ref="P1011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011" s="5" cm="1">
        <f t="array" ref="Q1011">MAX(IF((ProjectInfoTable[ProjectName]=ContinuousStatsTable[[#This Row],[ProjectName]]),(ProjectInfoTable[ProjectName]=ContinuousStatsTable[[#This Row],[ProjectName]])*ProjectInfoTable[ConfidenceInterval]))</f>
        <v>0.95</v>
      </c>
      <c r="R10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011" s="5" cm="1">
        <f t="array" ref="S1011">MIN(IF((ContinuousStatsTable[GroupByKey]=ContinuousStatsTable[[#This Row],[GroupByKey]]),(ContinuousStatsTable[GroupByKey]=ContinuousStatsTable[[#This Row],[GroupByKey]])*ContinuousStatsTable[Average]))</f>
        <v>0.74061105631083801</v>
      </c>
      <c r="T1011" s="5" cm="1">
        <f t="array" ref="T1011">MAX(IF((ContinuousStatsTable[GroupByKey]=ContinuousStatsTable[[#This Row],[GroupByKey]]),(ContinuousStatsTable[GroupByKey]=ContinuousStatsTable[[#This Row],[GroupByKey]])*ContinuousStatsTable[Average]))</f>
        <v>0.99245161744166299</v>
      </c>
      <c r="U1011" s="5">
        <f>IF((ContinuousStatsTable[[#This Row],[RepsRequested]]&gt;1),ContinuousStatsTable[[#This Row],[HalfWidth]],ContinuousStatsTable[[#This Row],[BatchMeansHalfWidth]])</f>
        <v>2.8912497794626357E-2</v>
      </c>
    </row>
    <row r="1012" spans="1:21" x14ac:dyDescent="0.3">
      <c r="A1012" t="s">
        <v>66</v>
      </c>
      <c r="B1012" t="s">
        <v>68</v>
      </c>
      <c r="C1012">
        <v>26</v>
      </c>
      <c r="D1012" t="s">
        <v>106</v>
      </c>
      <c r="E1012" t="s">
        <v>97</v>
      </c>
      <c r="F1012" t="s">
        <v>95</v>
      </c>
      <c r="G1012">
        <v>1</v>
      </c>
      <c r="H1012">
        <v>2E+20</v>
      </c>
      <c r="I1012">
        <v>1</v>
      </c>
      <c r="J1012">
        <v>1</v>
      </c>
      <c r="K1012">
        <v>1</v>
      </c>
      <c r="L1012">
        <v>0</v>
      </c>
      <c r="M1012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1012" s="5" cm="1">
        <f t="array" ref="N1012">MAX(IF((ProjectInfoTable[ProjectName]=ContinuousStatsTable[[#This Row],[ProjectName]]),(ProjectInfoTable[ProjectName]=ContinuousStatsTable[[#This Row],[ProjectName]])*ProjectInfoTable[NumberOfReplications]))</f>
        <v>30</v>
      </c>
      <c r="O1012" s="5" cm="1">
        <f t="array" ref="O1012">IFERROR(AVERAGE(IF((ContinuousStatsTable[GroupByKey]=ContinuousStatsTable[[#This Row],[GroupByKey]]),(ContinuousStatsTable[GroupByKey]=ContinuousStatsTable[[#This Row],[GroupByKey]])*ContinuousStatsTable[Average])),0)</f>
        <v>1</v>
      </c>
      <c r="P1012" s="5" cm="1">
        <f t="array" ref="P1012">IFERROR(_xlfn.STDEV.S(IF((ContinuousStatsTable[GroupByKey]=ContinuousStatsTable[[#This Row],[GroupByKey]]),(ContinuousStatsTable[GroupByKey]=ContinuousStatsTable[[#This Row],[GroupByKey]])*ContinuousStatsTable[Average])),0)</f>
        <v>0</v>
      </c>
      <c r="Q1012" s="5" cm="1">
        <f t="array" ref="Q1012">MAX(IF((ProjectInfoTable[ProjectName]=ContinuousStatsTable[[#This Row],[ProjectName]]),(ProjectInfoTable[ProjectName]=ContinuousStatsTable[[#This Row],[ProjectName]])*ProjectInfoTable[ConfidenceInterval]))</f>
        <v>0.95</v>
      </c>
      <c r="R10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2" s="5" cm="1">
        <f t="array" ref="S1012">MIN(IF((ContinuousStatsTable[GroupByKey]=ContinuousStatsTable[[#This Row],[GroupByKey]]),(ContinuousStatsTable[GroupByKey]=ContinuousStatsTable[[#This Row],[GroupByKey]])*ContinuousStatsTable[Average]))</f>
        <v>1</v>
      </c>
      <c r="T1012" s="5" cm="1">
        <f t="array" ref="T1012">MAX(IF((ContinuousStatsTable[GroupByKey]=ContinuousStatsTable[[#This Row],[GroupByKey]]),(ContinuousStatsTable[GroupByKey]=ContinuousStatsTable[[#This Row],[GroupByKey]])*ContinuousStatsTable[Average]))</f>
        <v>1</v>
      </c>
      <c r="U1012" s="5">
        <f>IF((ContinuousStatsTable[[#This Row],[RepsRequested]]&gt;1),ContinuousStatsTable[[#This Row],[HalfWidth]],ContinuousStatsTable[[#This Row],[BatchMeansHalfWidth]])</f>
        <v>0</v>
      </c>
    </row>
    <row r="1013" spans="1:21" x14ac:dyDescent="0.3">
      <c r="A1013" t="s">
        <v>66</v>
      </c>
      <c r="B1013" t="s">
        <v>68</v>
      </c>
      <c r="C1013">
        <v>26</v>
      </c>
      <c r="D1013" t="s">
        <v>107</v>
      </c>
      <c r="E1013" t="s">
        <v>94</v>
      </c>
      <c r="F1013" t="s">
        <v>95</v>
      </c>
      <c r="G1013">
        <v>0.73843386001690303</v>
      </c>
      <c r="H1013">
        <v>2E+20</v>
      </c>
      <c r="I1013">
        <v>0</v>
      </c>
      <c r="J1013">
        <v>1</v>
      </c>
      <c r="K1013">
        <v>1</v>
      </c>
      <c r="L1013">
        <v>0</v>
      </c>
      <c r="M1013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1013" s="5" cm="1">
        <f t="array" ref="N1013">MAX(IF((ProjectInfoTable[ProjectName]=ContinuousStatsTable[[#This Row],[ProjectName]]),(ProjectInfoTable[ProjectName]=ContinuousStatsTable[[#This Row],[ProjectName]])*ProjectInfoTable[NumberOfReplications]))</f>
        <v>30</v>
      </c>
      <c r="O1013" s="5" cm="1">
        <f t="array" ref="O1013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013" s="5" cm="1">
        <f t="array" ref="P1013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013" s="5" cm="1">
        <f t="array" ref="Q1013">MAX(IF((ProjectInfoTable[ProjectName]=ContinuousStatsTable[[#This Row],[ProjectName]]),(ProjectInfoTable[ProjectName]=ContinuousStatsTable[[#This Row],[ProjectName]])*ProjectInfoTable[ConfidenceInterval]))</f>
        <v>0.95</v>
      </c>
      <c r="R10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013" s="5" cm="1">
        <f t="array" ref="S1013">MIN(IF((ContinuousStatsTable[GroupByKey]=ContinuousStatsTable[[#This Row],[GroupByKey]]),(ContinuousStatsTable[GroupByKey]=ContinuousStatsTable[[#This Row],[GroupByKey]])*ContinuousStatsTable[Average]))</f>
        <v>0.73843386001690303</v>
      </c>
      <c r="T1013" s="5" cm="1">
        <f t="array" ref="T1013">MAX(IF((ContinuousStatsTable[GroupByKey]=ContinuousStatsTable[[#This Row],[GroupByKey]]),(ContinuousStatsTable[GroupByKey]=ContinuousStatsTable[[#This Row],[GroupByKey]])*ContinuousStatsTable[Average]))</f>
        <v>0.99245161744166299</v>
      </c>
      <c r="U1013" s="5">
        <f>IF((ContinuousStatsTable[[#This Row],[RepsRequested]]&gt;1),ContinuousStatsTable[[#This Row],[HalfWidth]],ContinuousStatsTable[[#This Row],[BatchMeansHalfWidth]])</f>
        <v>2.6057642646860522E-2</v>
      </c>
    </row>
    <row r="1014" spans="1:21" x14ac:dyDescent="0.3">
      <c r="A1014" t="s">
        <v>66</v>
      </c>
      <c r="B1014" t="s">
        <v>68</v>
      </c>
      <c r="C1014">
        <v>26</v>
      </c>
      <c r="D1014" t="s">
        <v>107</v>
      </c>
      <c r="E1014" t="s">
        <v>96</v>
      </c>
      <c r="F1014" t="s">
        <v>95</v>
      </c>
      <c r="G1014">
        <v>0.73843386001690303</v>
      </c>
      <c r="H1014">
        <v>2E+20</v>
      </c>
      <c r="I1014">
        <v>0</v>
      </c>
      <c r="J1014">
        <v>1</v>
      </c>
      <c r="K1014">
        <v>1</v>
      </c>
      <c r="L1014">
        <v>0</v>
      </c>
      <c r="M1014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1014" s="5" cm="1">
        <f t="array" ref="N1014">MAX(IF((ProjectInfoTable[ProjectName]=ContinuousStatsTable[[#This Row],[ProjectName]]),(ProjectInfoTable[ProjectName]=ContinuousStatsTable[[#This Row],[ProjectName]])*ProjectInfoTable[NumberOfReplications]))</f>
        <v>30</v>
      </c>
      <c r="O1014" s="5" cm="1">
        <f t="array" ref="O1014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014" s="5" cm="1">
        <f t="array" ref="P1014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014" s="5" cm="1">
        <f t="array" ref="Q1014">MAX(IF((ProjectInfoTable[ProjectName]=ContinuousStatsTable[[#This Row],[ProjectName]]),(ProjectInfoTable[ProjectName]=ContinuousStatsTable[[#This Row],[ProjectName]])*ProjectInfoTable[ConfidenceInterval]))</f>
        <v>0.95</v>
      </c>
      <c r="R10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014" s="5" cm="1">
        <f t="array" ref="S1014">MIN(IF((ContinuousStatsTable[GroupByKey]=ContinuousStatsTable[[#This Row],[GroupByKey]]),(ContinuousStatsTable[GroupByKey]=ContinuousStatsTable[[#This Row],[GroupByKey]])*ContinuousStatsTable[Average]))</f>
        <v>0.73843386001690303</v>
      </c>
      <c r="T1014" s="5" cm="1">
        <f t="array" ref="T1014">MAX(IF((ContinuousStatsTable[GroupByKey]=ContinuousStatsTable[[#This Row],[GroupByKey]]),(ContinuousStatsTable[GroupByKey]=ContinuousStatsTable[[#This Row],[GroupByKey]])*ContinuousStatsTable[Average]))</f>
        <v>0.99245161744166299</v>
      </c>
      <c r="U1014" s="5">
        <f>IF((ContinuousStatsTable[[#This Row],[RepsRequested]]&gt;1),ContinuousStatsTable[[#This Row],[HalfWidth]],ContinuousStatsTable[[#This Row],[BatchMeansHalfWidth]])</f>
        <v>2.6057642646860522E-2</v>
      </c>
    </row>
    <row r="1015" spans="1:21" x14ac:dyDescent="0.3">
      <c r="A1015" t="s">
        <v>66</v>
      </c>
      <c r="B1015" t="s">
        <v>68</v>
      </c>
      <c r="C1015">
        <v>26</v>
      </c>
      <c r="D1015" t="s">
        <v>107</v>
      </c>
      <c r="E1015" t="s">
        <v>97</v>
      </c>
      <c r="F1015" t="s">
        <v>95</v>
      </c>
      <c r="G1015">
        <v>1</v>
      </c>
      <c r="H1015">
        <v>2E+20</v>
      </c>
      <c r="I1015">
        <v>1</v>
      </c>
      <c r="J1015">
        <v>1</v>
      </c>
      <c r="K1015">
        <v>1</v>
      </c>
      <c r="L1015">
        <v>0</v>
      </c>
      <c r="M1015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1015" s="5" cm="1">
        <f t="array" ref="N1015">MAX(IF((ProjectInfoTable[ProjectName]=ContinuousStatsTable[[#This Row],[ProjectName]]),(ProjectInfoTable[ProjectName]=ContinuousStatsTable[[#This Row],[ProjectName]])*ProjectInfoTable[NumberOfReplications]))</f>
        <v>30</v>
      </c>
      <c r="O1015" s="5" cm="1">
        <f t="array" ref="O1015">IFERROR(AVERAGE(IF((ContinuousStatsTable[GroupByKey]=ContinuousStatsTable[[#This Row],[GroupByKey]]),(ContinuousStatsTable[GroupByKey]=ContinuousStatsTable[[#This Row],[GroupByKey]])*ContinuousStatsTable[Average])),0)</f>
        <v>1</v>
      </c>
      <c r="P1015" s="5" cm="1">
        <f t="array" ref="P1015">IFERROR(_xlfn.STDEV.S(IF((ContinuousStatsTable[GroupByKey]=ContinuousStatsTable[[#This Row],[GroupByKey]]),(ContinuousStatsTable[GroupByKey]=ContinuousStatsTable[[#This Row],[GroupByKey]])*ContinuousStatsTable[Average])),0)</f>
        <v>0</v>
      </c>
      <c r="Q1015" s="5" cm="1">
        <f t="array" ref="Q1015">MAX(IF((ProjectInfoTable[ProjectName]=ContinuousStatsTable[[#This Row],[ProjectName]]),(ProjectInfoTable[ProjectName]=ContinuousStatsTable[[#This Row],[ProjectName]])*ProjectInfoTable[ConfidenceInterval]))</f>
        <v>0.95</v>
      </c>
      <c r="R10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5" s="5" cm="1">
        <f t="array" ref="S1015">MIN(IF((ContinuousStatsTable[GroupByKey]=ContinuousStatsTable[[#This Row],[GroupByKey]]),(ContinuousStatsTable[GroupByKey]=ContinuousStatsTable[[#This Row],[GroupByKey]])*ContinuousStatsTable[Average]))</f>
        <v>1</v>
      </c>
      <c r="T1015" s="5" cm="1">
        <f t="array" ref="T1015">MAX(IF((ContinuousStatsTable[GroupByKey]=ContinuousStatsTable[[#This Row],[GroupByKey]]),(ContinuousStatsTable[GroupByKey]=ContinuousStatsTable[[#This Row],[GroupByKey]])*ContinuousStatsTable[Average]))</f>
        <v>1</v>
      </c>
      <c r="U1015" s="5">
        <f>IF((ContinuousStatsTable[[#This Row],[RepsRequested]]&gt;1),ContinuousStatsTable[[#This Row],[HalfWidth]],ContinuousStatsTable[[#This Row],[BatchMeansHalfWidth]])</f>
        <v>0</v>
      </c>
    </row>
    <row r="1016" spans="1:21" x14ac:dyDescent="0.3">
      <c r="A1016" t="s">
        <v>66</v>
      </c>
      <c r="B1016" t="s">
        <v>68</v>
      </c>
      <c r="C1016">
        <v>27</v>
      </c>
      <c r="D1016" t="s">
        <v>69</v>
      </c>
      <c r="E1016" t="s">
        <v>92</v>
      </c>
      <c r="F1016" t="s">
        <v>71</v>
      </c>
      <c r="G1016">
        <v>6.5516597206482796</v>
      </c>
      <c r="H1016">
        <v>2E+20</v>
      </c>
      <c r="I1016">
        <v>0</v>
      </c>
      <c r="J1016">
        <v>24</v>
      </c>
      <c r="K1016">
        <v>0</v>
      </c>
      <c r="L1016">
        <v>0</v>
      </c>
      <c r="M1016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1016" s="5" cm="1">
        <f t="array" ref="N1016">MAX(IF((ProjectInfoTable[ProjectName]=ContinuousStatsTable[[#This Row],[ProjectName]]),(ProjectInfoTable[ProjectName]=ContinuousStatsTable[[#This Row],[ProjectName]])*ProjectInfoTable[NumberOfReplications]))</f>
        <v>30</v>
      </c>
      <c r="O1016" s="5" cm="1">
        <f t="array" ref="O1016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1016" s="5" cm="1">
        <f t="array" ref="P1016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1016" s="5" cm="1">
        <f t="array" ref="Q1016">MAX(IF((ProjectInfoTable[ProjectName]=ContinuousStatsTable[[#This Row],[ProjectName]]),(ProjectInfoTable[ProjectName]=ContinuousStatsTable[[#This Row],[ProjectName]])*ProjectInfoTable[ConfidenceInterval]))</f>
        <v>0.95</v>
      </c>
      <c r="R10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1016" s="5" cm="1">
        <f t="array" ref="S1016">MIN(IF((ContinuousStatsTable[GroupByKey]=ContinuousStatsTable[[#This Row],[GroupByKey]]),(ContinuousStatsTable[GroupByKey]=ContinuousStatsTable[[#This Row],[GroupByKey]])*ContinuousStatsTable[Average]))</f>
        <v>2.2853775994771</v>
      </c>
      <c r="T1016" s="5" cm="1">
        <f t="array" ref="T1016">MAX(IF((ContinuousStatsTable[GroupByKey]=ContinuousStatsTable[[#This Row],[GroupByKey]]),(ContinuousStatsTable[GroupByKey]=ContinuousStatsTable[[#This Row],[GroupByKey]])*ContinuousStatsTable[Average]))</f>
        <v>9.3827575078214593</v>
      </c>
      <c r="U1016" s="5">
        <f>IF((ContinuousStatsTable[[#This Row],[RepsRequested]]&gt;1),ContinuousStatsTable[[#This Row],[HalfWidth]],ContinuousStatsTable[[#This Row],[BatchMeansHalfWidth]])</f>
        <v>0.70373665421471332</v>
      </c>
    </row>
    <row r="1017" spans="1:21" x14ac:dyDescent="0.3">
      <c r="A1017" t="s">
        <v>66</v>
      </c>
      <c r="B1017" t="s">
        <v>68</v>
      </c>
      <c r="C1017">
        <v>27</v>
      </c>
      <c r="D1017" t="s">
        <v>72</v>
      </c>
      <c r="E1017" t="s">
        <v>92</v>
      </c>
      <c r="F1017" t="s">
        <v>71</v>
      </c>
      <c r="G1017">
        <v>5.5613134650246501</v>
      </c>
      <c r="H1017">
        <v>2E+20</v>
      </c>
      <c r="I1017">
        <v>0</v>
      </c>
      <c r="J1017">
        <v>26</v>
      </c>
      <c r="K1017">
        <v>0</v>
      </c>
      <c r="L1017">
        <v>0</v>
      </c>
      <c r="M1017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1017" s="5" cm="1">
        <f t="array" ref="N1017">MAX(IF((ProjectInfoTable[ProjectName]=ContinuousStatsTable[[#This Row],[ProjectName]]),(ProjectInfoTable[ProjectName]=ContinuousStatsTable[[#This Row],[ProjectName]])*ProjectInfoTable[NumberOfReplications]))</f>
        <v>30</v>
      </c>
      <c r="O1017" s="5" cm="1">
        <f t="array" ref="O1017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1017" s="5" cm="1">
        <f t="array" ref="P1017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1017" s="5" cm="1">
        <f t="array" ref="Q1017">MAX(IF((ProjectInfoTable[ProjectName]=ContinuousStatsTable[[#This Row],[ProjectName]]),(ProjectInfoTable[ProjectName]=ContinuousStatsTable[[#This Row],[ProjectName]])*ProjectInfoTable[ConfidenceInterval]))</f>
        <v>0.95</v>
      </c>
      <c r="R10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1017" s="5" cm="1">
        <f t="array" ref="S1017">MIN(IF((ContinuousStatsTable[GroupByKey]=ContinuousStatsTable[[#This Row],[GroupByKey]]),(ContinuousStatsTable[GroupByKey]=ContinuousStatsTable[[#This Row],[GroupByKey]])*ContinuousStatsTable[Average]))</f>
        <v>1.4754093813695901</v>
      </c>
      <c r="T1017" s="5" cm="1">
        <f t="array" ref="T1017">MAX(IF((ContinuousStatsTable[GroupByKey]=ContinuousStatsTable[[#This Row],[GroupByKey]]),(ContinuousStatsTable[GroupByKey]=ContinuousStatsTable[[#This Row],[GroupByKey]])*ContinuousStatsTable[Average]))</f>
        <v>8.0603747791942499</v>
      </c>
      <c r="U1017" s="5">
        <f>IF((ContinuousStatsTable[[#This Row],[RepsRequested]]&gt;1),ContinuousStatsTable[[#This Row],[HalfWidth]],ContinuousStatsTable[[#This Row],[BatchMeansHalfWidth]])</f>
        <v>0.5936172943910426</v>
      </c>
    </row>
    <row r="1018" spans="1:21" x14ac:dyDescent="0.3">
      <c r="A1018" t="s">
        <v>66</v>
      </c>
      <c r="B1018" t="s">
        <v>68</v>
      </c>
      <c r="C1018">
        <v>27</v>
      </c>
      <c r="D1018" t="s">
        <v>73</v>
      </c>
      <c r="E1018" t="s">
        <v>92</v>
      </c>
      <c r="F1018" t="s">
        <v>71</v>
      </c>
      <c r="G1018">
        <v>14.5777002526023</v>
      </c>
      <c r="H1018">
        <v>2E+20</v>
      </c>
      <c r="I1018">
        <v>0</v>
      </c>
      <c r="J1018">
        <v>32</v>
      </c>
      <c r="K1018">
        <v>9</v>
      </c>
      <c r="L1018">
        <v>0</v>
      </c>
      <c r="M1018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1018" s="5" cm="1">
        <f t="array" ref="N1018">MAX(IF((ProjectInfoTable[ProjectName]=ContinuousStatsTable[[#This Row],[ProjectName]]),(ProjectInfoTable[ProjectName]=ContinuousStatsTable[[#This Row],[ProjectName]])*ProjectInfoTable[NumberOfReplications]))</f>
        <v>30</v>
      </c>
      <c r="O1018" s="5" cm="1">
        <f t="array" ref="O1018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1018" s="5" cm="1">
        <f t="array" ref="P1018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1018" s="5" cm="1">
        <f t="array" ref="Q1018">MAX(IF((ProjectInfoTable[ProjectName]=ContinuousStatsTable[[#This Row],[ProjectName]]),(ProjectInfoTable[ProjectName]=ContinuousStatsTable[[#This Row],[ProjectName]])*ProjectInfoTable[ConfidenceInterval]))</f>
        <v>0.95</v>
      </c>
      <c r="R10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1018" s="5" cm="1">
        <f t="array" ref="S1018">MIN(IF((ContinuousStatsTable[GroupByKey]=ContinuousStatsTable[[#This Row],[GroupByKey]]),(ContinuousStatsTable[GroupByKey]=ContinuousStatsTable[[#This Row],[GroupByKey]])*ContinuousStatsTable[Average]))</f>
        <v>1.3305593103954101</v>
      </c>
      <c r="T1018" s="5" cm="1">
        <f t="array" ref="T1018">MAX(IF((ContinuousStatsTable[GroupByKey]=ContinuousStatsTable[[#This Row],[GroupByKey]]),(ContinuousStatsTable[GroupByKey]=ContinuousStatsTable[[#This Row],[GroupByKey]])*ContinuousStatsTable[Average]))</f>
        <v>29.356614544212601</v>
      </c>
      <c r="U1018" s="5">
        <f>IF((ContinuousStatsTable[[#This Row],[RepsRequested]]&gt;1),ContinuousStatsTable[[#This Row],[HalfWidth]],ContinuousStatsTable[[#This Row],[BatchMeansHalfWidth]])</f>
        <v>2.162177461749093</v>
      </c>
    </row>
    <row r="1019" spans="1:21" x14ac:dyDescent="0.3">
      <c r="A1019" t="s">
        <v>66</v>
      </c>
      <c r="B1019" t="s">
        <v>68</v>
      </c>
      <c r="C1019">
        <v>27</v>
      </c>
      <c r="D1019" t="s">
        <v>74</v>
      </c>
      <c r="E1019" t="s">
        <v>92</v>
      </c>
      <c r="F1019" t="s">
        <v>71</v>
      </c>
      <c r="G1019">
        <v>0</v>
      </c>
      <c r="H1019">
        <v>2E+20</v>
      </c>
      <c r="I1019">
        <v>0</v>
      </c>
      <c r="J1019">
        <v>0</v>
      </c>
      <c r="K1019">
        <v>0</v>
      </c>
      <c r="L1019">
        <v>0</v>
      </c>
      <c r="M1019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1019" s="5" cm="1">
        <f t="array" ref="N1019">MAX(IF((ProjectInfoTable[ProjectName]=ContinuousStatsTable[[#This Row],[ProjectName]]),(ProjectInfoTable[ProjectName]=ContinuousStatsTable[[#This Row],[ProjectName]])*ProjectInfoTable[NumberOfReplications]))</f>
        <v>30</v>
      </c>
      <c r="O1019" s="5" cm="1">
        <f t="array" ref="O1019">IFERROR(AVERAGE(IF((ContinuousStatsTable[GroupByKey]=ContinuousStatsTable[[#This Row],[GroupByKey]]),(ContinuousStatsTable[GroupByKey]=ContinuousStatsTable[[#This Row],[GroupByKey]])*ContinuousStatsTable[Average])),0)</f>
        <v>0</v>
      </c>
      <c r="P1019" s="5" cm="1">
        <f t="array" ref="P1019">IFERROR(_xlfn.STDEV.S(IF((ContinuousStatsTable[GroupByKey]=ContinuousStatsTable[[#This Row],[GroupByKey]]),(ContinuousStatsTable[GroupByKey]=ContinuousStatsTable[[#This Row],[GroupByKey]])*ContinuousStatsTable[Average])),0)</f>
        <v>0</v>
      </c>
      <c r="Q1019" s="5" cm="1">
        <f t="array" ref="Q1019">MAX(IF((ProjectInfoTable[ProjectName]=ContinuousStatsTable[[#This Row],[ProjectName]]),(ProjectInfoTable[ProjectName]=ContinuousStatsTable[[#This Row],[ProjectName]])*ProjectInfoTable[ConfidenceInterval]))</f>
        <v>0.95</v>
      </c>
      <c r="R10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9" s="5" cm="1">
        <f t="array" ref="S1019">MIN(IF((ContinuousStatsTable[GroupByKey]=ContinuousStatsTable[[#This Row],[GroupByKey]]),(ContinuousStatsTable[GroupByKey]=ContinuousStatsTable[[#This Row],[GroupByKey]])*ContinuousStatsTable[Average]))</f>
        <v>0</v>
      </c>
      <c r="T1019" s="5" cm="1">
        <f t="array" ref="T1019">MAX(IF((ContinuousStatsTable[GroupByKey]=ContinuousStatsTable[[#This Row],[GroupByKey]]),(ContinuousStatsTable[GroupByKey]=ContinuousStatsTable[[#This Row],[GroupByKey]])*ContinuousStatsTable[Average]))</f>
        <v>0</v>
      </c>
      <c r="U1019" s="5">
        <f>IF((ContinuousStatsTable[[#This Row],[RepsRequested]]&gt;1),ContinuousStatsTable[[#This Row],[HalfWidth]],ContinuousStatsTable[[#This Row],[BatchMeansHalfWidth]])</f>
        <v>0</v>
      </c>
    </row>
    <row r="1020" spans="1:21" x14ac:dyDescent="0.3">
      <c r="A1020" t="s">
        <v>66</v>
      </c>
      <c r="B1020" t="s">
        <v>68</v>
      </c>
      <c r="C1020">
        <v>27</v>
      </c>
      <c r="D1020" t="s">
        <v>75</v>
      </c>
      <c r="E1020" t="s">
        <v>92</v>
      </c>
      <c r="F1020" t="s">
        <v>71</v>
      </c>
      <c r="G1020">
        <v>0</v>
      </c>
      <c r="H1020">
        <v>2E+20</v>
      </c>
      <c r="I1020">
        <v>0</v>
      </c>
      <c r="J1020">
        <v>0</v>
      </c>
      <c r="K1020">
        <v>0</v>
      </c>
      <c r="L1020">
        <v>0</v>
      </c>
      <c r="M1020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1020" s="5" cm="1">
        <f t="array" ref="N1020">MAX(IF((ProjectInfoTable[ProjectName]=ContinuousStatsTable[[#This Row],[ProjectName]]),(ProjectInfoTable[ProjectName]=ContinuousStatsTable[[#This Row],[ProjectName]])*ProjectInfoTable[NumberOfReplications]))</f>
        <v>30</v>
      </c>
      <c r="O1020" s="5" cm="1">
        <f t="array" ref="O1020">IFERROR(AVERAGE(IF((ContinuousStatsTable[GroupByKey]=ContinuousStatsTable[[#This Row],[GroupByKey]]),(ContinuousStatsTable[GroupByKey]=ContinuousStatsTable[[#This Row],[GroupByKey]])*ContinuousStatsTable[Average])),0)</f>
        <v>0</v>
      </c>
      <c r="P1020" s="5" cm="1">
        <f t="array" ref="P1020">IFERROR(_xlfn.STDEV.S(IF((ContinuousStatsTable[GroupByKey]=ContinuousStatsTable[[#This Row],[GroupByKey]]),(ContinuousStatsTable[GroupByKey]=ContinuousStatsTable[[#This Row],[GroupByKey]])*ContinuousStatsTable[Average])),0)</f>
        <v>0</v>
      </c>
      <c r="Q1020" s="5" cm="1">
        <f t="array" ref="Q1020">MAX(IF((ProjectInfoTable[ProjectName]=ContinuousStatsTable[[#This Row],[ProjectName]]),(ProjectInfoTable[ProjectName]=ContinuousStatsTable[[#This Row],[ProjectName]])*ProjectInfoTable[ConfidenceInterval]))</f>
        <v>0.95</v>
      </c>
      <c r="R10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0" s="5" cm="1">
        <f t="array" ref="S1020">MIN(IF((ContinuousStatsTable[GroupByKey]=ContinuousStatsTable[[#This Row],[GroupByKey]]),(ContinuousStatsTable[GroupByKey]=ContinuousStatsTable[[#This Row],[GroupByKey]])*ContinuousStatsTable[Average]))</f>
        <v>0</v>
      </c>
      <c r="T1020" s="5" cm="1">
        <f t="array" ref="T1020">MAX(IF((ContinuousStatsTable[GroupByKey]=ContinuousStatsTable[[#This Row],[GroupByKey]]),(ContinuousStatsTable[GroupByKey]=ContinuousStatsTable[[#This Row],[GroupByKey]])*ContinuousStatsTable[Average]))</f>
        <v>0</v>
      </c>
      <c r="U1020" s="5">
        <f>IF((ContinuousStatsTable[[#This Row],[RepsRequested]]&gt;1),ContinuousStatsTable[[#This Row],[HalfWidth]],ContinuousStatsTable[[#This Row],[BatchMeansHalfWidth]])</f>
        <v>0</v>
      </c>
    </row>
    <row r="1021" spans="1:21" x14ac:dyDescent="0.3">
      <c r="A1021" t="s">
        <v>66</v>
      </c>
      <c r="B1021" t="s">
        <v>68</v>
      </c>
      <c r="C1021">
        <v>27</v>
      </c>
      <c r="D1021" t="s">
        <v>76</v>
      </c>
      <c r="E1021" t="s">
        <v>92</v>
      </c>
      <c r="F1021" t="s">
        <v>71</v>
      </c>
      <c r="G1021">
        <v>1.32941460638228</v>
      </c>
      <c r="H1021">
        <v>2E+20</v>
      </c>
      <c r="I1021">
        <v>0</v>
      </c>
      <c r="J1021">
        <v>10</v>
      </c>
      <c r="K1021">
        <v>6</v>
      </c>
      <c r="L1021">
        <v>0</v>
      </c>
      <c r="M1021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1021" s="5" cm="1">
        <f t="array" ref="N1021">MAX(IF((ProjectInfoTable[ProjectName]=ContinuousStatsTable[[#This Row],[ProjectName]]),(ProjectInfoTable[ProjectName]=ContinuousStatsTable[[#This Row],[ProjectName]])*ProjectInfoTable[NumberOfReplications]))</f>
        <v>30</v>
      </c>
      <c r="O1021" s="5" cm="1">
        <f t="array" ref="O1021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1021" s="5" cm="1">
        <f t="array" ref="P1021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1021" s="5" cm="1">
        <f t="array" ref="Q1021">MAX(IF((ProjectInfoTable[ProjectName]=ContinuousStatsTable[[#This Row],[ProjectName]]),(ProjectInfoTable[ProjectName]=ContinuousStatsTable[[#This Row],[ProjectName]])*ProjectInfoTable[ConfidenceInterval]))</f>
        <v>0.95</v>
      </c>
      <c r="R10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1021" s="5" cm="1">
        <f t="array" ref="S1021">MIN(IF((ContinuousStatsTable[GroupByKey]=ContinuousStatsTable[[#This Row],[GroupByKey]]),(ContinuousStatsTable[GroupByKey]=ContinuousStatsTable[[#This Row],[GroupByKey]])*ContinuousStatsTable[Average]))</f>
        <v>4.5869485136026601E-2</v>
      </c>
      <c r="T1021" s="5" cm="1">
        <f t="array" ref="T1021">MAX(IF((ContinuousStatsTable[GroupByKey]=ContinuousStatsTable[[#This Row],[GroupByKey]]),(ContinuousStatsTable[GroupByKey]=ContinuousStatsTable[[#This Row],[GroupByKey]])*ContinuousStatsTable[Average]))</f>
        <v>4.1119263103435699</v>
      </c>
      <c r="U1021" s="5">
        <f>IF((ContinuousStatsTable[[#This Row],[RepsRequested]]&gt;1),ContinuousStatsTable[[#This Row],[HalfWidth]],ContinuousStatsTable[[#This Row],[BatchMeansHalfWidth]])</f>
        <v>0.43252967563899991</v>
      </c>
    </row>
    <row r="1022" spans="1:21" x14ac:dyDescent="0.3">
      <c r="A1022" t="s">
        <v>66</v>
      </c>
      <c r="B1022" t="s">
        <v>68</v>
      </c>
      <c r="C1022">
        <v>27</v>
      </c>
      <c r="D1022" t="s">
        <v>77</v>
      </c>
      <c r="E1022" t="s">
        <v>92</v>
      </c>
      <c r="F1022" t="s">
        <v>71</v>
      </c>
      <c r="G1022">
        <v>0</v>
      </c>
      <c r="H1022">
        <v>2E+20</v>
      </c>
      <c r="I1022">
        <v>0</v>
      </c>
      <c r="J1022">
        <v>0</v>
      </c>
      <c r="K1022">
        <v>0</v>
      </c>
      <c r="L1022">
        <v>0</v>
      </c>
      <c r="M1022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1022" s="5" cm="1">
        <f t="array" ref="N1022">MAX(IF((ProjectInfoTable[ProjectName]=ContinuousStatsTable[[#This Row],[ProjectName]]),(ProjectInfoTable[ProjectName]=ContinuousStatsTable[[#This Row],[ProjectName]])*ProjectInfoTable[NumberOfReplications]))</f>
        <v>30</v>
      </c>
      <c r="O1022" s="5" cm="1">
        <f t="array" ref="O1022">IFERROR(AVERAGE(IF((ContinuousStatsTable[GroupByKey]=ContinuousStatsTable[[#This Row],[GroupByKey]]),(ContinuousStatsTable[GroupByKey]=ContinuousStatsTable[[#This Row],[GroupByKey]])*ContinuousStatsTable[Average])),0)</f>
        <v>0</v>
      </c>
      <c r="P1022" s="5" cm="1">
        <f t="array" ref="P1022">IFERROR(_xlfn.STDEV.S(IF((ContinuousStatsTable[GroupByKey]=ContinuousStatsTable[[#This Row],[GroupByKey]]),(ContinuousStatsTable[GroupByKey]=ContinuousStatsTable[[#This Row],[GroupByKey]])*ContinuousStatsTable[Average])),0)</f>
        <v>0</v>
      </c>
      <c r="Q1022" s="5" cm="1">
        <f t="array" ref="Q1022">MAX(IF((ProjectInfoTable[ProjectName]=ContinuousStatsTable[[#This Row],[ProjectName]]),(ProjectInfoTable[ProjectName]=ContinuousStatsTable[[#This Row],[ProjectName]])*ProjectInfoTable[ConfidenceInterval]))</f>
        <v>0.95</v>
      </c>
      <c r="R10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2" s="5" cm="1">
        <f t="array" ref="S1022">MIN(IF((ContinuousStatsTable[GroupByKey]=ContinuousStatsTable[[#This Row],[GroupByKey]]),(ContinuousStatsTable[GroupByKey]=ContinuousStatsTable[[#This Row],[GroupByKey]])*ContinuousStatsTable[Average]))</f>
        <v>0</v>
      </c>
      <c r="T1022" s="5" cm="1">
        <f t="array" ref="T1022">MAX(IF((ContinuousStatsTable[GroupByKey]=ContinuousStatsTable[[#This Row],[GroupByKey]]),(ContinuousStatsTable[GroupByKey]=ContinuousStatsTable[[#This Row],[GroupByKey]])*ContinuousStatsTable[Average]))</f>
        <v>0</v>
      </c>
      <c r="U1022" s="5">
        <f>IF((ContinuousStatsTable[[#This Row],[RepsRequested]]&gt;1),ContinuousStatsTable[[#This Row],[HalfWidth]],ContinuousStatsTable[[#This Row],[BatchMeansHalfWidth]])</f>
        <v>0</v>
      </c>
    </row>
    <row r="1023" spans="1:21" x14ac:dyDescent="0.3">
      <c r="A1023" t="s">
        <v>66</v>
      </c>
      <c r="B1023" t="s">
        <v>68</v>
      </c>
      <c r="C1023">
        <v>27</v>
      </c>
      <c r="D1023" t="s">
        <v>78</v>
      </c>
      <c r="E1023" t="s">
        <v>92</v>
      </c>
      <c r="F1023" t="s">
        <v>71</v>
      </c>
      <c r="G1023">
        <v>0</v>
      </c>
      <c r="H1023">
        <v>2E+20</v>
      </c>
      <c r="I1023">
        <v>0</v>
      </c>
      <c r="J1023">
        <v>0</v>
      </c>
      <c r="K1023">
        <v>0</v>
      </c>
      <c r="L1023">
        <v>0</v>
      </c>
      <c r="M1023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1023" s="5" cm="1">
        <f t="array" ref="N1023">MAX(IF((ProjectInfoTable[ProjectName]=ContinuousStatsTable[[#This Row],[ProjectName]]),(ProjectInfoTable[ProjectName]=ContinuousStatsTable[[#This Row],[ProjectName]])*ProjectInfoTable[NumberOfReplications]))</f>
        <v>30</v>
      </c>
      <c r="O1023" s="5" cm="1">
        <f t="array" ref="O1023">IFERROR(AVERAGE(IF((ContinuousStatsTable[GroupByKey]=ContinuousStatsTable[[#This Row],[GroupByKey]]),(ContinuousStatsTable[GroupByKey]=ContinuousStatsTable[[#This Row],[GroupByKey]])*ContinuousStatsTable[Average])),0)</f>
        <v>0</v>
      </c>
      <c r="P1023" s="5" cm="1">
        <f t="array" ref="P1023">IFERROR(_xlfn.STDEV.S(IF((ContinuousStatsTable[GroupByKey]=ContinuousStatsTable[[#This Row],[GroupByKey]]),(ContinuousStatsTable[GroupByKey]=ContinuousStatsTable[[#This Row],[GroupByKey]])*ContinuousStatsTable[Average])),0)</f>
        <v>0</v>
      </c>
      <c r="Q1023" s="5" cm="1">
        <f t="array" ref="Q1023">MAX(IF((ProjectInfoTable[ProjectName]=ContinuousStatsTable[[#This Row],[ProjectName]]),(ProjectInfoTable[ProjectName]=ContinuousStatsTable[[#This Row],[ProjectName]])*ProjectInfoTable[ConfidenceInterval]))</f>
        <v>0.95</v>
      </c>
      <c r="R10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3" s="5" cm="1">
        <f t="array" ref="S1023">MIN(IF((ContinuousStatsTable[GroupByKey]=ContinuousStatsTable[[#This Row],[GroupByKey]]),(ContinuousStatsTable[GroupByKey]=ContinuousStatsTable[[#This Row],[GroupByKey]])*ContinuousStatsTable[Average]))</f>
        <v>0</v>
      </c>
      <c r="T1023" s="5" cm="1">
        <f t="array" ref="T1023">MAX(IF((ContinuousStatsTable[GroupByKey]=ContinuousStatsTable[[#This Row],[GroupByKey]]),(ContinuousStatsTable[GroupByKey]=ContinuousStatsTable[[#This Row],[GroupByKey]])*ContinuousStatsTable[Average]))</f>
        <v>0</v>
      </c>
      <c r="U1023" s="5">
        <f>IF((ContinuousStatsTable[[#This Row],[RepsRequested]]&gt;1),ContinuousStatsTable[[#This Row],[HalfWidth]],ContinuousStatsTable[[#This Row],[BatchMeansHalfWidth]])</f>
        <v>0</v>
      </c>
    </row>
    <row r="1024" spans="1:21" x14ac:dyDescent="0.3">
      <c r="A1024" t="s">
        <v>66</v>
      </c>
      <c r="B1024" t="s">
        <v>68</v>
      </c>
      <c r="C1024">
        <v>27</v>
      </c>
      <c r="D1024" t="s">
        <v>93</v>
      </c>
      <c r="E1024" t="s">
        <v>94</v>
      </c>
      <c r="F1024" t="s">
        <v>95</v>
      </c>
      <c r="G1024">
        <v>4.5610452339436502E-2</v>
      </c>
      <c r="H1024">
        <v>2E+20</v>
      </c>
      <c r="I1024">
        <v>0</v>
      </c>
      <c r="J1024">
        <v>0.25</v>
      </c>
      <c r="K1024">
        <v>0.1</v>
      </c>
      <c r="L1024">
        <v>0</v>
      </c>
      <c r="M1024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1024" s="5" cm="1">
        <f t="array" ref="N1024">MAX(IF((ProjectInfoTable[ProjectName]=ContinuousStatsTable[[#This Row],[ProjectName]]),(ProjectInfoTable[ProjectName]=ContinuousStatsTable[[#This Row],[ProjectName]])*ProjectInfoTable[NumberOfReplications]))</f>
        <v>30</v>
      </c>
      <c r="O1024" s="5" cm="1">
        <f t="array" ref="O1024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1024" s="5" cm="1">
        <f t="array" ref="P1024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1024" s="5" cm="1">
        <f t="array" ref="Q1024">MAX(IF((ProjectInfoTable[ProjectName]=ContinuousStatsTable[[#This Row],[ProjectName]]),(ProjectInfoTable[ProjectName]=ContinuousStatsTable[[#This Row],[ProjectName]])*ProjectInfoTable[ConfidenceInterval]))</f>
        <v>0.95</v>
      </c>
      <c r="R10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1024" s="5" cm="1">
        <f t="array" ref="S1024">MIN(IF((ContinuousStatsTable[GroupByKey]=ContinuousStatsTable[[#This Row],[GroupByKey]]),(ContinuousStatsTable[GroupByKey]=ContinuousStatsTable[[#This Row],[GroupByKey]])*ContinuousStatsTable[Average]))</f>
        <v>2.3718114155243601E-2</v>
      </c>
      <c r="T1024" s="5" cm="1">
        <f t="array" ref="T1024">MAX(IF((ContinuousStatsTable[GroupByKey]=ContinuousStatsTable[[#This Row],[GroupByKey]]),(ContinuousStatsTable[GroupByKey]=ContinuousStatsTable[[#This Row],[GroupByKey]])*ContinuousStatsTable[Average]))</f>
        <v>4.8583931724403701E-2</v>
      </c>
      <c r="U1024" s="5">
        <f>IF((ContinuousStatsTable[[#This Row],[RepsRequested]]&gt;1),ContinuousStatsTable[[#This Row],[HalfWidth]],ContinuousStatsTable[[#This Row],[BatchMeansHalfWidth]])</f>
        <v>2.4839579632442289E-3</v>
      </c>
    </row>
    <row r="1025" spans="1:21" x14ac:dyDescent="0.3">
      <c r="A1025" t="s">
        <v>66</v>
      </c>
      <c r="B1025" t="s">
        <v>68</v>
      </c>
      <c r="C1025">
        <v>27</v>
      </c>
      <c r="D1025" t="s">
        <v>93</v>
      </c>
      <c r="E1025" t="s">
        <v>96</v>
      </c>
      <c r="F1025" t="s">
        <v>95</v>
      </c>
      <c r="G1025">
        <v>0.91220904678873105</v>
      </c>
      <c r="H1025">
        <v>2E+20</v>
      </c>
      <c r="I1025">
        <v>0</v>
      </c>
      <c r="J1025">
        <v>5</v>
      </c>
      <c r="K1025">
        <v>2</v>
      </c>
      <c r="L1025">
        <v>0</v>
      </c>
      <c r="M1025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1025" s="5" cm="1">
        <f t="array" ref="N1025">MAX(IF((ProjectInfoTable[ProjectName]=ContinuousStatsTable[[#This Row],[ProjectName]]),(ProjectInfoTable[ProjectName]=ContinuousStatsTable[[#This Row],[ProjectName]])*ProjectInfoTable[NumberOfReplications]))</f>
        <v>30</v>
      </c>
      <c r="O1025" s="5" cm="1">
        <f t="array" ref="O1025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1025" s="5" cm="1">
        <f t="array" ref="P1025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1025" s="5" cm="1">
        <f t="array" ref="Q1025">MAX(IF((ProjectInfoTable[ProjectName]=ContinuousStatsTable[[#This Row],[ProjectName]]),(ProjectInfoTable[ProjectName]=ContinuousStatsTable[[#This Row],[ProjectName]])*ProjectInfoTable[ConfidenceInterval]))</f>
        <v>0.95</v>
      </c>
      <c r="R10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1025" s="5" cm="1">
        <f t="array" ref="S1025">MIN(IF((ContinuousStatsTable[GroupByKey]=ContinuousStatsTable[[#This Row],[GroupByKey]]),(ContinuousStatsTable[GroupByKey]=ContinuousStatsTable[[#This Row],[GroupByKey]])*ContinuousStatsTable[Average]))</f>
        <v>0.47436228310487299</v>
      </c>
      <c r="T1025" s="5" cm="1">
        <f t="array" ref="T1025">MAX(IF((ContinuousStatsTable[GroupByKey]=ContinuousStatsTable[[#This Row],[GroupByKey]]),(ContinuousStatsTable[GroupByKey]=ContinuousStatsTable[[#This Row],[GroupByKey]])*ContinuousStatsTable[Average]))</f>
        <v>0.97167863448807401</v>
      </c>
      <c r="U1025" s="5">
        <f>IF((ContinuousStatsTable[[#This Row],[RepsRequested]]&gt;1),ContinuousStatsTable[[#This Row],[HalfWidth]],ContinuousStatsTable[[#This Row],[BatchMeansHalfWidth]])</f>
        <v>4.9679159264885281E-2</v>
      </c>
    </row>
    <row r="1026" spans="1:21" x14ac:dyDescent="0.3">
      <c r="A1026" t="s">
        <v>66</v>
      </c>
      <c r="B1026" t="s">
        <v>68</v>
      </c>
      <c r="C1026">
        <v>27</v>
      </c>
      <c r="D1026" t="s">
        <v>93</v>
      </c>
      <c r="E1026" t="s">
        <v>97</v>
      </c>
      <c r="F1026" t="s">
        <v>95</v>
      </c>
      <c r="G1026">
        <v>20</v>
      </c>
      <c r="H1026">
        <v>2E+20</v>
      </c>
      <c r="I1026">
        <v>20</v>
      </c>
      <c r="J1026">
        <v>20</v>
      </c>
      <c r="K1026">
        <v>20</v>
      </c>
      <c r="L1026">
        <v>0</v>
      </c>
      <c r="M1026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1026" s="5" cm="1">
        <f t="array" ref="N1026">MAX(IF((ProjectInfoTable[ProjectName]=ContinuousStatsTable[[#This Row],[ProjectName]]),(ProjectInfoTable[ProjectName]=ContinuousStatsTable[[#This Row],[ProjectName]])*ProjectInfoTable[NumberOfReplications]))</f>
        <v>30</v>
      </c>
      <c r="O1026" s="5" cm="1">
        <f t="array" ref="O1026">IFERROR(AVERAGE(IF((ContinuousStatsTable[GroupByKey]=ContinuousStatsTable[[#This Row],[GroupByKey]]),(ContinuousStatsTable[GroupByKey]=ContinuousStatsTable[[#This Row],[GroupByKey]])*ContinuousStatsTable[Average])),0)</f>
        <v>20</v>
      </c>
      <c r="P1026" s="5" cm="1">
        <f t="array" ref="P1026">IFERROR(_xlfn.STDEV.S(IF((ContinuousStatsTable[GroupByKey]=ContinuousStatsTable[[#This Row],[GroupByKey]]),(ContinuousStatsTable[GroupByKey]=ContinuousStatsTable[[#This Row],[GroupByKey]])*ContinuousStatsTable[Average])),0)</f>
        <v>0</v>
      </c>
      <c r="Q1026" s="5" cm="1">
        <f t="array" ref="Q1026">MAX(IF((ProjectInfoTable[ProjectName]=ContinuousStatsTable[[#This Row],[ProjectName]]),(ProjectInfoTable[ProjectName]=ContinuousStatsTable[[#This Row],[ProjectName]])*ProjectInfoTable[ConfidenceInterval]))</f>
        <v>0.95</v>
      </c>
      <c r="R10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6" s="5" cm="1">
        <f t="array" ref="S1026">MIN(IF((ContinuousStatsTable[GroupByKey]=ContinuousStatsTable[[#This Row],[GroupByKey]]),(ContinuousStatsTable[GroupByKey]=ContinuousStatsTable[[#This Row],[GroupByKey]])*ContinuousStatsTable[Average]))</f>
        <v>20</v>
      </c>
      <c r="T1026" s="5" cm="1">
        <f t="array" ref="T1026">MAX(IF((ContinuousStatsTable[GroupByKey]=ContinuousStatsTable[[#This Row],[GroupByKey]]),(ContinuousStatsTable[GroupByKey]=ContinuousStatsTable[[#This Row],[GroupByKey]])*ContinuousStatsTable[Average]))</f>
        <v>20</v>
      </c>
      <c r="U1026" s="5">
        <f>IF((ContinuousStatsTable[[#This Row],[RepsRequested]]&gt;1),ContinuousStatsTable[[#This Row],[HalfWidth]],ContinuousStatsTable[[#This Row],[BatchMeansHalfWidth]])</f>
        <v>0</v>
      </c>
    </row>
    <row r="1027" spans="1:21" x14ac:dyDescent="0.3">
      <c r="A1027" t="s">
        <v>66</v>
      </c>
      <c r="B1027" t="s">
        <v>68</v>
      </c>
      <c r="C1027">
        <v>27</v>
      </c>
      <c r="D1027" t="s">
        <v>98</v>
      </c>
      <c r="E1027" t="s">
        <v>94</v>
      </c>
      <c r="F1027" t="s">
        <v>95</v>
      </c>
      <c r="G1027">
        <v>0.26392205007722902</v>
      </c>
      <c r="H1027">
        <v>2E+20</v>
      </c>
      <c r="I1027">
        <v>0</v>
      </c>
      <c r="J1027">
        <v>0.6</v>
      </c>
      <c r="K1027">
        <v>0.45</v>
      </c>
      <c r="L1027">
        <v>0</v>
      </c>
      <c r="M1027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1027" s="5" cm="1">
        <f t="array" ref="N1027">MAX(IF((ProjectInfoTable[ProjectName]=ContinuousStatsTable[[#This Row],[ProjectName]]),(ProjectInfoTable[ProjectName]=ContinuousStatsTable[[#This Row],[ProjectName]])*ProjectInfoTable[NumberOfReplications]))</f>
        <v>30</v>
      </c>
      <c r="O1027" s="5" cm="1">
        <f t="array" ref="O1027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1027" s="5" cm="1">
        <f t="array" ref="P1027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1027" s="5" cm="1">
        <f t="array" ref="Q1027">MAX(IF((ProjectInfoTable[ProjectName]=ContinuousStatsTable[[#This Row],[ProjectName]]),(ProjectInfoTable[ProjectName]=ContinuousStatsTable[[#This Row],[ProjectName]])*ProjectInfoTable[ConfidenceInterval]))</f>
        <v>0.95</v>
      </c>
      <c r="R10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1027" s="5" cm="1">
        <f t="array" ref="S1027">MIN(IF((ContinuousStatsTable[GroupByKey]=ContinuousStatsTable[[#This Row],[GroupByKey]]),(ContinuousStatsTable[GroupByKey]=ContinuousStatsTable[[#This Row],[GroupByKey]])*ContinuousStatsTable[Average]))</f>
        <v>0.20767736113278101</v>
      </c>
      <c r="T1027" s="5" cm="1">
        <f t="array" ref="T1027">MAX(IF((ContinuousStatsTable[GroupByKey]=ContinuousStatsTable[[#This Row],[GroupByKey]]),(ContinuousStatsTable[GroupByKey]=ContinuousStatsTable[[#This Row],[GroupByKey]])*ContinuousStatsTable[Average]))</f>
        <v>0.28501162927715501</v>
      </c>
      <c r="U1027" s="5">
        <f>IF((ContinuousStatsTable[[#This Row],[RepsRequested]]&gt;1),ContinuousStatsTable[[#This Row],[HalfWidth]],ContinuousStatsTable[[#This Row],[BatchMeansHalfWidth]])</f>
        <v>8.7273384073404715E-3</v>
      </c>
    </row>
    <row r="1028" spans="1:21" x14ac:dyDescent="0.3">
      <c r="A1028" t="s">
        <v>66</v>
      </c>
      <c r="B1028" t="s">
        <v>68</v>
      </c>
      <c r="C1028">
        <v>27</v>
      </c>
      <c r="D1028" t="s">
        <v>98</v>
      </c>
      <c r="E1028" t="s">
        <v>96</v>
      </c>
      <c r="F1028" t="s">
        <v>95</v>
      </c>
      <c r="G1028">
        <v>5.2784410015445804</v>
      </c>
      <c r="H1028">
        <v>2E+20</v>
      </c>
      <c r="I1028">
        <v>0</v>
      </c>
      <c r="J1028">
        <v>12</v>
      </c>
      <c r="K1028">
        <v>9</v>
      </c>
      <c r="L1028">
        <v>0</v>
      </c>
      <c r="M1028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1028" s="5" cm="1">
        <f t="array" ref="N1028">MAX(IF((ProjectInfoTable[ProjectName]=ContinuousStatsTable[[#This Row],[ProjectName]]),(ProjectInfoTable[ProjectName]=ContinuousStatsTable[[#This Row],[ProjectName]])*ProjectInfoTable[NumberOfReplications]))</f>
        <v>30</v>
      </c>
      <c r="O1028" s="5" cm="1">
        <f t="array" ref="O1028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1028" s="5" cm="1">
        <f t="array" ref="P1028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1028" s="5" cm="1">
        <f t="array" ref="Q1028">MAX(IF((ProjectInfoTable[ProjectName]=ContinuousStatsTable[[#This Row],[ProjectName]]),(ProjectInfoTable[ProjectName]=ContinuousStatsTable[[#This Row],[ProjectName]])*ProjectInfoTable[ConfidenceInterval]))</f>
        <v>0.95</v>
      </c>
      <c r="R10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1028" s="5" cm="1">
        <f t="array" ref="S1028">MIN(IF((ContinuousStatsTable[GroupByKey]=ContinuousStatsTable[[#This Row],[GroupByKey]]),(ContinuousStatsTable[GroupByKey]=ContinuousStatsTable[[#This Row],[GroupByKey]])*ContinuousStatsTable[Average]))</f>
        <v>4.15354722265561</v>
      </c>
      <c r="T1028" s="5" cm="1">
        <f t="array" ref="T1028">MAX(IF((ContinuousStatsTable[GroupByKey]=ContinuousStatsTable[[#This Row],[GroupByKey]]),(ContinuousStatsTable[GroupByKey]=ContinuousStatsTable[[#This Row],[GroupByKey]])*ContinuousStatsTable[Average]))</f>
        <v>5.7002325855431097</v>
      </c>
      <c r="U1028" s="5">
        <f>IF((ContinuousStatsTable[[#This Row],[RepsRequested]]&gt;1),ContinuousStatsTable[[#This Row],[HalfWidth]],ContinuousStatsTable[[#This Row],[BatchMeansHalfWidth]])</f>
        <v>0.17454676814681078</v>
      </c>
    </row>
    <row r="1029" spans="1:21" x14ac:dyDescent="0.3">
      <c r="A1029" t="s">
        <v>66</v>
      </c>
      <c r="B1029" t="s">
        <v>68</v>
      </c>
      <c r="C1029">
        <v>27</v>
      </c>
      <c r="D1029" t="s">
        <v>98</v>
      </c>
      <c r="E1029" t="s">
        <v>97</v>
      </c>
      <c r="F1029" t="s">
        <v>95</v>
      </c>
      <c r="G1029">
        <v>20</v>
      </c>
      <c r="H1029">
        <v>2E+20</v>
      </c>
      <c r="I1029">
        <v>20</v>
      </c>
      <c r="J1029">
        <v>20</v>
      </c>
      <c r="K1029">
        <v>20</v>
      </c>
      <c r="L1029">
        <v>0</v>
      </c>
      <c r="M1029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1029" s="5" cm="1">
        <f t="array" ref="N1029">MAX(IF((ProjectInfoTable[ProjectName]=ContinuousStatsTable[[#This Row],[ProjectName]]),(ProjectInfoTable[ProjectName]=ContinuousStatsTable[[#This Row],[ProjectName]])*ProjectInfoTable[NumberOfReplications]))</f>
        <v>30</v>
      </c>
      <c r="O1029" s="5" cm="1">
        <f t="array" ref="O1029">IFERROR(AVERAGE(IF((ContinuousStatsTable[GroupByKey]=ContinuousStatsTable[[#This Row],[GroupByKey]]),(ContinuousStatsTable[GroupByKey]=ContinuousStatsTable[[#This Row],[GroupByKey]])*ContinuousStatsTable[Average])),0)</f>
        <v>20</v>
      </c>
      <c r="P1029" s="5" cm="1">
        <f t="array" ref="P1029">IFERROR(_xlfn.STDEV.S(IF((ContinuousStatsTable[GroupByKey]=ContinuousStatsTable[[#This Row],[GroupByKey]]),(ContinuousStatsTable[GroupByKey]=ContinuousStatsTable[[#This Row],[GroupByKey]])*ContinuousStatsTable[Average])),0)</f>
        <v>0</v>
      </c>
      <c r="Q1029" s="5" cm="1">
        <f t="array" ref="Q1029">MAX(IF((ProjectInfoTable[ProjectName]=ContinuousStatsTable[[#This Row],[ProjectName]]),(ProjectInfoTable[ProjectName]=ContinuousStatsTable[[#This Row],[ProjectName]])*ProjectInfoTable[ConfidenceInterval]))</f>
        <v>0.95</v>
      </c>
      <c r="R10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9" s="5" cm="1">
        <f t="array" ref="S1029">MIN(IF((ContinuousStatsTable[GroupByKey]=ContinuousStatsTable[[#This Row],[GroupByKey]]),(ContinuousStatsTable[GroupByKey]=ContinuousStatsTable[[#This Row],[GroupByKey]])*ContinuousStatsTable[Average]))</f>
        <v>20</v>
      </c>
      <c r="T1029" s="5" cm="1">
        <f t="array" ref="T1029">MAX(IF((ContinuousStatsTable[GroupByKey]=ContinuousStatsTable[[#This Row],[GroupByKey]]),(ContinuousStatsTable[GroupByKey]=ContinuousStatsTable[[#This Row],[GroupByKey]])*ContinuousStatsTable[Average]))</f>
        <v>20</v>
      </c>
      <c r="U1029" s="5">
        <f>IF((ContinuousStatsTable[[#This Row],[RepsRequested]]&gt;1),ContinuousStatsTable[[#This Row],[HalfWidth]],ContinuousStatsTable[[#This Row],[BatchMeansHalfWidth]])</f>
        <v>0</v>
      </c>
    </row>
    <row r="1030" spans="1:21" x14ac:dyDescent="0.3">
      <c r="A1030" t="s">
        <v>66</v>
      </c>
      <c r="B1030" t="s">
        <v>68</v>
      </c>
      <c r="C1030">
        <v>27</v>
      </c>
      <c r="D1030" t="s">
        <v>99</v>
      </c>
      <c r="E1030" t="s">
        <v>94</v>
      </c>
      <c r="F1030" t="s">
        <v>95</v>
      </c>
      <c r="G1030">
        <v>0.65573694712684405</v>
      </c>
      <c r="H1030">
        <v>2E+20</v>
      </c>
      <c r="I1030">
        <v>0</v>
      </c>
      <c r="J1030">
        <v>1</v>
      </c>
      <c r="K1030">
        <v>1</v>
      </c>
      <c r="L1030">
        <v>0</v>
      </c>
      <c r="M1030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1030" s="5" cm="1">
        <f t="array" ref="N1030">MAX(IF((ProjectInfoTable[ProjectName]=ContinuousStatsTable[[#This Row],[ProjectName]]),(ProjectInfoTable[ProjectName]=ContinuousStatsTable[[#This Row],[ProjectName]])*ProjectInfoTable[NumberOfReplications]))</f>
        <v>30</v>
      </c>
      <c r="O1030" s="5" cm="1">
        <f t="array" ref="O1030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1030" s="5" cm="1">
        <f t="array" ref="P1030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1030" s="5" cm="1">
        <f t="array" ref="Q1030">MAX(IF((ProjectInfoTable[ProjectName]=ContinuousStatsTable[[#This Row],[ProjectName]]),(ProjectInfoTable[ProjectName]=ContinuousStatsTable[[#This Row],[ProjectName]])*ProjectInfoTable[ConfidenceInterval]))</f>
        <v>0.95</v>
      </c>
      <c r="R10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1030" s="5" cm="1">
        <f t="array" ref="S1030">MIN(IF((ContinuousStatsTable[GroupByKey]=ContinuousStatsTable[[#This Row],[GroupByKey]]),(ContinuousStatsTable[GroupByKey]=ContinuousStatsTable[[#This Row],[GroupByKey]])*ContinuousStatsTable[Average]))</f>
        <v>0.517215348442703</v>
      </c>
      <c r="T1030" s="5" cm="1">
        <f t="array" ref="T1030">MAX(IF((ContinuousStatsTable[GroupByKey]=ContinuousStatsTable[[#This Row],[GroupByKey]]),(ContinuousStatsTable[GroupByKey]=ContinuousStatsTable[[#This Row],[GroupByKey]])*ContinuousStatsTable[Average]))</f>
        <v>0.67770389283754395</v>
      </c>
      <c r="U1030" s="5">
        <f>IF((ContinuousStatsTable[[#This Row],[RepsRequested]]&gt;1),ContinuousStatsTable[[#This Row],[HalfWidth]],ContinuousStatsTable[[#This Row],[BatchMeansHalfWidth]])</f>
        <v>1.8059192833960565E-2</v>
      </c>
    </row>
    <row r="1031" spans="1:21" x14ac:dyDescent="0.3">
      <c r="A1031" t="s">
        <v>66</v>
      </c>
      <c r="B1031" t="s">
        <v>68</v>
      </c>
      <c r="C1031">
        <v>27</v>
      </c>
      <c r="D1031" t="s">
        <v>99</v>
      </c>
      <c r="E1031" t="s">
        <v>96</v>
      </c>
      <c r="F1031" t="s">
        <v>95</v>
      </c>
      <c r="G1031">
        <v>6.5573694712684398</v>
      </c>
      <c r="H1031">
        <v>2E+20</v>
      </c>
      <c r="I1031">
        <v>0</v>
      </c>
      <c r="J1031">
        <v>10</v>
      </c>
      <c r="K1031">
        <v>10</v>
      </c>
      <c r="L1031">
        <v>0</v>
      </c>
      <c r="M1031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1031" s="5" cm="1">
        <f t="array" ref="N1031">MAX(IF((ProjectInfoTable[ProjectName]=ContinuousStatsTable[[#This Row],[ProjectName]]),(ProjectInfoTable[ProjectName]=ContinuousStatsTable[[#This Row],[ProjectName]])*ProjectInfoTable[NumberOfReplications]))</f>
        <v>30</v>
      </c>
      <c r="O1031" s="5" cm="1">
        <f t="array" ref="O1031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1031" s="5" cm="1">
        <f t="array" ref="P1031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1031" s="5" cm="1">
        <f t="array" ref="Q1031">MAX(IF((ProjectInfoTable[ProjectName]=ContinuousStatsTable[[#This Row],[ProjectName]]),(ProjectInfoTable[ProjectName]=ContinuousStatsTable[[#This Row],[ProjectName]])*ProjectInfoTable[ConfidenceInterval]))</f>
        <v>0.95</v>
      </c>
      <c r="R10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1031" s="5" cm="1">
        <f t="array" ref="S1031">MIN(IF((ContinuousStatsTable[GroupByKey]=ContinuousStatsTable[[#This Row],[GroupByKey]]),(ContinuousStatsTable[GroupByKey]=ContinuousStatsTable[[#This Row],[GroupByKey]])*ContinuousStatsTable[Average]))</f>
        <v>5.1721534844270298</v>
      </c>
      <c r="T1031" s="5" cm="1">
        <f t="array" ref="T1031">MAX(IF((ContinuousStatsTable[GroupByKey]=ContinuousStatsTable[[#This Row],[GroupByKey]]),(ContinuousStatsTable[GroupByKey]=ContinuousStatsTable[[#This Row],[GroupByKey]])*ContinuousStatsTable[Average]))</f>
        <v>6.7770389283754398</v>
      </c>
      <c r="U1031" s="5">
        <f>IF((ContinuousStatsTable[[#This Row],[RepsRequested]]&gt;1),ContinuousStatsTable[[#This Row],[HalfWidth]],ContinuousStatsTable[[#This Row],[BatchMeansHalfWidth]])</f>
        <v>0.18059192833960558</v>
      </c>
    </row>
    <row r="1032" spans="1:21" x14ac:dyDescent="0.3">
      <c r="A1032" t="s">
        <v>66</v>
      </c>
      <c r="B1032" t="s">
        <v>68</v>
      </c>
      <c r="C1032">
        <v>27</v>
      </c>
      <c r="D1032" t="s">
        <v>99</v>
      </c>
      <c r="E1032" t="s">
        <v>97</v>
      </c>
      <c r="F1032" t="s">
        <v>95</v>
      </c>
      <c r="G1032">
        <v>10</v>
      </c>
      <c r="H1032">
        <v>2E+20</v>
      </c>
      <c r="I1032">
        <v>10</v>
      </c>
      <c r="J1032">
        <v>10</v>
      </c>
      <c r="K1032">
        <v>10</v>
      </c>
      <c r="L1032">
        <v>0</v>
      </c>
      <c r="M1032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1032" s="5" cm="1">
        <f t="array" ref="N1032">MAX(IF((ProjectInfoTable[ProjectName]=ContinuousStatsTable[[#This Row],[ProjectName]]),(ProjectInfoTable[ProjectName]=ContinuousStatsTable[[#This Row],[ProjectName]])*ProjectInfoTable[NumberOfReplications]))</f>
        <v>30</v>
      </c>
      <c r="O1032" s="5" cm="1">
        <f t="array" ref="O1032">IFERROR(AVERAGE(IF((ContinuousStatsTable[GroupByKey]=ContinuousStatsTable[[#This Row],[GroupByKey]]),(ContinuousStatsTable[GroupByKey]=ContinuousStatsTable[[#This Row],[GroupByKey]])*ContinuousStatsTable[Average])),0)</f>
        <v>10</v>
      </c>
      <c r="P1032" s="5" cm="1">
        <f t="array" ref="P1032">IFERROR(_xlfn.STDEV.S(IF((ContinuousStatsTable[GroupByKey]=ContinuousStatsTable[[#This Row],[GroupByKey]]),(ContinuousStatsTable[GroupByKey]=ContinuousStatsTable[[#This Row],[GroupByKey]])*ContinuousStatsTable[Average])),0)</f>
        <v>0</v>
      </c>
      <c r="Q1032" s="5" cm="1">
        <f t="array" ref="Q1032">MAX(IF((ProjectInfoTable[ProjectName]=ContinuousStatsTable[[#This Row],[ProjectName]]),(ProjectInfoTable[ProjectName]=ContinuousStatsTable[[#This Row],[ProjectName]])*ProjectInfoTable[ConfidenceInterval]))</f>
        <v>0.95</v>
      </c>
      <c r="R10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32" s="5" cm="1">
        <f t="array" ref="S1032">MIN(IF((ContinuousStatsTable[GroupByKey]=ContinuousStatsTable[[#This Row],[GroupByKey]]),(ContinuousStatsTable[GroupByKey]=ContinuousStatsTable[[#This Row],[GroupByKey]])*ContinuousStatsTable[Average]))</f>
        <v>10</v>
      </c>
      <c r="T1032" s="5" cm="1">
        <f t="array" ref="T1032">MAX(IF((ContinuousStatsTable[GroupByKey]=ContinuousStatsTable[[#This Row],[GroupByKey]]),(ContinuousStatsTable[GroupByKey]=ContinuousStatsTable[[#This Row],[GroupByKey]])*ContinuousStatsTable[Average]))</f>
        <v>10</v>
      </c>
      <c r="U1032" s="5">
        <f>IF((ContinuousStatsTable[[#This Row],[RepsRequested]]&gt;1),ContinuousStatsTable[[#This Row],[HalfWidth]],ContinuousStatsTable[[#This Row],[BatchMeansHalfWidth]])</f>
        <v>0</v>
      </c>
    </row>
    <row r="1033" spans="1:21" x14ac:dyDescent="0.3">
      <c r="A1033" t="s">
        <v>66</v>
      </c>
      <c r="B1033" t="s">
        <v>68</v>
      </c>
      <c r="C1033">
        <v>27</v>
      </c>
      <c r="D1033" t="s">
        <v>100</v>
      </c>
      <c r="E1033" t="s">
        <v>94</v>
      </c>
      <c r="F1033" t="s">
        <v>95</v>
      </c>
      <c r="G1033">
        <v>0.18234603870129501</v>
      </c>
      <c r="H1033">
        <v>2E+20</v>
      </c>
      <c r="I1033">
        <v>0</v>
      </c>
      <c r="J1033">
        <v>0.44</v>
      </c>
      <c r="K1033">
        <v>0.2</v>
      </c>
      <c r="L1033">
        <v>0</v>
      </c>
      <c r="M1033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1033" s="5" cm="1">
        <f t="array" ref="N1033">MAX(IF((ProjectInfoTable[ProjectName]=ContinuousStatsTable[[#This Row],[ProjectName]]),(ProjectInfoTable[ProjectName]=ContinuousStatsTable[[#This Row],[ProjectName]])*ProjectInfoTable[NumberOfReplications]))</f>
        <v>30</v>
      </c>
      <c r="O1033" s="5" cm="1">
        <f t="array" ref="O1033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1033" s="5" cm="1">
        <f t="array" ref="P1033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1033" s="5" cm="1">
        <f t="array" ref="Q1033">MAX(IF((ProjectInfoTable[ProjectName]=ContinuousStatsTable[[#This Row],[ProjectName]]),(ProjectInfoTable[ProjectName]=ContinuousStatsTable[[#This Row],[ProjectName]])*ProjectInfoTable[ConfidenceInterval]))</f>
        <v>0.95</v>
      </c>
      <c r="R10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1033" s="5" cm="1">
        <f t="array" ref="S1033">MIN(IF((ContinuousStatsTable[GroupByKey]=ContinuousStatsTable[[#This Row],[GroupByKey]]),(ContinuousStatsTable[GroupByKey]=ContinuousStatsTable[[#This Row],[GroupByKey]])*ContinuousStatsTable[Average]))</f>
        <v>0.14484829778125299</v>
      </c>
      <c r="T1033" s="5" cm="1">
        <f t="array" ref="T1033">MAX(IF((ContinuousStatsTable[GroupByKey]=ContinuousStatsTable[[#This Row],[GroupByKey]]),(ContinuousStatsTable[GroupByKey]=ContinuousStatsTable[[#This Row],[GroupByKey]])*ContinuousStatsTable[Average]))</f>
        <v>0.19609322315655101</v>
      </c>
      <c r="U1033" s="5">
        <f>IF((ContinuousStatsTable[[#This Row],[RepsRequested]]&gt;1),ContinuousStatsTable[[#This Row],[HalfWidth]],ContinuousStatsTable[[#This Row],[BatchMeansHalfWidth]])</f>
        <v>4.9714113556225048E-3</v>
      </c>
    </row>
    <row r="1034" spans="1:21" x14ac:dyDescent="0.3">
      <c r="A1034" t="s">
        <v>66</v>
      </c>
      <c r="B1034" t="s">
        <v>68</v>
      </c>
      <c r="C1034">
        <v>27</v>
      </c>
      <c r="D1034" t="s">
        <v>100</v>
      </c>
      <c r="E1034" t="s">
        <v>96</v>
      </c>
      <c r="F1034" t="s">
        <v>95</v>
      </c>
      <c r="G1034">
        <v>9.1173019350647593</v>
      </c>
      <c r="H1034">
        <v>2E+20</v>
      </c>
      <c r="I1034">
        <v>0</v>
      </c>
      <c r="J1034">
        <v>22</v>
      </c>
      <c r="K1034">
        <v>10</v>
      </c>
      <c r="L1034">
        <v>0</v>
      </c>
      <c r="M1034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1034" s="5" cm="1">
        <f t="array" ref="N1034">MAX(IF((ProjectInfoTable[ProjectName]=ContinuousStatsTable[[#This Row],[ProjectName]]),(ProjectInfoTable[ProjectName]=ContinuousStatsTable[[#This Row],[ProjectName]])*ProjectInfoTable[NumberOfReplications]))</f>
        <v>30</v>
      </c>
      <c r="O1034" s="5" cm="1">
        <f t="array" ref="O1034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1034" s="5" cm="1">
        <f t="array" ref="P1034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1034" s="5" cm="1">
        <f t="array" ref="Q1034">MAX(IF((ProjectInfoTable[ProjectName]=ContinuousStatsTable[[#This Row],[ProjectName]]),(ProjectInfoTable[ProjectName]=ContinuousStatsTable[[#This Row],[ProjectName]])*ProjectInfoTable[ConfidenceInterval]))</f>
        <v>0.95</v>
      </c>
      <c r="R10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1034" s="5" cm="1">
        <f t="array" ref="S1034">MIN(IF((ContinuousStatsTable[GroupByKey]=ContinuousStatsTable[[#This Row],[GroupByKey]]),(ContinuousStatsTable[GroupByKey]=ContinuousStatsTable[[#This Row],[GroupByKey]])*ContinuousStatsTable[Average]))</f>
        <v>7.2424148890626396</v>
      </c>
      <c r="T1034" s="5" cm="1">
        <f t="array" ref="T1034">MAX(IF((ContinuousStatsTable[GroupByKey]=ContinuousStatsTable[[#This Row],[GroupByKey]]),(ContinuousStatsTable[GroupByKey]=ContinuousStatsTable[[#This Row],[GroupByKey]])*ContinuousStatsTable[Average]))</f>
        <v>9.8046611578275602</v>
      </c>
      <c r="U1034" s="5">
        <f>IF((ContinuousStatsTable[[#This Row],[RepsRequested]]&gt;1),ContinuousStatsTable[[#This Row],[HalfWidth]],ContinuousStatsTable[[#This Row],[BatchMeansHalfWidth]])</f>
        <v>0.24857056778112663</v>
      </c>
    </row>
    <row r="1035" spans="1:21" x14ac:dyDescent="0.3">
      <c r="A1035" t="s">
        <v>66</v>
      </c>
      <c r="B1035" t="s">
        <v>68</v>
      </c>
      <c r="C1035">
        <v>27</v>
      </c>
      <c r="D1035" t="s">
        <v>100</v>
      </c>
      <c r="E1035" t="s">
        <v>97</v>
      </c>
      <c r="F1035" t="s">
        <v>95</v>
      </c>
      <c r="G1035">
        <v>50</v>
      </c>
      <c r="H1035">
        <v>2E+20</v>
      </c>
      <c r="I1035">
        <v>50</v>
      </c>
      <c r="J1035">
        <v>50</v>
      </c>
      <c r="K1035">
        <v>50</v>
      </c>
      <c r="L1035">
        <v>0</v>
      </c>
      <c r="M1035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1035" s="5" cm="1">
        <f t="array" ref="N1035">MAX(IF((ProjectInfoTable[ProjectName]=ContinuousStatsTable[[#This Row],[ProjectName]]),(ProjectInfoTable[ProjectName]=ContinuousStatsTable[[#This Row],[ProjectName]])*ProjectInfoTable[NumberOfReplications]))</f>
        <v>30</v>
      </c>
      <c r="O1035" s="5" cm="1">
        <f t="array" ref="O1035">IFERROR(AVERAGE(IF((ContinuousStatsTable[GroupByKey]=ContinuousStatsTable[[#This Row],[GroupByKey]]),(ContinuousStatsTable[GroupByKey]=ContinuousStatsTable[[#This Row],[GroupByKey]])*ContinuousStatsTable[Average])),0)</f>
        <v>50</v>
      </c>
      <c r="P1035" s="5" cm="1">
        <f t="array" ref="P1035">IFERROR(_xlfn.STDEV.S(IF((ContinuousStatsTable[GroupByKey]=ContinuousStatsTable[[#This Row],[GroupByKey]]),(ContinuousStatsTable[GroupByKey]=ContinuousStatsTable[[#This Row],[GroupByKey]])*ContinuousStatsTable[Average])),0)</f>
        <v>0</v>
      </c>
      <c r="Q1035" s="5" cm="1">
        <f t="array" ref="Q1035">MAX(IF((ProjectInfoTable[ProjectName]=ContinuousStatsTable[[#This Row],[ProjectName]]),(ProjectInfoTable[ProjectName]=ContinuousStatsTable[[#This Row],[ProjectName]])*ProjectInfoTable[ConfidenceInterval]))</f>
        <v>0.95</v>
      </c>
      <c r="R10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35" s="5" cm="1">
        <f t="array" ref="S1035">MIN(IF((ContinuousStatsTable[GroupByKey]=ContinuousStatsTable[[#This Row],[GroupByKey]]),(ContinuousStatsTable[GroupByKey]=ContinuousStatsTable[[#This Row],[GroupByKey]])*ContinuousStatsTable[Average]))</f>
        <v>50</v>
      </c>
      <c r="T1035" s="5" cm="1">
        <f t="array" ref="T1035">MAX(IF((ContinuousStatsTable[GroupByKey]=ContinuousStatsTable[[#This Row],[GroupByKey]]),(ContinuousStatsTable[GroupByKey]=ContinuousStatsTable[[#This Row],[GroupByKey]])*ContinuousStatsTable[Average]))</f>
        <v>50</v>
      </c>
      <c r="U1035" s="5">
        <f>IF((ContinuousStatsTable[[#This Row],[RepsRequested]]&gt;1),ContinuousStatsTable[[#This Row],[HalfWidth]],ContinuousStatsTable[[#This Row],[BatchMeansHalfWidth]])</f>
        <v>0</v>
      </c>
    </row>
    <row r="1036" spans="1:21" x14ac:dyDescent="0.3">
      <c r="A1036" t="s">
        <v>66</v>
      </c>
      <c r="B1036" t="s">
        <v>68</v>
      </c>
      <c r="C1036">
        <v>27</v>
      </c>
      <c r="D1036" t="s">
        <v>101</v>
      </c>
      <c r="E1036" t="s">
        <v>94</v>
      </c>
      <c r="F1036" t="s">
        <v>95</v>
      </c>
      <c r="G1036">
        <v>0.104671191198974</v>
      </c>
      <c r="H1036">
        <v>2E+20</v>
      </c>
      <c r="I1036">
        <v>0</v>
      </c>
      <c r="J1036">
        <v>0.4</v>
      </c>
      <c r="K1036">
        <v>6.6666666666666693E-2</v>
      </c>
      <c r="L1036">
        <v>0</v>
      </c>
      <c r="M1036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1036" s="5" cm="1">
        <f t="array" ref="N1036">MAX(IF((ProjectInfoTable[ProjectName]=ContinuousStatsTable[[#This Row],[ProjectName]]),(ProjectInfoTable[ProjectName]=ContinuousStatsTable[[#This Row],[ProjectName]])*ProjectInfoTable[NumberOfReplications]))</f>
        <v>30</v>
      </c>
      <c r="O1036" s="5" cm="1">
        <f t="array" ref="O1036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1036" s="5" cm="1">
        <f t="array" ref="P1036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1036" s="5" cm="1">
        <f t="array" ref="Q1036">MAX(IF((ProjectInfoTable[ProjectName]=ContinuousStatsTable[[#This Row],[ProjectName]]),(ProjectInfoTable[ProjectName]=ContinuousStatsTable[[#This Row],[ProjectName]])*ProjectInfoTable[ConfidenceInterval]))</f>
        <v>0.95</v>
      </c>
      <c r="R10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1036" s="5" cm="1">
        <f t="array" ref="S1036">MIN(IF((ContinuousStatsTable[GroupByKey]=ContinuousStatsTable[[#This Row],[GroupByKey]]),(ContinuousStatsTable[GroupByKey]=ContinuousStatsTable[[#This Row],[GroupByKey]])*ContinuousStatsTable[Average]))</f>
        <v>7.4778736536586704E-2</v>
      </c>
      <c r="T1036" s="5" cm="1">
        <f t="array" ref="T1036">MAX(IF((ContinuousStatsTable[GroupByKey]=ContinuousStatsTable[[#This Row],[GroupByKey]]),(ContinuousStatsTable[GroupByKey]=ContinuousStatsTable[[#This Row],[GroupByKey]])*ContinuousStatsTable[Average]))</f>
        <v>0.111025455742452</v>
      </c>
      <c r="U1036" s="5">
        <f>IF((ContinuousStatsTable[[#This Row],[RepsRequested]]&gt;1),ContinuousStatsTable[[#This Row],[HalfWidth]],ContinuousStatsTable[[#This Row],[BatchMeansHalfWidth]])</f>
        <v>4.1821462690338805E-3</v>
      </c>
    </row>
    <row r="1037" spans="1:21" x14ac:dyDescent="0.3">
      <c r="A1037" t="s">
        <v>66</v>
      </c>
      <c r="B1037" t="s">
        <v>68</v>
      </c>
      <c r="C1037">
        <v>27</v>
      </c>
      <c r="D1037" t="s">
        <v>101</v>
      </c>
      <c r="E1037" t="s">
        <v>96</v>
      </c>
      <c r="F1037" t="s">
        <v>95</v>
      </c>
      <c r="G1037">
        <v>1.5700678679846101</v>
      </c>
      <c r="H1037">
        <v>2E+20</v>
      </c>
      <c r="I1037">
        <v>0</v>
      </c>
      <c r="J1037">
        <v>6</v>
      </c>
      <c r="K1037">
        <v>1</v>
      </c>
      <c r="L1037">
        <v>0</v>
      </c>
      <c r="M1037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1037" s="5" cm="1">
        <f t="array" ref="N1037">MAX(IF((ProjectInfoTable[ProjectName]=ContinuousStatsTable[[#This Row],[ProjectName]]),(ProjectInfoTable[ProjectName]=ContinuousStatsTable[[#This Row],[ProjectName]])*ProjectInfoTable[NumberOfReplications]))</f>
        <v>30</v>
      </c>
      <c r="O1037" s="5" cm="1">
        <f t="array" ref="O1037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1037" s="5" cm="1">
        <f t="array" ref="P1037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1037" s="5" cm="1">
        <f t="array" ref="Q1037">MAX(IF((ProjectInfoTable[ProjectName]=ContinuousStatsTable[[#This Row],[ProjectName]]),(ProjectInfoTable[ProjectName]=ContinuousStatsTable[[#This Row],[ProjectName]])*ProjectInfoTable[ConfidenceInterval]))</f>
        <v>0.95</v>
      </c>
      <c r="R10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1037" s="5" cm="1">
        <f t="array" ref="S1037">MIN(IF((ContinuousStatsTable[GroupByKey]=ContinuousStatsTable[[#This Row],[GroupByKey]]),(ContinuousStatsTable[GroupByKey]=ContinuousStatsTable[[#This Row],[GroupByKey]])*ContinuousStatsTable[Average]))</f>
        <v>1.1216810480488</v>
      </c>
      <c r="T1037" s="5" cm="1">
        <f t="array" ref="T1037">MAX(IF((ContinuousStatsTable[GroupByKey]=ContinuousStatsTable[[#This Row],[GroupByKey]]),(ContinuousStatsTable[GroupByKey]=ContinuousStatsTable[[#This Row],[GroupByKey]])*ContinuousStatsTable[Average]))</f>
        <v>1.66538183613678</v>
      </c>
      <c r="U1037" s="5">
        <f>IF((ContinuousStatsTable[[#This Row],[RepsRequested]]&gt;1),ContinuousStatsTable[[#This Row],[HalfWidth]],ContinuousStatsTable[[#This Row],[BatchMeansHalfWidth]])</f>
        <v>6.2732194035507963E-2</v>
      </c>
    </row>
    <row r="1038" spans="1:21" x14ac:dyDescent="0.3">
      <c r="A1038" t="s">
        <v>66</v>
      </c>
      <c r="B1038" t="s">
        <v>68</v>
      </c>
      <c r="C1038">
        <v>27</v>
      </c>
      <c r="D1038" t="s">
        <v>101</v>
      </c>
      <c r="E1038" t="s">
        <v>97</v>
      </c>
      <c r="F1038" t="s">
        <v>95</v>
      </c>
      <c r="G1038">
        <v>15</v>
      </c>
      <c r="H1038">
        <v>2E+20</v>
      </c>
      <c r="I1038">
        <v>15</v>
      </c>
      <c r="J1038">
        <v>15</v>
      </c>
      <c r="K1038">
        <v>15</v>
      </c>
      <c r="L1038">
        <v>0</v>
      </c>
      <c r="M1038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1038" s="5" cm="1">
        <f t="array" ref="N1038">MAX(IF((ProjectInfoTable[ProjectName]=ContinuousStatsTable[[#This Row],[ProjectName]]),(ProjectInfoTable[ProjectName]=ContinuousStatsTable[[#This Row],[ProjectName]])*ProjectInfoTable[NumberOfReplications]))</f>
        <v>30</v>
      </c>
      <c r="O1038" s="5" cm="1">
        <f t="array" ref="O1038">IFERROR(AVERAGE(IF((ContinuousStatsTable[GroupByKey]=ContinuousStatsTable[[#This Row],[GroupByKey]]),(ContinuousStatsTable[GroupByKey]=ContinuousStatsTable[[#This Row],[GroupByKey]])*ContinuousStatsTable[Average])),0)</f>
        <v>15</v>
      </c>
      <c r="P1038" s="5" cm="1">
        <f t="array" ref="P1038">IFERROR(_xlfn.STDEV.S(IF((ContinuousStatsTable[GroupByKey]=ContinuousStatsTable[[#This Row],[GroupByKey]]),(ContinuousStatsTable[GroupByKey]=ContinuousStatsTable[[#This Row],[GroupByKey]])*ContinuousStatsTable[Average])),0)</f>
        <v>0</v>
      </c>
      <c r="Q1038" s="5" cm="1">
        <f t="array" ref="Q1038">MAX(IF((ProjectInfoTable[ProjectName]=ContinuousStatsTable[[#This Row],[ProjectName]]),(ProjectInfoTable[ProjectName]=ContinuousStatsTable[[#This Row],[ProjectName]])*ProjectInfoTable[ConfidenceInterval]))</f>
        <v>0.95</v>
      </c>
      <c r="R10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38" s="5" cm="1">
        <f t="array" ref="S1038">MIN(IF((ContinuousStatsTable[GroupByKey]=ContinuousStatsTable[[#This Row],[GroupByKey]]),(ContinuousStatsTable[GroupByKey]=ContinuousStatsTable[[#This Row],[GroupByKey]])*ContinuousStatsTable[Average]))</f>
        <v>15</v>
      </c>
      <c r="T1038" s="5" cm="1">
        <f t="array" ref="T1038">MAX(IF((ContinuousStatsTable[GroupByKey]=ContinuousStatsTable[[#This Row],[GroupByKey]]),(ContinuousStatsTable[GroupByKey]=ContinuousStatsTable[[#This Row],[GroupByKey]])*ContinuousStatsTable[Average]))</f>
        <v>15</v>
      </c>
      <c r="U1038" s="5">
        <f>IF((ContinuousStatsTable[[#This Row],[RepsRequested]]&gt;1),ContinuousStatsTable[[#This Row],[HalfWidth]],ContinuousStatsTable[[#This Row],[BatchMeansHalfWidth]])</f>
        <v>0</v>
      </c>
    </row>
    <row r="1039" spans="1:21" x14ac:dyDescent="0.3">
      <c r="A1039" t="s">
        <v>66</v>
      </c>
      <c r="B1039" t="s">
        <v>68</v>
      </c>
      <c r="C1039">
        <v>27</v>
      </c>
      <c r="D1039" t="s">
        <v>102</v>
      </c>
      <c r="E1039" t="s">
        <v>94</v>
      </c>
      <c r="F1039" t="s">
        <v>95</v>
      </c>
      <c r="G1039">
        <v>0.84020090638987999</v>
      </c>
      <c r="H1039">
        <v>2E+20</v>
      </c>
      <c r="I1039">
        <v>0</v>
      </c>
      <c r="J1039">
        <v>1</v>
      </c>
      <c r="K1039">
        <v>1</v>
      </c>
      <c r="L1039">
        <v>0</v>
      </c>
      <c r="M1039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1039" s="5" cm="1">
        <f t="array" ref="N1039">MAX(IF((ProjectInfoTable[ProjectName]=ContinuousStatsTable[[#This Row],[ProjectName]]),(ProjectInfoTable[ProjectName]=ContinuousStatsTable[[#This Row],[ProjectName]])*ProjectInfoTable[NumberOfReplications]))</f>
        <v>30</v>
      </c>
      <c r="O1039" s="5" cm="1">
        <f t="array" ref="O1039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1039" s="5" cm="1">
        <f t="array" ref="P1039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1039" s="5" cm="1">
        <f t="array" ref="Q1039">MAX(IF((ProjectInfoTable[ProjectName]=ContinuousStatsTable[[#This Row],[ProjectName]]),(ProjectInfoTable[ProjectName]=ContinuousStatsTable[[#This Row],[ProjectName]])*ProjectInfoTable[ConfidenceInterval]))</f>
        <v>0.95</v>
      </c>
      <c r="R10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1039" s="5" cm="1">
        <f t="array" ref="S1039">MIN(IF((ContinuousStatsTable[GroupByKey]=ContinuousStatsTable[[#This Row],[GroupByKey]]),(ContinuousStatsTable[GroupByKey]=ContinuousStatsTable[[#This Row],[GroupByKey]])*ContinuousStatsTable[Average]))</f>
        <v>0.73673947391417804</v>
      </c>
      <c r="T1039" s="5" cm="1">
        <f t="array" ref="T1039">MAX(IF((ContinuousStatsTable[GroupByKey]=ContinuousStatsTable[[#This Row],[GroupByKey]]),(ContinuousStatsTable[GroupByKey]=ContinuousStatsTable[[#This Row],[GroupByKey]])*ContinuousStatsTable[Average]))</f>
        <v>0.90592850818388704</v>
      </c>
      <c r="U1039" s="5">
        <f>IF((ContinuousStatsTable[[#This Row],[RepsRequested]]&gt;1),ContinuousStatsTable[[#This Row],[HalfWidth]],ContinuousStatsTable[[#This Row],[BatchMeansHalfWidth]])</f>
        <v>1.8636241798384946E-2</v>
      </c>
    </row>
    <row r="1040" spans="1:21" x14ac:dyDescent="0.3">
      <c r="A1040" t="s">
        <v>66</v>
      </c>
      <c r="B1040" t="s">
        <v>68</v>
      </c>
      <c r="C1040">
        <v>27</v>
      </c>
      <c r="D1040" t="s">
        <v>102</v>
      </c>
      <c r="E1040" t="s">
        <v>96</v>
      </c>
      <c r="F1040" t="s">
        <v>95</v>
      </c>
      <c r="G1040">
        <v>1.66987783068021</v>
      </c>
      <c r="H1040">
        <v>2E+20</v>
      </c>
      <c r="I1040">
        <v>0</v>
      </c>
      <c r="J1040">
        <v>3</v>
      </c>
      <c r="K1040">
        <v>3</v>
      </c>
      <c r="L1040">
        <v>0</v>
      </c>
      <c r="M1040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1040" s="5" cm="1">
        <f t="array" ref="N1040">MAX(IF((ProjectInfoTable[ProjectName]=ContinuousStatsTable[[#This Row],[ProjectName]]),(ProjectInfoTable[ProjectName]=ContinuousStatsTable[[#This Row],[ProjectName]])*ProjectInfoTable[NumberOfReplications]))</f>
        <v>30</v>
      </c>
      <c r="O1040" s="5" cm="1">
        <f t="array" ref="O1040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1040" s="5" cm="1">
        <f t="array" ref="P1040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1040" s="5" cm="1">
        <f t="array" ref="Q1040">MAX(IF((ProjectInfoTable[ProjectName]=ContinuousStatsTable[[#This Row],[ProjectName]]),(ProjectInfoTable[ProjectName]=ContinuousStatsTable[[#This Row],[ProjectName]])*ProjectInfoTable[ConfidenceInterval]))</f>
        <v>0.95</v>
      </c>
      <c r="R10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1040" s="5" cm="1">
        <f t="array" ref="S1040">MIN(IF((ContinuousStatsTable[GroupByKey]=ContinuousStatsTable[[#This Row],[GroupByKey]]),(ContinuousStatsTable[GroupByKey]=ContinuousStatsTable[[#This Row],[GroupByKey]])*ContinuousStatsTable[Average]))</f>
        <v>1.3726163545041801</v>
      </c>
      <c r="T1040" s="5" cm="1">
        <f t="array" ref="T1040">MAX(IF((ContinuousStatsTable[GroupByKey]=ContinuousStatsTable[[#This Row],[GroupByKey]]),(ContinuousStatsTable[GroupByKey]=ContinuousStatsTable[[#This Row],[GroupByKey]])*ContinuousStatsTable[Average]))</f>
        <v>1.7968913949876599</v>
      </c>
      <c r="U1040" s="5">
        <f>IF((ContinuousStatsTable[[#This Row],[RepsRequested]]&gt;1),ContinuousStatsTable[[#This Row],[HalfWidth]],ContinuousStatsTable[[#This Row],[BatchMeansHalfWidth]])</f>
        <v>4.3123628688677348E-2</v>
      </c>
    </row>
    <row r="1041" spans="1:21" x14ac:dyDescent="0.3">
      <c r="A1041" t="s">
        <v>66</v>
      </c>
      <c r="B1041" t="s">
        <v>68</v>
      </c>
      <c r="C1041">
        <v>27</v>
      </c>
      <c r="D1041" t="s">
        <v>102</v>
      </c>
      <c r="E1041" t="s">
        <v>97</v>
      </c>
      <c r="F1041" t="s">
        <v>95</v>
      </c>
      <c r="G1041">
        <v>2</v>
      </c>
      <c r="H1041">
        <v>2E+20</v>
      </c>
      <c r="I1041">
        <v>1</v>
      </c>
      <c r="J1041">
        <v>3</v>
      </c>
      <c r="K1041">
        <v>1</v>
      </c>
      <c r="L1041">
        <v>0</v>
      </c>
      <c r="M1041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1041" s="5" cm="1">
        <f t="array" ref="N1041">MAX(IF((ProjectInfoTable[ProjectName]=ContinuousStatsTable[[#This Row],[ProjectName]]),(ProjectInfoTable[ProjectName]=ContinuousStatsTable[[#This Row],[ProjectName]])*ProjectInfoTable[NumberOfReplications]))</f>
        <v>30</v>
      </c>
      <c r="O1041" s="5" cm="1">
        <f t="array" ref="O1041">IFERROR(AVERAGE(IF((ContinuousStatsTable[GroupByKey]=ContinuousStatsTable[[#This Row],[GroupByKey]]),(ContinuousStatsTable[GroupByKey]=ContinuousStatsTable[[#This Row],[GroupByKey]])*ContinuousStatsTable[Average])),0)</f>
        <v>2</v>
      </c>
      <c r="P1041" s="5" cm="1">
        <f t="array" ref="P1041">IFERROR(_xlfn.STDEV.S(IF((ContinuousStatsTable[GroupByKey]=ContinuousStatsTable[[#This Row],[GroupByKey]]),(ContinuousStatsTable[GroupByKey]=ContinuousStatsTable[[#This Row],[GroupByKey]])*ContinuousStatsTable[Average])),0)</f>
        <v>0</v>
      </c>
      <c r="Q1041" s="5" cm="1">
        <f t="array" ref="Q1041">MAX(IF((ProjectInfoTable[ProjectName]=ContinuousStatsTable[[#This Row],[ProjectName]]),(ProjectInfoTable[ProjectName]=ContinuousStatsTable[[#This Row],[ProjectName]])*ProjectInfoTable[ConfidenceInterval]))</f>
        <v>0.95</v>
      </c>
      <c r="R10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1" s="5" cm="1">
        <f t="array" ref="S1041">MIN(IF((ContinuousStatsTable[GroupByKey]=ContinuousStatsTable[[#This Row],[GroupByKey]]),(ContinuousStatsTable[GroupByKey]=ContinuousStatsTable[[#This Row],[GroupByKey]])*ContinuousStatsTable[Average]))</f>
        <v>2</v>
      </c>
      <c r="T1041" s="5" cm="1">
        <f t="array" ref="T1041">MAX(IF((ContinuousStatsTable[GroupByKey]=ContinuousStatsTable[[#This Row],[GroupByKey]]),(ContinuousStatsTable[GroupByKey]=ContinuousStatsTable[[#This Row],[GroupByKey]])*ContinuousStatsTable[Average]))</f>
        <v>2</v>
      </c>
      <c r="U1041" s="5">
        <f>IF((ContinuousStatsTable[[#This Row],[RepsRequested]]&gt;1),ContinuousStatsTable[[#This Row],[HalfWidth]],ContinuousStatsTable[[#This Row],[BatchMeansHalfWidth]])</f>
        <v>0</v>
      </c>
    </row>
    <row r="1042" spans="1:21" x14ac:dyDescent="0.3">
      <c r="A1042" t="s">
        <v>66</v>
      </c>
      <c r="B1042" t="s">
        <v>68</v>
      </c>
      <c r="C1042">
        <v>27</v>
      </c>
      <c r="D1042" t="s">
        <v>84</v>
      </c>
      <c r="E1042" t="s">
        <v>103</v>
      </c>
      <c r="F1042" t="s">
        <v>86</v>
      </c>
      <c r="G1042">
        <v>66.529862083020902</v>
      </c>
      <c r="H1042">
        <v>2E+20</v>
      </c>
      <c r="I1042">
        <v>0</v>
      </c>
      <c r="J1042">
        <v>106</v>
      </c>
      <c r="K1042">
        <v>68</v>
      </c>
      <c r="L1042">
        <v>0</v>
      </c>
      <c r="M1042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1042" s="5" cm="1">
        <f t="array" ref="N1042">MAX(IF((ProjectInfoTable[ProjectName]=ContinuousStatsTable[[#This Row],[ProjectName]]),(ProjectInfoTable[ProjectName]=ContinuousStatsTable[[#This Row],[ProjectName]])*ProjectInfoTable[NumberOfReplications]))</f>
        <v>30</v>
      </c>
      <c r="O1042" s="5" cm="1">
        <f t="array" ref="O1042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1042" s="5" cm="1">
        <f t="array" ref="P1042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1042" s="5" cm="1">
        <f t="array" ref="Q1042">MAX(IF((ProjectInfoTable[ProjectName]=ContinuousStatsTable[[#This Row],[ProjectName]]),(ProjectInfoTable[ProjectName]=ContinuousStatsTable[[#This Row],[ProjectName]])*ProjectInfoTable[ConfidenceInterval]))</f>
        <v>0.95</v>
      </c>
      <c r="R10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1042" s="5" cm="1">
        <f t="array" ref="S1042">MIN(IF((ContinuousStatsTable[GroupByKey]=ContinuousStatsTable[[#This Row],[GroupByKey]]),(ContinuousStatsTable[GroupByKey]=ContinuousStatsTable[[#This Row],[GroupByKey]])*ContinuousStatsTable[Average]))</f>
        <v>36.709886237305</v>
      </c>
      <c r="T1042" s="5" cm="1">
        <f t="array" ref="T1042">MAX(IF((ContinuousStatsTable[GroupByKey]=ContinuousStatsTable[[#This Row],[GroupByKey]]),(ContinuousStatsTable[GroupByKey]=ContinuousStatsTable[[#This Row],[GroupByKey]])*ContinuousStatsTable[Average]))</f>
        <v>84.594951996708403</v>
      </c>
      <c r="U1042" s="5">
        <f>IF((ContinuousStatsTable[[#This Row],[RepsRequested]]&gt;1),ContinuousStatsTable[[#This Row],[HalfWidth]],ContinuousStatsTable[[#This Row],[BatchMeansHalfWidth]])</f>
        <v>4.0384933567271259</v>
      </c>
    </row>
    <row r="1043" spans="1:21" x14ac:dyDescent="0.3">
      <c r="A1043" t="s">
        <v>66</v>
      </c>
      <c r="B1043" t="s">
        <v>68</v>
      </c>
      <c r="C1043">
        <v>27</v>
      </c>
      <c r="D1043" t="s">
        <v>104</v>
      </c>
      <c r="E1043" t="s">
        <v>94</v>
      </c>
      <c r="F1043" t="s">
        <v>95</v>
      </c>
      <c r="G1043">
        <v>0</v>
      </c>
      <c r="H1043">
        <v>2E+20</v>
      </c>
      <c r="I1043">
        <v>0</v>
      </c>
      <c r="J1043">
        <v>0</v>
      </c>
      <c r="K1043">
        <v>0</v>
      </c>
      <c r="L1043">
        <v>0</v>
      </c>
      <c r="M1043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1043" s="5" cm="1">
        <f t="array" ref="N1043">MAX(IF((ProjectInfoTable[ProjectName]=ContinuousStatsTable[[#This Row],[ProjectName]]),(ProjectInfoTable[ProjectName]=ContinuousStatsTable[[#This Row],[ProjectName]])*ProjectInfoTable[NumberOfReplications]))</f>
        <v>30</v>
      </c>
      <c r="O1043" s="5" cm="1">
        <f t="array" ref="O1043">IFERROR(AVERAGE(IF((ContinuousStatsTable[GroupByKey]=ContinuousStatsTable[[#This Row],[GroupByKey]]),(ContinuousStatsTable[GroupByKey]=ContinuousStatsTable[[#This Row],[GroupByKey]])*ContinuousStatsTable[Average])),0)</f>
        <v>0</v>
      </c>
      <c r="P1043" s="5" cm="1">
        <f t="array" ref="P1043">IFERROR(_xlfn.STDEV.S(IF((ContinuousStatsTable[GroupByKey]=ContinuousStatsTable[[#This Row],[GroupByKey]]),(ContinuousStatsTable[GroupByKey]=ContinuousStatsTable[[#This Row],[GroupByKey]])*ContinuousStatsTable[Average])),0)</f>
        <v>0</v>
      </c>
      <c r="Q1043" s="5" cm="1">
        <f t="array" ref="Q1043">MAX(IF((ProjectInfoTable[ProjectName]=ContinuousStatsTable[[#This Row],[ProjectName]]),(ProjectInfoTable[ProjectName]=ContinuousStatsTable[[#This Row],[ProjectName]])*ProjectInfoTable[ConfidenceInterval]))</f>
        <v>0.95</v>
      </c>
      <c r="R10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3" s="5" cm="1">
        <f t="array" ref="S1043">MIN(IF((ContinuousStatsTable[GroupByKey]=ContinuousStatsTable[[#This Row],[GroupByKey]]),(ContinuousStatsTable[GroupByKey]=ContinuousStatsTable[[#This Row],[GroupByKey]])*ContinuousStatsTable[Average]))</f>
        <v>0</v>
      </c>
      <c r="T1043" s="5" cm="1">
        <f t="array" ref="T1043">MAX(IF((ContinuousStatsTable[GroupByKey]=ContinuousStatsTable[[#This Row],[GroupByKey]]),(ContinuousStatsTable[GroupByKey]=ContinuousStatsTable[[#This Row],[GroupByKey]])*ContinuousStatsTable[Average]))</f>
        <v>0</v>
      </c>
      <c r="U1043" s="5">
        <f>IF((ContinuousStatsTable[[#This Row],[RepsRequested]]&gt;1),ContinuousStatsTable[[#This Row],[HalfWidth]],ContinuousStatsTable[[#This Row],[BatchMeansHalfWidth]])</f>
        <v>0</v>
      </c>
    </row>
    <row r="1044" spans="1:21" x14ac:dyDescent="0.3">
      <c r="A1044" t="s">
        <v>66</v>
      </c>
      <c r="B1044" t="s">
        <v>68</v>
      </c>
      <c r="C1044">
        <v>27</v>
      </c>
      <c r="D1044" t="s">
        <v>104</v>
      </c>
      <c r="E1044" t="s">
        <v>96</v>
      </c>
      <c r="F1044" t="s">
        <v>95</v>
      </c>
      <c r="G1044">
        <v>0</v>
      </c>
      <c r="H1044">
        <v>2E+20</v>
      </c>
      <c r="I1044">
        <v>0</v>
      </c>
      <c r="J1044">
        <v>0</v>
      </c>
      <c r="K1044">
        <v>0</v>
      </c>
      <c r="L1044">
        <v>0</v>
      </c>
      <c r="M1044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1044" s="5" cm="1">
        <f t="array" ref="N1044">MAX(IF((ProjectInfoTable[ProjectName]=ContinuousStatsTable[[#This Row],[ProjectName]]),(ProjectInfoTable[ProjectName]=ContinuousStatsTable[[#This Row],[ProjectName]])*ProjectInfoTable[NumberOfReplications]))</f>
        <v>30</v>
      </c>
      <c r="O1044" s="5" cm="1">
        <f t="array" ref="O1044">IFERROR(AVERAGE(IF((ContinuousStatsTable[GroupByKey]=ContinuousStatsTable[[#This Row],[GroupByKey]]),(ContinuousStatsTable[GroupByKey]=ContinuousStatsTable[[#This Row],[GroupByKey]])*ContinuousStatsTable[Average])),0)</f>
        <v>0</v>
      </c>
      <c r="P1044" s="5" cm="1">
        <f t="array" ref="P1044">IFERROR(_xlfn.STDEV.S(IF((ContinuousStatsTable[GroupByKey]=ContinuousStatsTable[[#This Row],[GroupByKey]]),(ContinuousStatsTable[GroupByKey]=ContinuousStatsTable[[#This Row],[GroupByKey]])*ContinuousStatsTable[Average])),0)</f>
        <v>0</v>
      </c>
      <c r="Q1044" s="5" cm="1">
        <f t="array" ref="Q1044">MAX(IF((ProjectInfoTable[ProjectName]=ContinuousStatsTable[[#This Row],[ProjectName]]),(ProjectInfoTable[ProjectName]=ContinuousStatsTable[[#This Row],[ProjectName]])*ProjectInfoTable[ConfidenceInterval]))</f>
        <v>0.95</v>
      </c>
      <c r="R10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4" s="5" cm="1">
        <f t="array" ref="S1044">MIN(IF((ContinuousStatsTable[GroupByKey]=ContinuousStatsTable[[#This Row],[GroupByKey]]),(ContinuousStatsTable[GroupByKey]=ContinuousStatsTable[[#This Row],[GroupByKey]])*ContinuousStatsTable[Average]))</f>
        <v>0</v>
      </c>
      <c r="T1044" s="5" cm="1">
        <f t="array" ref="T1044">MAX(IF((ContinuousStatsTable[GroupByKey]=ContinuousStatsTable[[#This Row],[GroupByKey]]),(ContinuousStatsTable[GroupByKey]=ContinuousStatsTable[[#This Row],[GroupByKey]])*ContinuousStatsTable[Average]))</f>
        <v>0</v>
      </c>
      <c r="U1044" s="5">
        <f>IF((ContinuousStatsTable[[#This Row],[RepsRequested]]&gt;1),ContinuousStatsTable[[#This Row],[HalfWidth]],ContinuousStatsTable[[#This Row],[BatchMeansHalfWidth]])</f>
        <v>0</v>
      </c>
    </row>
    <row r="1045" spans="1:21" x14ac:dyDescent="0.3">
      <c r="A1045" t="s">
        <v>66</v>
      </c>
      <c r="B1045" t="s">
        <v>68</v>
      </c>
      <c r="C1045">
        <v>27</v>
      </c>
      <c r="D1045" t="s">
        <v>104</v>
      </c>
      <c r="E1045" t="s">
        <v>97</v>
      </c>
      <c r="F1045" t="s">
        <v>95</v>
      </c>
      <c r="G1045">
        <v>3</v>
      </c>
      <c r="H1045">
        <v>2E+20</v>
      </c>
      <c r="I1045">
        <v>3</v>
      </c>
      <c r="J1045">
        <v>3</v>
      </c>
      <c r="K1045">
        <v>3</v>
      </c>
      <c r="L1045">
        <v>0</v>
      </c>
      <c r="M1045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1045" s="5" cm="1">
        <f t="array" ref="N1045">MAX(IF((ProjectInfoTable[ProjectName]=ContinuousStatsTable[[#This Row],[ProjectName]]),(ProjectInfoTable[ProjectName]=ContinuousStatsTable[[#This Row],[ProjectName]])*ProjectInfoTable[NumberOfReplications]))</f>
        <v>30</v>
      </c>
      <c r="O1045" s="5" cm="1">
        <f t="array" ref="O1045">IFERROR(AVERAGE(IF((ContinuousStatsTable[GroupByKey]=ContinuousStatsTable[[#This Row],[GroupByKey]]),(ContinuousStatsTable[GroupByKey]=ContinuousStatsTable[[#This Row],[GroupByKey]])*ContinuousStatsTable[Average])),0)</f>
        <v>3</v>
      </c>
      <c r="P1045" s="5" cm="1">
        <f t="array" ref="P1045">IFERROR(_xlfn.STDEV.S(IF((ContinuousStatsTable[GroupByKey]=ContinuousStatsTable[[#This Row],[GroupByKey]]),(ContinuousStatsTable[GroupByKey]=ContinuousStatsTable[[#This Row],[GroupByKey]])*ContinuousStatsTable[Average])),0)</f>
        <v>0</v>
      </c>
      <c r="Q1045" s="5" cm="1">
        <f t="array" ref="Q1045">MAX(IF((ProjectInfoTable[ProjectName]=ContinuousStatsTable[[#This Row],[ProjectName]]),(ProjectInfoTable[ProjectName]=ContinuousStatsTable[[#This Row],[ProjectName]])*ProjectInfoTable[ConfidenceInterval]))</f>
        <v>0.95</v>
      </c>
      <c r="R10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5" s="5" cm="1">
        <f t="array" ref="S1045">MIN(IF((ContinuousStatsTable[GroupByKey]=ContinuousStatsTable[[#This Row],[GroupByKey]]),(ContinuousStatsTable[GroupByKey]=ContinuousStatsTable[[#This Row],[GroupByKey]])*ContinuousStatsTable[Average]))</f>
        <v>3</v>
      </c>
      <c r="T1045" s="5" cm="1">
        <f t="array" ref="T1045">MAX(IF((ContinuousStatsTable[GroupByKey]=ContinuousStatsTable[[#This Row],[GroupByKey]]),(ContinuousStatsTable[GroupByKey]=ContinuousStatsTable[[#This Row],[GroupByKey]])*ContinuousStatsTable[Average]))</f>
        <v>3</v>
      </c>
      <c r="U1045" s="5">
        <f>IF((ContinuousStatsTable[[#This Row],[RepsRequested]]&gt;1),ContinuousStatsTable[[#This Row],[HalfWidth]],ContinuousStatsTable[[#This Row],[BatchMeansHalfWidth]])</f>
        <v>0</v>
      </c>
    </row>
    <row r="1046" spans="1:21" x14ac:dyDescent="0.3">
      <c r="A1046" t="s">
        <v>66</v>
      </c>
      <c r="B1046" t="s">
        <v>68</v>
      </c>
      <c r="C1046">
        <v>27</v>
      </c>
      <c r="D1046" t="s">
        <v>105</v>
      </c>
      <c r="E1046" t="s">
        <v>94</v>
      </c>
      <c r="F1046" t="s">
        <v>95</v>
      </c>
      <c r="G1046">
        <v>0.93778302737253005</v>
      </c>
      <c r="H1046">
        <v>2E+20</v>
      </c>
      <c r="I1046">
        <v>0</v>
      </c>
      <c r="J1046">
        <v>1</v>
      </c>
      <c r="K1046">
        <v>1</v>
      </c>
      <c r="L1046">
        <v>0</v>
      </c>
      <c r="M1046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1046" s="5" cm="1">
        <f t="array" ref="N1046">MAX(IF((ProjectInfoTable[ProjectName]=ContinuousStatsTable[[#This Row],[ProjectName]]),(ProjectInfoTable[ProjectName]=ContinuousStatsTable[[#This Row],[ProjectName]])*ProjectInfoTable[NumberOfReplications]))</f>
        <v>30</v>
      </c>
      <c r="O1046" s="5" cm="1">
        <f t="array" ref="O1046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046" s="5" cm="1">
        <f t="array" ref="P1046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046" s="5" cm="1">
        <f t="array" ref="Q1046">MAX(IF((ProjectInfoTable[ProjectName]=ContinuousStatsTable[[#This Row],[ProjectName]]),(ProjectInfoTable[ProjectName]=ContinuousStatsTable[[#This Row],[ProjectName]])*ProjectInfoTable[ConfidenceInterval]))</f>
        <v>0.95</v>
      </c>
      <c r="R10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046" s="5" cm="1">
        <f t="array" ref="S1046">MIN(IF((ContinuousStatsTable[GroupByKey]=ContinuousStatsTable[[#This Row],[GroupByKey]]),(ContinuousStatsTable[GroupByKey]=ContinuousStatsTable[[#This Row],[GroupByKey]])*ContinuousStatsTable[Average]))</f>
        <v>0.634589476164233</v>
      </c>
      <c r="T1046" s="5" cm="1">
        <f t="array" ref="T1046">MAX(IF((ContinuousStatsTable[GroupByKey]=ContinuousStatsTable[[#This Row],[GroupByKey]]),(ContinuousStatsTable[GroupByKey]=ContinuousStatsTable[[#This Row],[GroupByKey]])*ContinuousStatsTable[Average]))</f>
        <v>0.99383259650362799</v>
      </c>
      <c r="U1046" s="5">
        <f>IF((ContinuousStatsTable[[#This Row],[RepsRequested]]&gt;1),ContinuousStatsTable[[#This Row],[HalfWidth]],ContinuousStatsTable[[#This Row],[BatchMeansHalfWidth]])</f>
        <v>3.9940526897700258E-2</v>
      </c>
    </row>
    <row r="1047" spans="1:21" x14ac:dyDescent="0.3">
      <c r="A1047" t="s">
        <v>66</v>
      </c>
      <c r="B1047" t="s">
        <v>68</v>
      </c>
      <c r="C1047">
        <v>27</v>
      </c>
      <c r="D1047" t="s">
        <v>105</v>
      </c>
      <c r="E1047" t="s">
        <v>96</v>
      </c>
      <c r="F1047" t="s">
        <v>95</v>
      </c>
      <c r="G1047">
        <v>0.93778302737253005</v>
      </c>
      <c r="H1047">
        <v>2E+20</v>
      </c>
      <c r="I1047">
        <v>0</v>
      </c>
      <c r="J1047">
        <v>1</v>
      </c>
      <c r="K1047">
        <v>1</v>
      </c>
      <c r="L1047">
        <v>0</v>
      </c>
      <c r="M1047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1047" s="5" cm="1">
        <f t="array" ref="N1047">MAX(IF((ProjectInfoTable[ProjectName]=ContinuousStatsTable[[#This Row],[ProjectName]]),(ProjectInfoTable[ProjectName]=ContinuousStatsTable[[#This Row],[ProjectName]])*ProjectInfoTable[NumberOfReplications]))</f>
        <v>30</v>
      </c>
      <c r="O1047" s="5" cm="1">
        <f t="array" ref="O1047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047" s="5" cm="1">
        <f t="array" ref="P1047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047" s="5" cm="1">
        <f t="array" ref="Q1047">MAX(IF((ProjectInfoTable[ProjectName]=ContinuousStatsTable[[#This Row],[ProjectName]]),(ProjectInfoTable[ProjectName]=ContinuousStatsTable[[#This Row],[ProjectName]])*ProjectInfoTable[ConfidenceInterval]))</f>
        <v>0.95</v>
      </c>
      <c r="R10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047" s="5" cm="1">
        <f t="array" ref="S1047">MIN(IF((ContinuousStatsTable[GroupByKey]=ContinuousStatsTable[[#This Row],[GroupByKey]]),(ContinuousStatsTable[GroupByKey]=ContinuousStatsTable[[#This Row],[GroupByKey]])*ContinuousStatsTable[Average]))</f>
        <v>0.634589476164233</v>
      </c>
      <c r="T1047" s="5" cm="1">
        <f t="array" ref="T1047">MAX(IF((ContinuousStatsTable[GroupByKey]=ContinuousStatsTable[[#This Row],[GroupByKey]]),(ContinuousStatsTable[GroupByKey]=ContinuousStatsTable[[#This Row],[GroupByKey]])*ContinuousStatsTable[Average]))</f>
        <v>0.99383259650362799</v>
      </c>
      <c r="U1047" s="5">
        <f>IF((ContinuousStatsTable[[#This Row],[RepsRequested]]&gt;1),ContinuousStatsTable[[#This Row],[HalfWidth]],ContinuousStatsTable[[#This Row],[BatchMeansHalfWidth]])</f>
        <v>3.9940526897700258E-2</v>
      </c>
    </row>
    <row r="1048" spans="1:21" x14ac:dyDescent="0.3">
      <c r="A1048" t="s">
        <v>66</v>
      </c>
      <c r="B1048" t="s">
        <v>68</v>
      </c>
      <c r="C1048">
        <v>27</v>
      </c>
      <c r="D1048" t="s">
        <v>105</v>
      </c>
      <c r="E1048" t="s">
        <v>97</v>
      </c>
      <c r="F1048" t="s">
        <v>95</v>
      </c>
      <c r="G1048">
        <v>1</v>
      </c>
      <c r="H1048">
        <v>2E+20</v>
      </c>
      <c r="I1048">
        <v>1</v>
      </c>
      <c r="J1048">
        <v>1</v>
      </c>
      <c r="K1048">
        <v>1</v>
      </c>
      <c r="L1048">
        <v>0</v>
      </c>
      <c r="M1048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1048" s="5" cm="1">
        <f t="array" ref="N1048">MAX(IF((ProjectInfoTable[ProjectName]=ContinuousStatsTable[[#This Row],[ProjectName]]),(ProjectInfoTable[ProjectName]=ContinuousStatsTable[[#This Row],[ProjectName]])*ProjectInfoTable[NumberOfReplications]))</f>
        <v>30</v>
      </c>
      <c r="O1048" s="5" cm="1">
        <f t="array" ref="O1048">IFERROR(AVERAGE(IF((ContinuousStatsTable[GroupByKey]=ContinuousStatsTable[[#This Row],[GroupByKey]]),(ContinuousStatsTable[GroupByKey]=ContinuousStatsTable[[#This Row],[GroupByKey]])*ContinuousStatsTable[Average])),0)</f>
        <v>1</v>
      </c>
      <c r="P1048" s="5" cm="1">
        <f t="array" ref="P1048">IFERROR(_xlfn.STDEV.S(IF((ContinuousStatsTable[GroupByKey]=ContinuousStatsTable[[#This Row],[GroupByKey]]),(ContinuousStatsTable[GroupByKey]=ContinuousStatsTable[[#This Row],[GroupByKey]])*ContinuousStatsTable[Average])),0)</f>
        <v>0</v>
      </c>
      <c r="Q1048" s="5" cm="1">
        <f t="array" ref="Q1048">MAX(IF((ProjectInfoTable[ProjectName]=ContinuousStatsTable[[#This Row],[ProjectName]]),(ProjectInfoTable[ProjectName]=ContinuousStatsTable[[#This Row],[ProjectName]])*ProjectInfoTable[ConfidenceInterval]))</f>
        <v>0.95</v>
      </c>
      <c r="R10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8" s="5" cm="1">
        <f t="array" ref="S1048">MIN(IF((ContinuousStatsTable[GroupByKey]=ContinuousStatsTable[[#This Row],[GroupByKey]]),(ContinuousStatsTable[GroupByKey]=ContinuousStatsTable[[#This Row],[GroupByKey]])*ContinuousStatsTable[Average]))</f>
        <v>1</v>
      </c>
      <c r="T1048" s="5" cm="1">
        <f t="array" ref="T1048">MAX(IF((ContinuousStatsTable[GroupByKey]=ContinuousStatsTable[[#This Row],[GroupByKey]]),(ContinuousStatsTable[GroupByKey]=ContinuousStatsTable[[#This Row],[GroupByKey]])*ContinuousStatsTable[Average]))</f>
        <v>1</v>
      </c>
      <c r="U1048" s="5">
        <f>IF((ContinuousStatsTable[[#This Row],[RepsRequested]]&gt;1),ContinuousStatsTable[[#This Row],[HalfWidth]],ContinuousStatsTable[[#This Row],[BatchMeansHalfWidth]])</f>
        <v>0</v>
      </c>
    </row>
    <row r="1049" spans="1:21" x14ac:dyDescent="0.3">
      <c r="A1049" t="s">
        <v>66</v>
      </c>
      <c r="B1049" t="s">
        <v>68</v>
      </c>
      <c r="C1049">
        <v>27</v>
      </c>
      <c r="D1049" t="s">
        <v>106</v>
      </c>
      <c r="E1049" t="s">
        <v>94</v>
      </c>
      <c r="F1049" t="s">
        <v>95</v>
      </c>
      <c r="G1049">
        <v>0.950058265209486</v>
      </c>
      <c r="H1049">
        <v>2E+20</v>
      </c>
      <c r="I1049">
        <v>0</v>
      </c>
      <c r="J1049">
        <v>1</v>
      </c>
      <c r="K1049">
        <v>1</v>
      </c>
      <c r="L1049">
        <v>0</v>
      </c>
      <c r="M1049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1049" s="5" cm="1">
        <f t="array" ref="N1049">MAX(IF((ProjectInfoTable[ProjectName]=ContinuousStatsTable[[#This Row],[ProjectName]]),(ProjectInfoTable[ProjectName]=ContinuousStatsTable[[#This Row],[ProjectName]])*ProjectInfoTable[NumberOfReplications]))</f>
        <v>30</v>
      </c>
      <c r="O1049" s="5" cm="1">
        <f t="array" ref="O1049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049" s="5" cm="1">
        <f t="array" ref="P1049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049" s="5" cm="1">
        <f t="array" ref="Q1049">MAX(IF((ProjectInfoTable[ProjectName]=ContinuousStatsTable[[#This Row],[ProjectName]]),(ProjectInfoTable[ProjectName]=ContinuousStatsTable[[#This Row],[ProjectName]])*ProjectInfoTable[ConfidenceInterval]))</f>
        <v>0.95</v>
      </c>
      <c r="R10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049" s="5" cm="1">
        <f t="array" ref="S1049">MIN(IF((ContinuousStatsTable[GroupByKey]=ContinuousStatsTable[[#This Row],[GroupByKey]]),(ContinuousStatsTable[GroupByKey]=ContinuousStatsTable[[#This Row],[GroupByKey]])*ContinuousStatsTable[Average]))</f>
        <v>0.74061105631083801</v>
      </c>
      <c r="T1049" s="5" cm="1">
        <f t="array" ref="T1049">MAX(IF((ContinuousStatsTable[GroupByKey]=ContinuousStatsTable[[#This Row],[GroupByKey]]),(ContinuousStatsTable[GroupByKey]=ContinuousStatsTable[[#This Row],[GroupByKey]])*ContinuousStatsTable[Average]))</f>
        <v>0.99245161744166299</v>
      </c>
      <c r="U1049" s="5">
        <f>IF((ContinuousStatsTable[[#This Row],[RepsRequested]]&gt;1),ContinuousStatsTable[[#This Row],[HalfWidth]],ContinuousStatsTable[[#This Row],[BatchMeansHalfWidth]])</f>
        <v>2.8912497794626357E-2</v>
      </c>
    </row>
    <row r="1050" spans="1:21" x14ac:dyDescent="0.3">
      <c r="A1050" t="s">
        <v>66</v>
      </c>
      <c r="B1050" t="s">
        <v>68</v>
      </c>
      <c r="C1050">
        <v>27</v>
      </c>
      <c r="D1050" t="s">
        <v>106</v>
      </c>
      <c r="E1050" t="s">
        <v>96</v>
      </c>
      <c r="F1050" t="s">
        <v>95</v>
      </c>
      <c r="G1050">
        <v>0.950058265209486</v>
      </c>
      <c r="H1050">
        <v>2E+20</v>
      </c>
      <c r="I1050">
        <v>0</v>
      </c>
      <c r="J1050">
        <v>1</v>
      </c>
      <c r="K1050">
        <v>1</v>
      </c>
      <c r="L1050">
        <v>0</v>
      </c>
      <c r="M1050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1050" s="5" cm="1">
        <f t="array" ref="N1050">MAX(IF((ProjectInfoTable[ProjectName]=ContinuousStatsTable[[#This Row],[ProjectName]]),(ProjectInfoTable[ProjectName]=ContinuousStatsTable[[#This Row],[ProjectName]])*ProjectInfoTable[NumberOfReplications]))</f>
        <v>30</v>
      </c>
      <c r="O1050" s="5" cm="1">
        <f t="array" ref="O1050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050" s="5" cm="1">
        <f t="array" ref="P1050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050" s="5" cm="1">
        <f t="array" ref="Q1050">MAX(IF((ProjectInfoTable[ProjectName]=ContinuousStatsTable[[#This Row],[ProjectName]]),(ProjectInfoTable[ProjectName]=ContinuousStatsTable[[#This Row],[ProjectName]])*ProjectInfoTable[ConfidenceInterval]))</f>
        <v>0.95</v>
      </c>
      <c r="R10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050" s="5" cm="1">
        <f t="array" ref="S1050">MIN(IF((ContinuousStatsTable[GroupByKey]=ContinuousStatsTable[[#This Row],[GroupByKey]]),(ContinuousStatsTable[GroupByKey]=ContinuousStatsTable[[#This Row],[GroupByKey]])*ContinuousStatsTable[Average]))</f>
        <v>0.74061105631083801</v>
      </c>
      <c r="T1050" s="5" cm="1">
        <f t="array" ref="T1050">MAX(IF((ContinuousStatsTable[GroupByKey]=ContinuousStatsTable[[#This Row],[GroupByKey]]),(ContinuousStatsTable[GroupByKey]=ContinuousStatsTable[[#This Row],[GroupByKey]])*ContinuousStatsTable[Average]))</f>
        <v>0.99245161744166299</v>
      </c>
      <c r="U1050" s="5">
        <f>IF((ContinuousStatsTable[[#This Row],[RepsRequested]]&gt;1),ContinuousStatsTable[[#This Row],[HalfWidth]],ContinuousStatsTable[[#This Row],[BatchMeansHalfWidth]])</f>
        <v>2.8912497794626357E-2</v>
      </c>
    </row>
    <row r="1051" spans="1:21" x14ac:dyDescent="0.3">
      <c r="A1051" t="s">
        <v>66</v>
      </c>
      <c r="B1051" t="s">
        <v>68</v>
      </c>
      <c r="C1051">
        <v>27</v>
      </c>
      <c r="D1051" t="s">
        <v>106</v>
      </c>
      <c r="E1051" t="s">
        <v>97</v>
      </c>
      <c r="F1051" t="s">
        <v>95</v>
      </c>
      <c r="G1051">
        <v>1</v>
      </c>
      <c r="H1051">
        <v>2E+20</v>
      </c>
      <c r="I1051">
        <v>1</v>
      </c>
      <c r="J1051">
        <v>1</v>
      </c>
      <c r="K1051">
        <v>1</v>
      </c>
      <c r="L1051">
        <v>0</v>
      </c>
      <c r="M1051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1051" s="5" cm="1">
        <f t="array" ref="N1051">MAX(IF((ProjectInfoTable[ProjectName]=ContinuousStatsTable[[#This Row],[ProjectName]]),(ProjectInfoTable[ProjectName]=ContinuousStatsTable[[#This Row],[ProjectName]])*ProjectInfoTable[NumberOfReplications]))</f>
        <v>30</v>
      </c>
      <c r="O1051" s="5" cm="1">
        <f t="array" ref="O1051">IFERROR(AVERAGE(IF((ContinuousStatsTable[GroupByKey]=ContinuousStatsTable[[#This Row],[GroupByKey]]),(ContinuousStatsTable[GroupByKey]=ContinuousStatsTable[[#This Row],[GroupByKey]])*ContinuousStatsTable[Average])),0)</f>
        <v>1</v>
      </c>
      <c r="P1051" s="5" cm="1">
        <f t="array" ref="P1051">IFERROR(_xlfn.STDEV.S(IF((ContinuousStatsTable[GroupByKey]=ContinuousStatsTable[[#This Row],[GroupByKey]]),(ContinuousStatsTable[GroupByKey]=ContinuousStatsTable[[#This Row],[GroupByKey]])*ContinuousStatsTable[Average])),0)</f>
        <v>0</v>
      </c>
      <c r="Q1051" s="5" cm="1">
        <f t="array" ref="Q1051">MAX(IF((ProjectInfoTable[ProjectName]=ContinuousStatsTable[[#This Row],[ProjectName]]),(ProjectInfoTable[ProjectName]=ContinuousStatsTable[[#This Row],[ProjectName]])*ProjectInfoTable[ConfidenceInterval]))</f>
        <v>0.95</v>
      </c>
      <c r="R10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1" s="5" cm="1">
        <f t="array" ref="S1051">MIN(IF((ContinuousStatsTable[GroupByKey]=ContinuousStatsTable[[#This Row],[GroupByKey]]),(ContinuousStatsTable[GroupByKey]=ContinuousStatsTable[[#This Row],[GroupByKey]])*ContinuousStatsTable[Average]))</f>
        <v>1</v>
      </c>
      <c r="T1051" s="5" cm="1">
        <f t="array" ref="T1051">MAX(IF((ContinuousStatsTable[GroupByKey]=ContinuousStatsTable[[#This Row],[GroupByKey]]),(ContinuousStatsTable[GroupByKey]=ContinuousStatsTable[[#This Row],[GroupByKey]])*ContinuousStatsTable[Average]))</f>
        <v>1</v>
      </c>
      <c r="U1051" s="5">
        <f>IF((ContinuousStatsTable[[#This Row],[RepsRequested]]&gt;1),ContinuousStatsTable[[#This Row],[HalfWidth]],ContinuousStatsTable[[#This Row],[BatchMeansHalfWidth]])</f>
        <v>0</v>
      </c>
    </row>
    <row r="1052" spans="1:21" x14ac:dyDescent="0.3">
      <c r="A1052" t="s">
        <v>66</v>
      </c>
      <c r="B1052" t="s">
        <v>68</v>
      </c>
      <c r="C1052">
        <v>27</v>
      </c>
      <c r="D1052" t="s">
        <v>107</v>
      </c>
      <c r="E1052" t="s">
        <v>94</v>
      </c>
      <c r="F1052" t="s">
        <v>95</v>
      </c>
      <c r="G1052">
        <v>0.96245182322941003</v>
      </c>
      <c r="H1052">
        <v>2E+20</v>
      </c>
      <c r="I1052">
        <v>0</v>
      </c>
      <c r="J1052">
        <v>1</v>
      </c>
      <c r="K1052">
        <v>1</v>
      </c>
      <c r="L1052">
        <v>0</v>
      </c>
      <c r="M1052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1052" s="5" cm="1">
        <f t="array" ref="N1052">MAX(IF((ProjectInfoTable[ProjectName]=ContinuousStatsTable[[#This Row],[ProjectName]]),(ProjectInfoTable[ProjectName]=ContinuousStatsTable[[#This Row],[ProjectName]])*ProjectInfoTable[NumberOfReplications]))</f>
        <v>30</v>
      </c>
      <c r="O1052" s="5" cm="1">
        <f t="array" ref="O1052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052" s="5" cm="1">
        <f t="array" ref="P1052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052" s="5" cm="1">
        <f t="array" ref="Q1052">MAX(IF((ProjectInfoTable[ProjectName]=ContinuousStatsTable[[#This Row],[ProjectName]]),(ProjectInfoTable[ProjectName]=ContinuousStatsTable[[#This Row],[ProjectName]])*ProjectInfoTable[ConfidenceInterval]))</f>
        <v>0.95</v>
      </c>
      <c r="R10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052" s="5" cm="1">
        <f t="array" ref="S1052">MIN(IF((ContinuousStatsTable[GroupByKey]=ContinuousStatsTable[[#This Row],[GroupByKey]]),(ContinuousStatsTable[GroupByKey]=ContinuousStatsTable[[#This Row],[GroupByKey]])*ContinuousStatsTable[Average]))</f>
        <v>0.73843386001690303</v>
      </c>
      <c r="T1052" s="5" cm="1">
        <f t="array" ref="T1052">MAX(IF((ContinuousStatsTable[GroupByKey]=ContinuousStatsTable[[#This Row],[GroupByKey]]),(ContinuousStatsTable[GroupByKey]=ContinuousStatsTable[[#This Row],[GroupByKey]])*ContinuousStatsTable[Average]))</f>
        <v>0.99245161744166299</v>
      </c>
      <c r="U1052" s="5">
        <f>IF((ContinuousStatsTable[[#This Row],[RepsRequested]]&gt;1),ContinuousStatsTable[[#This Row],[HalfWidth]],ContinuousStatsTable[[#This Row],[BatchMeansHalfWidth]])</f>
        <v>2.6057642646860522E-2</v>
      </c>
    </row>
    <row r="1053" spans="1:21" x14ac:dyDescent="0.3">
      <c r="A1053" t="s">
        <v>66</v>
      </c>
      <c r="B1053" t="s">
        <v>68</v>
      </c>
      <c r="C1053">
        <v>27</v>
      </c>
      <c r="D1053" t="s">
        <v>107</v>
      </c>
      <c r="E1053" t="s">
        <v>96</v>
      </c>
      <c r="F1053" t="s">
        <v>95</v>
      </c>
      <c r="G1053">
        <v>0.96245182322941003</v>
      </c>
      <c r="H1053">
        <v>2E+20</v>
      </c>
      <c r="I1053">
        <v>0</v>
      </c>
      <c r="J1053">
        <v>1</v>
      </c>
      <c r="K1053">
        <v>1</v>
      </c>
      <c r="L1053">
        <v>0</v>
      </c>
      <c r="M1053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1053" s="5" cm="1">
        <f t="array" ref="N1053">MAX(IF((ProjectInfoTable[ProjectName]=ContinuousStatsTable[[#This Row],[ProjectName]]),(ProjectInfoTable[ProjectName]=ContinuousStatsTable[[#This Row],[ProjectName]])*ProjectInfoTable[NumberOfReplications]))</f>
        <v>30</v>
      </c>
      <c r="O1053" s="5" cm="1">
        <f t="array" ref="O1053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053" s="5" cm="1">
        <f t="array" ref="P1053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053" s="5" cm="1">
        <f t="array" ref="Q1053">MAX(IF((ProjectInfoTable[ProjectName]=ContinuousStatsTable[[#This Row],[ProjectName]]),(ProjectInfoTable[ProjectName]=ContinuousStatsTable[[#This Row],[ProjectName]])*ProjectInfoTable[ConfidenceInterval]))</f>
        <v>0.95</v>
      </c>
      <c r="R10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053" s="5" cm="1">
        <f t="array" ref="S1053">MIN(IF((ContinuousStatsTable[GroupByKey]=ContinuousStatsTable[[#This Row],[GroupByKey]]),(ContinuousStatsTable[GroupByKey]=ContinuousStatsTable[[#This Row],[GroupByKey]])*ContinuousStatsTable[Average]))</f>
        <v>0.73843386001690303</v>
      </c>
      <c r="T1053" s="5" cm="1">
        <f t="array" ref="T1053">MAX(IF((ContinuousStatsTable[GroupByKey]=ContinuousStatsTable[[#This Row],[GroupByKey]]),(ContinuousStatsTable[GroupByKey]=ContinuousStatsTable[[#This Row],[GroupByKey]])*ContinuousStatsTable[Average]))</f>
        <v>0.99245161744166299</v>
      </c>
      <c r="U1053" s="5">
        <f>IF((ContinuousStatsTable[[#This Row],[RepsRequested]]&gt;1),ContinuousStatsTable[[#This Row],[HalfWidth]],ContinuousStatsTable[[#This Row],[BatchMeansHalfWidth]])</f>
        <v>2.6057642646860522E-2</v>
      </c>
    </row>
    <row r="1054" spans="1:21" x14ac:dyDescent="0.3">
      <c r="A1054" t="s">
        <v>66</v>
      </c>
      <c r="B1054" t="s">
        <v>68</v>
      </c>
      <c r="C1054">
        <v>27</v>
      </c>
      <c r="D1054" t="s">
        <v>107</v>
      </c>
      <c r="E1054" t="s">
        <v>97</v>
      </c>
      <c r="F1054" t="s">
        <v>95</v>
      </c>
      <c r="G1054">
        <v>1</v>
      </c>
      <c r="H1054">
        <v>2E+20</v>
      </c>
      <c r="I1054">
        <v>1</v>
      </c>
      <c r="J1054">
        <v>1</v>
      </c>
      <c r="K1054">
        <v>1</v>
      </c>
      <c r="L1054">
        <v>0</v>
      </c>
      <c r="M1054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1054" s="5" cm="1">
        <f t="array" ref="N1054">MAX(IF((ProjectInfoTable[ProjectName]=ContinuousStatsTable[[#This Row],[ProjectName]]),(ProjectInfoTable[ProjectName]=ContinuousStatsTable[[#This Row],[ProjectName]])*ProjectInfoTable[NumberOfReplications]))</f>
        <v>30</v>
      </c>
      <c r="O1054" s="5" cm="1">
        <f t="array" ref="O1054">IFERROR(AVERAGE(IF((ContinuousStatsTable[GroupByKey]=ContinuousStatsTable[[#This Row],[GroupByKey]]),(ContinuousStatsTable[GroupByKey]=ContinuousStatsTable[[#This Row],[GroupByKey]])*ContinuousStatsTable[Average])),0)</f>
        <v>1</v>
      </c>
      <c r="P1054" s="5" cm="1">
        <f t="array" ref="P1054">IFERROR(_xlfn.STDEV.S(IF((ContinuousStatsTable[GroupByKey]=ContinuousStatsTable[[#This Row],[GroupByKey]]),(ContinuousStatsTable[GroupByKey]=ContinuousStatsTable[[#This Row],[GroupByKey]])*ContinuousStatsTable[Average])),0)</f>
        <v>0</v>
      </c>
      <c r="Q1054" s="5" cm="1">
        <f t="array" ref="Q1054">MAX(IF((ProjectInfoTable[ProjectName]=ContinuousStatsTable[[#This Row],[ProjectName]]),(ProjectInfoTable[ProjectName]=ContinuousStatsTable[[#This Row],[ProjectName]])*ProjectInfoTable[ConfidenceInterval]))</f>
        <v>0.95</v>
      </c>
      <c r="R10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4" s="5" cm="1">
        <f t="array" ref="S1054">MIN(IF((ContinuousStatsTable[GroupByKey]=ContinuousStatsTable[[#This Row],[GroupByKey]]),(ContinuousStatsTable[GroupByKey]=ContinuousStatsTable[[#This Row],[GroupByKey]])*ContinuousStatsTable[Average]))</f>
        <v>1</v>
      </c>
      <c r="T1054" s="5" cm="1">
        <f t="array" ref="T1054">MAX(IF((ContinuousStatsTable[GroupByKey]=ContinuousStatsTable[[#This Row],[GroupByKey]]),(ContinuousStatsTable[GroupByKey]=ContinuousStatsTable[[#This Row],[GroupByKey]])*ContinuousStatsTable[Average]))</f>
        <v>1</v>
      </c>
      <c r="U1054" s="5">
        <f>IF((ContinuousStatsTable[[#This Row],[RepsRequested]]&gt;1),ContinuousStatsTable[[#This Row],[HalfWidth]],ContinuousStatsTable[[#This Row],[BatchMeansHalfWidth]])</f>
        <v>0</v>
      </c>
    </row>
    <row r="1055" spans="1:21" x14ac:dyDescent="0.3">
      <c r="A1055" t="s">
        <v>66</v>
      </c>
      <c r="B1055" t="s">
        <v>68</v>
      </c>
      <c r="C1055">
        <v>28</v>
      </c>
      <c r="D1055" t="s">
        <v>69</v>
      </c>
      <c r="E1055" t="s">
        <v>92</v>
      </c>
      <c r="F1055" t="s">
        <v>71</v>
      </c>
      <c r="G1055">
        <v>4.1843669625687498</v>
      </c>
      <c r="H1055">
        <v>2E+20</v>
      </c>
      <c r="I1055">
        <v>0</v>
      </c>
      <c r="J1055">
        <v>16</v>
      </c>
      <c r="K1055">
        <v>0</v>
      </c>
      <c r="L1055">
        <v>0</v>
      </c>
      <c r="M1055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1055" s="5" cm="1">
        <f t="array" ref="N1055">MAX(IF((ProjectInfoTable[ProjectName]=ContinuousStatsTable[[#This Row],[ProjectName]]),(ProjectInfoTable[ProjectName]=ContinuousStatsTable[[#This Row],[ProjectName]])*ProjectInfoTable[NumberOfReplications]))</f>
        <v>30</v>
      </c>
      <c r="O1055" s="5" cm="1">
        <f t="array" ref="O1055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1055" s="5" cm="1">
        <f t="array" ref="P1055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1055" s="5" cm="1">
        <f t="array" ref="Q1055">MAX(IF((ProjectInfoTable[ProjectName]=ContinuousStatsTable[[#This Row],[ProjectName]]),(ProjectInfoTable[ProjectName]=ContinuousStatsTable[[#This Row],[ProjectName]])*ProjectInfoTable[ConfidenceInterval]))</f>
        <v>0.95</v>
      </c>
      <c r="R10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1055" s="5" cm="1">
        <f t="array" ref="S1055">MIN(IF((ContinuousStatsTable[GroupByKey]=ContinuousStatsTable[[#This Row],[GroupByKey]]),(ContinuousStatsTable[GroupByKey]=ContinuousStatsTable[[#This Row],[GroupByKey]])*ContinuousStatsTable[Average]))</f>
        <v>2.2853775994771</v>
      </c>
      <c r="T1055" s="5" cm="1">
        <f t="array" ref="T1055">MAX(IF((ContinuousStatsTable[GroupByKey]=ContinuousStatsTable[[#This Row],[GroupByKey]]),(ContinuousStatsTable[GroupByKey]=ContinuousStatsTable[[#This Row],[GroupByKey]])*ContinuousStatsTable[Average]))</f>
        <v>9.3827575078214593</v>
      </c>
      <c r="U1055" s="5">
        <f>IF((ContinuousStatsTable[[#This Row],[RepsRequested]]&gt;1),ContinuousStatsTable[[#This Row],[HalfWidth]],ContinuousStatsTable[[#This Row],[BatchMeansHalfWidth]])</f>
        <v>0.70373665421471332</v>
      </c>
    </row>
    <row r="1056" spans="1:21" x14ac:dyDescent="0.3">
      <c r="A1056" t="s">
        <v>66</v>
      </c>
      <c r="B1056" t="s">
        <v>68</v>
      </c>
      <c r="C1056">
        <v>28</v>
      </c>
      <c r="D1056" t="s">
        <v>72</v>
      </c>
      <c r="E1056" t="s">
        <v>92</v>
      </c>
      <c r="F1056" t="s">
        <v>71</v>
      </c>
      <c r="G1056">
        <v>3.4283861373051199</v>
      </c>
      <c r="H1056">
        <v>2E+20</v>
      </c>
      <c r="I1056">
        <v>0</v>
      </c>
      <c r="J1056">
        <v>18</v>
      </c>
      <c r="K1056">
        <v>0</v>
      </c>
      <c r="L1056">
        <v>0</v>
      </c>
      <c r="M1056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1056" s="5" cm="1">
        <f t="array" ref="N1056">MAX(IF((ProjectInfoTable[ProjectName]=ContinuousStatsTable[[#This Row],[ProjectName]]),(ProjectInfoTable[ProjectName]=ContinuousStatsTable[[#This Row],[ProjectName]])*ProjectInfoTable[NumberOfReplications]))</f>
        <v>30</v>
      </c>
      <c r="O1056" s="5" cm="1">
        <f t="array" ref="O1056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1056" s="5" cm="1">
        <f t="array" ref="P1056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1056" s="5" cm="1">
        <f t="array" ref="Q1056">MAX(IF((ProjectInfoTable[ProjectName]=ContinuousStatsTable[[#This Row],[ProjectName]]),(ProjectInfoTable[ProjectName]=ContinuousStatsTable[[#This Row],[ProjectName]])*ProjectInfoTable[ConfidenceInterval]))</f>
        <v>0.95</v>
      </c>
      <c r="R10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1056" s="5" cm="1">
        <f t="array" ref="S1056">MIN(IF((ContinuousStatsTable[GroupByKey]=ContinuousStatsTable[[#This Row],[GroupByKey]]),(ContinuousStatsTable[GroupByKey]=ContinuousStatsTable[[#This Row],[GroupByKey]])*ContinuousStatsTable[Average]))</f>
        <v>1.4754093813695901</v>
      </c>
      <c r="T1056" s="5" cm="1">
        <f t="array" ref="T1056">MAX(IF((ContinuousStatsTable[GroupByKey]=ContinuousStatsTable[[#This Row],[GroupByKey]]),(ContinuousStatsTable[GroupByKey]=ContinuousStatsTable[[#This Row],[GroupByKey]])*ContinuousStatsTable[Average]))</f>
        <v>8.0603747791942499</v>
      </c>
      <c r="U1056" s="5">
        <f>IF((ContinuousStatsTable[[#This Row],[RepsRequested]]&gt;1),ContinuousStatsTable[[#This Row],[HalfWidth]],ContinuousStatsTable[[#This Row],[BatchMeansHalfWidth]])</f>
        <v>0.5936172943910426</v>
      </c>
    </row>
    <row r="1057" spans="1:21" x14ac:dyDescent="0.3">
      <c r="A1057" t="s">
        <v>66</v>
      </c>
      <c r="B1057" t="s">
        <v>68</v>
      </c>
      <c r="C1057">
        <v>28</v>
      </c>
      <c r="D1057" t="s">
        <v>73</v>
      </c>
      <c r="E1057" t="s">
        <v>92</v>
      </c>
      <c r="F1057" t="s">
        <v>71</v>
      </c>
      <c r="G1057">
        <v>6.5817885295243101</v>
      </c>
      <c r="H1057">
        <v>2E+20</v>
      </c>
      <c r="I1057">
        <v>0</v>
      </c>
      <c r="J1057">
        <v>26</v>
      </c>
      <c r="K1057">
        <v>0</v>
      </c>
      <c r="L1057">
        <v>0</v>
      </c>
      <c r="M1057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1057" s="5" cm="1">
        <f t="array" ref="N1057">MAX(IF((ProjectInfoTable[ProjectName]=ContinuousStatsTable[[#This Row],[ProjectName]]),(ProjectInfoTable[ProjectName]=ContinuousStatsTable[[#This Row],[ProjectName]])*ProjectInfoTable[NumberOfReplications]))</f>
        <v>30</v>
      </c>
      <c r="O1057" s="5" cm="1">
        <f t="array" ref="O1057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1057" s="5" cm="1">
        <f t="array" ref="P1057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1057" s="5" cm="1">
        <f t="array" ref="Q1057">MAX(IF((ProjectInfoTable[ProjectName]=ContinuousStatsTable[[#This Row],[ProjectName]]),(ProjectInfoTable[ProjectName]=ContinuousStatsTable[[#This Row],[ProjectName]])*ProjectInfoTable[ConfidenceInterval]))</f>
        <v>0.95</v>
      </c>
      <c r="R10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1057" s="5" cm="1">
        <f t="array" ref="S1057">MIN(IF((ContinuousStatsTable[GroupByKey]=ContinuousStatsTable[[#This Row],[GroupByKey]]),(ContinuousStatsTable[GroupByKey]=ContinuousStatsTable[[#This Row],[GroupByKey]])*ContinuousStatsTable[Average]))</f>
        <v>1.3305593103954101</v>
      </c>
      <c r="T1057" s="5" cm="1">
        <f t="array" ref="T1057">MAX(IF((ContinuousStatsTable[GroupByKey]=ContinuousStatsTable[[#This Row],[GroupByKey]]),(ContinuousStatsTable[GroupByKey]=ContinuousStatsTable[[#This Row],[GroupByKey]])*ContinuousStatsTable[Average]))</f>
        <v>29.356614544212601</v>
      </c>
      <c r="U1057" s="5">
        <f>IF((ContinuousStatsTable[[#This Row],[RepsRequested]]&gt;1),ContinuousStatsTable[[#This Row],[HalfWidth]],ContinuousStatsTable[[#This Row],[BatchMeansHalfWidth]])</f>
        <v>2.162177461749093</v>
      </c>
    </row>
    <row r="1058" spans="1:21" x14ac:dyDescent="0.3">
      <c r="A1058" t="s">
        <v>66</v>
      </c>
      <c r="B1058" t="s">
        <v>68</v>
      </c>
      <c r="C1058">
        <v>28</v>
      </c>
      <c r="D1058" t="s">
        <v>74</v>
      </c>
      <c r="E1058" t="s">
        <v>92</v>
      </c>
      <c r="F1058" t="s">
        <v>71</v>
      </c>
      <c r="G1058">
        <v>0</v>
      </c>
      <c r="H1058">
        <v>2E+20</v>
      </c>
      <c r="I1058">
        <v>0</v>
      </c>
      <c r="J1058">
        <v>0</v>
      </c>
      <c r="K1058">
        <v>0</v>
      </c>
      <c r="L1058">
        <v>0</v>
      </c>
      <c r="M1058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1058" s="5" cm="1">
        <f t="array" ref="N1058">MAX(IF((ProjectInfoTable[ProjectName]=ContinuousStatsTable[[#This Row],[ProjectName]]),(ProjectInfoTable[ProjectName]=ContinuousStatsTable[[#This Row],[ProjectName]])*ProjectInfoTable[NumberOfReplications]))</f>
        <v>30</v>
      </c>
      <c r="O1058" s="5" cm="1">
        <f t="array" ref="O1058">IFERROR(AVERAGE(IF((ContinuousStatsTable[GroupByKey]=ContinuousStatsTable[[#This Row],[GroupByKey]]),(ContinuousStatsTable[GroupByKey]=ContinuousStatsTable[[#This Row],[GroupByKey]])*ContinuousStatsTable[Average])),0)</f>
        <v>0</v>
      </c>
      <c r="P1058" s="5" cm="1">
        <f t="array" ref="P1058">IFERROR(_xlfn.STDEV.S(IF((ContinuousStatsTable[GroupByKey]=ContinuousStatsTable[[#This Row],[GroupByKey]]),(ContinuousStatsTable[GroupByKey]=ContinuousStatsTable[[#This Row],[GroupByKey]])*ContinuousStatsTable[Average])),0)</f>
        <v>0</v>
      </c>
      <c r="Q1058" s="5" cm="1">
        <f t="array" ref="Q1058">MAX(IF((ProjectInfoTable[ProjectName]=ContinuousStatsTable[[#This Row],[ProjectName]]),(ProjectInfoTable[ProjectName]=ContinuousStatsTable[[#This Row],[ProjectName]])*ProjectInfoTable[ConfidenceInterval]))</f>
        <v>0.95</v>
      </c>
      <c r="R10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8" s="5" cm="1">
        <f t="array" ref="S1058">MIN(IF((ContinuousStatsTable[GroupByKey]=ContinuousStatsTable[[#This Row],[GroupByKey]]),(ContinuousStatsTable[GroupByKey]=ContinuousStatsTable[[#This Row],[GroupByKey]])*ContinuousStatsTable[Average]))</f>
        <v>0</v>
      </c>
      <c r="T1058" s="5" cm="1">
        <f t="array" ref="T1058">MAX(IF((ContinuousStatsTable[GroupByKey]=ContinuousStatsTable[[#This Row],[GroupByKey]]),(ContinuousStatsTable[GroupByKey]=ContinuousStatsTable[[#This Row],[GroupByKey]])*ContinuousStatsTable[Average]))</f>
        <v>0</v>
      </c>
      <c r="U1058" s="5">
        <f>IF((ContinuousStatsTable[[#This Row],[RepsRequested]]&gt;1),ContinuousStatsTable[[#This Row],[HalfWidth]],ContinuousStatsTable[[#This Row],[BatchMeansHalfWidth]])</f>
        <v>0</v>
      </c>
    </row>
    <row r="1059" spans="1:21" x14ac:dyDescent="0.3">
      <c r="A1059" t="s">
        <v>66</v>
      </c>
      <c r="B1059" t="s">
        <v>68</v>
      </c>
      <c r="C1059">
        <v>28</v>
      </c>
      <c r="D1059" t="s">
        <v>75</v>
      </c>
      <c r="E1059" t="s">
        <v>92</v>
      </c>
      <c r="F1059" t="s">
        <v>71</v>
      </c>
      <c r="G1059">
        <v>0</v>
      </c>
      <c r="H1059">
        <v>2E+20</v>
      </c>
      <c r="I1059">
        <v>0</v>
      </c>
      <c r="J1059">
        <v>0</v>
      </c>
      <c r="K1059">
        <v>0</v>
      </c>
      <c r="L1059">
        <v>0</v>
      </c>
      <c r="M1059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1059" s="5" cm="1">
        <f t="array" ref="N1059">MAX(IF((ProjectInfoTable[ProjectName]=ContinuousStatsTable[[#This Row],[ProjectName]]),(ProjectInfoTable[ProjectName]=ContinuousStatsTable[[#This Row],[ProjectName]])*ProjectInfoTable[NumberOfReplications]))</f>
        <v>30</v>
      </c>
      <c r="O1059" s="5" cm="1">
        <f t="array" ref="O1059">IFERROR(AVERAGE(IF((ContinuousStatsTable[GroupByKey]=ContinuousStatsTable[[#This Row],[GroupByKey]]),(ContinuousStatsTable[GroupByKey]=ContinuousStatsTable[[#This Row],[GroupByKey]])*ContinuousStatsTable[Average])),0)</f>
        <v>0</v>
      </c>
      <c r="P1059" s="5" cm="1">
        <f t="array" ref="P1059">IFERROR(_xlfn.STDEV.S(IF((ContinuousStatsTable[GroupByKey]=ContinuousStatsTable[[#This Row],[GroupByKey]]),(ContinuousStatsTable[GroupByKey]=ContinuousStatsTable[[#This Row],[GroupByKey]])*ContinuousStatsTable[Average])),0)</f>
        <v>0</v>
      </c>
      <c r="Q1059" s="5" cm="1">
        <f t="array" ref="Q1059">MAX(IF((ProjectInfoTable[ProjectName]=ContinuousStatsTable[[#This Row],[ProjectName]]),(ProjectInfoTable[ProjectName]=ContinuousStatsTable[[#This Row],[ProjectName]])*ProjectInfoTable[ConfidenceInterval]))</f>
        <v>0.95</v>
      </c>
      <c r="R10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9" s="5" cm="1">
        <f t="array" ref="S1059">MIN(IF((ContinuousStatsTable[GroupByKey]=ContinuousStatsTable[[#This Row],[GroupByKey]]),(ContinuousStatsTable[GroupByKey]=ContinuousStatsTable[[#This Row],[GroupByKey]])*ContinuousStatsTable[Average]))</f>
        <v>0</v>
      </c>
      <c r="T1059" s="5" cm="1">
        <f t="array" ref="T1059">MAX(IF((ContinuousStatsTable[GroupByKey]=ContinuousStatsTable[[#This Row],[GroupByKey]]),(ContinuousStatsTable[GroupByKey]=ContinuousStatsTable[[#This Row],[GroupByKey]])*ContinuousStatsTable[Average]))</f>
        <v>0</v>
      </c>
      <c r="U1059" s="5">
        <f>IF((ContinuousStatsTable[[#This Row],[RepsRequested]]&gt;1),ContinuousStatsTable[[#This Row],[HalfWidth]],ContinuousStatsTable[[#This Row],[BatchMeansHalfWidth]])</f>
        <v>0</v>
      </c>
    </row>
    <row r="1060" spans="1:21" x14ac:dyDescent="0.3">
      <c r="A1060" t="s">
        <v>66</v>
      </c>
      <c r="B1060" t="s">
        <v>68</v>
      </c>
      <c r="C1060">
        <v>28</v>
      </c>
      <c r="D1060" t="s">
        <v>76</v>
      </c>
      <c r="E1060" t="s">
        <v>92</v>
      </c>
      <c r="F1060" t="s">
        <v>71</v>
      </c>
      <c r="G1060">
        <v>0.76850231714193196</v>
      </c>
      <c r="H1060">
        <v>2E+20</v>
      </c>
      <c r="I1060">
        <v>0</v>
      </c>
      <c r="J1060">
        <v>9</v>
      </c>
      <c r="K1060">
        <v>2</v>
      </c>
      <c r="L1060">
        <v>0</v>
      </c>
      <c r="M1060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1060" s="5" cm="1">
        <f t="array" ref="N1060">MAX(IF((ProjectInfoTable[ProjectName]=ContinuousStatsTable[[#This Row],[ProjectName]]),(ProjectInfoTable[ProjectName]=ContinuousStatsTable[[#This Row],[ProjectName]])*ProjectInfoTable[NumberOfReplications]))</f>
        <v>30</v>
      </c>
      <c r="O1060" s="5" cm="1">
        <f t="array" ref="O1060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1060" s="5" cm="1">
        <f t="array" ref="P1060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1060" s="5" cm="1">
        <f t="array" ref="Q1060">MAX(IF((ProjectInfoTable[ProjectName]=ContinuousStatsTable[[#This Row],[ProjectName]]),(ProjectInfoTable[ProjectName]=ContinuousStatsTable[[#This Row],[ProjectName]])*ProjectInfoTable[ConfidenceInterval]))</f>
        <v>0.95</v>
      </c>
      <c r="R10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1060" s="5" cm="1">
        <f t="array" ref="S1060">MIN(IF((ContinuousStatsTable[GroupByKey]=ContinuousStatsTable[[#This Row],[GroupByKey]]),(ContinuousStatsTable[GroupByKey]=ContinuousStatsTable[[#This Row],[GroupByKey]])*ContinuousStatsTable[Average]))</f>
        <v>4.5869485136026601E-2</v>
      </c>
      <c r="T1060" s="5" cm="1">
        <f t="array" ref="T1060">MAX(IF((ContinuousStatsTable[GroupByKey]=ContinuousStatsTable[[#This Row],[GroupByKey]]),(ContinuousStatsTable[GroupByKey]=ContinuousStatsTable[[#This Row],[GroupByKey]])*ContinuousStatsTable[Average]))</f>
        <v>4.1119263103435699</v>
      </c>
      <c r="U1060" s="5">
        <f>IF((ContinuousStatsTable[[#This Row],[RepsRequested]]&gt;1),ContinuousStatsTable[[#This Row],[HalfWidth]],ContinuousStatsTable[[#This Row],[BatchMeansHalfWidth]])</f>
        <v>0.43252967563899991</v>
      </c>
    </row>
    <row r="1061" spans="1:21" x14ac:dyDescent="0.3">
      <c r="A1061" t="s">
        <v>66</v>
      </c>
      <c r="B1061" t="s">
        <v>68</v>
      </c>
      <c r="C1061">
        <v>28</v>
      </c>
      <c r="D1061" t="s">
        <v>77</v>
      </c>
      <c r="E1061" t="s">
        <v>92</v>
      </c>
      <c r="F1061" t="s">
        <v>71</v>
      </c>
      <c r="G1061">
        <v>0</v>
      </c>
      <c r="H1061">
        <v>2E+20</v>
      </c>
      <c r="I1061">
        <v>0</v>
      </c>
      <c r="J1061">
        <v>0</v>
      </c>
      <c r="K1061">
        <v>0</v>
      </c>
      <c r="L1061">
        <v>0</v>
      </c>
      <c r="M1061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1061" s="5" cm="1">
        <f t="array" ref="N1061">MAX(IF((ProjectInfoTable[ProjectName]=ContinuousStatsTable[[#This Row],[ProjectName]]),(ProjectInfoTable[ProjectName]=ContinuousStatsTable[[#This Row],[ProjectName]])*ProjectInfoTable[NumberOfReplications]))</f>
        <v>30</v>
      </c>
      <c r="O1061" s="5" cm="1">
        <f t="array" ref="O1061">IFERROR(AVERAGE(IF((ContinuousStatsTable[GroupByKey]=ContinuousStatsTable[[#This Row],[GroupByKey]]),(ContinuousStatsTable[GroupByKey]=ContinuousStatsTable[[#This Row],[GroupByKey]])*ContinuousStatsTable[Average])),0)</f>
        <v>0</v>
      </c>
      <c r="P1061" s="5" cm="1">
        <f t="array" ref="P1061">IFERROR(_xlfn.STDEV.S(IF((ContinuousStatsTable[GroupByKey]=ContinuousStatsTable[[#This Row],[GroupByKey]]),(ContinuousStatsTable[GroupByKey]=ContinuousStatsTable[[#This Row],[GroupByKey]])*ContinuousStatsTable[Average])),0)</f>
        <v>0</v>
      </c>
      <c r="Q1061" s="5" cm="1">
        <f t="array" ref="Q1061">MAX(IF((ProjectInfoTable[ProjectName]=ContinuousStatsTable[[#This Row],[ProjectName]]),(ProjectInfoTable[ProjectName]=ContinuousStatsTable[[#This Row],[ProjectName]])*ProjectInfoTable[ConfidenceInterval]))</f>
        <v>0.95</v>
      </c>
      <c r="R10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1" s="5" cm="1">
        <f t="array" ref="S1061">MIN(IF((ContinuousStatsTable[GroupByKey]=ContinuousStatsTable[[#This Row],[GroupByKey]]),(ContinuousStatsTable[GroupByKey]=ContinuousStatsTable[[#This Row],[GroupByKey]])*ContinuousStatsTable[Average]))</f>
        <v>0</v>
      </c>
      <c r="T1061" s="5" cm="1">
        <f t="array" ref="T1061">MAX(IF((ContinuousStatsTable[GroupByKey]=ContinuousStatsTable[[#This Row],[GroupByKey]]),(ContinuousStatsTable[GroupByKey]=ContinuousStatsTable[[#This Row],[GroupByKey]])*ContinuousStatsTable[Average]))</f>
        <v>0</v>
      </c>
      <c r="U1061" s="5">
        <f>IF((ContinuousStatsTable[[#This Row],[RepsRequested]]&gt;1),ContinuousStatsTable[[#This Row],[HalfWidth]],ContinuousStatsTable[[#This Row],[BatchMeansHalfWidth]])</f>
        <v>0</v>
      </c>
    </row>
    <row r="1062" spans="1:21" x14ac:dyDescent="0.3">
      <c r="A1062" t="s">
        <v>66</v>
      </c>
      <c r="B1062" t="s">
        <v>68</v>
      </c>
      <c r="C1062">
        <v>28</v>
      </c>
      <c r="D1062" t="s">
        <v>78</v>
      </c>
      <c r="E1062" t="s">
        <v>92</v>
      </c>
      <c r="F1062" t="s">
        <v>71</v>
      </c>
      <c r="G1062">
        <v>0</v>
      </c>
      <c r="H1062">
        <v>2E+20</v>
      </c>
      <c r="I1062">
        <v>0</v>
      </c>
      <c r="J1062">
        <v>0</v>
      </c>
      <c r="K1062">
        <v>0</v>
      </c>
      <c r="L1062">
        <v>0</v>
      </c>
      <c r="M1062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1062" s="5" cm="1">
        <f t="array" ref="N1062">MAX(IF((ProjectInfoTable[ProjectName]=ContinuousStatsTable[[#This Row],[ProjectName]]),(ProjectInfoTable[ProjectName]=ContinuousStatsTable[[#This Row],[ProjectName]])*ProjectInfoTable[NumberOfReplications]))</f>
        <v>30</v>
      </c>
      <c r="O1062" s="5" cm="1">
        <f t="array" ref="O1062">IFERROR(AVERAGE(IF((ContinuousStatsTable[GroupByKey]=ContinuousStatsTable[[#This Row],[GroupByKey]]),(ContinuousStatsTable[GroupByKey]=ContinuousStatsTable[[#This Row],[GroupByKey]])*ContinuousStatsTable[Average])),0)</f>
        <v>0</v>
      </c>
      <c r="P1062" s="5" cm="1">
        <f t="array" ref="P1062">IFERROR(_xlfn.STDEV.S(IF((ContinuousStatsTable[GroupByKey]=ContinuousStatsTable[[#This Row],[GroupByKey]]),(ContinuousStatsTable[GroupByKey]=ContinuousStatsTable[[#This Row],[GroupByKey]])*ContinuousStatsTable[Average])),0)</f>
        <v>0</v>
      </c>
      <c r="Q1062" s="5" cm="1">
        <f t="array" ref="Q1062">MAX(IF((ProjectInfoTable[ProjectName]=ContinuousStatsTable[[#This Row],[ProjectName]]),(ProjectInfoTable[ProjectName]=ContinuousStatsTable[[#This Row],[ProjectName]])*ProjectInfoTable[ConfidenceInterval]))</f>
        <v>0.95</v>
      </c>
      <c r="R10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2" s="5" cm="1">
        <f t="array" ref="S1062">MIN(IF((ContinuousStatsTable[GroupByKey]=ContinuousStatsTable[[#This Row],[GroupByKey]]),(ContinuousStatsTable[GroupByKey]=ContinuousStatsTable[[#This Row],[GroupByKey]])*ContinuousStatsTable[Average]))</f>
        <v>0</v>
      </c>
      <c r="T1062" s="5" cm="1">
        <f t="array" ref="T1062">MAX(IF((ContinuousStatsTable[GroupByKey]=ContinuousStatsTable[[#This Row],[GroupByKey]]),(ContinuousStatsTable[GroupByKey]=ContinuousStatsTable[[#This Row],[GroupByKey]])*ContinuousStatsTable[Average]))</f>
        <v>0</v>
      </c>
      <c r="U1062" s="5">
        <f>IF((ContinuousStatsTable[[#This Row],[RepsRequested]]&gt;1),ContinuousStatsTable[[#This Row],[HalfWidth]],ContinuousStatsTable[[#This Row],[BatchMeansHalfWidth]])</f>
        <v>0</v>
      </c>
    </row>
    <row r="1063" spans="1:21" x14ac:dyDescent="0.3">
      <c r="A1063" t="s">
        <v>66</v>
      </c>
      <c r="B1063" t="s">
        <v>68</v>
      </c>
      <c r="C1063">
        <v>28</v>
      </c>
      <c r="D1063" t="s">
        <v>93</v>
      </c>
      <c r="E1063" t="s">
        <v>94</v>
      </c>
      <c r="F1063" t="s">
        <v>95</v>
      </c>
      <c r="G1063">
        <v>4.8583931724403701E-2</v>
      </c>
      <c r="H1063">
        <v>2E+20</v>
      </c>
      <c r="I1063">
        <v>0</v>
      </c>
      <c r="J1063">
        <v>0.25</v>
      </c>
      <c r="K1063">
        <v>0.1</v>
      </c>
      <c r="L1063">
        <v>0</v>
      </c>
      <c r="M1063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1063" s="5" cm="1">
        <f t="array" ref="N1063">MAX(IF((ProjectInfoTable[ProjectName]=ContinuousStatsTable[[#This Row],[ProjectName]]),(ProjectInfoTable[ProjectName]=ContinuousStatsTable[[#This Row],[ProjectName]])*ProjectInfoTable[NumberOfReplications]))</f>
        <v>30</v>
      </c>
      <c r="O1063" s="5" cm="1">
        <f t="array" ref="O1063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1063" s="5" cm="1">
        <f t="array" ref="P1063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1063" s="5" cm="1">
        <f t="array" ref="Q1063">MAX(IF((ProjectInfoTable[ProjectName]=ContinuousStatsTable[[#This Row],[ProjectName]]),(ProjectInfoTable[ProjectName]=ContinuousStatsTable[[#This Row],[ProjectName]])*ProjectInfoTable[ConfidenceInterval]))</f>
        <v>0.95</v>
      </c>
      <c r="R10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1063" s="5" cm="1">
        <f t="array" ref="S1063">MIN(IF((ContinuousStatsTable[GroupByKey]=ContinuousStatsTable[[#This Row],[GroupByKey]]),(ContinuousStatsTable[GroupByKey]=ContinuousStatsTable[[#This Row],[GroupByKey]])*ContinuousStatsTable[Average]))</f>
        <v>2.3718114155243601E-2</v>
      </c>
      <c r="T1063" s="5" cm="1">
        <f t="array" ref="T1063">MAX(IF((ContinuousStatsTable[GroupByKey]=ContinuousStatsTable[[#This Row],[GroupByKey]]),(ContinuousStatsTable[GroupByKey]=ContinuousStatsTable[[#This Row],[GroupByKey]])*ContinuousStatsTable[Average]))</f>
        <v>4.8583931724403701E-2</v>
      </c>
      <c r="U1063" s="5">
        <f>IF((ContinuousStatsTable[[#This Row],[RepsRequested]]&gt;1),ContinuousStatsTable[[#This Row],[HalfWidth]],ContinuousStatsTable[[#This Row],[BatchMeansHalfWidth]])</f>
        <v>2.4839579632442289E-3</v>
      </c>
    </row>
    <row r="1064" spans="1:21" x14ac:dyDescent="0.3">
      <c r="A1064" t="s">
        <v>66</v>
      </c>
      <c r="B1064" t="s">
        <v>68</v>
      </c>
      <c r="C1064">
        <v>28</v>
      </c>
      <c r="D1064" t="s">
        <v>93</v>
      </c>
      <c r="E1064" t="s">
        <v>96</v>
      </c>
      <c r="F1064" t="s">
        <v>95</v>
      </c>
      <c r="G1064">
        <v>0.97167863448807401</v>
      </c>
      <c r="H1064">
        <v>2E+20</v>
      </c>
      <c r="I1064">
        <v>0</v>
      </c>
      <c r="J1064">
        <v>5</v>
      </c>
      <c r="K1064">
        <v>2</v>
      </c>
      <c r="L1064">
        <v>0</v>
      </c>
      <c r="M1064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1064" s="5" cm="1">
        <f t="array" ref="N1064">MAX(IF((ProjectInfoTable[ProjectName]=ContinuousStatsTable[[#This Row],[ProjectName]]),(ProjectInfoTable[ProjectName]=ContinuousStatsTable[[#This Row],[ProjectName]])*ProjectInfoTable[NumberOfReplications]))</f>
        <v>30</v>
      </c>
      <c r="O1064" s="5" cm="1">
        <f t="array" ref="O1064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1064" s="5" cm="1">
        <f t="array" ref="P1064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1064" s="5" cm="1">
        <f t="array" ref="Q1064">MAX(IF((ProjectInfoTable[ProjectName]=ContinuousStatsTable[[#This Row],[ProjectName]]),(ProjectInfoTable[ProjectName]=ContinuousStatsTable[[#This Row],[ProjectName]])*ProjectInfoTable[ConfidenceInterval]))</f>
        <v>0.95</v>
      </c>
      <c r="R10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1064" s="5" cm="1">
        <f t="array" ref="S1064">MIN(IF((ContinuousStatsTable[GroupByKey]=ContinuousStatsTable[[#This Row],[GroupByKey]]),(ContinuousStatsTable[GroupByKey]=ContinuousStatsTable[[#This Row],[GroupByKey]])*ContinuousStatsTable[Average]))</f>
        <v>0.47436228310487299</v>
      </c>
      <c r="T1064" s="5" cm="1">
        <f t="array" ref="T1064">MAX(IF((ContinuousStatsTable[GroupByKey]=ContinuousStatsTable[[#This Row],[GroupByKey]]),(ContinuousStatsTable[GroupByKey]=ContinuousStatsTable[[#This Row],[GroupByKey]])*ContinuousStatsTable[Average]))</f>
        <v>0.97167863448807401</v>
      </c>
      <c r="U1064" s="5">
        <f>IF((ContinuousStatsTable[[#This Row],[RepsRequested]]&gt;1),ContinuousStatsTable[[#This Row],[HalfWidth]],ContinuousStatsTable[[#This Row],[BatchMeansHalfWidth]])</f>
        <v>4.9679159264885281E-2</v>
      </c>
    </row>
    <row r="1065" spans="1:21" x14ac:dyDescent="0.3">
      <c r="A1065" t="s">
        <v>66</v>
      </c>
      <c r="B1065" t="s">
        <v>68</v>
      </c>
      <c r="C1065">
        <v>28</v>
      </c>
      <c r="D1065" t="s">
        <v>93</v>
      </c>
      <c r="E1065" t="s">
        <v>97</v>
      </c>
      <c r="F1065" t="s">
        <v>95</v>
      </c>
      <c r="G1065">
        <v>20</v>
      </c>
      <c r="H1065">
        <v>2E+20</v>
      </c>
      <c r="I1065">
        <v>20</v>
      </c>
      <c r="J1065">
        <v>20</v>
      </c>
      <c r="K1065">
        <v>20</v>
      </c>
      <c r="L1065">
        <v>0</v>
      </c>
      <c r="M1065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1065" s="5" cm="1">
        <f t="array" ref="N1065">MAX(IF((ProjectInfoTable[ProjectName]=ContinuousStatsTable[[#This Row],[ProjectName]]),(ProjectInfoTable[ProjectName]=ContinuousStatsTable[[#This Row],[ProjectName]])*ProjectInfoTable[NumberOfReplications]))</f>
        <v>30</v>
      </c>
      <c r="O1065" s="5" cm="1">
        <f t="array" ref="O1065">IFERROR(AVERAGE(IF((ContinuousStatsTable[GroupByKey]=ContinuousStatsTable[[#This Row],[GroupByKey]]),(ContinuousStatsTable[GroupByKey]=ContinuousStatsTable[[#This Row],[GroupByKey]])*ContinuousStatsTable[Average])),0)</f>
        <v>20</v>
      </c>
      <c r="P1065" s="5" cm="1">
        <f t="array" ref="P1065">IFERROR(_xlfn.STDEV.S(IF((ContinuousStatsTable[GroupByKey]=ContinuousStatsTable[[#This Row],[GroupByKey]]),(ContinuousStatsTable[GroupByKey]=ContinuousStatsTable[[#This Row],[GroupByKey]])*ContinuousStatsTable[Average])),0)</f>
        <v>0</v>
      </c>
      <c r="Q1065" s="5" cm="1">
        <f t="array" ref="Q1065">MAX(IF((ProjectInfoTable[ProjectName]=ContinuousStatsTable[[#This Row],[ProjectName]]),(ProjectInfoTable[ProjectName]=ContinuousStatsTable[[#This Row],[ProjectName]])*ProjectInfoTable[ConfidenceInterval]))</f>
        <v>0.95</v>
      </c>
      <c r="R10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5" s="5" cm="1">
        <f t="array" ref="S1065">MIN(IF((ContinuousStatsTable[GroupByKey]=ContinuousStatsTable[[#This Row],[GroupByKey]]),(ContinuousStatsTable[GroupByKey]=ContinuousStatsTable[[#This Row],[GroupByKey]])*ContinuousStatsTable[Average]))</f>
        <v>20</v>
      </c>
      <c r="T1065" s="5" cm="1">
        <f t="array" ref="T1065">MAX(IF((ContinuousStatsTable[GroupByKey]=ContinuousStatsTable[[#This Row],[GroupByKey]]),(ContinuousStatsTable[GroupByKey]=ContinuousStatsTable[[#This Row],[GroupByKey]])*ContinuousStatsTable[Average]))</f>
        <v>20</v>
      </c>
      <c r="U1065" s="5">
        <f>IF((ContinuousStatsTable[[#This Row],[RepsRequested]]&gt;1),ContinuousStatsTable[[#This Row],[HalfWidth]],ContinuousStatsTable[[#This Row],[BatchMeansHalfWidth]])</f>
        <v>0</v>
      </c>
    </row>
    <row r="1066" spans="1:21" x14ac:dyDescent="0.3">
      <c r="A1066" t="s">
        <v>66</v>
      </c>
      <c r="B1066" t="s">
        <v>68</v>
      </c>
      <c r="C1066">
        <v>28</v>
      </c>
      <c r="D1066" t="s">
        <v>98</v>
      </c>
      <c r="E1066" t="s">
        <v>94</v>
      </c>
      <c r="F1066" t="s">
        <v>95</v>
      </c>
      <c r="G1066">
        <v>0.26763887253718999</v>
      </c>
      <c r="H1066">
        <v>2E+20</v>
      </c>
      <c r="I1066">
        <v>0</v>
      </c>
      <c r="J1066">
        <v>0.6</v>
      </c>
      <c r="K1066">
        <v>0.55000000000000004</v>
      </c>
      <c r="L1066">
        <v>0</v>
      </c>
      <c r="M1066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1066" s="5" cm="1">
        <f t="array" ref="N1066">MAX(IF((ProjectInfoTable[ProjectName]=ContinuousStatsTable[[#This Row],[ProjectName]]),(ProjectInfoTable[ProjectName]=ContinuousStatsTable[[#This Row],[ProjectName]])*ProjectInfoTable[NumberOfReplications]))</f>
        <v>30</v>
      </c>
      <c r="O1066" s="5" cm="1">
        <f t="array" ref="O1066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1066" s="5" cm="1">
        <f t="array" ref="P1066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1066" s="5" cm="1">
        <f t="array" ref="Q1066">MAX(IF((ProjectInfoTable[ProjectName]=ContinuousStatsTable[[#This Row],[ProjectName]]),(ProjectInfoTable[ProjectName]=ContinuousStatsTable[[#This Row],[ProjectName]])*ProjectInfoTable[ConfidenceInterval]))</f>
        <v>0.95</v>
      </c>
      <c r="R10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1066" s="5" cm="1">
        <f t="array" ref="S1066">MIN(IF((ContinuousStatsTable[GroupByKey]=ContinuousStatsTable[[#This Row],[GroupByKey]]),(ContinuousStatsTable[GroupByKey]=ContinuousStatsTable[[#This Row],[GroupByKey]])*ContinuousStatsTable[Average]))</f>
        <v>0.20767736113278101</v>
      </c>
      <c r="T1066" s="5" cm="1">
        <f t="array" ref="T1066">MAX(IF((ContinuousStatsTable[GroupByKey]=ContinuousStatsTable[[#This Row],[GroupByKey]]),(ContinuousStatsTable[GroupByKey]=ContinuousStatsTable[[#This Row],[GroupByKey]])*ContinuousStatsTable[Average]))</f>
        <v>0.28501162927715501</v>
      </c>
      <c r="U1066" s="5">
        <f>IF((ContinuousStatsTable[[#This Row],[RepsRequested]]&gt;1),ContinuousStatsTable[[#This Row],[HalfWidth]],ContinuousStatsTable[[#This Row],[BatchMeansHalfWidth]])</f>
        <v>8.7273384073404715E-3</v>
      </c>
    </row>
    <row r="1067" spans="1:21" x14ac:dyDescent="0.3">
      <c r="A1067" t="s">
        <v>66</v>
      </c>
      <c r="B1067" t="s">
        <v>68</v>
      </c>
      <c r="C1067">
        <v>28</v>
      </c>
      <c r="D1067" t="s">
        <v>98</v>
      </c>
      <c r="E1067" t="s">
        <v>96</v>
      </c>
      <c r="F1067" t="s">
        <v>95</v>
      </c>
      <c r="G1067">
        <v>5.35277745074381</v>
      </c>
      <c r="H1067">
        <v>2E+20</v>
      </c>
      <c r="I1067">
        <v>0</v>
      </c>
      <c r="J1067">
        <v>12</v>
      </c>
      <c r="K1067">
        <v>11</v>
      </c>
      <c r="L1067">
        <v>0</v>
      </c>
      <c r="M1067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1067" s="5" cm="1">
        <f t="array" ref="N1067">MAX(IF((ProjectInfoTable[ProjectName]=ContinuousStatsTable[[#This Row],[ProjectName]]),(ProjectInfoTable[ProjectName]=ContinuousStatsTable[[#This Row],[ProjectName]])*ProjectInfoTable[NumberOfReplications]))</f>
        <v>30</v>
      </c>
      <c r="O1067" s="5" cm="1">
        <f t="array" ref="O1067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1067" s="5" cm="1">
        <f t="array" ref="P1067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1067" s="5" cm="1">
        <f t="array" ref="Q1067">MAX(IF((ProjectInfoTable[ProjectName]=ContinuousStatsTable[[#This Row],[ProjectName]]),(ProjectInfoTable[ProjectName]=ContinuousStatsTable[[#This Row],[ProjectName]])*ProjectInfoTable[ConfidenceInterval]))</f>
        <v>0.95</v>
      </c>
      <c r="R10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1067" s="5" cm="1">
        <f t="array" ref="S1067">MIN(IF((ContinuousStatsTable[GroupByKey]=ContinuousStatsTable[[#This Row],[GroupByKey]]),(ContinuousStatsTable[GroupByKey]=ContinuousStatsTable[[#This Row],[GroupByKey]])*ContinuousStatsTable[Average]))</f>
        <v>4.15354722265561</v>
      </c>
      <c r="T1067" s="5" cm="1">
        <f t="array" ref="T1067">MAX(IF((ContinuousStatsTable[GroupByKey]=ContinuousStatsTable[[#This Row],[GroupByKey]]),(ContinuousStatsTable[GroupByKey]=ContinuousStatsTable[[#This Row],[GroupByKey]])*ContinuousStatsTable[Average]))</f>
        <v>5.7002325855431097</v>
      </c>
      <c r="U1067" s="5">
        <f>IF((ContinuousStatsTable[[#This Row],[RepsRequested]]&gt;1),ContinuousStatsTable[[#This Row],[HalfWidth]],ContinuousStatsTable[[#This Row],[BatchMeansHalfWidth]])</f>
        <v>0.17454676814681078</v>
      </c>
    </row>
    <row r="1068" spans="1:21" x14ac:dyDescent="0.3">
      <c r="A1068" t="s">
        <v>66</v>
      </c>
      <c r="B1068" t="s">
        <v>68</v>
      </c>
      <c r="C1068">
        <v>28</v>
      </c>
      <c r="D1068" t="s">
        <v>98</v>
      </c>
      <c r="E1068" t="s">
        <v>97</v>
      </c>
      <c r="F1068" t="s">
        <v>95</v>
      </c>
      <c r="G1068">
        <v>20</v>
      </c>
      <c r="H1068">
        <v>2E+20</v>
      </c>
      <c r="I1068">
        <v>20</v>
      </c>
      <c r="J1068">
        <v>20</v>
      </c>
      <c r="K1068">
        <v>20</v>
      </c>
      <c r="L1068">
        <v>0</v>
      </c>
      <c r="M1068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1068" s="5" cm="1">
        <f t="array" ref="N1068">MAX(IF((ProjectInfoTable[ProjectName]=ContinuousStatsTable[[#This Row],[ProjectName]]),(ProjectInfoTable[ProjectName]=ContinuousStatsTable[[#This Row],[ProjectName]])*ProjectInfoTable[NumberOfReplications]))</f>
        <v>30</v>
      </c>
      <c r="O1068" s="5" cm="1">
        <f t="array" ref="O1068">IFERROR(AVERAGE(IF((ContinuousStatsTable[GroupByKey]=ContinuousStatsTable[[#This Row],[GroupByKey]]),(ContinuousStatsTable[GroupByKey]=ContinuousStatsTable[[#This Row],[GroupByKey]])*ContinuousStatsTable[Average])),0)</f>
        <v>20</v>
      </c>
      <c r="P1068" s="5" cm="1">
        <f t="array" ref="P1068">IFERROR(_xlfn.STDEV.S(IF((ContinuousStatsTable[GroupByKey]=ContinuousStatsTable[[#This Row],[GroupByKey]]),(ContinuousStatsTable[GroupByKey]=ContinuousStatsTable[[#This Row],[GroupByKey]])*ContinuousStatsTable[Average])),0)</f>
        <v>0</v>
      </c>
      <c r="Q1068" s="5" cm="1">
        <f t="array" ref="Q1068">MAX(IF((ProjectInfoTable[ProjectName]=ContinuousStatsTable[[#This Row],[ProjectName]]),(ProjectInfoTable[ProjectName]=ContinuousStatsTable[[#This Row],[ProjectName]])*ProjectInfoTable[ConfidenceInterval]))</f>
        <v>0.95</v>
      </c>
      <c r="R10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8" s="5" cm="1">
        <f t="array" ref="S1068">MIN(IF((ContinuousStatsTable[GroupByKey]=ContinuousStatsTable[[#This Row],[GroupByKey]]),(ContinuousStatsTable[GroupByKey]=ContinuousStatsTable[[#This Row],[GroupByKey]])*ContinuousStatsTable[Average]))</f>
        <v>20</v>
      </c>
      <c r="T1068" s="5" cm="1">
        <f t="array" ref="T1068">MAX(IF((ContinuousStatsTable[GroupByKey]=ContinuousStatsTable[[#This Row],[GroupByKey]]),(ContinuousStatsTable[GroupByKey]=ContinuousStatsTable[[#This Row],[GroupByKey]])*ContinuousStatsTable[Average]))</f>
        <v>20</v>
      </c>
      <c r="U1068" s="5">
        <f>IF((ContinuousStatsTable[[#This Row],[RepsRequested]]&gt;1),ContinuousStatsTable[[#This Row],[HalfWidth]],ContinuousStatsTable[[#This Row],[BatchMeansHalfWidth]])</f>
        <v>0</v>
      </c>
    </row>
    <row r="1069" spans="1:21" x14ac:dyDescent="0.3">
      <c r="A1069" t="s">
        <v>66</v>
      </c>
      <c r="B1069" t="s">
        <v>68</v>
      </c>
      <c r="C1069">
        <v>28</v>
      </c>
      <c r="D1069" t="s">
        <v>99</v>
      </c>
      <c r="E1069" t="s">
        <v>94</v>
      </c>
      <c r="F1069" t="s">
        <v>95</v>
      </c>
      <c r="G1069">
        <v>0.55023809050779005</v>
      </c>
      <c r="H1069">
        <v>2E+20</v>
      </c>
      <c r="I1069">
        <v>0</v>
      </c>
      <c r="J1069">
        <v>1</v>
      </c>
      <c r="K1069">
        <v>1</v>
      </c>
      <c r="L1069">
        <v>0</v>
      </c>
      <c r="M1069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1069" s="5" cm="1">
        <f t="array" ref="N1069">MAX(IF((ProjectInfoTable[ProjectName]=ContinuousStatsTable[[#This Row],[ProjectName]]),(ProjectInfoTable[ProjectName]=ContinuousStatsTable[[#This Row],[ProjectName]])*ProjectInfoTable[NumberOfReplications]))</f>
        <v>30</v>
      </c>
      <c r="O1069" s="5" cm="1">
        <f t="array" ref="O1069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1069" s="5" cm="1">
        <f t="array" ref="P1069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1069" s="5" cm="1">
        <f t="array" ref="Q1069">MAX(IF((ProjectInfoTable[ProjectName]=ContinuousStatsTable[[#This Row],[ProjectName]]),(ProjectInfoTable[ProjectName]=ContinuousStatsTable[[#This Row],[ProjectName]])*ProjectInfoTable[ConfidenceInterval]))</f>
        <v>0.95</v>
      </c>
      <c r="R10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1069" s="5" cm="1">
        <f t="array" ref="S1069">MIN(IF((ContinuousStatsTable[GroupByKey]=ContinuousStatsTable[[#This Row],[GroupByKey]]),(ContinuousStatsTable[GroupByKey]=ContinuousStatsTable[[#This Row],[GroupByKey]])*ContinuousStatsTable[Average]))</f>
        <v>0.517215348442703</v>
      </c>
      <c r="T1069" s="5" cm="1">
        <f t="array" ref="T1069">MAX(IF((ContinuousStatsTable[GroupByKey]=ContinuousStatsTable[[#This Row],[GroupByKey]]),(ContinuousStatsTable[GroupByKey]=ContinuousStatsTable[[#This Row],[GroupByKey]])*ContinuousStatsTable[Average]))</f>
        <v>0.67770389283754395</v>
      </c>
      <c r="U1069" s="5">
        <f>IF((ContinuousStatsTable[[#This Row],[RepsRequested]]&gt;1),ContinuousStatsTable[[#This Row],[HalfWidth]],ContinuousStatsTable[[#This Row],[BatchMeansHalfWidth]])</f>
        <v>1.8059192833960565E-2</v>
      </c>
    </row>
    <row r="1070" spans="1:21" x14ac:dyDescent="0.3">
      <c r="A1070" t="s">
        <v>66</v>
      </c>
      <c r="B1070" t="s">
        <v>68</v>
      </c>
      <c r="C1070">
        <v>28</v>
      </c>
      <c r="D1070" t="s">
        <v>99</v>
      </c>
      <c r="E1070" t="s">
        <v>96</v>
      </c>
      <c r="F1070" t="s">
        <v>95</v>
      </c>
      <c r="G1070">
        <v>5.5023809050779002</v>
      </c>
      <c r="H1070">
        <v>2E+20</v>
      </c>
      <c r="I1070">
        <v>0</v>
      </c>
      <c r="J1070">
        <v>10</v>
      </c>
      <c r="K1070">
        <v>10</v>
      </c>
      <c r="L1070">
        <v>0</v>
      </c>
      <c r="M1070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1070" s="5" cm="1">
        <f t="array" ref="N1070">MAX(IF((ProjectInfoTable[ProjectName]=ContinuousStatsTable[[#This Row],[ProjectName]]),(ProjectInfoTable[ProjectName]=ContinuousStatsTable[[#This Row],[ProjectName]])*ProjectInfoTable[NumberOfReplications]))</f>
        <v>30</v>
      </c>
      <c r="O1070" s="5" cm="1">
        <f t="array" ref="O1070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1070" s="5" cm="1">
        <f t="array" ref="P1070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1070" s="5" cm="1">
        <f t="array" ref="Q1070">MAX(IF((ProjectInfoTable[ProjectName]=ContinuousStatsTable[[#This Row],[ProjectName]]),(ProjectInfoTable[ProjectName]=ContinuousStatsTable[[#This Row],[ProjectName]])*ProjectInfoTable[ConfidenceInterval]))</f>
        <v>0.95</v>
      </c>
      <c r="R10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1070" s="5" cm="1">
        <f t="array" ref="S1070">MIN(IF((ContinuousStatsTable[GroupByKey]=ContinuousStatsTable[[#This Row],[GroupByKey]]),(ContinuousStatsTable[GroupByKey]=ContinuousStatsTable[[#This Row],[GroupByKey]])*ContinuousStatsTable[Average]))</f>
        <v>5.1721534844270298</v>
      </c>
      <c r="T1070" s="5" cm="1">
        <f t="array" ref="T1070">MAX(IF((ContinuousStatsTable[GroupByKey]=ContinuousStatsTable[[#This Row],[GroupByKey]]),(ContinuousStatsTable[GroupByKey]=ContinuousStatsTable[[#This Row],[GroupByKey]])*ContinuousStatsTable[Average]))</f>
        <v>6.7770389283754398</v>
      </c>
      <c r="U1070" s="5">
        <f>IF((ContinuousStatsTable[[#This Row],[RepsRequested]]&gt;1),ContinuousStatsTable[[#This Row],[HalfWidth]],ContinuousStatsTable[[#This Row],[BatchMeansHalfWidth]])</f>
        <v>0.18059192833960558</v>
      </c>
    </row>
    <row r="1071" spans="1:21" x14ac:dyDescent="0.3">
      <c r="A1071" t="s">
        <v>66</v>
      </c>
      <c r="B1071" t="s">
        <v>68</v>
      </c>
      <c r="C1071">
        <v>28</v>
      </c>
      <c r="D1071" t="s">
        <v>99</v>
      </c>
      <c r="E1071" t="s">
        <v>97</v>
      </c>
      <c r="F1071" t="s">
        <v>95</v>
      </c>
      <c r="G1071">
        <v>10</v>
      </c>
      <c r="H1071">
        <v>2E+20</v>
      </c>
      <c r="I1071">
        <v>10</v>
      </c>
      <c r="J1071">
        <v>10</v>
      </c>
      <c r="K1071">
        <v>10</v>
      </c>
      <c r="L1071">
        <v>0</v>
      </c>
      <c r="M1071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1071" s="5" cm="1">
        <f t="array" ref="N1071">MAX(IF((ProjectInfoTable[ProjectName]=ContinuousStatsTable[[#This Row],[ProjectName]]),(ProjectInfoTable[ProjectName]=ContinuousStatsTable[[#This Row],[ProjectName]])*ProjectInfoTable[NumberOfReplications]))</f>
        <v>30</v>
      </c>
      <c r="O1071" s="5" cm="1">
        <f t="array" ref="O1071">IFERROR(AVERAGE(IF((ContinuousStatsTable[GroupByKey]=ContinuousStatsTable[[#This Row],[GroupByKey]]),(ContinuousStatsTable[GroupByKey]=ContinuousStatsTable[[#This Row],[GroupByKey]])*ContinuousStatsTable[Average])),0)</f>
        <v>10</v>
      </c>
      <c r="P1071" s="5" cm="1">
        <f t="array" ref="P1071">IFERROR(_xlfn.STDEV.S(IF((ContinuousStatsTable[GroupByKey]=ContinuousStatsTable[[#This Row],[GroupByKey]]),(ContinuousStatsTable[GroupByKey]=ContinuousStatsTable[[#This Row],[GroupByKey]])*ContinuousStatsTable[Average])),0)</f>
        <v>0</v>
      </c>
      <c r="Q1071" s="5" cm="1">
        <f t="array" ref="Q1071">MAX(IF((ProjectInfoTable[ProjectName]=ContinuousStatsTable[[#This Row],[ProjectName]]),(ProjectInfoTable[ProjectName]=ContinuousStatsTable[[#This Row],[ProjectName]])*ProjectInfoTable[ConfidenceInterval]))</f>
        <v>0.95</v>
      </c>
      <c r="R10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1" s="5" cm="1">
        <f t="array" ref="S1071">MIN(IF((ContinuousStatsTable[GroupByKey]=ContinuousStatsTable[[#This Row],[GroupByKey]]),(ContinuousStatsTable[GroupByKey]=ContinuousStatsTable[[#This Row],[GroupByKey]])*ContinuousStatsTable[Average]))</f>
        <v>10</v>
      </c>
      <c r="T1071" s="5" cm="1">
        <f t="array" ref="T1071">MAX(IF((ContinuousStatsTable[GroupByKey]=ContinuousStatsTable[[#This Row],[GroupByKey]]),(ContinuousStatsTable[GroupByKey]=ContinuousStatsTable[[#This Row],[GroupByKey]])*ContinuousStatsTable[Average]))</f>
        <v>10</v>
      </c>
      <c r="U1071" s="5">
        <f>IF((ContinuousStatsTable[[#This Row],[RepsRequested]]&gt;1),ContinuousStatsTable[[#This Row],[HalfWidth]],ContinuousStatsTable[[#This Row],[BatchMeansHalfWidth]])</f>
        <v>0</v>
      </c>
    </row>
    <row r="1072" spans="1:21" x14ac:dyDescent="0.3">
      <c r="A1072" t="s">
        <v>66</v>
      </c>
      <c r="B1072" t="s">
        <v>68</v>
      </c>
      <c r="C1072">
        <v>28</v>
      </c>
      <c r="D1072" t="s">
        <v>100</v>
      </c>
      <c r="E1072" t="s">
        <v>94</v>
      </c>
      <c r="F1072" t="s">
        <v>95</v>
      </c>
      <c r="G1072">
        <v>0.170613284397786</v>
      </c>
      <c r="H1072">
        <v>2E+20</v>
      </c>
      <c r="I1072">
        <v>0</v>
      </c>
      <c r="J1072">
        <v>0.4</v>
      </c>
      <c r="K1072">
        <v>0.14000000000000001</v>
      </c>
      <c r="L1072">
        <v>0</v>
      </c>
      <c r="M1072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1072" s="5" cm="1">
        <f t="array" ref="N1072">MAX(IF((ProjectInfoTable[ProjectName]=ContinuousStatsTable[[#This Row],[ProjectName]]),(ProjectInfoTable[ProjectName]=ContinuousStatsTable[[#This Row],[ProjectName]])*ProjectInfoTable[NumberOfReplications]))</f>
        <v>30</v>
      </c>
      <c r="O1072" s="5" cm="1">
        <f t="array" ref="O1072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1072" s="5" cm="1">
        <f t="array" ref="P1072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1072" s="5" cm="1">
        <f t="array" ref="Q1072">MAX(IF((ProjectInfoTable[ProjectName]=ContinuousStatsTable[[#This Row],[ProjectName]]),(ProjectInfoTable[ProjectName]=ContinuousStatsTable[[#This Row],[ProjectName]])*ProjectInfoTable[ConfidenceInterval]))</f>
        <v>0.95</v>
      </c>
      <c r="R10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1072" s="5" cm="1">
        <f t="array" ref="S1072">MIN(IF((ContinuousStatsTable[GroupByKey]=ContinuousStatsTable[[#This Row],[GroupByKey]]),(ContinuousStatsTable[GroupByKey]=ContinuousStatsTable[[#This Row],[GroupByKey]])*ContinuousStatsTable[Average]))</f>
        <v>0.14484829778125299</v>
      </c>
      <c r="T1072" s="5" cm="1">
        <f t="array" ref="T1072">MAX(IF((ContinuousStatsTable[GroupByKey]=ContinuousStatsTable[[#This Row],[GroupByKey]]),(ContinuousStatsTable[GroupByKey]=ContinuousStatsTable[[#This Row],[GroupByKey]])*ContinuousStatsTable[Average]))</f>
        <v>0.19609322315655101</v>
      </c>
      <c r="U1072" s="5">
        <f>IF((ContinuousStatsTable[[#This Row],[RepsRequested]]&gt;1),ContinuousStatsTable[[#This Row],[HalfWidth]],ContinuousStatsTable[[#This Row],[BatchMeansHalfWidth]])</f>
        <v>4.9714113556225048E-3</v>
      </c>
    </row>
    <row r="1073" spans="1:21" x14ac:dyDescent="0.3">
      <c r="A1073" t="s">
        <v>66</v>
      </c>
      <c r="B1073" t="s">
        <v>68</v>
      </c>
      <c r="C1073">
        <v>28</v>
      </c>
      <c r="D1073" t="s">
        <v>100</v>
      </c>
      <c r="E1073" t="s">
        <v>96</v>
      </c>
      <c r="F1073" t="s">
        <v>95</v>
      </c>
      <c r="G1073">
        <v>8.5306642198892906</v>
      </c>
      <c r="H1073">
        <v>2E+20</v>
      </c>
      <c r="I1073">
        <v>0</v>
      </c>
      <c r="J1073">
        <v>20</v>
      </c>
      <c r="K1073">
        <v>7</v>
      </c>
      <c r="L1073">
        <v>0</v>
      </c>
      <c r="M1073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1073" s="5" cm="1">
        <f t="array" ref="N1073">MAX(IF((ProjectInfoTable[ProjectName]=ContinuousStatsTable[[#This Row],[ProjectName]]),(ProjectInfoTable[ProjectName]=ContinuousStatsTable[[#This Row],[ProjectName]])*ProjectInfoTable[NumberOfReplications]))</f>
        <v>30</v>
      </c>
      <c r="O1073" s="5" cm="1">
        <f t="array" ref="O1073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1073" s="5" cm="1">
        <f t="array" ref="P1073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1073" s="5" cm="1">
        <f t="array" ref="Q1073">MAX(IF((ProjectInfoTable[ProjectName]=ContinuousStatsTable[[#This Row],[ProjectName]]),(ProjectInfoTable[ProjectName]=ContinuousStatsTable[[#This Row],[ProjectName]])*ProjectInfoTable[ConfidenceInterval]))</f>
        <v>0.95</v>
      </c>
      <c r="R10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1073" s="5" cm="1">
        <f t="array" ref="S1073">MIN(IF((ContinuousStatsTable[GroupByKey]=ContinuousStatsTable[[#This Row],[GroupByKey]]),(ContinuousStatsTable[GroupByKey]=ContinuousStatsTable[[#This Row],[GroupByKey]])*ContinuousStatsTable[Average]))</f>
        <v>7.2424148890626396</v>
      </c>
      <c r="T1073" s="5" cm="1">
        <f t="array" ref="T1073">MAX(IF((ContinuousStatsTable[GroupByKey]=ContinuousStatsTable[[#This Row],[GroupByKey]]),(ContinuousStatsTable[GroupByKey]=ContinuousStatsTable[[#This Row],[GroupByKey]])*ContinuousStatsTable[Average]))</f>
        <v>9.8046611578275602</v>
      </c>
      <c r="U1073" s="5">
        <f>IF((ContinuousStatsTable[[#This Row],[RepsRequested]]&gt;1),ContinuousStatsTable[[#This Row],[HalfWidth]],ContinuousStatsTable[[#This Row],[BatchMeansHalfWidth]])</f>
        <v>0.24857056778112663</v>
      </c>
    </row>
    <row r="1074" spans="1:21" x14ac:dyDescent="0.3">
      <c r="A1074" t="s">
        <v>66</v>
      </c>
      <c r="B1074" t="s">
        <v>68</v>
      </c>
      <c r="C1074">
        <v>28</v>
      </c>
      <c r="D1074" t="s">
        <v>100</v>
      </c>
      <c r="E1074" t="s">
        <v>97</v>
      </c>
      <c r="F1074" t="s">
        <v>95</v>
      </c>
      <c r="G1074">
        <v>50</v>
      </c>
      <c r="H1074">
        <v>2E+20</v>
      </c>
      <c r="I1074">
        <v>50</v>
      </c>
      <c r="J1074">
        <v>50</v>
      </c>
      <c r="K1074">
        <v>50</v>
      </c>
      <c r="L1074">
        <v>0</v>
      </c>
      <c r="M1074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1074" s="5" cm="1">
        <f t="array" ref="N1074">MAX(IF((ProjectInfoTable[ProjectName]=ContinuousStatsTable[[#This Row],[ProjectName]]),(ProjectInfoTable[ProjectName]=ContinuousStatsTable[[#This Row],[ProjectName]])*ProjectInfoTable[NumberOfReplications]))</f>
        <v>30</v>
      </c>
      <c r="O1074" s="5" cm="1">
        <f t="array" ref="O1074">IFERROR(AVERAGE(IF((ContinuousStatsTable[GroupByKey]=ContinuousStatsTable[[#This Row],[GroupByKey]]),(ContinuousStatsTable[GroupByKey]=ContinuousStatsTable[[#This Row],[GroupByKey]])*ContinuousStatsTable[Average])),0)</f>
        <v>50</v>
      </c>
      <c r="P1074" s="5" cm="1">
        <f t="array" ref="P1074">IFERROR(_xlfn.STDEV.S(IF((ContinuousStatsTable[GroupByKey]=ContinuousStatsTable[[#This Row],[GroupByKey]]),(ContinuousStatsTable[GroupByKey]=ContinuousStatsTable[[#This Row],[GroupByKey]])*ContinuousStatsTable[Average])),0)</f>
        <v>0</v>
      </c>
      <c r="Q1074" s="5" cm="1">
        <f t="array" ref="Q1074">MAX(IF((ProjectInfoTable[ProjectName]=ContinuousStatsTable[[#This Row],[ProjectName]]),(ProjectInfoTable[ProjectName]=ContinuousStatsTable[[#This Row],[ProjectName]])*ProjectInfoTable[ConfidenceInterval]))</f>
        <v>0.95</v>
      </c>
      <c r="R10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4" s="5" cm="1">
        <f t="array" ref="S1074">MIN(IF((ContinuousStatsTable[GroupByKey]=ContinuousStatsTable[[#This Row],[GroupByKey]]),(ContinuousStatsTable[GroupByKey]=ContinuousStatsTable[[#This Row],[GroupByKey]])*ContinuousStatsTable[Average]))</f>
        <v>50</v>
      </c>
      <c r="T1074" s="5" cm="1">
        <f t="array" ref="T1074">MAX(IF((ContinuousStatsTable[GroupByKey]=ContinuousStatsTable[[#This Row],[GroupByKey]]),(ContinuousStatsTable[GroupByKey]=ContinuousStatsTable[[#This Row],[GroupByKey]])*ContinuousStatsTable[Average]))</f>
        <v>50</v>
      </c>
      <c r="U1074" s="5">
        <f>IF((ContinuousStatsTable[[#This Row],[RepsRequested]]&gt;1),ContinuousStatsTable[[#This Row],[HalfWidth]],ContinuousStatsTable[[#This Row],[BatchMeansHalfWidth]])</f>
        <v>0</v>
      </c>
    </row>
    <row r="1075" spans="1:21" x14ac:dyDescent="0.3">
      <c r="A1075" t="s">
        <v>66</v>
      </c>
      <c r="B1075" t="s">
        <v>68</v>
      </c>
      <c r="C1075">
        <v>28</v>
      </c>
      <c r="D1075" t="s">
        <v>101</v>
      </c>
      <c r="E1075" t="s">
        <v>94</v>
      </c>
      <c r="F1075" t="s">
        <v>95</v>
      </c>
      <c r="G1075">
        <v>8.9197885994901596E-2</v>
      </c>
      <c r="H1075">
        <v>2E+20</v>
      </c>
      <c r="I1075">
        <v>0</v>
      </c>
      <c r="J1075">
        <v>0.46666666666666701</v>
      </c>
      <c r="K1075">
        <v>0.33333333333333298</v>
      </c>
      <c r="L1075">
        <v>0</v>
      </c>
      <c r="M1075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1075" s="5" cm="1">
        <f t="array" ref="N1075">MAX(IF((ProjectInfoTable[ProjectName]=ContinuousStatsTable[[#This Row],[ProjectName]]),(ProjectInfoTable[ProjectName]=ContinuousStatsTable[[#This Row],[ProjectName]])*ProjectInfoTable[NumberOfReplications]))</f>
        <v>30</v>
      </c>
      <c r="O1075" s="5" cm="1">
        <f t="array" ref="O1075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1075" s="5" cm="1">
        <f t="array" ref="P1075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1075" s="5" cm="1">
        <f t="array" ref="Q1075">MAX(IF((ProjectInfoTable[ProjectName]=ContinuousStatsTable[[#This Row],[ProjectName]]),(ProjectInfoTable[ProjectName]=ContinuousStatsTable[[#This Row],[ProjectName]])*ProjectInfoTable[ConfidenceInterval]))</f>
        <v>0.95</v>
      </c>
      <c r="R10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1075" s="5" cm="1">
        <f t="array" ref="S1075">MIN(IF((ContinuousStatsTable[GroupByKey]=ContinuousStatsTable[[#This Row],[GroupByKey]]),(ContinuousStatsTable[GroupByKey]=ContinuousStatsTable[[#This Row],[GroupByKey]])*ContinuousStatsTable[Average]))</f>
        <v>7.4778736536586704E-2</v>
      </c>
      <c r="T1075" s="5" cm="1">
        <f t="array" ref="T1075">MAX(IF((ContinuousStatsTable[GroupByKey]=ContinuousStatsTable[[#This Row],[GroupByKey]]),(ContinuousStatsTable[GroupByKey]=ContinuousStatsTable[[#This Row],[GroupByKey]])*ContinuousStatsTable[Average]))</f>
        <v>0.111025455742452</v>
      </c>
      <c r="U1075" s="5">
        <f>IF((ContinuousStatsTable[[#This Row],[RepsRequested]]&gt;1),ContinuousStatsTable[[#This Row],[HalfWidth]],ContinuousStatsTable[[#This Row],[BatchMeansHalfWidth]])</f>
        <v>4.1821462690338805E-3</v>
      </c>
    </row>
    <row r="1076" spans="1:21" x14ac:dyDescent="0.3">
      <c r="A1076" t="s">
        <v>66</v>
      </c>
      <c r="B1076" t="s">
        <v>68</v>
      </c>
      <c r="C1076">
        <v>28</v>
      </c>
      <c r="D1076" t="s">
        <v>101</v>
      </c>
      <c r="E1076" t="s">
        <v>96</v>
      </c>
      <c r="F1076" t="s">
        <v>95</v>
      </c>
      <c r="G1076">
        <v>1.3379682899235199</v>
      </c>
      <c r="H1076">
        <v>2E+20</v>
      </c>
      <c r="I1076">
        <v>0</v>
      </c>
      <c r="J1076">
        <v>7</v>
      </c>
      <c r="K1076">
        <v>5</v>
      </c>
      <c r="L1076">
        <v>0</v>
      </c>
      <c r="M1076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1076" s="5" cm="1">
        <f t="array" ref="N1076">MAX(IF((ProjectInfoTable[ProjectName]=ContinuousStatsTable[[#This Row],[ProjectName]]),(ProjectInfoTable[ProjectName]=ContinuousStatsTable[[#This Row],[ProjectName]])*ProjectInfoTable[NumberOfReplications]))</f>
        <v>30</v>
      </c>
      <c r="O1076" s="5" cm="1">
        <f t="array" ref="O1076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1076" s="5" cm="1">
        <f t="array" ref="P1076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1076" s="5" cm="1">
        <f t="array" ref="Q1076">MAX(IF((ProjectInfoTable[ProjectName]=ContinuousStatsTable[[#This Row],[ProjectName]]),(ProjectInfoTable[ProjectName]=ContinuousStatsTable[[#This Row],[ProjectName]])*ProjectInfoTable[ConfidenceInterval]))</f>
        <v>0.95</v>
      </c>
      <c r="R10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1076" s="5" cm="1">
        <f t="array" ref="S1076">MIN(IF((ContinuousStatsTable[GroupByKey]=ContinuousStatsTable[[#This Row],[GroupByKey]]),(ContinuousStatsTable[GroupByKey]=ContinuousStatsTable[[#This Row],[GroupByKey]])*ContinuousStatsTable[Average]))</f>
        <v>1.1216810480488</v>
      </c>
      <c r="T1076" s="5" cm="1">
        <f t="array" ref="T1076">MAX(IF((ContinuousStatsTable[GroupByKey]=ContinuousStatsTable[[#This Row],[GroupByKey]]),(ContinuousStatsTable[GroupByKey]=ContinuousStatsTable[[#This Row],[GroupByKey]])*ContinuousStatsTable[Average]))</f>
        <v>1.66538183613678</v>
      </c>
      <c r="U1076" s="5">
        <f>IF((ContinuousStatsTable[[#This Row],[RepsRequested]]&gt;1),ContinuousStatsTable[[#This Row],[HalfWidth]],ContinuousStatsTable[[#This Row],[BatchMeansHalfWidth]])</f>
        <v>6.2732194035507963E-2</v>
      </c>
    </row>
    <row r="1077" spans="1:21" x14ac:dyDescent="0.3">
      <c r="A1077" t="s">
        <v>66</v>
      </c>
      <c r="B1077" t="s">
        <v>68</v>
      </c>
      <c r="C1077">
        <v>28</v>
      </c>
      <c r="D1077" t="s">
        <v>101</v>
      </c>
      <c r="E1077" t="s">
        <v>97</v>
      </c>
      <c r="F1077" t="s">
        <v>95</v>
      </c>
      <c r="G1077">
        <v>15</v>
      </c>
      <c r="H1077">
        <v>2E+20</v>
      </c>
      <c r="I1077">
        <v>15</v>
      </c>
      <c r="J1077">
        <v>15</v>
      </c>
      <c r="K1077">
        <v>15</v>
      </c>
      <c r="L1077">
        <v>0</v>
      </c>
      <c r="M1077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1077" s="5" cm="1">
        <f t="array" ref="N1077">MAX(IF((ProjectInfoTable[ProjectName]=ContinuousStatsTable[[#This Row],[ProjectName]]),(ProjectInfoTable[ProjectName]=ContinuousStatsTable[[#This Row],[ProjectName]])*ProjectInfoTable[NumberOfReplications]))</f>
        <v>30</v>
      </c>
      <c r="O1077" s="5" cm="1">
        <f t="array" ref="O1077">IFERROR(AVERAGE(IF((ContinuousStatsTable[GroupByKey]=ContinuousStatsTable[[#This Row],[GroupByKey]]),(ContinuousStatsTable[GroupByKey]=ContinuousStatsTable[[#This Row],[GroupByKey]])*ContinuousStatsTable[Average])),0)</f>
        <v>15</v>
      </c>
      <c r="P1077" s="5" cm="1">
        <f t="array" ref="P1077">IFERROR(_xlfn.STDEV.S(IF((ContinuousStatsTable[GroupByKey]=ContinuousStatsTable[[#This Row],[GroupByKey]]),(ContinuousStatsTable[GroupByKey]=ContinuousStatsTable[[#This Row],[GroupByKey]])*ContinuousStatsTable[Average])),0)</f>
        <v>0</v>
      </c>
      <c r="Q1077" s="5" cm="1">
        <f t="array" ref="Q1077">MAX(IF((ProjectInfoTable[ProjectName]=ContinuousStatsTable[[#This Row],[ProjectName]]),(ProjectInfoTable[ProjectName]=ContinuousStatsTable[[#This Row],[ProjectName]])*ProjectInfoTable[ConfidenceInterval]))</f>
        <v>0.95</v>
      </c>
      <c r="R10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7" s="5" cm="1">
        <f t="array" ref="S1077">MIN(IF((ContinuousStatsTable[GroupByKey]=ContinuousStatsTable[[#This Row],[GroupByKey]]),(ContinuousStatsTable[GroupByKey]=ContinuousStatsTable[[#This Row],[GroupByKey]])*ContinuousStatsTable[Average]))</f>
        <v>15</v>
      </c>
      <c r="T1077" s="5" cm="1">
        <f t="array" ref="T1077">MAX(IF((ContinuousStatsTable[GroupByKey]=ContinuousStatsTable[[#This Row],[GroupByKey]]),(ContinuousStatsTable[GroupByKey]=ContinuousStatsTable[[#This Row],[GroupByKey]])*ContinuousStatsTable[Average]))</f>
        <v>15</v>
      </c>
      <c r="U1077" s="5">
        <f>IF((ContinuousStatsTable[[#This Row],[RepsRequested]]&gt;1),ContinuousStatsTable[[#This Row],[HalfWidth]],ContinuousStatsTable[[#This Row],[BatchMeansHalfWidth]])</f>
        <v>0</v>
      </c>
    </row>
    <row r="1078" spans="1:21" x14ac:dyDescent="0.3">
      <c r="A1078" t="s">
        <v>66</v>
      </c>
      <c r="B1078" t="s">
        <v>68</v>
      </c>
      <c r="C1078">
        <v>28</v>
      </c>
      <c r="D1078" t="s">
        <v>102</v>
      </c>
      <c r="E1078" t="s">
        <v>94</v>
      </c>
      <c r="F1078" t="s">
        <v>95</v>
      </c>
      <c r="G1078">
        <v>0.83718447314915601</v>
      </c>
      <c r="H1078">
        <v>2E+20</v>
      </c>
      <c r="I1078">
        <v>0</v>
      </c>
      <c r="J1078">
        <v>1</v>
      </c>
      <c r="K1078">
        <v>1</v>
      </c>
      <c r="L1078">
        <v>0</v>
      </c>
      <c r="M1078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1078" s="5" cm="1">
        <f t="array" ref="N1078">MAX(IF((ProjectInfoTable[ProjectName]=ContinuousStatsTable[[#This Row],[ProjectName]]),(ProjectInfoTable[ProjectName]=ContinuousStatsTable[[#This Row],[ProjectName]])*ProjectInfoTable[NumberOfReplications]))</f>
        <v>30</v>
      </c>
      <c r="O1078" s="5" cm="1">
        <f t="array" ref="O1078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1078" s="5" cm="1">
        <f t="array" ref="P1078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1078" s="5" cm="1">
        <f t="array" ref="Q1078">MAX(IF((ProjectInfoTable[ProjectName]=ContinuousStatsTable[[#This Row],[ProjectName]]),(ProjectInfoTable[ProjectName]=ContinuousStatsTable[[#This Row],[ProjectName]])*ProjectInfoTable[ConfidenceInterval]))</f>
        <v>0.95</v>
      </c>
      <c r="R10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1078" s="5" cm="1">
        <f t="array" ref="S1078">MIN(IF((ContinuousStatsTable[GroupByKey]=ContinuousStatsTable[[#This Row],[GroupByKey]]),(ContinuousStatsTable[GroupByKey]=ContinuousStatsTable[[#This Row],[GroupByKey]])*ContinuousStatsTable[Average]))</f>
        <v>0.73673947391417804</v>
      </c>
      <c r="T1078" s="5" cm="1">
        <f t="array" ref="T1078">MAX(IF((ContinuousStatsTable[GroupByKey]=ContinuousStatsTable[[#This Row],[GroupByKey]]),(ContinuousStatsTable[GroupByKey]=ContinuousStatsTable[[#This Row],[GroupByKey]])*ContinuousStatsTable[Average]))</f>
        <v>0.90592850818388704</v>
      </c>
      <c r="U1078" s="5">
        <f>IF((ContinuousStatsTable[[#This Row],[RepsRequested]]&gt;1),ContinuousStatsTable[[#This Row],[HalfWidth]],ContinuousStatsTable[[#This Row],[BatchMeansHalfWidth]])</f>
        <v>1.8636241798384946E-2</v>
      </c>
    </row>
    <row r="1079" spans="1:21" x14ac:dyDescent="0.3">
      <c r="A1079" t="s">
        <v>66</v>
      </c>
      <c r="B1079" t="s">
        <v>68</v>
      </c>
      <c r="C1079">
        <v>28</v>
      </c>
      <c r="D1079" t="s">
        <v>102</v>
      </c>
      <c r="E1079" t="s">
        <v>96</v>
      </c>
      <c r="F1079" t="s">
        <v>95</v>
      </c>
      <c r="G1079">
        <v>1.62978172194434</v>
      </c>
      <c r="H1079">
        <v>2E+20</v>
      </c>
      <c r="I1079">
        <v>0</v>
      </c>
      <c r="J1079">
        <v>3</v>
      </c>
      <c r="K1079">
        <v>2</v>
      </c>
      <c r="L1079">
        <v>0</v>
      </c>
      <c r="M1079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1079" s="5" cm="1">
        <f t="array" ref="N1079">MAX(IF((ProjectInfoTable[ProjectName]=ContinuousStatsTable[[#This Row],[ProjectName]]),(ProjectInfoTable[ProjectName]=ContinuousStatsTable[[#This Row],[ProjectName]])*ProjectInfoTable[NumberOfReplications]))</f>
        <v>30</v>
      </c>
      <c r="O1079" s="5" cm="1">
        <f t="array" ref="O1079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1079" s="5" cm="1">
        <f t="array" ref="P1079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1079" s="5" cm="1">
        <f t="array" ref="Q1079">MAX(IF((ProjectInfoTable[ProjectName]=ContinuousStatsTable[[#This Row],[ProjectName]]),(ProjectInfoTable[ProjectName]=ContinuousStatsTable[[#This Row],[ProjectName]])*ProjectInfoTable[ConfidenceInterval]))</f>
        <v>0.95</v>
      </c>
      <c r="R10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1079" s="5" cm="1">
        <f t="array" ref="S1079">MIN(IF((ContinuousStatsTable[GroupByKey]=ContinuousStatsTable[[#This Row],[GroupByKey]]),(ContinuousStatsTable[GroupByKey]=ContinuousStatsTable[[#This Row],[GroupByKey]])*ContinuousStatsTable[Average]))</f>
        <v>1.3726163545041801</v>
      </c>
      <c r="T1079" s="5" cm="1">
        <f t="array" ref="T1079">MAX(IF((ContinuousStatsTable[GroupByKey]=ContinuousStatsTable[[#This Row],[GroupByKey]]),(ContinuousStatsTable[GroupByKey]=ContinuousStatsTable[[#This Row],[GroupByKey]])*ContinuousStatsTable[Average]))</f>
        <v>1.7968913949876599</v>
      </c>
      <c r="U1079" s="5">
        <f>IF((ContinuousStatsTable[[#This Row],[RepsRequested]]&gt;1),ContinuousStatsTable[[#This Row],[HalfWidth]],ContinuousStatsTable[[#This Row],[BatchMeansHalfWidth]])</f>
        <v>4.3123628688677348E-2</v>
      </c>
    </row>
    <row r="1080" spans="1:21" x14ac:dyDescent="0.3">
      <c r="A1080" t="s">
        <v>66</v>
      </c>
      <c r="B1080" t="s">
        <v>68</v>
      </c>
      <c r="C1080">
        <v>28</v>
      </c>
      <c r="D1080" t="s">
        <v>102</v>
      </c>
      <c r="E1080" t="s">
        <v>97</v>
      </c>
      <c r="F1080" t="s">
        <v>95</v>
      </c>
      <c r="G1080">
        <v>2</v>
      </c>
      <c r="H1080">
        <v>2E+20</v>
      </c>
      <c r="I1080">
        <v>1</v>
      </c>
      <c r="J1080">
        <v>3</v>
      </c>
      <c r="K1080">
        <v>1</v>
      </c>
      <c r="L1080">
        <v>0</v>
      </c>
      <c r="M1080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1080" s="5" cm="1">
        <f t="array" ref="N1080">MAX(IF((ProjectInfoTable[ProjectName]=ContinuousStatsTable[[#This Row],[ProjectName]]),(ProjectInfoTable[ProjectName]=ContinuousStatsTable[[#This Row],[ProjectName]])*ProjectInfoTable[NumberOfReplications]))</f>
        <v>30</v>
      </c>
      <c r="O1080" s="5" cm="1">
        <f t="array" ref="O1080">IFERROR(AVERAGE(IF((ContinuousStatsTable[GroupByKey]=ContinuousStatsTable[[#This Row],[GroupByKey]]),(ContinuousStatsTable[GroupByKey]=ContinuousStatsTable[[#This Row],[GroupByKey]])*ContinuousStatsTable[Average])),0)</f>
        <v>2</v>
      </c>
      <c r="P1080" s="5" cm="1">
        <f t="array" ref="P1080">IFERROR(_xlfn.STDEV.S(IF((ContinuousStatsTable[GroupByKey]=ContinuousStatsTable[[#This Row],[GroupByKey]]),(ContinuousStatsTable[GroupByKey]=ContinuousStatsTable[[#This Row],[GroupByKey]])*ContinuousStatsTable[Average])),0)</f>
        <v>0</v>
      </c>
      <c r="Q1080" s="5" cm="1">
        <f t="array" ref="Q1080">MAX(IF((ProjectInfoTable[ProjectName]=ContinuousStatsTable[[#This Row],[ProjectName]]),(ProjectInfoTable[ProjectName]=ContinuousStatsTable[[#This Row],[ProjectName]])*ProjectInfoTable[ConfidenceInterval]))</f>
        <v>0.95</v>
      </c>
      <c r="R10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0" s="5" cm="1">
        <f t="array" ref="S1080">MIN(IF((ContinuousStatsTable[GroupByKey]=ContinuousStatsTable[[#This Row],[GroupByKey]]),(ContinuousStatsTable[GroupByKey]=ContinuousStatsTable[[#This Row],[GroupByKey]])*ContinuousStatsTable[Average]))</f>
        <v>2</v>
      </c>
      <c r="T1080" s="5" cm="1">
        <f t="array" ref="T1080">MAX(IF((ContinuousStatsTable[GroupByKey]=ContinuousStatsTable[[#This Row],[GroupByKey]]),(ContinuousStatsTable[GroupByKey]=ContinuousStatsTable[[#This Row],[GroupByKey]])*ContinuousStatsTable[Average]))</f>
        <v>2</v>
      </c>
      <c r="U1080" s="5">
        <f>IF((ContinuousStatsTable[[#This Row],[RepsRequested]]&gt;1),ContinuousStatsTable[[#This Row],[HalfWidth]],ContinuousStatsTable[[#This Row],[BatchMeansHalfWidth]])</f>
        <v>0</v>
      </c>
    </row>
    <row r="1081" spans="1:21" x14ac:dyDescent="0.3">
      <c r="A1081" t="s">
        <v>66</v>
      </c>
      <c r="B1081" t="s">
        <v>68</v>
      </c>
      <c r="C1081">
        <v>28</v>
      </c>
      <c r="D1081" t="s">
        <v>84</v>
      </c>
      <c r="E1081" t="s">
        <v>103</v>
      </c>
      <c r="F1081" t="s">
        <v>86</v>
      </c>
      <c r="G1081">
        <v>50.906387892618199</v>
      </c>
      <c r="H1081">
        <v>2E+20</v>
      </c>
      <c r="I1081">
        <v>0</v>
      </c>
      <c r="J1081">
        <v>81</v>
      </c>
      <c r="K1081">
        <v>53</v>
      </c>
      <c r="L1081">
        <v>0</v>
      </c>
      <c r="M1081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1081" s="5" cm="1">
        <f t="array" ref="N1081">MAX(IF((ProjectInfoTable[ProjectName]=ContinuousStatsTable[[#This Row],[ProjectName]]),(ProjectInfoTable[ProjectName]=ContinuousStatsTable[[#This Row],[ProjectName]])*ProjectInfoTable[NumberOfReplications]))</f>
        <v>30</v>
      </c>
      <c r="O1081" s="5" cm="1">
        <f t="array" ref="O1081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1081" s="5" cm="1">
        <f t="array" ref="P1081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1081" s="5" cm="1">
        <f t="array" ref="Q1081">MAX(IF((ProjectInfoTable[ProjectName]=ContinuousStatsTable[[#This Row],[ProjectName]]),(ProjectInfoTable[ProjectName]=ContinuousStatsTable[[#This Row],[ProjectName]])*ProjectInfoTable[ConfidenceInterval]))</f>
        <v>0.95</v>
      </c>
      <c r="R10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1081" s="5" cm="1">
        <f t="array" ref="S1081">MIN(IF((ContinuousStatsTable[GroupByKey]=ContinuousStatsTable[[#This Row],[GroupByKey]]),(ContinuousStatsTable[GroupByKey]=ContinuousStatsTable[[#This Row],[GroupByKey]])*ContinuousStatsTable[Average]))</f>
        <v>36.709886237305</v>
      </c>
      <c r="T1081" s="5" cm="1">
        <f t="array" ref="T1081">MAX(IF((ContinuousStatsTable[GroupByKey]=ContinuousStatsTable[[#This Row],[GroupByKey]]),(ContinuousStatsTable[GroupByKey]=ContinuousStatsTable[[#This Row],[GroupByKey]])*ContinuousStatsTable[Average]))</f>
        <v>84.594951996708403</v>
      </c>
      <c r="U1081" s="5">
        <f>IF((ContinuousStatsTable[[#This Row],[RepsRequested]]&gt;1),ContinuousStatsTable[[#This Row],[HalfWidth]],ContinuousStatsTable[[#This Row],[BatchMeansHalfWidth]])</f>
        <v>4.0384933567271259</v>
      </c>
    </row>
    <row r="1082" spans="1:21" x14ac:dyDescent="0.3">
      <c r="A1082" t="s">
        <v>66</v>
      </c>
      <c r="B1082" t="s">
        <v>68</v>
      </c>
      <c r="C1082">
        <v>28</v>
      </c>
      <c r="D1082" t="s">
        <v>104</v>
      </c>
      <c r="E1082" t="s">
        <v>94</v>
      </c>
      <c r="F1082" t="s">
        <v>95</v>
      </c>
      <c r="G1082">
        <v>0</v>
      </c>
      <c r="H1082">
        <v>2E+20</v>
      </c>
      <c r="I1082">
        <v>0</v>
      </c>
      <c r="J1082">
        <v>0</v>
      </c>
      <c r="K1082">
        <v>0</v>
      </c>
      <c r="L1082">
        <v>0</v>
      </c>
      <c r="M1082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1082" s="5" cm="1">
        <f t="array" ref="N1082">MAX(IF((ProjectInfoTable[ProjectName]=ContinuousStatsTable[[#This Row],[ProjectName]]),(ProjectInfoTable[ProjectName]=ContinuousStatsTable[[#This Row],[ProjectName]])*ProjectInfoTable[NumberOfReplications]))</f>
        <v>30</v>
      </c>
      <c r="O1082" s="5" cm="1">
        <f t="array" ref="O1082">IFERROR(AVERAGE(IF((ContinuousStatsTable[GroupByKey]=ContinuousStatsTable[[#This Row],[GroupByKey]]),(ContinuousStatsTable[GroupByKey]=ContinuousStatsTable[[#This Row],[GroupByKey]])*ContinuousStatsTable[Average])),0)</f>
        <v>0</v>
      </c>
      <c r="P1082" s="5" cm="1">
        <f t="array" ref="P1082">IFERROR(_xlfn.STDEV.S(IF((ContinuousStatsTable[GroupByKey]=ContinuousStatsTable[[#This Row],[GroupByKey]]),(ContinuousStatsTable[GroupByKey]=ContinuousStatsTable[[#This Row],[GroupByKey]])*ContinuousStatsTable[Average])),0)</f>
        <v>0</v>
      </c>
      <c r="Q1082" s="5" cm="1">
        <f t="array" ref="Q1082">MAX(IF((ProjectInfoTable[ProjectName]=ContinuousStatsTable[[#This Row],[ProjectName]]),(ProjectInfoTable[ProjectName]=ContinuousStatsTable[[#This Row],[ProjectName]])*ProjectInfoTable[ConfidenceInterval]))</f>
        <v>0.95</v>
      </c>
      <c r="R10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2" s="5" cm="1">
        <f t="array" ref="S1082">MIN(IF((ContinuousStatsTable[GroupByKey]=ContinuousStatsTable[[#This Row],[GroupByKey]]),(ContinuousStatsTable[GroupByKey]=ContinuousStatsTable[[#This Row],[GroupByKey]])*ContinuousStatsTable[Average]))</f>
        <v>0</v>
      </c>
      <c r="T1082" s="5" cm="1">
        <f t="array" ref="T1082">MAX(IF((ContinuousStatsTable[GroupByKey]=ContinuousStatsTable[[#This Row],[GroupByKey]]),(ContinuousStatsTable[GroupByKey]=ContinuousStatsTable[[#This Row],[GroupByKey]])*ContinuousStatsTable[Average]))</f>
        <v>0</v>
      </c>
      <c r="U1082" s="5">
        <f>IF((ContinuousStatsTable[[#This Row],[RepsRequested]]&gt;1),ContinuousStatsTable[[#This Row],[HalfWidth]],ContinuousStatsTable[[#This Row],[BatchMeansHalfWidth]])</f>
        <v>0</v>
      </c>
    </row>
    <row r="1083" spans="1:21" x14ac:dyDescent="0.3">
      <c r="A1083" t="s">
        <v>66</v>
      </c>
      <c r="B1083" t="s">
        <v>68</v>
      </c>
      <c r="C1083">
        <v>28</v>
      </c>
      <c r="D1083" t="s">
        <v>104</v>
      </c>
      <c r="E1083" t="s">
        <v>96</v>
      </c>
      <c r="F1083" t="s">
        <v>95</v>
      </c>
      <c r="G1083">
        <v>0</v>
      </c>
      <c r="H1083">
        <v>2E+20</v>
      </c>
      <c r="I1083">
        <v>0</v>
      </c>
      <c r="J1083">
        <v>0</v>
      </c>
      <c r="K1083">
        <v>0</v>
      </c>
      <c r="L1083">
        <v>0</v>
      </c>
      <c r="M1083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1083" s="5" cm="1">
        <f t="array" ref="N1083">MAX(IF((ProjectInfoTable[ProjectName]=ContinuousStatsTable[[#This Row],[ProjectName]]),(ProjectInfoTable[ProjectName]=ContinuousStatsTable[[#This Row],[ProjectName]])*ProjectInfoTable[NumberOfReplications]))</f>
        <v>30</v>
      </c>
      <c r="O1083" s="5" cm="1">
        <f t="array" ref="O1083">IFERROR(AVERAGE(IF((ContinuousStatsTable[GroupByKey]=ContinuousStatsTable[[#This Row],[GroupByKey]]),(ContinuousStatsTable[GroupByKey]=ContinuousStatsTable[[#This Row],[GroupByKey]])*ContinuousStatsTable[Average])),0)</f>
        <v>0</v>
      </c>
      <c r="P1083" s="5" cm="1">
        <f t="array" ref="P1083">IFERROR(_xlfn.STDEV.S(IF((ContinuousStatsTable[GroupByKey]=ContinuousStatsTable[[#This Row],[GroupByKey]]),(ContinuousStatsTable[GroupByKey]=ContinuousStatsTable[[#This Row],[GroupByKey]])*ContinuousStatsTable[Average])),0)</f>
        <v>0</v>
      </c>
      <c r="Q1083" s="5" cm="1">
        <f t="array" ref="Q1083">MAX(IF((ProjectInfoTable[ProjectName]=ContinuousStatsTable[[#This Row],[ProjectName]]),(ProjectInfoTable[ProjectName]=ContinuousStatsTable[[#This Row],[ProjectName]])*ProjectInfoTable[ConfidenceInterval]))</f>
        <v>0.95</v>
      </c>
      <c r="R10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3" s="5" cm="1">
        <f t="array" ref="S1083">MIN(IF((ContinuousStatsTable[GroupByKey]=ContinuousStatsTable[[#This Row],[GroupByKey]]),(ContinuousStatsTable[GroupByKey]=ContinuousStatsTable[[#This Row],[GroupByKey]])*ContinuousStatsTable[Average]))</f>
        <v>0</v>
      </c>
      <c r="T1083" s="5" cm="1">
        <f t="array" ref="T1083">MAX(IF((ContinuousStatsTable[GroupByKey]=ContinuousStatsTable[[#This Row],[GroupByKey]]),(ContinuousStatsTable[GroupByKey]=ContinuousStatsTable[[#This Row],[GroupByKey]])*ContinuousStatsTable[Average]))</f>
        <v>0</v>
      </c>
      <c r="U1083" s="5">
        <f>IF((ContinuousStatsTable[[#This Row],[RepsRequested]]&gt;1),ContinuousStatsTable[[#This Row],[HalfWidth]],ContinuousStatsTable[[#This Row],[BatchMeansHalfWidth]])</f>
        <v>0</v>
      </c>
    </row>
    <row r="1084" spans="1:21" x14ac:dyDescent="0.3">
      <c r="A1084" t="s">
        <v>66</v>
      </c>
      <c r="B1084" t="s">
        <v>68</v>
      </c>
      <c r="C1084">
        <v>28</v>
      </c>
      <c r="D1084" t="s">
        <v>104</v>
      </c>
      <c r="E1084" t="s">
        <v>97</v>
      </c>
      <c r="F1084" t="s">
        <v>95</v>
      </c>
      <c r="G1084">
        <v>3</v>
      </c>
      <c r="H1084">
        <v>2E+20</v>
      </c>
      <c r="I1084">
        <v>3</v>
      </c>
      <c r="J1084">
        <v>3</v>
      </c>
      <c r="K1084">
        <v>3</v>
      </c>
      <c r="L1084">
        <v>0</v>
      </c>
      <c r="M1084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1084" s="5" cm="1">
        <f t="array" ref="N1084">MAX(IF((ProjectInfoTable[ProjectName]=ContinuousStatsTable[[#This Row],[ProjectName]]),(ProjectInfoTable[ProjectName]=ContinuousStatsTable[[#This Row],[ProjectName]])*ProjectInfoTable[NumberOfReplications]))</f>
        <v>30</v>
      </c>
      <c r="O1084" s="5" cm="1">
        <f t="array" ref="O1084">IFERROR(AVERAGE(IF((ContinuousStatsTable[GroupByKey]=ContinuousStatsTable[[#This Row],[GroupByKey]]),(ContinuousStatsTable[GroupByKey]=ContinuousStatsTable[[#This Row],[GroupByKey]])*ContinuousStatsTable[Average])),0)</f>
        <v>3</v>
      </c>
      <c r="P1084" s="5" cm="1">
        <f t="array" ref="P1084">IFERROR(_xlfn.STDEV.S(IF((ContinuousStatsTable[GroupByKey]=ContinuousStatsTable[[#This Row],[GroupByKey]]),(ContinuousStatsTable[GroupByKey]=ContinuousStatsTable[[#This Row],[GroupByKey]])*ContinuousStatsTable[Average])),0)</f>
        <v>0</v>
      </c>
      <c r="Q1084" s="5" cm="1">
        <f t="array" ref="Q1084">MAX(IF((ProjectInfoTable[ProjectName]=ContinuousStatsTable[[#This Row],[ProjectName]]),(ProjectInfoTable[ProjectName]=ContinuousStatsTable[[#This Row],[ProjectName]])*ProjectInfoTable[ConfidenceInterval]))</f>
        <v>0.95</v>
      </c>
      <c r="R10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4" s="5" cm="1">
        <f t="array" ref="S1084">MIN(IF((ContinuousStatsTable[GroupByKey]=ContinuousStatsTable[[#This Row],[GroupByKey]]),(ContinuousStatsTable[GroupByKey]=ContinuousStatsTable[[#This Row],[GroupByKey]])*ContinuousStatsTable[Average]))</f>
        <v>3</v>
      </c>
      <c r="T1084" s="5" cm="1">
        <f t="array" ref="T1084">MAX(IF((ContinuousStatsTable[GroupByKey]=ContinuousStatsTable[[#This Row],[GroupByKey]]),(ContinuousStatsTable[GroupByKey]=ContinuousStatsTable[[#This Row],[GroupByKey]])*ContinuousStatsTable[Average]))</f>
        <v>3</v>
      </c>
      <c r="U1084" s="5">
        <f>IF((ContinuousStatsTable[[#This Row],[RepsRequested]]&gt;1),ContinuousStatsTable[[#This Row],[HalfWidth]],ContinuousStatsTable[[#This Row],[BatchMeansHalfWidth]])</f>
        <v>0</v>
      </c>
    </row>
    <row r="1085" spans="1:21" x14ac:dyDescent="0.3">
      <c r="A1085" t="s">
        <v>66</v>
      </c>
      <c r="B1085" t="s">
        <v>68</v>
      </c>
      <c r="C1085">
        <v>28</v>
      </c>
      <c r="D1085" t="s">
        <v>105</v>
      </c>
      <c r="E1085" t="s">
        <v>94</v>
      </c>
      <c r="F1085" t="s">
        <v>95</v>
      </c>
      <c r="G1085">
        <v>0.86317545980286203</v>
      </c>
      <c r="H1085">
        <v>2E+20</v>
      </c>
      <c r="I1085">
        <v>0</v>
      </c>
      <c r="J1085">
        <v>1</v>
      </c>
      <c r="K1085">
        <v>1</v>
      </c>
      <c r="L1085">
        <v>0</v>
      </c>
      <c r="M1085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1085" s="5" cm="1">
        <f t="array" ref="N1085">MAX(IF((ProjectInfoTable[ProjectName]=ContinuousStatsTable[[#This Row],[ProjectName]]),(ProjectInfoTable[ProjectName]=ContinuousStatsTable[[#This Row],[ProjectName]])*ProjectInfoTable[NumberOfReplications]))</f>
        <v>30</v>
      </c>
      <c r="O1085" s="5" cm="1">
        <f t="array" ref="O1085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085" s="5" cm="1">
        <f t="array" ref="P1085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085" s="5" cm="1">
        <f t="array" ref="Q1085">MAX(IF((ProjectInfoTable[ProjectName]=ContinuousStatsTable[[#This Row],[ProjectName]]),(ProjectInfoTable[ProjectName]=ContinuousStatsTable[[#This Row],[ProjectName]])*ProjectInfoTable[ConfidenceInterval]))</f>
        <v>0.95</v>
      </c>
      <c r="R10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085" s="5" cm="1">
        <f t="array" ref="S1085">MIN(IF((ContinuousStatsTable[GroupByKey]=ContinuousStatsTable[[#This Row],[GroupByKey]]),(ContinuousStatsTable[GroupByKey]=ContinuousStatsTable[[#This Row],[GroupByKey]])*ContinuousStatsTable[Average]))</f>
        <v>0.634589476164233</v>
      </c>
      <c r="T1085" s="5" cm="1">
        <f t="array" ref="T1085">MAX(IF((ContinuousStatsTable[GroupByKey]=ContinuousStatsTable[[#This Row],[GroupByKey]]),(ContinuousStatsTable[GroupByKey]=ContinuousStatsTable[[#This Row],[GroupByKey]])*ContinuousStatsTable[Average]))</f>
        <v>0.99383259650362799</v>
      </c>
      <c r="U1085" s="5">
        <f>IF((ContinuousStatsTable[[#This Row],[RepsRequested]]&gt;1),ContinuousStatsTable[[#This Row],[HalfWidth]],ContinuousStatsTable[[#This Row],[BatchMeansHalfWidth]])</f>
        <v>3.9940526897700258E-2</v>
      </c>
    </row>
    <row r="1086" spans="1:21" x14ac:dyDescent="0.3">
      <c r="A1086" t="s">
        <v>66</v>
      </c>
      <c r="B1086" t="s">
        <v>68</v>
      </c>
      <c r="C1086">
        <v>28</v>
      </c>
      <c r="D1086" t="s">
        <v>105</v>
      </c>
      <c r="E1086" t="s">
        <v>96</v>
      </c>
      <c r="F1086" t="s">
        <v>95</v>
      </c>
      <c r="G1086">
        <v>0.86317545980286203</v>
      </c>
      <c r="H1086">
        <v>2E+20</v>
      </c>
      <c r="I1086">
        <v>0</v>
      </c>
      <c r="J1086">
        <v>1</v>
      </c>
      <c r="K1086">
        <v>1</v>
      </c>
      <c r="L1086">
        <v>0</v>
      </c>
      <c r="M1086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1086" s="5" cm="1">
        <f t="array" ref="N1086">MAX(IF((ProjectInfoTable[ProjectName]=ContinuousStatsTable[[#This Row],[ProjectName]]),(ProjectInfoTable[ProjectName]=ContinuousStatsTable[[#This Row],[ProjectName]])*ProjectInfoTable[NumberOfReplications]))</f>
        <v>30</v>
      </c>
      <c r="O1086" s="5" cm="1">
        <f t="array" ref="O1086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086" s="5" cm="1">
        <f t="array" ref="P1086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086" s="5" cm="1">
        <f t="array" ref="Q1086">MAX(IF((ProjectInfoTable[ProjectName]=ContinuousStatsTable[[#This Row],[ProjectName]]),(ProjectInfoTable[ProjectName]=ContinuousStatsTable[[#This Row],[ProjectName]])*ProjectInfoTable[ConfidenceInterval]))</f>
        <v>0.95</v>
      </c>
      <c r="R10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086" s="5" cm="1">
        <f t="array" ref="S1086">MIN(IF((ContinuousStatsTable[GroupByKey]=ContinuousStatsTable[[#This Row],[GroupByKey]]),(ContinuousStatsTable[GroupByKey]=ContinuousStatsTable[[#This Row],[GroupByKey]])*ContinuousStatsTable[Average]))</f>
        <v>0.634589476164233</v>
      </c>
      <c r="T1086" s="5" cm="1">
        <f t="array" ref="T1086">MAX(IF((ContinuousStatsTable[GroupByKey]=ContinuousStatsTable[[#This Row],[GroupByKey]]),(ContinuousStatsTable[GroupByKey]=ContinuousStatsTable[[#This Row],[GroupByKey]])*ContinuousStatsTable[Average]))</f>
        <v>0.99383259650362799</v>
      </c>
      <c r="U1086" s="5">
        <f>IF((ContinuousStatsTable[[#This Row],[RepsRequested]]&gt;1),ContinuousStatsTable[[#This Row],[HalfWidth]],ContinuousStatsTable[[#This Row],[BatchMeansHalfWidth]])</f>
        <v>3.9940526897700258E-2</v>
      </c>
    </row>
    <row r="1087" spans="1:21" x14ac:dyDescent="0.3">
      <c r="A1087" t="s">
        <v>66</v>
      </c>
      <c r="B1087" t="s">
        <v>68</v>
      </c>
      <c r="C1087">
        <v>28</v>
      </c>
      <c r="D1087" t="s">
        <v>105</v>
      </c>
      <c r="E1087" t="s">
        <v>97</v>
      </c>
      <c r="F1087" t="s">
        <v>95</v>
      </c>
      <c r="G1087">
        <v>1</v>
      </c>
      <c r="H1087">
        <v>2E+20</v>
      </c>
      <c r="I1087">
        <v>1</v>
      </c>
      <c r="J1087">
        <v>1</v>
      </c>
      <c r="K1087">
        <v>1</v>
      </c>
      <c r="L1087">
        <v>0</v>
      </c>
      <c r="M1087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1087" s="5" cm="1">
        <f t="array" ref="N1087">MAX(IF((ProjectInfoTable[ProjectName]=ContinuousStatsTable[[#This Row],[ProjectName]]),(ProjectInfoTable[ProjectName]=ContinuousStatsTable[[#This Row],[ProjectName]])*ProjectInfoTable[NumberOfReplications]))</f>
        <v>30</v>
      </c>
      <c r="O1087" s="5" cm="1">
        <f t="array" ref="O1087">IFERROR(AVERAGE(IF((ContinuousStatsTable[GroupByKey]=ContinuousStatsTable[[#This Row],[GroupByKey]]),(ContinuousStatsTable[GroupByKey]=ContinuousStatsTable[[#This Row],[GroupByKey]])*ContinuousStatsTable[Average])),0)</f>
        <v>1</v>
      </c>
      <c r="P1087" s="5" cm="1">
        <f t="array" ref="P1087">IFERROR(_xlfn.STDEV.S(IF((ContinuousStatsTable[GroupByKey]=ContinuousStatsTable[[#This Row],[GroupByKey]]),(ContinuousStatsTable[GroupByKey]=ContinuousStatsTable[[#This Row],[GroupByKey]])*ContinuousStatsTable[Average])),0)</f>
        <v>0</v>
      </c>
      <c r="Q1087" s="5" cm="1">
        <f t="array" ref="Q1087">MAX(IF((ProjectInfoTable[ProjectName]=ContinuousStatsTable[[#This Row],[ProjectName]]),(ProjectInfoTable[ProjectName]=ContinuousStatsTable[[#This Row],[ProjectName]])*ProjectInfoTable[ConfidenceInterval]))</f>
        <v>0.95</v>
      </c>
      <c r="R10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7" s="5" cm="1">
        <f t="array" ref="S1087">MIN(IF((ContinuousStatsTable[GroupByKey]=ContinuousStatsTable[[#This Row],[GroupByKey]]),(ContinuousStatsTable[GroupByKey]=ContinuousStatsTable[[#This Row],[GroupByKey]])*ContinuousStatsTable[Average]))</f>
        <v>1</v>
      </c>
      <c r="T1087" s="5" cm="1">
        <f t="array" ref="T1087">MAX(IF((ContinuousStatsTable[GroupByKey]=ContinuousStatsTable[[#This Row],[GroupByKey]]),(ContinuousStatsTable[GroupByKey]=ContinuousStatsTable[[#This Row],[GroupByKey]])*ContinuousStatsTable[Average]))</f>
        <v>1</v>
      </c>
      <c r="U1087" s="5">
        <f>IF((ContinuousStatsTable[[#This Row],[RepsRequested]]&gt;1),ContinuousStatsTable[[#This Row],[HalfWidth]],ContinuousStatsTable[[#This Row],[BatchMeansHalfWidth]])</f>
        <v>0</v>
      </c>
    </row>
    <row r="1088" spans="1:21" x14ac:dyDescent="0.3">
      <c r="A1088" t="s">
        <v>66</v>
      </c>
      <c r="B1088" t="s">
        <v>68</v>
      </c>
      <c r="C1088">
        <v>28</v>
      </c>
      <c r="D1088" t="s">
        <v>106</v>
      </c>
      <c r="E1088" t="s">
        <v>94</v>
      </c>
      <c r="F1088" t="s">
        <v>95</v>
      </c>
      <c r="G1088">
        <v>0.91454956284788003</v>
      </c>
      <c r="H1088">
        <v>2E+20</v>
      </c>
      <c r="I1088">
        <v>0</v>
      </c>
      <c r="J1088">
        <v>1</v>
      </c>
      <c r="K1088">
        <v>1</v>
      </c>
      <c r="L1088">
        <v>0</v>
      </c>
      <c r="M1088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1088" s="5" cm="1">
        <f t="array" ref="N1088">MAX(IF((ProjectInfoTable[ProjectName]=ContinuousStatsTable[[#This Row],[ProjectName]]),(ProjectInfoTable[ProjectName]=ContinuousStatsTable[[#This Row],[ProjectName]])*ProjectInfoTable[NumberOfReplications]))</f>
        <v>30</v>
      </c>
      <c r="O1088" s="5" cm="1">
        <f t="array" ref="O1088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088" s="5" cm="1">
        <f t="array" ref="P1088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088" s="5" cm="1">
        <f t="array" ref="Q1088">MAX(IF((ProjectInfoTable[ProjectName]=ContinuousStatsTable[[#This Row],[ProjectName]]),(ProjectInfoTable[ProjectName]=ContinuousStatsTable[[#This Row],[ProjectName]])*ProjectInfoTable[ConfidenceInterval]))</f>
        <v>0.95</v>
      </c>
      <c r="R10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088" s="5" cm="1">
        <f t="array" ref="S1088">MIN(IF((ContinuousStatsTable[GroupByKey]=ContinuousStatsTable[[#This Row],[GroupByKey]]),(ContinuousStatsTable[GroupByKey]=ContinuousStatsTable[[#This Row],[GroupByKey]])*ContinuousStatsTable[Average]))</f>
        <v>0.74061105631083801</v>
      </c>
      <c r="T1088" s="5" cm="1">
        <f t="array" ref="T1088">MAX(IF((ContinuousStatsTable[GroupByKey]=ContinuousStatsTable[[#This Row],[GroupByKey]]),(ContinuousStatsTable[GroupByKey]=ContinuousStatsTable[[#This Row],[GroupByKey]])*ContinuousStatsTable[Average]))</f>
        <v>0.99245161744166299</v>
      </c>
      <c r="U1088" s="5">
        <f>IF((ContinuousStatsTable[[#This Row],[RepsRequested]]&gt;1),ContinuousStatsTable[[#This Row],[HalfWidth]],ContinuousStatsTable[[#This Row],[BatchMeansHalfWidth]])</f>
        <v>2.8912497794626357E-2</v>
      </c>
    </row>
    <row r="1089" spans="1:21" x14ac:dyDescent="0.3">
      <c r="A1089" t="s">
        <v>66</v>
      </c>
      <c r="B1089" t="s">
        <v>68</v>
      </c>
      <c r="C1089">
        <v>28</v>
      </c>
      <c r="D1089" t="s">
        <v>106</v>
      </c>
      <c r="E1089" t="s">
        <v>96</v>
      </c>
      <c r="F1089" t="s">
        <v>95</v>
      </c>
      <c r="G1089">
        <v>0.91454956284788003</v>
      </c>
      <c r="H1089">
        <v>2E+20</v>
      </c>
      <c r="I1089">
        <v>0</v>
      </c>
      <c r="J1089">
        <v>1</v>
      </c>
      <c r="K1089">
        <v>1</v>
      </c>
      <c r="L1089">
        <v>0</v>
      </c>
      <c r="M1089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1089" s="5" cm="1">
        <f t="array" ref="N1089">MAX(IF((ProjectInfoTable[ProjectName]=ContinuousStatsTable[[#This Row],[ProjectName]]),(ProjectInfoTable[ProjectName]=ContinuousStatsTable[[#This Row],[ProjectName]])*ProjectInfoTable[NumberOfReplications]))</f>
        <v>30</v>
      </c>
      <c r="O1089" s="5" cm="1">
        <f t="array" ref="O1089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089" s="5" cm="1">
        <f t="array" ref="P1089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089" s="5" cm="1">
        <f t="array" ref="Q1089">MAX(IF((ProjectInfoTable[ProjectName]=ContinuousStatsTable[[#This Row],[ProjectName]]),(ProjectInfoTable[ProjectName]=ContinuousStatsTable[[#This Row],[ProjectName]])*ProjectInfoTable[ConfidenceInterval]))</f>
        <v>0.95</v>
      </c>
      <c r="R10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089" s="5" cm="1">
        <f t="array" ref="S1089">MIN(IF((ContinuousStatsTable[GroupByKey]=ContinuousStatsTable[[#This Row],[GroupByKey]]),(ContinuousStatsTable[GroupByKey]=ContinuousStatsTable[[#This Row],[GroupByKey]])*ContinuousStatsTable[Average]))</f>
        <v>0.74061105631083801</v>
      </c>
      <c r="T1089" s="5" cm="1">
        <f t="array" ref="T1089">MAX(IF((ContinuousStatsTable[GroupByKey]=ContinuousStatsTable[[#This Row],[GroupByKey]]),(ContinuousStatsTable[GroupByKey]=ContinuousStatsTable[[#This Row],[GroupByKey]])*ContinuousStatsTable[Average]))</f>
        <v>0.99245161744166299</v>
      </c>
      <c r="U1089" s="5">
        <f>IF((ContinuousStatsTable[[#This Row],[RepsRequested]]&gt;1),ContinuousStatsTable[[#This Row],[HalfWidth]],ContinuousStatsTable[[#This Row],[BatchMeansHalfWidth]])</f>
        <v>2.8912497794626357E-2</v>
      </c>
    </row>
    <row r="1090" spans="1:21" x14ac:dyDescent="0.3">
      <c r="A1090" t="s">
        <v>66</v>
      </c>
      <c r="B1090" t="s">
        <v>68</v>
      </c>
      <c r="C1090">
        <v>28</v>
      </c>
      <c r="D1090" t="s">
        <v>106</v>
      </c>
      <c r="E1090" t="s">
        <v>97</v>
      </c>
      <c r="F1090" t="s">
        <v>95</v>
      </c>
      <c r="G1090">
        <v>1</v>
      </c>
      <c r="H1090">
        <v>2E+20</v>
      </c>
      <c r="I1090">
        <v>1</v>
      </c>
      <c r="J1090">
        <v>1</v>
      </c>
      <c r="K1090">
        <v>1</v>
      </c>
      <c r="L1090">
        <v>0</v>
      </c>
      <c r="M1090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1090" s="5" cm="1">
        <f t="array" ref="N1090">MAX(IF((ProjectInfoTable[ProjectName]=ContinuousStatsTable[[#This Row],[ProjectName]]),(ProjectInfoTable[ProjectName]=ContinuousStatsTable[[#This Row],[ProjectName]])*ProjectInfoTable[NumberOfReplications]))</f>
        <v>30</v>
      </c>
      <c r="O1090" s="5" cm="1">
        <f t="array" ref="O1090">IFERROR(AVERAGE(IF((ContinuousStatsTable[GroupByKey]=ContinuousStatsTable[[#This Row],[GroupByKey]]),(ContinuousStatsTable[GroupByKey]=ContinuousStatsTable[[#This Row],[GroupByKey]])*ContinuousStatsTable[Average])),0)</f>
        <v>1</v>
      </c>
      <c r="P1090" s="5" cm="1">
        <f t="array" ref="P1090">IFERROR(_xlfn.STDEV.S(IF((ContinuousStatsTable[GroupByKey]=ContinuousStatsTable[[#This Row],[GroupByKey]]),(ContinuousStatsTable[GroupByKey]=ContinuousStatsTable[[#This Row],[GroupByKey]])*ContinuousStatsTable[Average])),0)</f>
        <v>0</v>
      </c>
      <c r="Q1090" s="5" cm="1">
        <f t="array" ref="Q1090">MAX(IF((ProjectInfoTable[ProjectName]=ContinuousStatsTable[[#This Row],[ProjectName]]),(ProjectInfoTable[ProjectName]=ContinuousStatsTable[[#This Row],[ProjectName]])*ProjectInfoTable[ConfidenceInterval]))</f>
        <v>0.95</v>
      </c>
      <c r="R10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0" s="5" cm="1">
        <f t="array" ref="S1090">MIN(IF((ContinuousStatsTable[GroupByKey]=ContinuousStatsTable[[#This Row],[GroupByKey]]),(ContinuousStatsTable[GroupByKey]=ContinuousStatsTable[[#This Row],[GroupByKey]])*ContinuousStatsTable[Average]))</f>
        <v>1</v>
      </c>
      <c r="T1090" s="5" cm="1">
        <f t="array" ref="T1090">MAX(IF((ContinuousStatsTable[GroupByKey]=ContinuousStatsTable[[#This Row],[GroupByKey]]),(ContinuousStatsTable[GroupByKey]=ContinuousStatsTable[[#This Row],[GroupByKey]])*ContinuousStatsTable[Average]))</f>
        <v>1</v>
      </c>
      <c r="U1090" s="5">
        <f>IF((ContinuousStatsTable[[#This Row],[RepsRequested]]&gt;1),ContinuousStatsTable[[#This Row],[HalfWidth]],ContinuousStatsTable[[#This Row],[BatchMeansHalfWidth]])</f>
        <v>0</v>
      </c>
    </row>
    <row r="1091" spans="1:21" x14ac:dyDescent="0.3">
      <c r="A1091" t="s">
        <v>66</v>
      </c>
      <c r="B1091" t="s">
        <v>68</v>
      </c>
      <c r="C1091">
        <v>28</v>
      </c>
      <c r="D1091" t="s">
        <v>107</v>
      </c>
      <c r="E1091" t="s">
        <v>94</v>
      </c>
      <c r="F1091" t="s">
        <v>95</v>
      </c>
      <c r="G1091">
        <v>0.88959332070951402</v>
      </c>
      <c r="H1091">
        <v>2E+20</v>
      </c>
      <c r="I1091">
        <v>0</v>
      </c>
      <c r="J1091">
        <v>1</v>
      </c>
      <c r="K1091">
        <v>0</v>
      </c>
      <c r="L1091">
        <v>0</v>
      </c>
      <c r="M1091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1091" s="5" cm="1">
        <f t="array" ref="N1091">MAX(IF((ProjectInfoTable[ProjectName]=ContinuousStatsTable[[#This Row],[ProjectName]]),(ProjectInfoTable[ProjectName]=ContinuousStatsTable[[#This Row],[ProjectName]])*ProjectInfoTable[NumberOfReplications]))</f>
        <v>30</v>
      </c>
      <c r="O1091" s="5" cm="1">
        <f t="array" ref="O1091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091" s="5" cm="1">
        <f t="array" ref="P1091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091" s="5" cm="1">
        <f t="array" ref="Q1091">MAX(IF((ProjectInfoTable[ProjectName]=ContinuousStatsTable[[#This Row],[ProjectName]]),(ProjectInfoTable[ProjectName]=ContinuousStatsTable[[#This Row],[ProjectName]])*ProjectInfoTable[ConfidenceInterval]))</f>
        <v>0.95</v>
      </c>
      <c r="R10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091" s="5" cm="1">
        <f t="array" ref="S1091">MIN(IF((ContinuousStatsTable[GroupByKey]=ContinuousStatsTable[[#This Row],[GroupByKey]]),(ContinuousStatsTable[GroupByKey]=ContinuousStatsTable[[#This Row],[GroupByKey]])*ContinuousStatsTable[Average]))</f>
        <v>0.73843386001690303</v>
      </c>
      <c r="T1091" s="5" cm="1">
        <f t="array" ref="T1091">MAX(IF((ContinuousStatsTable[GroupByKey]=ContinuousStatsTable[[#This Row],[GroupByKey]]),(ContinuousStatsTable[GroupByKey]=ContinuousStatsTable[[#This Row],[GroupByKey]])*ContinuousStatsTable[Average]))</f>
        <v>0.99245161744166299</v>
      </c>
      <c r="U1091" s="5">
        <f>IF((ContinuousStatsTable[[#This Row],[RepsRequested]]&gt;1),ContinuousStatsTable[[#This Row],[HalfWidth]],ContinuousStatsTable[[#This Row],[BatchMeansHalfWidth]])</f>
        <v>2.6057642646860522E-2</v>
      </c>
    </row>
    <row r="1092" spans="1:21" x14ac:dyDescent="0.3">
      <c r="A1092" t="s">
        <v>66</v>
      </c>
      <c r="B1092" t="s">
        <v>68</v>
      </c>
      <c r="C1092">
        <v>28</v>
      </c>
      <c r="D1092" t="s">
        <v>107</v>
      </c>
      <c r="E1092" t="s">
        <v>96</v>
      </c>
      <c r="F1092" t="s">
        <v>95</v>
      </c>
      <c r="G1092">
        <v>0.88959332070951402</v>
      </c>
      <c r="H1092">
        <v>2E+20</v>
      </c>
      <c r="I1092">
        <v>0</v>
      </c>
      <c r="J1092">
        <v>1</v>
      </c>
      <c r="K1092">
        <v>0</v>
      </c>
      <c r="L1092">
        <v>0</v>
      </c>
      <c r="M1092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1092" s="5" cm="1">
        <f t="array" ref="N1092">MAX(IF((ProjectInfoTable[ProjectName]=ContinuousStatsTable[[#This Row],[ProjectName]]),(ProjectInfoTable[ProjectName]=ContinuousStatsTable[[#This Row],[ProjectName]])*ProjectInfoTable[NumberOfReplications]))</f>
        <v>30</v>
      </c>
      <c r="O1092" s="5" cm="1">
        <f t="array" ref="O1092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092" s="5" cm="1">
        <f t="array" ref="P1092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092" s="5" cm="1">
        <f t="array" ref="Q1092">MAX(IF((ProjectInfoTable[ProjectName]=ContinuousStatsTable[[#This Row],[ProjectName]]),(ProjectInfoTable[ProjectName]=ContinuousStatsTable[[#This Row],[ProjectName]])*ProjectInfoTable[ConfidenceInterval]))</f>
        <v>0.95</v>
      </c>
      <c r="R10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092" s="5" cm="1">
        <f t="array" ref="S1092">MIN(IF((ContinuousStatsTable[GroupByKey]=ContinuousStatsTable[[#This Row],[GroupByKey]]),(ContinuousStatsTable[GroupByKey]=ContinuousStatsTable[[#This Row],[GroupByKey]])*ContinuousStatsTable[Average]))</f>
        <v>0.73843386001690303</v>
      </c>
      <c r="T1092" s="5" cm="1">
        <f t="array" ref="T1092">MAX(IF((ContinuousStatsTable[GroupByKey]=ContinuousStatsTable[[#This Row],[GroupByKey]]),(ContinuousStatsTable[GroupByKey]=ContinuousStatsTable[[#This Row],[GroupByKey]])*ContinuousStatsTable[Average]))</f>
        <v>0.99245161744166299</v>
      </c>
      <c r="U1092" s="5">
        <f>IF((ContinuousStatsTable[[#This Row],[RepsRequested]]&gt;1),ContinuousStatsTable[[#This Row],[HalfWidth]],ContinuousStatsTable[[#This Row],[BatchMeansHalfWidth]])</f>
        <v>2.6057642646860522E-2</v>
      </c>
    </row>
    <row r="1093" spans="1:21" x14ac:dyDescent="0.3">
      <c r="A1093" t="s">
        <v>66</v>
      </c>
      <c r="B1093" t="s">
        <v>68</v>
      </c>
      <c r="C1093">
        <v>28</v>
      </c>
      <c r="D1093" t="s">
        <v>107</v>
      </c>
      <c r="E1093" t="s">
        <v>97</v>
      </c>
      <c r="F1093" t="s">
        <v>95</v>
      </c>
      <c r="G1093">
        <v>1</v>
      </c>
      <c r="H1093">
        <v>2E+20</v>
      </c>
      <c r="I1093">
        <v>1</v>
      </c>
      <c r="J1093">
        <v>1</v>
      </c>
      <c r="K1093">
        <v>1</v>
      </c>
      <c r="L1093">
        <v>0</v>
      </c>
      <c r="M1093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1093" s="5" cm="1">
        <f t="array" ref="N1093">MAX(IF((ProjectInfoTable[ProjectName]=ContinuousStatsTable[[#This Row],[ProjectName]]),(ProjectInfoTable[ProjectName]=ContinuousStatsTable[[#This Row],[ProjectName]])*ProjectInfoTable[NumberOfReplications]))</f>
        <v>30</v>
      </c>
      <c r="O1093" s="5" cm="1">
        <f t="array" ref="O1093">IFERROR(AVERAGE(IF((ContinuousStatsTable[GroupByKey]=ContinuousStatsTable[[#This Row],[GroupByKey]]),(ContinuousStatsTable[GroupByKey]=ContinuousStatsTable[[#This Row],[GroupByKey]])*ContinuousStatsTable[Average])),0)</f>
        <v>1</v>
      </c>
      <c r="P1093" s="5" cm="1">
        <f t="array" ref="P1093">IFERROR(_xlfn.STDEV.S(IF((ContinuousStatsTable[GroupByKey]=ContinuousStatsTable[[#This Row],[GroupByKey]]),(ContinuousStatsTable[GroupByKey]=ContinuousStatsTable[[#This Row],[GroupByKey]])*ContinuousStatsTable[Average])),0)</f>
        <v>0</v>
      </c>
      <c r="Q1093" s="5" cm="1">
        <f t="array" ref="Q1093">MAX(IF((ProjectInfoTable[ProjectName]=ContinuousStatsTable[[#This Row],[ProjectName]]),(ProjectInfoTable[ProjectName]=ContinuousStatsTable[[#This Row],[ProjectName]])*ProjectInfoTable[ConfidenceInterval]))</f>
        <v>0.95</v>
      </c>
      <c r="R10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3" s="5" cm="1">
        <f t="array" ref="S1093">MIN(IF((ContinuousStatsTable[GroupByKey]=ContinuousStatsTable[[#This Row],[GroupByKey]]),(ContinuousStatsTable[GroupByKey]=ContinuousStatsTable[[#This Row],[GroupByKey]])*ContinuousStatsTable[Average]))</f>
        <v>1</v>
      </c>
      <c r="T1093" s="5" cm="1">
        <f t="array" ref="T1093">MAX(IF((ContinuousStatsTable[GroupByKey]=ContinuousStatsTable[[#This Row],[GroupByKey]]),(ContinuousStatsTable[GroupByKey]=ContinuousStatsTable[[#This Row],[GroupByKey]])*ContinuousStatsTable[Average]))</f>
        <v>1</v>
      </c>
      <c r="U1093" s="5">
        <f>IF((ContinuousStatsTable[[#This Row],[RepsRequested]]&gt;1),ContinuousStatsTable[[#This Row],[HalfWidth]],ContinuousStatsTable[[#This Row],[BatchMeansHalfWidth]])</f>
        <v>0</v>
      </c>
    </row>
    <row r="1094" spans="1:21" x14ac:dyDescent="0.3">
      <c r="A1094" t="s">
        <v>66</v>
      </c>
      <c r="B1094" t="s">
        <v>68</v>
      </c>
      <c r="C1094">
        <v>29</v>
      </c>
      <c r="D1094" t="s">
        <v>69</v>
      </c>
      <c r="E1094" t="s">
        <v>92</v>
      </c>
      <c r="F1094" t="s">
        <v>71</v>
      </c>
      <c r="G1094">
        <v>6.19312776028959</v>
      </c>
      <c r="H1094">
        <v>2E+20</v>
      </c>
      <c r="I1094">
        <v>0</v>
      </c>
      <c r="J1094">
        <v>32</v>
      </c>
      <c r="K1094">
        <v>0</v>
      </c>
      <c r="L1094">
        <v>0</v>
      </c>
      <c r="M1094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1094" s="5" cm="1">
        <f t="array" ref="N1094">MAX(IF((ProjectInfoTable[ProjectName]=ContinuousStatsTable[[#This Row],[ProjectName]]),(ProjectInfoTable[ProjectName]=ContinuousStatsTable[[#This Row],[ProjectName]])*ProjectInfoTable[NumberOfReplications]))</f>
        <v>30</v>
      </c>
      <c r="O1094" s="5" cm="1">
        <f t="array" ref="O1094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1094" s="5" cm="1">
        <f t="array" ref="P1094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1094" s="5" cm="1">
        <f t="array" ref="Q1094">MAX(IF((ProjectInfoTable[ProjectName]=ContinuousStatsTable[[#This Row],[ProjectName]]),(ProjectInfoTable[ProjectName]=ContinuousStatsTable[[#This Row],[ProjectName]])*ProjectInfoTable[ConfidenceInterval]))</f>
        <v>0.95</v>
      </c>
      <c r="R10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1094" s="5" cm="1">
        <f t="array" ref="S1094">MIN(IF((ContinuousStatsTable[GroupByKey]=ContinuousStatsTable[[#This Row],[GroupByKey]]),(ContinuousStatsTable[GroupByKey]=ContinuousStatsTable[[#This Row],[GroupByKey]])*ContinuousStatsTable[Average]))</f>
        <v>2.2853775994771</v>
      </c>
      <c r="T1094" s="5" cm="1">
        <f t="array" ref="T1094">MAX(IF((ContinuousStatsTable[GroupByKey]=ContinuousStatsTable[[#This Row],[GroupByKey]]),(ContinuousStatsTable[GroupByKey]=ContinuousStatsTable[[#This Row],[GroupByKey]])*ContinuousStatsTable[Average]))</f>
        <v>9.3827575078214593</v>
      </c>
      <c r="U1094" s="5">
        <f>IF((ContinuousStatsTable[[#This Row],[RepsRequested]]&gt;1),ContinuousStatsTable[[#This Row],[HalfWidth]],ContinuousStatsTable[[#This Row],[BatchMeansHalfWidth]])</f>
        <v>0.70373665421471332</v>
      </c>
    </row>
    <row r="1095" spans="1:21" x14ac:dyDescent="0.3">
      <c r="A1095" t="s">
        <v>66</v>
      </c>
      <c r="B1095" t="s">
        <v>68</v>
      </c>
      <c r="C1095">
        <v>29</v>
      </c>
      <c r="D1095" t="s">
        <v>72</v>
      </c>
      <c r="E1095" t="s">
        <v>92</v>
      </c>
      <c r="F1095" t="s">
        <v>71</v>
      </c>
      <c r="G1095">
        <v>3.6401047156512298</v>
      </c>
      <c r="H1095">
        <v>2E+20</v>
      </c>
      <c r="I1095">
        <v>0</v>
      </c>
      <c r="J1095">
        <v>15</v>
      </c>
      <c r="K1095">
        <v>0</v>
      </c>
      <c r="L1095">
        <v>0</v>
      </c>
      <c r="M1095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1095" s="5" cm="1">
        <f t="array" ref="N1095">MAX(IF((ProjectInfoTable[ProjectName]=ContinuousStatsTable[[#This Row],[ProjectName]]),(ProjectInfoTable[ProjectName]=ContinuousStatsTable[[#This Row],[ProjectName]])*ProjectInfoTable[NumberOfReplications]))</f>
        <v>30</v>
      </c>
      <c r="O1095" s="5" cm="1">
        <f t="array" ref="O1095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1095" s="5" cm="1">
        <f t="array" ref="P1095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1095" s="5" cm="1">
        <f t="array" ref="Q1095">MAX(IF((ProjectInfoTable[ProjectName]=ContinuousStatsTable[[#This Row],[ProjectName]]),(ProjectInfoTable[ProjectName]=ContinuousStatsTable[[#This Row],[ProjectName]])*ProjectInfoTable[ConfidenceInterval]))</f>
        <v>0.95</v>
      </c>
      <c r="R10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1095" s="5" cm="1">
        <f t="array" ref="S1095">MIN(IF((ContinuousStatsTable[GroupByKey]=ContinuousStatsTable[[#This Row],[GroupByKey]]),(ContinuousStatsTable[GroupByKey]=ContinuousStatsTable[[#This Row],[GroupByKey]])*ContinuousStatsTable[Average]))</f>
        <v>1.4754093813695901</v>
      </c>
      <c r="T1095" s="5" cm="1">
        <f t="array" ref="T1095">MAX(IF((ContinuousStatsTable[GroupByKey]=ContinuousStatsTable[[#This Row],[GroupByKey]]),(ContinuousStatsTable[GroupByKey]=ContinuousStatsTable[[#This Row],[GroupByKey]])*ContinuousStatsTable[Average]))</f>
        <v>8.0603747791942499</v>
      </c>
      <c r="U1095" s="5">
        <f>IF((ContinuousStatsTable[[#This Row],[RepsRequested]]&gt;1),ContinuousStatsTable[[#This Row],[HalfWidth]],ContinuousStatsTable[[#This Row],[BatchMeansHalfWidth]])</f>
        <v>0.5936172943910426</v>
      </c>
    </row>
    <row r="1096" spans="1:21" x14ac:dyDescent="0.3">
      <c r="A1096" t="s">
        <v>66</v>
      </c>
      <c r="B1096" t="s">
        <v>68</v>
      </c>
      <c r="C1096">
        <v>29</v>
      </c>
      <c r="D1096" t="s">
        <v>73</v>
      </c>
      <c r="E1096" t="s">
        <v>92</v>
      </c>
      <c r="F1096" t="s">
        <v>71</v>
      </c>
      <c r="G1096">
        <v>8.1690163742621902</v>
      </c>
      <c r="H1096">
        <v>2E+20</v>
      </c>
      <c r="I1096">
        <v>0</v>
      </c>
      <c r="J1096">
        <v>20</v>
      </c>
      <c r="K1096">
        <v>12</v>
      </c>
      <c r="L1096">
        <v>0</v>
      </c>
      <c r="M1096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1096" s="5" cm="1">
        <f t="array" ref="N1096">MAX(IF((ProjectInfoTable[ProjectName]=ContinuousStatsTable[[#This Row],[ProjectName]]),(ProjectInfoTable[ProjectName]=ContinuousStatsTable[[#This Row],[ProjectName]])*ProjectInfoTable[NumberOfReplications]))</f>
        <v>30</v>
      </c>
      <c r="O1096" s="5" cm="1">
        <f t="array" ref="O1096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1096" s="5" cm="1">
        <f t="array" ref="P1096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1096" s="5" cm="1">
        <f t="array" ref="Q1096">MAX(IF((ProjectInfoTable[ProjectName]=ContinuousStatsTable[[#This Row],[ProjectName]]),(ProjectInfoTable[ProjectName]=ContinuousStatsTable[[#This Row],[ProjectName]])*ProjectInfoTable[ConfidenceInterval]))</f>
        <v>0.95</v>
      </c>
      <c r="R10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1096" s="5" cm="1">
        <f t="array" ref="S1096">MIN(IF((ContinuousStatsTable[GroupByKey]=ContinuousStatsTable[[#This Row],[GroupByKey]]),(ContinuousStatsTable[GroupByKey]=ContinuousStatsTable[[#This Row],[GroupByKey]])*ContinuousStatsTable[Average]))</f>
        <v>1.3305593103954101</v>
      </c>
      <c r="T1096" s="5" cm="1">
        <f t="array" ref="T1096">MAX(IF((ContinuousStatsTable[GroupByKey]=ContinuousStatsTable[[#This Row],[GroupByKey]]),(ContinuousStatsTable[GroupByKey]=ContinuousStatsTable[[#This Row],[GroupByKey]])*ContinuousStatsTable[Average]))</f>
        <v>29.356614544212601</v>
      </c>
      <c r="U1096" s="5">
        <f>IF((ContinuousStatsTable[[#This Row],[RepsRequested]]&gt;1),ContinuousStatsTable[[#This Row],[HalfWidth]],ContinuousStatsTable[[#This Row],[BatchMeansHalfWidth]])</f>
        <v>2.162177461749093</v>
      </c>
    </row>
    <row r="1097" spans="1:21" x14ac:dyDescent="0.3">
      <c r="A1097" t="s">
        <v>66</v>
      </c>
      <c r="B1097" t="s">
        <v>68</v>
      </c>
      <c r="C1097">
        <v>29</v>
      </c>
      <c r="D1097" t="s">
        <v>74</v>
      </c>
      <c r="E1097" t="s">
        <v>92</v>
      </c>
      <c r="F1097" t="s">
        <v>71</v>
      </c>
      <c r="G1097">
        <v>0</v>
      </c>
      <c r="H1097">
        <v>2E+20</v>
      </c>
      <c r="I1097">
        <v>0</v>
      </c>
      <c r="J1097">
        <v>0</v>
      </c>
      <c r="K1097">
        <v>0</v>
      </c>
      <c r="L1097">
        <v>0</v>
      </c>
      <c r="M1097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1097" s="5" cm="1">
        <f t="array" ref="N1097">MAX(IF((ProjectInfoTable[ProjectName]=ContinuousStatsTable[[#This Row],[ProjectName]]),(ProjectInfoTable[ProjectName]=ContinuousStatsTable[[#This Row],[ProjectName]])*ProjectInfoTable[NumberOfReplications]))</f>
        <v>30</v>
      </c>
      <c r="O1097" s="5" cm="1">
        <f t="array" ref="O1097">IFERROR(AVERAGE(IF((ContinuousStatsTable[GroupByKey]=ContinuousStatsTable[[#This Row],[GroupByKey]]),(ContinuousStatsTable[GroupByKey]=ContinuousStatsTable[[#This Row],[GroupByKey]])*ContinuousStatsTable[Average])),0)</f>
        <v>0</v>
      </c>
      <c r="P1097" s="5" cm="1">
        <f t="array" ref="P1097">IFERROR(_xlfn.STDEV.S(IF((ContinuousStatsTable[GroupByKey]=ContinuousStatsTable[[#This Row],[GroupByKey]]),(ContinuousStatsTable[GroupByKey]=ContinuousStatsTable[[#This Row],[GroupByKey]])*ContinuousStatsTable[Average])),0)</f>
        <v>0</v>
      </c>
      <c r="Q1097" s="5" cm="1">
        <f t="array" ref="Q1097">MAX(IF((ProjectInfoTable[ProjectName]=ContinuousStatsTable[[#This Row],[ProjectName]]),(ProjectInfoTable[ProjectName]=ContinuousStatsTable[[#This Row],[ProjectName]])*ProjectInfoTable[ConfidenceInterval]))</f>
        <v>0.95</v>
      </c>
      <c r="R10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7" s="5" cm="1">
        <f t="array" ref="S1097">MIN(IF((ContinuousStatsTable[GroupByKey]=ContinuousStatsTable[[#This Row],[GroupByKey]]),(ContinuousStatsTable[GroupByKey]=ContinuousStatsTable[[#This Row],[GroupByKey]])*ContinuousStatsTable[Average]))</f>
        <v>0</v>
      </c>
      <c r="T1097" s="5" cm="1">
        <f t="array" ref="T1097">MAX(IF((ContinuousStatsTable[GroupByKey]=ContinuousStatsTable[[#This Row],[GroupByKey]]),(ContinuousStatsTable[GroupByKey]=ContinuousStatsTable[[#This Row],[GroupByKey]])*ContinuousStatsTable[Average]))</f>
        <v>0</v>
      </c>
      <c r="U1097" s="5">
        <f>IF((ContinuousStatsTable[[#This Row],[RepsRequested]]&gt;1),ContinuousStatsTable[[#This Row],[HalfWidth]],ContinuousStatsTable[[#This Row],[BatchMeansHalfWidth]])</f>
        <v>0</v>
      </c>
    </row>
    <row r="1098" spans="1:21" x14ac:dyDescent="0.3">
      <c r="A1098" t="s">
        <v>66</v>
      </c>
      <c r="B1098" t="s">
        <v>68</v>
      </c>
      <c r="C1098">
        <v>29</v>
      </c>
      <c r="D1098" t="s">
        <v>75</v>
      </c>
      <c r="E1098" t="s">
        <v>92</v>
      </c>
      <c r="F1098" t="s">
        <v>71</v>
      </c>
      <c r="G1098">
        <v>0</v>
      </c>
      <c r="H1098">
        <v>2E+20</v>
      </c>
      <c r="I1098">
        <v>0</v>
      </c>
      <c r="J1098">
        <v>0</v>
      </c>
      <c r="K1098">
        <v>0</v>
      </c>
      <c r="L1098">
        <v>0</v>
      </c>
      <c r="M1098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1098" s="5" cm="1">
        <f t="array" ref="N1098">MAX(IF((ProjectInfoTable[ProjectName]=ContinuousStatsTable[[#This Row],[ProjectName]]),(ProjectInfoTable[ProjectName]=ContinuousStatsTable[[#This Row],[ProjectName]])*ProjectInfoTable[NumberOfReplications]))</f>
        <v>30</v>
      </c>
      <c r="O1098" s="5" cm="1">
        <f t="array" ref="O1098">IFERROR(AVERAGE(IF((ContinuousStatsTable[GroupByKey]=ContinuousStatsTable[[#This Row],[GroupByKey]]),(ContinuousStatsTable[GroupByKey]=ContinuousStatsTable[[#This Row],[GroupByKey]])*ContinuousStatsTable[Average])),0)</f>
        <v>0</v>
      </c>
      <c r="P1098" s="5" cm="1">
        <f t="array" ref="P1098">IFERROR(_xlfn.STDEV.S(IF((ContinuousStatsTable[GroupByKey]=ContinuousStatsTable[[#This Row],[GroupByKey]]),(ContinuousStatsTable[GroupByKey]=ContinuousStatsTable[[#This Row],[GroupByKey]])*ContinuousStatsTable[Average])),0)</f>
        <v>0</v>
      </c>
      <c r="Q1098" s="5" cm="1">
        <f t="array" ref="Q1098">MAX(IF((ProjectInfoTable[ProjectName]=ContinuousStatsTable[[#This Row],[ProjectName]]),(ProjectInfoTable[ProjectName]=ContinuousStatsTable[[#This Row],[ProjectName]])*ProjectInfoTable[ConfidenceInterval]))</f>
        <v>0.95</v>
      </c>
      <c r="R10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8" s="5" cm="1">
        <f t="array" ref="S1098">MIN(IF((ContinuousStatsTable[GroupByKey]=ContinuousStatsTable[[#This Row],[GroupByKey]]),(ContinuousStatsTable[GroupByKey]=ContinuousStatsTable[[#This Row],[GroupByKey]])*ContinuousStatsTable[Average]))</f>
        <v>0</v>
      </c>
      <c r="T1098" s="5" cm="1">
        <f t="array" ref="T1098">MAX(IF((ContinuousStatsTable[GroupByKey]=ContinuousStatsTable[[#This Row],[GroupByKey]]),(ContinuousStatsTable[GroupByKey]=ContinuousStatsTable[[#This Row],[GroupByKey]])*ContinuousStatsTable[Average]))</f>
        <v>0</v>
      </c>
      <c r="U1098" s="5">
        <f>IF((ContinuousStatsTable[[#This Row],[RepsRequested]]&gt;1),ContinuousStatsTable[[#This Row],[HalfWidth]],ContinuousStatsTable[[#This Row],[BatchMeansHalfWidth]])</f>
        <v>0</v>
      </c>
    </row>
    <row r="1099" spans="1:21" x14ac:dyDescent="0.3">
      <c r="A1099" t="s">
        <v>66</v>
      </c>
      <c r="B1099" t="s">
        <v>68</v>
      </c>
      <c r="C1099">
        <v>29</v>
      </c>
      <c r="D1099" t="s">
        <v>76</v>
      </c>
      <c r="E1099" t="s">
        <v>92</v>
      </c>
      <c r="F1099" t="s">
        <v>71</v>
      </c>
      <c r="G1099">
        <v>2.5948562473246399</v>
      </c>
      <c r="H1099">
        <v>2E+20</v>
      </c>
      <c r="I1099">
        <v>0</v>
      </c>
      <c r="J1099">
        <v>13</v>
      </c>
      <c r="K1099">
        <v>4</v>
      </c>
      <c r="L1099">
        <v>0</v>
      </c>
      <c r="M1099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1099" s="5" cm="1">
        <f t="array" ref="N1099">MAX(IF((ProjectInfoTable[ProjectName]=ContinuousStatsTable[[#This Row],[ProjectName]]),(ProjectInfoTable[ProjectName]=ContinuousStatsTable[[#This Row],[ProjectName]])*ProjectInfoTable[NumberOfReplications]))</f>
        <v>30</v>
      </c>
      <c r="O1099" s="5" cm="1">
        <f t="array" ref="O1099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1099" s="5" cm="1">
        <f t="array" ref="P1099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1099" s="5" cm="1">
        <f t="array" ref="Q1099">MAX(IF((ProjectInfoTable[ProjectName]=ContinuousStatsTable[[#This Row],[ProjectName]]),(ProjectInfoTable[ProjectName]=ContinuousStatsTable[[#This Row],[ProjectName]])*ProjectInfoTable[ConfidenceInterval]))</f>
        <v>0.95</v>
      </c>
      <c r="R10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1099" s="5" cm="1">
        <f t="array" ref="S1099">MIN(IF((ContinuousStatsTable[GroupByKey]=ContinuousStatsTable[[#This Row],[GroupByKey]]),(ContinuousStatsTable[GroupByKey]=ContinuousStatsTable[[#This Row],[GroupByKey]])*ContinuousStatsTable[Average]))</f>
        <v>4.5869485136026601E-2</v>
      </c>
      <c r="T1099" s="5" cm="1">
        <f t="array" ref="T1099">MAX(IF((ContinuousStatsTable[GroupByKey]=ContinuousStatsTable[[#This Row],[GroupByKey]]),(ContinuousStatsTable[GroupByKey]=ContinuousStatsTable[[#This Row],[GroupByKey]])*ContinuousStatsTable[Average]))</f>
        <v>4.1119263103435699</v>
      </c>
      <c r="U1099" s="5">
        <f>IF((ContinuousStatsTable[[#This Row],[RepsRequested]]&gt;1),ContinuousStatsTable[[#This Row],[HalfWidth]],ContinuousStatsTable[[#This Row],[BatchMeansHalfWidth]])</f>
        <v>0.43252967563899991</v>
      </c>
    </row>
    <row r="1100" spans="1:21" x14ac:dyDescent="0.3">
      <c r="A1100" t="s">
        <v>66</v>
      </c>
      <c r="B1100" t="s">
        <v>68</v>
      </c>
      <c r="C1100">
        <v>29</v>
      </c>
      <c r="D1100" t="s">
        <v>77</v>
      </c>
      <c r="E1100" t="s">
        <v>92</v>
      </c>
      <c r="F1100" t="s">
        <v>71</v>
      </c>
      <c r="G1100">
        <v>0</v>
      </c>
      <c r="H1100">
        <v>2E+20</v>
      </c>
      <c r="I1100">
        <v>0</v>
      </c>
      <c r="J1100">
        <v>0</v>
      </c>
      <c r="K1100">
        <v>0</v>
      </c>
      <c r="L1100">
        <v>0</v>
      </c>
      <c r="M1100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1100" s="5" cm="1">
        <f t="array" ref="N1100">MAX(IF((ProjectInfoTable[ProjectName]=ContinuousStatsTable[[#This Row],[ProjectName]]),(ProjectInfoTable[ProjectName]=ContinuousStatsTable[[#This Row],[ProjectName]])*ProjectInfoTable[NumberOfReplications]))</f>
        <v>30</v>
      </c>
      <c r="O1100" s="5" cm="1">
        <f t="array" ref="O1100">IFERROR(AVERAGE(IF((ContinuousStatsTable[GroupByKey]=ContinuousStatsTable[[#This Row],[GroupByKey]]),(ContinuousStatsTable[GroupByKey]=ContinuousStatsTable[[#This Row],[GroupByKey]])*ContinuousStatsTable[Average])),0)</f>
        <v>0</v>
      </c>
      <c r="P1100" s="5" cm="1">
        <f t="array" ref="P1100">IFERROR(_xlfn.STDEV.S(IF((ContinuousStatsTable[GroupByKey]=ContinuousStatsTable[[#This Row],[GroupByKey]]),(ContinuousStatsTable[GroupByKey]=ContinuousStatsTable[[#This Row],[GroupByKey]])*ContinuousStatsTable[Average])),0)</f>
        <v>0</v>
      </c>
      <c r="Q1100" s="5" cm="1">
        <f t="array" ref="Q1100">MAX(IF((ProjectInfoTable[ProjectName]=ContinuousStatsTable[[#This Row],[ProjectName]]),(ProjectInfoTable[ProjectName]=ContinuousStatsTable[[#This Row],[ProjectName]])*ProjectInfoTable[ConfidenceInterval]))</f>
        <v>0.95</v>
      </c>
      <c r="R1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0" s="5" cm="1">
        <f t="array" ref="S1100">MIN(IF((ContinuousStatsTable[GroupByKey]=ContinuousStatsTable[[#This Row],[GroupByKey]]),(ContinuousStatsTable[GroupByKey]=ContinuousStatsTable[[#This Row],[GroupByKey]])*ContinuousStatsTable[Average]))</f>
        <v>0</v>
      </c>
      <c r="T1100" s="5" cm="1">
        <f t="array" ref="T1100">MAX(IF((ContinuousStatsTable[GroupByKey]=ContinuousStatsTable[[#This Row],[GroupByKey]]),(ContinuousStatsTable[GroupByKey]=ContinuousStatsTable[[#This Row],[GroupByKey]])*ContinuousStatsTable[Average]))</f>
        <v>0</v>
      </c>
      <c r="U1100" s="5">
        <f>IF((ContinuousStatsTable[[#This Row],[RepsRequested]]&gt;1),ContinuousStatsTable[[#This Row],[HalfWidth]],ContinuousStatsTable[[#This Row],[BatchMeansHalfWidth]])</f>
        <v>0</v>
      </c>
    </row>
    <row r="1101" spans="1:21" x14ac:dyDescent="0.3">
      <c r="A1101" t="s">
        <v>66</v>
      </c>
      <c r="B1101" t="s">
        <v>68</v>
      </c>
      <c r="C1101">
        <v>29</v>
      </c>
      <c r="D1101" t="s">
        <v>78</v>
      </c>
      <c r="E1101" t="s">
        <v>92</v>
      </c>
      <c r="F1101" t="s">
        <v>71</v>
      </c>
      <c r="G1101">
        <v>0</v>
      </c>
      <c r="H1101">
        <v>2E+20</v>
      </c>
      <c r="I1101">
        <v>0</v>
      </c>
      <c r="J1101">
        <v>0</v>
      </c>
      <c r="K1101">
        <v>0</v>
      </c>
      <c r="L1101">
        <v>0</v>
      </c>
      <c r="M1101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1101" s="5" cm="1">
        <f t="array" ref="N1101">MAX(IF((ProjectInfoTable[ProjectName]=ContinuousStatsTable[[#This Row],[ProjectName]]),(ProjectInfoTable[ProjectName]=ContinuousStatsTable[[#This Row],[ProjectName]])*ProjectInfoTable[NumberOfReplications]))</f>
        <v>30</v>
      </c>
      <c r="O1101" s="5" cm="1">
        <f t="array" ref="O1101">IFERROR(AVERAGE(IF((ContinuousStatsTable[GroupByKey]=ContinuousStatsTable[[#This Row],[GroupByKey]]),(ContinuousStatsTable[GroupByKey]=ContinuousStatsTable[[#This Row],[GroupByKey]])*ContinuousStatsTable[Average])),0)</f>
        <v>0</v>
      </c>
      <c r="P1101" s="5" cm="1">
        <f t="array" ref="P1101">IFERROR(_xlfn.STDEV.S(IF((ContinuousStatsTable[GroupByKey]=ContinuousStatsTable[[#This Row],[GroupByKey]]),(ContinuousStatsTable[GroupByKey]=ContinuousStatsTable[[#This Row],[GroupByKey]])*ContinuousStatsTable[Average])),0)</f>
        <v>0</v>
      </c>
      <c r="Q1101" s="5" cm="1">
        <f t="array" ref="Q1101">MAX(IF((ProjectInfoTable[ProjectName]=ContinuousStatsTable[[#This Row],[ProjectName]]),(ProjectInfoTable[ProjectName]=ContinuousStatsTable[[#This Row],[ProjectName]])*ProjectInfoTable[ConfidenceInterval]))</f>
        <v>0.95</v>
      </c>
      <c r="R1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1" s="5" cm="1">
        <f t="array" ref="S1101">MIN(IF((ContinuousStatsTable[GroupByKey]=ContinuousStatsTable[[#This Row],[GroupByKey]]),(ContinuousStatsTable[GroupByKey]=ContinuousStatsTable[[#This Row],[GroupByKey]])*ContinuousStatsTable[Average]))</f>
        <v>0</v>
      </c>
      <c r="T1101" s="5" cm="1">
        <f t="array" ref="T1101">MAX(IF((ContinuousStatsTable[GroupByKey]=ContinuousStatsTable[[#This Row],[GroupByKey]]),(ContinuousStatsTable[GroupByKey]=ContinuousStatsTable[[#This Row],[GroupByKey]])*ContinuousStatsTable[Average]))</f>
        <v>0</v>
      </c>
      <c r="U1101" s="5">
        <f>IF((ContinuousStatsTable[[#This Row],[RepsRequested]]&gt;1),ContinuousStatsTable[[#This Row],[HalfWidth]],ContinuousStatsTable[[#This Row],[BatchMeansHalfWidth]])</f>
        <v>0</v>
      </c>
    </row>
    <row r="1102" spans="1:21" x14ac:dyDescent="0.3">
      <c r="A1102" t="s">
        <v>66</v>
      </c>
      <c r="B1102" t="s">
        <v>68</v>
      </c>
      <c r="C1102">
        <v>29</v>
      </c>
      <c r="D1102" t="s">
        <v>93</v>
      </c>
      <c r="E1102" t="s">
        <v>94</v>
      </c>
      <c r="F1102" t="s">
        <v>95</v>
      </c>
      <c r="G1102">
        <v>3.4010270879095E-2</v>
      </c>
      <c r="H1102">
        <v>2E+20</v>
      </c>
      <c r="I1102">
        <v>0</v>
      </c>
      <c r="J1102">
        <v>0.25</v>
      </c>
      <c r="K1102">
        <v>0.15</v>
      </c>
      <c r="L1102">
        <v>0</v>
      </c>
      <c r="M1102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1102" s="5" cm="1">
        <f t="array" ref="N1102">MAX(IF((ProjectInfoTable[ProjectName]=ContinuousStatsTable[[#This Row],[ProjectName]]),(ProjectInfoTable[ProjectName]=ContinuousStatsTable[[#This Row],[ProjectName]])*ProjectInfoTable[NumberOfReplications]))</f>
        <v>30</v>
      </c>
      <c r="O1102" s="5" cm="1">
        <f t="array" ref="O1102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1102" s="5" cm="1">
        <f t="array" ref="P1102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1102" s="5" cm="1">
        <f t="array" ref="Q1102">MAX(IF((ProjectInfoTable[ProjectName]=ContinuousStatsTable[[#This Row],[ProjectName]]),(ProjectInfoTable[ProjectName]=ContinuousStatsTable[[#This Row],[ProjectName]])*ProjectInfoTable[ConfidenceInterval]))</f>
        <v>0.95</v>
      </c>
      <c r="R1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1102" s="5" cm="1">
        <f t="array" ref="S1102">MIN(IF((ContinuousStatsTable[GroupByKey]=ContinuousStatsTable[[#This Row],[GroupByKey]]),(ContinuousStatsTable[GroupByKey]=ContinuousStatsTable[[#This Row],[GroupByKey]])*ContinuousStatsTable[Average]))</f>
        <v>2.3718114155243601E-2</v>
      </c>
      <c r="T1102" s="5" cm="1">
        <f t="array" ref="T1102">MAX(IF((ContinuousStatsTable[GroupByKey]=ContinuousStatsTable[[#This Row],[GroupByKey]]),(ContinuousStatsTable[GroupByKey]=ContinuousStatsTable[[#This Row],[GroupByKey]])*ContinuousStatsTable[Average]))</f>
        <v>4.8583931724403701E-2</v>
      </c>
      <c r="U1102" s="5">
        <f>IF((ContinuousStatsTable[[#This Row],[RepsRequested]]&gt;1),ContinuousStatsTable[[#This Row],[HalfWidth]],ContinuousStatsTable[[#This Row],[BatchMeansHalfWidth]])</f>
        <v>2.4839579632442289E-3</v>
      </c>
    </row>
    <row r="1103" spans="1:21" x14ac:dyDescent="0.3">
      <c r="A1103" t="s">
        <v>66</v>
      </c>
      <c r="B1103" t="s">
        <v>68</v>
      </c>
      <c r="C1103">
        <v>29</v>
      </c>
      <c r="D1103" t="s">
        <v>93</v>
      </c>
      <c r="E1103" t="s">
        <v>96</v>
      </c>
      <c r="F1103" t="s">
        <v>95</v>
      </c>
      <c r="G1103">
        <v>0.68020541758190001</v>
      </c>
      <c r="H1103">
        <v>2E+20</v>
      </c>
      <c r="I1103">
        <v>0</v>
      </c>
      <c r="J1103">
        <v>5</v>
      </c>
      <c r="K1103">
        <v>3</v>
      </c>
      <c r="L1103">
        <v>0</v>
      </c>
      <c r="M1103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1103" s="5" cm="1">
        <f t="array" ref="N1103">MAX(IF((ProjectInfoTable[ProjectName]=ContinuousStatsTable[[#This Row],[ProjectName]]),(ProjectInfoTable[ProjectName]=ContinuousStatsTable[[#This Row],[ProjectName]])*ProjectInfoTable[NumberOfReplications]))</f>
        <v>30</v>
      </c>
      <c r="O1103" s="5" cm="1">
        <f t="array" ref="O1103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1103" s="5" cm="1">
        <f t="array" ref="P1103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1103" s="5" cm="1">
        <f t="array" ref="Q1103">MAX(IF((ProjectInfoTable[ProjectName]=ContinuousStatsTable[[#This Row],[ProjectName]]),(ProjectInfoTable[ProjectName]=ContinuousStatsTable[[#This Row],[ProjectName]])*ProjectInfoTable[ConfidenceInterval]))</f>
        <v>0.95</v>
      </c>
      <c r="R1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1103" s="5" cm="1">
        <f t="array" ref="S1103">MIN(IF((ContinuousStatsTable[GroupByKey]=ContinuousStatsTable[[#This Row],[GroupByKey]]),(ContinuousStatsTable[GroupByKey]=ContinuousStatsTable[[#This Row],[GroupByKey]])*ContinuousStatsTable[Average]))</f>
        <v>0.47436228310487299</v>
      </c>
      <c r="T1103" s="5" cm="1">
        <f t="array" ref="T1103">MAX(IF((ContinuousStatsTable[GroupByKey]=ContinuousStatsTable[[#This Row],[GroupByKey]]),(ContinuousStatsTable[GroupByKey]=ContinuousStatsTable[[#This Row],[GroupByKey]])*ContinuousStatsTable[Average]))</f>
        <v>0.97167863448807401</v>
      </c>
      <c r="U1103" s="5">
        <f>IF((ContinuousStatsTable[[#This Row],[RepsRequested]]&gt;1),ContinuousStatsTable[[#This Row],[HalfWidth]],ContinuousStatsTable[[#This Row],[BatchMeansHalfWidth]])</f>
        <v>4.9679159264885281E-2</v>
      </c>
    </row>
    <row r="1104" spans="1:21" x14ac:dyDescent="0.3">
      <c r="A1104" t="s">
        <v>66</v>
      </c>
      <c r="B1104" t="s">
        <v>68</v>
      </c>
      <c r="C1104">
        <v>29</v>
      </c>
      <c r="D1104" t="s">
        <v>93</v>
      </c>
      <c r="E1104" t="s">
        <v>97</v>
      </c>
      <c r="F1104" t="s">
        <v>95</v>
      </c>
      <c r="G1104">
        <v>20</v>
      </c>
      <c r="H1104">
        <v>2E+20</v>
      </c>
      <c r="I1104">
        <v>20</v>
      </c>
      <c r="J1104">
        <v>20</v>
      </c>
      <c r="K1104">
        <v>20</v>
      </c>
      <c r="L1104">
        <v>0</v>
      </c>
      <c r="M1104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1104" s="5" cm="1">
        <f t="array" ref="N1104">MAX(IF((ProjectInfoTable[ProjectName]=ContinuousStatsTable[[#This Row],[ProjectName]]),(ProjectInfoTable[ProjectName]=ContinuousStatsTable[[#This Row],[ProjectName]])*ProjectInfoTable[NumberOfReplications]))</f>
        <v>30</v>
      </c>
      <c r="O1104" s="5" cm="1">
        <f t="array" ref="O1104">IFERROR(AVERAGE(IF((ContinuousStatsTable[GroupByKey]=ContinuousStatsTable[[#This Row],[GroupByKey]]),(ContinuousStatsTable[GroupByKey]=ContinuousStatsTable[[#This Row],[GroupByKey]])*ContinuousStatsTable[Average])),0)</f>
        <v>20</v>
      </c>
      <c r="P1104" s="5" cm="1">
        <f t="array" ref="P1104">IFERROR(_xlfn.STDEV.S(IF((ContinuousStatsTable[GroupByKey]=ContinuousStatsTable[[#This Row],[GroupByKey]]),(ContinuousStatsTable[GroupByKey]=ContinuousStatsTable[[#This Row],[GroupByKey]])*ContinuousStatsTable[Average])),0)</f>
        <v>0</v>
      </c>
      <c r="Q1104" s="5" cm="1">
        <f t="array" ref="Q1104">MAX(IF((ProjectInfoTable[ProjectName]=ContinuousStatsTable[[#This Row],[ProjectName]]),(ProjectInfoTable[ProjectName]=ContinuousStatsTable[[#This Row],[ProjectName]])*ProjectInfoTable[ConfidenceInterval]))</f>
        <v>0.95</v>
      </c>
      <c r="R1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4" s="5" cm="1">
        <f t="array" ref="S1104">MIN(IF((ContinuousStatsTable[GroupByKey]=ContinuousStatsTable[[#This Row],[GroupByKey]]),(ContinuousStatsTable[GroupByKey]=ContinuousStatsTable[[#This Row],[GroupByKey]])*ContinuousStatsTable[Average]))</f>
        <v>20</v>
      </c>
      <c r="T1104" s="5" cm="1">
        <f t="array" ref="T1104">MAX(IF((ContinuousStatsTable[GroupByKey]=ContinuousStatsTable[[#This Row],[GroupByKey]]),(ContinuousStatsTable[GroupByKey]=ContinuousStatsTable[[#This Row],[GroupByKey]])*ContinuousStatsTable[Average]))</f>
        <v>20</v>
      </c>
      <c r="U1104" s="5">
        <f>IF((ContinuousStatsTable[[#This Row],[RepsRequested]]&gt;1),ContinuousStatsTable[[#This Row],[HalfWidth]],ContinuousStatsTable[[#This Row],[BatchMeansHalfWidth]])</f>
        <v>0</v>
      </c>
    </row>
    <row r="1105" spans="1:21" x14ac:dyDescent="0.3">
      <c r="A1105" t="s">
        <v>66</v>
      </c>
      <c r="B1105" t="s">
        <v>68</v>
      </c>
      <c r="C1105">
        <v>29</v>
      </c>
      <c r="D1105" t="s">
        <v>98</v>
      </c>
      <c r="E1105" t="s">
        <v>94</v>
      </c>
      <c r="F1105" t="s">
        <v>95</v>
      </c>
      <c r="G1105">
        <v>0.27886186969291799</v>
      </c>
      <c r="H1105">
        <v>2E+20</v>
      </c>
      <c r="I1105">
        <v>0</v>
      </c>
      <c r="J1105">
        <v>0.7</v>
      </c>
      <c r="K1105">
        <v>0.3</v>
      </c>
      <c r="L1105">
        <v>0</v>
      </c>
      <c r="M1105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1105" s="5" cm="1">
        <f t="array" ref="N1105">MAX(IF((ProjectInfoTable[ProjectName]=ContinuousStatsTable[[#This Row],[ProjectName]]),(ProjectInfoTable[ProjectName]=ContinuousStatsTable[[#This Row],[ProjectName]])*ProjectInfoTable[NumberOfReplications]))</f>
        <v>30</v>
      </c>
      <c r="O1105" s="5" cm="1">
        <f t="array" ref="O1105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1105" s="5" cm="1">
        <f t="array" ref="P1105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1105" s="5" cm="1">
        <f t="array" ref="Q1105">MAX(IF((ProjectInfoTable[ProjectName]=ContinuousStatsTable[[#This Row],[ProjectName]]),(ProjectInfoTable[ProjectName]=ContinuousStatsTable[[#This Row],[ProjectName]])*ProjectInfoTable[ConfidenceInterval]))</f>
        <v>0.95</v>
      </c>
      <c r="R1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1105" s="5" cm="1">
        <f t="array" ref="S1105">MIN(IF((ContinuousStatsTable[GroupByKey]=ContinuousStatsTable[[#This Row],[GroupByKey]]),(ContinuousStatsTable[GroupByKey]=ContinuousStatsTable[[#This Row],[GroupByKey]])*ContinuousStatsTable[Average]))</f>
        <v>0.20767736113278101</v>
      </c>
      <c r="T1105" s="5" cm="1">
        <f t="array" ref="T1105">MAX(IF((ContinuousStatsTable[GroupByKey]=ContinuousStatsTable[[#This Row],[GroupByKey]]),(ContinuousStatsTable[GroupByKey]=ContinuousStatsTable[[#This Row],[GroupByKey]])*ContinuousStatsTable[Average]))</f>
        <v>0.28501162927715501</v>
      </c>
      <c r="U1105" s="5">
        <f>IF((ContinuousStatsTable[[#This Row],[RepsRequested]]&gt;1),ContinuousStatsTable[[#This Row],[HalfWidth]],ContinuousStatsTable[[#This Row],[BatchMeansHalfWidth]])</f>
        <v>8.7273384073404715E-3</v>
      </c>
    </row>
    <row r="1106" spans="1:21" x14ac:dyDescent="0.3">
      <c r="A1106" t="s">
        <v>66</v>
      </c>
      <c r="B1106" t="s">
        <v>68</v>
      </c>
      <c r="C1106">
        <v>29</v>
      </c>
      <c r="D1106" t="s">
        <v>98</v>
      </c>
      <c r="E1106" t="s">
        <v>96</v>
      </c>
      <c r="F1106" t="s">
        <v>95</v>
      </c>
      <c r="G1106">
        <v>5.5772373938583604</v>
      </c>
      <c r="H1106">
        <v>2E+20</v>
      </c>
      <c r="I1106">
        <v>0</v>
      </c>
      <c r="J1106">
        <v>14</v>
      </c>
      <c r="K1106">
        <v>6</v>
      </c>
      <c r="L1106">
        <v>0</v>
      </c>
      <c r="M1106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1106" s="5" cm="1">
        <f t="array" ref="N1106">MAX(IF((ProjectInfoTable[ProjectName]=ContinuousStatsTable[[#This Row],[ProjectName]]),(ProjectInfoTable[ProjectName]=ContinuousStatsTable[[#This Row],[ProjectName]])*ProjectInfoTable[NumberOfReplications]))</f>
        <v>30</v>
      </c>
      <c r="O1106" s="5" cm="1">
        <f t="array" ref="O1106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1106" s="5" cm="1">
        <f t="array" ref="P1106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1106" s="5" cm="1">
        <f t="array" ref="Q1106">MAX(IF((ProjectInfoTable[ProjectName]=ContinuousStatsTable[[#This Row],[ProjectName]]),(ProjectInfoTable[ProjectName]=ContinuousStatsTable[[#This Row],[ProjectName]])*ProjectInfoTable[ConfidenceInterval]))</f>
        <v>0.95</v>
      </c>
      <c r="R1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1106" s="5" cm="1">
        <f t="array" ref="S1106">MIN(IF((ContinuousStatsTable[GroupByKey]=ContinuousStatsTable[[#This Row],[GroupByKey]]),(ContinuousStatsTable[GroupByKey]=ContinuousStatsTable[[#This Row],[GroupByKey]])*ContinuousStatsTable[Average]))</f>
        <v>4.15354722265561</v>
      </c>
      <c r="T1106" s="5" cm="1">
        <f t="array" ref="T1106">MAX(IF((ContinuousStatsTable[GroupByKey]=ContinuousStatsTable[[#This Row],[GroupByKey]]),(ContinuousStatsTable[GroupByKey]=ContinuousStatsTable[[#This Row],[GroupByKey]])*ContinuousStatsTable[Average]))</f>
        <v>5.7002325855431097</v>
      </c>
      <c r="U1106" s="5">
        <f>IF((ContinuousStatsTable[[#This Row],[RepsRequested]]&gt;1),ContinuousStatsTable[[#This Row],[HalfWidth]],ContinuousStatsTable[[#This Row],[BatchMeansHalfWidth]])</f>
        <v>0.17454676814681078</v>
      </c>
    </row>
    <row r="1107" spans="1:21" x14ac:dyDescent="0.3">
      <c r="A1107" t="s">
        <v>66</v>
      </c>
      <c r="B1107" t="s">
        <v>68</v>
      </c>
      <c r="C1107">
        <v>29</v>
      </c>
      <c r="D1107" t="s">
        <v>98</v>
      </c>
      <c r="E1107" t="s">
        <v>97</v>
      </c>
      <c r="F1107" t="s">
        <v>95</v>
      </c>
      <c r="G1107">
        <v>20</v>
      </c>
      <c r="H1107">
        <v>2E+20</v>
      </c>
      <c r="I1107">
        <v>20</v>
      </c>
      <c r="J1107">
        <v>20</v>
      </c>
      <c r="K1107">
        <v>20</v>
      </c>
      <c r="L1107">
        <v>0</v>
      </c>
      <c r="M1107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1107" s="5" cm="1">
        <f t="array" ref="N1107">MAX(IF((ProjectInfoTable[ProjectName]=ContinuousStatsTable[[#This Row],[ProjectName]]),(ProjectInfoTable[ProjectName]=ContinuousStatsTable[[#This Row],[ProjectName]])*ProjectInfoTable[NumberOfReplications]))</f>
        <v>30</v>
      </c>
      <c r="O1107" s="5" cm="1">
        <f t="array" ref="O1107">IFERROR(AVERAGE(IF((ContinuousStatsTable[GroupByKey]=ContinuousStatsTable[[#This Row],[GroupByKey]]),(ContinuousStatsTable[GroupByKey]=ContinuousStatsTable[[#This Row],[GroupByKey]])*ContinuousStatsTable[Average])),0)</f>
        <v>20</v>
      </c>
      <c r="P1107" s="5" cm="1">
        <f t="array" ref="P1107">IFERROR(_xlfn.STDEV.S(IF((ContinuousStatsTable[GroupByKey]=ContinuousStatsTable[[#This Row],[GroupByKey]]),(ContinuousStatsTable[GroupByKey]=ContinuousStatsTable[[#This Row],[GroupByKey]])*ContinuousStatsTable[Average])),0)</f>
        <v>0</v>
      </c>
      <c r="Q1107" s="5" cm="1">
        <f t="array" ref="Q1107">MAX(IF((ProjectInfoTable[ProjectName]=ContinuousStatsTable[[#This Row],[ProjectName]]),(ProjectInfoTable[ProjectName]=ContinuousStatsTable[[#This Row],[ProjectName]])*ProjectInfoTable[ConfidenceInterval]))</f>
        <v>0.95</v>
      </c>
      <c r="R1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7" s="5" cm="1">
        <f t="array" ref="S1107">MIN(IF((ContinuousStatsTable[GroupByKey]=ContinuousStatsTable[[#This Row],[GroupByKey]]),(ContinuousStatsTable[GroupByKey]=ContinuousStatsTable[[#This Row],[GroupByKey]])*ContinuousStatsTable[Average]))</f>
        <v>20</v>
      </c>
      <c r="T1107" s="5" cm="1">
        <f t="array" ref="T1107">MAX(IF((ContinuousStatsTable[GroupByKey]=ContinuousStatsTable[[#This Row],[GroupByKey]]),(ContinuousStatsTable[GroupByKey]=ContinuousStatsTable[[#This Row],[GroupByKey]])*ContinuousStatsTable[Average]))</f>
        <v>20</v>
      </c>
      <c r="U1107" s="5">
        <f>IF((ContinuousStatsTable[[#This Row],[RepsRequested]]&gt;1),ContinuousStatsTable[[#This Row],[HalfWidth]],ContinuousStatsTable[[#This Row],[BatchMeansHalfWidth]])</f>
        <v>0</v>
      </c>
    </row>
    <row r="1108" spans="1:21" x14ac:dyDescent="0.3">
      <c r="A1108" t="s">
        <v>66</v>
      </c>
      <c r="B1108" t="s">
        <v>68</v>
      </c>
      <c r="C1108">
        <v>29</v>
      </c>
      <c r="D1108" t="s">
        <v>99</v>
      </c>
      <c r="E1108" t="s">
        <v>94</v>
      </c>
      <c r="F1108" t="s">
        <v>95</v>
      </c>
      <c r="G1108">
        <v>0.67770389283754395</v>
      </c>
      <c r="H1108">
        <v>2E+20</v>
      </c>
      <c r="I1108">
        <v>0</v>
      </c>
      <c r="J1108">
        <v>1</v>
      </c>
      <c r="K1108">
        <v>1</v>
      </c>
      <c r="L1108">
        <v>0</v>
      </c>
      <c r="M1108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1108" s="5" cm="1">
        <f t="array" ref="N1108">MAX(IF((ProjectInfoTable[ProjectName]=ContinuousStatsTable[[#This Row],[ProjectName]]),(ProjectInfoTable[ProjectName]=ContinuousStatsTable[[#This Row],[ProjectName]])*ProjectInfoTable[NumberOfReplications]))</f>
        <v>30</v>
      </c>
      <c r="O1108" s="5" cm="1">
        <f t="array" ref="O1108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1108" s="5" cm="1">
        <f t="array" ref="P1108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1108" s="5" cm="1">
        <f t="array" ref="Q1108">MAX(IF((ProjectInfoTable[ProjectName]=ContinuousStatsTable[[#This Row],[ProjectName]]),(ProjectInfoTable[ProjectName]=ContinuousStatsTable[[#This Row],[ProjectName]])*ProjectInfoTable[ConfidenceInterval]))</f>
        <v>0.95</v>
      </c>
      <c r="R1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1108" s="5" cm="1">
        <f t="array" ref="S1108">MIN(IF((ContinuousStatsTable[GroupByKey]=ContinuousStatsTable[[#This Row],[GroupByKey]]),(ContinuousStatsTable[GroupByKey]=ContinuousStatsTable[[#This Row],[GroupByKey]])*ContinuousStatsTable[Average]))</f>
        <v>0.517215348442703</v>
      </c>
      <c r="T1108" s="5" cm="1">
        <f t="array" ref="T1108">MAX(IF((ContinuousStatsTable[GroupByKey]=ContinuousStatsTable[[#This Row],[GroupByKey]]),(ContinuousStatsTable[GroupByKey]=ContinuousStatsTable[[#This Row],[GroupByKey]])*ContinuousStatsTable[Average]))</f>
        <v>0.67770389283754395</v>
      </c>
      <c r="U1108" s="5">
        <f>IF((ContinuousStatsTable[[#This Row],[RepsRequested]]&gt;1),ContinuousStatsTable[[#This Row],[HalfWidth]],ContinuousStatsTable[[#This Row],[BatchMeansHalfWidth]])</f>
        <v>1.8059192833960565E-2</v>
      </c>
    </row>
    <row r="1109" spans="1:21" x14ac:dyDescent="0.3">
      <c r="A1109" t="s">
        <v>66</v>
      </c>
      <c r="B1109" t="s">
        <v>68</v>
      </c>
      <c r="C1109">
        <v>29</v>
      </c>
      <c r="D1109" t="s">
        <v>99</v>
      </c>
      <c r="E1109" t="s">
        <v>96</v>
      </c>
      <c r="F1109" t="s">
        <v>95</v>
      </c>
      <c r="G1109">
        <v>6.7770389283754398</v>
      </c>
      <c r="H1109">
        <v>2E+20</v>
      </c>
      <c r="I1109">
        <v>0</v>
      </c>
      <c r="J1109">
        <v>10</v>
      </c>
      <c r="K1109">
        <v>10</v>
      </c>
      <c r="L1109">
        <v>0</v>
      </c>
      <c r="M1109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1109" s="5" cm="1">
        <f t="array" ref="N1109">MAX(IF((ProjectInfoTable[ProjectName]=ContinuousStatsTable[[#This Row],[ProjectName]]),(ProjectInfoTable[ProjectName]=ContinuousStatsTable[[#This Row],[ProjectName]])*ProjectInfoTable[NumberOfReplications]))</f>
        <v>30</v>
      </c>
      <c r="O1109" s="5" cm="1">
        <f t="array" ref="O1109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1109" s="5" cm="1">
        <f t="array" ref="P1109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1109" s="5" cm="1">
        <f t="array" ref="Q1109">MAX(IF((ProjectInfoTable[ProjectName]=ContinuousStatsTable[[#This Row],[ProjectName]]),(ProjectInfoTable[ProjectName]=ContinuousStatsTable[[#This Row],[ProjectName]])*ProjectInfoTable[ConfidenceInterval]))</f>
        <v>0.95</v>
      </c>
      <c r="R1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1109" s="5" cm="1">
        <f t="array" ref="S1109">MIN(IF((ContinuousStatsTable[GroupByKey]=ContinuousStatsTable[[#This Row],[GroupByKey]]),(ContinuousStatsTable[GroupByKey]=ContinuousStatsTable[[#This Row],[GroupByKey]])*ContinuousStatsTable[Average]))</f>
        <v>5.1721534844270298</v>
      </c>
      <c r="T1109" s="5" cm="1">
        <f t="array" ref="T1109">MAX(IF((ContinuousStatsTable[GroupByKey]=ContinuousStatsTable[[#This Row],[GroupByKey]]),(ContinuousStatsTable[GroupByKey]=ContinuousStatsTable[[#This Row],[GroupByKey]])*ContinuousStatsTable[Average]))</f>
        <v>6.7770389283754398</v>
      </c>
      <c r="U1109" s="5">
        <f>IF((ContinuousStatsTable[[#This Row],[RepsRequested]]&gt;1),ContinuousStatsTable[[#This Row],[HalfWidth]],ContinuousStatsTable[[#This Row],[BatchMeansHalfWidth]])</f>
        <v>0.18059192833960558</v>
      </c>
    </row>
    <row r="1110" spans="1:21" x14ac:dyDescent="0.3">
      <c r="A1110" t="s">
        <v>66</v>
      </c>
      <c r="B1110" t="s">
        <v>68</v>
      </c>
      <c r="C1110">
        <v>29</v>
      </c>
      <c r="D1110" t="s">
        <v>99</v>
      </c>
      <c r="E1110" t="s">
        <v>97</v>
      </c>
      <c r="F1110" t="s">
        <v>95</v>
      </c>
      <c r="G1110">
        <v>10</v>
      </c>
      <c r="H1110">
        <v>2E+20</v>
      </c>
      <c r="I1110">
        <v>10</v>
      </c>
      <c r="J1110">
        <v>10</v>
      </c>
      <c r="K1110">
        <v>10</v>
      </c>
      <c r="L1110">
        <v>0</v>
      </c>
      <c r="M1110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1110" s="5" cm="1">
        <f t="array" ref="N1110">MAX(IF((ProjectInfoTable[ProjectName]=ContinuousStatsTable[[#This Row],[ProjectName]]),(ProjectInfoTable[ProjectName]=ContinuousStatsTable[[#This Row],[ProjectName]])*ProjectInfoTable[NumberOfReplications]))</f>
        <v>30</v>
      </c>
      <c r="O1110" s="5" cm="1">
        <f t="array" ref="O1110">IFERROR(AVERAGE(IF((ContinuousStatsTable[GroupByKey]=ContinuousStatsTable[[#This Row],[GroupByKey]]),(ContinuousStatsTable[GroupByKey]=ContinuousStatsTable[[#This Row],[GroupByKey]])*ContinuousStatsTable[Average])),0)</f>
        <v>10</v>
      </c>
      <c r="P1110" s="5" cm="1">
        <f t="array" ref="P1110">IFERROR(_xlfn.STDEV.S(IF((ContinuousStatsTable[GroupByKey]=ContinuousStatsTable[[#This Row],[GroupByKey]]),(ContinuousStatsTable[GroupByKey]=ContinuousStatsTable[[#This Row],[GroupByKey]])*ContinuousStatsTable[Average])),0)</f>
        <v>0</v>
      </c>
      <c r="Q1110" s="5" cm="1">
        <f t="array" ref="Q1110">MAX(IF((ProjectInfoTable[ProjectName]=ContinuousStatsTable[[#This Row],[ProjectName]]),(ProjectInfoTable[ProjectName]=ContinuousStatsTable[[#This Row],[ProjectName]])*ProjectInfoTable[ConfidenceInterval]))</f>
        <v>0.95</v>
      </c>
      <c r="R1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0" s="5" cm="1">
        <f t="array" ref="S1110">MIN(IF((ContinuousStatsTable[GroupByKey]=ContinuousStatsTable[[#This Row],[GroupByKey]]),(ContinuousStatsTable[GroupByKey]=ContinuousStatsTable[[#This Row],[GroupByKey]])*ContinuousStatsTable[Average]))</f>
        <v>10</v>
      </c>
      <c r="T1110" s="5" cm="1">
        <f t="array" ref="T1110">MAX(IF((ContinuousStatsTable[GroupByKey]=ContinuousStatsTable[[#This Row],[GroupByKey]]),(ContinuousStatsTable[GroupByKey]=ContinuousStatsTable[[#This Row],[GroupByKey]])*ContinuousStatsTable[Average]))</f>
        <v>10</v>
      </c>
      <c r="U1110" s="5">
        <f>IF((ContinuousStatsTable[[#This Row],[RepsRequested]]&gt;1),ContinuousStatsTable[[#This Row],[HalfWidth]],ContinuousStatsTable[[#This Row],[BatchMeansHalfWidth]])</f>
        <v>0</v>
      </c>
    </row>
    <row r="1111" spans="1:21" x14ac:dyDescent="0.3">
      <c r="A1111" t="s">
        <v>66</v>
      </c>
      <c r="B1111" t="s">
        <v>68</v>
      </c>
      <c r="C1111">
        <v>29</v>
      </c>
      <c r="D1111" t="s">
        <v>100</v>
      </c>
      <c r="E1111" t="s">
        <v>94</v>
      </c>
      <c r="F1111" t="s">
        <v>95</v>
      </c>
      <c r="G1111">
        <v>0.19609322315655101</v>
      </c>
      <c r="H1111">
        <v>2E+20</v>
      </c>
      <c r="I1111">
        <v>0</v>
      </c>
      <c r="J1111">
        <v>0.42</v>
      </c>
      <c r="K1111">
        <v>0.26</v>
      </c>
      <c r="L1111">
        <v>0</v>
      </c>
      <c r="M1111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1111" s="5" cm="1">
        <f t="array" ref="N1111">MAX(IF((ProjectInfoTable[ProjectName]=ContinuousStatsTable[[#This Row],[ProjectName]]),(ProjectInfoTable[ProjectName]=ContinuousStatsTable[[#This Row],[ProjectName]])*ProjectInfoTable[NumberOfReplications]))</f>
        <v>30</v>
      </c>
      <c r="O1111" s="5" cm="1">
        <f t="array" ref="O1111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1111" s="5" cm="1">
        <f t="array" ref="P1111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1111" s="5" cm="1">
        <f t="array" ref="Q1111">MAX(IF((ProjectInfoTable[ProjectName]=ContinuousStatsTable[[#This Row],[ProjectName]]),(ProjectInfoTable[ProjectName]=ContinuousStatsTable[[#This Row],[ProjectName]])*ProjectInfoTable[ConfidenceInterval]))</f>
        <v>0.95</v>
      </c>
      <c r="R1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1111" s="5" cm="1">
        <f t="array" ref="S1111">MIN(IF((ContinuousStatsTable[GroupByKey]=ContinuousStatsTable[[#This Row],[GroupByKey]]),(ContinuousStatsTable[GroupByKey]=ContinuousStatsTable[[#This Row],[GroupByKey]])*ContinuousStatsTable[Average]))</f>
        <v>0.14484829778125299</v>
      </c>
      <c r="T1111" s="5" cm="1">
        <f t="array" ref="T1111">MAX(IF((ContinuousStatsTable[GroupByKey]=ContinuousStatsTable[[#This Row],[GroupByKey]]),(ContinuousStatsTable[GroupByKey]=ContinuousStatsTable[[#This Row],[GroupByKey]])*ContinuousStatsTable[Average]))</f>
        <v>0.19609322315655101</v>
      </c>
      <c r="U1111" s="5">
        <f>IF((ContinuousStatsTable[[#This Row],[RepsRequested]]&gt;1),ContinuousStatsTable[[#This Row],[HalfWidth]],ContinuousStatsTable[[#This Row],[BatchMeansHalfWidth]])</f>
        <v>4.9714113556225048E-3</v>
      </c>
    </row>
    <row r="1112" spans="1:21" x14ac:dyDescent="0.3">
      <c r="A1112" t="s">
        <v>66</v>
      </c>
      <c r="B1112" t="s">
        <v>68</v>
      </c>
      <c r="C1112">
        <v>29</v>
      </c>
      <c r="D1112" t="s">
        <v>100</v>
      </c>
      <c r="E1112" t="s">
        <v>96</v>
      </c>
      <c r="F1112" t="s">
        <v>95</v>
      </c>
      <c r="G1112">
        <v>9.8046611578275602</v>
      </c>
      <c r="H1112">
        <v>2E+20</v>
      </c>
      <c r="I1112">
        <v>0</v>
      </c>
      <c r="J1112">
        <v>21</v>
      </c>
      <c r="K1112">
        <v>13</v>
      </c>
      <c r="L1112">
        <v>0</v>
      </c>
      <c r="M1112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1112" s="5" cm="1">
        <f t="array" ref="N1112">MAX(IF((ProjectInfoTable[ProjectName]=ContinuousStatsTable[[#This Row],[ProjectName]]),(ProjectInfoTable[ProjectName]=ContinuousStatsTable[[#This Row],[ProjectName]])*ProjectInfoTable[NumberOfReplications]))</f>
        <v>30</v>
      </c>
      <c r="O1112" s="5" cm="1">
        <f t="array" ref="O1112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1112" s="5" cm="1">
        <f t="array" ref="P1112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1112" s="5" cm="1">
        <f t="array" ref="Q1112">MAX(IF((ProjectInfoTable[ProjectName]=ContinuousStatsTable[[#This Row],[ProjectName]]),(ProjectInfoTable[ProjectName]=ContinuousStatsTable[[#This Row],[ProjectName]])*ProjectInfoTable[ConfidenceInterval]))</f>
        <v>0.95</v>
      </c>
      <c r="R1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1112" s="5" cm="1">
        <f t="array" ref="S1112">MIN(IF((ContinuousStatsTable[GroupByKey]=ContinuousStatsTable[[#This Row],[GroupByKey]]),(ContinuousStatsTable[GroupByKey]=ContinuousStatsTable[[#This Row],[GroupByKey]])*ContinuousStatsTable[Average]))</f>
        <v>7.2424148890626396</v>
      </c>
      <c r="T1112" s="5" cm="1">
        <f t="array" ref="T1112">MAX(IF((ContinuousStatsTable[GroupByKey]=ContinuousStatsTable[[#This Row],[GroupByKey]]),(ContinuousStatsTable[GroupByKey]=ContinuousStatsTable[[#This Row],[GroupByKey]])*ContinuousStatsTable[Average]))</f>
        <v>9.8046611578275602</v>
      </c>
      <c r="U1112" s="5">
        <f>IF((ContinuousStatsTable[[#This Row],[RepsRequested]]&gt;1),ContinuousStatsTable[[#This Row],[HalfWidth]],ContinuousStatsTable[[#This Row],[BatchMeansHalfWidth]])</f>
        <v>0.24857056778112663</v>
      </c>
    </row>
    <row r="1113" spans="1:21" x14ac:dyDescent="0.3">
      <c r="A1113" t="s">
        <v>66</v>
      </c>
      <c r="B1113" t="s">
        <v>68</v>
      </c>
      <c r="C1113">
        <v>29</v>
      </c>
      <c r="D1113" t="s">
        <v>100</v>
      </c>
      <c r="E1113" t="s">
        <v>97</v>
      </c>
      <c r="F1113" t="s">
        <v>95</v>
      </c>
      <c r="G1113">
        <v>50</v>
      </c>
      <c r="H1113">
        <v>2E+20</v>
      </c>
      <c r="I1113">
        <v>50</v>
      </c>
      <c r="J1113">
        <v>50</v>
      </c>
      <c r="K1113">
        <v>50</v>
      </c>
      <c r="L1113">
        <v>0</v>
      </c>
      <c r="M1113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1113" s="5" cm="1">
        <f t="array" ref="N1113">MAX(IF((ProjectInfoTable[ProjectName]=ContinuousStatsTable[[#This Row],[ProjectName]]),(ProjectInfoTable[ProjectName]=ContinuousStatsTable[[#This Row],[ProjectName]])*ProjectInfoTable[NumberOfReplications]))</f>
        <v>30</v>
      </c>
      <c r="O1113" s="5" cm="1">
        <f t="array" ref="O1113">IFERROR(AVERAGE(IF((ContinuousStatsTable[GroupByKey]=ContinuousStatsTable[[#This Row],[GroupByKey]]),(ContinuousStatsTable[GroupByKey]=ContinuousStatsTable[[#This Row],[GroupByKey]])*ContinuousStatsTable[Average])),0)</f>
        <v>50</v>
      </c>
      <c r="P1113" s="5" cm="1">
        <f t="array" ref="P1113">IFERROR(_xlfn.STDEV.S(IF((ContinuousStatsTable[GroupByKey]=ContinuousStatsTable[[#This Row],[GroupByKey]]),(ContinuousStatsTable[GroupByKey]=ContinuousStatsTable[[#This Row],[GroupByKey]])*ContinuousStatsTable[Average])),0)</f>
        <v>0</v>
      </c>
      <c r="Q1113" s="5" cm="1">
        <f t="array" ref="Q1113">MAX(IF((ProjectInfoTable[ProjectName]=ContinuousStatsTable[[#This Row],[ProjectName]]),(ProjectInfoTable[ProjectName]=ContinuousStatsTable[[#This Row],[ProjectName]])*ProjectInfoTable[ConfidenceInterval]))</f>
        <v>0.95</v>
      </c>
      <c r="R1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3" s="5" cm="1">
        <f t="array" ref="S1113">MIN(IF((ContinuousStatsTable[GroupByKey]=ContinuousStatsTable[[#This Row],[GroupByKey]]),(ContinuousStatsTable[GroupByKey]=ContinuousStatsTable[[#This Row],[GroupByKey]])*ContinuousStatsTable[Average]))</f>
        <v>50</v>
      </c>
      <c r="T1113" s="5" cm="1">
        <f t="array" ref="T1113">MAX(IF((ContinuousStatsTable[GroupByKey]=ContinuousStatsTable[[#This Row],[GroupByKey]]),(ContinuousStatsTable[GroupByKey]=ContinuousStatsTable[[#This Row],[GroupByKey]])*ContinuousStatsTable[Average]))</f>
        <v>50</v>
      </c>
      <c r="U1113" s="5">
        <f>IF((ContinuousStatsTable[[#This Row],[RepsRequested]]&gt;1),ContinuousStatsTable[[#This Row],[HalfWidth]],ContinuousStatsTable[[#This Row],[BatchMeansHalfWidth]])</f>
        <v>0</v>
      </c>
    </row>
    <row r="1114" spans="1:21" x14ac:dyDescent="0.3">
      <c r="A1114" t="s">
        <v>66</v>
      </c>
      <c r="B1114" t="s">
        <v>68</v>
      </c>
      <c r="C1114">
        <v>29</v>
      </c>
      <c r="D1114" t="s">
        <v>101</v>
      </c>
      <c r="E1114" t="s">
        <v>94</v>
      </c>
      <c r="F1114" t="s">
        <v>95</v>
      </c>
      <c r="G1114">
        <v>0.102703645067248</v>
      </c>
      <c r="H1114">
        <v>2E+20</v>
      </c>
      <c r="I1114">
        <v>0</v>
      </c>
      <c r="J1114">
        <v>0.46666666666666701</v>
      </c>
      <c r="K1114">
        <v>0.266666666666667</v>
      </c>
      <c r="L1114">
        <v>0</v>
      </c>
      <c r="M1114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1114" s="5" cm="1">
        <f t="array" ref="N1114">MAX(IF((ProjectInfoTable[ProjectName]=ContinuousStatsTable[[#This Row],[ProjectName]]),(ProjectInfoTable[ProjectName]=ContinuousStatsTable[[#This Row],[ProjectName]])*ProjectInfoTable[NumberOfReplications]))</f>
        <v>30</v>
      </c>
      <c r="O1114" s="5" cm="1">
        <f t="array" ref="O1114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1114" s="5" cm="1">
        <f t="array" ref="P1114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1114" s="5" cm="1">
        <f t="array" ref="Q1114">MAX(IF((ProjectInfoTable[ProjectName]=ContinuousStatsTable[[#This Row],[ProjectName]]),(ProjectInfoTable[ProjectName]=ContinuousStatsTable[[#This Row],[ProjectName]])*ProjectInfoTable[ConfidenceInterval]))</f>
        <v>0.95</v>
      </c>
      <c r="R1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1114" s="5" cm="1">
        <f t="array" ref="S1114">MIN(IF((ContinuousStatsTable[GroupByKey]=ContinuousStatsTable[[#This Row],[GroupByKey]]),(ContinuousStatsTable[GroupByKey]=ContinuousStatsTable[[#This Row],[GroupByKey]])*ContinuousStatsTable[Average]))</f>
        <v>7.4778736536586704E-2</v>
      </c>
      <c r="T1114" s="5" cm="1">
        <f t="array" ref="T1114">MAX(IF((ContinuousStatsTable[GroupByKey]=ContinuousStatsTable[[#This Row],[GroupByKey]]),(ContinuousStatsTable[GroupByKey]=ContinuousStatsTable[[#This Row],[GroupByKey]])*ContinuousStatsTable[Average]))</f>
        <v>0.111025455742452</v>
      </c>
      <c r="U1114" s="5">
        <f>IF((ContinuousStatsTable[[#This Row],[RepsRequested]]&gt;1),ContinuousStatsTable[[#This Row],[HalfWidth]],ContinuousStatsTable[[#This Row],[BatchMeansHalfWidth]])</f>
        <v>4.1821462690338805E-3</v>
      </c>
    </row>
    <row r="1115" spans="1:21" x14ac:dyDescent="0.3">
      <c r="A1115" t="s">
        <v>66</v>
      </c>
      <c r="B1115" t="s">
        <v>68</v>
      </c>
      <c r="C1115">
        <v>29</v>
      </c>
      <c r="D1115" t="s">
        <v>101</v>
      </c>
      <c r="E1115" t="s">
        <v>96</v>
      </c>
      <c r="F1115" t="s">
        <v>95</v>
      </c>
      <c r="G1115">
        <v>1.5405546760087201</v>
      </c>
      <c r="H1115">
        <v>2E+20</v>
      </c>
      <c r="I1115">
        <v>0</v>
      </c>
      <c r="J1115">
        <v>7</v>
      </c>
      <c r="K1115">
        <v>4</v>
      </c>
      <c r="L1115">
        <v>0</v>
      </c>
      <c r="M1115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1115" s="5" cm="1">
        <f t="array" ref="N1115">MAX(IF((ProjectInfoTable[ProjectName]=ContinuousStatsTable[[#This Row],[ProjectName]]),(ProjectInfoTable[ProjectName]=ContinuousStatsTable[[#This Row],[ProjectName]])*ProjectInfoTable[NumberOfReplications]))</f>
        <v>30</v>
      </c>
      <c r="O1115" s="5" cm="1">
        <f t="array" ref="O1115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1115" s="5" cm="1">
        <f t="array" ref="P1115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1115" s="5" cm="1">
        <f t="array" ref="Q1115">MAX(IF((ProjectInfoTable[ProjectName]=ContinuousStatsTable[[#This Row],[ProjectName]]),(ProjectInfoTable[ProjectName]=ContinuousStatsTable[[#This Row],[ProjectName]])*ProjectInfoTable[ConfidenceInterval]))</f>
        <v>0.95</v>
      </c>
      <c r="R1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1115" s="5" cm="1">
        <f t="array" ref="S1115">MIN(IF((ContinuousStatsTable[GroupByKey]=ContinuousStatsTable[[#This Row],[GroupByKey]]),(ContinuousStatsTable[GroupByKey]=ContinuousStatsTable[[#This Row],[GroupByKey]])*ContinuousStatsTable[Average]))</f>
        <v>1.1216810480488</v>
      </c>
      <c r="T1115" s="5" cm="1">
        <f t="array" ref="T1115">MAX(IF((ContinuousStatsTable[GroupByKey]=ContinuousStatsTable[[#This Row],[GroupByKey]]),(ContinuousStatsTable[GroupByKey]=ContinuousStatsTable[[#This Row],[GroupByKey]])*ContinuousStatsTable[Average]))</f>
        <v>1.66538183613678</v>
      </c>
      <c r="U1115" s="5">
        <f>IF((ContinuousStatsTable[[#This Row],[RepsRequested]]&gt;1),ContinuousStatsTable[[#This Row],[HalfWidth]],ContinuousStatsTable[[#This Row],[BatchMeansHalfWidth]])</f>
        <v>6.2732194035507963E-2</v>
      </c>
    </row>
    <row r="1116" spans="1:21" x14ac:dyDescent="0.3">
      <c r="A1116" t="s">
        <v>66</v>
      </c>
      <c r="B1116" t="s">
        <v>68</v>
      </c>
      <c r="C1116">
        <v>29</v>
      </c>
      <c r="D1116" t="s">
        <v>101</v>
      </c>
      <c r="E1116" t="s">
        <v>97</v>
      </c>
      <c r="F1116" t="s">
        <v>95</v>
      </c>
      <c r="G1116">
        <v>15</v>
      </c>
      <c r="H1116">
        <v>2E+20</v>
      </c>
      <c r="I1116">
        <v>15</v>
      </c>
      <c r="J1116">
        <v>15</v>
      </c>
      <c r="K1116">
        <v>15</v>
      </c>
      <c r="L1116">
        <v>0</v>
      </c>
      <c r="M1116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1116" s="5" cm="1">
        <f t="array" ref="N1116">MAX(IF((ProjectInfoTable[ProjectName]=ContinuousStatsTable[[#This Row],[ProjectName]]),(ProjectInfoTable[ProjectName]=ContinuousStatsTable[[#This Row],[ProjectName]])*ProjectInfoTable[NumberOfReplications]))</f>
        <v>30</v>
      </c>
      <c r="O1116" s="5" cm="1">
        <f t="array" ref="O1116">IFERROR(AVERAGE(IF((ContinuousStatsTable[GroupByKey]=ContinuousStatsTable[[#This Row],[GroupByKey]]),(ContinuousStatsTable[GroupByKey]=ContinuousStatsTable[[#This Row],[GroupByKey]])*ContinuousStatsTable[Average])),0)</f>
        <v>15</v>
      </c>
      <c r="P1116" s="5" cm="1">
        <f t="array" ref="P1116">IFERROR(_xlfn.STDEV.S(IF((ContinuousStatsTable[GroupByKey]=ContinuousStatsTable[[#This Row],[GroupByKey]]),(ContinuousStatsTable[GroupByKey]=ContinuousStatsTable[[#This Row],[GroupByKey]])*ContinuousStatsTable[Average])),0)</f>
        <v>0</v>
      </c>
      <c r="Q1116" s="5" cm="1">
        <f t="array" ref="Q1116">MAX(IF((ProjectInfoTable[ProjectName]=ContinuousStatsTable[[#This Row],[ProjectName]]),(ProjectInfoTable[ProjectName]=ContinuousStatsTable[[#This Row],[ProjectName]])*ProjectInfoTable[ConfidenceInterval]))</f>
        <v>0.95</v>
      </c>
      <c r="R1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6" s="5" cm="1">
        <f t="array" ref="S1116">MIN(IF((ContinuousStatsTable[GroupByKey]=ContinuousStatsTable[[#This Row],[GroupByKey]]),(ContinuousStatsTable[GroupByKey]=ContinuousStatsTable[[#This Row],[GroupByKey]])*ContinuousStatsTable[Average]))</f>
        <v>15</v>
      </c>
      <c r="T1116" s="5" cm="1">
        <f t="array" ref="T1116">MAX(IF((ContinuousStatsTable[GroupByKey]=ContinuousStatsTable[[#This Row],[GroupByKey]]),(ContinuousStatsTable[GroupByKey]=ContinuousStatsTable[[#This Row],[GroupByKey]])*ContinuousStatsTable[Average]))</f>
        <v>15</v>
      </c>
      <c r="U1116" s="5">
        <f>IF((ContinuousStatsTable[[#This Row],[RepsRequested]]&gt;1),ContinuousStatsTable[[#This Row],[HalfWidth]],ContinuousStatsTable[[#This Row],[BatchMeansHalfWidth]])</f>
        <v>0</v>
      </c>
    </row>
    <row r="1117" spans="1:21" x14ac:dyDescent="0.3">
      <c r="A1117" t="s">
        <v>66</v>
      </c>
      <c r="B1117" t="s">
        <v>68</v>
      </c>
      <c r="C1117">
        <v>29</v>
      </c>
      <c r="D1117" t="s">
        <v>102</v>
      </c>
      <c r="E1117" t="s">
        <v>94</v>
      </c>
      <c r="F1117" t="s">
        <v>95</v>
      </c>
      <c r="G1117">
        <v>0.88608279984970695</v>
      </c>
      <c r="H1117">
        <v>2E+20</v>
      </c>
      <c r="I1117">
        <v>0</v>
      </c>
      <c r="J1117">
        <v>1</v>
      </c>
      <c r="K1117">
        <v>0</v>
      </c>
      <c r="L1117">
        <v>0</v>
      </c>
      <c r="M1117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1117" s="5" cm="1">
        <f t="array" ref="N1117">MAX(IF((ProjectInfoTable[ProjectName]=ContinuousStatsTable[[#This Row],[ProjectName]]),(ProjectInfoTable[ProjectName]=ContinuousStatsTable[[#This Row],[ProjectName]])*ProjectInfoTable[NumberOfReplications]))</f>
        <v>30</v>
      </c>
      <c r="O1117" s="5" cm="1">
        <f t="array" ref="O1117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1117" s="5" cm="1">
        <f t="array" ref="P1117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1117" s="5" cm="1">
        <f t="array" ref="Q1117">MAX(IF((ProjectInfoTable[ProjectName]=ContinuousStatsTable[[#This Row],[ProjectName]]),(ProjectInfoTable[ProjectName]=ContinuousStatsTable[[#This Row],[ProjectName]])*ProjectInfoTable[ConfidenceInterval]))</f>
        <v>0.95</v>
      </c>
      <c r="R1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1117" s="5" cm="1">
        <f t="array" ref="S1117">MIN(IF((ContinuousStatsTable[GroupByKey]=ContinuousStatsTable[[#This Row],[GroupByKey]]),(ContinuousStatsTable[GroupByKey]=ContinuousStatsTable[[#This Row],[GroupByKey]])*ContinuousStatsTable[Average]))</f>
        <v>0.73673947391417804</v>
      </c>
      <c r="T1117" s="5" cm="1">
        <f t="array" ref="T1117">MAX(IF((ContinuousStatsTable[GroupByKey]=ContinuousStatsTable[[#This Row],[GroupByKey]]),(ContinuousStatsTable[GroupByKey]=ContinuousStatsTable[[#This Row],[GroupByKey]])*ContinuousStatsTable[Average]))</f>
        <v>0.90592850818388704</v>
      </c>
      <c r="U1117" s="5">
        <f>IF((ContinuousStatsTable[[#This Row],[RepsRequested]]&gt;1),ContinuousStatsTable[[#This Row],[HalfWidth]],ContinuousStatsTable[[#This Row],[BatchMeansHalfWidth]])</f>
        <v>1.8636241798384946E-2</v>
      </c>
    </row>
    <row r="1118" spans="1:21" x14ac:dyDescent="0.3">
      <c r="A1118" t="s">
        <v>66</v>
      </c>
      <c r="B1118" t="s">
        <v>68</v>
      </c>
      <c r="C1118">
        <v>29</v>
      </c>
      <c r="D1118" t="s">
        <v>102</v>
      </c>
      <c r="E1118" t="s">
        <v>96</v>
      </c>
      <c r="F1118" t="s">
        <v>95</v>
      </c>
      <c r="G1118">
        <v>1.75169066912833</v>
      </c>
      <c r="H1118">
        <v>2E+20</v>
      </c>
      <c r="I1118">
        <v>0</v>
      </c>
      <c r="J1118">
        <v>3</v>
      </c>
      <c r="K1118">
        <v>0</v>
      </c>
      <c r="L1118">
        <v>0</v>
      </c>
      <c r="M1118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1118" s="5" cm="1">
        <f t="array" ref="N1118">MAX(IF((ProjectInfoTable[ProjectName]=ContinuousStatsTable[[#This Row],[ProjectName]]),(ProjectInfoTable[ProjectName]=ContinuousStatsTable[[#This Row],[ProjectName]])*ProjectInfoTable[NumberOfReplications]))</f>
        <v>30</v>
      </c>
      <c r="O1118" s="5" cm="1">
        <f t="array" ref="O1118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1118" s="5" cm="1">
        <f t="array" ref="P1118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1118" s="5" cm="1">
        <f t="array" ref="Q1118">MAX(IF((ProjectInfoTable[ProjectName]=ContinuousStatsTable[[#This Row],[ProjectName]]),(ProjectInfoTable[ProjectName]=ContinuousStatsTable[[#This Row],[ProjectName]])*ProjectInfoTable[ConfidenceInterval]))</f>
        <v>0.95</v>
      </c>
      <c r="R1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1118" s="5" cm="1">
        <f t="array" ref="S1118">MIN(IF((ContinuousStatsTable[GroupByKey]=ContinuousStatsTable[[#This Row],[GroupByKey]]),(ContinuousStatsTable[GroupByKey]=ContinuousStatsTable[[#This Row],[GroupByKey]])*ContinuousStatsTable[Average]))</f>
        <v>1.3726163545041801</v>
      </c>
      <c r="T1118" s="5" cm="1">
        <f t="array" ref="T1118">MAX(IF((ContinuousStatsTable[GroupByKey]=ContinuousStatsTable[[#This Row],[GroupByKey]]),(ContinuousStatsTable[GroupByKey]=ContinuousStatsTable[[#This Row],[GroupByKey]])*ContinuousStatsTable[Average]))</f>
        <v>1.7968913949876599</v>
      </c>
      <c r="U1118" s="5">
        <f>IF((ContinuousStatsTable[[#This Row],[RepsRequested]]&gt;1),ContinuousStatsTable[[#This Row],[HalfWidth]],ContinuousStatsTable[[#This Row],[BatchMeansHalfWidth]])</f>
        <v>4.3123628688677348E-2</v>
      </c>
    </row>
    <row r="1119" spans="1:21" x14ac:dyDescent="0.3">
      <c r="A1119" t="s">
        <v>66</v>
      </c>
      <c r="B1119" t="s">
        <v>68</v>
      </c>
      <c r="C1119">
        <v>29</v>
      </c>
      <c r="D1119" t="s">
        <v>102</v>
      </c>
      <c r="E1119" t="s">
        <v>97</v>
      </c>
      <c r="F1119" t="s">
        <v>95</v>
      </c>
      <c r="G1119">
        <v>2</v>
      </c>
      <c r="H1119">
        <v>2E+20</v>
      </c>
      <c r="I1119">
        <v>1</v>
      </c>
      <c r="J1119">
        <v>3</v>
      </c>
      <c r="K1119">
        <v>1</v>
      </c>
      <c r="L1119">
        <v>0</v>
      </c>
      <c r="M1119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1119" s="5" cm="1">
        <f t="array" ref="N1119">MAX(IF((ProjectInfoTable[ProjectName]=ContinuousStatsTable[[#This Row],[ProjectName]]),(ProjectInfoTable[ProjectName]=ContinuousStatsTable[[#This Row],[ProjectName]])*ProjectInfoTable[NumberOfReplications]))</f>
        <v>30</v>
      </c>
      <c r="O1119" s="5" cm="1">
        <f t="array" ref="O1119">IFERROR(AVERAGE(IF((ContinuousStatsTable[GroupByKey]=ContinuousStatsTable[[#This Row],[GroupByKey]]),(ContinuousStatsTable[GroupByKey]=ContinuousStatsTable[[#This Row],[GroupByKey]])*ContinuousStatsTable[Average])),0)</f>
        <v>2</v>
      </c>
      <c r="P1119" s="5" cm="1">
        <f t="array" ref="P1119">IFERROR(_xlfn.STDEV.S(IF((ContinuousStatsTable[GroupByKey]=ContinuousStatsTable[[#This Row],[GroupByKey]]),(ContinuousStatsTable[GroupByKey]=ContinuousStatsTable[[#This Row],[GroupByKey]])*ContinuousStatsTable[Average])),0)</f>
        <v>0</v>
      </c>
      <c r="Q1119" s="5" cm="1">
        <f t="array" ref="Q1119">MAX(IF((ProjectInfoTable[ProjectName]=ContinuousStatsTable[[#This Row],[ProjectName]]),(ProjectInfoTable[ProjectName]=ContinuousStatsTable[[#This Row],[ProjectName]])*ProjectInfoTable[ConfidenceInterval]))</f>
        <v>0.95</v>
      </c>
      <c r="R1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9" s="5" cm="1">
        <f t="array" ref="S1119">MIN(IF((ContinuousStatsTable[GroupByKey]=ContinuousStatsTable[[#This Row],[GroupByKey]]),(ContinuousStatsTable[GroupByKey]=ContinuousStatsTable[[#This Row],[GroupByKey]])*ContinuousStatsTable[Average]))</f>
        <v>2</v>
      </c>
      <c r="T1119" s="5" cm="1">
        <f t="array" ref="T1119">MAX(IF((ContinuousStatsTable[GroupByKey]=ContinuousStatsTable[[#This Row],[GroupByKey]]),(ContinuousStatsTable[GroupByKey]=ContinuousStatsTable[[#This Row],[GroupByKey]])*ContinuousStatsTable[Average]))</f>
        <v>2</v>
      </c>
      <c r="U1119" s="5">
        <f>IF((ContinuousStatsTable[[#This Row],[RepsRequested]]&gt;1),ContinuousStatsTable[[#This Row],[HalfWidth]],ContinuousStatsTable[[#This Row],[BatchMeansHalfWidth]])</f>
        <v>0</v>
      </c>
    </row>
    <row r="1120" spans="1:21" x14ac:dyDescent="0.3">
      <c r="A1120" t="s">
        <v>66</v>
      </c>
      <c r="B1120" t="s">
        <v>68</v>
      </c>
      <c r="C1120">
        <v>29</v>
      </c>
      <c r="D1120" t="s">
        <v>84</v>
      </c>
      <c r="E1120" t="s">
        <v>103</v>
      </c>
      <c r="F1120" t="s">
        <v>86</v>
      </c>
      <c r="G1120">
        <v>60.571266192406</v>
      </c>
      <c r="H1120">
        <v>2E+20</v>
      </c>
      <c r="I1120">
        <v>0</v>
      </c>
      <c r="J1120">
        <v>83</v>
      </c>
      <c r="K1120">
        <v>67</v>
      </c>
      <c r="L1120">
        <v>0</v>
      </c>
      <c r="M1120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1120" s="5" cm="1">
        <f t="array" ref="N1120">MAX(IF((ProjectInfoTable[ProjectName]=ContinuousStatsTable[[#This Row],[ProjectName]]),(ProjectInfoTable[ProjectName]=ContinuousStatsTable[[#This Row],[ProjectName]])*ProjectInfoTable[NumberOfReplications]))</f>
        <v>30</v>
      </c>
      <c r="O1120" s="5" cm="1">
        <f t="array" ref="O1120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1120" s="5" cm="1">
        <f t="array" ref="P1120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1120" s="5" cm="1">
        <f t="array" ref="Q1120">MAX(IF((ProjectInfoTable[ProjectName]=ContinuousStatsTable[[#This Row],[ProjectName]]),(ProjectInfoTable[ProjectName]=ContinuousStatsTable[[#This Row],[ProjectName]])*ProjectInfoTable[ConfidenceInterval]))</f>
        <v>0.95</v>
      </c>
      <c r="R1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1120" s="5" cm="1">
        <f t="array" ref="S1120">MIN(IF((ContinuousStatsTable[GroupByKey]=ContinuousStatsTable[[#This Row],[GroupByKey]]),(ContinuousStatsTable[GroupByKey]=ContinuousStatsTable[[#This Row],[GroupByKey]])*ContinuousStatsTable[Average]))</f>
        <v>36.709886237305</v>
      </c>
      <c r="T1120" s="5" cm="1">
        <f t="array" ref="T1120">MAX(IF((ContinuousStatsTable[GroupByKey]=ContinuousStatsTable[[#This Row],[GroupByKey]]),(ContinuousStatsTable[GroupByKey]=ContinuousStatsTable[[#This Row],[GroupByKey]])*ContinuousStatsTable[Average]))</f>
        <v>84.594951996708403</v>
      </c>
      <c r="U1120" s="5">
        <f>IF((ContinuousStatsTable[[#This Row],[RepsRequested]]&gt;1),ContinuousStatsTable[[#This Row],[HalfWidth]],ContinuousStatsTable[[#This Row],[BatchMeansHalfWidth]])</f>
        <v>4.0384933567271259</v>
      </c>
    </row>
    <row r="1121" spans="1:21" x14ac:dyDescent="0.3">
      <c r="A1121" t="s">
        <v>66</v>
      </c>
      <c r="B1121" t="s">
        <v>68</v>
      </c>
      <c r="C1121">
        <v>29</v>
      </c>
      <c r="D1121" t="s">
        <v>104</v>
      </c>
      <c r="E1121" t="s">
        <v>94</v>
      </c>
      <c r="F1121" t="s">
        <v>95</v>
      </c>
      <c r="G1121">
        <v>0</v>
      </c>
      <c r="H1121">
        <v>2E+20</v>
      </c>
      <c r="I1121">
        <v>0</v>
      </c>
      <c r="J1121">
        <v>0</v>
      </c>
      <c r="K1121">
        <v>0</v>
      </c>
      <c r="L1121">
        <v>0</v>
      </c>
      <c r="M1121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1121" s="5" cm="1">
        <f t="array" ref="N1121">MAX(IF((ProjectInfoTable[ProjectName]=ContinuousStatsTable[[#This Row],[ProjectName]]),(ProjectInfoTable[ProjectName]=ContinuousStatsTable[[#This Row],[ProjectName]])*ProjectInfoTable[NumberOfReplications]))</f>
        <v>30</v>
      </c>
      <c r="O1121" s="5" cm="1">
        <f t="array" ref="O1121">IFERROR(AVERAGE(IF((ContinuousStatsTable[GroupByKey]=ContinuousStatsTable[[#This Row],[GroupByKey]]),(ContinuousStatsTable[GroupByKey]=ContinuousStatsTable[[#This Row],[GroupByKey]])*ContinuousStatsTable[Average])),0)</f>
        <v>0</v>
      </c>
      <c r="P1121" s="5" cm="1">
        <f t="array" ref="P1121">IFERROR(_xlfn.STDEV.S(IF((ContinuousStatsTable[GroupByKey]=ContinuousStatsTable[[#This Row],[GroupByKey]]),(ContinuousStatsTable[GroupByKey]=ContinuousStatsTable[[#This Row],[GroupByKey]])*ContinuousStatsTable[Average])),0)</f>
        <v>0</v>
      </c>
      <c r="Q1121" s="5" cm="1">
        <f t="array" ref="Q1121">MAX(IF((ProjectInfoTable[ProjectName]=ContinuousStatsTable[[#This Row],[ProjectName]]),(ProjectInfoTable[ProjectName]=ContinuousStatsTable[[#This Row],[ProjectName]])*ProjectInfoTable[ConfidenceInterval]))</f>
        <v>0.95</v>
      </c>
      <c r="R1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1" s="5" cm="1">
        <f t="array" ref="S1121">MIN(IF((ContinuousStatsTable[GroupByKey]=ContinuousStatsTable[[#This Row],[GroupByKey]]),(ContinuousStatsTable[GroupByKey]=ContinuousStatsTable[[#This Row],[GroupByKey]])*ContinuousStatsTable[Average]))</f>
        <v>0</v>
      </c>
      <c r="T1121" s="5" cm="1">
        <f t="array" ref="T1121">MAX(IF((ContinuousStatsTable[GroupByKey]=ContinuousStatsTable[[#This Row],[GroupByKey]]),(ContinuousStatsTable[GroupByKey]=ContinuousStatsTable[[#This Row],[GroupByKey]])*ContinuousStatsTable[Average]))</f>
        <v>0</v>
      </c>
      <c r="U1121" s="5">
        <f>IF((ContinuousStatsTable[[#This Row],[RepsRequested]]&gt;1),ContinuousStatsTable[[#This Row],[HalfWidth]],ContinuousStatsTable[[#This Row],[BatchMeansHalfWidth]])</f>
        <v>0</v>
      </c>
    </row>
    <row r="1122" spans="1:21" x14ac:dyDescent="0.3">
      <c r="A1122" t="s">
        <v>66</v>
      </c>
      <c r="B1122" t="s">
        <v>68</v>
      </c>
      <c r="C1122">
        <v>29</v>
      </c>
      <c r="D1122" t="s">
        <v>104</v>
      </c>
      <c r="E1122" t="s">
        <v>96</v>
      </c>
      <c r="F1122" t="s">
        <v>95</v>
      </c>
      <c r="G1122">
        <v>0</v>
      </c>
      <c r="H1122">
        <v>2E+20</v>
      </c>
      <c r="I1122">
        <v>0</v>
      </c>
      <c r="J1122">
        <v>0</v>
      </c>
      <c r="K1122">
        <v>0</v>
      </c>
      <c r="L1122">
        <v>0</v>
      </c>
      <c r="M1122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1122" s="5" cm="1">
        <f t="array" ref="N1122">MAX(IF((ProjectInfoTable[ProjectName]=ContinuousStatsTable[[#This Row],[ProjectName]]),(ProjectInfoTable[ProjectName]=ContinuousStatsTable[[#This Row],[ProjectName]])*ProjectInfoTable[NumberOfReplications]))</f>
        <v>30</v>
      </c>
      <c r="O1122" s="5" cm="1">
        <f t="array" ref="O1122">IFERROR(AVERAGE(IF((ContinuousStatsTable[GroupByKey]=ContinuousStatsTable[[#This Row],[GroupByKey]]),(ContinuousStatsTable[GroupByKey]=ContinuousStatsTable[[#This Row],[GroupByKey]])*ContinuousStatsTable[Average])),0)</f>
        <v>0</v>
      </c>
      <c r="P1122" s="5" cm="1">
        <f t="array" ref="P1122">IFERROR(_xlfn.STDEV.S(IF((ContinuousStatsTable[GroupByKey]=ContinuousStatsTable[[#This Row],[GroupByKey]]),(ContinuousStatsTable[GroupByKey]=ContinuousStatsTable[[#This Row],[GroupByKey]])*ContinuousStatsTable[Average])),0)</f>
        <v>0</v>
      </c>
      <c r="Q1122" s="5" cm="1">
        <f t="array" ref="Q1122">MAX(IF((ProjectInfoTable[ProjectName]=ContinuousStatsTable[[#This Row],[ProjectName]]),(ProjectInfoTable[ProjectName]=ContinuousStatsTable[[#This Row],[ProjectName]])*ProjectInfoTable[ConfidenceInterval]))</f>
        <v>0.95</v>
      </c>
      <c r="R1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2" s="5" cm="1">
        <f t="array" ref="S1122">MIN(IF((ContinuousStatsTable[GroupByKey]=ContinuousStatsTable[[#This Row],[GroupByKey]]),(ContinuousStatsTable[GroupByKey]=ContinuousStatsTable[[#This Row],[GroupByKey]])*ContinuousStatsTable[Average]))</f>
        <v>0</v>
      </c>
      <c r="T1122" s="5" cm="1">
        <f t="array" ref="T1122">MAX(IF((ContinuousStatsTable[GroupByKey]=ContinuousStatsTable[[#This Row],[GroupByKey]]),(ContinuousStatsTable[GroupByKey]=ContinuousStatsTable[[#This Row],[GroupByKey]])*ContinuousStatsTable[Average]))</f>
        <v>0</v>
      </c>
      <c r="U1122" s="5">
        <f>IF((ContinuousStatsTable[[#This Row],[RepsRequested]]&gt;1),ContinuousStatsTable[[#This Row],[HalfWidth]],ContinuousStatsTable[[#This Row],[BatchMeansHalfWidth]])</f>
        <v>0</v>
      </c>
    </row>
    <row r="1123" spans="1:21" x14ac:dyDescent="0.3">
      <c r="A1123" t="s">
        <v>66</v>
      </c>
      <c r="B1123" t="s">
        <v>68</v>
      </c>
      <c r="C1123">
        <v>29</v>
      </c>
      <c r="D1123" t="s">
        <v>104</v>
      </c>
      <c r="E1123" t="s">
        <v>97</v>
      </c>
      <c r="F1123" t="s">
        <v>95</v>
      </c>
      <c r="G1123">
        <v>3</v>
      </c>
      <c r="H1123">
        <v>2E+20</v>
      </c>
      <c r="I1123">
        <v>3</v>
      </c>
      <c r="J1123">
        <v>3</v>
      </c>
      <c r="K1123">
        <v>3</v>
      </c>
      <c r="L1123">
        <v>0</v>
      </c>
      <c r="M1123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1123" s="5" cm="1">
        <f t="array" ref="N1123">MAX(IF((ProjectInfoTable[ProjectName]=ContinuousStatsTable[[#This Row],[ProjectName]]),(ProjectInfoTable[ProjectName]=ContinuousStatsTable[[#This Row],[ProjectName]])*ProjectInfoTable[NumberOfReplications]))</f>
        <v>30</v>
      </c>
      <c r="O1123" s="5" cm="1">
        <f t="array" ref="O1123">IFERROR(AVERAGE(IF((ContinuousStatsTable[GroupByKey]=ContinuousStatsTable[[#This Row],[GroupByKey]]),(ContinuousStatsTable[GroupByKey]=ContinuousStatsTable[[#This Row],[GroupByKey]])*ContinuousStatsTable[Average])),0)</f>
        <v>3</v>
      </c>
      <c r="P1123" s="5" cm="1">
        <f t="array" ref="P1123">IFERROR(_xlfn.STDEV.S(IF((ContinuousStatsTable[GroupByKey]=ContinuousStatsTable[[#This Row],[GroupByKey]]),(ContinuousStatsTable[GroupByKey]=ContinuousStatsTable[[#This Row],[GroupByKey]])*ContinuousStatsTable[Average])),0)</f>
        <v>0</v>
      </c>
      <c r="Q1123" s="5" cm="1">
        <f t="array" ref="Q1123">MAX(IF((ProjectInfoTable[ProjectName]=ContinuousStatsTable[[#This Row],[ProjectName]]),(ProjectInfoTable[ProjectName]=ContinuousStatsTable[[#This Row],[ProjectName]])*ProjectInfoTable[ConfidenceInterval]))</f>
        <v>0.95</v>
      </c>
      <c r="R1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3" s="5" cm="1">
        <f t="array" ref="S1123">MIN(IF((ContinuousStatsTable[GroupByKey]=ContinuousStatsTable[[#This Row],[GroupByKey]]),(ContinuousStatsTable[GroupByKey]=ContinuousStatsTable[[#This Row],[GroupByKey]])*ContinuousStatsTable[Average]))</f>
        <v>3</v>
      </c>
      <c r="T1123" s="5" cm="1">
        <f t="array" ref="T1123">MAX(IF((ContinuousStatsTable[GroupByKey]=ContinuousStatsTable[[#This Row],[GroupByKey]]),(ContinuousStatsTable[GroupByKey]=ContinuousStatsTable[[#This Row],[GroupByKey]])*ContinuousStatsTable[Average]))</f>
        <v>3</v>
      </c>
      <c r="U1123" s="5">
        <f>IF((ContinuousStatsTable[[#This Row],[RepsRequested]]&gt;1),ContinuousStatsTable[[#This Row],[HalfWidth]],ContinuousStatsTable[[#This Row],[BatchMeansHalfWidth]])</f>
        <v>0</v>
      </c>
    </row>
    <row r="1124" spans="1:21" x14ac:dyDescent="0.3">
      <c r="A1124" t="s">
        <v>66</v>
      </c>
      <c r="B1124" t="s">
        <v>68</v>
      </c>
      <c r="C1124">
        <v>29</v>
      </c>
      <c r="D1124" t="s">
        <v>105</v>
      </c>
      <c r="E1124" t="s">
        <v>94</v>
      </c>
      <c r="F1124" t="s">
        <v>95</v>
      </c>
      <c r="G1124">
        <v>0.933324532054981</v>
      </c>
      <c r="H1124">
        <v>2E+20</v>
      </c>
      <c r="I1124">
        <v>0</v>
      </c>
      <c r="J1124">
        <v>1</v>
      </c>
      <c r="K1124">
        <v>1</v>
      </c>
      <c r="L1124">
        <v>0</v>
      </c>
      <c r="M1124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1124" s="5" cm="1">
        <f t="array" ref="N1124">MAX(IF((ProjectInfoTable[ProjectName]=ContinuousStatsTable[[#This Row],[ProjectName]]),(ProjectInfoTable[ProjectName]=ContinuousStatsTable[[#This Row],[ProjectName]])*ProjectInfoTable[NumberOfReplications]))</f>
        <v>30</v>
      </c>
      <c r="O1124" s="5" cm="1">
        <f t="array" ref="O1124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124" s="5" cm="1">
        <f t="array" ref="P1124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124" s="5" cm="1">
        <f t="array" ref="Q1124">MAX(IF((ProjectInfoTable[ProjectName]=ContinuousStatsTable[[#This Row],[ProjectName]]),(ProjectInfoTable[ProjectName]=ContinuousStatsTable[[#This Row],[ProjectName]])*ProjectInfoTable[ConfidenceInterval]))</f>
        <v>0.95</v>
      </c>
      <c r="R1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124" s="5" cm="1">
        <f t="array" ref="S1124">MIN(IF((ContinuousStatsTable[GroupByKey]=ContinuousStatsTable[[#This Row],[GroupByKey]]),(ContinuousStatsTable[GroupByKey]=ContinuousStatsTable[[#This Row],[GroupByKey]])*ContinuousStatsTable[Average]))</f>
        <v>0.634589476164233</v>
      </c>
      <c r="T1124" s="5" cm="1">
        <f t="array" ref="T1124">MAX(IF((ContinuousStatsTable[GroupByKey]=ContinuousStatsTable[[#This Row],[GroupByKey]]),(ContinuousStatsTable[GroupByKey]=ContinuousStatsTable[[#This Row],[GroupByKey]])*ContinuousStatsTable[Average]))</f>
        <v>0.99383259650362799</v>
      </c>
      <c r="U1124" s="5">
        <f>IF((ContinuousStatsTable[[#This Row],[RepsRequested]]&gt;1),ContinuousStatsTable[[#This Row],[HalfWidth]],ContinuousStatsTable[[#This Row],[BatchMeansHalfWidth]])</f>
        <v>3.9940526897700258E-2</v>
      </c>
    </row>
    <row r="1125" spans="1:21" x14ac:dyDescent="0.3">
      <c r="A1125" t="s">
        <v>66</v>
      </c>
      <c r="B1125" t="s">
        <v>68</v>
      </c>
      <c r="C1125">
        <v>29</v>
      </c>
      <c r="D1125" t="s">
        <v>105</v>
      </c>
      <c r="E1125" t="s">
        <v>96</v>
      </c>
      <c r="F1125" t="s">
        <v>95</v>
      </c>
      <c r="G1125">
        <v>0.933324532054981</v>
      </c>
      <c r="H1125">
        <v>2E+20</v>
      </c>
      <c r="I1125">
        <v>0</v>
      </c>
      <c r="J1125">
        <v>1</v>
      </c>
      <c r="K1125">
        <v>1</v>
      </c>
      <c r="L1125">
        <v>0</v>
      </c>
      <c r="M1125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1125" s="5" cm="1">
        <f t="array" ref="N1125">MAX(IF((ProjectInfoTable[ProjectName]=ContinuousStatsTable[[#This Row],[ProjectName]]),(ProjectInfoTable[ProjectName]=ContinuousStatsTable[[#This Row],[ProjectName]])*ProjectInfoTable[NumberOfReplications]))</f>
        <v>30</v>
      </c>
      <c r="O1125" s="5" cm="1">
        <f t="array" ref="O1125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125" s="5" cm="1">
        <f t="array" ref="P1125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125" s="5" cm="1">
        <f t="array" ref="Q1125">MAX(IF((ProjectInfoTable[ProjectName]=ContinuousStatsTable[[#This Row],[ProjectName]]),(ProjectInfoTable[ProjectName]=ContinuousStatsTable[[#This Row],[ProjectName]])*ProjectInfoTable[ConfidenceInterval]))</f>
        <v>0.95</v>
      </c>
      <c r="R1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125" s="5" cm="1">
        <f t="array" ref="S1125">MIN(IF((ContinuousStatsTable[GroupByKey]=ContinuousStatsTable[[#This Row],[GroupByKey]]),(ContinuousStatsTable[GroupByKey]=ContinuousStatsTable[[#This Row],[GroupByKey]])*ContinuousStatsTable[Average]))</f>
        <v>0.634589476164233</v>
      </c>
      <c r="T1125" s="5" cm="1">
        <f t="array" ref="T1125">MAX(IF((ContinuousStatsTable[GroupByKey]=ContinuousStatsTable[[#This Row],[GroupByKey]]),(ContinuousStatsTable[GroupByKey]=ContinuousStatsTable[[#This Row],[GroupByKey]])*ContinuousStatsTable[Average]))</f>
        <v>0.99383259650362799</v>
      </c>
      <c r="U1125" s="5">
        <f>IF((ContinuousStatsTable[[#This Row],[RepsRequested]]&gt;1),ContinuousStatsTable[[#This Row],[HalfWidth]],ContinuousStatsTable[[#This Row],[BatchMeansHalfWidth]])</f>
        <v>3.9940526897700258E-2</v>
      </c>
    </row>
    <row r="1126" spans="1:21" x14ac:dyDescent="0.3">
      <c r="A1126" t="s">
        <v>66</v>
      </c>
      <c r="B1126" t="s">
        <v>68</v>
      </c>
      <c r="C1126">
        <v>29</v>
      </c>
      <c r="D1126" t="s">
        <v>105</v>
      </c>
      <c r="E1126" t="s">
        <v>97</v>
      </c>
      <c r="F1126" t="s">
        <v>95</v>
      </c>
      <c r="G1126">
        <v>1</v>
      </c>
      <c r="H1126">
        <v>2E+20</v>
      </c>
      <c r="I1126">
        <v>1</v>
      </c>
      <c r="J1126">
        <v>1</v>
      </c>
      <c r="K1126">
        <v>1</v>
      </c>
      <c r="L1126">
        <v>0</v>
      </c>
      <c r="M1126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1126" s="5" cm="1">
        <f t="array" ref="N1126">MAX(IF((ProjectInfoTable[ProjectName]=ContinuousStatsTable[[#This Row],[ProjectName]]),(ProjectInfoTable[ProjectName]=ContinuousStatsTable[[#This Row],[ProjectName]])*ProjectInfoTable[NumberOfReplications]))</f>
        <v>30</v>
      </c>
      <c r="O1126" s="5" cm="1">
        <f t="array" ref="O1126">IFERROR(AVERAGE(IF((ContinuousStatsTable[GroupByKey]=ContinuousStatsTable[[#This Row],[GroupByKey]]),(ContinuousStatsTable[GroupByKey]=ContinuousStatsTable[[#This Row],[GroupByKey]])*ContinuousStatsTable[Average])),0)</f>
        <v>1</v>
      </c>
      <c r="P1126" s="5" cm="1">
        <f t="array" ref="P1126">IFERROR(_xlfn.STDEV.S(IF((ContinuousStatsTable[GroupByKey]=ContinuousStatsTable[[#This Row],[GroupByKey]]),(ContinuousStatsTable[GroupByKey]=ContinuousStatsTable[[#This Row],[GroupByKey]])*ContinuousStatsTable[Average])),0)</f>
        <v>0</v>
      </c>
      <c r="Q1126" s="5" cm="1">
        <f t="array" ref="Q1126">MAX(IF((ProjectInfoTable[ProjectName]=ContinuousStatsTable[[#This Row],[ProjectName]]),(ProjectInfoTable[ProjectName]=ContinuousStatsTable[[#This Row],[ProjectName]])*ProjectInfoTable[ConfidenceInterval]))</f>
        <v>0.95</v>
      </c>
      <c r="R1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6" s="5" cm="1">
        <f t="array" ref="S1126">MIN(IF((ContinuousStatsTable[GroupByKey]=ContinuousStatsTable[[#This Row],[GroupByKey]]),(ContinuousStatsTable[GroupByKey]=ContinuousStatsTable[[#This Row],[GroupByKey]])*ContinuousStatsTable[Average]))</f>
        <v>1</v>
      </c>
      <c r="T1126" s="5" cm="1">
        <f t="array" ref="T1126">MAX(IF((ContinuousStatsTable[GroupByKey]=ContinuousStatsTable[[#This Row],[GroupByKey]]),(ContinuousStatsTable[GroupByKey]=ContinuousStatsTable[[#This Row],[GroupByKey]])*ContinuousStatsTable[Average]))</f>
        <v>1</v>
      </c>
      <c r="U1126" s="5">
        <f>IF((ContinuousStatsTable[[#This Row],[RepsRequested]]&gt;1),ContinuousStatsTable[[#This Row],[HalfWidth]],ContinuousStatsTable[[#This Row],[BatchMeansHalfWidth]])</f>
        <v>0</v>
      </c>
    </row>
    <row r="1127" spans="1:21" x14ac:dyDescent="0.3">
      <c r="A1127" t="s">
        <v>66</v>
      </c>
      <c r="B1127" t="s">
        <v>68</v>
      </c>
      <c r="C1127">
        <v>29</v>
      </c>
      <c r="D1127" t="s">
        <v>106</v>
      </c>
      <c r="E1127" t="s">
        <v>94</v>
      </c>
      <c r="F1127" t="s">
        <v>95</v>
      </c>
      <c r="G1127">
        <v>0.96118893255582005</v>
      </c>
      <c r="H1127">
        <v>2E+20</v>
      </c>
      <c r="I1127">
        <v>0</v>
      </c>
      <c r="J1127">
        <v>1</v>
      </c>
      <c r="K1127">
        <v>1</v>
      </c>
      <c r="L1127">
        <v>0</v>
      </c>
      <c r="M1127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1127" s="5" cm="1">
        <f t="array" ref="N1127">MAX(IF((ProjectInfoTable[ProjectName]=ContinuousStatsTable[[#This Row],[ProjectName]]),(ProjectInfoTable[ProjectName]=ContinuousStatsTable[[#This Row],[ProjectName]])*ProjectInfoTable[NumberOfReplications]))</f>
        <v>30</v>
      </c>
      <c r="O1127" s="5" cm="1">
        <f t="array" ref="O1127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127" s="5" cm="1">
        <f t="array" ref="P1127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127" s="5" cm="1">
        <f t="array" ref="Q1127">MAX(IF((ProjectInfoTable[ProjectName]=ContinuousStatsTable[[#This Row],[ProjectName]]),(ProjectInfoTable[ProjectName]=ContinuousStatsTable[[#This Row],[ProjectName]])*ProjectInfoTable[ConfidenceInterval]))</f>
        <v>0.95</v>
      </c>
      <c r="R1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127" s="5" cm="1">
        <f t="array" ref="S1127">MIN(IF((ContinuousStatsTable[GroupByKey]=ContinuousStatsTable[[#This Row],[GroupByKey]]),(ContinuousStatsTable[GroupByKey]=ContinuousStatsTable[[#This Row],[GroupByKey]])*ContinuousStatsTable[Average]))</f>
        <v>0.74061105631083801</v>
      </c>
      <c r="T1127" s="5" cm="1">
        <f t="array" ref="T1127">MAX(IF((ContinuousStatsTable[GroupByKey]=ContinuousStatsTable[[#This Row],[GroupByKey]]),(ContinuousStatsTable[GroupByKey]=ContinuousStatsTable[[#This Row],[GroupByKey]])*ContinuousStatsTable[Average]))</f>
        <v>0.99245161744166299</v>
      </c>
      <c r="U1127" s="5">
        <f>IF((ContinuousStatsTable[[#This Row],[RepsRequested]]&gt;1),ContinuousStatsTable[[#This Row],[HalfWidth]],ContinuousStatsTable[[#This Row],[BatchMeansHalfWidth]])</f>
        <v>2.8912497794626357E-2</v>
      </c>
    </row>
    <row r="1128" spans="1:21" x14ac:dyDescent="0.3">
      <c r="A1128" t="s">
        <v>66</v>
      </c>
      <c r="B1128" t="s">
        <v>68</v>
      </c>
      <c r="C1128">
        <v>29</v>
      </c>
      <c r="D1128" t="s">
        <v>106</v>
      </c>
      <c r="E1128" t="s">
        <v>96</v>
      </c>
      <c r="F1128" t="s">
        <v>95</v>
      </c>
      <c r="G1128">
        <v>0.96118893255582005</v>
      </c>
      <c r="H1128">
        <v>2E+20</v>
      </c>
      <c r="I1128">
        <v>0</v>
      </c>
      <c r="J1128">
        <v>1</v>
      </c>
      <c r="K1128">
        <v>1</v>
      </c>
      <c r="L1128">
        <v>0</v>
      </c>
      <c r="M1128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1128" s="5" cm="1">
        <f t="array" ref="N1128">MAX(IF((ProjectInfoTable[ProjectName]=ContinuousStatsTable[[#This Row],[ProjectName]]),(ProjectInfoTable[ProjectName]=ContinuousStatsTable[[#This Row],[ProjectName]])*ProjectInfoTable[NumberOfReplications]))</f>
        <v>30</v>
      </c>
      <c r="O1128" s="5" cm="1">
        <f t="array" ref="O1128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128" s="5" cm="1">
        <f t="array" ref="P1128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128" s="5" cm="1">
        <f t="array" ref="Q1128">MAX(IF((ProjectInfoTable[ProjectName]=ContinuousStatsTable[[#This Row],[ProjectName]]),(ProjectInfoTable[ProjectName]=ContinuousStatsTable[[#This Row],[ProjectName]])*ProjectInfoTable[ConfidenceInterval]))</f>
        <v>0.95</v>
      </c>
      <c r="R1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128" s="5" cm="1">
        <f t="array" ref="S1128">MIN(IF((ContinuousStatsTable[GroupByKey]=ContinuousStatsTable[[#This Row],[GroupByKey]]),(ContinuousStatsTable[GroupByKey]=ContinuousStatsTable[[#This Row],[GroupByKey]])*ContinuousStatsTable[Average]))</f>
        <v>0.74061105631083801</v>
      </c>
      <c r="T1128" s="5" cm="1">
        <f t="array" ref="T1128">MAX(IF((ContinuousStatsTable[GroupByKey]=ContinuousStatsTable[[#This Row],[GroupByKey]]),(ContinuousStatsTable[GroupByKey]=ContinuousStatsTable[[#This Row],[GroupByKey]])*ContinuousStatsTable[Average]))</f>
        <v>0.99245161744166299</v>
      </c>
      <c r="U1128" s="5">
        <f>IF((ContinuousStatsTable[[#This Row],[RepsRequested]]&gt;1),ContinuousStatsTable[[#This Row],[HalfWidth]],ContinuousStatsTable[[#This Row],[BatchMeansHalfWidth]])</f>
        <v>2.8912497794626357E-2</v>
      </c>
    </row>
    <row r="1129" spans="1:21" x14ac:dyDescent="0.3">
      <c r="A1129" t="s">
        <v>66</v>
      </c>
      <c r="B1129" t="s">
        <v>68</v>
      </c>
      <c r="C1129">
        <v>29</v>
      </c>
      <c r="D1129" t="s">
        <v>106</v>
      </c>
      <c r="E1129" t="s">
        <v>97</v>
      </c>
      <c r="F1129" t="s">
        <v>95</v>
      </c>
      <c r="G1129">
        <v>1</v>
      </c>
      <c r="H1129">
        <v>2E+20</v>
      </c>
      <c r="I1129">
        <v>1</v>
      </c>
      <c r="J1129">
        <v>1</v>
      </c>
      <c r="K1129">
        <v>1</v>
      </c>
      <c r="L1129">
        <v>0</v>
      </c>
      <c r="M1129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1129" s="5" cm="1">
        <f t="array" ref="N1129">MAX(IF((ProjectInfoTable[ProjectName]=ContinuousStatsTable[[#This Row],[ProjectName]]),(ProjectInfoTable[ProjectName]=ContinuousStatsTable[[#This Row],[ProjectName]])*ProjectInfoTable[NumberOfReplications]))</f>
        <v>30</v>
      </c>
      <c r="O1129" s="5" cm="1">
        <f t="array" ref="O1129">IFERROR(AVERAGE(IF((ContinuousStatsTable[GroupByKey]=ContinuousStatsTable[[#This Row],[GroupByKey]]),(ContinuousStatsTable[GroupByKey]=ContinuousStatsTable[[#This Row],[GroupByKey]])*ContinuousStatsTable[Average])),0)</f>
        <v>1</v>
      </c>
      <c r="P1129" s="5" cm="1">
        <f t="array" ref="P1129">IFERROR(_xlfn.STDEV.S(IF((ContinuousStatsTable[GroupByKey]=ContinuousStatsTable[[#This Row],[GroupByKey]]),(ContinuousStatsTable[GroupByKey]=ContinuousStatsTable[[#This Row],[GroupByKey]])*ContinuousStatsTable[Average])),0)</f>
        <v>0</v>
      </c>
      <c r="Q1129" s="5" cm="1">
        <f t="array" ref="Q1129">MAX(IF((ProjectInfoTable[ProjectName]=ContinuousStatsTable[[#This Row],[ProjectName]]),(ProjectInfoTable[ProjectName]=ContinuousStatsTable[[#This Row],[ProjectName]])*ProjectInfoTable[ConfidenceInterval]))</f>
        <v>0.95</v>
      </c>
      <c r="R1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9" s="5" cm="1">
        <f t="array" ref="S1129">MIN(IF((ContinuousStatsTable[GroupByKey]=ContinuousStatsTable[[#This Row],[GroupByKey]]),(ContinuousStatsTable[GroupByKey]=ContinuousStatsTable[[#This Row],[GroupByKey]])*ContinuousStatsTable[Average]))</f>
        <v>1</v>
      </c>
      <c r="T1129" s="5" cm="1">
        <f t="array" ref="T1129">MAX(IF((ContinuousStatsTable[GroupByKey]=ContinuousStatsTable[[#This Row],[GroupByKey]]),(ContinuousStatsTable[GroupByKey]=ContinuousStatsTable[[#This Row],[GroupByKey]])*ContinuousStatsTable[Average]))</f>
        <v>1</v>
      </c>
      <c r="U1129" s="5">
        <f>IF((ContinuousStatsTable[[#This Row],[RepsRequested]]&gt;1),ContinuousStatsTable[[#This Row],[HalfWidth]],ContinuousStatsTable[[#This Row],[BatchMeansHalfWidth]])</f>
        <v>0</v>
      </c>
    </row>
    <row r="1130" spans="1:21" x14ac:dyDescent="0.3">
      <c r="A1130" t="s">
        <v>66</v>
      </c>
      <c r="B1130" t="s">
        <v>68</v>
      </c>
      <c r="C1130">
        <v>29</v>
      </c>
      <c r="D1130" t="s">
        <v>107</v>
      </c>
      <c r="E1130" t="s">
        <v>94</v>
      </c>
      <c r="F1130" t="s">
        <v>95</v>
      </c>
      <c r="G1130">
        <v>0.98878963151184796</v>
      </c>
      <c r="H1130">
        <v>2E+20</v>
      </c>
      <c r="I1130">
        <v>0</v>
      </c>
      <c r="J1130">
        <v>1</v>
      </c>
      <c r="K1130">
        <v>1</v>
      </c>
      <c r="L1130">
        <v>0</v>
      </c>
      <c r="M1130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1130" s="5" cm="1">
        <f t="array" ref="N1130">MAX(IF((ProjectInfoTable[ProjectName]=ContinuousStatsTable[[#This Row],[ProjectName]]),(ProjectInfoTable[ProjectName]=ContinuousStatsTable[[#This Row],[ProjectName]])*ProjectInfoTable[NumberOfReplications]))</f>
        <v>30</v>
      </c>
      <c r="O1130" s="5" cm="1">
        <f t="array" ref="O1130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130" s="5" cm="1">
        <f t="array" ref="P1130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130" s="5" cm="1">
        <f t="array" ref="Q1130">MAX(IF((ProjectInfoTable[ProjectName]=ContinuousStatsTable[[#This Row],[ProjectName]]),(ProjectInfoTable[ProjectName]=ContinuousStatsTable[[#This Row],[ProjectName]])*ProjectInfoTable[ConfidenceInterval]))</f>
        <v>0.95</v>
      </c>
      <c r="R1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130" s="5" cm="1">
        <f t="array" ref="S1130">MIN(IF((ContinuousStatsTable[GroupByKey]=ContinuousStatsTable[[#This Row],[GroupByKey]]),(ContinuousStatsTable[GroupByKey]=ContinuousStatsTable[[#This Row],[GroupByKey]])*ContinuousStatsTable[Average]))</f>
        <v>0.73843386001690303</v>
      </c>
      <c r="T1130" s="5" cm="1">
        <f t="array" ref="T1130">MAX(IF((ContinuousStatsTable[GroupByKey]=ContinuousStatsTable[[#This Row],[GroupByKey]]),(ContinuousStatsTable[GroupByKey]=ContinuousStatsTable[[#This Row],[GroupByKey]])*ContinuousStatsTable[Average]))</f>
        <v>0.99245161744166299</v>
      </c>
      <c r="U1130" s="5">
        <f>IF((ContinuousStatsTable[[#This Row],[RepsRequested]]&gt;1),ContinuousStatsTable[[#This Row],[HalfWidth]],ContinuousStatsTable[[#This Row],[BatchMeansHalfWidth]])</f>
        <v>2.6057642646860522E-2</v>
      </c>
    </row>
    <row r="1131" spans="1:21" x14ac:dyDescent="0.3">
      <c r="A1131" t="s">
        <v>66</v>
      </c>
      <c r="B1131" t="s">
        <v>68</v>
      </c>
      <c r="C1131">
        <v>29</v>
      </c>
      <c r="D1131" t="s">
        <v>107</v>
      </c>
      <c r="E1131" t="s">
        <v>96</v>
      </c>
      <c r="F1131" t="s">
        <v>95</v>
      </c>
      <c r="G1131">
        <v>0.98878963151184796</v>
      </c>
      <c r="H1131">
        <v>2E+20</v>
      </c>
      <c r="I1131">
        <v>0</v>
      </c>
      <c r="J1131">
        <v>1</v>
      </c>
      <c r="K1131">
        <v>1</v>
      </c>
      <c r="L1131">
        <v>0</v>
      </c>
      <c r="M1131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1131" s="5" cm="1">
        <f t="array" ref="N1131">MAX(IF((ProjectInfoTable[ProjectName]=ContinuousStatsTable[[#This Row],[ProjectName]]),(ProjectInfoTable[ProjectName]=ContinuousStatsTable[[#This Row],[ProjectName]])*ProjectInfoTable[NumberOfReplications]))</f>
        <v>30</v>
      </c>
      <c r="O1131" s="5" cm="1">
        <f t="array" ref="O1131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131" s="5" cm="1">
        <f t="array" ref="P1131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131" s="5" cm="1">
        <f t="array" ref="Q1131">MAX(IF((ProjectInfoTable[ProjectName]=ContinuousStatsTable[[#This Row],[ProjectName]]),(ProjectInfoTable[ProjectName]=ContinuousStatsTable[[#This Row],[ProjectName]])*ProjectInfoTable[ConfidenceInterval]))</f>
        <v>0.95</v>
      </c>
      <c r="R1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131" s="5" cm="1">
        <f t="array" ref="S1131">MIN(IF((ContinuousStatsTable[GroupByKey]=ContinuousStatsTable[[#This Row],[GroupByKey]]),(ContinuousStatsTable[GroupByKey]=ContinuousStatsTable[[#This Row],[GroupByKey]])*ContinuousStatsTable[Average]))</f>
        <v>0.73843386001690303</v>
      </c>
      <c r="T1131" s="5" cm="1">
        <f t="array" ref="T1131">MAX(IF((ContinuousStatsTable[GroupByKey]=ContinuousStatsTable[[#This Row],[GroupByKey]]),(ContinuousStatsTable[GroupByKey]=ContinuousStatsTable[[#This Row],[GroupByKey]])*ContinuousStatsTable[Average]))</f>
        <v>0.99245161744166299</v>
      </c>
      <c r="U1131" s="5">
        <f>IF((ContinuousStatsTable[[#This Row],[RepsRequested]]&gt;1),ContinuousStatsTable[[#This Row],[HalfWidth]],ContinuousStatsTable[[#This Row],[BatchMeansHalfWidth]])</f>
        <v>2.6057642646860522E-2</v>
      </c>
    </row>
    <row r="1132" spans="1:21" x14ac:dyDescent="0.3">
      <c r="A1132" t="s">
        <v>66</v>
      </c>
      <c r="B1132" t="s">
        <v>68</v>
      </c>
      <c r="C1132">
        <v>29</v>
      </c>
      <c r="D1132" t="s">
        <v>107</v>
      </c>
      <c r="E1132" t="s">
        <v>97</v>
      </c>
      <c r="F1132" t="s">
        <v>95</v>
      </c>
      <c r="G1132">
        <v>1</v>
      </c>
      <c r="H1132">
        <v>2E+20</v>
      </c>
      <c r="I1132">
        <v>1</v>
      </c>
      <c r="J1132">
        <v>1</v>
      </c>
      <c r="K1132">
        <v>1</v>
      </c>
      <c r="L1132">
        <v>0</v>
      </c>
      <c r="M1132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1132" s="5" cm="1">
        <f t="array" ref="N1132">MAX(IF((ProjectInfoTable[ProjectName]=ContinuousStatsTable[[#This Row],[ProjectName]]),(ProjectInfoTable[ProjectName]=ContinuousStatsTable[[#This Row],[ProjectName]])*ProjectInfoTable[NumberOfReplications]))</f>
        <v>30</v>
      </c>
      <c r="O1132" s="5" cm="1">
        <f t="array" ref="O1132">IFERROR(AVERAGE(IF((ContinuousStatsTable[GroupByKey]=ContinuousStatsTable[[#This Row],[GroupByKey]]),(ContinuousStatsTable[GroupByKey]=ContinuousStatsTable[[#This Row],[GroupByKey]])*ContinuousStatsTable[Average])),0)</f>
        <v>1</v>
      </c>
      <c r="P1132" s="5" cm="1">
        <f t="array" ref="P1132">IFERROR(_xlfn.STDEV.S(IF((ContinuousStatsTable[GroupByKey]=ContinuousStatsTable[[#This Row],[GroupByKey]]),(ContinuousStatsTable[GroupByKey]=ContinuousStatsTable[[#This Row],[GroupByKey]])*ContinuousStatsTable[Average])),0)</f>
        <v>0</v>
      </c>
      <c r="Q1132" s="5" cm="1">
        <f t="array" ref="Q1132">MAX(IF((ProjectInfoTable[ProjectName]=ContinuousStatsTable[[#This Row],[ProjectName]]),(ProjectInfoTable[ProjectName]=ContinuousStatsTable[[#This Row],[ProjectName]])*ProjectInfoTable[ConfidenceInterval]))</f>
        <v>0.95</v>
      </c>
      <c r="R1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2" s="5" cm="1">
        <f t="array" ref="S1132">MIN(IF((ContinuousStatsTable[GroupByKey]=ContinuousStatsTable[[#This Row],[GroupByKey]]),(ContinuousStatsTable[GroupByKey]=ContinuousStatsTable[[#This Row],[GroupByKey]])*ContinuousStatsTable[Average]))</f>
        <v>1</v>
      </c>
      <c r="T1132" s="5" cm="1">
        <f t="array" ref="T1132">MAX(IF((ContinuousStatsTable[GroupByKey]=ContinuousStatsTable[[#This Row],[GroupByKey]]),(ContinuousStatsTable[GroupByKey]=ContinuousStatsTable[[#This Row],[GroupByKey]])*ContinuousStatsTable[Average]))</f>
        <v>1</v>
      </c>
      <c r="U1132" s="5">
        <f>IF((ContinuousStatsTable[[#This Row],[RepsRequested]]&gt;1),ContinuousStatsTable[[#This Row],[HalfWidth]],ContinuousStatsTable[[#This Row],[BatchMeansHalfWidth]])</f>
        <v>0</v>
      </c>
    </row>
    <row r="1133" spans="1:21" x14ac:dyDescent="0.3">
      <c r="A1133" t="s">
        <v>66</v>
      </c>
      <c r="B1133" t="s">
        <v>68</v>
      </c>
      <c r="C1133">
        <v>30</v>
      </c>
      <c r="D1133" t="s">
        <v>69</v>
      </c>
      <c r="E1133" t="s">
        <v>92</v>
      </c>
      <c r="F1133" t="s">
        <v>71</v>
      </c>
      <c r="G1133">
        <v>2.7523574133667901</v>
      </c>
      <c r="H1133">
        <v>2E+20</v>
      </c>
      <c r="I1133">
        <v>0</v>
      </c>
      <c r="J1133">
        <v>13</v>
      </c>
      <c r="K1133">
        <v>0</v>
      </c>
      <c r="L1133">
        <v>0</v>
      </c>
      <c r="M1133" s="5" t="str">
        <f>ContinuousStatsTable[[#This Row],[ProjectName]]&amp;ContinuousStatsTable[[#This Row],[Name]]&amp;ContinuousStatsTable[[#This Row],[Type]]&amp;ContinuousStatsTable[[#This Row],[Source]]</f>
        <v>Unnamed ProjectLeaveTornoEntrada.QueueNumber WaitingQueue</v>
      </c>
      <c r="N1133" s="5" cm="1">
        <f t="array" ref="N1133">MAX(IF((ProjectInfoTable[ProjectName]=ContinuousStatsTable[[#This Row],[ProjectName]]),(ProjectInfoTable[ProjectName]=ContinuousStatsTable[[#This Row],[ProjectName]])*ProjectInfoTable[NumberOfReplications]))</f>
        <v>30</v>
      </c>
      <c r="O1133" s="5" cm="1">
        <f t="array" ref="O1133">IFERROR(AVERAGE(IF((ContinuousStatsTable[GroupByKey]=ContinuousStatsTable[[#This Row],[GroupByKey]]),(ContinuousStatsTable[GroupByKey]=ContinuousStatsTable[[#This Row],[GroupByKey]])*ContinuousStatsTable[Average])),0)</f>
        <v>5.2568666538317945</v>
      </c>
      <c r="P1133" s="5" cm="1">
        <f t="array" ref="P1133">IFERROR(_xlfn.STDEV.S(IF((ContinuousStatsTable[GroupByKey]=ContinuousStatsTable[[#This Row],[GroupByKey]]),(ContinuousStatsTable[GroupByKey]=ContinuousStatsTable[[#This Row],[GroupByKey]])*ContinuousStatsTable[Average])),0)</f>
        <v>1.8846413728615501</v>
      </c>
      <c r="Q1133" s="5" cm="1">
        <f t="array" ref="Q1133">MAX(IF((ProjectInfoTable[ProjectName]=ContinuousStatsTable[[#This Row],[ProjectName]]),(ProjectInfoTable[ProjectName]=ContinuousStatsTable[[#This Row],[ProjectName]])*ProjectInfoTable[ConfidenceInterval]))</f>
        <v>0.95</v>
      </c>
      <c r="R1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0.70373665421471332</v>
      </c>
      <c r="S1133" s="5" cm="1">
        <f t="array" ref="S1133">MIN(IF((ContinuousStatsTable[GroupByKey]=ContinuousStatsTable[[#This Row],[GroupByKey]]),(ContinuousStatsTable[GroupByKey]=ContinuousStatsTable[[#This Row],[GroupByKey]])*ContinuousStatsTable[Average]))</f>
        <v>2.2853775994771</v>
      </c>
      <c r="T1133" s="5" cm="1">
        <f t="array" ref="T1133">MAX(IF((ContinuousStatsTable[GroupByKey]=ContinuousStatsTable[[#This Row],[GroupByKey]]),(ContinuousStatsTable[GroupByKey]=ContinuousStatsTable[[#This Row],[GroupByKey]])*ContinuousStatsTable[Average]))</f>
        <v>9.3827575078214593</v>
      </c>
      <c r="U1133" s="5">
        <f>IF((ContinuousStatsTable[[#This Row],[RepsRequested]]&gt;1),ContinuousStatsTable[[#This Row],[HalfWidth]],ContinuousStatsTable[[#This Row],[BatchMeansHalfWidth]])</f>
        <v>0.70373665421471332</v>
      </c>
    </row>
    <row r="1134" spans="1:21" x14ac:dyDescent="0.3">
      <c r="A1134" t="s">
        <v>66</v>
      </c>
      <c r="B1134" t="s">
        <v>68</v>
      </c>
      <c r="C1134">
        <v>30</v>
      </c>
      <c r="D1134" t="s">
        <v>72</v>
      </c>
      <c r="E1134" t="s">
        <v>92</v>
      </c>
      <c r="F1134" t="s">
        <v>71</v>
      </c>
      <c r="G1134">
        <v>2.3754410072984702</v>
      </c>
      <c r="H1134">
        <v>2E+20</v>
      </c>
      <c r="I1134">
        <v>0</v>
      </c>
      <c r="J1134">
        <v>12</v>
      </c>
      <c r="K1134">
        <v>0</v>
      </c>
      <c r="L1134">
        <v>0</v>
      </c>
      <c r="M1134" s="5" t="str">
        <f>ContinuousStatsTable[[#This Row],[ProjectName]]&amp;ContinuousStatsTable[[#This Row],[Name]]&amp;ContinuousStatsTable[[#This Row],[Type]]&amp;ContinuousStatsTable[[#This Row],[Source]]</f>
        <v>Unnamed ProjectLeaveTornoSalida.QueueNumber WaitingQueue</v>
      </c>
      <c r="N1134" s="5" cm="1">
        <f t="array" ref="N1134">MAX(IF((ProjectInfoTable[ProjectName]=ContinuousStatsTable[[#This Row],[ProjectName]]),(ProjectInfoTable[ProjectName]=ContinuousStatsTable[[#This Row],[ProjectName]])*ProjectInfoTable[NumberOfReplications]))</f>
        <v>30</v>
      </c>
      <c r="O1134" s="5" cm="1">
        <f t="array" ref="O1134">IFERROR(AVERAGE(IF((ContinuousStatsTable[GroupByKey]=ContinuousStatsTable[[#This Row],[GroupByKey]]),(ContinuousStatsTable[GroupByKey]=ContinuousStatsTable[[#This Row],[GroupByKey]])*ContinuousStatsTable[Average])),0)</f>
        <v>3.9316971268238849</v>
      </c>
      <c r="P1134" s="5" cm="1">
        <f t="array" ref="P1134">IFERROR(_xlfn.STDEV.S(IF((ContinuousStatsTable[GroupByKey]=ContinuousStatsTable[[#This Row],[GroupByKey]]),(ContinuousStatsTable[GroupByKey]=ContinuousStatsTable[[#This Row],[GroupByKey]])*ContinuousStatsTable[Average])),0)</f>
        <v>1.5897363110976395</v>
      </c>
      <c r="Q1134" s="5" cm="1">
        <f t="array" ref="Q1134">MAX(IF((ProjectInfoTable[ProjectName]=ContinuousStatsTable[[#This Row],[ProjectName]]),(ProjectInfoTable[ProjectName]=ContinuousStatsTable[[#This Row],[ProjectName]])*ProjectInfoTable[ConfidenceInterval]))</f>
        <v>0.95</v>
      </c>
      <c r="R1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0.5936172943910426</v>
      </c>
      <c r="S1134" s="5" cm="1">
        <f t="array" ref="S1134">MIN(IF((ContinuousStatsTable[GroupByKey]=ContinuousStatsTable[[#This Row],[GroupByKey]]),(ContinuousStatsTable[GroupByKey]=ContinuousStatsTable[[#This Row],[GroupByKey]])*ContinuousStatsTable[Average]))</f>
        <v>1.4754093813695901</v>
      </c>
      <c r="T1134" s="5" cm="1">
        <f t="array" ref="T1134">MAX(IF((ContinuousStatsTable[GroupByKey]=ContinuousStatsTable[[#This Row],[GroupByKey]]),(ContinuousStatsTable[GroupByKey]=ContinuousStatsTable[[#This Row],[GroupByKey]])*ContinuousStatsTable[Average]))</f>
        <v>8.0603747791942499</v>
      </c>
      <c r="U1134" s="5">
        <f>IF((ContinuousStatsTable[[#This Row],[RepsRequested]]&gt;1),ContinuousStatsTable[[#This Row],[HalfWidth]],ContinuousStatsTable[[#This Row],[BatchMeansHalfWidth]])</f>
        <v>0.5936172943910426</v>
      </c>
    </row>
    <row r="1135" spans="1:21" x14ac:dyDescent="0.3">
      <c r="A1135" t="s">
        <v>66</v>
      </c>
      <c r="B1135" t="s">
        <v>68</v>
      </c>
      <c r="C1135">
        <v>30</v>
      </c>
      <c r="D1135" t="s">
        <v>73</v>
      </c>
      <c r="E1135" t="s">
        <v>92</v>
      </c>
      <c r="F1135" t="s">
        <v>71</v>
      </c>
      <c r="G1135">
        <v>5.0067661880434002</v>
      </c>
      <c r="H1135">
        <v>2E+20</v>
      </c>
      <c r="I1135">
        <v>0</v>
      </c>
      <c r="J1135">
        <v>18</v>
      </c>
      <c r="K1135">
        <v>2</v>
      </c>
      <c r="L1135">
        <v>0</v>
      </c>
      <c r="M1135" s="5" t="str">
        <f>ContinuousStatsTable[[#This Row],[ProjectName]]&amp;ContinuousStatsTable[[#This Row],[Name]]&amp;ContinuousStatsTable[[#This Row],[Type]]&amp;ContinuousStatsTable[[#This Row],[Source]]</f>
        <v>Unnamed ProjectMostrador.QueueNumber WaitingQueue</v>
      </c>
      <c r="N1135" s="5" cm="1">
        <f t="array" ref="N1135">MAX(IF((ProjectInfoTable[ProjectName]=ContinuousStatsTable[[#This Row],[ProjectName]]),(ProjectInfoTable[ProjectName]=ContinuousStatsTable[[#This Row],[ProjectName]])*ProjectInfoTable[NumberOfReplications]))</f>
        <v>30</v>
      </c>
      <c r="O1135" s="5" cm="1">
        <f t="array" ref="O1135">IFERROR(AVERAGE(IF((ContinuousStatsTable[GroupByKey]=ContinuousStatsTable[[#This Row],[GroupByKey]]),(ContinuousStatsTable[GroupByKey]=ContinuousStatsTable[[#This Row],[GroupByKey]])*ContinuousStatsTable[Average])),0)</f>
        <v>6.5967033926112597</v>
      </c>
      <c r="P1135" s="5" cm="1">
        <f t="array" ref="P1135">IFERROR(_xlfn.STDEV.S(IF((ContinuousStatsTable[GroupByKey]=ContinuousStatsTable[[#This Row],[GroupByKey]]),(ContinuousStatsTable[GroupByKey]=ContinuousStatsTable[[#This Row],[GroupByKey]])*ContinuousStatsTable[Average])),0)</f>
        <v>5.7904175879942628</v>
      </c>
      <c r="Q1135" s="5" cm="1">
        <f t="array" ref="Q1135">MAX(IF((ProjectInfoTable[ProjectName]=ContinuousStatsTable[[#This Row],[ProjectName]]),(ProjectInfoTable[ProjectName]=ContinuousStatsTable[[#This Row],[ProjectName]])*ProjectInfoTable[ConfidenceInterval]))</f>
        <v>0.95</v>
      </c>
      <c r="R1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2.162177461749093</v>
      </c>
      <c r="S1135" s="5" cm="1">
        <f t="array" ref="S1135">MIN(IF((ContinuousStatsTable[GroupByKey]=ContinuousStatsTable[[#This Row],[GroupByKey]]),(ContinuousStatsTable[GroupByKey]=ContinuousStatsTable[[#This Row],[GroupByKey]])*ContinuousStatsTable[Average]))</f>
        <v>1.3305593103954101</v>
      </c>
      <c r="T1135" s="5" cm="1">
        <f t="array" ref="T1135">MAX(IF((ContinuousStatsTable[GroupByKey]=ContinuousStatsTable[[#This Row],[GroupByKey]]),(ContinuousStatsTable[GroupByKey]=ContinuousStatsTable[[#This Row],[GroupByKey]])*ContinuousStatsTable[Average]))</f>
        <v>29.356614544212601</v>
      </c>
      <c r="U1135" s="5">
        <f>IF((ContinuousStatsTable[[#This Row],[RepsRequested]]&gt;1),ContinuousStatsTable[[#This Row],[HalfWidth]],ContinuousStatsTable[[#This Row],[BatchMeansHalfWidth]])</f>
        <v>2.162177461749093</v>
      </c>
    </row>
    <row r="1136" spans="1:21" x14ac:dyDescent="0.3">
      <c r="A1136" t="s">
        <v>66</v>
      </c>
      <c r="B1136" t="s">
        <v>68</v>
      </c>
      <c r="C1136">
        <v>30</v>
      </c>
      <c r="D1136" t="s">
        <v>74</v>
      </c>
      <c r="E1136" t="s">
        <v>92</v>
      </c>
      <c r="F1136" t="s">
        <v>71</v>
      </c>
      <c r="G1136">
        <v>0</v>
      </c>
      <c r="H1136">
        <v>2E+20</v>
      </c>
      <c r="I1136">
        <v>0</v>
      </c>
      <c r="J1136">
        <v>0</v>
      </c>
      <c r="K1136">
        <v>0</v>
      </c>
      <c r="L1136">
        <v>0</v>
      </c>
      <c r="M1136" s="5" t="str">
        <f>ContinuousStatsTable[[#This Row],[ProjectName]]&amp;ContinuousStatsTable[[#This Row],[Name]]&amp;ContinuousStatsTable[[#This Row],[Type]]&amp;ContinuousStatsTable[[#This Row],[Source]]</f>
        <v>Unnamed ProjectPArte.QueueNumber WaitingQueue</v>
      </c>
      <c r="N1136" s="5" cm="1">
        <f t="array" ref="N1136">MAX(IF((ProjectInfoTable[ProjectName]=ContinuousStatsTable[[#This Row],[ProjectName]]),(ProjectInfoTable[ProjectName]=ContinuousStatsTable[[#This Row],[ProjectName]])*ProjectInfoTable[NumberOfReplications]))</f>
        <v>30</v>
      </c>
      <c r="O1136" s="5" cm="1">
        <f t="array" ref="O1136">IFERROR(AVERAGE(IF((ContinuousStatsTable[GroupByKey]=ContinuousStatsTable[[#This Row],[GroupByKey]]),(ContinuousStatsTable[GroupByKey]=ContinuousStatsTable[[#This Row],[GroupByKey]])*ContinuousStatsTable[Average])),0)</f>
        <v>0</v>
      </c>
      <c r="P1136" s="5" cm="1">
        <f t="array" ref="P1136">IFERROR(_xlfn.STDEV.S(IF((ContinuousStatsTable[GroupByKey]=ContinuousStatsTable[[#This Row],[GroupByKey]]),(ContinuousStatsTable[GroupByKey]=ContinuousStatsTable[[#This Row],[GroupByKey]])*ContinuousStatsTable[Average])),0)</f>
        <v>0</v>
      </c>
      <c r="Q1136" s="5" cm="1">
        <f t="array" ref="Q1136">MAX(IF((ProjectInfoTable[ProjectName]=ContinuousStatsTable[[#This Row],[ProjectName]]),(ProjectInfoTable[ProjectName]=ContinuousStatsTable[[#This Row],[ProjectName]])*ProjectInfoTable[ConfidenceInterval]))</f>
        <v>0.95</v>
      </c>
      <c r="R1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6" s="5" cm="1">
        <f t="array" ref="S1136">MIN(IF((ContinuousStatsTable[GroupByKey]=ContinuousStatsTable[[#This Row],[GroupByKey]]),(ContinuousStatsTable[GroupByKey]=ContinuousStatsTable[[#This Row],[GroupByKey]])*ContinuousStatsTable[Average]))</f>
        <v>0</v>
      </c>
      <c r="T1136" s="5" cm="1">
        <f t="array" ref="T1136">MAX(IF((ContinuousStatsTable[GroupByKey]=ContinuousStatsTable[[#This Row],[GroupByKey]]),(ContinuousStatsTable[GroupByKey]=ContinuousStatsTable[[#This Row],[GroupByKey]])*ContinuousStatsTable[Average]))</f>
        <v>0</v>
      </c>
      <c r="U1136" s="5">
        <f>IF((ContinuousStatsTable[[#This Row],[RepsRequested]]&gt;1),ContinuousStatsTable[[#This Row],[HalfWidth]],ContinuousStatsTable[[#This Row],[BatchMeansHalfWidth]])</f>
        <v>0</v>
      </c>
    </row>
    <row r="1137" spans="1:21" x14ac:dyDescent="0.3">
      <c r="A1137" t="s">
        <v>66</v>
      </c>
      <c r="B1137" t="s">
        <v>68</v>
      </c>
      <c r="C1137">
        <v>30</v>
      </c>
      <c r="D1137" t="s">
        <v>75</v>
      </c>
      <c r="E1137" t="s">
        <v>92</v>
      </c>
      <c r="F1137" t="s">
        <v>71</v>
      </c>
      <c r="G1137">
        <v>0</v>
      </c>
      <c r="H1137">
        <v>2E+20</v>
      </c>
      <c r="I1137">
        <v>0</v>
      </c>
      <c r="J1137">
        <v>0</v>
      </c>
      <c r="K1137">
        <v>0</v>
      </c>
      <c r="L1137">
        <v>0</v>
      </c>
      <c r="M1137" s="5" t="str">
        <f>ContinuousStatsTable[[#This Row],[ProjectName]]&amp;ContinuousStatsTable[[#This Row],[Name]]&amp;ContinuousStatsTable[[#This Row],[Type]]&amp;ContinuousStatsTable[[#This Row],[Source]]</f>
        <v>Unnamed ProjectPAstro.QueueNumber WaitingQueue</v>
      </c>
      <c r="N1137" s="5" cm="1">
        <f t="array" ref="N1137">MAX(IF((ProjectInfoTable[ProjectName]=ContinuousStatsTable[[#This Row],[ProjectName]]),(ProjectInfoTable[ProjectName]=ContinuousStatsTable[[#This Row],[ProjectName]])*ProjectInfoTable[NumberOfReplications]))</f>
        <v>30</v>
      </c>
      <c r="O1137" s="5" cm="1">
        <f t="array" ref="O1137">IFERROR(AVERAGE(IF((ContinuousStatsTable[GroupByKey]=ContinuousStatsTable[[#This Row],[GroupByKey]]),(ContinuousStatsTable[GroupByKey]=ContinuousStatsTable[[#This Row],[GroupByKey]])*ContinuousStatsTable[Average])),0)</f>
        <v>0</v>
      </c>
      <c r="P1137" s="5" cm="1">
        <f t="array" ref="P1137">IFERROR(_xlfn.STDEV.S(IF((ContinuousStatsTable[GroupByKey]=ContinuousStatsTable[[#This Row],[GroupByKey]]),(ContinuousStatsTable[GroupByKey]=ContinuousStatsTable[[#This Row],[GroupByKey]])*ContinuousStatsTable[Average])),0)</f>
        <v>0</v>
      </c>
      <c r="Q1137" s="5" cm="1">
        <f t="array" ref="Q1137">MAX(IF((ProjectInfoTable[ProjectName]=ContinuousStatsTable[[#This Row],[ProjectName]]),(ProjectInfoTable[ProjectName]=ContinuousStatsTable[[#This Row],[ProjectName]])*ProjectInfoTable[ConfidenceInterval]))</f>
        <v>0.95</v>
      </c>
      <c r="R1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7" s="5" cm="1">
        <f t="array" ref="S1137">MIN(IF((ContinuousStatsTable[GroupByKey]=ContinuousStatsTable[[#This Row],[GroupByKey]]),(ContinuousStatsTable[GroupByKey]=ContinuousStatsTable[[#This Row],[GroupByKey]])*ContinuousStatsTable[Average]))</f>
        <v>0</v>
      </c>
      <c r="T1137" s="5" cm="1">
        <f t="array" ref="T1137">MAX(IF((ContinuousStatsTable[GroupByKey]=ContinuousStatsTable[[#This Row],[GroupByKey]]),(ContinuousStatsTable[GroupByKey]=ContinuousStatsTable[[#This Row],[GroupByKey]])*ContinuousStatsTable[Average]))</f>
        <v>0</v>
      </c>
      <c r="U1137" s="5">
        <f>IF((ContinuousStatsTable[[#This Row],[RepsRequested]]&gt;1),ContinuousStatsTable[[#This Row],[HalfWidth]],ContinuousStatsTable[[#This Row],[BatchMeansHalfWidth]])</f>
        <v>0</v>
      </c>
    </row>
    <row r="1138" spans="1:21" x14ac:dyDescent="0.3">
      <c r="A1138" t="s">
        <v>66</v>
      </c>
      <c r="B1138" t="s">
        <v>68</v>
      </c>
      <c r="C1138">
        <v>30</v>
      </c>
      <c r="D1138" t="s">
        <v>76</v>
      </c>
      <c r="E1138" t="s">
        <v>92</v>
      </c>
      <c r="F1138" t="s">
        <v>71</v>
      </c>
      <c r="G1138">
        <v>0.72443520150632801</v>
      </c>
      <c r="H1138">
        <v>2E+20</v>
      </c>
      <c r="I1138">
        <v>0</v>
      </c>
      <c r="J1138">
        <v>7</v>
      </c>
      <c r="K1138">
        <v>1</v>
      </c>
      <c r="L1138">
        <v>0</v>
      </c>
      <c r="M1138" s="5" t="str">
        <f>ContinuousStatsTable[[#This Row],[ProjectName]]&amp;ContinuousStatsTable[[#This Row],[Name]]&amp;ContinuousStatsTable[[#This Row],[Type]]&amp;ContinuousStatsTable[[#This Row],[Source]]</f>
        <v>Unnamed ProjectPFisica.QueueNumber WaitingQueue</v>
      </c>
      <c r="N1138" s="5" cm="1">
        <f t="array" ref="N1138">MAX(IF((ProjectInfoTable[ProjectName]=ContinuousStatsTable[[#This Row],[ProjectName]]),(ProjectInfoTable[ProjectName]=ContinuousStatsTable[[#This Row],[ProjectName]])*ProjectInfoTable[NumberOfReplications]))</f>
        <v>30</v>
      </c>
      <c r="O1138" s="5" cm="1">
        <f t="array" ref="O1138">IFERROR(AVERAGE(IF((ContinuousStatsTable[GroupByKey]=ContinuousStatsTable[[#This Row],[GroupByKey]]),(ContinuousStatsTable[GroupByKey]=ContinuousStatsTable[[#This Row],[GroupByKey]])*ContinuousStatsTable[Average])),0)</f>
        <v>1.3267841267475322</v>
      </c>
      <c r="P1138" s="5" cm="1">
        <f t="array" ref="P1138">IFERROR(_xlfn.STDEV.S(IF((ContinuousStatsTable[GroupByKey]=ContinuousStatsTable[[#This Row],[GroupByKey]]),(ContinuousStatsTable[GroupByKey]=ContinuousStatsTable[[#This Row],[GroupByKey]])*ContinuousStatsTable[Average])),0)</f>
        <v>1.1583357450796299</v>
      </c>
      <c r="Q1138" s="5" cm="1">
        <f t="array" ref="Q1138">MAX(IF((ProjectInfoTable[ProjectName]=ContinuousStatsTable[[#This Row],[ProjectName]]),(ProjectInfoTable[ProjectName]=ContinuousStatsTable[[#This Row],[ProjectName]])*ProjectInfoTable[ConfidenceInterval]))</f>
        <v>0.95</v>
      </c>
      <c r="R1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0.43252967563899991</v>
      </c>
      <c r="S1138" s="5" cm="1">
        <f t="array" ref="S1138">MIN(IF((ContinuousStatsTable[GroupByKey]=ContinuousStatsTable[[#This Row],[GroupByKey]]),(ContinuousStatsTable[GroupByKey]=ContinuousStatsTable[[#This Row],[GroupByKey]])*ContinuousStatsTable[Average]))</f>
        <v>4.5869485136026601E-2</v>
      </c>
      <c r="T1138" s="5" cm="1">
        <f t="array" ref="T1138">MAX(IF((ContinuousStatsTable[GroupByKey]=ContinuousStatsTable[[#This Row],[GroupByKey]]),(ContinuousStatsTable[GroupByKey]=ContinuousStatsTable[[#This Row],[GroupByKey]])*ContinuousStatsTable[Average]))</f>
        <v>4.1119263103435699</v>
      </c>
      <c r="U1138" s="5">
        <f>IF((ContinuousStatsTable[[#This Row],[RepsRequested]]&gt;1),ContinuousStatsTable[[#This Row],[HalfWidth]],ContinuousStatsTable[[#This Row],[BatchMeansHalfWidth]])</f>
        <v>0.43252967563899991</v>
      </c>
    </row>
    <row r="1139" spans="1:21" x14ac:dyDescent="0.3">
      <c r="A1139" t="s">
        <v>66</v>
      </c>
      <c r="B1139" t="s">
        <v>68</v>
      </c>
      <c r="C1139">
        <v>30</v>
      </c>
      <c r="D1139" t="s">
        <v>77</v>
      </c>
      <c r="E1139" t="s">
        <v>92</v>
      </c>
      <c r="F1139" t="s">
        <v>71</v>
      </c>
      <c r="G1139">
        <v>0</v>
      </c>
      <c r="H1139">
        <v>2E+20</v>
      </c>
      <c r="I1139">
        <v>0</v>
      </c>
      <c r="J1139">
        <v>0</v>
      </c>
      <c r="K1139">
        <v>0</v>
      </c>
      <c r="L1139">
        <v>0</v>
      </c>
      <c r="M1139" s="5" t="str">
        <f>ContinuousStatsTable[[#This Row],[ProjectName]]&amp;ContinuousStatsTable[[#This Row],[Name]]&amp;ContinuousStatsTable[[#This Row],[Type]]&amp;ContinuousStatsTable[[#This Row],[Source]]</f>
        <v>Unnamed ProjectPHall.QueueNumber WaitingQueue</v>
      </c>
      <c r="N1139" s="5" cm="1">
        <f t="array" ref="N1139">MAX(IF((ProjectInfoTable[ProjectName]=ContinuousStatsTable[[#This Row],[ProjectName]]),(ProjectInfoTable[ProjectName]=ContinuousStatsTable[[#This Row],[ProjectName]])*ProjectInfoTable[NumberOfReplications]))</f>
        <v>30</v>
      </c>
      <c r="O1139" s="5" cm="1">
        <f t="array" ref="O1139">IFERROR(AVERAGE(IF((ContinuousStatsTable[GroupByKey]=ContinuousStatsTable[[#This Row],[GroupByKey]]),(ContinuousStatsTable[GroupByKey]=ContinuousStatsTable[[#This Row],[GroupByKey]])*ContinuousStatsTable[Average])),0)</f>
        <v>0</v>
      </c>
      <c r="P1139" s="5" cm="1">
        <f t="array" ref="P1139">IFERROR(_xlfn.STDEV.S(IF((ContinuousStatsTable[GroupByKey]=ContinuousStatsTable[[#This Row],[GroupByKey]]),(ContinuousStatsTable[GroupByKey]=ContinuousStatsTable[[#This Row],[GroupByKey]])*ContinuousStatsTable[Average])),0)</f>
        <v>0</v>
      </c>
      <c r="Q1139" s="5" cm="1">
        <f t="array" ref="Q1139">MAX(IF((ProjectInfoTable[ProjectName]=ContinuousStatsTable[[#This Row],[ProjectName]]),(ProjectInfoTable[ProjectName]=ContinuousStatsTable[[#This Row],[ProjectName]])*ProjectInfoTable[ConfidenceInterval]))</f>
        <v>0.95</v>
      </c>
      <c r="R1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9" s="5" cm="1">
        <f t="array" ref="S1139">MIN(IF((ContinuousStatsTable[GroupByKey]=ContinuousStatsTable[[#This Row],[GroupByKey]]),(ContinuousStatsTable[GroupByKey]=ContinuousStatsTable[[#This Row],[GroupByKey]])*ContinuousStatsTable[Average]))</f>
        <v>0</v>
      </c>
      <c r="T1139" s="5" cm="1">
        <f t="array" ref="T1139">MAX(IF((ContinuousStatsTable[GroupByKey]=ContinuousStatsTable[[#This Row],[GroupByKey]]),(ContinuousStatsTable[GroupByKey]=ContinuousStatsTable[[#This Row],[GroupByKey]])*ContinuousStatsTable[Average]))</f>
        <v>0</v>
      </c>
      <c r="U1139" s="5">
        <f>IF((ContinuousStatsTable[[#This Row],[RepsRequested]]&gt;1),ContinuousStatsTable[[#This Row],[HalfWidth]],ContinuousStatsTable[[#This Row],[BatchMeansHalfWidth]])</f>
        <v>0</v>
      </c>
    </row>
    <row r="1140" spans="1:21" x14ac:dyDescent="0.3">
      <c r="A1140" t="s">
        <v>66</v>
      </c>
      <c r="B1140" t="s">
        <v>68</v>
      </c>
      <c r="C1140">
        <v>30</v>
      </c>
      <c r="D1140" t="s">
        <v>78</v>
      </c>
      <c r="E1140" t="s">
        <v>92</v>
      </c>
      <c r="F1140" t="s">
        <v>71</v>
      </c>
      <c r="G1140">
        <v>0</v>
      </c>
      <c r="H1140">
        <v>2E+20</v>
      </c>
      <c r="I1140">
        <v>0</v>
      </c>
      <c r="J1140">
        <v>0</v>
      </c>
      <c r="K1140">
        <v>0</v>
      </c>
      <c r="L1140">
        <v>0</v>
      </c>
      <c r="M1140" s="5" t="str">
        <f>ContinuousStatsTable[[#This Row],[ProjectName]]&amp;ContinuousStatsTable[[#This Row],[Name]]&amp;ContinuousStatsTable[[#This Row],[Type]]&amp;ContinuousStatsTable[[#This Row],[Source]]</f>
        <v>Unnamed ProjectPHistoria.QueueNumber WaitingQueue</v>
      </c>
      <c r="N1140" s="5" cm="1">
        <f t="array" ref="N1140">MAX(IF((ProjectInfoTable[ProjectName]=ContinuousStatsTable[[#This Row],[ProjectName]]),(ProjectInfoTable[ProjectName]=ContinuousStatsTable[[#This Row],[ProjectName]])*ProjectInfoTable[NumberOfReplications]))</f>
        <v>30</v>
      </c>
      <c r="O1140" s="5" cm="1">
        <f t="array" ref="O1140">IFERROR(AVERAGE(IF((ContinuousStatsTable[GroupByKey]=ContinuousStatsTable[[#This Row],[GroupByKey]]),(ContinuousStatsTable[GroupByKey]=ContinuousStatsTable[[#This Row],[GroupByKey]])*ContinuousStatsTable[Average])),0)</f>
        <v>0</v>
      </c>
      <c r="P1140" s="5" cm="1">
        <f t="array" ref="P1140">IFERROR(_xlfn.STDEV.S(IF((ContinuousStatsTable[GroupByKey]=ContinuousStatsTable[[#This Row],[GroupByKey]]),(ContinuousStatsTable[GroupByKey]=ContinuousStatsTable[[#This Row],[GroupByKey]])*ContinuousStatsTable[Average])),0)</f>
        <v>0</v>
      </c>
      <c r="Q1140" s="5" cm="1">
        <f t="array" ref="Q1140">MAX(IF((ProjectInfoTable[ProjectName]=ContinuousStatsTable[[#This Row],[ProjectName]]),(ProjectInfoTable[ProjectName]=ContinuousStatsTable[[#This Row],[ProjectName]])*ProjectInfoTable[ConfidenceInterval]))</f>
        <v>0.95</v>
      </c>
      <c r="R1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0" s="5" cm="1">
        <f t="array" ref="S1140">MIN(IF((ContinuousStatsTable[GroupByKey]=ContinuousStatsTable[[#This Row],[GroupByKey]]),(ContinuousStatsTable[GroupByKey]=ContinuousStatsTable[[#This Row],[GroupByKey]])*ContinuousStatsTable[Average]))</f>
        <v>0</v>
      </c>
      <c r="T1140" s="5" cm="1">
        <f t="array" ref="T1140">MAX(IF((ContinuousStatsTable[GroupByKey]=ContinuousStatsTable[[#This Row],[GroupByKey]]),(ContinuousStatsTable[GroupByKey]=ContinuousStatsTable[[#This Row],[GroupByKey]])*ContinuousStatsTable[Average]))</f>
        <v>0</v>
      </c>
      <c r="U1140" s="5">
        <f>IF((ContinuousStatsTable[[#This Row],[RepsRequested]]&gt;1),ContinuousStatsTable[[#This Row],[HalfWidth]],ContinuousStatsTable[[#This Row],[BatchMeansHalfWidth]])</f>
        <v>0</v>
      </c>
    </row>
    <row r="1141" spans="1:21" x14ac:dyDescent="0.3">
      <c r="A1141" t="s">
        <v>66</v>
      </c>
      <c r="B1141" t="s">
        <v>68</v>
      </c>
      <c r="C1141">
        <v>30</v>
      </c>
      <c r="D1141" t="s">
        <v>93</v>
      </c>
      <c r="E1141" t="s">
        <v>94</v>
      </c>
      <c r="F1141" t="s">
        <v>95</v>
      </c>
      <c r="G1141">
        <v>2.6023961231830001E-2</v>
      </c>
      <c r="H1141">
        <v>2E+20</v>
      </c>
      <c r="I1141">
        <v>0</v>
      </c>
      <c r="J1141">
        <v>0.15</v>
      </c>
      <c r="K1141">
        <v>0.05</v>
      </c>
      <c r="L1141">
        <v>0</v>
      </c>
      <c r="M1141" s="5" t="str">
        <f>ContinuousStatsTable[[#This Row],[ProjectName]]&amp;ContinuousStatsTable[[#This Row],[Name]]&amp;ContinuousStatsTable[[#This Row],[Type]]&amp;ContinuousStatsTable[[#This Row],[Source]]</f>
        <v>Unnamed ProjectRArteInstantaneous UtilizationResource</v>
      </c>
      <c r="N1141" s="5" cm="1">
        <f t="array" ref="N1141">MAX(IF((ProjectInfoTable[ProjectName]=ContinuousStatsTable[[#This Row],[ProjectName]]),(ProjectInfoTable[ProjectName]=ContinuousStatsTable[[#This Row],[ProjectName]])*ProjectInfoTable[NumberOfReplications]))</f>
        <v>30</v>
      </c>
      <c r="O1141" s="5" cm="1">
        <f t="array" ref="O1141">IFERROR(AVERAGE(IF((ContinuousStatsTable[GroupByKey]=ContinuousStatsTable[[#This Row],[GroupByKey]]),(ContinuousStatsTable[GroupByKey]=ContinuousStatsTable[[#This Row],[GroupByKey]])*ContinuousStatsTable[Average])),0)</f>
        <v>3.5359789427834361E-2</v>
      </c>
      <c r="P1141" s="5" cm="1">
        <f t="array" ref="P1141">IFERROR(_xlfn.STDEV.S(IF((ContinuousStatsTable[GroupByKey]=ContinuousStatsTable[[#This Row],[GroupByKey]]),(ContinuousStatsTable[GroupByKey]=ContinuousStatsTable[[#This Row],[GroupByKey]])*ContinuousStatsTable[Average])),0)</f>
        <v>6.6521615975834569E-3</v>
      </c>
      <c r="Q1141" s="5" cm="1">
        <f t="array" ref="Q1141">MAX(IF((ProjectInfoTable[ProjectName]=ContinuousStatsTable[[#This Row],[ProjectName]]),(ProjectInfoTable[ProjectName]=ContinuousStatsTable[[#This Row],[ProjectName]])*ProjectInfoTable[ConfidenceInterval]))</f>
        <v>0.95</v>
      </c>
      <c r="R1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2.4839579632442289E-3</v>
      </c>
      <c r="S1141" s="5" cm="1">
        <f t="array" ref="S1141">MIN(IF((ContinuousStatsTable[GroupByKey]=ContinuousStatsTable[[#This Row],[GroupByKey]]),(ContinuousStatsTable[GroupByKey]=ContinuousStatsTable[[#This Row],[GroupByKey]])*ContinuousStatsTable[Average]))</f>
        <v>2.3718114155243601E-2</v>
      </c>
      <c r="T1141" s="5" cm="1">
        <f t="array" ref="T1141">MAX(IF((ContinuousStatsTable[GroupByKey]=ContinuousStatsTable[[#This Row],[GroupByKey]]),(ContinuousStatsTable[GroupByKey]=ContinuousStatsTable[[#This Row],[GroupByKey]])*ContinuousStatsTable[Average]))</f>
        <v>4.8583931724403701E-2</v>
      </c>
      <c r="U1141" s="5">
        <f>IF((ContinuousStatsTable[[#This Row],[RepsRequested]]&gt;1),ContinuousStatsTable[[#This Row],[HalfWidth]],ContinuousStatsTable[[#This Row],[BatchMeansHalfWidth]])</f>
        <v>2.4839579632442289E-3</v>
      </c>
    </row>
    <row r="1142" spans="1:21" x14ac:dyDescent="0.3">
      <c r="A1142" t="s">
        <v>66</v>
      </c>
      <c r="B1142" t="s">
        <v>68</v>
      </c>
      <c r="C1142">
        <v>30</v>
      </c>
      <c r="D1142" t="s">
        <v>93</v>
      </c>
      <c r="E1142" t="s">
        <v>96</v>
      </c>
      <c r="F1142" t="s">
        <v>95</v>
      </c>
      <c r="G1142">
        <v>0.52047922463660001</v>
      </c>
      <c r="H1142">
        <v>2E+20</v>
      </c>
      <c r="I1142">
        <v>0</v>
      </c>
      <c r="J1142">
        <v>3</v>
      </c>
      <c r="K1142">
        <v>1</v>
      </c>
      <c r="L1142">
        <v>0</v>
      </c>
      <c r="M1142" s="5" t="str">
        <f>ContinuousStatsTable[[#This Row],[ProjectName]]&amp;ContinuousStatsTable[[#This Row],[Name]]&amp;ContinuousStatsTable[[#This Row],[Type]]&amp;ContinuousStatsTable[[#This Row],[Source]]</f>
        <v>Unnamed ProjectRArteNumber BusyResource</v>
      </c>
      <c r="N1142" s="5" cm="1">
        <f t="array" ref="N1142">MAX(IF((ProjectInfoTable[ProjectName]=ContinuousStatsTable[[#This Row],[ProjectName]]),(ProjectInfoTable[ProjectName]=ContinuousStatsTable[[#This Row],[ProjectName]])*ProjectInfoTable[NumberOfReplications]))</f>
        <v>30</v>
      </c>
      <c r="O1142" s="5" cm="1">
        <f t="array" ref="O1142">IFERROR(AVERAGE(IF((ContinuousStatsTable[GroupByKey]=ContinuousStatsTable[[#This Row],[GroupByKey]]),(ContinuousStatsTable[GroupByKey]=ContinuousStatsTable[[#This Row],[GroupByKey]])*ContinuousStatsTable[Average])),0)</f>
        <v>0.7071957885566873</v>
      </c>
      <c r="P1142" s="5" cm="1">
        <f t="array" ref="P1142">IFERROR(_xlfn.STDEV.S(IF((ContinuousStatsTable[GroupByKey]=ContinuousStatsTable[[#This Row],[GroupByKey]]),(ContinuousStatsTable[GroupByKey]=ContinuousStatsTable[[#This Row],[GroupByKey]])*ContinuousStatsTable[Average])),0)</f>
        <v>0.133043231951671</v>
      </c>
      <c r="Q1142" s="5" cm="1">
        <f t="array" ref="Q1142">MAX(IF((ProjectInfoTable[ProjectName]=ContinuousStatsTable[[#This Row],[ProjectName]]),(ProjectInfoTable[ProjectName]=ContinuousStatsTable[[#This Row],[ProjectName]])*ProjectInfoTable[ConfidenceInterval]))</f>
        <v>0.95</v>
      </c>
      <c r="R1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4.9679159264885281E-2</v>
      </c>
      <c r="S1142" s="5" cm="1">
        <f t="array" ref="S1142">MIN(IF((ContinuousStatsTable[GroupByKey]=ContinuousStatsTable[[#This Row],[GroupByKey]]),(ContinuousStatsTable[GroupByKey]=ContinuousStatsTable[[#This Row],[GroupByKey]])*ContinuousStatsTable[Average]))</f>
        <v>0.47436228310487299</v>
      </c>
      <c r="T1142" s="5" cm="1">
        <f t="array" ref="T1142">MAX(IF((ContinuousStatsTable[GroupByKey]=ContinuousStatsTable[[#This Row],[GroupByKey]]),(ContinuousStatsTable[GroupByKey]=ContinuousStatsTable[[#This Row],[GroupByKey]])*ContinuousStatsTable[Average]))</f>
        <v>0.97167863448807401</v>
      </c>
      <c r="U1142" s="5">
        <f>IF((ContinuousStatsTable[[#This Row],[RepsRequested]]&gt;1),ContinuousStatsTable[[#This Row],[HalfWidth]],ContinuousStatsTable[[#This Row],[BatchMeansHalfWidth]])</f>
        <v>4.9679159264885281E-2</v>
      </c>
    </row>
    <row r="1143" spans="1:21" x14ac:dyDescent="0.3">
      <c r="A1143" t="s">
        <v>66</v>
      </c>
      <c r="B1143" t="s">
        <v>68</v>
      </c>
      <c r="C1143">
        <v>30</v>
      </c>
      <c r="D1143" t="s">
        <v>93</v>
      </c>
      <c r="E1143" t="s">
        <v>97</v>
      </c>
      <c r="F1143" t="s">
        <v>95</v>
      </c>
      <c r="G1143">
        <v>20</v>
      </c>
      <c r="H1143">
        <v>2E+20</v>
      </c>
      <c r="I1143">
        <v>20</v>
      </c>
      <c r="J1143">
        <v>20</v>
      </c>
      <c r="K1143">
        <v>20</v>
      </c>
      <c r="L1143">
        <v>0</v>
      </c>
      <c r="M1143" s="5" t="str">
        <f>ContinuousStatsTable[[#This Row],[ProjectName]]&amp;ContinuousStatsTable[[#This Row],[Name]]&amp;ContinuousStatsTable[[#This Row],[Type]]&amp;ContinuousStatsTable[[#This Row],[Source]]</f>
        <v>Unnamed ProjectRArteNumber ScheduledResource</v>
      </c>
      <c r="N1143" s="5" cm="1">
        <f t="array" ref="N1143">MAX(IF((ProjectInfoTable[ProjectName]=ContinuousStatsTable[[#This Row],[ProjectName]]),(ProjectInfoTable[ProjectName]=ContinuousStatsTable[[#This Row],[ProjectName]])*ProjectInfoTable[NumberOfReplications]))</f>
        <v>30</v>
      </c>
      <c r="O1143" s="5" cm="1">
        <f t="array" ref="O1143">IFERROR(AVERAGE(IF((ContinuousStatsTable[GroupByKey]=ContinuousStatsTable[[#This Row],[GroupByKey]]),(ContinuousStatsTable[GroupByKey]=ContinuousStatsTable[[#This Row],[GroupByKey]])*ContinuousStatsTable[Average])),0)</f>
        <v>20</v>
      </c>
      <c r="P1143" s="5" cm="1">
        <f t="array" ref="P1143">IFERROR(_xlfn.STDEV.S(IF((ContinuousStatsTable[GroupByKey]=ContinuousStatsTable[[#This Row],[GroupByKey]]),(ContinuousStatsTable[GroupByKey]=ContinuousStatsTable[[#This Row],[GroupByKey]])*ContinuousStatsTable[Average])),0)</f>
        <v>0</v>
      </c>
      <c r="Q1143" s="5" cm="1">
        <f t="array" ref="Q1143">MAX(IF((ProjectInfoTable[ProjectName]=ContinuousStatsTable[[#This Row],[ProjectName]]),(ProjectInfoTable[ProjectName]=ContinuousStatsTable[[#This Row],[ProjectName]])*ProjectInfoTable[ConfidenceInterval]))</f>
        <v>0.95</v>
      </c>
      <c r="R1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3" s="5" cm="1">
        <f t="array" ref="S1143">MIN(IF((ContinuousStatsTable[GroupByKey]=ContinuousStatsTable[[#This Row],[GroupByKey]]),(ContinuousStatsTable[GroupByKey]=ContinuousStatsTable[[#This Row],[GroupByKey]])*ContinuousStatsTable[Average]))</f>
        <v>20</v>
      </c>
      <c r="T1143" s="5" cm="1">
        <f t="array" ref="T1143">MAX(IF((ContinuousStatsTable[GroupByKey]=ContinuousStatsTable[[#This Row],[GroupByKey]]),(ContinuousStatsTable[GroupByKey]=ContinuousStatsTable[[#This Row],[GroupByKey]])*ContinuousStatsTable[Average]))</f>
        <v>20</v>
      </c>
      <c r="U1143" s="5">
        <f>IF((ContinuousStatsTable[[#This Row],[RepsRequested]]&gt;1),ContinuousStatsTable[[#This Row],[HalfWidth]],ContinuousStatsTable[[#This Row],[BatchMeansHalfWidth]])</f>
        <v>0</v>
      </c>
    </row>
    <row r="1144" spans="1:21" x14ac:dyDescent="0.3">
      <c r="A1144" t="s">
        <v>66</v>
      </c>
      <c r="B1144" t="s">
        <v>68</v>
      </c>
      <c r="C1144">
        <v>30</v>
      </c>
      <c r="D1144" t="s">
        <v>98</v>
      </c>
      <c r="E1144" t="s">
        <v>94</v>
      </c>
      <c r="F1144" t="s">
        <v>95</v>
      </c>
      <c r="G1144">
        <v>0.27245872005987998</v>
      </c>
      <c r="H1144">
        <v>2E+20</v>
      </c>
      <c r="I1144">
        <v>0</v>
      </c>
      <c r="J1144">
        <v>0.65</v>
      </c>
      <c r="K1144">
        <v>0.3</v>
      </c>
      <c r="L1144">
        <v>0</v>
      </c>
      <c r="M1144" s="5" t="str">
        <f>ContinuousStatsTable[[#This Row],[ProjectName]]&amp;ContinuousStatsTable[[#This Row],[Name]]&amp;ContinuousStatsTable[[#This Row],[Type]]&amp;ContinuousStatsTable[[#This Row],[Source]]</f>
        <v>Unnamed ProjectRAstroInstantaneous UtilizationResource</v>
      </c>
      <c r="N1144" s="5" cm="1">
        <f t="array" ref="N1144">MAX(IF((ProjectInfoTable[ProjectName]=ContinuousStatsTable[[#This Row],[ProjectName]]),(ProjectInfoTable[ProjectName]=ContinuousStatsTable[[#This Row],[ProjectName]])*ProjectInfoTable[NumberOfReplications]))</f>
        <v>30</v>
      </c>
      <c r="O1144" s="5" cm="1">
        <f t="array" ref="O1144">IFERROR(AVERAGE(IF((ContinuousStatsTable[GroupByKey]=ContinuousStatsTable[[#This Row],[GroupByKey]]),(ContinuousStatsTable[GroupByKey]=ContinuousStatsTable[[#This Row],[GroupByKey]])*ContinuousStatsTable[Average])),0)</f>
        <v>0.24658598119222255</v>
      </c>
      <c r="P1144" s="5" cm="1">
        <f t="array" ref="P1144">IFERROR(_xlfn.STDEV.S(IF((ContinuousStatsTable[GroupByKey]=ContinuousStatsTable[[#This Row],[GroupByKey]]),(ContinuousStatsTable[GroupByKey]=ContinuousStatsTable[[#This Row],[GroupByKey]])*ContinuousStatsTable[Average])),0)</f>
        <v>2.3372241503878167E-2</v>
      </c>
      <c r="Q1144" s="5" cm="1">
        <f t="array" ref="Q1144">MAX(IF((ProjectInfoTable[ProjectName]=ContinuousStatsTable[[#This Row],[ProjectName]]),(ProjectInfoTable[ProjectName]=ContinuousStatsTable[[#This Row],[ProjectName]])*ProjectInfoTable[ConfidenceInterval]))</f>
        <v>0.95</v>
      </c>
      <c r="R1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8.7273384073404715E-3</v>
      </c>
      <c r="S1144" s="5" cm="1">
        <f t="array" ref="S1144">MIN(IF((ContinuousStatsTable[GroupByKey]=ContinuousStatsTable[[#This Row],[GroupByKey]]),(ContinuousStatsTable[GroupByKey]=ContinuousStatsTable[[#This Row],[GroupByKey]])*ContinuousStatsTable[Average]))</f>
        <v>0.20767736113278101</v>
      </c>
      <c r="T1144" s="5" cm="1">
        <f t="array" ref="T1144">MAX(IF((ContinuousStatsTable[GroupByKey]=ContinuousStatsTable[[#This Row],[GroupByKey]]),(ContinuousStatsTable[GroupByKey]=ContinuousStatsTable[[#This Row],[GroupByKey]])*ContinuousStatsTable[Average]))</f>
        <v>0.28501162927715501</v>
      </c>
      <c r="U1144" s="5">
        <f>IF((ContinuousStatsTable[[#This Row],[RepsRequested]]&gt;1),ContinuousStatsTable[[#This Row],[HalfWidth]],ContinuousStatsTable[[#This Row],[BatchMeansHalfWidth]])</f>
        <v>8.7273384073404715E-3</v>
      </c>
    </row>
    <row r="1145" spans="1:21" x14ac:dyDescent="0.3">
      <c r="A1145" t="s">
        <v>66</v>
      </c>
      <c r="B1145" t="s">
        <v>68</v>
      </c>
      <c r="C1145">
        <v>30</v>
      </c>
      <c r="D1145" t="s">
        <v>98</v>
      </c>
      <c r="E1145" t="s">
        <v>96</v>
      </c>
      <c r="F1145" t="s">
        <v>95</v>
      </c>
      <c r="G1145">
        <v>5.4491744011975802</v>
      </c>
      <c r="H1145">
        <v>2E+20</v>
      </c>
      <c r="I1145">
        <v>0</v>
      </c>
      <c r="J1145">
        <v>13</v>
      </c>
      <c r="K1145">
        <v>6</v>
      </c>
      <c r="L1145">
        <v>0</v>
      </c>
      <c r="M1145" s="5" t="str">
        <f>ContinuousStatsTable[[#This Row],[ProjectName]]&amp;ContinuousStatsTable[[#This Row],[Name]]&amp;ContinuousStatsTable[[#This Row],[Type]]&amp;ContinuousStatsTable[[#This Row],[Source]]</f>
        <v>Unnamed ProjectRAstroNumber BusyResource</v>
      </c>
      <c r="N1145" s="5" cm="1">
        <f t="array" ref="N1145">MAX(IF((ProjectInfoTable[ProjectName]=ContinuousStatsTable[[#This Row],[ProjectName]]),(ProjectInfoTable[ProjectName]=ContinuousStatsTable[[#This Row],[ProjectName]])*ProjectInfoTable[NumberOfReplications]))</f>
        <v>30</v>
      </c>
      <c r="O1145" s="5" cm="1">
        <f t="array" ref="O1145">IFERROR(AVERAGE(IF((ContinuousStatsTable[GroupByKey]=ContinuousStatsTable[[#This Row],[GroupByKey]]),(ContinuousStatsTable[GroupByKey]=ContinuousStatsTable[[#This Row],[GroupByKey]])*ContinuousStatsTable[Average])),0)</f>
        <v>4.9317196238444527</v>
      </c>
      <c r="P1145" s="5" cm="1">
        <f t="array" ref="P1145">IFERROR(_xlfn.STDEV.S(IF((ContinuousStatsTable[GroupByKey]=ContinuousStatsTable[[#This Row],[GroupByKey]]),(ContinuousStatsTable[GroupByKey]=ContinuousStatsTable[[#This Row],[GroupByKey]])*ContinuousStatsTable[Average])),0)</f>
        <v>0.46744483007756693</v>
      </c>
      <c r="Q1145" s="5" cm="1">
        <f t="array" ref="Q1145">MAX(IF((ProjectInfoTable[ProjectName]=ContinuousStatsTable[[#This Row],[ProjectName]]),(ProjectInfoTable[ProjectName]=ContinuousStatsTable[[#This Row],[ProjectName]])*ProjectInfoTable[ConfidenceInterval]))</f>
        <v>0.95</v>
      </c>
      <c r="R1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0.17454676814681078</v>
      </c>
      <c r="S1145" s="5" cm="1">
        <f t="array" ref="S1145">MIN(IF((ContinuousStatsTable[GroupByKey]=ContinuousStatsTable[[#This Row],[GroupByKey]]),(ContinuousStatsTable[GroupByKey]=ContinuousStatsTable[[#This Row],[GroupByKey]])*ContinuousStatsTable[Average]))</f>
        <v>4.15354722265561</v>
      </c>
      <c r="T1145" s="5" cm="1">
        <f t="array" ref="T1145">MAX(IF((ContinuousStatsTable[GroupByKey]=ContinuousStatsTable[[#This Row],[GroupByKey]]),(ContinuousStatsTable[GroupByKey]=ContinuousStatsTable[[#This Row],[GroupByKey]])*ContinuousStatsTable[Average]))</f>
        <v>5.7002325855431097</v>
      </c>
      <c r="U1145" s="5">
        <f>IF((ContinuousStatsTable[[#This Row],[RepsRequested]]&gt;1),ContinuousStatsTable[[#This Row],[HalfWidth]],ContinuousStatsTable[[#This Row],[BatchMeansHalfWidth]])</f>
        <v>0.17454676814681078</v>
      </c>
    </row>
    <row r="1146" spans="1:21" x14ac:dyDescent="0.3">
      <c r="A1146" t="s">
        <v>66</v>
      </c>
      <c r="B1146" t="s">
        <v>68</v>
      </c>
      <c r="C1146">
        <v>30</v>
      </c>
      <c r="D1146" t="s">
        <v>98</v>
      </c>
      <c r="E1146" t="s">
        <v>97</v>
      </c>
      <c r="F1146" t="s">
        <v>95</v>
      </c>
      <c r="G1146">
        <v>20</v>
      </c>
      <c r="H1146">
        <v>2E+20</v>
      </c>
      <c r="I1146">
        <v>20</v>
      </c>
      <c r="J1146">
        <v>20</v>
      </c>
      <c r="K1146">
        <v>20</v>
      </c>
      <c r="L1146">
        <v>0</v>
      </c>
      <c r="M1146" s="5" t="str">
        <f>ContinuousStatsTable[[#This Row],[ProjectName]]&amp;ContinuousStatsTable[[#This Row],[Name]]&amp;ContinuousStatsTable[[#This Row],[Type]]&amp;ContinuousStatsTable[[#This Row],[Source]]</f>
        <v>Unnamed ProjectRAstroNumber ScheduledResource</v>
      </c>
      <c r="N1146" s="5" cm="1">
        <f t="array" ref="N1146">MAX(IF((ProjectInfoTable[ProjectName]=ContinuousStatsTable[[#This Row],[ProjectName]]),(ProjectInfoTable[ProjectName]=ContinuousStatsTable[[#This Row],[ProjectName]])*ProjectInfoTable[NumberOfReplications]))</f>
        <v>30</v>
      </c>
      <c r="O1146" s="5" cm="1">
        <f t="array" ref="O1146">IFERROR(AVERAGE(IF((ContinuousStatsTable[GroupByKey]=ContinuousStatsTable[[#This Row],[GroupByKey]]),(ContinuousStatsTable[GroupByKey]=ContinuousStatsTable[[#This Row],[GroupByKey]])*ContinuousStatsTable[Average])),0)</f>
        <v>20</v>
      </c>
      <c r="P1146" s="5" cm="1">
        <f t="array" ref="P1146">IFERROR(_xlfn.STDEV.S(IF((ContinuousStatsTable[GroupByKey]=ContinuousStatsTable[[#This Row],[GroupByKey]]),(ContinuousStatsTable[GroupByKey]=ContinuousStatsTable[[#This Row],[GroupByKey]])*ContinuousStatsTable[Average])),0)</f>
        <v>0</v>
      </c>
      <c r="Q1146" s="5" cm="1">
        <f t="array" ref="Q1146">MAX(IF((ProjectInfoTable[ProjectName]=ContinuousStatsTable[[#This Row],[ProjectName]]),(ProjectInfoTable[ProjectName]=ContinuousStatsTable[[#This Row],[ProjectName]])*ProjectInfoTable[ConfidenceInterval]))</f>
        <v>0.95</v>
      </c>
      <c r="R1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6" s="5" cm="1">
        <f t="array" ref="S1146">MIN(IF((ContinuousStatsTable[GroupByKey]=ContinuousStatsTable[[#This Row],[GroupByKey]]),(ContinuousStatsTable[GroupByKey]=ContinuousStatsTable[[#This Row],[GroupByKey]])*ContinuousStatsTable[Average]))</f>
        <v>20</v>
      </c>
      <c r="T1146" s="5" cm="1">
        <f t="array" ref="T1146">MAX(IF((ContinuousStatsTable[GroupByKey]=ContinuousStatsTable[[#This Row],[GroupByKey]]),(ContinuousStatsTable[GroupByKey]=ContinuousStatsTable[[#This Row],[GroupByKey]])*ContinuousStatsTable[Average]))</f>
        <v>20</v>
      </c>
      <c r="U1146" s="5">
        <f>IF((ContinuousStatsTable[[#This Row],[RepsRequested]]&gt;1),ContinuousStatsTable[[#This Row],[HalfWidth]],ContinuousStatsTable[[#This Row],[BatchMeansHalfWidth]])</f>
        <v>0</v>
      </c>
    </row>
    <row r="1147" spans="1:21" x14ac:dyDescent="0.3">
      <c r="A1147" t="s">
        <v>66</v>
      </c>
      <c r="B1147" t="s">
        <v>68</v>
      </c>
      <c r="C1147">
        <v>30</v>
      </c>
      <c r="D1147" t="s">
        <v>99</v>
      </c>
      <c r="E1147" t="s">
        <v>94</v>
      </c>
      <c r="F1147" t="s">
        <v>95</v>
      </c>
      <c r="G1147">
        <v>0.64060465816298495</v>
      </c>
      <c r="H1147">
        <v>2E+20</v>
      </c>
      <c r="I1147">
        <v>0</v>
      </c>
      <c r="J1147">
        <v>1</v>
      </c>
      <c r="K1147">
        <v>1</v>
      </c>
      <c r="L1147">
        <v>0</v>
      </c>
      <c r="M1147" s="5" t="str">
        <f>ContinuousStatsTable[[#This Row],[ProjectName]]&amp;ContinuousStatsTable[[#This Row],[Name]]&amp;ContinuousStatsTable[[#This Row],[Type]]&amp;ContinuousStatsTable[[#This Row],[Source]]</f>
        <v>Unnamed ProjectRFisicaInstantaneous UtilizationResource</v>
      </c>
      <c r="N1147" s="5" cm="1">
        <f t="array" ref="N1147">MAX(IF((ProjectInfoTable[ProjectName]=ContinuousStatsTable[[#This Row],[ProjectName]]),(ProjectInfoTable[ProjectName]=ContinuousStatsTable[[#This Row],[ProjectName]])*ProjectInfoTable[NumberOfReplications]))</f>
        <v>30</v>
      </c>
      <c r="O1147" s="5" cm="1">
        <f t="array" ref="O1147">IFERROR(AVERAGE(IF((ContinuousStatsTable[GroupByKey]=ContinuousStatsTable[[#This Row],[GroupByKey]]),(ContinuousStatsTable[GroupByKey]=ContinuousStatsTable[[#This Row],[GroupByKey]])*ContinuousStatsTable[Average])),0)</f>
        <v>0.61071636647106631</v>
      </c>
      <c r="P1147" s="5" cm="1">
        <f t="array" ref="P1147">IFERROR(_xlfn.STDEV.S(IF((ContinuousStatsTable[GroupByKey]=ContinuousStatsTable[[#This Row],[GroupByKey]]),(ContinuousStatsTable[GroupByKey]=ContinuousStatsTable[[#This Row],[GroupByKey]])*ContinuousStatsTable[Average])),0)</f>
        <v>4.8363406640152984E-2</v>
      </c>
      <c r="Q1147" s="5" cm="1">
        <f t="array" ref="Q1147">MAX(IF((ProjectInfoTable[ProjectName]=ContinuousStatsTable[[#This Row],[ProjectName]]),(ProjectInfoTable[ProjectName]=ContinuousStatsTable[[#This Row],[ProjectName]])*ProjectInfoTable[ConfidenceInterval]))</f>
        <v>0.95</v>
      </c>
      <c r="R1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1.8059192833960565E-2</v>
      </c>
      <c r="S1147" s="5" cm="1">
        <f t="array" ref="S1147">MIN(IF((ContinuousStatsTable[GroupByKey]=ContinuousStatsTable[[#This Row],[GroupByKey]]),(ContinuousStatsTable[GroupByKey]=ContinuousStatsTable[[#This Row],[GroupByKey]])*ContinuousStatsTable[Average]))</f>
        <v>0.517215348442703</v>
      </c>
      <c r="T1147" s="5" cm="1">
        <f t="array" ref="T1147">MAX(IF((ContinuousStatsTable[GroupByKey]=ContinuousStatsTable[[#This Row],[GroupByKey]]),(ContinuousStatsTable[GroupByKey]=ContinuousStatsTable[[#This Row],[GroupByKey]])*ContinuousStatsTable[Average]))</f>
        <v>0.67770389283754395</v>
      </c>
      <c r="U1147" s="5">
        <f>IF((ContinuousStatsTable[[#This Row],[RepsRequested]]&gt;1),ContinuousStatsTable[[#This Row],[HalfWidth]],ContinuousStatsTable[[#This Row],[BatchMeansHalfWidth]])</f>
        <v>1.8059192833960565E-2</v>
      </c>
    </row>
    <row r="1148" spans="1:21" x14ac:dyDescent="0.3">
      <c r="A1148" t="s">
        <v>66</v>
      </c>
      <c r="B1148" t="s">
        <v>68</v>
      </c>
      <c r="C1148">
        <v>30</v>
      </c>
      <c r="D1148" t="s">
        <v>99</v>
      </c>
      <c r="E1148" t="s">
        <v>96</v>
      </c>
      <c r="F1148" t="s">
        <v>95</v>
      </c>
      <c r="G1148">
        <v>6.40604658162985</v>
      </c>
      <c r="H1148">
        <v>2E+20</v>
      </c>
      <c r="I1148">
        <v>0</v>
      </c>
      <c r="J1148">
        <v>10</v>
      </c>
      <c r="K1148">
        <v>10</v>
      </c>
      <c r="L1148">
        <v>0</v>
      </c>
      <c r="M1148" s="5" t="str">
        <f>ContinuousStatsTable[[#This Row],[ProjectName]]&amp;ContinuousStatsTable[[#This Row],[Name]]&amp;ContinuousStatsTable[[#This Row],[Type]]&amp;ContinuousStatsTable[[#This Row],[Source]]</f>
        <v>Unnamed ProjectRFisicaNumber BusyResource</v>
      </c>
      <c r="N1148" s="5" cm="1">
        <f t="array" ref="N1148">MAX(IF((ProjectInfoTable[ProjectName]=ContinuousStatsTable[[#This Row],[ProjectName]]),(ProjectInfoTable[ProjectName]=ContinuousStatsTable[[#This Row],[ProjectName]])*ProjectInfoTable[NumberOfReplications]))</f>
        <v>30</v>
      </c>
      <c r="O1148" s="5" cm="1">
        <f t="array" ref="O1148">IFERROR(AVERAGE(IF((ContinuousStatsTable[GroupByKey]=ContinuousStatsTable[[#This Row],[GroupByKey]]),(ContinuousStatsTable[GroupByKey]=ContinuousStatsTable[[#This Row],[GroupByKey]])*ContinuousStatsTable[Average])),0)</f>
        <v>6.1071636647106642</v>
      </c>
      <c r="P1148" s="5" cm="1">
        <f t="array" ref="P1148">IFERROR(_xlfn.STDEV.S(IF((ContinuousStatsTable[GroupByKey]=ContinuousStatsTable[[#This Row],[GroupByKey]]),(ContinuousStatsTable[GroupByKey]=ContinuousStatsTable[[#This Row],[GroupByKey]])*ContinuousStatsTable[Average])),0)</f>
        <v>0.48363406640152962</v>
      </c>
      <c r="Q1148" s="5" cm="1">
        <f t="array" ref="Q1148">MAX(IF((ProjectInfoTable[ProjectName]=ContinuousStatsTable[[#This Row],[ProjectName]]),(ProjectInfoTable[ProjectName]=ContinuousStatsTable[[#This Row],[ProjectName]])*ProjectInfoTable[ConfidenceInterval]))</f>
        <v>0.95</v>
      </c>
      <c r="R1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0.18059192833960558</v>
      </c>
      <c r="S1148" s="5" cm="1">
        <f t="array" ref="S1148">MIN(IF((ContinuousStatsTable[GroupByKey]=ContinuousStatsTable[[#This Row],[GroupByKey]]),(ContinuousStatsTable[GroupByKey]=ContinuousStatsTable[[#This Row],[GroupByKey]])*ContinuousStatsTable[Average]))</f>
        <v>5.1721534844270298</v>
      </c>
      <c r="T1148" s="5" cm="1">
        <f t="array" ref="T1148">MAX(IF((ContinuousStatsTable[GroupByKey]=ContinuousStatsTable[[#This Row],[GroupByKey]]),(ContinuousStatsTable[GroupByKey]=ContinuousStatsTable[[#This Row],[GroupByKey]])*ContinuousStatsTable[Average]))</f>
        <v>6.7770389283754398</v>
      </c>
      <c r="U1148" s="5">
        <f>IF((ContinuousStatsTable[[#This Row],[RepsRequested]]&gt;1),ContinuousStatsTable[[#This Row],[HalfWidth]],ContinuousStatsTable[[#This Row],[BatchMeansHalfWidth]])</f>
        <v>0.18059192833960558</v>
      </c>
    </row>
    <row r="1149" spans="1:21" x14ac:dyDescent="0.3">
      <c r="A1149" t="s">
        <v>66</v>
      </c>
      <c r="B1149" t="s">
        <v>68</v>
      </c>
      <c r="C1149">
        <v>30</v>
      </c>
      <c r="D1149" t="s">
        <v>99</v>
      </c>
      <c r="E1149" t="s">
        <v>97</v>
      </c>
      <c r="F1149" t="s">
        <v>95</v>
      </c>
      <c r="G1149">
        <v>10</v>
      </c>
      <c r="H1149">
        <v>2E+20</v>
      </c>
      <c r="I1149">
        <v>10</v>
      </c>
      <c r="J1149">
        <v>10</v>
      </c>
      <c r="K1149">
        <v>10</v>
      </c>
      <c r="L1149">
        <v>0</v>
      </c>
      <c r="M1149" s="5" t="str">
        <f>ContinuousStatsTable[[#This Row],[ProjectName]]&amp;ContinuousStatsTable[[#This Row],[Name]]&amp;ContinuousStatsTable[[#This Row],[Type]]&amp;ContinuousStatsTable[[#This Row],[Source]]</f>
        <v>Unnamed ProjectRFisicaNumber ScheduledResource</v>
      </c>
      <c r="N1149" s="5" cm="1">
        <f t="array" ref="N1149">MAX(IF((ProjectInfoTable[ProjectName]=ContinuousStatsTable[[#This Row],[ProjectName]]),(ProjectInfoTable[ProjectName]=ContinuousStatsTable[[#This Row],[ProjectName]])*ProjectInfoTable[NumberOfReplications]))</f>
        <v>30</v>
      </c>
      <c r="O1149" s="5" cm="1">
        <f t="array" ref="O1149">IFERROR(AVERAGE(IF((ContinuousStatsTable[GroupByKey]=ContinuousStatsTable[[#This Row],[GroupByKey]]),(ContinuousStatsTable[GroupByKey]=ContinuousStatsTable[[#This Row],[GroupByKey]])*ContinuousStatsTable[Average])),0)</f>
        <v>10</v>
      </c>
      <c r="P1149" s="5" cm="1">
        <f t="array" ref="P1149">IFERROR(_xlfn.STDEV.S(IF((ContinuousStatsTable[GroupByKey]=ContinuousStatsTable[[#This Row],[GroupByKey]]),(ContinuousStatsTable[GroupByKey]=ContinuousStatsTable[[#This Row],[GroupByKey]])*ContinuousStatsTable[Average])),0)</f>
        <v>0</v>
      </c>
      <c r="Q1149" s="5" cm="1">
        <f t="array" ref="Q1149">MAX(IF((ProjectInfoTable[ProjectName]=ContinuousStatsTable[[#This Row],[ProjectName]]),(ProjectInfoTable[ProjectName]=ContinuousStatsTable[[#This Row],[ProjectName]])*ProjectInfoTable[ConfidenceInterval]))</f>
        <v>0.95</v>
      </c>
      <c r="R1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9" s="5" cm="1">
        <f t="array" ref="S1149">MIN(IF((ContinuousStatsTable[GroupByKey]=ContinuousStatsTable[[#This Row],[GroupByKey]]),(ContinuousStatsTable[GroupByKey]=ContinuousStatsTable[[#This Row],[GroupByKey]])*ContinuousStatsTable[Average]))</f>
        <v>10</v>
      </c>
      <c r="T1149" s="5" cm="1">
        <f t="array" ref="T1149">MAX(IF((ContinuousStatsTable[GroupByKey]=ContinuousStatsTable[[#This Row],[GroupByKey]]),(ContinuousStatsTable[GroupByKey]=ContinuousStatsTable[[#This Row],[GroupByKey]])*ContinuousStatsTable[Average]))</f>
        <v>10</v>
      </c>
      <c r="U1149" s="5">
        <f>IF((ContinuousStatsTable[[#This Row],[RepsRequested]]&gt;1),ContinuousStatsTable[[#This Row],[HalfWidth]],ContinuousStatsTable[[#This Row],[BatchMeansHalfWidth]])</f>
        <v>0</v>
      </c>
    </row>
    <row r="1150" spans="1:21" x14ac:dyDescent="0.3">
      <c r="A1150" t="s">
        <v>66</v>
      </c>
      <c r="B1150" t="s">
        <v>68</v>
      </c>
      <c r="C1150">
        <v>30</v>
      </c>
      <c r="D1150" t="s">
        <v>100</v>
      </c>
      <c r="E1150" t="s">
        <v>94</v>
      </c>
      <c r="F1150" t="s">
        <v>95</v>
      </c>
      <c r="G1150">
        <v>0.165499308594004</v>
      </c>
      <c r="H1150">
        <v>2E+20</v>
      </c>
      <c r="I1150">
        <v>0</v>
      </c>
      <c r="J1150">
        <v>0.46</v>
      </c>
      <c r="K1150">
        <v>0.22</v>
      </c>
      <c r="L1150">
        <v>0</v>
      </c>
      <c r="M1150" s="5" t="str">
        <f>ContinuousStatsTable[[#This Row],[ProjectName]]&amp;ContinuousStatsTable[[#This Row],[Name]]&amp;ContinuousStatsTable[[#This Row],[Type]]&amp;ContinuousStatsTable[[#This Row],[Source]]</f>
        <v>Unnamed ProjectRHallInstantaneous UtilizationResource</v>
      </c>
      <c r="N1150" s="5" cm="1">
        <f t="array" ref="N1150">MAX(IF((ProjectInfoTable[ProjectName]=ContinuousStatsTable[[#This Row],[ProjectName]]),(ProjectInfoTable[ProjectName]=ContinuousStatsTable[[#This Row],[ProjectName]])*ProjectInfoTable[NumberOfReplications]))</f>
        <v>30</v>
      </c>
      <c r="O1150" s="5" cm="1">
        <f t="array" ref="O1150">IFERROR(AVERAGE(IF((ContinuousStatsTable[GroupByKey]=ContinuousStatsTable[[#This Row],[GroupByKey]]),(ContinuousStatsTable[GroupByKey]=ContinuousStatsTable[[#This Row],[GroupByKey]])*ContinuousStatsTable[Average])),0)</f>
        <v>0.1701720482423513</v>
      </c>
      <c r="P1150" s="5" cm="1">
        <f t="array" ref="P1150">IFERROR(_xlfn.STDEV.S(IF((ContinuousStatsTable[GroupByKey]=ContinuousStatsTable[[#This Row],[GroupByKey]]),(ContinuousStatsTable[GroupByKey]=ContinuousStatsTable[[#This Row],[GroupByKey]])*ContinuousStatsTable[Average])),0)</f>
        <v>1.3313684126308522E-2</v>
      </c>
      <c r="Q1150" s="5" cm="1">
        <f t="array" ref="Q1150">MAX(IF((ProjectInfoTable[ProjectName]=ContinuousStatsTable[[#This Row],[ProjectName]]),(ProjectInfoTable[ProjectName]=ContinuousStatsTable[[#This Row],[ProjectName]])*ProjectInfoTable[ConfidenceInterval]))</f>
        <v>0.95</v>
      </c>
      <c r="R1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4.9714113556225048E-3</v>
      </c>
      <c r="S1150" s="5" cm="1">
        <f t="array" ref="S1150">MIN(IF((ContinuousStatsTable[GroupByKey]=ContinuousStatsTable[[#This Row],[GroupByKey]]),(ContinuousStatsTable[GroupByKey]=ContinuousStatsTable[[#This Row],[GroupByKey]])*ContinuousStatsTable[Average]))</f>
        <v>0.14484829778125299</v>
      </c>
      <c r="T1150" s="5" cm="1">
        <f t="array" ref="T1150">MAX(IF((ContinuousStatsTable[GroupByKey]=ContinuousStatsTable[[#This Row],[GroupByKey]]),(ContinuousStatsTable[GroupByKey]=ContinuousStatsTable[[#This Row],[GroupByKey]])*ContinuousStatsTable[Average]))</f>
        <v>0.19609322315655101</v>
      </c>
      <c r="U1150" s="5">
        <f>IF((ContinuousStatsTable[[#This Row],[RepsRequested]]&gt;1),ContinuousStatsTable[[#This Row],[HalfWidth]],ContinuousStatsTable[[#This Row],[BatchMeansHalfWidth]])</f>
        <v>4.9714113556225048E-3</v>
      </c>
    </row>
    <row r="1151" spans="1:21" x14ac:dyDescent="0.3">
      <c r="A1151" t="s">
        <v>66</v>
      </c>
      <c r="B1151" t="s">
        <v>68</v>
      </c>
      <c r="C1151">
        <v>30</v>
      </c>
      <c r="D1151" t="s">
        <v>100</v>
      </c>
      <c r="E1151" t="s">
        <v>96</v>
      </c>
      <c r="F1151" t="s">
        <v>95</v>
      </c>
      <c r="G1151">
        <v>8.2749654297001793</v>
      </c>
      <c r="H1151">
        <v>2E+20</v>
      </c>
      <c r="I1151">
        <v>0</v>
      </c>
      <c r="J1151">
        <v>23</v>
      </c>
      <c r="K1151">
        <v>11</v>
      </c>
      <c r="L1151">
        <v>0</v>
      </c>
      <c r="M1151" s="5" t="str">
        <f>ContinuousStatsTable[[#This Row],[ProjectName]]&amp;ContinuousStatsTable[[#This Row],[Name]]&amp;ContinuousStatsTable[[#This Row],[Type]]&amp;ContinuousStatsTable[[#This Row],[Source]]</f>
        <v>Unnamed ProjectRHallNumber BusyResource</v>
      </c>
      <c r="N1151" s="5" cm="1">
        <f t="array" ref="N1151">MAX(IF((ProjectInfoTable[ProjectName]=ContinuousStatsTable[[#This Row],[ProjectName]]),(ProjectInfoTable[ProjectName]=ContinuousStatsTable[[#This Row],[ProjectName]])*ProjectInfoTable[NumberOfReplications]))</f>
        <v>30</v>
      </c>
      <c r="O1151" s="5" cm="1">
        <f t="array" ref="O1151">IFERROR(AVERAGE(IF((ContinuousStatsTable[GroupByKey]=ContinuousStatsTable[[#This Row],[GroupByKey]]),(ContinuousStatsTable[GroupByKey]=ContinuousStatsTable[[#This Row],[GroupByKey]])*ContinuousStatsTable[Average])),0)</f>
        <v>8.5086024121175594</v>
      </c>
      <c r="P1151" s="5" cm="1">
        <f t="array" ref="P1151">IFERROR(_xlfn.STDEV.S(IF((ContinuousStatsTable[GroupByKey]=ContinuousStatsTable[[#This Row],[GroupByKey]]),(ContinuousStatsTable[GroupByKey]=ContinuousStatsTable[[#This Row],[GroupByKey]])*ContinuousStatsTable[Average])),0)</f>
        <v>0.66568420631542979</v>
      </c>
      <c r="Q1151" s="5" cm="1">
        <f t="array" ref="Q1151">MAX(IF((ProjectInfoTable[ProjectName]=ContinuousStatsTable[[#This Row],[ProjectName]]),(ProjectInfoTable[ProjectName]=ContinuousStatsTable[[#This Row],[ProjectName]])*ProjectInfoTable[ConfidenceInterval]))</f>
        <v>0.95</v>
      </c>
      <c r="R1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0.24857056778112663</v>
      </c>
      <c r="S1151" s="5" cm="1">
        <f t="array" ref="S1151">MIN(IF((ContinuousStatsTable[GroupByKey]=ContinuousStatsTable[[#This Row],[GroupByKey]]),(ContinuousStatsTable[GroupByKey]=ContinuousStatsTable[[#This Row],[GroupByKey]])*ContinuousStatsTable[Average]))</f>
        <v>7.2424148890626396</v>
      </c>
      <c r="T1151" s="5" cm="1">
        <f t="array" ref="T1151">MAX(IF((ContinuousStatsTable[GroupByKey]=ContinuousStatsTable[[#This Row],[GroupByKey]]),(ContinuousStatsTable[GroupByKey]=ContinuousStatsTable[[#This Row],[GroupByKey]])*ContinuousStatsTable[Average]))</f>
        <v>9.8046611578275602</v>
      </c>
      <c r="U1151" s="5">
        <f>IF((ContinuousStatsTable[[#This Row],[RepsRequested]]&gt;1),ContinuousStatsTable[[#This Row],[HalfWidth]],ContinuousStatsTable[[#This Row],[BatchMeansHalfWidth]])</f>
        <v>0.24857056778112663</v>
      </c>
    </row>
    <row r="1152" spans="1:21" x14ac:dyDescent="0.3">
      <c r="A1152" t="s">
        <v>66</v>
      </c>
      <c r="B1152" t="s">
        <v>68</v>
      </c>
      <c r="C1152">
        <v>30</v>
      </c>
      <c r="D1152" t="s">
        <v>100</v>
      </c>
      <c r="E1152" t="s">
        <v>97</v>
      </c>
      <c r="F1152" t="s">
        <v>95</v>
      </c>
      <c r="G1152">
        <v>50</v>
      </c>
      <c r="H1152">
        <v>2E+20</v>
      </c>
      <c r="I1152">
        <v>50</v>
      </c>
      <c r="J1152">
        <v>50</v>
      </c>
      <c r="K1152">
        <v>50</v>
      </c>
      <c r="L1152">
        <v>0</v>
      </c>
      <c r="M1152" s="5" t="str">
        <f>ContinuousStatsTable[[#This Row],[ProjectName]]&amp;ContinuousStatsTable[[#This Row],[Name]]&amp;ContinuousStatsTable[[#This Row],[Type]]&amp;ContinuousStatsTable[[#This Row],[Source]]</f>
        <v>Unnamed ProjectRHallNumber ScheduledResource</v>
      </c>
      <c r="N1152" s="5" cm="1">
        <f t="array" ref="N1152">MAX(IF((ProjectInfoTable[ProjectName]=ContinuousStatsTable[[#This Row],[ProjectName]]),(ProjectInfoTable[ProjectName]=ContinuousStatsTable[[#This Row],[ProjectName]])*ProjectInfoTable[NumberOfReplications]))</f>
        <v>30</v>
      </c>
      <c r="O1152" s="5" cm="1">
        <f t="array" ref="O1152">IFERROR(AVERAGE(IF((ContinuousStatsTable[GroupByKey]=ContinuousStatsTable[[#This Row],[GroupByKey]]),(ContinuousStatsTable[GroupByKey]=ContinuousStatsTable[[#This Row],[GroupByKey]])*ContinuousStatsTable[Average])),0)</f>
        <v>50</v>
      </c>
      <c r="P1152" s="5" cm="1">
        <f t="array" ref="P1152">IFERROR(_xlfn.STDEV.S(IF((ContinuousStatsTable[GroupByKey]=ContinuousStatsTable[[#This Row],[GroupByKey]]),(ContinuousStatsTable[GroupByKey]=ContinuousStatsTable[[#This Row],[GroupByKey]])*ContinuousStatsTable[Average])),0)</f>
        <v>0</v>
      </c>
      <c r="Q1152" s="5" cm="1">
        <f t="array" ref="Q1152">MAX(IF((ProjectInfoTable[ProjectName]=ContinuousStatsTable[[#This Row],[ProjectName]]),(ProjectInfoTable[ProjectName]=ContinuousStatsTable[[#This Row],[ProjectName]])*ProjectInfoTable[ConfidenceInterval]))</f>
        <v>0.95</v>
      </c>
      <c r="R1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2" s="5" cm="1">
        <f t="array" ref="S1152">MIN(IF((ContinuousStatsTable[GroupByKey]=ContinuousStatsTable[[#This Row],[GroupByKey]]),(ContinuousStatsTable[GroupByKey]=ContinuousStatsTable[[#This Row],[GroupByKey]])*ContinuousStatsTable[Average]))</f>
        <v>50</v>
      </c>
      <c r="T1152" s="5" cm="1">
        <f t="array" ref="T1152">MAX(IF((ContinuousStatsTable[GroupByKey]=ContinuousStatsTable[[#This Row],[GroupByKey]]),(ContinuousStatsTable[GroupByKey]=ContinuousStatsTable[[#This Row],[GroupByKey]])*ContinuousStatsTable[Average]))</f>
        <v>50</v>
      </c>
      <c r="U1152" s="5">
        <f>IF((ContinuousStatsTable[[#This Row],[RepsRequested]]&gt;1),ContinuousStatsTable[[#This Row],[HalfWidth]],ContinuousStatsTable[[#This Row],[BatchMeansHalfWidth]])</f>
        <v>0</v>
      </c>
    </row>
    <row r="1153" spans="1:21" x14ac:dyDescent="0.3">
      <c r="A1153" t="s">
        <v>66</v>
      </c>
      <c r="B1153" t="s">
        <v>68</v>
      </c>
      <c r="C1153">
        <v>30</v>
      </c>
      <c r="D1153" t="s">
        <v>101</v>
      </c>
      <c r="E1153" t="s">
        <v>94</v>
      </c>
      <c r="F1153" t="s">
        <v>95</v>
      </c>
      <c r="G1153">
        <v>7.6199424822911893E-2</v>
      </c>
      <c r="H1153">
        <v>2E+20</v>
      </c>
      <c r="I1153">
        <v>0</v>
      </c>
      <c r="J1153">
        <v>0.266666666666667</v>
      </c>
      <c r="K1153">
        <v>0.133333333333333</v>
      </c>
      <c r="L1153">
        <v>0</v>
      </c>
      <c r="M1153" s="5" t="str">
        <f>ContinuousStatsTable[[#This Row],[ProjectName]]&amp;ContinuousStatsTable[[#This Row],[Name]]&amp;ContinuousStatsTable[[#This Row],[Type]]&amp;ContinuousStatsTable[[#This Row],[Source]]</f>
        <v>Unnamed ProjectRHistoriaInstantaneous UtilizationResource</v>
      </c>
      <c r="N1153" s="5" cm="1">
        <f t="array" ref="N1153">MAX(IF((ProjectInfoTable[ProjectName]=ContinuousStatsTable[[#This Row],[ProjectName]]),(ProjectInfoTable[ProjectName]=ContinuousStatsTable[[#This Row],[ProjectName]])*ProjectInfoTable[NumberOfReplications]))</f>
        <v>30</v>
      </c>
      <c r="O1153" s="5" cm="1">
        <f t="array" ref="O1153">IFERROR(AVERAGE(IF((ContinuousStatsTable[GroupByKey]=ContinuousStatsTable[[#This Row],[GroupByKey]]),(ContinuousStatsTable[GroupByKey]=ContinuousStatsTable[[#This Row],[GroupByKey]])*ContinuousStatsTable[Average])),0)</f>
        <v>9.2629789222133913E-2</v>
      </c>
      <c r="P1153" s="5" cm="1">
        <f t="array" ref="P1153">IFERROR(_xlfn.STDEV.S(IF((ContinuousStatsTable[GroupByKey]=ContinuousStatsTable[[#This Row],[GroupByKey]]),(ContinuousStatsTable[GroupByKey]=ContinuousStatsTable[[#This Row],[GroupByKey]])*ContinuousStatsTable[Average])),0)</f>
        <v>1.1199993404883861E-2</v>
      </c>
      <c r="Q1153" s="5" cm="1">
        <f t="array" ref="Q1153">MAX(IF((ProjectInfoTable[ProjectName]=ContinuousStatsTable[[#This Row],[ProjectName]]),(ProjectInfoTable[ProjectName]=ContinuousStatsTable[[#This Row],[ProjectName]])*ProjectInfoTable[ConfidenceInterval]))</f>
        <v>0.95</v>
      </c>
      <c r="R1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4.1821462690338805E-3</v>
      </c>
      <c r="S1153" s="5" cm="1">
        <f t="array" ref="S1153">MIN(IF((ContinuousStatsTable[GroupByKey]=ContinuousStatsTable[[#This Row],[GroupByKey]]),(ContinuousStatsTable[GroupByKey]=ContinuousStatsTable[[#This Row],[GroupByKey]])*ContinuousStatsTable[Average]))</f>
        <v>7.4778736536586704E-2</v>
      </c>
      <c r="T1153" s="5" cm="1">
        <f t="array" ref="T1153">MAX(IF((ContinuousStatsTable[GroupByKey]=ContinuousStatsTable[[#This Row],[GroupByKey]]),(ContinuousStatsTable[GroupByKey]=ContinuousStatsTable[[#This Row],[GroupByKey]])*ContinuousStatsTable[Average]))</f>
        <v>0.111025455742452</v>
      </c>
      <c r="U1153" s="5">
        <f>IF((ContinuousStatsTable[[#This Row],[RepsRequested]]&gt;1),ContinuousStatsTable[[#This Row],[HalfWidth]],ContinuousStatsTable[[#This Row],[BatchMeansHalfWidth]])</f>
        <v>4.1821462690338805E-3</v>
      </c>
    </row>
    <row r="1154" spans="1:21" x14ac:dyDescent="0.3">
      <c r="A1154" t="s">
        <v>66</v>
      </c>
      <c r="B1154" t="s">
        <v>68</v>
      </c>
      <c r="C1154">
        <v>30</v>
      </c>
      <c r="D1154" t="s">
        <v>101</v>
      </c>
      <c r="E1154" t="s">
        <v>96</v>
      </c>
      <c r="F1154" t="s">
        <v>95</v>
      </c>
      <c r="G1154">
        <v>1.14299137234368</v>
      </c>
      <c r="H1154">
        <v>2E+20</v>
      </c>
      <c r="I1154">
        <v>0</v>
      </c>
      <c r="J1154">
        <v>4</v>
      </c>
      <c r="K1154">
        <v>2</v>
      </c>
      <c r="L1154">
        <v>0</v>
      </c>
      <c r="M1154" s="5" t="str">
        <f>ContinuousStatsTable[[#This Row],[ProjectName]]&amp;ContinuousStatsTable[[#This Row],[Name]]&amp;ContinuousStatsTable[[#This Row],[Type]]&amp;ContinuousStatsTable[[#This Row],[Source]]</f>
        <v>Unnamed ProjectRHistoriaNumber BusyResource</v>
      </c>
      <c r="N1154" s="5" cm="1">
        <f t="array" ref="N1154">MAX(IF((ProjectInfoTable[ProjectName]=ContinuousStatsTable[[#This Row],[ProjectName]]),(ProjectInfoTable[ProjectName]=ContinuousStatsTable[[#This Row],[ProjectName]])*ProjectInfoTable[NumberOfReplications]))</f>
        <v>30</v>
      </c>
      <c r="O1154" s="5" cm="1">
        <f t="array" ref="O1154">IFERROR(AVERAGE(IF((ContinuousStatsTable[GroupByKey]=ContinuousStatsTable[[#This Row],[GroupByKey]]),(ContinuousStatsTable[GroupByKey]=ContinuousStatsTable[[#This Row],[GroupByKey]])*ContinuousStatsTable[Average])),0)</f>
        <v>1.3894468383320084</v>
      </c>
      <c r="P1154" s="5" cm="1">
        <f t="array" ref="P1154">IFERROR(_xlfn.STDEV.S(IF((ContinuousStatsTable[GroupByKey]=ContinuousStatsTable[[#This Row],[GroupByKey]]),(ContinuousStatsTable[GroupByKey]=ContinuousStatsTable[[#This Row],[GroupByKey]])*ContinuousStatsTable[Average])),0)</f>
        <v>0.16799990107325727</v>
      </c>
      <c r="Q1154" s="5" cm="1">
        <f t="array" ref="Q1154">MAX(IF((ProjectInfoTable[ProjectName]=ContinuousStatsTable[[#This Row],[ProjectName]]),(ProjectInfoTable[ProjectName]=ContinuousStatsTable[[#This Row],[ProjectName]])*ProjectInfoTable[ConfidenceInterval]))</f>
        <v>0.95</v>
      </c>
      <c r="R1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6.2732194035507963E-2</v>
      </c>
      <c r="S1154" s="5" cm="1">
        <f t="array" ref="S1154">MIN(IF((ContinuousStatsTable[GroupByKey]=ContinuousStatsTable[[#This Row],[GroupByKey]]),(ContinuousStatsTable[GroupByKey]=ContinuousStatsTable[[#This Row],[GroupByKey]])*ContinuousStatsTable[Average]))</f>
        <v>1.1216810480488</v>
      </c>
      <c r="T1154" s="5" cm="1">
        <f t="array" ref="T1154">MAX(IF((ContinuousStatsTable[GroupByKey]=ContinuousStatsTable[[#This Row],[GroupByKey]]),(ContinuousStatsTable[GroupByKey]=ContinuousStatsTable[[#This Row],[GroupByKey]])*ContinuousStatsTable[Average]))</f>
        <v>1.66538183613678</v>
      </c>
      <c r="U1154" s="5">
        <f>IF((ContinuousStatsTable[[#This Row],[RepsRequested]]&gt;1),ContinuousStatsTable[[#This Row],[HalfWidth]],ContinuousStatsTable[[#This Row],[BatchMeansHalfWidth]])</f>
        <v>6.2732194035507963E-2</v>
      </c>
    </row>
    <row r="1155" spans="1:21" x14ac:dyDescent="0.3">
      <c r="A1155" t="s">
        <v>66</v>
      </c>
      <c r="B1155" t="s">
        <v>68</v>
      </c>
      <c r="C1155">
        <v>30</v>
      </c>
      <c r="D1155" t="s">
        <v>101</v>
      </c>
      <c r="E1155" t="s">
        <v>97</v>
      </c>
      <c r="F1155" t="s">
        <v>95</v>
      </c>
      <c r="G1155">
        <v>15</v>
      </c>
      <c r="H1155">
        <v>2E+20</v>
      </c>
      <c r="I1155">
        <v>15</v>
      </c>
      <c r="J1155">
        <v>15</v>
      </c>
      <c r="K1155">
        <v>15</v>
      </c>
      <c r="L1155">
        <v>0</v>
      </c>
      <c r="M1155" s="5" t="str">
        <f>ContinuousStatsTable[[#This Row],[ProjectName]]&amp;ContinuousStatsTable[[#This Row],[Name]]&amp;ContinuousStatsTable[[#This Row],[Type]]&amp;ContinuousStatsTable[[#This Row],[Source]]</f>
        <v>Unnamed ProjectRHistoriaNumber ScheduledResource</v>
      </c>
      <c r="N1155" s="5" cm="1">
        <f t="array" ref="N1155">MAX(IF((ProjectInfoTable[ProjectName]=ContinuousStatsTable[[#This Row],[ProjectName]]),(ProjectInfoTable[ProjectName]=ContinuousStatsTable[[#This Row],[ProjectName]])*ProjectInfoTable[NumberOfReplications]))</f>
        <v>30</v>
      </c>
      <c r="O1155" s="5" cm="1">
        <f t="array" ref="O1155">IFERROR(AVERAGE(IF((ContinuousStatsTable[GroupByKey]=ContinuousStatsTable[[#This Row],[GroupByKey]]),(ContinuousStatsTable[GroupByKey]=ContinuousStatsTable[[#This Row],[GroupByKey]])*ContinuousStatsTable[Average])),0)</f>
        <v>15</v>
      </c>
      <c r="P1155" s="5" cm="1">
        <f t="array" ref="P1155">IFERROR(_xlfn.STDEV.S(IF((ContinuousStatsTable[GroupByKey]=ContinuousStatsTable[[#This Row],[GroupByKey]]),(ContinuousStatsTable[GroupByKey]=ContinuousStatsTable[[#This Row],[GroupByKey]])*ContinuousStatsTable[Average])),0)</f>
        <v>0</v>
      </c>
      <c r="Q1155" s="5" cm="1">
        <f t="array" ref="Q1155">MAX(IF((ProjectInfoTable[ProjectName]=ContinuousStatsTable[[#This Row],[ProjectName]]),(ProjectInfoTable[ProjectName]=ContinuousStatsTable[[#This Row],[ProjectName]])*ProjectInfoTable[ConfidenceInterval]))</f>
        <v>0.95</v>
      </c>
      <c r="R1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5" s="5" cm="1">
        <f t="array" ref="S1155">MIN(IF((ContinuousStatsTable[GroupByKey]=ContinuousStatsTable[[#This Row],[GroupByKey]]),(ContinuousStatsTable[GroupByKey]=ContinuousStatsTable[[#This Row],[GroupByKey]])*ContinuousStatsTable[Average]))</f>
        <v>15</v>
      </c>
      <c r="T1155" s="5" cm="1">
        <f t="array" ref="T1155">MAX(IF((ContinuousStatsTable[GroupByKey]=ContinuousStatsTable[[#This Row],[GroupByKey]]),(ContinuousStatsTable[GroupByKey]=ContinuousStatsTable[[#This Row],[GroupByKey]])*ContinuousStatsTable[Average]))</f>
        <v>15</v>
      </c>
      <c r="U1155" s="5">
        <f>IF((ContinuousStatsTable[[#This Row],[RepsRequested]]&gt;1),ContinuousStatsTable[[#This Row],[HalfWidth]],ContinuousStatsTable[[#This Row],[BatchMeansHalfWidth]])</f>
        <v>0</v>
      </c>
    </row>
    <row r="1156" spans="1:21" x14ac:dyDescent="0.3">
      <c r="A1156" t="s">
        <v>66</v>
      </c>
      <c r="B1156" t="s">
        <v>68</v>
      </c>
      <c r="C1156">
        <v>30</v>
      </c>
      <c r="D1156" t="s">
        <v>102</v>
      </c>
      <c r="E1156" t="s">
        <v>94</v>
      </c>
      <c r="F1156" t="s">
        <v>95</v>
      </c>
      <c r="G1156">
        <v>0.79884766694181297</v>
      </c>
      <c r="H1156">
        <v>2E+20</v>
      </c>
      <c r="I1156">
        <v>0</v>
      </c>
      <c r="J1156">
        <v>1</v>
      </c>
      <c r="K1156">
        <v>1</v>
      </c>
      <c r="L1156">
        <v>0</v>
      </c>
      <c r="M1156" s="5" t="str">
        <f>ContinuousStatsTable[[#This Row],[ProjectName]]&amp;ContinuousStatsTable[[#This Row],[Name]]&amp;ContinuousStatsTable[[#This Row],[Type]]&amp;ContinuousStatsTable[[#This Row],[Source]]</f>
        <v>Unnamed ProjectTornoEntradaInstantaneous UtilizationResource</v>
      </c>
      <c r="N1156" s="5" cm="1">
        <f t="array" ref="N1156">MAX(IF((ProjectInfoTable[ProjectName]=ContinuousStatsTable[[#This Row],[ProjectName]]),(ProjectInfoTable[ProjectName]=ContinuousStatsTable[[#This Row],[ProjectName]])*ProjectInfoTable[NumberOfReplications]))</f>
        <v>30</v>
      </c>
      <c r="O1156" s="5" cm="1">
        <f t="array" ref="O1156">IFERROR(AVERAGE(IF((ContinuousStatsTable[GroupByKey]=ContinuousStatsTable[[#This Row],[GroupByKey]]),(ContinuousStatsTable[GroupByKey]=ContinuousStatsTable[[#This Row],[GroupByKey]])*ContinuousStatsTable[Average])),0)</f>
        <v>0.81675650916469844</v>
      </c>
      <c r="P1156" s="5" cm="1">
        <f t="array" ref="P1156">IFERROR(_xlfn.STDEV.S(IF((ContinuousStatsTable[GroupByKey]=ContinuousStatsTable[[#This Row],[GroupByKey]]),(ContinuousStatsTable[GroupByKey]=ContinuousStatsTable[[#This Row],[GroupByKey]])*ContinuousStatsTable[Average])),0)</f>
        <v>4.9908772148696316E-2</v>
      </c>
      <c r="Q1156" s="5" cm="1">
        <f t="array" ref="Q1156">MAX(IF((ProjectInfoTable[ProjectName]=ContinuousStatsTable[[#This Row],[ProjectName]]),(ProjectInfoTable[ProjectName]=ContinuousStatsTable[[#This Row],[ProjectName]])*ProjectInfoTable[ConfidenceInterval]))</f>
        <v>0.95</v>
      </c>
      <c r="R1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1.8636241798384946E-2</v>
      </c>
      <c r="S1156" s="5" cm="1">
        <f t="array" ref="S1156">MIN(IF((ContinuousStatsTable[GroupByKey]=ContinuousStatsTable[[#This Row],[GroupByKey]]),(ContinuousStatsTable[GroupByKey]=ContinuousStatsTable[[#This Row],[GroupByKey]])*ContinuousStatsTable[Average]))</f>
        <v>0.73673947391417804</v>
      </c>
      <c r="T1156" s="5" cm="1">
        <f t="array" ref="T1156">MAX(IF((ContinuousStatsTable[GroupByKey]=ContinuousStatsTable[[#This Row],[GroupByKey]]),(ContinuousStatsTable[GroupByKey]=ContinuousStatsTable[[#This Row],[GroupByKey]])*ContinuousStatsTable[Average]))</f>
        <v>0.90592850818388704</v>
      </c>
      <c r="U1156" s="5">
        <f>IF((ContinuousStatsTable[[#This Row],[RepsRequested]]&gt;1),ContinuousStatsTable[[#This Row],[HalfWidth]],ContinuousStatsTable[[#This Row],[BatchMeansHalfWidth]])</f>
        <v>1.8636241798384946E-2</v>
      </c>
    </row>
    <row r="1157" spans="1:21" x14ac:dyDescent="0.3">
      <c r="A1157" t="s">
        <v>66</v>
      </c>
      <c r="B1157" t="s">
        <v>68</v>
      </c>
      <c r="C1157">
        <v>30</v>
      </c>
      <c r="D1157" t="s">
        <v>102</v>
      </c>
      <c r="E1157" t="s">
        <v>96</v>
      </c>
      <c r="F1157" t="s">
        <v>95</v>
      </c>
      <c r="G1157">
        <v>1.5383696143819501</v>
      </c>
      <c r="H1157">
        <v>2E+20</v>
      </c>
      <c r="I1157">
        <v>0</v>
      </c>
      <c r="J1157">
        <v>3</v>
      </c>
      <c r="K1157">
        <v>3</v>
      </c>
      <c r="L1157">
        <v>0</v>
      </c>
      <c r="M1157" s="5" t="str">
        <f>ContinuousStatsTable[[#This Row],[ProjectName]]&amp;ContinuousStatsTable[[#This Row],[Name]]&amp;ContinuousStatsTable[[#This Row],[Type]]&amp;ContinuousStatsTable[[#This Row],[Source]]</f>
        <v>Unnamed ProjectTornoEntradaNumber BusyResource</v>
      </c>
      <c r="N1157" s="5" cm="1">
        <f t="array" ref="N1157">MAX(IF((ProjectInfoTable[ProjectName]=ContinuousStatsTable[[#This Row],[ProjectName]]),(ProjectInfoTable[ProjectName]=ContinuousStatsTable[[#This Row],[ProjectName]])*ProjectInfoTable[NumberOfReplications]))</f>
        <v>30</v>
      </c>
      <c r="O1157" s="5" cm="1">
        <f t="array" ref="O1157">IFERROR(AVERAGE(IF((ContinuousStatsTable[GroupByKey]=ContinuousStatsTable[[#This Row],[GroupByKey]]),(ContinuousStatsTable[GroupByKey]=ContinuousStatsTable[[#This Row],[GroupByKey]])*ContinuousStatsTable[Average])),0)</f>
        <v>1.5778073550517886</v>
      </c>
      <c r="P1157" s="5" cm="1">
        <f t="array" ref="P1157">IFERROR(_xlfn.STDEV.S(IF((ContinuousStatsTable[GroupByKey]=ContinuousStatsTable[[#This Row],[GroupByKey]]),(ContinuousStatsTable[GroupByKey]=ContinuousStatsTable[[#This Row],[GroupByKey]])*ContinuousStatsTable[Average])),0)</f>
        <v>0.11548719863866004</v>
      </c>
      <c r="Q1157" s="5" cm="1">
        <f t="array" ref="Q1157">MAX(IF((ProjectInfoTable[ProjectName]=ContinuousStatsTable[[#This Row],[ProjectName]]),(ProjectInfoTable[ProjectName]=ContinuousStatsTable[[#This Row],[ProjectName]])*ProjectInfoTable[ConfidenceInterval]))</f>
        <v>0.95</v>
      </c>
      <c r="R1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4.3123628688677348E-2</v>
      </c>
      <c r="S1157" s="5" cm="1">
        <f t="array" ref="S1157">MIN(IF((ContinuousStatsTable[GroupByKey]=ContinuousStatsTable[[#This Row],[GroupByKey]]),(ContinuousStatsTable[GroupByKey]=ContinuousStatsTable[[#This Row],[GroupByKey]])*ContinuousStatsTable[Average]))</f>
        <v>1.3726163545041801</v>
      </c>
      <c r="T1157" s="5" cm="1">
        <f t="array" ref="T1157">MAX(IF((ContinuousStatsTable[GroupByKey]=ContinuousStatsTable[[#This Row],[GroupByKey]]),(ContinuousStatsTable[GroupByKey]=ContinuousStatsTable[[#This Row],[GroupByKey]])*ContinuousStatsTable[Average]))</f>
        <v>1.7968913949876599</v>
      </c>
      <c r="U1157" s="5">
        <f>IF((ContinuousStatsTable[[#This Row],[RepsRequested]]&gt;1),ContinuousStatsTable[[#This Row],[HalfWidth]],ContinuousStatsTable[[#This Row],[BatchMeansHalfWidth]])</f>
        <v>4.3123628688677348E-2</v>
      </c>
    </row>
    <row r="1158" spans="1:21" x14ac:dyDescent="0.3">
      <c r="A1158" t="s">
        <v>66</v>
      </c>
      <c r="B1158" t="s">
        <v>68</v>
      </c>
      <c r="C1158">
        <v>30</v>
      </c>
      <c r="D1158" t="s">
        <v>102</v>
      </c>
      <c r="E1158" t="s">
        <v>97</v>
      </c>
      <c r="F1158" t="s">
        <v>95</v>
      </c>
      <c r="G1158">
        <v>2</v>
      </c>
      <c r="H1158">
        <v>2E+20</v>
      </c>
      <c r="I1158">
        <v>1</v>
      </c>
      <c r="J1158">
        <v>3</v>
      </c>
      <c r="K1158">
        <v>1</v>
      </c>
      <c r="L1158">
        <v>0</v>
      </c>
      <c r="M1158" s="5" t="str">
        <f>ContinuousStatsTable[[#This Row],[ProjectName]]&amp;ContinuousStatsTable[[#This Row],[Name]]&amp;ContinuousStatsTable[[#This Row],[Type]]&amp;ContinuousStatsTable[[#This Row],[Source]]</f>
        <v>Unnamed ProjectTornoEntradaNumber ScheduledResource</v>
      </c>
      <c r="N1158" s="5" cm="1">
        <f t="array" ref="N1158">MAX(IF((ProjectInfoTable[ProjectName]=ContinuousStatsTable[[#This Row],[ProjectName]]),(ProjectInfoTable[ProjectName]=ContinuousStatsTable[[#This Row],[ProjectName]])*ProjectInfoTable[NumberOfReplications]))</f>
        <v>30</v>
      </c>
      <c r="O1158" s="5" cm="1">
        <f t="array" ref="O1158">IFERROR(AVERAGE(IF((ContinuousStatsTable[GroupByKey]=ContinuousStatsTable[[#This Row],[GroupByKey]]),(ContinuousStatsTable[GroupByKey]=ContinuousStatsTable[[#This Row],[GroupByKey]])*ContinuousStatsTable[Average])),0)</f>
        <v>2</v>
      </c>
      <c r="P1158" s="5" cm="1">
        <f t="array" ref="P1158">IFERROR(_xlfn.STDEV.S(IF((ContinuousStatsTable[GroupByKey]=ContinuousStatsTable[[#This Row],[GroupByKey]]),(ContinuousStatsTable[GroupByKey]=ContinuousStatsTable[[#This Row],[GroupByKey]])*ContinuousStatsTable[Average])),0)</f>
        <v>0</v>
      </c>
      <c r="Q1158" s="5" cm="1">
        <f t="array" ref="Q1158">MAX(IF((ProjectInfoTable[ProjectName]=ContinuousStatsTable[[#This Row],[ProjectName]]),(ProjectInfoTable[ProjectName]=ContinuousStatsTable[[#This Row],[ProjectName]])*ProjectInfoTable[ConfidenceInterval]))</f>
        <v>0.95</v>
      </c>
      <c r="R1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8" s="5" cm="1">
        <f t="array" ref="S1158">MIN(IF((ContinuousStatsTable[GroupByKey]=ContinuousStatsTable[[#This Row],[GroupByKey]]),(ContinuousStatsTable[GroupByKey]=ContinuousStatsTable[[#This Row],[GroupByKey]])*ContinuousStatsTable[Average]))</f>
        <v>2</v>
      </c>
      <c r="T1158" s="5" cm="1">
        <f t="array" ref="T1158">MAX(IF((ContinuousStatsTable[GroupByKey]=ContinuousStatsTable[[#This Row],[GroupByKey]]),(ContinuousStatsTable[GroupByKey]=ContinuousStatsTable[[#This Row],[GroupByKey]])*ContinuousStatsTable[Average]))</f>
        <v>2</v>
      </c>
      <c r="U1158" s="5">
        <f>IF((ContinuousStatsTable[[#This Row],[RepsRequested]]&gt;1),ContinuousStatsTable[[#This Row],[HalfWidth]],ContinuousStatsTable[[#This Row],[BatchMeansHalfWidth]])</f>
        <v>0</v>
      </c>
    </row>
    <row r="1159" spans="1:21" x14ac:dyDescent="0.3">
      <c r="A1159" t="s">
        <v>66</v>
      </c>
      <c r="B1159" t="s">
        <v>68</v>
      </c>
      <c r="C1159">
        <v>30</v>
      </c>
      <c r="D1159" t="s">
        <v>84</v>
      </c>
      <c r="E1159" t="s">
        <v>103</v>
      </c>
      <c r="F1159" t="s">
        <v>86</v>
      </c>
      <c r="G1159">
        <v>46.034895710261303</v>
      </c>
      <c r="H1159">
        <v>2E+20</v>
      </c>
      <c r="I1159">
        <v>0</v>
      </c>
      <c r="J1159">
        <v>69</v>
      </c>
      <c r="K1159">
        <v>55</v>
      </c>
      <c r="L1159">
        <v>0</v>
      </c>
      <c r="M1159" s="5" t="str">
        <f>ContinuousStatsTable[[#This Row],[ProjectName]]&amp;ContinuousStatsTable[[#This Row],[Name]]&amp;ContinuousStatsTable[[#This Row],[Type]]&amp;ContinuousStatsTable[[#This Row],[Source]]</f>
        <v>Unnamed ProjectVisitantesWIPEntity</v>
      </c>
      <c r="N1159" s="5" cm="1">
        <f t="array" ref="N1159">MAX(IF((ProjectInfoTable[ProjectName]=ContinuousStatsTable[[#This Row],[ProjectName]]),(ProjectInfoTable[ProjectName]=ContinuousStatsTable[[#This Row],[ProjectName]])*ProjectInfoTable[NumberOfReplications]))</f>
        <v>30</v>
      </c>
      <c r="O1159" s="5" cm="1">
        <f t="array" ref="O1159">IFERROR(AVERAGE(IF((ContinuousStatsTable[GroupByKey]=ContinuousStatsTable[[#This Row],[GroupByKey]]),(ContinuousStatsTable[GroupByKey]=ContinuousStatsTable[[#This Row],[GroupByKey]])*ContinuousStatsTable[Average])),0)</f>
        <v>52.654075020020599</v>
      </c>
      <c r="P1159" s="5" cm="1">
        <f t="array" ref="P1159">IFERROR(_xlfn.STDEV.S(IF((ContinuousStatsTable[GroupByKey]=ContinuousStatsTable[[#This Row],[GroupByKey]]),(ContinuousStatsTable[GroupByKey]=ContinuousStatsTable[[#This Row],[GroupByKey]])*ContinuousStatsTable[Average])),0)</f>
        <v>10.815283840242142</v>
      </c>
      <c r="Q1159" s="5" cm="1">
        <f t="array" ref="Q1159">MAX(IF((ProjectInfoTable[ProjectName]=ContinuousStatsTable[[#This Row],[ProjectName]]),(ProjectInfoTable[ProjectName]=ContinuousStatsTable[[#This Row],[ProjectName]])*ProjectInfoTable[ConfidenceInterval]))</f>
        <v>0.95</v>
      </c>
      <c r="R1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4.0384933567271259</v>
      </c>
      <c r="S1159" s="5" cm="1">
        <f t="array" ref="S1159">MIN(IF((ContinuousStatsTable[GroupByKey]=ContinuousStatsTable[[#This Row],[GroupByKey]]),(ContinuousStatsTable[GroupByKey]=ContinuousStatsTable[[#This Row],[GroupByKey]])*ContinuousStatsTable[Average]))</f>
        <v>36.709886237305</v>
      </c>
      <c r="T1159" s="5" cm="1">
        <f t="array" ref="T1159">MAX(IF((ContinuousStatsTable[GroupByKey]=ContinuousStatsTable[[#This Row],[GroupByKey]]),(ContinuousStatsTable[GroupByKey]=ContinuousStatsTable[[#This Row],[GroupByKey]])*ContinuousStatsTable[Average]))</f>
        <v>84.594951996708403</v>
      </c>
      <c r="U1159" s="5">
        <f>IF((ContinuousStatsTable[[#This Row],[RepsRequested]]&gt;1),ContinuousStatsTable[[#This Row],[HalfWidth]],ContinuousStatsTable[[#This Row],[BatchMeansHalfWidth]])</f>
        <v>4.0384933567271259</v>
      </c>
    </row>
    <row r="1160" spans="1:21" x14ac:dyDescent="0.3">
      <c r="A1160" t="s">
        <v>66</v>
      </c>
      <c r="B1160" t="s">
        <v>68</v>
      </c>
      <c r="C1160">
        <v>30</v>
      </c>
      <c r="D1160" t="s">
        <v>104</v>
      </c>
      <c r="E1160" t="s">
        <v>94</v>
      </c>
      <c r="F1160" t="s">
        <v>95</v>
      </c>
      <c r="G1160">
        <v>0</v>
      </c>
      <c r="H1160">
        <v>2E+20</v>
      </c>
      <c r="I1160">
        <v>0</v>
      </c>
      <c r="J1160">
        <v>0</v>
      </c>
      <c r="K1160">
        <v>0</v>
      </c>
      <c r="L1160">
        <v>0</v>
      </c>
      <c r="M1160" s="5" t="str">
        <f>ContinuousStatsTable[[#This Row],[ProjectName]]&amp;ContinuousStatsTable[[#This Row],[Name]]&amp;ContinuousStatsTable[[#This Row],[Type]]&amp;ContinuousStatsTable[[#This Row],[Source]]</f>
        <v>Unnamed ProjectcajeroInstantaneous UtilizationResource</v>
      </c>
      <c r="N1160" s="5" cm="1">
        <f t="array" ref="N1160">MAX(IF((ProjectInfoTable[ProjectName]=ContinuousStatsTable[[#This Row],[ProjectName]]),(ProjectInfoTable[ProjectName]=ContinuousStatsTable[[#This Row],[ProjectName]])*ProjectInfoTable[NumberOfReplications]))</f>
        <v>30</v>
      </c>
      <c r="O1160" s="5" cm="1">
        <f t="array" ref="O1160">IFERROR(AVERAGE(IF((ContinuousStatsTable[GroupByKey]=ContinuousStatsTable[[#This Row],[GroupByKey]]),(ContinuousStatsTable[GroupByKey]=ContinuousStatsTable[[#This Row],[GroupByKey]])*ContinuousStatsTable[Average])),0)</f>
        <v>0</v>
      </c>
      <c r="P1160" s="5" cm="1">
        <f t="array" ref="P1160">IFERROR(_xlfn.STDEV.S(IF((ContinuousStatsTable[GroupByKey]=ContinuousStatsTable[[#This Row],[GroupByKey]]),(ContinuousStatsTable[GroupByKey]=ContinuousStatsTable[[#This Row],[GroupByKey]])*ContinuousStatsTable[Average])),0)</f>
        <v>0</v>
      </c>
      <c r="Q1160" s="5" cm="1">
        <f t="array" ref="Q1160">MAX(IF((ProjectInfoTable[ProjectName]=ContinuousStatsTable[[#This Row],[ProjectName]]),(ProjectInfoTable[ProjectName]=ContinuousStatsTable[[#This Row],[ProjectName]])*ProjectInfoTable[ConfidenceInterval]))</f>
        <v>0.95</v>
      </c>
      <c r="R1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0" s="5" cm="1">
        <f t="array" ref="S1160">MIN(IF((ContinuousStatsTable[GroupByKey]=ContinuousStatsTable[[#This Row],[GroupByKey]]),(ContinuousStatsTable[GroupByKey]=ContinuousStatsTable[[#This Row],[GroupByKey]])*ContinuousStatsTable[Average]))</f>
        <v>0</v>
      </c>
      <c r="T1160" s="5" cm="1">
        <f t="array" ref="T1160">MAX(IF((ContinuousStatsTable[GroupByKey]=ContinuousStatsTable[[#This Row],[GroupByKey]]),(ContinuousStatsTable[GroupByKey]=ContinuousStatsTable[[#This Row],[GroupByKey]])*ContinuousStatsTable[Average]))</f>
        <v>0</v>
      </c>
      <c r="U1160" s="5">
        <f>IF((ContinuousStatsTable[[#This Row],[RepsRequested]]&gt;1),ContinuousStatsTable[[#This Row],[HalfWidth]],ContinuousStatsTable[[#This Row],[BatchMeansHalfWidth]])</f>
        <v>0</v>
      </c>
    </row>
    <row r="1161" spans="1:21" x14ac:dyDescent="0.3">
      <c r="A1161" t="s">
        <v>66</v>
      </c>
      <c r="B1161" t="s">
        <v>68</v>
      </c>
      <c r="C1161">
        <v>30</v>
      </c>
      <c r="D1161" t="s">
        <v>104</v>
      </c>
      <c r="E1161" t="s">
        <v>96</v>
      </c>
      <c r="F1161" t="s">
        <v>95</v>
      </c>
      <c r="G1161">
        <v>0</v>
      </c>
      <c r="H1161">
        <v>2E+20</v>
      </c>
      <c r="I1161">
        <v>0</v>
      </c>
      <c r="J1161">
        <v>0</v>
      </c>
      <c r="K1161">
        <v>0</v>
      </c>
      <c r="L1161">
        <v>0</v>
      </c>
      <c r="M1161" s="5" t="str">
        <f>ContinuousStatsTable[[#This Row],[ProjectName]]&amp;ContinuousStatsTable[[#This Row],[Name]]&amp;ContinuousStatsTable[[#This Row],[Type]]&amp;ContinuousStatsTable[[#This Row],[Source]]</f>
        <v>Unnamed ProjectcajeroNumber BusyResource</v>
      </c>
      <c r="N1161" s="5" cm="1">
        <f t="array" ref="N1161">MAX(IF((ProjectInfoTable[ProjectName]=ContinuousStatsTable[[#This Row],[ProjectName]]),(ProjectInfoTable[ProjectName]=ContinuousStatsTable[[#This Row],[ProjectName]])*ProjectInfoTable[NumberOfReplications]))</f>
        <v>30</v>
      </c>
      <c r="O1161" s="5" cm="1">
        <f t="array" ref="O1161">IFERROR(AVERAGE(IF((ContinuousStatsTable[GroupByKey]=ContinuousStatsTable[[#This Row],[GroupByKey]]),(ContinuousStatsTable[GroupByKey]=ContinuousStatsTable[[#This Row],[GroupByKey]])*ContinuousStatsTable[Average])),0)</f>
        <v>0</v>
      </c>
      <c r="P1161" s="5" cm="1">
        <f t="array" ref="P1161">IFERROR(_xlfn.STDEV.S(IF((ContinuousStatsTable[GroupByKey]=ContinuousStatsTable[[#This Row],[GroupByKey]]),(ContinuousStatsTable[GroupByKey]=ContinuousStatsTable[[#This Row],[GroupByKey]])*ContinuousStatsTable[Average])),0)</f>
        <v>0</v>
      </c>
      <c r="Q1161" s="5" cm="1">
        <f t="array" ref="Q1161">MAX(IF((ProjectInfoTable[ProjectName]=ContinuousStatsTable[[#This Row],[ProjectName]]),(ProjectInfoTable[ProjectName]=ContinuousStatsTable[[#This Row],[ProjectName]])*ProjectInfoTable[ConfidenceInterval]))</f>
        <v>0.95</v>
      </c>
      <c r="R1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1" s="5" cm="1">
        <f t="array" ref="S1161">MIN(IF((ContinuousStatsTable[GroupByKey]=ContinuousStatsTable[[#This Row],[GroupByKey]]),(ContinuousStatsTable[GroupByKey]=ContinuousStatsTable[[#This Row],[GroupByKey]])*ContinuousStatsTable[Average]))</f>
        <v>0</v>
      </c>
      <c r="T1161" s="5" cm="1">
        <f t="array" ref="T1161">MAX(IF((ContinuousStatsTable[GroupByKey]=ContinuousStatsTable[[#This Row],[GroupByKey]]),(ContinuousStatsTable[GroupByKey]=ContinuousStatsTable[[#This Row],[GroupByKey]])*ContinuousStatsTable[Average]))</f>
        <v>0</v>
      </c>
      <c r="U1161" s="5">
        <f>IF((ContinuousStatsTable[[#This Row],[RepsRequested]]&gt;1),ContinuousStatsTable[[#This Row],[HalfWidth]],ContinuousStatsTable[[#This Row],[BatchMeansHalfWidth]])</f>
        <v>0</v>
      </c>
    </row>
    <row r="1162" spans="1:21" x14ac:dyDescent="0.3">
      <c r="A1162" t="s">
        <v>66</v>
      </c>
      <c r="B1162" t="s">
        <v>68</v>
      </c>
      <c r="C1162">
        <v>30</v>
      </c>
      <c r="D1162" t="s">
        <v>104</v>
      </c>
      <c r="E1162" t="s">
        <v>97</v>
      </c>
      <c r="F1162" t="s">
        <v>95</v>
      </c>
      <c r="G1162">
        <v>3</v>
      </c>
      <c r="H1162">
        <v>2E+20</v>
      </c>
      <c r="I1162">
        <v>3</v>
      </c>
      <c r="J1162">
        <v>3</v>
      </c>
      <c r="K1162">
        <v>3</v>
      </c>
      <c r="L1162">
        <v>0</v>
      </c>
      <c r="M1162" s="5" t="str">
        <f>ContinuousStatsTable[[#This Row],[ProjectName]]&amp;ContinuousStatsTable[[#This Row],[Name]]&amp;ContinuousStatsTable[[#This Row],[Type]]&amp;ContinuousStatsTable[[#This Row],[Source]]</f>
        <v>Unnamed ProjectcajeroNumber ScheduledResource</v>
      </c>
      <c r="N1162" s="5" cm="1">
        <f t="array" ref="N1162">MAX(IF((ProjectInfoTable[ProjectName]=ContinuousStatsTable[[#This Row],[ProjectName]]),(ProjectInfoTable[ProjectName]=ContinuousStatsTable[[#This Row],[ProjectName]])*ProjectInfoTable[NumberOfReplications]))</f>
        <v>30</v>
      </c>
      <c r="O1162" s="5" cm="1">
        <f t="array" ref="O1162">IFERROR(AVERAGE(IF((ContinuousStatsTable[GroupByKey]=ContinuousStatsTable[[#This Row],[GroupByKey]]),(ContinuousStatsTable[GroupByKey]=ContinuousStatsTable[[#This Row],[GroupByKey]])*ContinuousStatsTable[Average])),0)</f>
        <v>3</v>
      </c>
      <c r="P1162" s="5" cm="1">
        <f t="array" ref="P1162">IFERROR(_xlfn.STDEV.S(IF((ContinuousStatsTable[GroupByKey]=ContinuousStatsTable[[#This Row],[GroupByKey]]),(ContinuousStatsTable[GroupByKey]=ContinuousStatsTable[[#This Row],[GroupByKey]])*ContinuousStatsTable[Average])),0)</f>
        <v>0</v>
      </c>
      <c r="Q1162" s="5" cm="1">
        <f t="array" ref="Q1162">MAX(IF((ProjectInfoTable[ProjectName]=ContinuousStatsTable[[#This Row],[ProjectName]]),(ProjectInfoTable[ProjectName]=ContinuousStatsTable[[#This Row],[ProjectName]])*ProjectInfoTable[ConfidenceInterval]))</f>
        <v>0.95</v>
      </c>
      <c r="R1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2" s="5" cm="1">
        <f t="array" ref="S1162">MIN(IF((ContinuousStatsTable[GroupByKey]=ContinuousStatsTable[[#This Row],[GroupByKey]]),(ContinuousStatsTable[GroupByKey]=ContinuousStatsTable[[#This Row],[GroupByKey]])*ContinuousStatsTable[Average]))</f>
        <v>3</v>
      </c>
      <c r="T1162" s="5" cm="1">
        <f t="array" ref="T1162">MAX(IF((ContinuousStatsTable[GroupByKey]=ContinuousStatsTable[[#This Row],[GroupByKey]]),(ContinuousStatsTable[GroupByKey]=ContinuousStatsTable[[#This Row],[GroupByKey]])*ContinuousStatsTable[Average]))</f>
        <v>3</v>
      </c>
      <c r="U1162" s="5">
        <f>IF((ContinuousStatsTable[[#This Row],[RepsRequested]]&gt;1),ContinuousStatsTable[[#This Row],[HalfWidth]],ContinuousStatsTable[[#This Row],[BatchMeansHalfWidth]])</f>
        <v>0</v>
      </c>
    </row>
    <row r="1163" spans="1:21" x14ac:dyDescent="0.3">
      <c r="A1163" t="s">
        <v>66</v>
      </c>
      <c r="B1163" t="s">
        <v>68</v>
      </c>
      <c r="C1163">
        <v>30</v>
      </c>
      <c r="D1163" t="s">
        <v>105</v>
      </c>
      <c r="E1163" t="s">
        <v>94</v>
      </c>
      <c r="F1163" t="s">
        <v>95</v>
      </c>
      <c r="G1163">
        <v>0.76111195757864003</v>
      </c>
      <c r="H1163">
        <v>2E+20</v>
      </c>
      <c r="I1163">
        <v>0</v>
      </c>
      <c r="J1163">
        <v>1</v>
      </c>
      <c r="K1163">
        <v>1</v>
      </c>
      <c r="L1163">
        <v>0</v>
      </c>
      <c r="M1163" s="5" t="str">
        <f>ContinuousStatsTable[[#This Row],[ProjectName]]&amp;ContinuousStatsTable[[#This Row],[Name]]&amp;ContinuousStatsTable[[#This Row],[Type]]&amp;ContinuousStatsTable[[#This Row],[Source]]</f>
        <v>Unnamed ProjectticketsaInstantaneous UtilizationResource</v>
      </c>
      <c r="N1163" s="5" cm="1">
        <f t="array" ref="N1163">MAX(IF((ProjectInfoTable[ProjectName]=ContinuousStatsTable[[#This Row],[ProjectName]]),(ProjectInfoTable[ProjectName]=ContinuousStatsTable[[#This Row],[ProjectName]])*ProjectInfoTable[NumberOfReplications]))</f>
        <v>30</v>
      </c>
      <c r="O1163" s="5" cm="1">
        <f t="array" ref="O1163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163" s="5" cm="1">
        <f t="array" ref="P1163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163" s="5" cm="1">
        <f t="array" ref="Q1163">MAX(IF((ProjectInfoTable[ProjectName]=ContinuousStatsTable[[#This Row],[ProjectName]]),(ProjectInfoTable[ProjectName]=ContinuousStatsTable[[#This Row],[ProjectName]])*ProjectInfoTable[ConfidenceInterval]))</f>
        <v>0.95</v>
      </c>
      <c r="R1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163" s="5" cm="1">
        <f t="array" ref="S1163">MIN(IF((ContinuousStatsTable[GroupByKey]=ContinuousStatsTable[[#This Row],[GroupByKey]]),(ContinuousStatsTable[GroupByKey]=ContinuousStatsTable[[#This Row],[GroupByKey]])*ContinuousStatsTable[Average]))</f>
        <v>0.634589476164233</v>
      </c>
      <c r="T1163" s="5" cm="1">
        <f t="array" ref="T1163">MAX(IF((ContinuousStatsTable[GroupByKey]=ContinuousStatsTable[[#This Row],[GroupByKey]]),(ContinuousStatsTable[GroupByKey]=ContinuousStatsTable[[#This Row],[GroupByKey]])*ContinuousStatsTable[Average]))</f>
        <v>0.99383259650362799</v>
      </c>
      <c r="U1163" s="5">
        <f>IF((ContinuousStatsTable[[#This Row],[RepsRequested]]&gt;1),ContinuousStatsTable[[#This Row],[HalfWidth]],ContinuousStatsTable[[#This Row],[BatchMeansHalfWidth]])</f>
        <v>3.9940526897700258E-2</v>
      </c>
    </row>
    <row r="1164" spans="1:21" x14ac:dyDescent="0.3">
      <c r="A1164" t="s">
        <v>66</v>
      </c>
      <c r="B1164" t="s">
        <v>68</v>
      </c>
      <c r="C1164">
        <v>30</v>
      </c>
      <c r="D1164" t="s">
        <v>105</v>
      </c>
      <c r="E1164" t="s">
        <v>96</v>
      </c>
      <c r="F1164" t="s">
        <v>95</v>
      </c>
      <c r="G1164">
        <v>0.76111195757864003</v>
      </c>
      <c r="H1164">
        <v>2E+20</v>
      </c>
      <c r="I1164">
        <v>0</v>
      </c>
      <c r="J1164">
        <v>1</v>
      </c>
      <c r="K1164">
        <v>1</v>
      </c>
      <c r="L1164">
        <v>0</v>
      </c>
      <c r="M1164" s="5" t="str">
        <f>ContinuousStatsTable[[#This Row],[ProjectName]]&amp;ContinuousStatsTable[[#This Row],[Name]]&amp;ContinuousStatsTable[[#This Row],[Type]]&amp;ContinuousStatsTable[[#This Row],[Source]]</f>
        <v>Unnamed ProjectticketsaNumber BusyResource</v>
      </c>
      <c r="N1164" s="5" cm="1">
        <f t="array" ref="N1164">MAX(IF((ProjectInfoTable[ProjectName]=ContinuousStatsTable[[#This Row],[ProjectName]]),(ProjectInfoTable[ProjectName]=ContinuousStatsTable[[#This Row],[ProjectName]])*ProjectInfoTable[NumberOfReplications]))</f>
        <v>30</v>
      </c>
      <c r="O1164" s="5" cm="1">
        <f t="array" ref="O1164">IFERROR(AVERAGE(IF((ContinuousStatsTable[GroupByKey]=ContinuousStatsTable[[#This Row],[GroupByKey]]),(ContinuousStatsTable[GroupByKey]=ContinuousStatsTable[[#This Row],[GroupByKey]])*ContinuousStatsTable[Average])),0)</f>
        <v>0.81099663999028448</v>
      </c>
      <c r="P1164" s="5" cm="1">
        <f t="array" ref="P1164">IFERROR(_xlfn.STDEV.S(IF((ContinuousStatsTable[GroupByKey]=ContinuousStatsTable[[#This Row],[GroupByKey]]),(ContinuousStatsTable[GroupByKey]=ContinuousStatsTable[[#This Row],[GroupByKey]])*ContinuousStatsTable[Average])),0)</f>
        <v>0.1069626954834289</v>
      </c>
      <c r="Q1164" s="5" cm="1">
        <f t="array" ref="Q1164">MAX(IF((ProjectInfoTable[ProjectName]=ContinuousStatsTable[[#This Row],[ProjectName]]),(ProjectInfoTable[ProjectName]=ContinuousStatsTable[[#This Row],[ProjectName]])*ProjectInfoTable[ConfidenceInterval]))</f>
        <v>0.95</v>
      </c>
      <c r="R1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3.9940526897700258E-2</v>
      </c>
      <c r="S1164" s="5" cm="1">
        <f t="array" ref="S1164">MIN(IF((ContinuousStatsTable[GroupByKey]=ContinuousStatsTable[[#This Row],[GroupByKey]]),(ContinuousStatsTable[GroupByKey]=ContinuousStatsTable[[#This Row],[GroupByKey]])*ContinuousStatsTable[Average]))</f>
        <v>0.634589476164233</v>
      </c>
      <c r="T1164" s="5" cm="1">
        <f t="array" ref="T1164">MAX(IF((ContinuousStatsTable[GroupByKey]=ContinuousStatsTable[[#This Row],[GroupByKey]]),(ContinuousStatsTable[GroupByKey]=ContinuousStatsTable[[#This Row],[GroupByKey]])*ContinuousStatsTable[Average]))</f>
        <v>0.99383259650362799</v>
      </c>
      <c r="U1164" s="5">
        <f>IF((ContinuousStatsTable[[#This Row],[RepsRequested]]&gt;1),ContinuousStatsTable[[#This Row],[HalfWidth]],ContinuousStatsTable[[#This Row],[BatchMeansHalfWidth]])</f>
        <v>3.9940526897700258E-2</v>
      </c>
    </row>
    <row r="1165" spans="1:21" x14ac:dyDescent="0.3">
      <c r="A1165" t="s">
        <v>66</v>
      </c>
      <c r="B1165" t="s">
        <v>68</v>
      </c>
      <c r="C1165">
        <v>30</v>
      </c>
      <c r="D1165" t="s">
        <v>105</v>
      </c>
      <c r="E1165" t="s">
        <v>97</v>
      </c>
      <c r="F1165" t="s">
        <v>95</v>
      </c>
      <c r="G1165">
        <v>1</v>
      </c>
      <c r="H1165">
        <v>2E+20</v>
      </c>
      <c r="I1165">
        <v>1</v>
      </c>
      <c r="J1165">
        <v>1</v>
      </c>
      <c r="K1165">
        <v>1</v>
      </c>
      <c r="L1165">
        <v>0</v>
      </c>
      <c r="M1165" s="5" t="str">
        <f>ContinuousStatsTable[[#This Row],[ProjectName]]&amp;ContinuousStatsTable[[#This Row],[Name]]&amp;ContinuousStatsTable[[#This Row],[Type]]&amp;ContinuousStatsTable[[#This Row],[Source]]</f>
        <v>Unnamed ProjectticketsaNumber ScheduledResource</v>
      </c>
      <c r="N1165" s="5" cm="1">
        <f t="array" ref="N1165">MAX(IF((ProjectInfoTable[ProjectName]=ContinuousStatsTable[[#This Row],[ProjectName]]),(ProjectInfoTable[ProjectName]=ContinuousStatsTable[[#This Row],[ProjectName]])*ProjectInfoTable[NumberOfReplications]))</f>
        <v>30</v>
      </c>
      <c r="O1165" s="5" cm="1">
        <f t="array" ref="O1165">IFERROR(AVERAGE(IF((ContinuousStatsTable[GroupByKey]=ContinuousStatsTable[[#This Row],[GroupByKey]]),(ContinuousStatsTable[GroupByKey]=ContinuousStatsTable[[#This Row],[GroupByKey]])*ContinuousStatsTable[Average])),0)</f>
        <v>1</v>
      </c>
      <c r="P1165" s="5" cm="1">
        <f t="array" ref="P1165">IFERROR(_xlfn.STDEV.S(IF((ContinuousStatsTable[GroupByKey]=ContinuousStatsTable[[#This Row],[GroupByKey]]),(ContinuousStatsTable[GroupByKey]=ContinuousStatsTable[[#This Row],[GroupByKey]])*ContinuousStatsTable[Average])),0)</f>
        <v>0</v>
      </c>
      <c r="Q1165" s="5" cm="1">
        <f t="array" ref="Q1165">MAX(IF((ProjectInfoTable[ProjectName]=ContinuousStatsTable[[#This Row],[ProjectName]]),(ProjectInfoTable[ProjectName]=ContinuousStatsTable[[#This Row],[ProjectName]])*ProjectInfoTable[ConfidenceInterval]))</f>
        <v>0.95</v>
      </c>
      <c r="R1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5" s="5" cm="1">
        <f t="array" ref="S1165">MIN(IF((ContinuousStatsTable[GroupByKey]=ContinuousStatsTable[[#This Row],[GroupByKey]]),(ContinuousStatsTable[GroupByKey]=ContinuousStatsTable[[#This Row],[GroupByKey]])*ContinuousStatsTable[Average]))</f>
        <v>1</v>
      </c>
      <c r="T1165" s="5" cm="1">
        <f t="array" ref="T1165">MAX(IF((ContinuousStatsTable[GroupByKey]=ContinuousStatsTable[[#This Row],[GroupByKey]]),(ContinuousStatsTable[GroupByKey]=ContinuousStatsTable[[#This Row],[GroupByKey]])*ContinuousStatsTable[Average]))</f>
        <v>1</v>
      </c>
      <c r="U1165" s="5">
        <f>IF((ContinuousStatsTable[[#This Row],[RepsRequested]]&gt;1),ContinuousStatsTable[[#This Row],[HalfWidth]],ContinuousStatsTable[[#This Row],[BatchMeansHalfWidth]])</f>
        <v>0</v>
      </c>
    </row>
    <row r="1166" spans="1:21" x14ac:dyDescent="0.3">
      <c r="A1166" t="s">
        <v>66</v>
      </c>
      <c r="B1166" t="s">
        <v>68</v>
      </c>
      <c r="C1166">
        <v>30</v>
      </c>
      <c r="D1166" t="s">
        <v>106</v>
      </c>
      <c r="E1166" t="s">
        <v>94</v>
      </c>
      <c r="F1166" t="s">
        <v>95</v>
      </c>
      <c r="G1166">
        <v>0.85933511688892605</v>
      </c>
      <c r="H1166">
        <v>2E+20</v>
      </c>
      <c r="I1166">
        <v>0</v>
      </c>
      <c r="J1166">
        <v>1</v>
      </c>
      <c r="K1166">
        <v>1</v>
      </c>
      <c r="L1166">
        <v>0</v>
      </c>
      <c r="M1166" s="5" t="str">
        <f>ContinuousStatsTable[[#This Row],[ProjectName]]&amp;ContinuousStatsTable[[#This Row],[Name]]&amp;ContinuousStatsTable[[#This Row],[Type]]&amp;ContinuousStatsTable[[#This Row],[Source]]</f>
        <v>Unnamed ProjectticketsbInstantaneous UtilizationResource</v>
      </c>
      <c r="N1166" s="5" cm="1">
        <f t="array" ref="N1166">MAX(IF((ProjectInfoTable[ProjectName]=ContinuousStatsTable[[#This Row],[ProjectName]]),(ProjectInfoTable[ProjectName]=ContinuousStatsTable[[#This Row],[ProjectName]])*ProjectInfoTable[NumberOfReplications]))</f>
        <v>30</v>
      </c>
      <c r="O1166" s="5" cm="1">
        <f t="array" ref="O1166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166" s="5" cm="1">
        <f t="array" ref="P1166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166" s="5" cm="1">
        <f t="array" ref="Q1166">MAX(IF((ProjectInfoTable[ProjectName]=ContinuousStatsTable[[#This Row],[ProjectName]]),(ProjectInfoTable[ProjectName]=ContinuousStatsTable[[#This Row],[ProjectName]])*ProjectInfoTable[ConfidenceInterval]))</f>
        <v>0.95</v>
      </c>
      <c r="R1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166" s="5" cm="1">
        <f t="array" ref="S1166">MIN(IF((ContinuousStatsTable[GroupByKey]=ContinuousStatsTable[[#This Row],[GroupByKey]]),(ContinuousStatsTable[GroupByKey]=ContinuousStatsTable[[#This Row],[GroupByKey]])*ContinuousStatsTable[Average]))</f>
        <v>0.74061105631083801</v>
      </c>
      <c r="T1166" s="5" cm="1">
        <f t="array" ref="T1166">MAX(IF((ContinuousStatsTable[GroupByKey]=ContinuousStatsTable[[#This Row],[GroupByKey]]),(ContinuousStatsTable[GroupByKey]=ContinuousStatsTable[[#This Row],[GroupByKey]])*ContinuousStatsTable[Average]))</f>
        <v>0.99245161744166299</v>
      </c>
      <c r="U1166" s="5">
        <f>IF((ContinuousStatsTable[[#This Row],[RepsRequested]]&gt;1),ContinuousStatsTable[[#This Row],[HalfWidth]],ContinuousStatsTable[[#This Row],[BatchMeansHalfWidth]])</f>
        <v>2.8912497794626357E-2</v>
      </c>
    </row>
    <row r="1167" spans="1:21" x14ac:dyDescent="0.3">
      <c r="A1167" t="s">
        <v>66</v>
      </c>
      <c r="B1167" t="s">
        <v>68</v>
      </c>
      <c r="C1167">
        <v>30</v>
      </c>
      <c r="D1167" t="s">
        <v>106</v>
      </c>
      <c r="E1167" t="s">
        <v>96</v>
      </c>
      <c r="F1167" t="s">
        <v>95</v>
      </c>
      <c r="G1167">
        <v>0.85933511688892605</v>
      </c>
      <c r="H1167">
        <v>2E+20</v>
      </c>
      <c r="I1167">
        <v>0</v>
      </c>
      <c r="J1167">
        <v>1</v>
      </c>
      <c r="K1167">
        <v>1</v>
      </c>
      <c r="L1167">
        <v>0</v>
      </c>
      <c r="M1167" s="5" t="str">
        <f>ContinuousStatsTable[[#This Row],[ProjectName]]&amp;ContinuousStatsTable[[#This Row],[Name]]&amp;ContinuousStatsTable[[#This Row],[Type]]&amp;ContinuousStatsTable[[#This Row],[Source]]</f>
        <v>Unnamed ProjectticketsbNumber BusyResource</v>
      </c>
      <c r="N1167" s="5" cm="1">
        <f t="array" ref="N1167">MAX(IF((ProjectInfoTable[ProjectName]=ContinuousStatsTable[[#This Row],[ProjectName]]),(ProjectInfoTable[ProjectName]=ContinuousStatsTable[[#This Row],[ProjectName]])*ProjectInfoTable[NumberOfReplications]))</f>
        <v>30</v>
      </c>
      <c r="O1167" s="5" cm="1">
        <f t="array" ref="O1167">IFERROR(AVERAGE(IF((ContinuousStatsTable[GroupByKey]=ContinuousStatsTable[[#This Row],[GroupByKey]]),(ContinuousStatsTable[GroupByKey]=ContinuousStatsTable[[#This Row],[GroupByKey]])*ContinuousStatsTable[Average])),0)</f>
        <v>0.86404173385398308</v>
      </c>
      <c r="P1167" s="5" cm="1">
        <f t="array" ref="P1167">IFERROR(_xlfn.STDEV.S(IF((ContinuousStatsTable[GroupByKey]=ContinuousStatsTable[[#This Row],[GroupByKey]]),(ContinuousStatsTable[GroupByKey]=ContinuousStatsTable[[#This Row],[GroupByKey]])*ContinuousStatsTable[Average])),0)</f>
        <v>7.7429091138254261E-2</v>
      </c>
      <c r="Q1167" s="5" cm="1">
        <f t="array" ref="Q1167">MAX(IF((ProjectInfoTable[ProjectName]=ContinuousStatsTable[[#This Row],[ProjectName]]),(ProjectInfoTable[ProjectName]=ContinuousStatsTable[[#This Row],[ProjectName]])*ProjectInfoTable[ConfidenceInterval]))</f>
        <v>0.95</v>
      </c>
      <c r="R1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2.8912497794626357E-2</v>
      </c>
      <c r="S1167" s="5" cm="1">
        <f t="array" ref="S1167">MIN(IF((ContinuousStatsTable[GroupByKey]=ContinuousStatsTable[[#This Row],[GroupByKey]]),(ContinuousStatsTable[GroupByKey]=ContinuousStatsTable[[#This Row],[GroupByKey]])*ContinuousStatsTable[Average]))</f>
        <v>0.74061105631083801</v>
      </c>
      <c r="T1167" s="5" cm="1">
        <f t="array" ref="T1167">MAX(IF((ContinuousStatsTable[GroupByKey]=ContinuousStatsTable[[#This Row],[GroupByKey]]),(ContinuousStatsTable[GroupByKey]=ContinuousStatsTable[[#This Row],[GroupByKey]])*ContinuousStatsTable[Average]))</f>
        <v>0.99245161744166299</v>
      </c>
      <c r="U1167" s="5">
        <f>IF((ContinuousStatsTable[[#This Row],[RepsRequested]]&gt;1),ContinuousStatsTable[[#This Row],[HalfWidth]],ContinuousStatsTable[[#This Row],[BatchMeansHalfWidth]])</f>
        <v>2.8912497794626357E-2</v>
      </c>
    </row>
    <row r="1168" spans="1:21" x14ac:dyDescent="0.3">
      <c r="A1168" t="s">
        <v>66</v>
      </c>
      <c r="B1168" t="s">
        <v>68</v>
      </c>
      <c r="C1168">
        <v>30</v>
      </c>
      <c r="D1168" t="s">
        <v>106</v>
      </c>
      <c r="E1168" t="s">
        <v>97</v>
      </c>
      <c r="F1168" t="s">
        <v>95</v>
      </c>
      <c r="G1168">
        <v>1</v>
      </c>
      <c r="H1168">
        <v>2E+20</v>
      </c>
      <c r="I1168">
        <v>1</v>
      </c>
      <c r="J1168">
        <v>1</v>
      </c>
      <c r="K1168">
        <v>1</v>
      </c>
      <c r="L1168">
        <v>0</v>
      </c>
      <c r="M1168" s="5" t="str">
        <f>ContinuousStatsTable[[#This Row],[ProjectName]]&amp;ContinuousStatsTable[[#This Row],[Name]]&amp;ContinuousStatsTable[[#This Row],[Type]]&amp;ContinuousStatsTable[[#This Row],[Source]]</f>
        <v>Unnamed ProjectticketsbNumber ScheduledResource</v>
      </c>
      <c r="N1168" s="5" cm="1">
        <f t="array" ref="N1168">MAX(IF((ProjectInfoTable[ProjectName]=ContinuousStatsTable[[#This Row],[ProjectName]]),(ProjectInfoTable[ProjectName]=ContinuousStatsTable[[#This Row],[ProjectName]])*ProjectInfoTable[NumberOfReplications]))</f>
        <v>30</v>
      </c>
      <c r="O1168" s="5" cm="1">
        <f t="array" ref="O1168">IFERROR(AVERAGE(IF((ContinuousStatsTable[GroupByKey]=ContinuousStatsTable[[#This Row],[GroupByKey]]),(ContinuousStatsTable[GroupByKey]=ContinuousStatsTable[[#This Row],[GroupByKey]])*ContinuousStatsTable[Average])),0)</f>
        <v>1</v>
      </c>
      <c r="P1168" s="5" cm="1">
        <f t="array" ref="P1168">IFERROR(_xlfn.STDEV.S(IF((ContinuousStatsTable[GroupByKey]=ContinuousStatsTable[[#This Row],[GroupByKey]]),(ContinuousStatsTable[GroupByKey]=ContinuousStatsTable[[#This Row],[GroupByKey]])*ContinuousStatsTable[Average])),0)</f>
        <v>0</v>
      </c>
      <c r="Q1168" s="5" cm="1">
        <f t="array" ref="Q1168">MAX(IF((ProjectInfoTable[ProjectName]=ContinuousStatsTable[[#This Row],[ProjectName]]),(ProjectInfoTable[ProjectName]=ContinuousStatsTable[[#This Row],[ProjectName]])*ProjectInfoTable[ConfidenceInterval]))</f>
        <v>0.95</v>
      </c>
      <c r="R1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8" s="5" cm="1">
        <f t="array" ref="S1168">MIN(IF((ContinuousStatsTable[GroupByKey]=ContinuousStatsTable[[#This Row],[GroupByKey]]),(ContinuousStatsTable[GroupByKey]=ContinuousStatsTable[[#This Row],[GroupByKey]])*ContinuousStatsTable[Average]))</f>
        <v>1</v>
      </c>
      <c r="T1168" s="5" cm="1">
        <f t="array" ref="T1168">MAX(IF((ContinuousStatsTable[GroupByKey]=ContinuousStatsTable[[#This Row],[GroupByKey]]),(ContinuousStatsTable[GroupByKey]=ContinuousStatsTable[[#This Row],[GroupByKey]])*ContinuousStatsTable[Average]))</f>
        <v>1</v>
      </c>
      <c r="U1168" s="5">
        <f>IF((ContinuousStatsTable[[#This Row],[RepsRequested]]&gt;1),ContinuousStatsTable[[#This Row],[HalfWidth]],ContinuousStatsTable[[#This Row],[BatchMeansHalfWidth]])</f>
        <v>0</v>
      </c>
    </row>
    <row r="1169" spans="1:21" x14ac:dyDescent="0.3">
      <c r="A1169" t="s">
        <v>66</v>
      </c>
      <c r="B1169" t="s">
        <v>68</v>
      </c>
      <c r="C1169">
        <v>30</v>
      </c>
      <c r="D1169" t="s">
        <v>107</v>
      </c>
      <c r="E1169" t="s">
        <v>94</v>
      </c>
      <c r="F1169" t="s">
        <v>95</v>
      </c>
      <c r="G1169">
        <v>0.82173395936291804</v>
      </c>
      <c r="H1169">
        <v>2E+20</v>
      </c>
      <c r="I1169">
        <v>0</v>
      </c>
      <c r="J1169">
        <v>1</v>
      </c>
      <c r="K1169">
        <v>1</v>
      </c>
      <c r="L1169">
        <v>0</v>
      </c>
      <c r="M1169" s="5" t="str">
        <f>ContinuousStatsTable[[#This Row],[ProjectName]]&amp;ContinuousStatsTable[[#This Row],[Name]]&amp;ContinuousStatsTable[[#This Row],[Type]]&amp;ContinuousStatsTable[[#This Row],[Source]]</f>
        <v>Unnamed ProjectticketscInstantaneous UtilizationResource</v>
      </c>
      <c r="N1169" s="5" cm="1">
        <f t="array" ref="N1169">MAX(IF((ProjectInfoTable[ProjectName]=ContinuousStatsTable[[#This Row],[ProjectName]]),(ProjectInfoTable[ProjectName]=ContinuousStatsTable[[#This Row],[ProjectName]])*ProjectInfoTable[NumberOfReplications]))</f>
        <v>30</v>
      </c>
      <c r="O1169" s="5" cm="1">
        <f t="array" ref="O1169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169" s="5" cm="1">
        <f t="array" ref="P1169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169" s="5" cm="1">
        <f t="array" ref="Q1169">MAX(IF((ProjectInfoTable[ProjectName]=ContinuousStatsTable[[#This Row],[ProjectName]]),(ProjectInfoTable[ProjectName]=ContinuousStatsTable[[#This Row],[ProjectName]])*ProjectInfoTable[ConfidenceInterval]))</f>
        <v>0.95</v>
      </c>
      <c r="R1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169" s="5" cm="1">
        <f t="array" ref="S1169">MIN(IF((ContinuousStatsTable[GroupByKey]=ContinuousStatsTable[[#This Row],[GroupByKey]]),(ContinuousStatsTable[GroupByKey]=ContinuousStatsTable[[#This Row],[GroupByKey]])*ContinuousStatsTable[Average]))</f>
        <v>0.73843386001690303</v>
      </c>
      <c r="T1169" s="5" cm="1">
        <f t="array" ref="T1169">MAX(IF((ContinuousStatsTable[GroupByKey]=ContinuousStatsTable[[#This Row],[GroupByKey]]),(ContinuousStatsTable[GroupByKey]=ContinuousStatsTable[[#This Row],[GroupByKey]])*ContinuousStatsTable[Average]))</f>
        <v>0.99245161744166299</v>
      </c>
      <c r="U1169" s="5">
        <f>IF((ContinuousStatsTable[[#This Row],[RepsRequested]]&gt;1),ContinuousStatsTable[[#This Row],[HalfWidth]],ContinuousStatsTable[[#This Row],[BatchMeansHalfWidth]])</f>
        <v>2.6057642646860522E-2</v>
      </c>
    </row>
    <row r="1170" spans="1:21" x14ac:dyDescent="0.3">
      <c r="A1170" t="s">
        <v>66</v>
      </c>
      <c r="B1170" t="s">
        <v>68</v>
      </c>
      <c r="C1170">
        <v>30</v>
      </c>
      <c r="D1170" t="s">
        <v>107</v>
      </c>
      <c r="E1170" t="s">
        <v>96</v>
      </c>
      <c r="F1170" t="s">
        <v>95</v>
      </c>
      <c r="G1170">
        <v>0.82173395936291804</v>
      </c>
      <c r="H1170">
        <v>2E+20</v>
      </c>
      <c r="I1170">
        <v>0</v>
      </c>
      <c r="J1170">
        <v>1</v>
      </c>
      <c r="K1170">
        <v>1</v>
      </c>
      <c r="L1170">
        <v>0</v>
      </c>
      <c r="M1170" s="5" t="str">
        <f>ContinuousStatsTable[[#This Row],[ProjectName]]&amp;ContinuousStatsTable[[#This Row],[Name]]&amp;ContinuousStatsTable[[#This Row],[Type]]&amp;ContinuousStatsTable[[#This Row],[Source]]</f>
        <v>Unnamed ProjectticketscNumber BusyResource</v>
      </c>
      <c r="N1170" s="5" cm="1">
        <f t="array" ref="N1170">MAX(IF((ProjectInfoTable[ProjectName]=ContinuousStatsTable[[#This Row],[ProjectName]]),(ProjectInfoTable[ProjectName]=ContinuousStatsTable[[#This Row],[ProjectName]])*ProjectInfoTable[NumberOfReplications]))</f>
        <v>30</v>
      </c>
      <c r="O1170" s="5" cm="1">
        <f t="array" ref="O1170">IFERROR(AVERAGE(IF((ContinuousStatsTable[GroupByKey]=ContinuousStatsTable[[#This Row],[GroupByKey]]),(ContinuousStatsTable[GroupByKey]=ContinuousStatsTable[[#This Row],[GroupByKey]])*ContinuousStatsTable[Average])),0)</f>
        <v>0.88098039877461687</v>
      </c>
      <c r="P1170" s="5" cm="1">
        <f t="array" ref="P1170">IFERROR(_xlfn.STDEV.S(IF((ContinuousStatsTable[GroupByKey]=ContinuousStatsTable[[#This Row],[GroupByKey]]),(ContinuousStatsTable[GroupByKey]=ContinuousStatsTable[[#This Row],[GroupByKey]])*ContinuousStatsTable[Average])),0)</f>
        <v>6.9783648638161486E-2</v>
      </c>
      <c r="Q1170" s="5" cm="1">
        <f t="array" ref="Q1170">MAX(IF((ProjectInfoTable[ProjectName]=ContinuousStatsTable[[#This Row],[ProjectName]]),(ProjectInfoTable[ProjectName]=ContinuousStatsTable[[#This Row],[ProjectName]])*ProjectInfoTable[ConfidenceInterval]))</f>
        <v>0.95</v>
      </c>
      <c r="R1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2.6057642646860522E-2</v>
      </c>
      <c r="S1170" s="5" cm="1">
        <f t="array" ref="S1170">MIN(IF((ContinuousStatsTable[GroupByKey]=ContinuousStatsTable[[#This Row],[GroupByKey]]),(ContinuousStatsTable[GroupByKey]=ContinuousStatsTable[[#This Row],[GroupByKey]])*ContinuousStatsTable[Average]))</f>
        <v>0.73843386001690303</v>
      </c>
      <c r="T1170" s="5" cm="1">
        <f t="array" ref="T1170">MAX(IF((ContinuousStatsTable[GroupByKey]=ContinuousStatsTable[[#This Row],[GroupByKey]]),(ContinuousStatsTable[GroupByKey]=ContinuousStatsTable[[#This Row],[GroupByKey]])*ContinuousStatsTable[Average]))</f>
        <v>0.99245161744166299</v>
      </c>
      <c r="U1170" s="5">
        <f>IF((ContinuousStatsTable[[#This Row],[RepsRequested]]&gt;1),ContinuousStatsTable[[#This Row],[HalfWidth]],ContinuousStatsTable[[#This Row],[BatchMeansHalfWidth]])</f>
        <v>2.6057642646860522E-2</v>
      </c>
    </row>
    <row r="1171" spans="1:21" x14ac:dyDescent="0.3">
      <c r="A1171" t="s">
        <v>66</v>
      </c>
      <c r="B1171" t="s">
        <v>68</v>
      </c>
      <c r="C1171">
        <v>30</v>
      </c>
      <c r="D1171" t="s">
        <v>107</v>
      </c>
      <c r="E1171" t="s">
        <v>97</v>
      </c>
      <c r="F1171" t="s">
        <v>95</v>
      </c>
      <c r="G1171">
        <v>1</v>
      </c>
      <c r="H1171">
        <v>2E+20</v>
      </c>
      <c r="I1171">
        <v>1</v>
      </c>
      <c r="J1171">
        <v>1</v>
      </c>
      <c r="K1171">
        <v>1</v>
      </c>
      <c r="L1171">
        <v>0</v>
      </c>
      <c r="M1171" s="5" t="str">
        <f>ContinuousStatsTable[[#This Row],[ProjectName]]&amp;ContinuousStatsTable[[#This Row],[Name]]&amp;ContinuousStatsTable[[#This Row],[Type]]&amp;ContinuousStatsTable[[#This Row],[Source]]</f>
        <v>Unnamed ProjectticketscNumber ScheduledResource</v>
      </c>
      <c r="N1171" s="5" cm="1">
        <f t="array" ref="N1171">MAX(IF((ProjectInfoTable[ProjectName]=ContinuousStatsTable[[#This Row],[ProjectName]]),(ProjectInfoTable[ProjectName]=ContinuousStatsTable[[#This Row],[ProjectName]])*ProjectInfoTable[NumberOfReplications]))</f>
        <v>30</v>
      </c>
      <c r="O1171" s="5" cm="1">
        <f t="array" ref="O1171">IFERROR(AVERAGE(IF((ContinuousStatsTable[GroupByKey]=ContinuousStatsTable[[#This Row],[GroupByKey]]),(ContinuousStatsTable[GroupByKey]=ContinuousStatsTable[[#This Row],[GroupByKey]])*ContinuousStatsTable[Average])),0)</f>
        <v>1</v>
      </c>
      <c r="P1171" s="5" cm="1">
        <f t="array" ref="P1171">IFERROR(_xlfn.STDEV.S(IF((ContinuousStatsTable[GroupByKey]=ContinuousStatsTable[[#This Row],[GroupByKey]]),(ContinuousStatsTable[GroupByKey]=ContinuousStatsTable[[#This Row],[GroupByKey]])*ContinuousStatsTable[Average])),0)</f>
        <v>0</v>
      </c>
      <c r="Q1171" s="5" cm="1">
        <f t="array" ref="Q1171">MAX(IF((ProjectInfoTable[ProjectName]=ContinuousStatsTable[[#This Row],[ProjectName]]),(ProjectInfoTable[ProjectName]=ContinuousStatsTable[[#This Row],[ProjectName]])*ProjectInfoTable[ConfidenceInterval]))</f>
        <v>0.95</v>
      </c>
      <c r="R1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1" s="5" cm="1">
        <f t="array" ref="S1171">MIN(IF((ContinuousStatsTable[GroupByKey]=ContinuousStatsTable[[#This Row],[GroupByKey]]),(ContinuousStatsTable[GroupByKey]=ContinuousStatsTable[[#This Row],[GroupByKey]])*ContinuousStatsTable[Average]))</f>
        <v>1</v>
      </c>
      <c r="T1171" s="5" cm="1">
        <f t="array" ref="T1171">MAX(IF((ContinuousStatsTable[GroupByKey]=ContinuousStatsTable[[#This Row],[GroupByKey]]),(ContinuousStatsTable[GroupByKey]=ContinuousStatsTable[[#This Row],[GroupByKey]])*ContinuousStatsTable[Average]))</f>
        <v>1</v>
      </c>
      <c r="U117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1171">
    <cfRule type="expression" dxfId="18" priority="9">
      <formula>H2=200000000000000000000</formula>
    </cfRule>
  </conditionalFormatting>
  <conditionalFormatting sqref="H2:H1171">
    <cfRule type="expression" dxfId="17" priority="7">
      <formula>H2=300000000000000000000</formula>
    </cfRule>
  </conditionalFormatting>
  <conditionalFormatting sqref="M2:U1171">
    <cfRule type="expression" dxfId="16" priority="5">
      <formula>MOD(ROW(),2)=0</formula>
    </cfRule>
  </conditionalFormatting>
  <conditionalFormatting sqref="U2:U117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171 U2:U117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" bestFit="1" customWidth="1"/>
    <col min="8" max="8" width="13.6640625" bestFit="1" customWidth="1"/>
    <col min="9" max="9" width="16.109375" bestFit="1" customWidth="1"/>
    <col min="10" max="10" width="10.109375" bestFit="1" customWidth="1"/>
    <col min="11" max="11" width="19" bestFit="1" customWidth="1"/>
    <col min="12" max="12" width="19.332031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91"/>
  <sheetViews>
    <sheetView workbookViewId="0">
      <selection activeCell="H2" sqref="H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29.6640625" bestFit="1" customWidth="1"/>
    <col min="5" max="5" width="18.109375" bestFit="1" customWidth="1"/>
    <col min="6" max="6" width="9" bestFit="1" customWidth="1"/>
    <col min="7" max="7" width="16" bestFit="1" customWidth="1"/>
    <col min="8" max="8" width="11.33203125" bestFit="1" customWidth="1"/>
    <col min="9" max="9" width="69.21875" bestFit="1" customWidth="1"/>
    <col min="10" max="10" width="16.109375" bestFit="1" customWidth="1"/>
    <col min="11" max="11" width="12" customWidth="1"/>
    <col min="12" max="12" width="19" bestFit="1" customWidth="1"/>
    <col min="13" max="13" width="19.332031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108</v>
      </c>
      <c r="E2" t="s">
        <v>109</v>
      </c>
      <c r="F2" t="s">
        <v>95</v>
      </c>
      <c r="G2">
        <v>30</v>
      </c>
      <c r="H2">
        <v>0</v>
      </c>
      <c r="I2" t="str">
        <f>OutputTable[[#This Row],[ProjectName]]&amp;OutputTable[[#This Row],[Name]]&amp;OutputTable[[#This Row],[Type]]&amp;OutputTable[[#This Row],[Source]]</f>
        <v>Unnamed ProjectRArte.NumberSeizedTotal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34.633333333333333</v>
      </c>
      <c r="L2" cm="1">
        <f t="array" ref="L2">IFERROR(_xlfn.STDEV.S(IF((OutputTable[GroupByKey]=OutputTable[[#This Row],[GroupByKey]]),(OutputTable[GroupByKey]=OutputTable[[#This Row],[GroupByKey]])*OutputTable[RecordedValue])),0)</f>
        <v>6.3326375903390151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2" cm="1">
        <f t="array" ref="O2">MIN(IF((OutputTable[GroupByKey]=OutputTable[[#This Row],[GroupByKey]]),(OutputTable[GroupByKey]=OutputTable[[#This Row],[GroupByKey]])*OutputTable[RecordedValue]))</f>
        <v>24</v>
      </c>
      <c r="P2" cm="1">
        <f t="array" ref="P2">MAX(IF((OutputTable[GroupByKey]=OutputTable[[#This Row],[GroupByKey]]),(OutputTable[GroupByKey]=OutputTable[[#This Row],[GroupByKey]])*OutputTable[RecordedValue]))</f>
        <v>47</v>
      </c>
    </row>
    <row r="3" spans="1:16" x14ac:dyDescent="0.3">
      <c r="A3" t="s">
        <v>66</v>
      </c>
      <c r="B3" t="s">
        <v>68</v>
      </c>
      <c r="C3">
        <v>1</v>
      </c>
      <c r="D3" t="s">
        <v>110</v>
      </c>
      <c r="E3" t="s">
        <v>111</v>
      </c>
      <c r="F3" t="s">
        <v>95</v>
      </c>
      <c r="G3">
        <v>2.8122272105489201E-2</v>
      </c>
      <c r="H3">
        <v>0</v>
      </c>
      <c r="I3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3.5359789427834361E-2</v>
      </c>
      <c r="L3" cm="1">
        <f t="array" ref="L3">IFERROR(_xlfn.STDEV.S(IF((OutputTable[GroupByKey]=OutputTable[[#This Row],[GroupByKey]]),(OutputTable[GroupByKey]=OutputTable[[#This Row],[GroupByKey]])*OutputTable[RecordedValue])),0)</f>
        <v>6.6521615975834569E-3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3" cm="1">
        <f t="array" ref="O3">MIN(IF((OutputTable[GroupByKey]=OutputTable[[#This Row],[GroupByKey]]),(OutputTable[GroupByKey]=OutputTable[[#This Row],[GroupByKey]])*OutputTable[RecordedValue]))</f>
        <v>2.3718114155243601E-2</v>
      </c>
      <c r="P3" cm="1">
        <f t="array" ref="P3">MAX(IF((OutputTable[GroupByKey]=OutputTable[[#This Row],[GroupByKey]]),(OutputTable[GroupByKey]=OutputTable[[#This Row],[GroupByKey]])*OutputTable[RecordedValue]))</f>
        <v>4.8583931724403701E-2</v>
      </c>
    </row>
    <row r="4" spans="1:16" x14ac:dyDescent="0.3">
      <c r="A4" t="s">
        <v>66</v>
      </c>
      <c r="B4" t="s">
        <v>68</v>
      </c>
      <c r="C4">
        <v>1</v>
      </c>
      <c r="D4" t="s">
        <v>112</v>
      </c>
      <c r="E4" t="s">
        <v>109</v>
      </c>
      <c r="F4" t="s">
        <v>95</v>
      </c>
      <c r="G4">
        <v>93</v>
      </c>
      <c r="H4">
        <v>0</v>
      </c>
      <c r="I4" t="str">
        <f>OutputTable[[#This Row],[ProjectName]]&amp;OutputTable[[#This Row],[Name]]&amp;OutputTable[[#This Row],[Type]]&amp;OutputTable[[#This Row],[Source]]</f>
        <v>Unnamed ProjectRAstro.NumberSeizedTotal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105.13333333333334</v>
      </c>
      <c r="L4" cm="1">
        <f t="array" ref="L4">IFERROR(_xlfn.STDEV.S(IF((OutputTable[GroupByKey]=OutputTable[[#This Row],[GroupByKey]]),(OutputTable[GroupByKey]=OutputTable[[#This Row],[GroupByKey]])*OutputTable[RecordedValue])),0)</f>
        <v>9.9020490158675578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4" cm="1">
        <f t="array" ref="O4">MIN(IF((OutputTable[GroupByKey]=OutputTable[[#This Row],[GroupByKey]]),(OutputTable[GroupByKey]=OutputTable[[#This Row],[GroupByKey]])*OutputTable[RecordedValue]))</f>
        <v>90</v>
      </c>
      <c r="P4" cm="1">
        <f t="array" ref="P4">MAX(IF((OutputTable[GroupByKey]=OutputTable[[#This Row],[GroupByKey]]),(OutputTable[GroupByKey]=OutputTable[[#This Row],[GroupByKey]])*OutputTable[RecordedValue]))</f>
        <v>120</v>
      </c>
    </row>
    <row r="5" spans="1:16" x14ac:dyDescent="0.3">
      <c r="A5" t="s">
        <v>66</v>
      </c>
      <c r="B5" t="s">
        <v>68</v>
      </c>
      <c r="C5">
        <v>1</v>
      </c>
      <c r="D5" t="s">
        <v>113</v>
      </c>
      <c r="E5" t="s">
        <v>111</v>
      </c>
      <c r="F5" t="s">
        <v>95</v>
      </c>
      <c r="G5">
        <v>0.21309577097801799</v>
      </c>
      <c r="H5">
        <v>0</v>
      </c>
      <c r="I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0.24658598119222253</v>
      </c>
      <c r="L5" cm="1">
        <f t="array" ref="L5">IFERROR(_xlfn.STDEV.S(IF((OutputTable[GroupByKey]=OutputTable[[#This Row],[GroupByKey]]),(OutputTable[GroupByKey]=OutputTable[[#This Row],[GroupByKey]])*OutputTable[RecordedValue])),0)</f>
        <v>2.3372241503878202E-2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5" cm="1">
        <f t="array" ref="O5">MIN(IF((OutputTable[GroupByKey]=OutputTable[[#This Row],[GroupByKey]]),(OutputTable[GroupByKey]=OutputTable[[#This Row],[GroupByKey]])*OutputTable[RecordedValue]))</f>
        <v>0.20767736113278101</v>
      </c>
      <c r="P5" cm="1">
        <f t="array" ref="P5">MAX(IF((OutputTable[GroupByKey]=OutputTable[[#This Row],[GroupByKey]]),(OutputTable[GroupByKey]=OutputTable[[#This Row],[GroupByKey]])*OutputTable[RecordedValue]))</f>
        <v>0.28501162927715601</v>
      </c>
    </row>
    <row r="6" spans="1:16" x14ac:dyDescent="0.3">
      <c r="A6" t="s">
        <v>66</v>
      </c>
      <c r="B6" t="s">
        <v>68</v>
      </c>
      <c r="C6">
        <v>1</v>
      </c>
      <c r="D6" t="s">
        <v>114</v>
      </c>
      <c r="E6" t="s">
        <v>109</v>
      </c>
      <c r="F6" t="s">
        <v>95</v>
      </c>
      <c r="G6">
        <v>127</v>
      </c>
      <c r="H6">
        <v>0</v>
      </c>
      <c r="I6" t="str">
        <f>OutputTable[[#This Row],[ProjectName]]&amp;OutputTable[[#This Row],[Name]]&amp;OutputTable[[#This Row],[Type]]&amp;OutputTable[[#This Row],[Source]]</f>
        <v>Unnamed ProjectRFisica.NumberSeizedTotal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130.19999999999999</v>
      </c>
      <c r="L6" cm="1">
        <f t="array" ref="L6">IFERROR(_xlfn.STDEV.S(IF((OutputTable[GroupByKey]=OutputTable[[#This Row],[GroupByKey]]),(OutputTable[GroupByKey]=OutputTable[[#This Row],[GroupByKey]])*OutputTable[RecordedValue])),0)</f>
        <v>9.6932255049418501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6" cm="1">
        <f t="array" ref="O6">MIN(IF((OutputTable[GroupByKey]=OutputTable[[#This Row],[GroupByKey]]),(OutputTable[GroupByKey]=OutputTable[[#This Row],[GroupByKey]])*OutputTable[RecordedValue]))</f>
        <v>112</v>
      </c>
      <c r="P6" cm="1">
        <f t="array" ref="P6">MAX(IF((OutputTable[GroupByKey]=OutputTable[[#This Row],[GroupByKey]]),(OutputTable[GroupByKey]=OutputTable[[#This Row],[GroupByKey]])*OutputTable[RecordedValue]))</f>
        <v>150</v>
      </c>
    </row>
    <row r="7" spans="1:16" x14ac:dyDescent="0.3">
      <c r="A7" t="s">
        <v>66</v>
      </c>
      <c r="B7" t="s">
        <v>68</v>
      </c>
      <c r="C7">
        <v>1</v>
      </c>
      <c r="D7" t="s">
        <v>115</v>
      </c>
      <c r="E7" t="s">
        <v>111</v>
      </c>
      <c r="F7" t="s">
        <v>95</v>
      </c>
      <c r="G7">
        <v>0.59070684422967801</v>
      </c>
      <c r="H7">
        <v>0</v>
      </c>
      <c r="I7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0.61071636647106653</v>
      </c>
      <c r="L7" cm="1">
        <f t="array" ref="L7">IFERROR(_xlfn.STDEV.S(IF((OutputTable[GroupByKey]=OutputTable[[#This Row],[GroupByKey]]),(OutputTable[GroupByKey]=OutputTable[[#This Row],[GroupByKey]])*OutputTable[RecordedValue])),0)</f>
        <v>4.8363406640152928E-2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7" cm="1">
        <f t="array" ref="O7">MIN(IF((OutputTable[GroupByKey]=OutputTable[[#This Row],[GroupByKey]]),(OutputTable[GroupByKey]=OutputTable[[#This Row],[GroupByKey]])*OutputTable[RecordedValue]))</f>
        <v>0.517215348442703</v>
      </c>
      <c r="P7" cm="1">
        <f t="array" ref="P7">MAX(IF((OutputTable[GroupByKey]=OutputTable[[#This Row],[GroupByKey]]),(OutputTable[GroupByKey]=OutputTable[[#This Row],[GroupByKey]])*OutputTable[RecordedValue]))</f>
        <v>0.67770389283754395</v>
      </c>
    </row>
    <row r="8" spans="1:16" x14ac:dyDescent="0.3">
      <c r="A8" t="s">
        <v>66</v>
      </c>
      <c r="B8" t="s">
        <v>68</v>
      </c>
      <c r="C8">
        <v>1</v>
      </c>
      <c r="D8" t="s">
        <v>116</v>
      </c>
      <c r="E8" t="s">
        <v>109</v>
      </c>
      <c r="F8" t="s">
        <v>95</v>
      </c>
      <c r="G8">
        <v>358</v>
      </c>
      <c r="H8">
        <v>0</v>
      </c>
      <c r="I8" t="str">
        <f>OutputTable[[#This Row],[ProjectName]]&amp;OutputTable[[#This Row],[Name]]&amp;OutputTable[[#This Row],[Type]]&amp;OutputTable[[#This Row],[Source]]</f>
        <v>Unnamed ProjectRHall.NumberSeizedTotal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366.5</v>
      </c>
      <c r="L8" cm="1">
        <f t="array" ref="L8">IFERROR(_xlfn.STDEV.S(IF((OutputTable[GroupByKey]=OutputTable[[#This Row],[GroupByKey]]),(OutputTable[GroupByKey]=OutputTable[[#This Row],[GroupByKey]])*OutputTable[RecordedValue])),0)</f>
        <v>27.998460548813185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8" cm="1">
        <f t="array" ref="O8">MIN(IF((OutputTable[GroupByKey]=OutputTable[[#This Row],[GroupByKey]]),(OutputTable[GroupByKey]=OutputTable[[#This Row],[GroupByKey]])*OutputTable[RecordedValue]))</f>
        <v>308</v>
      </c>
      <c r="P8" cm="1">
        <f t="array" ref="P8">MAX(IF((OutputTable[GroupByKey]=OutputTable[[#This Row],[GroupByKey]]),(OutputTable[GroupByKey]=OutputTable[[#This Row],[GroupByKey]])*OutputTable[RecordedValue]))</f>
        <v>415</v>
      </c>
    </row>
    <row r="9" spans="1:16" x14ac:dyDescent="0.3">
      <c r="A9" t="s">
        <v>66</v>
      </c>
      <c r="B9" t="s">
        <v>68</v>
      </c>
      <c r="C9">
        <v>1</v>
      </c>
      <c r="D9" t="s">
        <v>117</v>
      </c>
      <c r="E9" t="s">
        <v>111</v>
      </c>
      <c r="F9" t="s">
        <v>95</v>
      </c>
      <c r="G9">
        <v>0.16446573665407899</v>
      </c>
      <c r="H9">
        <v>0</v>
      </c>
      <c r="I9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0.17017204824235124</v>
      </c>
      <c r="L9" cm="1">
        <f t="array" ref="L9">IFERROR(_xlfn.STDEV.S(IF((OutputTable[GroupByKey]=OutputTable[[#This Row],[GroupByKey]]),(OutputTable[GroupByKey]=OutputTable[[#This Row],[GroupByKey]])*OutputTable[RecordedValue])),0)</f>
        <v>1.331368412630852E-2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9" cm="1">
        <f t="array" ref="O9">MIN(IF((OutputTable[GroupByKey]=OutputTable[[#This Row],[GroupByKey]]),(OutputTable[GroupByKey]=OutputTable[[#This Row],[GroupByKey]])*OutputTable[RecordedValue]))</f>
        <v>0.14484829778125299</v>
      </c>
      <c r="P9" cm="1">
        <f t="array" ref="P9">MAX(IF((OutputTable[GroupByKey]=OutputTable[[#This Row],[GroupByKey]]),(OutputTable[GroupByKey]=OutputTable[[#This Row],[GroupByKey]])*OutputTable[RecordedValue]))</f>
        <v>0.19609322315655101</v>
      </c>
    </row>
    <row r="10" spans="1:16" x14ac:dyDescent="0.3">
      <c r="A10" t="s">
        <v>66</v>
      </c>
      <c r="B10" t="s">
        <v>68</v>
      </c>
      <c r="C10">
        <v>1</v>
      </c>
      <c r="D10" t="s">
        <v>118</v>
      </c>
      <c r="E10" t="s">
        <v>109</v>
      </c>
      <c r="F10" t="s">
        <v>95</v>
      </c>
      <c r="G10">
        <v>70</v>
      </c>
      <c r="H10">
        <v>0</v>
      </c>
      <c r="I10" t="str">
        <f>OutputTable[[#This Row],[ProjectName]]&amp;OutputTable[[#This Row],[Name]]&amp;OutputTable[[#This Row],[Type]]&amp;OutputTable[[#This Row],[Source]]</f>
        <v>Unnamed ProjectRHistoria.NumberSeizedTotal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67.599999999999994</v>
      </c>
      <c r="L10" cm="1">
        <f t="array" ref="L10">IFERROR(_xlfn.STDEV.S(IF((OutputTable[GroupByKey]=OutputTable[[#This Row],[GroupByKey]]),(OutputTable[GroupByKey]=OutputTable[[#This Row],[GroupByKey]])*OutputTable[RecordedValue])),0)</f>
        <v>8.2277914244430335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10" cm="1">
        <f t="array" ref="O10">MIN(IF((OutputTable[GroupByKey]=OutputTable[[#This Row],[GroupByKey]]),(OutputTable[GroupByKey]=OutputTable[[#This Row],[GroupByKey]])*OutputTable[RecordedValue]))</f>
        <v>53</v>
      </c>
      <c r="P10" cm="1">
        <f t="array" ref="P10">MAX(IF((OutputTable[GroupByKey]=OutputTable[[#This Row],[GroupByKey]]),(OutputTable[GroupByKey]=OutputTable[[#This Row],[GroupByKey]])*OutputTable[RecordedValue]))</f>
        <v>83</v>
      </c>
    </row>
    <row r="11" spans="1:16" x14ac:dyDescent="0.3">
      <c r="A11" t="s">
        <v>66</v>
      </c>
      <c r="B11" t="s">
        <v>68</v>
      </c>
      <c r="C11">
        <v>1</v>
      </c>
      <c r="D11" t="s">
        <v>119</v>
      </c>
      <c r="E11" t="s">
        <v>111</v>
      </c>
      <c r="F11" t="s">
        <v>95</v>
      </c>
      <c r="G11">
        <v>9.6605552921482304E-2</v>
      </c>
      <c r="H11">
        <v>0</v>
      </c>
      <c r="I11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9.2629789222133899E-2</v>
      </c>
      <c r="L11" cm="1">
        <f t="array" ref="L11">IFERROR(_xlfn.STDEV.S(IF((OutputTable[GroupByKey]=OutputTable[[#This Row],[GroupByKey]]),(OutputTable[GroupByKey]=OutputTable[[#This Row],[GroupByKey]])*OutputTable[RecordedValue])),0)</f>
        <v>1.1199993404883948E-2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11" cm="1">
        <f t="array" ref="O11">MIN(IF((OutputTable[GroupByKey]=OutputTable[[#This Row],[GroupByKey]]),(OutputTable[GroupByKey]=OutputTable[[#This Row],[GroupByKey]])*OutputTable[RecordedValue]))</f>
        <v>7.4778736536586704E-2</v>
      </c>
      <c r="P11" cm="1">
        <f t="array" ref="P11">MAX(IF((OutputTable[GroupByKey]=OutputTable[[#This Row],[GroupByKey]]),(OutputTable[GroupByKey]=OutputTable[[#This Row],[GroupByKey]])*OutputTable[RecordedValue]))</f>
        <v>0.111025455742452</v>
      </c>
    </row>
    <row r="12" spans="1:16" x14ac:dyDescent="0.3">
      <c r="A12" t="s">
        <v>66</v>
      </c>
      <c r="B12" t="s">
        <v>68</v>
      </c>
      <c r="C12">
        <v>1</v>
      </c>
      <c r="D12" t="s">
        <v>120</v>
      </c>
      <c r="E12" t="s">
        <v>121</v>
      </c>
      <c r="F12" t="s">
        <v>122</v>
      </c>
      <c r="G12">
        <v>133</v>
      </c>
      <c r="H12">
        <v>0</v>
      </c>
      <c r="I12" t="str">
        <f>OutputTable[[#This Row],[ProjectName]]&amp;OutputTable[[#This Row],[Name]]&amp;OutputTable[[#This Row],[Type]]&amp;OutputTable[[#This Row],[Source]]</f>
        <v>Unnamed ProjectSystem.NumberOutNumber OutSystem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138.66666666666666</v>
      </c>
      <c r="L12" cm="1">
        <f t="array" ref="L12">IFERROR(_xlfn.STDEV.S(IF((OutputTable[GroupByKey]=OutputTable[[#This Row],[GroupByKey]]),(OutputTable[GroupByKey]=OutputTable[[#This Row],[GroupByKey]])*OutputTable[RecordedValue])),0)</f>
        <v>10.59386072484773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2" cm="1">
        <f t="array" ref="O12">MIN(IF((OutputTable[GroupByKey]=OutputTable[[#This Row],[GroupByKey]]),(OutputTable[GroupByKey]=OutputTable[[#This Row],[GroupByKey]])*OutputTable[RecordedValue]))</f>
        <v>122</v>
      </c>
      <c r="P12" cm="1">
        <f t="array" ref="P12">MAX(IF((OutputTable[GroupByKey]=OutputTable[[#This Row],[GroupByKey]]),(OutputTable[GroupByKey]=OutputTable[[#This Row],[GroupByKey]])*OutputTable[RecordedValue]))</f>
        <v>158</v>
      </c>
    </row>
    <row r="13" spans="1:16" x14ac:dyDescent="0.3">
      <c r="A13" t="s">
        <v>66</v>
      </c>
      <c r="B13" t="s">
        <v>68</v>
      </c>
      <c r="C13">
        <v>1</v>
      </c>
      <c r="D13" t="s">
        <v>123</v>
      </c>
      <c r="E13" t="s">
        <v>109</v>
      </c>
      <c r="F13" t="s">
        <v>95</v>
      </c>
      <c r="G13">
        <v>311</v>
      </c>
      <c r="H13">
        <v>0</v>
      </c>
      <c r="I13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324.63333333333333</v>
      </c>
      <c r="L13" cm="1">
        <f t="array" ref="L13">IFERROR(_xlfn.STDEV.S(IF((OutputTable[GroupByKey]=OutputTable[[#This Row],[GroupByKey]]),(OutputTable[GroupByKey]=OutputTable[[#This Row],[GroupByKey]])*OutputTable[RecordedValue])),0)</f>
        <v>23.733409208195905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13" cm="1">
        <f t="array" ref="O13">MIN(IF((OutputTable[GroupByKey]=OutputTable[[#This Row],[GroupByKey]]),(OutputTable[GroupByKey]=OutputTable[[#This Row],[GroupByKey]])*OutputTable[RecordedValue]))</f>
        <v>276</v>
      </c>
      <c r="P13" cm="1">
        <f t="array" ref="P13">MAX(IF((OutputTable[GroupByKey]=OutputTable[[#This Row],[GroupByKey]]),(OutputTable[GroupByKey]=OutputTable[[#This Row],[GroupByKey]])*OutputTable[RecordedValue]))</f>
        <v>370</v>
      </c>
    </row>
    <row r="14" spans="1:16" x14ac:dyDescent="0.3">
      <c r="A14" t="s">
        <v>66</v>
      </c>
      <c r="B14" t="s">
        <v>68</v>
      </c>
      <c r="C14">
        <v>1</v>
      </c>
      <c r="D14" t="s">
        <v>124</v>
      </c>
      <c r="E14" t="s">
        <v>111</v>
      </c>
      <c r="F14" t="s">
        <v>95</v>
      </c>
      <c r="G14">
        <v>0.75378632851167204</v>
      </c>
      <c r="H14">
        <v>0</v>
      </c>
      <c r="I14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0.78890367752589419</v>
      </c>
      <c r="L14" cm="1">
        <f t="array" ref="L14">IFERROR(_xlfn.STDEV.S(IF((OutputTable[GroupByKey]=OutputTable[[#This Row],[GroupByKey]]),(OutputTable[GroupByKey]=OutputTable[[#This Row],[GroupByKey]])*OutputTable[RecordedValue])),0)</f>
        <v>5.7743599319329868E-2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14" cm="1">
        <f t="array" ref="O14">MIN(IF((OutputTable[GroupByKey]=OutputTable[[#This Row],[GroupByKey]]),(OutputTable[GroupByKey]=OutputTable[[#This Row],[GroupByKey]])*OutputTable[RecordedValue]))</f>
        <v>0.68630817725209003</v>
      </c>
      <c r="P14" cm="1">
        <f t="array" ref="P14">MAX(IF((OutputTable[GroupByKey]=OutputTable[[#This Row],[GroupByKey]]),(OutputTable[GroupByKey]=OutputTable[[#This Row],[GroupByKey]])*OutputTable[RecordedValue]))</f>
        <v>0.89844569749382897</v>
      </c>
    </row>
    <row r="15" spans="1:16" x14ac:dyDescent="0.3">
      <c r="A15" t="s">
        <v>66</v>
      </c>
      <c r="B15" t="s">
        <v>68</v>
      </c>
      <c r="C15">
        <v>1</v>
      </c>
      <c r="D15" t="s">
        <v>125</v>
      </c>
      <c r="E15" t="s">
        <v>126</v>
      </c>
      <c r="F15" t="s">
        <v>86</v>
      </c>
      <c r="G15">
        <v>182</v>
      </c>
      <c r="H15">
        <v>0</v>
      </c>
      <c r="I15" t="str">
        <f>OutputTable[[#This Row],[ProjectName]]&amp;OutputTable[[#This Row],[Name]]&amp;OutputTable[[#This Row],[Type]]&amp;OutputTable[[#This Row],[Source]]</f>
        <v>Unnamed ProjectVisitantes.NumberInNumber InEntity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194.43333333333334</v>
      </c>
      <c r="L15" cm="1">
        <f t="array" ref="L15">IFERROR(_xlfn.STDEV.S(IF((OutputTable[GroupByKey]=OutputTable[[#This Row],[GroupByKey]]),(OutputTable[GroupByKey]=OutputTable[[#This Row],[GroupByKey]])*OutputTable[RecordedValue])),0)</f>
        <v>19.567184586538712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15" cm="1">
        <f t="array" ref="O15">MIN(IF((OutputTable[GroupByKey]=OutputTable[[#This Row],[GroupByKey]]),(OutputTable[GroupByKey]=OutputTable[[#This Row],[GroupByKey]])*OutputTable[RecordedValue]))</f>
        <v>158</v>
      </c>
      <c r="P15" cm="1">
        <f t="array" ref="P15">MAX(IF((OutputTable[GroupByKey]=OutputTable[[#This Row],[GroupByKey]]),(OutputTable[GroupByKey]=OutputTable[[#This Row],[GroupByKey]])*OutputTable[RecordedValue]))</f>
        <v>255</v>
      </c>
    </row>
    <row r="16" spans="1:16" x14ac:dyDescent="0.3">
      <c r="A16" t="s">
        <v>66</v>
      </c>
      <c r="B16" t="s">
        <v>68</v>
      </c>
      <c r="C16">
        <v>1</v>
      </c>
      <c r="D16" t="s">
        <v>127</v>
      </c>
      <c r="E16" t="s">
        <v>121</v>
      </c>
      <c r="F16" t="s">
        <v>86</v>
      </c>
      <c r="G16">
        <v>133</v>
      </c>
      <c r="H16">
        <v>0</v>
      </c>
      <c r="I16" t="str">
        <f>OutputTable[[#This Row],[ProjectName]]&amp;OutputTable[[#This Row],[Name]]&amp;OutputTable[[#This Row],[Type]]&amp;OutputTable[[#This Row],[Source]]</f>
        <v>Unnamed ProjectVisitantes.NumberOutNumber OutEntity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138.66666666666666</v>
      </c>
      <c r="L16" cm="1">
        <f t="array" ref="L16">IFERROR(_xlfn.STDEV.S(IF((OutputTable[GroupByKey]=OutputTable[[#This Row],[GroupByKey]]),(OutputTable[GroupByKey]=OutputTable[[#This Row],[GroupByKey]])*OutputTable[RecordedValue])),0)</f>
        <v>10.59386072484773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6" cm="1">
        <f t="array" ref="O16">MIN(IF((OutputTable[GroupByKey]=OutputTable[[#This Row],[GroupByKey]]),(OutputTable[GroupByKey]=OutputTable[[#This Row],[GroupByKey]])*OutputTable[RecordedValue]))</f>
        <v>122</v>
      </c>
      <c r="P16" cm="1">
        <f t="array" ref="P16">MAX(IF((OutputTable[GroupByKey]=OutputTable[[#This Row],[GroupByKey]]),(OutputTable[GroupByKey]=OutputTable[[#This Row],[GroupByKey]])*OutputTable[RecordedValue]))</f>
        <v>158</v>
      </c>
    </row>
    <row r="17" spans="1:16" x14ac:dyDescent="0.3">
      <c r="A17" t="s">
        <v>66</v>
      </c>
      <c r="B17" t="s">
        <v>68</v>
      </c>
      <c r="C17">
        <v>1</v>
      </c>
      <c r="D17" t="s">
        <v>128</v>
      </c>
      <c r="E17" t="s">
        <v>109</v>
      </c>
      <c r="F17" t="s">
        <v>95</v>
      </c>
      <c r="G17">
        <v>0</v>
      </c>
      <c r="H17">
        <v>0</v>
      </c>
      <c r="I17" t="str">
        <f>OutputTable[[#This Row],[ProjectName]]&amp;OutputTable[[#This Row],[Name]]&amp;OutputTable[[#This Row],[Type]]&amp;OutputTable[[#This Row],[Source]]</f>
        <v>Unnamed Projectcajero.NumberSeizedTotal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0</v>
      </c>
      <c r="L17" cm="1">
        <f t="array" ref="L17">IFERROR(_xlfn.STDEV.S(IF((OutputTable[GroupByKey]=OutputTable[[#This Row],[GroupByKey]]),(OutputTable[GroupByKey]=OutputTable[[#This Row],[GroupByKey]])*OutputTable[RecordedValue])),0)</f>
        <v>0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" cm="1">
        <f t="array" ref="O17">MIN(IF((OutputTable[GroupByKey]=OutputTable[[#This Row],[GroupByKey]]),(OutputTable[GroupByKey]=OutputTable[[#This Row],[GroupByKey]])*OutputTable[RecordedValue]))</f>
        <v>0</v>
      </c>
      <c r="P17" cm="1">
        <f t="array" ref="P17">MAX(IF((OutputTable[GroupByKey]=OutputTable[[#This Row],[GroupByKey]]),(OutputTable[GroupByKey]=OutputTable[[#This Row],[GroupByKey]])*OutputTable[RecordedValue]))</f>
        <v>0</v>
      </c>
    </row>
    <row r="18" spans="1:16" x14ac:dyDescent="0.3">
      <c r="A18" t="s">
        <v>66</v>
      </c>
      <c r="B18" t="s">
        <v>68</v>
      </c>
      <c r="C18">
        <v>1</v>
      </c>
      <c r="D18" t="s">
        <v>129</v>
      </c>
      <c r="E18" t="s">
        <v>111</v>
      </c>
      <c r="F18" t="s">
        <v>95</v>
      </c>
      <c r="G18">
        <v>0</v>
      </c>
      <c r="H18">
        <v>0</v>
      </c>
      <c r="I18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0</v>
      </c>
      <c r="L18" cm="1">
        <f t="array" ref="L18">IFERROR(_xlfn.STDEV.S(IF((OutputTable[GroupByKey]=OutputTable[[#This Row],[GroupByKey]]),(OutputTable[GroupByKey]=OutputTable[[#This Row],[GroupByKey]])*OutputTable[RecordedValue])),0)</f>
        <v>0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" cm="1">
        <f t="array" ref="O18">MIN(IF((OutputTable[GroupByKey]=OutputTable[[#This Row],[GroupByKey]]),(OutputTable[GroupByKey]=OutputTable[[#This Row],[GroupByKey]])*OutputTable[RecordedValue]))</f>
        <v>0</v>
      </c>
      <c r="P18" cm="1">
        <f t="array" ref="P18">MAX(IF((OutputTable[GroupByKey]=OutputTable[[#This Row],[GroupByKey]]),(OutputTable[GroupByKey]=OutputTable[[#This Row],[GroupByKey]])*OutputTable[RecordedValue]))</f>
        <v>0</v>
      </c>
    </row>
    <row r="19" spans="1:16" x14ac:dyDescent="0.3">
      <c r="A19" t="s">
        <v>66</v>
      </c>
      <c r="B19" t="s">
        <v>68</v>
      </c>
      <c r="C19">
        <v>1</v>
      </c>
      <c r="D19" t="s">
        <v>130</v>
      </c>
      <c r="E19" t="s">
        <v>109</v>
      </c>
      <c r="F19" t="s">
        <v>95</v>
      </c>
      <c r="G19">
        <v>91</v>
      </c>
      <c r="H19">
        <v>0</v>
      </c>
      <c r="I19" t="str">
        <f>OutputTable[[#This Row],[ProjectName]]&amp;OutputTable[[#This Row],[Name]]&amp;OutputTable[[#This Row],[Type]]&amp;OutputTable[[#This Row],[Source]]</f>
        <v>Unnamed Projectticketsa.NumberSeizedTotal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99.666666666666671</v>
      </c>
      <c r="L19" cm="1">
        <f t="array" ref="L19">IFERROR(_xlfn.STDEV.S(IF((OutputTable[GroupByKey]=OutputTable[[#This Row],[GroupByKey]]),(OutputTable[GroupByKey]=OutputTable[[#This Row],[GroupByKey]])*OutputTable[RecordedValue])),0)</f>
        <v>11.021400290698853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19" cm="1">
        <f t="array" ref="O19">MIN(IF((OutputTable[GroupByKey]=OutputTable[[#This Row],[GroupByKey]]),(OutputTable[GroupByKey]=OutputTable[[#This Row],[GroupByKey]])*OutputTable[RecordedValue]))</f>
        <v>84</v>
      </c>
      <c r="P19" cm="1">
        <f t="array" ref="P19">MAX(IF((OutputTable[GroupByKey]=OutputTable[[#This Row],[GroupByKey]]),(OutputTable[GroupByKey]=OutputTable[[#This Row],[GroupByKey]])*OutputTable[RecordedValue]))</f>
        <v>133</v>
      </c>
    </row>
    <row r="20" spans="1:16" x14ac:dyDescent="0.3">
      <c r="A20" t="s">
        <v>66</v>
      </c>
      <c r="B20" t="s">
        <v>68</v>
      </c>
      <c r="C20">
        <v>1</v>
      </c>
      <c r="D20" t="s">
        <v>131</v>
      </c>
      <c r="E20" t="s">
        <v>111</v>
      </c>
      <c r="F20" t="s">
        <v>95</v>
      </c>
      <c r="G20">
        <v>0.79972424005424603</v>
      </c>
      <c r="H20">
        <v>0</v>
      </c>
      <c r="I20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0.81099663999028448</v>
      </c>
      <c r="L20" cm="1">
        <f t="array" ref="L20">IFERROR(_xlfn.STDEV.S(IF((OutputTable[GroupByKey]=OutputTable[[#This Row],[GroupByKey]]),(OutputTable[GroupByKey]=OutputTable[[#This Row],[GroupByKey]])*OutputTable[RecordedValue])),0)</f>
        <v>0.1069626954834289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20" cm="1">
        <f t="array" ref="O20">MIN(IF((OutputTable[GroupByKey]=OutputTable[[#This Row],[GroupByKey]]),(OutputTable[GroupByKey]=OutputTable[[#This Row],[GroupByKey]])*OutputTable[RecordedValue]))</f>
        <v>0.634589476164233</v>
      </c>
      <c r="P20" cm="1">
        <f t="array" ref="P20">MAX(IF((OutputTable[GroupByKey]=OutputTable[[#This Row],[GroupByKey]]),(OutputTable[GroupByKey]=OutputTable[[#This Row],[GroupByKey]])*OutputTable[RecordedValue]))</f>
        <v>0.99383259650362799</v>
      </c>
    </row>
    <row r="21" spans="1:16" x14ac:dyDescent="0.3">
      <c r="A21" t="s">
        <v>66</v>
      </c>
      <c r="B21" t="s">
        <v>68</v>
      </c>
      <c r="C21">
        <v>1</v>
      </c>
      <c r="D21" t="s">
        <v>132</v>
      </c>
      <c r="E21" t="s">
        <v>109</v>
      </c>
      <c r="F21" t="s">
        <v>95</v>
      </c>
      <c r="G21">
        <v>59</v>
      </c>
      <c r="H21">
        <v>0</v>
      </c>
      <c r="I21" t="str">
        <f>OutputTable[[#This Row],[ProjectName]]&amp;OutputTable[[#This Row],[Name]]&amp;OutputTable[[#This Row],[Type]]&amp;OutputTable[[#This Row],[Source]]</f>
        <v>Unnamed Projectticketsb.NumberSeizedTotal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51.966666666666669</v>
      </c>
      <c r="L21" cm="1">
        <f t="array" ref="L21">IFERROR(_xlfn.STDEV.S(IF((OutputTable[GroupByKey]=OutputTable[[#This Row],[GroupByKey]]),(OutputTable[GroupByKey]=OutputTable[[#This Row],[GroupByKey]])*OutputTable[RecordedValue])),0)</f>
        <v>7.0636677653220881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21" cm="1">
        <f t="array" ref="O21">MIN(IF((OutputTable[GroupByKey]=OutputTable[[#This Row],[GroupByKey]]),(OutputTable[GroupByKey]=OutputTable[[#This Row],[GroupByKey]])*OutputTable[RecordedValue]))</f>
        <v>40</v>
      </c>
      <c r="P21" cm="1">
        <f t="array" ref="P21">MAX(IF((OutputTable[GroupByKey]=OutputTable[[#This Row],[GroupByKey]]),(OutputTable[GroupByKey]=OutputTable[[#This Row],[GroupByKey]])*OutputTable[RecordedValue]))</f>
        <v>70</v>
      </c>
    </row>
    <row r="22" spans="1:16" x14ac:dyDescent="0.3">
      <c r="A22" t="s">
        <v>66</v>
      </c>
      <c r="B22" t="s">
        <v>68</v>
      </c>
      <c r="C22">
        <v>1</v>
      </c>
      <c r="D22" t="s">
        <v>133</v>
      </c>
      <c r="E22" t="s">
        <v>111</v>
      </c>
      <c r="F22" t="s">
        <v>95</v>
      </c>
      <c r="G22">
        <v>0.84932132364788404</v>
      </c>
      <c r="H22">
        <v>0</v>
      </c>
      <c r="I22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0.86404173385398308</v>
      </c>
      <c r="L22" cm="1">
        <f t="array" ref="L22">IFERROR(_xlfn.STDEV.S(IF((OutputTable[GroupByKey]=OutputTable[[#This Row],[GroupByKey]]),(OutputTable[GroupByKey]=OutputTable[[#This Row],[GroupByKey]])*OutputTable[RecordedValue])),0)</f>
        <v>7.7429091138254261E-2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22" cm="1">
        <f t="array" ref="O22">MIN(IF((OutputTable[GroupByKey]=OutputTable[[#This Row],[GroupByKey]]),(OutputTable[GroupByKey]=OutputTable[[#This Row],[GroupByKey]])*OutputTable[RecordedValue]))</f>
        <v>0.74061105631083801</v>
      </c>
      <c r="P22" cm="1">
        <f t="array" ref="P22">MAX(IF((OutputTable[GroupByKey]=OutputTable[[#This Row],[GroupByKey]]),(OutputTable[GroupByKey]=OutputTable[[#This Row],[GroupByKey]])*OutputTable[RecordedValue]))</f>
        <v>0.99245161744166299</v>
      </c>
    </row>
    <row r="23" spans="1:16" x14ac:dyDescent="0.3">
      <c r="A23" t="s">
        <v>66</v>
      </c>
      <c r="B23" t="s">
        <v>68</v>
      </c>
      <c r="C23">
        <v>1</v>
      </c>
      <c r="D23" t="s">
        <v>134</v>
      </c>
      <c r="E23" t="s">
        <v>109</v>
      </c>
      <c r="F23" t="s">
        <v>95</v>
      </c>
      <c r="G23">
        <v>31</v>
      </c>
      <c r="H23">
        <v>0</v>
      </c>
      <c r="I23" t="str">
        <f>OutputTable[[#This Row],[ProjectName]]&amp;OutputTable[[#This Row],[Name]]&amp;OutputTable[[#This Row],[Type]]&amp;OutputTable[[#This Row],[Source]]</f>
        <v>Unnamed Projectticketsc.NumberSeizedTotal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36.233333333333334</v>
      </c>
      <c r="L23" cm="1">
        <f t="array" ref="L23">IFERROR(_xlfn.STDEV.S(IF((OutputTable[GroupByKey]=OutputTable[[#This Row],[GroupByKey]]),(OutputTable[GroupByKey]=OutputTable[[#This Row],[GroupByKey]])*OutputTable[RecordedValue])),0)</f>
        <v>4.775536318198915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23" cm="1">
        <f t="array" ref="O23">MIN(IF((OutputTable[GroupByKey]=OutputTable[[#This Row],[GroupByKey]]),(OutputTable[GroupByKey]=OutputTable[[#This Row],[GroupByKey]])*OutputTable[RecordedValue]))</f>
        <v>28</v>
      </c>
      <c r="P23" cm="1">
        <f t="array" ref="P23">MAX(IF((OutputTable[GroupByKey]=OutputTable[[#This Row],[GroupByKey]]),(OutputTable[GroupByKey]=OutputTable[[#This Row],[GroupByKey]])*OutputTable[RecordedValue]))</f>
        <v>48</v>
      </c>
    </row>
    <row r="24" spans="1:16" x14ac:dyDescent="0.3">
      <c r="A24" t="s">
        <v>66</v>
      </c>
      <c r="B24" t="s">
        <v>68</v>
      </c>
      <c r="C24">
        <v>1</v>
      </c>
      <c r="D24" t="s">
        <v>135</v>
      </c>
      <c r="E24" t="s">
        <v>111</v>
      </c>
      <c r="F24" t="s">
        <v>95</v>
      </c>
      <c r="G24">
        <v>0.83589421484019499</v>
      </c>
      <c r="H24">
        <v>0</v>
      </c>
      <c r="I24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0.88098039877461687</v>
      </c>
      <c r="L24" cm="1">
        <f t="array" ref="L24">IFERROR(_xlfn.STDEV.S(IF((OutputTable[GroupByKey]=OutputTable[[#This Row],[GroupByKey]]),(OutputTable[GroupByKey]=OutputTable[[#This Row],[GroupByKey]])*OutputTable[RecordedValue])),0)</f>
        <v>6.9783648638161486E-2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24" cm="1">
        <f t="array" ref="O24">MIN(IF((OutputTable[GroupByKey]=OutputTable[[#This Row],[GroupByKey]]),(OutputTable[GroupByKey]=OutputTable[[#This Row],[GroupByKey]])*OutputTable[RecordedValue]))</f>
        <v>0.73843386001690303</v>
      </c>
      <c r="P24" cm="1">
        <f t="array" ref="P24">MAX(IF((OutputTable[GroupByKey]=OutputTable[[#This Row],[GroupByKey]]),(OutputTable[GroupByKey]=OutputTable[[#This Row],[GroupByKey]])*OutputTable[RecordedValue]))</f>
        <v>0.99245161744166299</v>
      </c>
    </row>
    <row r="25" spans="1:16" x14ac:dyDescent="0.3">
      <c r="A25" t="s">
        <v>66</v>
      </c>
      <c r="B25" t="s">
        <v>68</v>
      </c>
      <c r="C25">
        <v>2</v>
      </c>
      <c r="D25" t="s">
        <v>108</v>
      </c>
      <c r="E25" t="s">
        <v>109</v>
      </c>
      <c r="F25" t="s">
        <v>95</v>
      </c>
      <c r="G25">
        <v>31</v>
      </c>
      <c r="H25">
        <v>0</v>
      </c>
      <c r="I25" t="str">
        <f>OutputTable[[#This Row],[ProjectName]]&amp;OutputTable[[#This Row],[Name]]&amp;OutputTable[[#This Row],[Type]]&amp;OutputTable[[#This Row],[Source]]</f>
        <v>Unnamed ProjectRArte.NumberSeizedTotal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34.633333333333333</v>
      </c>
      <c r="L25" cm="1">
        <f t="array" ref="L25">IFERROR(_xlfn.STDEV.S(IF((OutputTable[GroupByKey]=OutputTable[[#This Row],[GroupByKey]]),(OutputTable[GroupByKey]=OutputTable[[#This Row],[GroupByKey]])*OutputTable[RecordedValue])),0)</f>
        <v>6.3326375903390151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25" cm="1">
        <f t="array" ref="O25">MIN(IF((OutputTable[GroupByKey]=OutputTable[[#This Row],[GroupByKey]]),(OutputTable[GroupByKey]=OutputTable[[#This Row],[GroupByKey]])*OutputTable[RecordedValue]))</f>
        <v>24</v>
      </c>
      <c r="P25" cm="1">
        <f t="array" ref="P25">MAX(IF((OutputTable[GroupByKey]=OutputTable[[#This Row],[GroupByKey]]),(OutputTable[GroupByKey]=OutputTable[[#This Row],[GroupByKey]])*OutputTable[RecordedValue]))</f>
        <v>47</v>
      </c>
    </row>
    <row r="26" spans="1:16" x14ac:dyDescent="0.3">
      <c r="A26" t="s">
        <v>66</v>
      </c>
      <c r="B26" t="s">
        <v>68</v>
      </c>
      <c r="C26">
        <v>2</v>
      </c>
      <c r="D26" t="s">
        <v>110</v>
      </c>
      <c r="E26" t="s">
        <v>111</v>
      </c>
      <c r="F26" t="s">
        <v>95</v>
      </c>
      <c r="G26">
        <v>3.1644266456003101E-2</v>
      </c>
      <c r="H26">
        <v>0</v>
      </c>
      <c r="I26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3.5359789427834361E-2</v>
      </c>
      <c r="L26" cm="1">
        <f t="array" ref="L26">IFERROR(_xlfn.STDEV.S(IF((OutputTable[GroupByKey]=OutputTable[[#This Row],[GroupByKey]]),(OutputTable[GroupByKey]=OutputTable[[#This Row],[GroupByKey]])*OutputTable[RecordedValue])),0)</f>
        <v>6.6521615975834569E-3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26" cm="1">
        <f t="array" ref="O26">MIN(IF((OutputTable[GroupByKey]=OutputTable[[#This Row],[GroupByKey]]),(OutputTable[GroupByKey]=OutputTable[[#This Row],[GroupByKey]])*OutputTable[RecordedValue]))</f>
        <v>2.3718114155243601E-2</v>
      </c>
      <c r="P26" cm="1">
        <f t="array" ref="P26">MAX(IF((OutputTable[GroupByKey]=OutputTable[[#This Row],[GroupByKey]]),(OutputTable[GroupByKey]=OutputTable[[#This Row],[GroupByKey]])*OutputTable[RecordedValue]))</f>
        <v>4.8583931724403701E-2</v>
      </c>
    </row>
    <row r="27" spans="1:16" x14ac:dyDescent="0.3">
      <c r="A27" t="s">
        <v>66</v>
      </c>
      <c r="B27" t="s">
        <v>68</v>
      </c>
      <c r="C27">
        <v>2</v>
      </c>
      <c r="D27" t="s">
        <v>112</v>
      </c>
      <c r="E27" t="s">
        <v>109</v>
      </c>
      <c r="F27" t="s">
        <v>95</v>
      </c>
      <c r="G27">
        <v>105</v>
      </c>
      <c r="H27">
        <v>0</v>
      </c>
      <c r="I27" t="str">
        <f>OutputTable[[#This Row],[ProjectName]]&amp;OutputTable[[#This Row],[Name]]&amp;OutputTable[[#This Row],[Type]]&amp;OutputTable[[#This Row],[Source]]</f>
        <v>Unnamed ProjectRAstro.NumberSeizedTotal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105.13333333333334</v>
      </c>
      <c r="L27" cm="1">
        <f t="array" ref="L27">IFERROR(_xlfn.STDEV.S(IF((OutputTable[GroupByKey]=OutputTable[[#This Row],[GroupByKey]]),(OutputTable[GroupByKey]=OutputTable[[#This Row],[GroupByKey]])*OutputTable[RecordedValue])),0)</f>
        <v>9.9020490158675578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27" cm="1">
        <f t="array" ref="O27">MIN(IF((OutputTable[GroupByKey]=OutputTable[[#This Row],[GroupByKey]]),(OutputTable[GroupByKey]=OutputTable[[#This Row],[GroupByKey]])*OutputTable[RecordedValue]))</f>
        <v>90</v>
      </c>
      <c r="P27" cm="1">
        <f t="array" ref="P27">MAX(IF((OutputTable[GroupByKey]=OutputTable[[#This Row],[GroupByKey]]),(OutputTable[GroupByKey]=OutputTable[[#This Row],[GroupByKey]])*OutputTable[RecordedValue]))</f>
        <v>120</v>
      </c>
    </row>
    <row r="28" spans="1:16" x14ac:dyDescent="0.3">
      <c r="A28" t="s">
        <v>66</v>
      </c>
      <c r="B28" t="s">
        <v>68</v>
      </c>
      <c r="C28">
        <v>2</v>
      </c>
      <c r="D28" t="s">
        <v>113</v>
      </c>
      <c r="E28" t="s">
        <v>111</v>
      </c>
      <c r="F28" t="s">
        <v>95</v>
      </c>
      <c r="G28">
        <v>0.25549170878254701</v>
      </c>
      <c r="H28">
        <v>0</v>
      </c>
      <c r="I28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0.24658598119222253</v>
      </c>
      <c r="L28" cm="1">
        <f t="array" ref="L28">IFERROR(_xlfn.STDEV.S(IF((OutputTable[GroupByKey]=OutputTable[[#This Row],[GroupByKey]]),(OutputTable[GroupByKey]=OutputTable[[#This Row],[GroupByKey]])*OutputTable[RecordedValue])),0)</f>
        <v>2.3372241503878202E-2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28" cm="1">
        <f t="array" ref="O28">MIN(IF((OutputTable[GroupByKey]=OutputTable[[#This Row],[GroupByKey]]),(OutputTable[GroupByKey]=OutputTable[[#This Row],[GroupByKey]])*OutputTable[RecordedValue]))</f>
        <v>0.20767736113278101</v>
      </c>
      <c r="P28" cm="1">
        <f t="array" ref="P28">MAX(IF((OutputTable[GroupByKey]=OutputTable[[#This Row],[GroupByKey]]),(OutputTable[GroupByKey]=OutputTable[[#This Row],[GroupByKey]])*OutputTable[RecordedValue]))</f>
        <v>0.28501162927715601</v>
      </c>
    </row>
    <row r="29" spans="1:16" x14ac:dyDescent="0.3">
      <c r="A29" t="s">
        <v>66</v>
      </c>
      <c r="B29" t="s">
        <v>68</v>
      </c>
      <c r="C29">
        <v>2</v>
      </c>
      <c r="D29" t="s">
        <v>114</v>
      </c>
      <c r="E29" t="s">
        <v>109</v>
      </c>
      <c r="F29" t="s">
        <v>95</v>
      </c>
      <c r="G29">
        <v>133</v>
      </c>
      <c r="H29">
        <v>0</v>
      </c>
      <c r="I29" t="str">
        <f>OutputTable[[#This Row],[ProjectName]]&amp;OutputTable[[#This Row],[Name]]&amp;OutputTable[[#This Row],[Type]]&amp;OutputTable[[#This Row],[Source]]</f>
        <v>Unnamed ProjectRFisica.NumberSeizedTotal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130.19999999999999</v>
      </c>
      <c r="L29" cm="1">
        <f t="array" ref="L29">IFERROR(_xlfn.STDEV.S(IF((OutputTable[GroupByKey]=OutputTable[[#This Row],[GroupByKey]]),(OutputTable[GroupByKey]=OutputTable[[#This Row],[GroupByKey]])*OutputTable[RecordedValue])),0)</f>
        <v>9.6932255049418501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29" cm="1">
        <f t="array" ref="O29">MIN(IF((OutputTable[GroupByKey]=OutputTable[[#This Row],[GroupByKey]]),(OutputTable[GroupByKey]=OutputTable[[#This Row],[GroupByKey]])*OutputTable[RecordedValue]))</f>
        <v>112</v>
      </c>
      <c r="P29" cm="1">
        <f t="array" ref="P29">MAX(IF((OutputTable[GroupByKey]=OutputTable[[#This Row],[GroupByKey]]),(OutputTable[GroupByKey]=OutputTable[[#This Row],[GroupByKey]])*OutputTable[RecordedValue]))</f>
        <v>150</v>
      </c>
    </row>
    <row r="30" spans="1:16" x14ac:dyDescent="0.3">
      <c r="A30" t="s">
        <v>66</v>
      </c>
      <c r="B30" t="s">
        <v>68</v>
      </c>
      <c r="C30">
        <v>2</v>
      </c>
      <c r="D30" t="s">
        <v>115</v>
      </c>
      <c r="E30" t="s">
        <v>111</v>
      </c>
      <c r="F30" t="s">
        <v>95</v>
      </c>
      <c r="G30">
        <v>0.64733714125893704</v>
      </c>
      <c r="H30">
        <v>0</v>
      </c>
      <c r="I30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0.61071636647106653</v>
      </c>
      <c r="L30" cm="1">
        <f t="array" ref="L30">IFERROR(_xlfn.STDEV.S(IF((OutputTable[GroupByKey]=OutputTable[[#This Row],[GroupByKey]]),(OutputTable[GroupByKey]=OutputTable[[#This Row],[GroupByKey]])*OutputTable[RecordedValue])),0)</f>
        <v>4.8363406640152928E-2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30" cm="1">
        <f t="array" ref="O30">MIN(IF((OutputTable[GroupByKey]=OutputTable[[#This Row],[GroupByKey]]),(OutputTable[GroupByKey]=OutputTable[[#This Row],[GroupByKey]])*OutputTable[RecordedValue]))</f>
        <v>0.517215348442703</v>
      </c>
      <c r="P30" cm="1">
        <f t="array" ref="P30">MAX(IF((OutputTable[GroupByKey]=OutputTable[[#This Row],[GroupByKey]]),(OutputTable[GroupByKey]=OutputTable[[#This Row],[GroupByKey]])*OutputTable[RecordedValue]))</f>
        <v>0.67770389283754395</v>
      </c>
    </row>
    <row r="31" spans="1:16" x14ac:dyDescent="0.3">
      <c r="A31" t="s">
        <v>66</v>
      </c>
      <c r="B31" t="s">
        <v>68</v>
      </c>
      <c r="C31">
        <v>2</v>
      </c>
      <c r="D31" t="s">
        <v>116</v>
      </c>
      <c r="E31" t="s">
        <v>109</v>
      </c>
      <c r="F31" t="s">
        <v>95</v>
      </c>
      <c r="G31">
        <v>351</v>
      </c>
      <c r="H31">
        <v>0</v>
      </c>
      <c r="I31" t="str">
        <f>OutputTable[[#This Row],[ProjectName]]&amp;OutputTable[[#This Row],[Name]]&amp;OutputTable[[#This Row],[Type]]&amp;OutputTable[[#This Row],[Source]]</f>
        <v>Unnamed ProjectRHall.NumberSeizedTotal Number SeizedResource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366.5</v>
      </c>
      <c r="L31" cm="1">
        <f t="array" ref="L31">IFERROR(_xlfn.STDEV.S(IF((OutputTable[GroupByKey]=OutputTable[[#This Row],[GroupByKey]]),(OutputTable[GroupByKey]=OutputTable[[#This Row],[GroupByKey]])*OutputTable[RecordedValue])),0)</f>
        <v>27.998460548813185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31" cm="1">
        <f t="array" ref="O31">MIN(IF((OutputTable[GroupByKey]=OutputTable[[#This Row],[GroupByKey]]),(OutputTable[GroupByKey]=OutputTable[[#This Row],[GroupByKey]])*OutputTable[RecordedValue]))</f>
        <v>308</v>
      </c>
      <c r="P31" cm="1">
        <f t="array" ref="P31">MAX(IF((OutputTable[GroupByKey]=OutputTable[[#This Row],[GroupByKey]]),(OutputTable[GroupByKey]=OutputTable[[#This Row],[GroupByKey]])*OutputTable[RecordedValue]))</f>
        <v>415</v>
      </c>
    </row>
    <row r="32" spans="1:16" x14ac:dyDescent="0.3">
      <c r="A32" t="s">
        <v>66</v>
      </c>
      <c r="B32" t="s">
        <v>68</v>
      </c>
      <c r="C32">
        <v>2</v>
      </c>
      <c r="D32" t="s">
        <v>117</v>
      </c>
      <c r="E32" t="s">
        <v>111</v>
      </c>
      <c r="F32" t="s">
        <v>95</v>
      </c>
      <c r="G32">
        <v>0.16461650215295101</v>
      </c>
      <c r="H32">
        <v>0</v>
      </c>
      <c r="I32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0.17017204824235124</v>
      </c>
      <c r="L32" cm="1">
        <f t="array" ref="L32">IFERROR(_xlfn.STDEV.S(IF((OutputTable[GroupByKey]=OutputTable[[#This Row],[GroupByKey]]),(OutputTable[GroupByKey]=OutputTable[[#This Row],[GroupByKey]])*OutputTable[RecordedValue])),0)</f>
        <v>1.331368412630852E-2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32" cm="1">
        <f t="array" ref="O32">MIN(IF((OutputTable[GroupByKey]=OutputTable[[#This Row],[GroupByKey]]),(OutputTable[GroupByKey]=OutputTable[[#This Row],[GroupByKey]])*OutputTable[RecordedValue]))</f>
        <v>0.14484829778125299</v>
      </c>
      <c r="P32" cm="1">
        <f t="array" ref="P32">MAX(IF((OutputTable[GroupByKey]=OutputTable[[#This Row],[GroupByKey]]),(OutputTable[GroupByKey]=OutputTable[[#This Row],[GroupByKey]])*OutputTable[RecordedValue]))</f>
        <v>0.19609322315655101</v>
      </c>
    </row>
    <row r="33" spans="1:16" x14ac:dyDescent="0.3">
      <c r="A33" t="s">
        <v>66</v>
      </c>
      <c r="B33" t="s">
        <v>68</v>
      </c>
      <c r="C33">
        <v>2</v>
      </c>
      <c r="D33" t="s">
        <v>118</v>
      </c>
      <c r="E33" t="s">
        <v>109</v>
      </c>
      <c r="F33" t="s">
        <v>95</v>
      </c>
      <c r="G33">
        <v>59</v>
      </c>
      <c r="H33">
        <v>0</v>
      </c>
      <c r="I33" t="str">
        <f>OutputTable[[#This Row],[ProjectName]]&amp;OutputTable[[#This Row],[Name]]&amp;OutputTable[[#This Row],[Type]]&amp;OutputTable[[#This Row],[Source]]</f>
        <v>Unnamed ProjectRHistoria.NumberSeizedTotal Number SeizedResource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67.599999999999994</v>
      </c>
      <c r="L33" cm="1">
        <f t="array" ref="L33">IFERROR(_xlfn.STDEV.S(IF((OutputTable[GroupByKey]=OutputTable[[#This Row],[GroupByKey]]),(OutputTable[GroupByKey]=OutputTable[[#This Row],[GroupByKey]])*OutputTable[RecordedValue])),0)</f>
        <v>8.2277914244430335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33" cm="1">
        <f t="array" ref="O33">MIN(IF((OutputTable[GroupByKey]=OutputTable[[#This Row],[GroupByKey]]),(OutputTable[GroupByKey]=OutputTable[[#This Row],[GroupByKey]])*OutputTable[RecordedValue]))</f>
        <v>53</v>
      </c>
      <c r="P33" cm="1">
        <f t="array" ref="P33">MAX(IF((OutputTable[GroupByKey]=OutputTable[[#This Row],[GroupByKey]]),(OutputTable[GroupByKey]=OutputTable[[#This Row],[GroupByKey]])*OutputTable[RecordedValue]))</f>
        <v>83</v>
      </c>
    </row>
    <row r="34" spans="1:16" x14ac:dyDescent="0.3">
      <c r="A34" t="s">
        <v>66</v>
      </c>
      <c r="B34" t="s">
        <v>68</v>
      </c>
      <c r="C34">
        <v>2</v>
      </c>
      <c r="D34" t="s">
        <v>119</v>
      </c>
      <c r="E34" t="s">
        <v>111</v>
      </c>
      <c r="F34" t="s">
        <v>95</v>
      </c>
      <c r="G34">
        <v>8.3026697671413505E-2</v>
      </c>
      <c r="H34">
        <v>0</v>
      </c>
      <c r="I34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9.2629789222133899E-2</v>
      </c>
      <c r="L34" cm="1">
        <f t="array" ref="L34">IFERROR(_xlfn.STDEV.S(IF((OutputTable[GroupByKey]=OutputTable[[#This Row],[GroupByKey]]),(OutputTable[GroupByKey]=OutputTable[[#This Row],[GroupByKey]])*OutputTable[RecordedValue])),0)</f>
        <v>1.1199993404883948E-2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34" cm="1">
        <f t="array" ref="O34">MIN(IF((OutputTable[GroupByKey]=OutputTable[[#This Row],[GroupByKey]]),(OutputTable[GroupByKey]=OutputTable[[#This Row],[GroupByKey]])*OutputTable[RecordedValue]))</f>
        <v>7.4778736536586704E-2</v>
      </c>
      <c r="P34" cm="1">
        <f t="array" ref="P34">MAX(IF((OutputTable[GroupByKey]=OutputTable[[#This Row],[GroupByKey]]),(OutputTable[GroupByKey]=OutputTable[[#This Row],[GroupByKey]])*OutputTable[RecordedValue]))</f>
        <v>0.111025455742452</v>
      </c>
    </row>
    <row r="35" spans="1:16" x14ac:dyDescent="0.3">
      <c r="A35" t="s">
        <v>66</v>
      </c>
      <c r="B35" t="s">
        <v>68</v>
      </c>
      <c r="C35">
        <v>2</v>
      </c>
      <c r="D35" t="s">
        <v>120</v>
      </c>
      <c r="E35" t="s">
        <v>121</v>
      </c>
      <c r="F35" t="s">
        <v>122</v>
      </c>
      <c r="G35">
        <v>135</v>
      </c>
      <c r="H35">
        <v>0</v>
      </c>
      <c r="I35" t="str">
        <f>OutputTable[[#This Row],[ProjectName]]&amp;OutputTable[[#This Row],[Name]]&amp;OutputTable[[#This Row],[Type]]&amp;OutputTable[[#This Row],[Source]]</f>
        <v>Unnamed ProjectSystem.NumberOutNumber OutSystem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138.66666666666666</v>
      </c>
      <c r="L35" cm="1">
        <f t="array" ref="L35">IFERROR(_xlfn.STDEV.S(IF((OutputTable[GroupByKey]=OutputTable[[#This Row],[GroupByKey]]),(OutputTable[GroupByKey]=OutputTable[[#This Row],[GroupByKey]])*OutputTable[RecordedValue])),0)</f>
        <v>10.59386072484773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35" cm="1">
        <f t="array" ref="O35">MIN(IF((OutputTable[GroupByKey]=OutputTable[[#This Row],[GroupByKey]]),(OutputTable[GroupByKey]=OutputTable[[#This Row],[GroupByKey]])*OutputTable[RecordedValue]))</f>
        <v>122</v>
      </c>
      <c r="P35" cm="1">
        <f t="array" ref="P35">MAX(IF((OutputTable[GroupByKey]=OutputTable[[#This Row],[GroupByKey]]),(OutputTable[GroupByKey]=OutputTable[[#This Row],[GroupByKey]])*OutputTable[RecordedValue]))</f>
        <v>158</v>
      </c>
    </row>
    <row r="36" spans="1:16" x14ac:dyDescent="0.3">
      <c r="A36" t="s">
        <v>66</v>
      </c>
      <c r="B36" t="s">
        <v>68</v>
      </c>
      <c r="C36">
        <v>2</v>
      </c>
      <c r="D36" t="s">
        <v>123</v>
      </c>
      <c r="E36" t="s">
        <v>109</v>
      </c>
      <c r="F36" t="s">
        <v>95</v>
      </c>
      <c r="G36">
        <v>312</v>
      </c>
      <c r="H36">
        <v>0</v>
      </c>
      <c r="I36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324.63333333333333</v>
      </c>
      <c r="L36" cm="1">
        <f t="array" ref="L36">IFERROR(_xlfn.STDEV.S(IF((OutputTable[GroupByKey]=OutputTable[[#This Row],[GroupByKey]]),(OutputTable[GroupByKey]=OutputTable[[#This Row],[GroupByKey]])*OutputTable[RecordedValue])),0)</f>
        <v>23.733409208195905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36" cm="1">
        <f t="array" ref="O36">MIN(IF((OutputTable[GroupByKey]=OutputTable[[#This Row],[GroupByKey]]),(OutputTable[GroupByKey]=OutputTable[[#This Row],[GroupByKey]])*OutputTable[RecordedValue]))</f>
        <v>276</v>
      </c>
      <c r="P36" cm="1">
        <f t="array" ref="P36">MAX(IF((OutputTable[GroupByKey]=OutputTable[[#This Row],[GroupByKey]]),(OutputTable[GroupByKey]=OutputTable[[#This Row],[GroupByKey]])*OutputTable[RecordedValue]))</f>
        <v>370</v>
      </c>
    </row>
    <row r="37" spans="1:16" x14ac:dyDescent="0.3">
      <c r="A37" t="s">
        <v>66</v>
      </c>
      <c r="B37" t="s">
        <v>68</v>
      </c>
      <c r="C37">
        <v>2</v>
      </c>
      <c r="D37" t="s">
        <v>124</v>
      </c>
      <c r="E37" t="s">
        <v>111</v>
      </c>
      <c r="F37" t="s">
        <v>95</v>
      </c>
      <c r="G37">
        <v>0.76587767015640895</v>
      </c>
      <c r="H37">
        <v>0</v>
      </c>
      <c r="I37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0.78890367752589419</v>
      </c>
      <c r="L37" cm="1">
        <f t="array" ref="L37">IFERROR(_xlfn.STDEV.S(IF((OutputTable[GroupByKey]=OutputTable[[#This Row],[GroupByKey]]),(OutputTable[GroupByKey]=OutputTable[[#This Row],[GroupByKey]])*OutputTable[RecordedValue])),0)</f>
        <v>5.7743599319329868E-2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37" cm="1">
        <f t="array" ref="O37">MIN(IF((OutputTable[GroupByKey]=OutputTable[[#This Row],[GroupByKey]]),(OutputTable[GroupByKey]=OutputTable[[#This Row],[GroupByKey]])*OutputTable[RecordedValue]))</f>
        <v>0.68630817725209003</v>
      </c>
      <c r="P37" cm="1">
        <f t="array" ref="P37">MAX(IF((OutputTable[GroupByKey]=OutputTable[[#This Row],[GroupByKey]]),(OutputTable[GroupByKey]=OutputTable[[#This Row],[GroupByKey]])*OutputTable[RecordedValue]))</f>
        <v>0.89844569749382897</v>
      </c>
    </row>
    <row r="38" spans="1:16" x14ac:dyDescent="0.3">
      <c r="A38" t="s">
        <v>66</v>
      </c>
      <c r="B38" t="s">
        <v>68</v>
      </c>
      <c r="C38">
        <v>2</v>
      </c>
      <c r="D38" t="s">
        <v>125</v>
      </c>
      <c r="E38" t="s">
        <v>126</v>
      </c>
      <c r="F38" t="s">
        <v>86</v>
      </c>
      <c r="G38">
        <v>179</v>
      </c>
      <c r="H38">
        <v>0</v>
      </c>
      <c r="I38" t="str">
        <f>OutputTable[[#This Row],[ProjectName]]&amp;OutputTable[[#This Row],[Name]]&amp;OutputTable[[#This Row],[Type]]&amp;OutputTable[[#This Row],[Source]]</f>
        <v>Unnamed ProjectVisitantes.NumberInNumber InEntity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194.43333333333334</v>
      </c>
      <c r="L38" cm="1">
        <f t="array" ref="L38">IFERROR(_xlfn.STDEV.S(IF((OutputTable[GroupByKey]=OutputTable[[#This Row],[GroupByKey]]),(OutputTable[GroupByKey]=OutputTable[[#This Row],[GroupByKey]])*OutputTable[RecordedValue])),0)</f>
        <v>19.567184586538712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38" cm="1">
        <f t="array" ref="O38">MIN(IF((OutputTable[GroupByKey]=OutputTable[[#This Row],[GroupByKey]]),(OutputTable[GroupByKey]=OutputTable[[#This Row],[GroupByKey]])*OutputTable[RecordedValue]))</f>
        <v>158</v>
      </c>
      <c r="P38" cm="1">
        <f t="array" ref="P38">MAX(IF((OutputTable[GroupByKey]=OutputTable[[#This Row],[GroupByKey]]),(OutputTable[GroupByKey]=OutputTable[[#This Row],[GroupByKey]])*OutputTable[RecordedValue]))</f>
        <v>255</v>
      </c>
    </row>
    <row r="39" spans="1:16" x14ac:dyDescent="0.3">
      <c r="A39" t="s">
        <v>66</v>
      </c>
      <c r="B39" t="s">
        <v>68</v>
      </c>
      <c r="C39">
        <v>2</v>
      </c>
      <c r="D39" t="s">
        <v>127</v>
      </c>
      <c r="E39" t="s">
        <v>121</v>
      </c>
      <c r="F39" t="s">
        <v>86</v>
      </c>
      <c r="G39">
        <v>135</v>
      </c>
      <c r="H39">
        <v>0</v>
      </c>
      <c r="I39" t="str">
        <f>OutputTable[[#This Row],[ProjectName]]&amp;OutputTable[[#This Row],[Name]]&amp;OutputTable[[#This Row],[Type]]&amp;OutputTable[[#This Row],[Source]]</f>
        <v>Unnamed ProjectVisitantes.NumberOutNumber OutEntity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138.66666666666666</v>
      </c>
      <c r="L39" cm="1">
        <f t="array" ref="L39">IFERROR(_xlfn.STDEV.S(IF((OutputTable[GroupByKey]=OutputTable[[#This Row],[GroupByKey]]),(OutputTable[GroupByKey]=OutputTable[[#This Row],[GroupByKey]])*OutputTable[RecordedValue])),0)</f>
        <v>10.59386072484773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39" cm="1">
        <f t="array" ref="O39">MIN(IF((OutputTable[GroupByKey]=OutputTable[[#This Row],[GroupByKey]]),(OutputTable[GroupByKey]=OutputTable[[#This Row],[GroupByKey]])*OutputTable[RecordedValue]))</f>
        <v>122</v>
      </c>
      <c r="P39" cm="1">
        <f t="array" ref="P39">MAX(IF((OutputTable[GroupByKey]=OutputTable[[#This Row],[GroupByKey]]),(OutputTable[GroupByKey]=OutputTable[[#This Row],[GroupByKey]])*OutputTable[RecordedValue]))</f>
        <v>158</v>
      </c>
    </row>
    <row r="40" spans="1:16" x14ac:dyDescent="0.3">
      <c r="A40" t="s">
        <v>66</v>
      </c>
      <c r="B40" t="s">
        <v>68</v>
      </c>
      <c r="C40">
        <v>2</v>
      </c>
      <c r="D40" t="s">
        <v>128</v>
      </c>
      <c r="E40" t="s">
        <v>109</v>
      </c>
      <c r="F40" t="s">
        <v>95</v>
      </c>
      <c r="G40">
        <v>0</v>
      </c>
      <c r="H40">
        <v>0</v>
      </c>
      <c r="I40" t="str">
        <f>OutputTable[[#This Row],[ProjectName]]&amp;OutputTable[[#This Row],[Name]]&amp;OutputTable[[#This Row],[Type]]&amp;OutputTable[[#This Row],[Source]]</f>
        <v>Unnamed Projectcajero.NumberSeizedTotal Number SeizedResource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</v>
      </c>
      <c r="L40" cm="1">
        <f t="array" ref="L40">IFERROR(_xlfn.STDEV.S(IF((OutputTable[GroupByKey]=OutputTable[[#This Row],[GroupByKey]]),(OutputTable[GroupByKey]=OutputTable[[#This Row],[GroupByKey]])*OutputTable[RecordedValue])),0)</f>
        <v>0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" cm="1">
        <f t="array" ref="O40">MIN(IF((OutputTable[GroupByKey]=OutputTable[[#This Row],[GroupByKey]]),(OutputTable[GroupByKey]=OutputTable[[#This Row],[GroupByKey]])*OutputTable[RecordedValue]))</f>
        <v>0</v>
      </c>
      <c r="P40" cm="1">
        <f t="array" ref="P40">MAX(IF((OutputTable[GroupByKey]=OutputTable[[#This Row],[GroupByKey]]),(OutputTable[GroupByKey]=OutputTable[[#This Row],[GroupByKey]])*OutputTable[RecordedValue]))</f>
        <v>0</v>
      </c>
    </row>
    <row r="41" spans="1:16" x14ac:dyDescent="0.3">
      <c r="A41" t="s">
        <v>66</v>
      </c>
      <c r="B41" t="s">
        <v>68</v>
      </c>
      <c r="C41">
        <v>2</v>
      </c>
      <c r="D41" t="s">
        <v>129</v>
      </c>
      <c r="E41" t="s">
        <v>111</v>
      </c>
      <c r="F41" t="s">
        <v>95</v>
      </c>
      <c r="G41">
        <v>0</v>
      </c>
      <c r="H41">
        <v>0</v>
      </c>
      <c r="I41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0</v>
      </c>
      <c r="L41" cm="1">
        <f t="array" ref="L41">IFERROR(_xlfn.STDEV.S(IF((OutputTable[GroupByKey]=OutputTable[[#This Row],[GroupByKey]]),(OutputTable[GroupByKey]=OutputTable[[#This Row],[GroupByKey]])*OutputTable[RecordedValue])),0)</f>
        <v>0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cm="1">
        <f t="array" ref="O41">MIN(IF((OutputTable[GroupByKey]=OutputTable[[#This Row],[GroupByKey]]),(OutputTable[GroupByKey]=OutputTable[[#This Row],[GroupByKey]])*OutputTable[RecordedValue]))</f>
        <v>0</v>
      </c>
      <c r="P41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3">
      <c r="A42" t="s">
        <v>66</v>
      </c>
      <c r="B42" t="s">
        <v>68</v>
      </c>
      <c r="C42">
        <v>2</v>
      </c>
      <c r="D42" t="s">
        <v>130</v>
      </c>
      <c r="E42" t="s">
        <v>109</v>
      </c>
      <c r="F42" t="s">
        <v>95</v>
      </c>
      <c r="G42">
        <v>89</v>
      </c>
      <c r="H42">
        <v>0</v>
      </c>
      <c r="I42" t="str">
        <f>OutputTable[[#This Row],[ProjectName]]&amp;OutputTable[[#This Row],[Name]]&amp;OutputTable[[#This Row],[Type]]&amp;OutputTable[[#This Row],[Source]]</f>
        <v>Unnamed Projectticketsa.NumberSeizedTotal Number SeizedResource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99.666666666666671</v>
      </c>
      <c r="L42" cm="1">
        <f t="array" ref="L42">IFERROR(_xlfn.STDEV.S(IF((OutputTable[GroupByKey]=OutputTable[[#This Row],[GroupByKey]]),(OutputTable[GroupByKey]=OutputTable[[#This Row],[GroupByKey]])*OutputTable[RecordedValue])),0)</f>
        <v>11.021400290698853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42" cm="1">
        <f t="array" ref="O42">MIN(IF((OutputTable[GroupByKey]=OutputTable[[#This Row],[GroupByKey]]),(OutputTable[GroupByKey]=OutputTable[[#This Row],[GroupByKey]])*OutputTable[RecordedValue]))</f>
        <v>84</v>
      </c>
      <c r="P42" cm="1">
        <f t="array" ref="P42">MAX(IF((OutputTable[GroupByKey]=OutputTable[[#This Row],[GroupByKey]]),(OutputTable[GroupByKey]=OutputTable[[#This Row],[GroupByKey]])*OutputTable[RecordedValue]))</f>
        <v>133</v>
      </c>
    </row>
    <row r="43" spans="1:16" x14ac:dyDescent="0.3">
      <c r="A43" t="s">
        <v>66</v>
      </c>
      <c r="B43" t="s">
        <v>68</v>
      </c>
      <c r="C43">
        <v>2</v>
      </c>
      <c r="D43" t="s">
        <v>131</v>
      </c>
      <c r="E43" t="s">
        <v>111</v>
      </c>
      <c r="F43" t="s">
        <v>95</v>
      </c>
      <c r="G43">
        <v>0.71520550213035405</v>
      </c>
      <c r="H43">
        <v>0</v>
      </c>
      <c r="I43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0.81099663999028448</v>
      </c>
      <c r="L43" cm="1">
        <f t="array" ref="L43">IFERROR(_xlfn.STDEV.S(IF((OutputTable[GroupByKey]=OutputTable[[#This Row],[GroupByKey]]),(OutputTable[GroupByKey]=OutputTable[[#This Row],[GroupByKey]])*OutputTable[RecordedValue])),0)</f>
        <v>0.1069626954834289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43" cm="1">
        <f t="array" ref="O43">MIN(IF((OutputTable[GroupByKey]=OutputTable[[#This Row],[GroupByKey]]),(OutputTable[GroupByKey]=OutputTable[[#This Row],[GroupByKey]])*OutputTable[RecordedValue]))</f>
        <v>0.634589476164233</v>
      </c>
      <c r="P43" cm="1">
        <f t="array" ref="P43">MAX(IF((OutputTable[GroupByKey]=OutputTable[[#This Row],[GroupByKey]]),(OutputTable[GroupByKey]=OutputTable[[#This Row],[GroupByKey]])*OutputTable[RecordedValue]))</f>
        <v>0.99383259650362799</v>
      </c>
    </row>
    <row r="44" spans="1:16" x14ac:dyDescent="0.3">
      <c r="A44" t="s">
        <v>66</v>
      </c>
      <c r="B44" t="s">
        <v>68</v>
      </c>
      <c r="C44">
        <v>2</v>
      </c>
      <c r="D44" t="s">
        <v>132</v>
      </c>
      <c r="E44" t="s">
        <v>109</v>
      </c>
      <c r="F44" t="s">
        <v>95</v>
      </c>
      <c r="G44">
        <v>50</v>
      </c>
      <c r="H44">
        <v>0</v>
      </c>
      <c r="I44" t="str">
        <f>OutputTable[[#This Row],[ProjectName]]&amp;OutputTable[[#This Row],[Name]]&amp;OutputTable[[#This Row],[Type]]&amp;OutputTable[[#This Row],[Source]]</f>
        <v>Unnamed Projectticketsb.NumberSeizedTotal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51.966666666666669</v>
      </c>
      <c r="L44" cm="1">
        <f t="array" ref="L44">IFERROR(_xlfn.STDEV.S(IF((OutputTable[GroupByKey]=OutputTable[[#This Row],[GroupByKey]]),(OutputTable[GroupByKey]=OutputTable[[#This Row],[GroupByKey]])*OutputTable[RecordedValue])),0)</f>
        <v>7.0636677653220881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44" cm="1">
        <f t="array" ref="O44">MIN(IF((OutputTable[GroupByKey]=OutputTable[[#This Row],[GroupByKey]]),(OutputTable[GroupByKey]=OutputTable[[#This Row],[GroupByKey]])*OutputTable[RecordedValue]))</f>
        <v>40</v>
      </c>
      <c r="P44" cm="1">
        <f t="array" ref="P44">MAX(IF((OutputTable[GroupByKey]=OutputTable[[#This Row],[GroupByKey]]),(OutputTable[GroupByKey]=OutputTable[[#This Row],[GroupByKey]])*OutputTable[RecordedValue]))</f>
        <v>70</v>
      </c>
    </row>
    <row r="45" spans="1:16" x14ac:dyDescent="0.3">
      <c r="A45" t="s">
        <v>66</v>
      </c>
      <c r="B45" t="s">
        <v>68</v>
      </c>
      <c r="C45">
        <v>2</v>
      </c>
      <c r="D45" t="s">
        <v>133</v>
      </c>
      <c r="E45" t="s">
        <v>111</v>
      </c>
      <c r="F45" t="s">
        <v>95</v>
      </c>
      <c r="G45">
        <v>0.84553205540298404</v>
      </c>
      <c r="H45">
        <v>0</v>
      </c>
      <c r="I4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0.86404173385398308</v>
      </c>
      <c r="L45" cm="1">
        <f t="array" ref="L45">IFERROR(_xlfn.STDEV.S(IF((OutputTable[GroupByKey]=OutputTable[[#This Row],[GroupByKey]]),(OutputTable[GroupByKey]=OutputTable[[#This Row],[GroupByKey]])*OutputTable[RecordedValue])),0)</f>
        <v>7.7429091138254261E-2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45" cm="1">
        <f t="array" ref="O45">MIN(IF((OutputTable[GroupByKey]=OutputTable[[#This Row],[GroupByKey]]),(OutputTable[GroupByKey]=OutputTable[[#This Row],[GroupByKey]])*OutputTable[RecordedValue]))</f>
        <v>0.74061105631083801</v>
      </c>
      <c r="P45" cm="1">
        <f t="array" ref="P45">MAX(IF((OutputTable[GroupByKey]=OutputTable[[#This Row],[GroupByKey]]),(OutputTable[GroupByKey]=OutputTable[[#This Row],[GroupByKey]])*OutputTable[RecordedValue]))</f>
        <v>0.99245161744166299</v>
      </c>
    </row>
    <row r="46" spans="1:16" x14ac:dyDescent="0.3">
      <c r="A46" t="s">
        <v>66</v>
      </c>
      <c r="B46" t="s">
        <v>68</v>
      </c>
      <c r="C46">
        <v>2</v>
      </c>
      <c r="D46" t="s">
        <v>134</v>
      </c>
      <c r="E46" t="s">
        <v>109</v>
      </c>
      <c r="F46" t="s">
        <v>95</v>
      </c>
      <c r="G46">
        <v>40</v>
      </c>
      <c r="H46">
        <v>0</v>
      </c>
      <c r="I46" t="str">
        <f>OutputTable[[#This Row],[ProjectName]]&amp;OutputTable[[#This Row],[Name]]&amp;OutputTable[[#This Row],[Type]]&amp;OutputTable[[#This Row],[Source]]</f>
        <v>Unnamed Projectticketsc.NumberSeizedTotal Number SeizedResource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36.233333333333334</v>
      </c>
      <c r="L46" cm="1">
        <f t="array" ref="L46">IFERROR(_xlfn.STDEV.S(IF((OutputTable[GroupByKey]=OutputTable[[#This Row],[GroupByKey]]),(OutputTable[GroupByKey]=OutputTable[[#This Row],[GroupByKey]])*OutputTable[RecordedValue])),0)</f>
        <v>4.775536318198915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46" cm="1">
        <f t="array" ref="O46">MIN(IF((OutputTable[GroupByKey]=OutputTable[[#This Row],[GroupByKey]]),(OutputTable[GroupByKey]=OutputTable[[#This Row],[GroupByKey]])*OutputTable[RecordedValue]))</f>
        <v>28</v>
      </c>
      <c r="P46" cm="1">
        <f t="array" ref="P46">MAX(IF((OutputTable[GroupByKey]=OutputTable[[#This Row],[GroupByKey]]),(OutputTable[GroupByKey]=OutputTable[[#This Row],[GroupByKey]])*OutputTable[RecordedValue]))</f>
        <v>48</v>
      </c>
    </row>
    <row r="47" spans="1:16" x14ac:dyDescent="0.3">
      <c r="A47" t="s">
        <v>66</v>
      </c>
      <c r="B47" t="s">
        <v>68</v>
      </c>
      <c r="C47">
        <v>2</v>
      </c>
      <c r="D47" t="s">
        <v>135</v>
      </c>
      <c r="E47" t="s">
        <v>111</v>
      </c>
      <c r="F47" t="s">
        <v>95</v>
      </c>
      <c r="G47">
        <v>0.82933186101531098</v>
      </c>
      <c r="H47">
        <v>0</v>
      </c>
      <c r="I47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0.88098039877461687</v>
      </c>
      <c r="L47" cm="1">
        <f t="array" ref="L47">IFERROR(_xlfn.STDEV.S(IF((OutputTable[GroupByKey]=OutputTable[[#This Row],[GroupByKey]]),(OutputTable[GroupByKey]=OutputTable[[#This Row],[GroupByKey]])*OutputTable[RecordedValue])),0)</f>
        <v>6.9783648638161486E-2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47" cm="1">
        <f t="array" ref="O47">MIN(IF((OutputTable[GroupByKey]=OutputTable[[#This Row],[GroupByKey]]),(OutputTable[GroupByKey]=OutputTable[[#This Row],[GroupByKey]])*OutputTable[RecordedValue]))</f>
        <v>0.73843386001690303</v>
      </c>
      <c r="P47" cm="1">
        <f t="array" ref="P47">MAX(IF((OutputTable[GroupByKey]=OutputTable[[#This Row],[GroupByKey]]),(OutputTable[GroupByKey]=OutputTable[[#This Row],[GroupByKey]])*OutputTable[RecordedValue]))</f>
        <v>0.99245161744166299</v>
      </c>
    </row>
    <row r="48" spans="1:16" x14ac:dyDescent="0.3">
      <c r="A48" t="s">
        <v>66</v>
      </c>
      <c r="B48" t="s">
        <v>68</v>
      </c>
      <c r="C48">
        <v>3</v>
      </c>
      <c r="D48" t="s">
        <v>108</v>
      </c>
      <c r="E48" t="s">
        <v>109</v>
      </c>
      <c r="F48" t="s">
        <v>95</v>
      </c>
      <c r="G48">
        <v>42</v>
      </c>
      <c r="H48">
        <v>0</v>
      </c>
      <c r="I48" t="str">
        <f>OutputTable[[#This Row],[ProjectName]]&amp;OutputTable[[#This Row],[Name]]&amp;OutputTable[[#This Row],[Type]]&amp;OutputTable[[#This Row],[Source]]</f>
        <v>Unnamed ProjectRArte.NumberSeizedTotal Number SeizedResource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34.633333333333333</v>
      </c>
      <c r="L48" cm="1">
        <f t="array" ref="L48">IFERROR(_xlfn.STDEV.S(IF((OutputTable[GroupByKey]=OutputTable[[#This Row],[GroupByKey]]),(OutputTable[GroupByKey]=OutputTable[[#This Row],[GroupByKey]])*OutputTable[RecordedValue])),0)</f>
        <v>6.3326375903390151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48" cm="1">
        <f t="array" ref="O48">MIN(IF((OutputTable[GroupByKey]=OutputTable[[#This Row],[GroupByKey]]),(OutputTable[GroupByKey]=OutputTable[[#This Row],[GroupByKey]])*OutputTable[RecordedValue]))</f>
        <v>24</v>
      </c>
      <c r="P48" cm="1">
        <f t="array" ref="P48">MAX(IF((OutputTable[GroupByKey]=OutputTable[[#This Row],[GroupByKey]]),(OutputTable[GroupByKey]=OutputTable[[#This Row],[GroupByKey]])*OutputTable[RecordedValue]))</f>
        <v>47</v>
      </c>
    </row>
    <row r="49" spans="1:16" x14ac:dyDescent="0.3">
      <c r="A49" t="s">
        <v>66</v>
      </c>
      <c r="B49" t="s">
        <v>68</v>
      </c>
      <c r="C49">
        <v>3</v>
      </c>
      <c r="D49" t="s">
        <v>110</v>
      </c>
      <c r="E49" t="s">
        <v>111</v>
      </c>
      <c r="F49" t="s">
        <v>95</v>
      </c>
      <c r="G49">
        <v>4.2250301377172401E-2</v>
      </c>
      <c r="H49">
        <v>0</v>
      </c>
      <c r="I49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3.5359789427834361E-2</v>
      </c>
      <c r="L49" cm="1">
        <f t="array" ref="L49">IFERROR(_xlfn.STDEV.S(IF((OutputTable[GroupByKey]=OutputTable[[#This Row],[GroupByKey]]),(OutputTable[GroupByKey]=OutputTable[[#This Row],[GroupByKey]])*OutputTable[RecordedValue])),0)</f>
        <v>6.6521615975834569E-3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49" cm="1">
        <f t="array" ref="O49">MIN(IF((OutputTable[GroupByKey]=OutputTable[[#This Row],[GroupByKey]]),(OutputTable[GroupByKey]=OutputTable[[#This Row],[GroupByKey]])*OutputTable[RecordedValue]))</f>
        <v>2.3718114155243601E-2</v>
      </c>
      <c r="P49" cm="1">
        <f t="array" ref="P49">MAX(IF((OutputTable[GroupByKey]=OutputTable[[#This Row],[GroupByKey]]),(OutputTable[GroupByKey]=OutputTable[[#This Row],[GroupByKey]])*OutputTable[RecordedValue]))</f>
        <v>4.8583931724403701E-2</v>
      </c>
    </row>
    <row r="50" spans="1:16" x14ac:dyDescent="0.3">
      <c r="A50" t="s">
        <v>66</v>
      </c>
      <c r="B50" t="s">
        <v>68</v>
      </c>
      <c r="C50">
        <v>3</v>
      </c>
      <c r="D50" t="s">
        <v>112</v>
      </c>
      <c r="E50" t="s">
        <v>109</v>
      </c>
      <c r="F50" t="s">
        <v>95</v>
      </c>
      <c r="G50">
        <v>97</v>
      </c>
      <c r="H50">
        <v>0</v>
      </c>
      <c r="I50" t="str">
        <f>OutputTable[[#This Row],[ProjectName]]&amp;OutputTable[[#This Row],[Name]]&amp;OutputTable[[#This Row],[Type]]&amp;OutputTable[[#This Row],[Source]]</f>
        <v>Unnamed ProjectRAstro.NumberSeizedTotal Number SeizedResource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105.13333333333334</v>
      </c>
      <c r="L50" cm="1">
        <f t="array" ref="L50">IFERROR(_xlfn.STDEV.S(IF((OutputTable[GroupByKey]=OutputTable[[#This Row],[GroupByKey]]),(OutputTable[GroupByKey]=OutputTable[[#This Row],[GroupByKey]])*OutputTable[RecordedValue])),0)</f>
        <v>9.9020490158675578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50" cm="1">
        <f t="array" ref="O50">MIN(IF((OutputTable[GroupByKey]=OutputTable[[#This Row],[GroupByKey]]),(OutputTable[GroupByKey]=OutputTable[[#This Row],[GroupByKey]])*OutputTable[RecordedValue]))</f>
        <v>90</v>
      </c>
      <c r="P50" cm="1">
        <f t="array" ref="P50">MAX(IF((OutputTable[GroupByKey]=OutputTable[[#This Row],[GroupByKey]]),(OutputTable[GroupByKey]=OutputTable[[#This Row],[GroupByKey]])*OutputTable[RecordedValue]))</f>
        <v>120</v>
      </c>
    </row>
    <row r="51" spans="1:16" x14ac:dyDescent="0.3">
      <c r="A51" t="s">
        <v>66</v>
      </c>
      <c r="B51" t="s">
        <v>68</v>
      </c>
      <c r="C51">
        <v>3</v>
      </c>
      <c r="D51" t="s">
        <v>113</v>
      </c>
      <c r="E51" t="s">
        <v>111</v>
      </c>
      <c r="F51" t="s">
        <v>95</v>
      </c>
      <c r="G51">
        <v>0.230838690267714</v>
      </c>
      <c r="H51">
        <v>0</v>
      </c>
      <c r="I51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0.24658598119222253</v>
      </c>
      <c r="L51" cm="1">
        <f t="array" ref="L51">IFERROR(_xlfn.STDEV.S(IF((OutputTable[GroupByKey]=OutputTable[[#This Row],[GroupByKey]]),(OutputTable[GroupByKey]=OutputTable[[#This Row],[GroupByKey]])*OutputTable[RecordedValue])),0)</f>
        <v>2.3372241503878202E-2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51" cm="1">
        <f t="array" ref="O51">MIN(IF((OutputTable[GroupByKey]=OutputTable[[#This Row],[GroupByKey]]),(OutputTable[GroupByKey]=OutputTable[[#This Row],[GroupByKey]])*OutputTable[RecordedValue]))</f>
        <v>0.20767736113278101</v>
      </c>
      <c r="P51" cm="1">
        <f t="array" ref="P51">MAX(IF((OutputTable[GroupByKey]=OutputTable[[#This Row],[GroupByKey]]),(OutputTable[GroupByKey]=OutputTable[[#This Row],[GroupByKey]])*OutputTable[RecordedValue]))</f>
        <v>0.28501162927715601</v>
      </c>
    </row>
    <row r="52" spans="1:16" x14ac:dyDescent="0.3">
      <c r="A52" t="s">
        <v>66</v>
      </c>
      <c r="B52" t="s">
        <v>68</v>
      </c>
      <c r="C52">
        <v>3</v>
      </c>
      <c r="D52" t="s">
        <v>114</v>
      </c>
      <c r="E52" t="s">
        <v>109</v>
      </c>
      <c r="F52" t="s">
        <v>95</v>
      </c>
      <c r="G52">
        <v>131</v>
      </c>
      <c r="H52">
        <v>0</v>
      </c>
      <c r="I52" t="str">
        <f>OutputTable[[#This Row],[ProjectName]]&amp;OutputTable[[#This Row],[Name]]&amp;OutputTable[[#This Row],[Type]]&amp;OutputTable[[#This Row],[Source]]</f>
        <v>Unnamed ProjectRFisica.NumberSeizedTotal Number SeizedResource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130.19999999999999</v>
      </c>
      <c r="L52" cm="1">
        <f t="array" ref="L52">IFERROR(_xlfn.STDEV.S(IF((OutputTable[GroupByKey]=OutputTable[[#This Row],[GroupByKey]]),(OutputTable[GroupByKey]=OutputTable[[#This Row],[GroupByKey]])*OutputTable[RecordedValue])),0)</f>
        <v>9.6932255049418501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52" cm="1">
        <f t="array" ref="O52">MIN(IF((OutputTable[GroupByKey]=OutputTable[[#This Row],[GroupByKey]]),(OutputTable[GroupByKey]=OutputTable[[#This Row],[GroupByKey]])*OutputTable[RecordedValue]))</f>
        <v>112</v>
      </c>
      <c r="P52" cm="1">
        <f t="array" ref="P52">MAX(IF((OutputTable[GroupByKey]=OutputTable[[#This Row],[GroupByKey]]),(OutputTable[GroupByKey]=OutputTable[[#This Row],[GroupByKey]])*OutputTable[RecordedValue]))</f>
        <v>150</v>
      </c>
    </row>
    <row r="53" spans="1:16" x14ac:dyDescent="0.3">
      <c r="A53" t="s">
        <v>66</v>
      </c>
      <c r="B53" t="s">
        <v>68</v>
      </c>
      <c r="C53">
        <v>3</v>
      </c>
      <c r="D53" t="s">
        <v>115</v>
      </c>
      <c r="E53" t="s">
        <v>111</v>
      </c>
      <c r="F53" t="s">
        <v>95</v>
      </c>
      <c r="G53">
        <v>0.604726885596782</v>
      </c>
      <c r="H53">
        <v>0</v>
      </c>
      <c r="I53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0.61071636647106653</v>
      </c>
      <c r="L53" cm="1">
        <f t="array" ref="L53">IFERROR(_xlfn.STDEV.S(IF((OutputTable[GroupByKey]=OutputTable[[#This Row],[GroupByKey]]),(OutputTable[GroupByKey]=OutputTable[[#This Row],[GroupByKey]])*OutputTable[RecordedValue])),0)</f>
        <v>4.8363406640152928E-2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53" cm="1">
        <f t="array" ref="O53">MIN(IF((OutputTable[GroupByKey]=OutputTable[[#This Row],[GroupByKey]]),(OutputTable[GroupByKey]=OutputTable[[#This Row],[GroupByKey]])*OutputTable[RecordedValue]))</f>
        <v>0.517215348442703</v>
      </c>
      <c r="P53" cm="1">
        <f t="array" ref="P53">MAX(IF((OutputTable[GroupByKey]=OutputTable[[#This Row],[GroupByKey]]),(OutputTable[GroupByKey]=OutputTable[[#This Row],[GroupByKey]])*OutputTable[RecordedValue]))</f>
        <v>0.67770389283754395</v>
      </c>
    </row>
    <row r="54" spans="1:16" x14ac:dyDescent="0.3">
      <c r="A54" t="s">
        <v>66</v>
      </c>
      <c r="B54" t="s">
        <v>68</v>
      </c>
      <c r="C54">
        <v>3</v>
      </c>
      <c r="D54" t="s">
        <v>116</v>
      </c>
      <c r="E54" t="s">
        <v>109</v>
      </c>
      <c r="F54" t="s">
        <v>95</v>
      </c>
      <c r="G54">
        <v>384</v>
      </c>
      <c r="H54">
        <v>0</v>
      </c>
      <c r="I54" t="str">
        <f>OutputTable[[#This Row],[ProjectName]]&amp;OutputTable[[#This Row],[Name]]&amp;OutputTable[[#This Row],[Type]]&amp;OutputTable[[#This Row],[Source]]</f>
        <v>Unnamed ProjectRHall.NumberSeizedTotal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366.5</v>
      </c>
      <c r="L54" cm="1">
        <f t="array" ref="L54">IFERROR(_xlfn.STDEV.S(IF((OutputTable[GroupByKey]=OutputTable[[#This Row],[GroupByKey]]),(OutputTable[GroupByKey]=OutputTable[[#This Row],[GroupByKey]])*OutputTable[RecordedValue])),0)</f>
        <v>27.998460548813185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54" cm="1">
        <f t="array" ref="O54">MIN(IF((OutputTable[GroupByKey]=OutputTable[[#This Row],[GroupByKey]]),(OutputTable[GroupByKey]=OutputTable[[#This Row],[GroupByKey]])*OutputTable[RecordedValue]))</f>
        <v>308</v>
      </c>
      <c r="P54" cm="1">
        <f t="array" ref="P54">MAX(IF((OutputTable[GroupByKey]=OutputTable[[#This Row],[GroupByKey]]),(OutputTable[GroupByKey]=OutputTable[[#This Row],[GroupByKey]])*OutputTable[RecordedValue]))</f>
        <v>415</v>
      </c>
    </row>
    <row r="55" spans="1:16" x14ac:dyDescent="0.3">
      <c r="A55" t="s">
        <v>66</v>
      </c>
      <c r="B55" t="s">
        <v>68</v>
      </c>
      <c r="C55">
        <v>3</v>
      </c>
      <c r="D55" t="s">
        <v>117</v>
      </c>
      <c r="E55" t="s">
        <v>111</v>
      </c>
      <c r="F55" t="s">
        <v>95</v>
      </c>
      <c r="G55">
        <v>0.17683466225159</v>
      </c>
      <c r="H55">
        <v>0</v>
      </c>
      <c r="I5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0.17017204824235124</v>
      </c>
      <c r="L55" cm="1">
        <f t="array" ref="L55">IFERROR(_xlfn.STDEV.S(IF((OutputTable[GroupByKey]=OutputTable[[#This Row],[GroupByKey]]),(OutputTable[GroupByKey]=OutputTable[[#This Row],[GroupByKey]])*OutputTable[RecordedValue])),0)</f>
        <v>1.331368412630852E-2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55" cm="1">
        <f t="array" ref="O55">MIN(IF((OutputTable[GroupByKey]=OutputTable[[#This Row],[GroupByKey]]),(OutputTable[GroupByKey]=OutputTable[[#This Row],[GroupByKey]])*OutputTable[RecordedValue]))</f>
        <v>0.14484829778125299</v>
      </c>
      <c r="P55" cm="1">
        <f t="array" ref="P55">MAX(IF((OutputTable[GroupByKey]=OutputTable[[#This Row],[GroupByKey]]),(OutputTable[GroupByKey]=OutputTable[[#This Row],[GroupByKey]])*OutputTable[RecordedValue]))</f>
        <v>0.19609322315655101</v>
      </c>
    </row>
    <row r="56" spans="1:16" x14ac:dyDescent="0.3">
      <c r="A56" t="s">
        <v>66</v>
      </c>
      <c r="B56" t="s">
        <v>68</v>
      </c>
      <c r="C56">
        <v>3</v>
      </c>
      <c r="D56" t="s">
        <v>118</v>
      </c>
      <c r="E56" t="s">
        <v>109</v>
      </c>
      <c r="F56" t="s">
        <v>95</v>
      </c>
      <c r="G56">
        <v>81</v>
      </c>
      <c r="H56">
        <v>0</v>
      </c>
      <c r="I56" t="str">
        <f>OutputTable[[#This Row],[ProjectName]]&amp;OutputTable[[#This Row],[Name]]&amp;OutputTable[[#This Row],[Type]]&amp;OutputTable[[#This Row],[Source]]</f>
        <v>Unnamed ProjectRHistoria.NumberSeizedTotal Number SeizedResource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67.599999999999994</v>
      </c>
      <c r="L56" cm="1">
        <f t="array" ref="L56">IFERROR(_xlfn.STDEV.S(IF((OutputTable[GroupByKey]=OutputTable[[#This Row],[GroupByKey]]),(OutputTable[GroupByKey]=OutputTable[[#This Row],[GroupByKey]])*OutputTable[RecordedValue])),0)</f>
        <v>8.2277914244430335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56" cm="1">
        <f t="array" ref="O56">MIN(IF((OutputTable[GroupByKey]=OutputTable[[#This Row],[GroupByKey]]),(OutputTable[GroupByKey]=OutputTable[[#This Row],[GroupByKey]])*OutputTable[RecordedValue]))</f>
        <v>53</v>
      </c>
      <c r="P56" cm="1">
        <f t="array" ref="P56">MAX(IF((OutputTable[GroupByKey]=OutputTable[[#This Row],[GroupByKey]]),(OutputTable[GroupByKey]=OutputTable[[#This Row],[GroupByKey]])*OutputTable[RecordedValue]))</f>
        <v>83</v>
      </c>
    </row>
    <row r="57" spans="1:16" x14ac:dyDescent="0.3">
      <c r="A57" t="s">
        <v>66</v>
      </c>
      <c r="B57" t="s">
        <v>68</v>
      </c>
      <c r="C57">
        <v>3</v>
      </c>
      <c r="D57" t="s">
        <v>119</v>
      </c>
      <c r="E57" t="s">
        <v>111</v>
      </c>
      <c r="F57" t="s">
        <v>95</v>
      </c>
      <c r="G57">
        <v>0.111025455742452</v>
      </c>
      <c r="H57">
        <v>0</v>
      </c>
      <c r="I57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9.2629789222133899E-2</v>
      </c>
      <c r="L57" cm="1">
        <f t="array" ref="L57">IFERROR(_xlfn.STDEV.S(IF((OutputTable[GroupByKey]=OutputTable[[#This Row],[GroupByKey]]),(OutputTable[GroupByKey]=OutputTable[[#This Row],[GroupByKey]])*OutputTable[RecordedValue])),0)</f>
        <v>1.1199993404883948E-2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57" cm="1">
        <f t="array" ref="O57">MIN(IF((OutputTable[GroupByKey]=OutputTable[[#This Row],[GroupByKey]]),(OutputTable[GroupByKey]=OutputTable[[#This Row],[GroupByKey]])*OutputTable[RecordedValue]))</f>
        <v>7.4778736536586704E-2</v>
      </c>
      <c r="P57" cm="1">
        <f t="array" ref="P57">MAX(IF((OutputTable[GroupByKey]=OutputTable[[#This Row],[GroupByKey]]),(OutputTable[GroupByKey]=OutputTable[[#This Row],[GroupByKey]])*OutputTable[RecordedValue]))</f>
        <v>0.111025455742452</v>
      </c>
    </row>
    <row r="58" spans="1:16" x14ac:dyDescent="0.3">
      <c r="A58" t="s">
        <v>66</v>
      </c>
      <c r="B58" t="s">
        <v>68</v>
      </c>
      <c r="C58">
        <v>3</v>
      </c>
      <c r="D58" t="s">
        <v>120</v>
      </c>
      <c r="E58" t="s">
        <v>121</v>
      </c>
      <c r="F58" t="s">
        <v>122</v>
      </c>
      <c r="G58">
        <v>140</v>
      </c>
      <c r="H58">
        <v>0</v>
      </c>
      <c r="I58" t="str">
        <f>OutputTable[[#This Row],[ProjectName]]&amp;OutputTable[[#This Row],[Name]]&amp;OutputTable[[#This Row],[Type]]&amp;OutputTable[[#This Row],[Source]]</f>
        <v>Unnamed ProjectSystem.NumberOutNumber OutSystem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138.66666666666666</v>
      </c>
      <c r="L58" cm="1">
        <f t="array" ref="L58">IFERROR(_xlfn.STDEV.S(IF((OutputTable[GroupByKey]=OutputTable[[#This Row],[GroupByKey]]),(OutputTable[GroupByKey]=OutputTable[[#This Row],[GroupByKey]])*OutputTable[RecordedValue])),0)</f>
        <v>10.59386072484773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58" cm="1">
        <f t="array" ref="O58">MIN(IF((OutputTable[GroupByKey]=OutputTable[[#This Row],[GroupByKey]]),(OutputTable[GroupByKey]=OutputTable[[#This Row],[GroupByKey]])*OutputTable[RecordedValue]))</f>
        <v>122</v>
      </c>
      <c r="P58" cm="1">
        <f t="array" ref="P58">MAX(IF((OutputTable[GroupByKey]=OutputTable[[#This Row],[GroupByKey]]),(OutputTable[GroupByKey]=OutputTable[[#This Row],[GroupByKey]])*OutputTable[RecordedValue]))</f>
        <v>158</v>
      </c>
    </row>
    <row r="59" spans="1:16" x14ac:dyDescent="0.3">
      <c r="A59" t="s">
        <v>66</v>
      </c>
      <c r="B59" t="s">
        <v>68</v>
      </c>
      <c r="C59">
        <v>3</v>
      </c>
      <c r="D59" t="s">
        <v>123</v>
      </c>
      <c r="E59" t="s">
        <v>109</v>
      </c>
      <c r="F59" t="s">
        <v>95</v>
      </c>
      <c r="G59">
        <v>327</v>
      </c>
      <c r="H59">
        <v>0</v>
      </c>
      <c r="I59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324.63333333333333</v>
      </c>
      <c r="L59" cm="1">
        <f t="array" ref="L59">IFERROR(_xlfn.STDEV.S(IF((OutputTable[GroupByKey]=OutputTable[[#This Row],[GroupByKey]]),(OutputTable[GroupByKey]=OutputTable[[#This Row],[GroupByKey]])*OutputTable[RecordedValue])),0)</f>
        <v>23.733409208195905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59" cm="1">
        <f t="array" ref="O59">MIN(IF((OutputTable[GroupByKey]=OutputTable[[#This Row],[GroupByKey]]),(OutputTable[GroupByKey]=OutputTable[[#This Row],[GroupByKey]])*OutputTable[RecordedValue]))</f>
        <v>276</v>
      </c>
      <c r="P59" cm="1">
        <f t="array" ref="P59">MAX(IF((OutputTable[GroupByKey]=OutputTable[[#This Row],[GroupByKey]]),(OutputTable[GroupByKey]=OutputTable[[#This Row],[GroupByKey]])*OutputTable[RecordedValue]))</f>
        <v>370</v>
      </c>
    </row>
    <row r="60" spans="1:16" x14ac:dyDescent="0.3">
      <c r="A60" t="s">
        <v>66</v>
      </c>
      <c r="B60" t="s">
        <v>68</v>
      </c>
      <c r="C60">
        <v>3</v>
      </c>
      <c r="D60" t="s">
        <v>124</v>
      </c>
      <c r="E60" t="s">
        <v>111</v>
      </c>
      <c r="F60" t="s">
        <v>95</v>
      </c>
      <c r="G60">
        <v>0.79520242460233004</v>
      </c>
      <c r="H60">
        <v>0</v>
      </c>
      <c r="I60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0.78890367752589419</v>
      </c>
      <c r="L60" cm="1">
        <f t="array" ref="L60">IFERROR(_xlfn.STDEV.S(IF((OutputTable[GroupByKey]=OutputTable[[#This Row],[GroupByKey]]),(OutputTable[GroupByKey]=OutputTable[[#This Row],[GroupByKey]])*OutputTable[RecordedValue])),0)</f>
        <v>5.7743599319329868E-2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60" cm="1">
        <f t="array" ref="O60">MIN(IF((OutputTable[GroupByKey]=OutputTable[[#This Row],[GroupByKey]]),(OutputTable[GroupByKey]=OutputTable[[#This Row],[GroupByKey]])*OutputTable[RecordedValue]))</f>
        <v>0.68630817725209003</v>
      </c>
      <c r="P60" cm="1">
        <f t="array" ref="P60">MAX(IF((OutputTable[GroupByKey]=OutputTable[[#This Row],[GroupByKey]]),(OutputTable[GroupByKey]=OutputTable[[#This Row],[GroupByKey]])*OutputTable[RecordedValue]))</f>
        <v>0.89844569749382897</v>
      </c>
    </row>
    <row r="61" spans="1:16" x14ac:dyDescent="0.3">
      <c r="A61" t="s">
        <v>66</v>
      </c>
      <c r="B61" t="s">
        <v>68</v>
      </c>
      <c r="C61">
        <v>3</v>
      </c>
      <c r="D61" t="s">
        <v>125</v>
      </c>
      <c r="E61" t="s">
        <v>126</v>
      </c>
      <c r="F61" t="s">
        <v>86</v>
      </c>
      <c r="G61">
        <v>187</v>
      </c>
      <c r="H61">
        <v>0</v>
      </c>
      <c r="I61" t="str">
        <f>OutputTable[[#This Row],[ProjectName]]&amp;OutputTable[[#This Row],[Name]]&amp;OutputTable[[#This Row],[Type]]&amp;OutputTable[[#This Row],[Source]]</f>
        <v>Unnamed ProjectVisitantes.NumberInNumber InEntity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194.43333333333334</v>
      </c>
      <c r="L61" cm="1">
        <f t="array" ref="L61">IFERROR(_xlfn.STDEV.S(IF((OutputTable[GroupByKey]=OutputTable[[#This Row],[GroupByKey]]),(OutputTable[GroupByKey]=OutputTable[[#This Row],[GroupByKey]])*OutputTable[RecordedValue])),0)</f>
        <v>19.567184586538712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61" cm="1">
        <f t="array" ref="O61">MIN(IF((OutputTable[GroupByKey]=OutputTable[[#This Row],[GroupByKey]]),(OutputTable[GroupByKey]=OutputTable[[#This Row],[GroupByKey]])*OutputTable[RecordedValue]))</f>
        <v>158</v>
      </c>
      <c r="P61" cm="1">
        <f t="array" ref="P61">MAX(IF((OutputTable[GroupByKey]=OutputTable[[#This Row],[GroupByKey]]),(OutputTable[GroupByKey]=OutputTable[[#This Row],[GroupByKey]])*OutputTable[RecordedValue]))</f>
        <v>255</v>
      </c>
    </row>
    <row r="62" spans="1:16" x14ac:dyDescent="0.3">
      <c r="A62" t="s">
        <v>66</v>
      </c>
      <c r="B62" t="s">
        <v>68</v>
      </c>
      <c r="C62">
        <v>3</v>
      </c>
      <c r="D62" t="s">
        <v>127</v>
      </c>
      <c r="E62" t="s">
        <v>121</v>
      </c>
      <c r="F62" t="s">
        <v>86</v>
      </c>
      <c r="G62">
        <v>140</v>
      </c>
      <c r="H62">
        <v>0</v>
      </c>
      <c r="I62" t="str">
        <f>OutputTable[[#This Row],[ProjectName]]&amp;OutputTable[[#This Row],[Name]]&amp;OutputTable[[#This Row],[Type]]&amp;OutputTable[[#This Row],[Source]]</f>
        <v>Unnamed ProjectVisitantes.NumberOutNumber OutEntity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138.66666666666666</v>
      </c>
      <c r="L62" cm="1">
        <f t="array" ref="L62">IFERROR(_xlfn.STDEV.S(IF((OutputTable[GroupByKey]=OutputTable[[#This Row],[GroupByKey]]),(OutputTable[GroupByKey]=OutputTable[[#This Row],[GroupByKey]])*OutputTable[RecordedValue])),0)</f>
        <v>10.59386072484773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62" cm="1">
        <f t="array" ref="O62">MIN(IF((OutputTable[GroupByKey]=OutputTable[[#This Row],[GroupByKey]]),(OutputTable[GroupByKey]=OutputTable[[#This Row],[GroupByKey]])*OutputTable[RecordedValue]))</f>
        <v>122</v>
      </c>
      <c r="P62" cm="1">
        <f t="array" ref="P62">MAX(IF((OutputTable[GroupByKey]=OutputTable[[#This Row],[GroupByKey]]),(OutputTable[GroupByKey]=OutputTable[[#This Row],[GroupByKey]])*OutputTable[RecordedValue]))</f>
        <v>158</v>
      </c>
    </row>
    <row r="63" spans="1:16" x14ac:dyDescent="0.3">
      <c r="A63" t="s">
        <v>66</v>
      </c>
      <c r="B63" t="s">
        <v>68</v>
      </c>
      <c r="C63">
        <v>3</v>
      </c>
      <c r="D63" t="s">
        <v>128</v>
      </c>
      <c r="E63" t="s">
        <v>109</v>
      </c>
      <c r="F63" t="s">
        <v>95</v>
      </c>
      <c r="G63">
        <v>0</v>
      </c>
      <c r="H63">
        <v>0</v>
      </c>
      <c r="I63" t="str">
        <f>OutputTable[[#This Row],[ProjectName]]&amp;OutputTable[[#This Row],[Name]]&amp;OutputTable[[#This Row],[Type]]&amp;OutputTable[[#This Row],[Source]]</f>
        <v>Unnamed Projectcajero.NumberSeizedTotal Number SeizedResource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0</v>
      </c>
      <c r="L63" cm="1">
        <f t="array" ref="L63">IFERROR(_xlfn.STDEV.S(IF((OutputTable[GroupByKey]=OutputTable[[#This Row],[GroupByKey]]),(OutputTable[GroupByKey]=OutputTable[[#This Row],[GroupByKey]])*OutputTable[RecordedValue])),0)</f>
        <v>0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cm="1">
        <f t="array" ref="O63">MIN(IF((OutputTable[GroupByKey]=OutputTable[[#This Row],[GroupByKey]]),(OutputTable[GroupByKey]=OutputTable[[#This Row],[GroupByKey]])*OutputTable[RecordedValue]))</f>
        <v>0</v>
      </c>
      <c r="P63" cm="1">
        <f t="array" ref="P63">MAX(IF((OutputTable[GroupByKey]=OutputTable[[#This Row],[GroupByKey]]),(OutputTable[GroupByKey]=OutputTable[[#This Row],[GroupByKey]])*OutputTable[RecordedValue]))</f>
        <v>0</v>
      </c>
    </row>
    <row r="64" spans="1:16" x14ac:dyDescent="0.3">
      <c r="A64" t="s">
        <v>66</v>
      </c>
      <c r="B64" t="s">
        <v>68</v>
      </c>
      <c r="C64">
        <v>3</v>
      </c>
      <c r="D64" t="s">
        <v>129</v>
      </c>
      <c r="E64" t="s">
        <v>111</v>
      </c>
      <c r="F64" t="s">
        <v>95</v>
      </c>
      <c r="G64">
        <v>0</v>
      </c>
      <c r="H64">
        <v>0</v>
      </c>
      <c r="I64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0</v>
      </c>
      <c r="L64" cm="1">
        <f t="array" ref="L64">IFERROR(_xlfn.STDEV.S(IF((OutputTable[GroupByKey]=OutputTable[[#This Row],[GroupByKey]]),(OutputTable[GroupByKey]=OutputTable[[#This Row],[GroupByKey]])*OutputTable[RecordedValue])),0)</f>
        <v>0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cm="1">
        <f t="array" ref="O64">MIN(IF((OutputTable[GroupByKey]=OutputTable[[#This Row],[GroupByKey]]),(OutputTable[GroupByKey]=OutputTable[[#This Row],[GroupByKey]])*OutputTable[RecordedValue]))</f>
        <v>0</v>
      </c>
      <c r="P64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3">
      <c r="A65" t="s">
        <v>66</v>
      </c>
      <c r="B65" t="s">
        <v>68</v>
      </c>
      <c r="C65">
        <v>3</v>
      </c>
      <c r="D65" t="s">
        <v>130</v>
      </c>
      <c r="E65" t="s">
        <v>109</v>
      </c>
      <c r="F65" t="s">
        <v>95</v>
      </c>
      <c r="G65">
        <v>99</v>
      </c>
      <c r="H65">
        <v>0</v>
      </c>
      <c r="I65" t="str">
        <f>OutputTable[[#This Row],[ProjectName]]&amp;OutputTable[[#This Row],[Name]]&amp;OutputTable[[#This Row],[Type]]&amp;OutputTable[[#This Row],[Source]]</f>
        <v>Unnamed Projectticketsa.NumberSeizedTotal Number SeizedResource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99.666666666666671</v>
      </c>
      <c r="L65" cm="1">
        <f t="array" ref="L65">IFERROR(_xlfn.STDEV.S(IF((OutputTable[GroupByKey]=OutputTable[[#This Row],[GroupByKey]]),(OutputTable[GroupByKey]=OutputTable[[#This Row],[GroupByKey]])*OutputTable[RecordedValue])),0)</f>
        <v>11.021400290698853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65" cm="1">
        <f t="array" ref="O65">MIN(IF((OutputTable[GroupByKey]=OutputTable[[#This Row],[GroupByKey]]),(OutputTable[GroupByKey]=OutputTable[[#This Row],[GroupByKey]])*OutputTable[RecordedValue]))</f>
        <v>84</v>
      </c>
      <c r="P65" cm="1">
        <f t="array" ref="P65">MAX(IF((OutputTable[GroupByKey]=OutputTable[[#This Row],[GroupByKey]]),(OutputTable[GroupByKey]=OutputTable[[#This Row],[GroupByKey]])*OutputTable[RecordedValue]))</f>
        <v>133</v>
      </c>
    </row>
    <row r="66" spans="1:16" x14ac:dyDescent="0.3">
      <c r="A66" t="s">
        <v>66</v>
      </c>
      <c r="B66" t="s">
        <v>68</v>
      </c>
      <c r="C66">
        <v>3</v>
      </c>
      <c r="D66" t="s">
        <v>131</v>
      </c>
      <c r="E66" t="s">
        <v>111</v>
      </c>
      <c r="F66" t="s">
        <v>95</v>
      </c>
      <c r="G66">
        <v>0.64622591858609302</v>
      </c>
      <c r="H66">
        <v>0</v>
      </c>
      <c r="I66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0.81099663999028448</v>
      </c>
      <c r="L66" cm="1">
        <f t="array" ref="L66">IFERROR(_xlfn.STDEV.S(IF((OutputTable[GroupByKey]=OutputTable[[#This Row],[GroupByKey]]),(OutputTable[GroupByKey]=OutputTable[[#This Row],[GroupByKey]])*OutputTable[RecordedValue])),0)</f>
        <v>0.1069626954834289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66" cm="1">
        <f t="array" ref="O66">MIN(IF((OutputTable[GroupByKey]=OutputTable[[#This Row],[GroupByKey]]),(OutputTable[GroupByKey]=OutputTable[[#This Row],[GroupByKey]])*OutputTable[RecordedValue]))</f>
        <v>0.634589476164233</v>
      </c>
      <c r="P66" cm="1">
        <f t="array" ref="P66">MAX(IF((OutputTable[GroupByKey]=OutputTable[[#This Row],[GroupByKey]]),(OutputTable[GroupByKey]=OutputTable[[#This Row],[GroupByKey]])*OutputTable[RecordedValue]))</f>
        <v>0.99383259650362799</v>
      </c>
    </row>
    <row r="67" spans="1:16" x14ac:dyDescent="0.3">
      <c r="A67" t="s">
        <v>66</v>
      </c>
      <c r="B67" t="s">
        <v>68</v>
      </c>
      <c r="C67">
        <v>3</v>
      </c>
      <c r="D67" t="s">
        <v>132</v>
      </c>
      <c r="E67" t="s">
        <v>109</v>
      </c>
      <c r="F67" t="s">
        <v>95</v>
      </c>
      <c r="G67">
        <v>52</v>
      </c>
      <c r="H67">
        <v>0</v>
      </c>
      <c r="I67" t="str">
        <f>OutputTable[[#This Row],[ProjectName]]&amp;OutputTable[[#This Row],[Name]]&amp;OutputTable[[#This Row],[Type]]&amp;OutputTable[[#This Row],[Source]]</f>
        <v>Unnamed Projectticketsb.NumberSeizedTotal Number SeizedResource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51.966666666666669</v>
      </c>
      <c r="L67" cm="1">
        <f t="array" ref="L67">IFERROR(_xlfn.STDEV.S(IF((OutputTable[GroupByKey]=OutputTable[[#This Row],[GroupByKey]]),(OutputTable[GroupByKey]=OutputTable[[#This Row],[GroupByKey]])*OutputTable[RecordedValue])),0)</f>
        <v>7.0636677653220881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67" cm="1">
        <f t="array" ref="O67">MIN(IF((OutputTable[GroupByKey]=OutputTable[[#This Row],[GroupByKey]]),(OutputTable[GroupByKey]=OutputTable[[#This Row],[GroupByKey]])*OutputTable[RecordedValue]))</f>
        <v>40</v>
      </c>
      <c r="P67" cm="1">
        <f t="array" ref="P67">MAX(IF((OutputTable[GroupByKey]=OutputTable[[#This Row],[GroupByKey]]),(OutputTable[GroupByKey]=OutputTable[[#This Row],[GroupByKey]])*OutputTable[RecordedValue]))</f>
        <v>70</v>
      </c>
    </row>
    <row r="68" spans="1:16" x14ac:dyDescent="0.3">
      <c r="A68" t="s">
        <v>66</v>
      </c>
      <c r="B68" t="s">
        <v>68</v>
      </c>
      <c r="C68">
        <v>3</v>
      </c>
      <c r="D68" t="s">
        <v>133</v>
      </c>
      <c r="E68" t="s">
        <v>111</v>
      </c>
      <c r="F68" t="s">
        <v>95</v>
      </c>
      <c r="G68">
        <v>0.76739170261446499</v>
      </c>
      <c r="H68">
        <v>0</v>
      </c>
      <c r="I68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0.86404173385398308</v>
      </c>
      <c r="L68" cm="1">
        <f t="array" ref="L68">IFERROR(_xlfn.STDEV.S(IF((OutputTable[GroupByKey]=OutputTable[[#This Row],[GroupByKey]]),(OutputTable[GroupByKey]=OutputTable[[#This Row],[GroupByKey]])*OutputTable[RecordedValue])),0)</f>
        <v>7.7429091138254261E-2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68" cm="1">
        <f t="array" ref="O68">MIN(IF((OutputTable[GroupByKey]=OutputTable[[#This Row],[GroupByKey]]),(OutputTable[GroupByKey]=OutputTable[[#This Row],[GroupByKey]])*OutputTable[RecordedValue]))</f>
        <v>0.74061105631083801</v>
      </c>
      <c r="P68" cm="1">
        <f t="array" ref="P68">MAX(IF((OutputTable[GroupByKey]=OutputTable[[#This Row],[GroupByKey]]),(OutputTable[GroupByKey]=OutputTable[[#This Row],[GroupByKey]])*OutputTable[RecordedValue]))</f>
        <v>0.99245161744166299</v>
      </c>
    </row>
    <row r="69" spans="1:16" x14ac:dyDescent="0.3">
      <c r="A69" t="s">
        <v>66</v>
      </c>
      <c r="B69" t="s">
        <v>68</v>
      </c>
      <c r="C69">
        <v>3</v>
      </c>
      <c r="D69" t="s">
        <v>134</v>
      </c>
      <c r="E69" t="s">
        <v>109</v>
      </c>
      <c r="F69" t="s">
        <v>95</v>
      </c>
      <c r="G69">
        <v>36</v>
      </c>
      <c r="H69">
        <v>0</v>
      </c>
      <c r="I69" t="str">
        <f>OutputTable[[#This Row],[ProjectName]]&amp;OutputTable[[#This Row],[Name]]&amp;OutputTable[[#This Row],[Type]]&amp;OutputTable[[#This Row],[Source]]</f>
        <v>Unnamed Projectticketsc.NumberSeizedTotal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36.233333333333334</v>
      </c>
      <c r="L69" cm="1">
        <f t="array" ref="L69">IFERROR(_xlfn.STDEV.S(IF((OutputTable[GroupByKey]=OutputTable[[#This Row],[GroupByKey]]),(OutputTable[GroupByKey]=OutputTable[[#This Row],[GroupByKey]])*OutputTable[RecordedValue])),0)</f>
        <v>4.775536318198915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69" cm="1">
        <f t="array" ref="O69">MIN(IF((OutputTable[GroupByKey]=OutputTable[[#This Row],[GroupByKey]]),(OutputTable[GroupByKey]=OutputTable[[#This Row],[GroupByKey]])*OutputTable[RecordedValue]))</f>
        <v>28</v>
      </c>
      <c r="P69" cm="1">
        <f t="array" ref="P69">MAX(IF((OutputTable[GroupByKey]=OutputTable[[#This Row],[GroupByKey]]),(OutputTable[GroupByKey]=OutputTable[[#This Row],[GroupByKey]])*OutputTable[RecordedValue]))</f>
        <v>48</v>
      </c>
    </row>
    <row r="70" spans="1:16" x14ac:dyDescent="0.3">
      <c r="A70" t="s">
        <v>66</v>
      </c>
      <c r="B70" t="s">
        <v>68</v>
      </c>
      <c r="C70">
        <v>3</v>
      </c>
      <c r="D70" t="s">
        <v>135</v>
      </c>
      <c r="E70" t="s">
        <v>111</v>
      </c>
      <c r="F70" t="s">
        <v>95</v>
      </c>
      <c r="G70">
        <v>0.80616303072059503</v>
      </c>
      <c r="H70">
        <v>0</v>
      </c>
      <c r="I70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0.88098039877461687</v>
      </c>
      <c r="L70" cm="1">
        <f t="array" ref="L70">IFERROR(_xlfn.STDEV.S(IF((OutputTable[GroupByKey]=OutputTable[[#This Row],[GroupByKey]]),(OutputTable[GroupByKey]=OutputTable[[#This Row],[GroupByKey]])*OutputTable[RecordedValue])),0)</f>
        <v>6.9783648638161486E-2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70" cm="1">
        <f t="array" ref="O70">MIN(IF((OutputTable[GroupByKey]=OutputTable[[#This Row],[GroupByKey]]),(OutputTable[GroupByKey]=OutputTable[[#This Row],[GroupByKey]])*OutputTable[RecordedValue]))</f>
        <v>0.73843386001690303</v>
      </c>
      <c r="P70" cm="1">
        <f t="array" ref="P70">MAX(IF((OutputTable[GroupByKey]=OutputTable[[#This Row],[GroupByKey]]),(OutputTable[GroupByKey]=OutputTable[[#This Row],[GroupByKey]])*OutputTable[RecordedValue]))</f>
        <v>0.99245161744166299</v>
      </c>
    </row>
    <row r="71" spans="1:16" x14ac:dyDescent="0.3">
      <c r="A71" t="s">
        <v>66</v>
      </c>
      <c r="B71" t="s">
        <v>68</v>
      </c>
      <c r="C71">
        <v>4</v>
      </c>
      <c r="D71" t="s">
        <v>108</v>
      </c>
      <c r="E71" t="s">
        <v>109</v>
      </c>
      <c r="F71" t="s">
        <v>95</v>
      </c>
      <c r="G71">
        <v>36</v>
      </c>
      <c r="H71">
        <v>0</v>
      </c>
      <c r="I71" t="str">
        <f>OutputTable[[#This Row],[ProjectName]]&amp;OutputTable[[#This Row],[Name]]&amp;OutputTable[[#This Row],[Type]]&amp;OutputTable[[#This Row],[Source]]</f>
        <v>Unnamed ProjectRArte.NumberSeizedTotal Number SeizedResource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34.633333333333333</v>
      </c>
      <c r="L71" cm="1">
        <f t="array" ref="L71">IFERROR(_xlfn.STDEV.S(IF((OutputTable[GroupByKey]=OutputTable[[#This Row],[GroupByKey]]),(OutputTable[GroupByKey]=OutputTable[[#This Row],[GroupByKey]])*OutputTable[RecordedValue])),0)</f>
        <v>6.3326375903390151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71" cm="1">
        <f t="array" ref="O71">MIN(IF((OutputTable[GroupByKey]=OutputTable[[#This Row],[GroupByKey]]),(OutputTable[GroupByKey]=OutputTable[[#This Row],[GroupByKey]])*OutputTable[RecordedValue]))</f>
        <v>24</v>
      </c>
      <c r="P71" cm="1">
        <f t="array" ref="P71">MAX(IF((OutputTable[GroupByKey]=OutputTable[[#This Row],[GroupByKey]]),(OutputTable[GroupByKey]=OutputTable[[#This Row],[GroupByKey]])*OutputTable[RecordedValue]))</f>
        <v>47</v>
      </c>
    </row>
    <row r="72" spans="1:16" x14ac:dyDescent="0.3">
      <c r="A72" t="s">
        <v>66</v>
      </c>
      <c r="B72" t="s">
        <v>68</v>
      </c>
      <c r="C72">
        <v>4</v>
      </c>
      <c r="D72" t="s">
        <v>110</v>
      </c>
      <c r="E72" t="s">
        <v>111</v>
      </c>
      <c r="F72" t="s">
        <v>95</v>
      </c>
      <c r="G72">
        <v>3.6446279088106097E-2</v>
      </c>
      <c r="H72">
        <v>0</v>
      </c>
      <c r="I72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3.5359789427834361E-2</v>
      </c>
      <c r="L72" cm="1">
        <f t="array" ref="L72">IFERROR(_xlfn.STDEV.S(IF((OutputTable[GroupByKey]=OutputTable[[#This Row],[GroupByKey]]),(OutputTable[GroupByKey]=OutputTable[[#This Row],[GroupByKey]])*OutputTable[RecordedValue])),0)</f>
        <v>6.6521615975834569E-3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72" cm="1">
        <f t="array" ref="O72">MIN(IF((OutputTable[GroupByKey]=OutputTable[[#This Row],[GroupByKey]]),(OutputTable[GroupByKey]=OutputTable[[#This Row],[GroupByKey]])*OutputTable[RecordedValue]))</f>
        <v>2.3718114155243601E-2</v>
      </c>
      <c r="P72" cm="1">
        <f t="array" ref="P72">MAX(IF((OutputTable[GroupByKey]=OutputTable[[#This Row],[GroupByKey]]),(OutputTable[GroupByKey]=OutputTable[[#This Row],[GroupByKey]])*OutputTable[RecordedValue]))</f>
        <v>4.8583931724403701E-2</v>
      </c>
    </row>
    <row r="73" spans="1:16" x14ac:dyDescent="0.3">
      <c r="A73" t="s">
        <v>66</v>
      </c>
      <c r="B73" t="s">
        <v>68</v>
      </c>
      <c r="C73">
        <v>4</v>
      </c>
      <c r="D73" t="s">
        <v>112</v>
      </c>
      <c r="E73" t="s">
        <v>109</v>
      </c>
      <c r="F73" t="s">
        <v>95</v>
      </c>
      <c r="G73">
        <v>108</v>
      </c>
      <c r="H73">
        <v>0</v>
      </c>
      <c r="I73" t="str">
        <f>OutputTable[[#This Row],[ProjectName]]&amp;OutputTable[[#This Row],[Name]]&amp;OutputTable[[#This Row],[Type]]&amp;OutputTable[[#This Row],[Source]]</f>
        <v>Unnamed ProjectRAstro.NumberSeizedTotal Number SeizedResource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105.13333333333334</v>
      </c>
      <c r="L73" cm="1">
        <f t="array" ref="L73">IFERROR(_xlfn.STDEV.S(IF((OutputTable[GroupByKey]=OutputTable[[#This Row],[GroupByKey]]),(OutputTable[GroupByKey]=OutputTable[[#This Row],[GroupByKey]])*OutputTable[RecordedValue])),0)</f>
        <v>9.9020490158675578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73" cm="1">
        <f t="array" ref="O73">MIN(IF((OutputTable[GroupByKey]=OutputTable[[#This Row],[GroupByKey]]),(OutputTable[GroupByKey]=OutputTable[[#This Row],[GroupByKey]])*OutputTable[RecordedValue]))</f>
        <v>90</v>
      </c>
      <c r="P73" cm="1">
        <f t="array" ref="P73">MAX(IF((OutputTable[GroupByKey]=OutputTable[[#This Row],[GroupByKey]]),(OutputTable[GroupByKey]=OutputTable[[#This Row],[GroupByKey]])*OutputTable[RecordedValue]))</f>
        <v>120</v>
      </c>
    </row>
    <row r="74" spans="1:16" x14ac:dyDescent="0.3">
      <c r="A74" t="s">
        <v>66</v>
      </c>
      <c r="B74" t="s">
        <v>68</v>
      </c>
      <c r="C74">
        <v>4</v>
      </c>
      <c r="D74" t="s">
        <v>113</v>
      </c>
      <c r="E74" t="s">
        <v>111</v>
      </c>
      <c r="F74" t="s">
        <v>95</v>
      </c>
      <c r="G74">
        <v>0.245229931678108</v>
      </c>
      <c r="H74">
        <v>0</v>
      </c>
      <c r="I74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0.24658598119222253</v>
      </c>
      <c r="L74" cm="1">
        <f t="array" ref="L74">IFERROR(_xlfn.STDEV.S(IF((OutputTable[GroupByKey]=OutputTable[[#This Row],[GroupByKey]]),(OutputTable[GroupByKey]=OutputTable[[#This Row],[GroupByKey]])*OutputTable[RecordedValue])),0)</f>
        <v>2.3372241503878202E-2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74" cm="1">
        <f t="array" ref="O74">MIN(IF((OutputTable[GroupByKey]=OutputTable[[#This Row],[GroupByKey]]),(OutputTable[GroupByKey]=OutputTable[[#This Row],[GroupByKey]])*OutputTable[RecordedValue]))</f>
        <v>0.20767736113278101</v>
      </c>
      <c r="P74" cm="1">
        <f t="array" ref="P74">MAX(IF((OutputTable[GroupByKey]=OutputTable[[#This Row],[GroupByKey]]),(OutputTable[GroupByKey]=OutputTable[[#This Row],[GroupByKey]])*OutputTable[RecordedValue]))</f>
        <v>0.28501162927715601</v>
      </c>
    </row>
    <row r="75" spans="1:16" x14ac:dyDescent="0.3">
      <c r="A75" t="s">
        <v>66</v>
      </c>
      <c r="B75" t="s">
        <v>68</v>
      </c>
      <c r="C75">
        <v>4</v>
      </c>
      <c r="D75" t="s">
        <v>114</v>
      </c>
      <c r="E75" t="s">
        <v>109</v>
      </c>
      <c r="F75" t="s">
        <v>95</v>
      </c>
      <c r="G75">
        <v>140</v>
      </c>
      <c r="H75">
        <v>0</v>
      </c>
      <c r="I75" t="str">
        <f>OutputTable[[#This Row],[ProjectName]]&amp;OutputTable[[#This Row],[Name]]&amp;OutputTable[[#This Row],[Type]]&amp;OutputTable[[#This Row],[Source]]</f>
        <v>Unnamed ProjectRFisica.NumberSeizedTotal Number SeizedResource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130.19999999999999</v>
      </c>
      <c r="L75" cm="1">
        <f t="array" ref="L75">IFERROR(_xlfn.STDEV.S(IF((OutputTable[GroupByKey]=OutputTable[[#This Row],[GroupByKey]]),(OutputTable[GroupByKey]=OutputTable[[#This Row],[GroupByKey]])*OutputTable[RecordedValue])),0)</f>
        <v>9.6932255049418501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75" cm="1">
        <f t="array" ref="O75">MIN(IF((OutputTable[GroupByKey]=OutputTable[[#This Row],[GroupByKey]]),(OutputTable[GroupByKey]=OutputTable[[#This Row],[GroupByKey]])*OutputTable[RecordedValue]))</f>
        <v>112</v>
      </c>
      <c r="P75" cm="1">
        <f t="array" ref="P75">MAX(IF((OutputTable[GroupByKey]=OutputTable[[#This Row],[GroupByKey]]),(OutputTable[GroupByKey]=OutputTable[[#This Row],[GroupByKey]])*OutputTable[RecordedValue]))</f>
        <v>150</v>
      </c>
    </row>
    <row r="76" spans="1:16" x14ac:dyDescent="0.3">
      <c r="A76" t="s">
        <v>66</v>
      </c>
      <c r="B76" t="s">
        <v>68</v>
      </c>
      <c r="C76">
        <v>4</v>
      </c>
      <c r="D76" t="s">
        <v>115</v>
      </c>
      <c r="E76" t="s">
        <v>111</v>
      </c>
      <c r="F76" t="s">
        <v>95</v>
      </c>
      <c r="G76">
        <v>0.65846113222333702</v>
      </c>
      <c r="H76">
        <v>0</v>
      </c>
      <c r="I76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0.61071636647106653</v>
      </c>
      <c r="L76" cm="1">
        <f t="array" ref="L76">IFERROR(_xlfn.STDEV.S(IF((OutputTable[GroupByKey]=OutputTable[[#This Row],[GroupByKey]]),(OutputTable[GroupByKey]=OutputTable[[#This Row],[GroupByKey]])*OutputTable[RecordedValue])),0)</f>
        <v>4.8363406640152928E-2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76" cm="1">
        <f t="array" ref="O76">MIN(IF((OutputTable[GroupByKey]=OutputTable[[#This Row],[GroupByKey]]),(OutputTable[GroupByKey]=OutputTable[[#This Row],[GroupByKey]])*OutputTable[RecordedValue]))</f>
        <v>0.517215348442703</v>
      </c>
      <c r="P76" cm="1">
        <f t="array" ref="P76">MAX(IF((OutputTable[GroupByKey]=OutputTable[[#This Row],[GroupByKey]]),(OutputTable[GroupByKey]=OutputTable[[#This Row],[GroupByKey]])*OutputTable[RecordedValue]))</f>
        <v>0.67770389283754395</v>
      </c>
    </row>
    <row r="77" spans="1:16" x14ac:dyDescent="0.3">
      <c r="A77" t="s">
        <v>66</v>
      </c>
      <c r="B77" t="s">
        <v>68</v>
      </c>
      <c r="C77">
        <v>4</v>
      </c>
      <c r="D77" t="s">
        <v>116</v>
      </c>
      <c r="E77" t="s">
        <v>109</v>
      </c>
      <c r="F77" t="s">
        <v>95</v>
      </c>
      <c r="G77">
        <v>381</v>
      </c>
      <c r="H77">
        <v>0</v>
      </c>
      <c r="I77" t="str">
        <f>OutputTable[[#This Row],[ProjectName]]&amp;OutputTable[[#This Row],[Name]]&amp;OutputTable[[#This Row],[Type]]&amp;OutputTable[[#This Row],[Source]]</f>
        <v>Unnamed ProjectRHall.NumberSeizedTotal Number SeizedResource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366.5</v>
      </c>
      <c r="L77" cm="1">
        <f t="array" ref="L77">IFERROR(_xlfn.STDEV.S(IF((OutputTable[GroupByKey]=OutputTable[[#This Row],[GroupByKey]]),(OutputTable[GroupByKey]=OutputTable[[#This Row],[GroupByKey]])*OutputTable[RecordedValue])),0)</f>
        <v>27.998460548813185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77" cm="1">
        <f t="array" ref="O77">MIN(IF((OutputTable[GroupByKey]=OutputTable[[#This Row],[GroupByKey]]),(OutputTable[GroupByKey]=OutputTable[[#This Row],[GroupByKey]])*OutputTable[RecordedValue]))</f>
        <v>308</v>
      </c>
      <c r="P77" cm="1">
        <f t="array" ref="P77">MAX(IF((OutputTable[GroupByKey]=OutputTable[[#This Row],[GroupByKey]]),(OutputTable[GroupByKey]=OutputTable[[#This Row],[GroupByKey]])*OutputTable[RecordedValue]))</f>
        <v>415</v>
      </c>
    </row>
    <row r="78" spans="1:16" x14ac:dyDescent="0.3">
      <c r="A78" t="s">
        <v>66</v>
      </c>
      <c r="B78" t="s">
        <v>68</v>
      </c>
      <c r="C78">
        <v>4</v>
      </c>
      <c r="D78" t="s">
        <v>117</v>
      </c>
      <c r="E78" t="s">
        <v>111</v>
      </c>
      <c r="F78" t="s">
        <v>95</v>
      </c>
      <c r="G78">
        <v>0.17459217930915699</v>
      </c>
      <c r="H78">
        <v>0</v>
      </c>
      <c r="I78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0.17017204824235124</v>
      </c>
      <c r="L78" cm="1">
        <f t="array" ref="L78">IFERROR(_xlfn.STDEV.S(IF((OutputTable[GroupByKey]=OutputTable[[#This Row],[GroupByKey]]),(OutputTable[GroupByKey]=OutputTable[[#This Row],[GroupByKey]])*OutputTable[RecordedValue])),0)</f>
        <v>1.331368412630852E-2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78" cm="1">
        <f t="array" ref="O78">MIN(IF((OutputTable[GroupByKey]=OutputTable[[#This Row],[GroupByKey]]),(OutputTable[GroupByKey]=OutputTable[[#This Row],[GroupByKey]])*OutputTable[RecordedValue]))</f>
        <v>0.14484829778125299</v>
      </c>
      <c r="P78" cm="1">
        <f t="array" ref="P78">MAX(IF((OutputTable[GroupByKey]=OutputTable[[#This Row],[GroupByKey]]),(OutputTable[GroupByKey]=OutputTable[[#This Row],[GroupByKey]])*OutputTable[RecordedValue]))</f>
        <v>0.19609322315655101</v>
      </c>
    </row>
    <row r="79" spans="1:16" x14ac:dyDescent="0.3">
      <c r="A79" t="s">
        <v>66</v>
      </c>
      <c r="B79" t="s">
        <v>68</v>
      </c>
      <c r="C79">
        <v>4</v>
      </c>
      <c r="D79" t="s">
        <v>118</v>
      </c>
      <c r="E79" t="s">
        <v>109</v>
      </c>
      <c r="F79" t="s">
        <v>95</v>
      </c>
      <c r="G79">
        <v>70</v>
      </c>
      <c r="H79">
        <v>0</v>
      </c>
      <c r="I79" t="str">
        <f>OutputTable[[#This Row],[ProjectName]]&amp;OutputTable[[#This Row],[Name]]&amp;OutputTable[[#This Row],[Type]]&amp;OutputTable[[#This Row],[Source]]</f>
        <v>Unnamed ProjectRHistoria.NumberSeizedTotal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67.599999999999994</v>
      </c>
      <c r="L79" cm="1">
        <f t="array" ref="L79">IFERROR(_xlfn.STDEV.S(IF((OutputTable[GroupByKey]=OutputTable[[#This Row],[GroupByKey]]),(OutputTable[GroupByKey]=OutputTable[[#This Row],[GroupByKey]])*OutputTable[RecordedValue])),0)</f>
        <v>8.2277914244430335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79" cm="1">
        <f t="array" ref="O79">MIN(IF((OutputTable[GroupByKey]=OutputTable[[#This Row],[GroupByKey]]),(OutputTable[GroupByKey]=OutputTable[[#This Row],[GroupByKey]])*OutputTable[RecordedValue]))</f>
        <v>53</v>
      </c>
      <c r="P79" cm="1">
        <f t="array" ref="P79">MAX(IF((OutputTable[GroupByKey]=OutputTable[[#This Row],[GroupByKey]]),(OutputTable[GroupByKey]=OutputTable[[#This Row],[GroupByKey]])*OutputTable[RecordedValue]))</f>
        <v>83</v>
      </c>
    </row>
    <row r="80" spans="1:16" x14ac:dyDescent="0.3">
      <c r="A80" t="s">
        <v>66</v>
      </c>
      <c r="B80" t="s">
        <v>68</v>
      </c>
      <c r="C80">
        <v>4</v>
      </c>
      <c r="D80" t="s">
        <v>119</v>
      </c>
      <c r="E80" t="s">
        <v>111</v>
      </c>
      <c r="F80" t="s">
        <v>95</v>
      </c>
      <c r="G80">
        <v>9.7637339496751796E-2</v>
      </c>
      <c r="H80">
        <v>0</v>
      </c>
      <c r="I80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9.2629789222133899E-2</v>
      </c>
      <c r="L80" cm="1">
        <f t="array" ref="L80">IFERROR(_xlfn.STDEV.S(IF((OutputTable[GroupByKey]=OutputTable[[#This Row],[GroupByKey]]),(OutputTable[GroupByKey]=OutputTable[[#This Row],[GroupByKey]])*OutputTable[RecordedValue])),0)</f>
        <v>1.1199993404883948E-2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80" cm="1">
        <f t="array" ref="O80">MIN(IF((OutputTable[GroupByKey]=OutputTable[[#This Row],[GroupByKey]]),(OutputTable[GroupByKey]=OutputTable[[#This Row],[GroupByKey]])*OutputTable[RecordedValue]))</f>
        <v>7.4778736536586704E-2</v>
      </c>
      <c r="P80" cm="1">
        <f t="array" ref="P80">MAX(IF((OutputTable[GroupByKey]=OutputTable[[#This Row],[GroupByKey]]),(OutputTable[GroupByKey]=OutputTable[[#This Row],[GroupByKey]])*OutputTable[RecordedValue]))</f>
        <v>0.111025455742452</v>
      </c>
    </row>
    <row r="81" spans="1:16" x14ac:dyDescent="0.3">
      <c r="A81" t="s">
        <v>66</v>
      </c>
      <c r="B81" t="s">
        <v>68</v>
      </c>
      <c r="C81">
        <v>4</v>
      </c>
      <c r="D81" t="s">
        <v>120</v>
      </c>
      <c r="E81" t="s">
        <v>121</v>
      </c>
      <c r="F81" t="s">
        <v>122</v>
      </c>
      <c r="G81">
        <v>146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138.66666666666666</v>
      </c>
      <c r="L81" cm="1">
        <f t="array" ref="L81">IFERROR(_xlfn.STDEV.S(IF((OutputTable[GroupByKey]=OutputTable[[#This Row],[GroupByKey]]),(OutputTable[GroupByKey]=OutputTable[[#This Row],[GroupByKey]])*OutputTable[RecordedValue])),0)</f>
        <v>10.59386072484773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81" cm="1">
        <f t="array" ref="O81">MIN(IF((OutputTable[GroupByKey]=OutputTable[[#This Row],[GroupByKey]]),(OutputTable[GroupByKey]=OutputTable[[#This Row],[GroupByKey]])*OutputTable[RecordedValue]))</f>
        <v>122</v>
      </c>
      <c r="P81" cm="1">
        <f t="array" ref="P81">MAX(IF((OutputTable[GroupByKey]=OutputTable[[#This Row],[GroupByKey]]),(OutputTable[GroupByKey]=OutputTable[[#This Row],[GroupByKey]])*OutputTable[RecordedValue]))</f>
        <v>158</v>
      </c>
    </row>
    <row r="82" spans="1:16" x14ac:dyDescent="0.3">
      <c r="A82" t="s">
        <v>66</v>
      </c>
      <c r="B82" t="s">
        <v>68</v>
      </c>
      <c r="C82">
        <v>4</v>
      </c>
      <c r="D82" t="s">
        <v>123</v>
      </c>
      <c r="E82" t="s">
        <v>109</v>
      </c>
      <c r="F82" t="s">
        <v>95</v>
      </c>
      <c r="G82">
        <v>332</v>
      </c>
      <c r="H82">
        <v>0</v>
      </c>
      <c r="I82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324.63333333333333</v>
      </c>
      <c r="L82" cm="1">
        <f t="array" ref="L82">IFERROR(_xlfn.STDEV.S(IF((OutputTable[GroupByKey]=OutputTable[[#This Row],[GroupByKey]]),(OutputTable[GroupByKey]=OutputTable[[#This Row],[GroupByKey]])*OutputTable[RecordedValue])),0)</f>
        <v>23.733409208195905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82" cm="1">
        <f t="array" ref="O82">MIN(IF((OutputTable[GroupByKey]=OutputTable[[#This Row],[GroupByKey]]),(OutputTable[GroupByKey]=OutputTable[[#This Row],[GroupByKey]])*OutputTable[RecordedValue]))</f>
        <v>276</v>
      </c>
      <c r="P82" cm="1">
        <f t="array" ref="P82">MAX(IF((OutputTable[GroupByKey]=OutputTable[[#This Row],[GroupByKey]]),(OutputTable[GroupByKey]=OutputTable[[#This Row],[GroupByKey]])*OutputTable[RecordedValue]))</f>
        <v>370</v>
      </c>
    </row>
    <row r="83" spans="1:16" x14ac:dyDescent="0.3">
      <c r="A83" t="s">
        <v>66</v>
      </c>
      <c r="B83" t="s">
        <v>68</v>
      </c>
      <c r="C83">
        <v>4</v>
      </c>
      <c r="D83" t="s">
        <v>124</v>
      </c>
      <c r="E83" t="s">
        <v>111</v>
      </c>
      <c r="F83" t="s">
        <v>95</v>
      </c>
      <c r="G83">
        <v>0.79895511550999099</v>
      </c>
      <c r="H83">
        <v>0</v>
      </c>
      <c r="I83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0.78890367752589419</v>
      </c>
      <c r="L83" cm="1">
        <f t="array" ref="L83">IFERROR(_xlfn.STDEV.S(IF((OutputTable[GroupByKey]=OutputTable[[#This Row],[GroupByKey]]),(OutputTable[GroupByKey]=OutputTable[[#This Row],[GroupByKey]])*OutputTable[RecordedValue])),0)</f>
        <v>5.7743599319329868E-2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83" cm="1">
        <f t="array" ref="O83">MIN(IF((OutputTable[GroupByKey]=OutputTable[[#This Row],[GroupByKey]]),(OutputTable[GroupByKey]=OutputTable[[#This Row],[GroupByKey]])*OutputTable[RecordedValue]))</f>
        <v>0.68630817725209003</v>
      </c>
      <c r="P83" cm="1">
        <f t="array" ref="P83">MAX(IF((OutputTable[GroupByKey]=OutputTable[[#This Row],[GroupByKey]]),(OutputTable[GroupByKey]=OutputTable[[#This Row],[GroupByKey]])*OutputTable[RecordedValue]))</f>
        <v>0.89844569749382897</v>
      </c>
    </row>
    <row r="84" spans="1:16" x14ac:dyDescent="0.3">
      <c r="A84" t="s">
        <v>66</v>
      </c>
      <c r="B84" t="s">
        <v>68</v>
      </c>
      <c r="C84">
        <v>4</v>
      </c>
      <c r="D84" t="s">
        <v>125</v>
      </c>
      <c r="E84" t="s">
        <v>126</v>
      </c>
      <c r="F84" t="s">
        <v>86</v>
      </c>
      <c r="G84">
        <v>208</v>
      </c>
      <c r="H84">
        <v>0</v>
      </c>
      <c r="I84" t="str">
        <f>OutputTable[[#This Row],[ProjectName]]&amp;OutputTable[[#This Row],[Name]]&amp;OutputTable[[#This Row],[Type]]&amp;OutputTable[[#This Row],[Source]]</f>
        <v>Unnamed ProjectVisitantes.NumberInNumber InEntity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194.43333333333334</v>
      </c>
      <c r="L84" cm="1">
        <f t="array" ref="L84">IFERROR(_xlfn.STDEV.S(IF((OutputTable[GroupByKey]=OutputTable[[#This Row],[GroupByKey]]),(OutputTable[GroupByKey]=OutputTable[[#This Row],[GroupByKey]])*OutputTable[RecordedValue])),0)</f>
        <v>19.567184586538712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84" cm="1">
        <f t="array" ref="O84">MIN(IF((OutputTable[GroupByKey]=OutputTable[[#This Row],[GroupByKey]]),(OutputTable[GroupByKey]=OutputTable[[#This Row],[GroupByKey]])*OutputTable[RecordedValue]))</f>
        <v>158</v>
      </c>
      <c r="P84" cm="1">
        <f t="array" ref="P84">MAX(IF((OutputTable[GroupByKey]=OutputTable[[#This Row],[GroupByKey]]),(OutputTable[GroupByKey]=OutputTable[[#This Row],[GroupByKey]])*OutputTable[RecordedValue]))</f>
        <v>255</v>
      </c>
    </row>
    <row r="85" spans="1:16" x14ac:dyDescent="0.3">
      <c r="A85" t="s">
        <v>66</v>
      </c>
      <c r="B85" t="s">
        <v>68</v>
      </c>
      <c r="C85">
        <v>4</v>
      </c>
      <c r="D85" t="s">
        <v>127</v>
      </c>
      <c r="E85" t="s">
        <v>121</v>
      </c>
      <c r="F85" t="s">
        <v>86</v>
      </c>
      <c r="G85">
        <v>146</v>
      </c>
      <c r="H85">
        <v>0</v>
      </c>
      <c r="I85" t="str">
        <f>OutputTable[[#This Row],[ProjectName]]&amp;OutputTable[[#This Row],[Name]]&amp;OutputTable[[#This Row],[Type]]&amp;OutputTable[[#This Row],[Source]]</f>
        <v>Unnamed ProjectVisitantes.NumberOutNumber OutEntity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138.66666666666666</v>
      </c>
      <c r="L85" cm="1">
        <f t="array" ref="L85">IFERROR(_xlfn.STDEV.S(IF((OutputTable[GroupByKey]=OutputTable[[#This Row],[GroupByKey]]),(OutputTable[GroupByKey]=OutputTable[[#This Row],[GroupByKey]])*OutputTable[RecordedValue])),0)</f>
        <v>10.59386072484773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85" cm="1">
        <f t="array" ref="O85">MIN(IF((OutputTable[GroupByKey]=OutputTable[[#This Row],[GroupByKey]]),(OutputTable[GroupByKey]=OutputTable[[#This Row],[GroupByKey]])*OutputTable[RecordedValue]))</f>
        <v>122</v>
      </c>
      <c r="P85" cm="1">
        <f t="array" ref="P85">MAX(IF((OutputTable[GroupByKey]=OutputTable[[#This Row],[GroupByKey]]),(OutputTable[GroupByKey]=OutputTable[[#This Row],[GroupByKey]])*OutputTable[RecordedValue]))</f>
        <v>158</v>
      </c>
    </row>
    <row r="86" spans="1:16" x14ac:dyDescent="0.3">
      <c r="A86" t="s">
        <v>66</v>
      </c>
      <c r="B86" t="s">
        <v>68</v>
      </c>
      <c r="C86">
        <v>4</v>
      </c>
      <c r="D86" t="s">
        <v>128</v>
      </c>
      <c r="E86" t="s">
        <v>109</v>
      </c>
      <c r="F86" t="s">
        <v>95</v>
      </c>
      <c r="G86">
        <v>0</v>
      </c>
      <c r="H86">
        <v>0</v>
      </c>
      <c r="I86" t="str">
        <f>OutputTable[[#This Row],[ProjectName]]&amp;OutputTable[[#This Row],[Name]]&amp;OutputTable[[#This Row],[Type]]&amp;OutputTable[[#This Row],[Source]]</f>
        <v>Unnamed Projectcajero.NumberSeizedTotal Number SeizedResource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0</v>
      </c>
      <c r="L86" cm="1">
        <f t="array" ref="L86">IFERROR(_xlfn.STDEV.S(IF((OutputTable[GroupByKey]=OutputTable[[#This Row],[GroupByKey]]),(OutputTable[GroupByKey]=OutputTable[[#This Row],[GroupByKey]])*OutputTable[RecordedValue])),0)</f>
        <v>0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" cm="1">
        <f t="array" ref="O86">MIN(IF((OutputTable[GroupByKey]=OutputTable[[#This Row],[GroupByKey]]),(OutputTable[GroupByKey]=OutputTable[[#This Row],[GroupByKey]])*OutputTable[RecordedValue]))</f>
        <v>0</v>
      </c>
      <c r="P86" cm="1">
        <f t="array" ref="P86">MAX(IF((OutputTable[GroupByKey]=OutputTable[[#This Row],[GroupByKey]]),(OutputTable[GroupByKey]=OutputTable[[#This Row],[GroupByKey]])*OutputTable[RecordedValue]))</f>
        <v>0</v>
      </c>
    </row>
    <row r="87" spans="1:16" x14ac:dyDescent="0.3">
      <c r="A87" t="s">
        <v>66</v>
      </c>
      <c r="B87" t="s">
        <v>68</v>
      </c>
      <c r="C87">
        <v>4</v>
      </c>
      <c r="D87" t="s">
        <v>129</v>
      </c>
      <c r="E87" t="s">
        <v>111</v>
      </c>
      <c r="F87" t="s">
        <v>95</v>
      </c>
      <c r="G87">
        <v>0</v>
      </c>
      <c r="H87">
        <v>0</v>
      </c>
      <c r="I87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0</v>
      </c>
      <c r="L87" cm="1">
        <f t="array" ref="L87">IFERROR(_xlfn.STDEV.S(IF((OutputTable[GroupByKey]=OutputTable[[#This Row],[GroupByKey]]),(OutputTable[GroupByKey]=OutputTable[[#This Row],[GroupByKey]])*OutputTable[RecordedValue])),0)</f>
        <v>0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cm="1">
        <f t="array" ref="O87">MIN(IF((OutputTable[GroupByKey]=OutputTable[[#This Row],[GroupByKey]]),(OutputTable[GroupByKey]=OutputTable[[#This Row],[GroupByKey]])*OutputTable[RecordedValue]))</f>
        <v>0</v>
      </c>
      <c r="P87" cm="1">
        <f t="array" ref="P87">MAX(IF((OutputTable[GroupByKey]=OutputTable[[#This Row],[GroupByKey]]),(OutputTable[GroupByKey]=OutputTable[[#This Row],[GroupByKey]])*OutputTable[RecordedValue]))</f>
        <v>0</v>
      </c>
    </row>
    <row r="88" spans="1:16" x14ac:dyDescent="0.3">
      <c r="A88" t="s">
        <v>66</v>
      </c>
      <c r="B88" t="s">
        <v>68</v>
      </c>
      <c r="C88">
        <v>4</v>
      </c>
      <c r="D88" t="s">
        <v>130</v>
      </c>
      <c r="E88" t="s">
        <v>109</v>
      </c>
      <c r="F88" t="s">
        <v>95</v>
      </c>
      <c r="G88">
        <v>98</v>
      </c>
      <c r="H88">
        <v>0</v>
      </c>
      <c r="I88" t="str">
        <f>OutputTable[[#This Row],[ProjectName]]&amp;OutputTable[[#This Row],[Name]]&amp;OutputTable[[#This Row],[Type]]&amp;OutputTable[[#This Row],[Source]]</f>
        <v>Unnamed Projectticketsa.NumberSeizedTotal Number SeizedResource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99.666666666666671</v>
      </c>
      <c r="L88" cm="1">
        <f t="array" ref="L88">IFERROR(_xlfn.STDEV.S(IF((OutputTable[GroupByKey]=OutputTable[[#This Row],[GroupByKey]]),(OutputTable[GroupByKey]=OutputTable[[#This Row],[GroupByKey]])*OutputTable[RecordedValue])),0)</f>
        <v>11.021400290698853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88" cm="1">
        <f t="array" ref="O88">MIN(IF((OutputTable[GroupByKey]=OutputTable[[#This Row],[GroupByKey]]),(OutputTable[GroupByKey]=OutputTable[[#This Row],[GroupByKey]])*OutputTable[RecordedValue]))</f>
        <v>84</v>
      </c>
      <c r="P88" cm="1">
        <f t="array" ref="P88">MAX(IF((OutputTable[GroupByKey]=OutputTable[[#This Row],[GroupByKey]]),(OutputTable[GroupByKey]=OutputTable[[#This Row],[GroupByKey]])*OutputTable[RecordedValue]))</f>
        <v>133</v>
      </c>
    </row>
    <row r="89" spans="1:16" x14ac:dyDescent="0.3">
      <c r="A89" t="s">
        <v>66</v>
      </c>
      <c r="B89" t="s">
        <v>68</v>
      </c>
      <c r="C89">
        <v>4</v>
      </c>
      <c r="D89" t="s">
        <v>131</v>
      </c>
      <c r="E89" t="s">
        <v>111</v>
      </c>
      <c r="F89" t="s">
        <v>95</v>
      </c>
      <c r="G89">
        <v>0.81746613194190698</v>
      </c>
      <c r="H89">
        <v>0</v>
      </c>
      <c r="I89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0.81099663999028448</v>
      </c>
      <c r="L89" cm="1">
        <f t="array" ref="L89">IFERROR(_xlfn.STDEV.S(IF((OutputTable[GroupByKey]=OutputTable[[#This Row],[GroupByKey]]),(OutputTable[GroupByKey]=OutputTable[[#This Row],[GroupByKey]])*OutputTable[RecordedValue])),0)</f>
        <v>0.1069626954834289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89" cm="1">
        <f t="array" ref="O89">MIN(IF((OutputTable[GroupByKey]=OutputTable[[#This Row],[GroupByKey]]),(OutputTable[GroupByKey]=OutputTable[[#This Row],[GroupByKey]])*OutputTable[RecordedValue]))</f>
        <v>0.634589476164233</v>
      </c>
      <c r="P89" cm="1">
        <f t="array" ref="P89">MAX(IF((OutputTable[GroupByKey]=OutputTable[[#This Row],[GroupByKey]]),(OutputTable[GroupByKey]=OutputTable[[#This Row],[GroupByKey]])*OutputTable[RecordedValue]))</f>
        <v>0.99383259650362799</v>
      </c>
    </row>
    <row r="90" spans="1:16" x14ac:dyDescent="0.3">
      <c r="A90" t="s">
        <v>66</v>
      </c>
      <c r="B90" t="s">
        <v>68</v>
      </c>
      <c r="C90">
        <v>4</v>
      </c>
      <c r="D90" t="s">
        <v>132</v>
      </c>
      <c r="E90" t="s">
        <v>109</v>
      </c>
      <c r="F90" t="s">
        <v>95</v>
      </c>
      <c r="G90">
        <v>56</v>
      </c>
      <c r="H90">
        <v>0</v>
      </c>
      <c r="I90" t="str">
        <f>OutputTable[[#This Row],[ProjectName]]&amp;OutputTable[[#This Row],[Name]]&amp;OutputTable[[#This Row],[Type]]&amp;OutputTable[[#This Row],[Source]]</f>
        <v>Unnamed Projectticketsb.NumberSeizedTotal Number SeizedResource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51.966666666666669</v>
      </c>
      <c r="L90" cm="1">
        <f t="array" ref="L90">IFERROR(_xlfn.STDEV.S(IF((OutputTable[GroupByKey]=OutputTable[[#This Row],[GroupByKey]]),(OutputTable[GroupByKey]=OutputTable[[#This Row],[GroupByKey]])*OutputTable[RecordedValue])),0)</f>
        <v>7.0636677653220881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90" cm="1">
        <f t="array" ref="O90">MIN(IF((OutputTable[GroupByKey]=OutputTable[[#This Row],[GroupByKey]]),(OutputTable[GroupByKey]=OutputTable[[#This Row],[GroupByKey]])*OutputTable[RecordedValue]))</f>
        <v>40</v>
      </c>
      <c r="P90" cm="1">
        <f t="array" ref="P90">MAX(IF((OutputTable[GroupByKey]=OutputTable[[#This Row],[GroupByKey]]),(OutputTable[GroupByKey]=OutputTable[[#This Row],[GroupByKey]])*OutputTable[RecordedValue]))</f>
        <v>70</v>
      </c>
    </row>
    <row r="91" spans="1:16" x14ac:dyDescent="0.3">
      <c r="A91" t="s">
        <v>66</v>
      </c>
      <c r="B91" t="s">
        <v>68</v>
      </c>
      <c r="C91">
        <v>4</v>
      </c>
      <c r="D91" t="s">
        <v>133</v>
      </c>
      <c r="E91" t="s">
        <v>111</v>
      </c>
      <c r="F91" t="s">
        <v>95</v>
      </c>
      <c r="G91">
        <v>0.89600129938766304</v>
      </c>
      <c r="H91">
        <v>0</v>
      </c>
      <c r="I91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0.86404173385398308</v>
      </c>
      <c r="L91" cm="1">
        <f t="array" ref="L91">IFERROR(_xlfn.STDEV.S(IF((OutputTable[GroupByKey]=OutputTable[[#This Row],[GroupByKey]]),(OutputTable[GroupByKey]=OutputTable[[#This Row],[GroupByKey]])*OutputTable[RecordedValue])),0)</f>
        <v>7.7429091138254261E-2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91" cm="1">
        <f t="array" ref="O91">MIN(IF((OutputTable[GroupByKey]=OutputTable[[#This Row],[GroupByKey]]),(OutputTable[GroupByKey]=OutputTable[[#This Row],[GroupByKey]])*OutputTable[RecordedValue]))</f>
        <v>0.74061105631083801</v>
      </c>
      <c r="P91" cm="1">
        <f t="array" ref="P91">MAX(IF((OutputTable[GroupByKey]=OutputTable[[#This Row],[GroupByKey]]),(OutputTable[GroupByKey]=OutputTable[[#This Row],[GroupByKey]])*OutputTable[RecordedValue]))</f>
        <v>0.99245161744166299</v>
      </c>
    </row>
    <row r="92" spans="1:16" x14ac:dyDescent="0.3">
      <c r="A92" t="s">
        <v>66</v>
      </c>
      <c r="B92" t="s">
        <v>68</v>
      </c>
      <c r="C92">
        <v>4</v>
      </c>
      <c r="D92" t="s">
        <v>134</v>
      </c>
      <c r="E92" t="s">
        <v>109</v>
      </c>
      <c r="F92" t="s">
        <v>95</v>
      </c>
      <c r="G92">
        <v>34</v>
      </c>
      <c r="H92">
        <v>0</v>
      </c>
      <c r="I92" t="str">
        <f>OutputTable[[#This Row],[ProjectName]]&amp;OutputTable[[#This Row],[Name]]&amp;OutputTable[[#This Row],[Type]]&amp;OutputTable[[#This Row],[Source]]</f>
        <v>Unnamed Projectticketsc.NumberSeizedTotal Number SeizedResource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36.233333333333334</v>
      </c>
      <c r="L92" cm="1">
        <f t="array" ref="L92">IFERROR(_xlfn.STDEV.S(IF((OutputTable[GroupByKey]=OutputTable[[#This Row],[GroupByKey]]),(OutputTable[GroupByKey]=OutputTable[[#This Row],[GroupByKey]])*OutputTable[RecordedValue])),0)</f>
        <v>4.775536318198915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92" cm="1">
        <f t="array" ref="O92">MIN(IF((OutputTable[GroupByKey]=OutputTable[[#This Row],[GroupByKey]]),(OutputTable[GroupByKey]=OutputTable[[#This Row],[GroupByKey]])*OutputTable[RecordedValue]))</f>
        <v>28</v>
      </c>
      <c r="P92" cm="1">
        <f t="array" ref="P92">MAX(IF((OutputTable[GroupByKey]=OutputTable[[#This Row],[GroupByKey]]),(OutputTable[GroupByKey]=OutputTable[[#This Row],[GroupByKey]])*OutputTable[RecordedValue]))</f>
        <v>48</v>
      </c>
    </row>
    <row r="93" spans="1:16" x14ac:dyDescent="0.3">
      <c r="A93" t="s">
        <v>66</v>
      </c>
      <c r="B93" t="s">
        <v>68</v>
      </c>
      <c r="C93">
        <v>4</v>
      </c>
      <c r="D93" t="s">
        <v>135</v>
      </c>
      <c r="E93" t="s">
        <v>111</v>
      </c>
      <c r="F93" t="s">
        <v>95</v>
      </c>
      <c r="G93">
        <v>0.92722724423202596</v>
      </c>
      <c r="H93">
        <v>0</v>
      </c>
      <c r="I93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0.88098039877461687</v>
      </c>
      <c r="L93" cm="1">
        <f t="array" ref="L93">IFERROR(_xlfn.STDEV.S(IF((OutputTable[GroupByKey]=OutputTable[[#This Row],[GroupByKey]]),(OutputTable[GroupByKey]=OutputTable[[#This Row],[GroupByKey]])*OutputTable[RecordedValue])),0)</f>
        <v>6.9783648638161486E-2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93" cm="1">
        <f t="array" ref="O93">MIN(IF((OutputTable[GroupByKey]=OutputTable[[#This Row],[GroupByKey]]),(OutputTable[GroupByKey]=OutputTable[[#This Row],[GroupByKey]])*OutputTable[RecordedValue]))</f>
        <v>0.73843386001690303</v>
      </c>
      <c r="P93" cm="1">
        <f t="array" ref="P93">MAX(IF((OutputTable[GroupByKey]=OutputTable[[#This Row],[GroupByKey]]),(OutputTable[GroupByKey]=OutputTable[[#This Row],[GroupByKey]])*OutputTable[RecordedValue]))</f>
        <v>0.99245161744166299</v>
      </c>
    </row>
    <row r="94" spans="1:16" x14ac:dyDescent="0.3">
      <c r="A94" t="s">
        <v>66</v>
      </c>
      <c r="B94" t="s">
        <v>68</v>
      </c>
      <c r="C94">
        <v>5</v>
      </c>
      <c r="D94" t="s">
        <v>108</v>
      </c>
      <c r="E94" t="s">
        <v>109</v>
      </c>
      <c r="F94" t="s">
        <v>95</v>
      </c>
      <c r="G94">
        <v>33</v>
      </c>
      <c r="H94">
        <v>0</v>
      </c>
      <c r="I94" t="str">
        <f>OutputTable[[#This Row],[ProjectName]]&amp;OutputTable[[#This Row],[Name]]&amp;OutputTable[[#This Row],[Type]]&amp;OutputTable[[#This Row],[Source]]</f>
        <v>Unnamed ProjectRArte.NumberSeizedTotal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34.633333333333333</v>
      </c>
      <c r="L94" cm="1">
        <f t="array" ref="L94">IFERROR(_xlfn.STDEV.S(IF((OutputTable[GroupByKey]=OutputTable[[#This Row],[GroupByKey]]),(OutputTable[GroupByKey]=OutputTable[[#This Row],[GroupByKey]])*OutputTable[RecordedValue])),0)</f>
        <v>6.3326375903390151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94" cm="1">
        <f t="array" ref="O94">MIN(IF((OutputTable[GroupByKey]=OutputTable[[#This Row],[GroupByKey]]),(OutputTable[GroupByKey]=OutputTable[[#This Row],[GroupByKey]])*OutputTable[RecordedValue]))</f>
        <v>24</v>
      </c>
      <c r="P94" cm="1">
        <f t="array" ref="P94">MAX(IF((OutputTable[GroupByKey]=OutputTable[[#This Row],[GroupByKey]]),(OutputTable[GroupByKey]=OutputTable[[#This Row],[GroupByKey]])*OutputTable[RecordedValue]))</f>
        <v>47</v>
      </c>
    </row>
    <row r="95" spans="1:16" x14ac:dyDescent="0.3">
      <c r="A95" t="s">
        <v>66</v>
      </c>
      <c r="B95" t="s">
        <v>68</v>
      </c>
      <c r="C95">
        <v>5</v>
      </c>
      <c r="D95" t="s">
        <v>110</v>
      </c>
      <c r="E95" t="s">
        <v>111</v>
      </c>
      <c r="F95" t="s">
        <v>95</v>
      </c>
      <c r="G95">
        <v>3.1058814808150401E-2</v>
      </c>
      <c r="H95">
        <v>0</v>
      </c>
      <c r="I9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3.5359789427834361E-2</v>
      </c>
      <c r="L95" cm="1">
        <f t="array" ref="L95">IFERROR(_xlfn.STDEV.S(IF((OutputTable[GroupByKey]=OutputTable[[#This Row],[GroupByKey]]),(OutputTable[GroupByKey]=OutputTable[[#This Row],[GroupByKey]])*OutputTable[RecordedValue])),0)</f>
        <v>6.6521615975834569E-3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95" cm="1">
        <f t="array" ref="O95">MIN(IF((OutputTable[GroupByKey]=OutputTable[[#This Row],[GroupByKey]]),(OutputTable[GroupByKey]=OutputTable[[#This Row],[GroupByKey]])*OutputTable[RecordedValue]))</f>
        <v>2.3718114155243601E-2</v>
      </c>
      <c r="P95" cm="1">
        <f t="array" ref="P95">MAX(IF((OutputTable[GroupByKey]=OutputTable[[#This Row],[GroupByKey]]),(OutputTable[GroupByKey]=OutputTable[[#This Row],[GroupByKey]])*OutputTable[RecordedValue]))</f>
        <v>4.8583931724403701E-2</v>
      </c>
    </row>
    <row r="96" spans="1:16" x14ac:dyDescent="0.3">
      <c r="A96" t="s">
        <v>66</v>
      </c>
      <c r="B96" t="s">
        <v>68</v>
      </c>
      <c r="C96">
        <v>5</v>
      </c>
      <c r="D96" t="s">
        <v>112</v>
      </c>
      <c r="E96" t="s">
        <v>109</v>
      </c>
      <c r="F96" t="s">
        <v>95</v>
      </c>
      <c r="G96">
        <v>101</v>
      </c>
      <c r="H96">
        <v>0</v>
      </c>
      <c r="I96" t="str">
        <f>OutputTable[[#This Row],[ProjectName]]&amp;OutputTable[[#This Row],[Name]]&amp;OutputTable[[#This Row],[Type]]&amp;OutputTable[[#This Row],[Source]]</f>
        <v>Unnamed ProjectRAstro.NumberSeizedTotal Number SeizedResource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105.13333333333334</v>
      </c>
      <c r="L96" cm="1">
        <f t="array" ref="L96">IFERROR(_xlfn.STDEV.S(IF((OutputTable[GroupByKey]=OutputTable[[#This Row],[GroupByKey]]),(OutputTable[GroupByKey]=OutputTable[[#This Row],[GroupByKey]])*OutputTable[RecordedValue])),0)</f>
        <v>9.9020490158675578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96" cm="1">
        <f t="array" ref="O96">MIN(IF((OutputTable[GroupByKey]=OutputTable[[#This Row],[GroupByKey]]),(OutputTable[GroupByKey]=OutputTable[[#This Row],[GroupByKey]])*OutputTable[RecordedValue]))</f>
        <v>90</v>
      </c>
      <c r="P96" cm="1">
        <f t="array" ref="P96">MAX(IF((OutputTable[GroupByKey]=OutputTable[[#This Row],[GroupByKey]]),(OutputTable[GroupByKey]=OutputTable[[#This Row],[GroupByKey]])*OutputTable[RecordedValue]))</f>
        <v>120</v>
      </c>
    </row>
    <row r="97" spans="1:16" x14ac:dyDescent="0.3">
      <c r="A97" t="s">
        <v>66</v>
      </c>
      <c r="B97" t="s">
        <v>68</v>
      </c>
      <c r="C97">
        <v>5</v>
      </c>
      <c r="D97" t="s">
        <v>113</v>
      </c>
      <c r="E97" t="s">
        <v>111</v>
      </c>
      <c r="F97" t="s">
        <v>95</v>
      </c>
      <c r="G97">
        <v>0.23077095315059301</v>
      </c>
      <c r="H97">
        <v>0</v>
      </c>
      <c r="I97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0.24658598119222253</v>
      </c>
      <c r="L97" cm="1">
        <f t="array" ref="L97">IFERROR(_xlfn.STDEV.S(IF((OutputTable[GroupByKey]=OutputTable[[#This Row],[GroupByKey]]),(OutputTable[GroupByKey]=OutputTable[[#This Row],[GroupByKey]])*OutputTable[RecordedValue])),0)</f>
        <v>2.3372241503878202E-2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97" cm="1">
        <f t="array" ref="O97">MIN(IF((OutputTable[GroupByKey]=OutputTable[[#This Row],[GroupByKey]]),(OutputTable[GroupByKey]=OutputTable[[#This Row],[GroupByKey]])*OutputTable[RecordedValue]))</f>
        <v>0.20767736113278101</v>
      </c>
      <c r="P97" cm="1">
        <f t="array" ref="P97">MAX(IF((OutputTable[GroupByKey]=OutputTable[[#This Row],[GroupByKey]]),(OutputTable[GroupByKey]=OutputTable[[#This Row],[GroupByKey]])*OutputTable[RecordedValue]))</f>
        <v>0.28501162927715601</v>
      </c>
    </row>
    <row r="98" spans="1:16" x14ac:dyDescent="0.3">
      <c r="A98" t="s">
        <v>66</v>
      </c>
      <c r="B98" t="s">
        <v>68</v>
      </c>
      <c r="C98">
        <v>5</v>
      </c>
      <c r="D98" t="s">
        <v>114</v>
      </c>
      <c r="E98" t="s">
        <v>109</v>
      </c>
      <c r="F98" t="s">
        <v>95</v>
      </c>
      <c r="G98">
        <v>116</v>
      </c>
      <c r="H98">
        <v>0</v>
      </c>
      <c r="I98" t="str">
        <f>OutputTable[[#This Row],[ProjectName]]&amp;OutputTable[[#This Row],[Name]]&amp;OutputTable[[#This Row],[Type]]&amp;OutputTable[[#This Row],[Source]]</f>
        <v>Unnamed ProjectRFisica.NumberSeizedTotal Number SeizedResource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130.19999999999999</v>
      </c>
      <c r="L98" cm="1">
        <f t="array" ref="L98">IFERROR(_xlfn.STDEV.S(IF((OutputTable[GroupByKey]=OutputTable[[#This Row],[GroupByKey]]),(OutputTable[GroupByKey]=OutputTable[[#This Row],[GroupByKey]])*OutputTable[RecordedValue])),0)</f>
        <v>9.6932255049418501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98" cm="1">
        <f t="array" ref="O98">MIN(IF((OutputTable[GroupByKey]=OutputTable[[#This Row],[GroupByKey]]),(OutputTable[GroupByKey]=OutputTable[[#This Row],[GroupByKey]])*OutputTable[RecordedValue]))</f>
        <v>112</v>
      </c>
      <c r="P98" cm="1">
        <f t="array" ref="P98">MAX(IF((OutputTable[GroupByKey]=OutputTable[[#This Row],[GroupByKey]]),(OutputTable[GroupByKey]=OutputTable[[#This Row],[GroupByKey]])*OutputTable[RecordedValue]))</f>
        <v>150</v>
      </c>
    </row>
    <row r="99" spans="1:16" x14ac:dyDescent="0.3">
      <c r="A99" t="s">
        <v>66</v>
      </c>
      <c r="B99" t="s">
        <v>68</v>
      </c>
      <c r="C99">
        <v>5</v>
      </c>
      <c r="D99" t="s">
        <v>115</v>
      </c>
      <c r="E99" t="s">
        <v>111</v>
      </c>
      <c r="F99" t="s">
        <v>95</v>
      </c>
      <c r="G99">
        <v>0.517215348442703</v>
      </c>
      <c r="H99">
        <v>0</v>
      </c>
      <c r="I99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0.61071636647106653</v>
      </c>
      <c r="L99" cm="1">
        <f t="array" ref="L99">IFERROR(_xlfn.STDEV.S(IF((OutputTable[GroupByKey]=OutputTable[[#This Row],[GroupByKey]]),(OutputTable[GroupByKey]=OutputTable[[#This Row],[GroupByKey]])*OutputTable[RecordedValue])),0)</f>
        <v>4.8363406640152928E-2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99" cm="1">
        <f t="array" ref="O99">MIN(IF((OutputTable[GroupByKey]=OutputTable[[#This Row],[GroupByKey]]),(OutputTable[GroupByKey]=OutputTable[[#This Row],[GroupByKey]])*OutputTable[RecordedValue]))</f>
        <v>0.517215348442703</v>
      </c>
      <c r="P99" cm="1">
        <f t="array" ref="P99">MAX(IF((OutputTable[GroupByKey]=OutputTable[[#This Row],[GroupByKey]]),(OutputTable[GroupByKey]=OutputTable[[#This Row],[GroupByKey]])*OutputTable[RecordedValue]))</f>
        <v>0.67770389283754395</v>
      </c>
    </row>
    <row r="100" spans="1:16" x14ac:dyDescent="0.3">
      <c r="A100" t="s">
        <v>66</v>
      </c>
      <c r="B100" t="s">
        <v>68</v>
      </c>
      <c r="C100">
        <v>5</v>
      </c>
      <c r="D100" t="s">
        <v>116</v>
      </c>
      <c r="E100" t="s">
        <v>109</v>
      </c>
      <c r="F100" t="s">
        <v>95</v>
      </c>
      <c r="G100">
        <v>333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ProjectRHall.NumberSeizedTotal Number SeizedResource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366.5</v>
      </c>
      <c r="L100" cm="1">
        <f t="array" ref="L100">IFERROR(_xlfn.STDEV.S(IF((OutputTable[GroupByKey]=OutputTable[[#This Row],[GroupByKey]]),(OutputTable[GroupByKey]=OutputTable[[#This Row],[GroupByKey]])*OutputTable[RecordedValue])),0)</f>
        <v>27.998460548813185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100" cm="1">
        <f t="array" ref="O100">MIN(IF((OutputTable[GroupByKey]=OutputTable[[#This Row],[GroupByKey]]),(OutputTable[GroupByKey]=OutputTable[[#This Row],[GroupByKey]])*OutputTable[RecordedValue]))</f>
        <v>308</v>
      </c>
      <c r="P100" cm="1">
        <f t="array" ref="P100">MAX(IF((OutputTable[GroupByKey]=OutputTable[[#This Row],[GroupByKey]]),(OutputTable[GroupByKey]=OutputTable[[#This Row],[GroupByKey]])*OutputTable[RecordedValue]))</f>
        <v>415</v>
      </c>
    </row>
    <row r="101" spans="1:16" x14ac:dyDescent="0.3">
      <c r="A101" t="s">
        <v>66</v>
      </c>
      <c r="B101" t="s">
        <v>68</v>
      </c>
      <c r="C101">
        <v>5</v>
      </c>
      <c r="D101" t="s">
        <v>117</v>
      </c>
      <c r="E101" t="s">
        <v>111</v>
      </c>
      <c r="F101" t="s">
        <v>95</v>
      </c>
      <c r="G101">
        <v>0.15393301977749099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0.17017204824235124</v>
      </c>
      <c r="L101" cm="1">
        <f t="array" ref="L101">IFERROR(_xlfn.STDEV.S(IF((OutputTable[GroupByKey]=OutputTable[[#This Row],[GroupByKey]]),(OutputTable[GroupByKey]=OutputTable[[#This Row],[GroupByKey]])*OutputTable[RecordedValue])),0)</f>
        <v>1.331368412630852E-2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101" cm="1">
        <f t="array" ref="O101">MIN(IF((OutputTable[GroupByKey]=OutputTable[[#This Row],[GroupByKey]]),(OutputTable[GroupByKey]=OutputTable[[#This Row],[GroupByKey]])*OutputTable[RecordedValue]))</f>
        <v>0.14484829778125299</v>
      </c>
      <c r="P101" cm="1">
        <f t="array" ref="P101">MAX(IF((OutputTable[GroupByKey]=OutputTable[[#This Row],[GroupByKey]]),(OutputTable[GroupByKey]=OutputTable[[#This Row],[GroupByKey]])*OutputTable[RecordedValue]))</f>
        <v>0.19609322315655101</v>
      </c>
    </row>
    <row r="102" spans="1:16" x14ac:dyDescent="0.3">
      <c r="A102" t="s">
        <v>66</v>
      </c>
      <c r="B102" t="s">
        <v>68</v>
      </c>
      <c r="C102">
        <v>5</v>
      </c>
      <c r="D102" t="s">
        <v>118</v>
      </c>
      <c r="E102" t="s">
        <v>109</v>
      </c>
      <c r="F102" t="s">
        <v>95</v>
      </c>
      <c r="G102">
        <v>63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ProjectRHistoria.NumberSeizedTotal Number SeizedResource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67.599999999999994</v>
      </c>
      <c r="L102" cm="1">
        <f t="array" ref="L102">IFERROR(_xlfn.STDEV.S(IF((OutputTable[GroupByKey]=OutputTable[[#This Row],[GroupByKey]]),(OutputTable[GroupByKey]=OutputTable[[#This Row],[GroupByKey]])*OutputTable[RecordedValue])),0)</f>
        <v>8.2277914244430335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102" cm="1">
        <f t="array" ref="O102">MIN(IF((OutputTable[GroupByKey]=OutputTable[[#This Row],[GroupByKey]]),(OutputTable[GroupByKey]=OutputTable[[#This Row],[GroupByKey]])*OutputTable[RecordedValue]))</f>
        <v>53</v>
      </c>
      <c r="P102" cm="1">
        <f t="array" ref="P102">MAX(IF((OutputTable[GroupByKey]=OutputTable[[#This Row],[GroupByKey]]),(OutputTable[GroupByKey]=OutputTable[[#This Row],[GroupByKey]])*OutputTable[RecordedValue]))</f>
        <v>83</v>
      </c>
    </row>
    <row r="103" spans="1:16" x14ac:dyDescent="0.3">
      <c r="A103" t="s">
        <v>66</v>
      </c>
      <c r="B103" t="s">
        <v>68</v>
      </c>
      <c r="C103">
        <v>5</v>
      </c>
      <c r="D103" t="s">
        <v>119</v>
      </c>
      <c r="E103" t="s">
        <v>111</v>
      </c>
      <c r="F103" t="s">
        <v>95</v>
      </c>
      <c r="G103">
        <v>8.6372494314967199E-2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9.2629789222133899E-2</v>
      </c>
      <c r="L103" cm="1">
        <f t="array" ref="L103">IFERROR(_xlfn.STDEV.S(IF((OutputTable[GroupByKey]=OutputTable[[#This Row],[GroupByKey]]),(OutputTable[GroupByKey]=OutputTable[[#This Row],[GroupByKey]])*OutputTable[RecordedValue])),0)</f>
        <v>1.1199993404883948E-2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103" cm="1">
        <f t="array" ref="O103">MIN(IF((OutputTable[GroupByKey]=OutputTable[[#This Row],[GroupByKey]]),(OutputTable[GroupByKey]=OutputTable[[#This Row],[GroupByKey]])*OutputTable[RecordedValue]))</f>
        <v>7.4778736536586704E-2</v>
      </c>
      <c r="P103" cm="1">
        <f t="array" ref="P103">MAX(IF((OutputTable[GroupByKey]=OutputTable[[#This Row],[GroupByKey]]),(OutputTable[GroupByKey]=OutputTable[[#This Row],[GroupByKey]])*OutputTable[RecordedValue]))</f>
        <v>0.111025455742452</v>
      </c>
    </row>
    <row r="104" spans="1:16" x14ac:dyDescent="0.3">
      <c r="A104" t="s">
        <v>66</v>
      </c>
      <c r="B104" t="s">
        <v>68</v>
      </c>
      <c r="C104">
        <v>5</v>
      </c>
      <c r="D104" t="s">
        <v>120</v>
      </c>
      <c r="E104" t="s">
        <v>121</v>
      </c>
      <c r="F104" t="s">
        <v>122</v>
      </c>
      <c r="G104">
        <v>123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ProjectSystem.NumberOutNumber OutSystem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138.66666666666666</v>
      </c>
      <c r="L104" cm="1">
        <f t="array" ref="L104">IFERROR(_xlfn.STDEV.S(IF((OutputTable[GroupByKey]=OutputTable[[#This Row],[GroupByKey]]),(OutputTable[GroupByKey]=OutputTable[[#This Row],[GroupByKey]])*OutputTable[RecordedValue])),0)</f>
        <v>10.59386072484773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04" cm="1">
        <f t="array" ref="O104">MIN(IF((OutputTable[GroupByKey]=OutputTable[[#This Row],[GroupByKey]]),(OutputTable[GroupByKey]=OutputTable[[#This Row],[GroupByKey]])*OutputTable[RecordedValue]))</f>
        <v>122</v>
      </c>
      <c r="P104" cm="1">
        <f t="array" ref="P104">MAX(IF((OutputTable[GroupByKey]=OutputTable[[#This Row],[GroupByKey]]),(OutputTable[GroupByKey]=OutputTable[[#This Row],[GroupByKey]])*OutputTable[RecordedValue]))</f>
        <v>158</v>
      </c>
    </row>
    <row r="105" spans="1:16" x14ac:dyDescent="0.3">
      <c r="A105" t="s">
        <v>66</v>
      </c>
      <c r="B105" t="s">
        <v>68</v>
      </c>
      <c r="C105">
        <v>5</v>
      </c>
      <c r="D105" t="s">
        <v>123</v>
      </c>
      <c r="E105" t="s">
        <v>109</v>
      </c>
      <c r="F105" t="s">
        <v>95</v>
      </c>
      <c r="G105">
        <v>298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324.63333333333333</v>
      </c>
      <c r="L105" cm="1">
        <f t="array" ref="L105">IFERROR(_xlfn.STDEV.S(IF((OutputTable[GroupByKey]=OutputTable[[#This Row],[GroupByKey]]),(OutputTable[GroupByKey]=OutputTable[[#This Row],[GroupByKey]])*OutputTable[RecordedValue])),0)</f>
        <v>23.733409208195905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105" cm="1">
        <f t="array" ref="O105">MIN(IF((OutputTable[GroupByKey]=OutputTable[[#This Row],[GroupByKey]]),(OutputTable[GroupByKey]=OutputTable[[#This Row],[GroupByKey]])*OutputTable[RecordedValue]))</f>
        <v>276</v>
      </c>
      <c r="P105" cm="1">
        <f t="array" ref="P105">MAX(IF((OutputTable[GroupByKey]=OutputTable[[#This Row],[GroupByKey]]),(OutputTable[GroupByKey]=OutputTable[[#This Row],[GroupByKey]])*OutputTable[RecordedValue]))</f>
        <v>370</v>
      </c>
    </row>
    <row r="106" spans="1:16" x14ac:dyDescent="0.3">
      <c r="A106" t="s">
        <v>66</v>
      </c>
      <c r="B106" t="s">
        <v>68</v>
      </c>
      <c r="C106">
        <v>5</v>
      </c>
      <c r="D106" t="s">
        <v>124</v>
      </c>
      <c r="E106" t="s">
        <v>111</v>
      </c>
      <c r="F106" t="s">
        <v>95</v>
      </c>
      <c r="G106">
        <v>0.73979870218917798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0.78890367752589419</v>
      </c>
      <c r="L106" cm="1">
        <f t="array" ref="L106">IFERROR(_xlfn.STDEV.S(IF((OutputTable[GroupByKey]=OutputTable[[#This Row],[GroupByKey]]),(OutputTable[GroupByKey]=OutputTable[[#This Row],[GroupByKey]])*OutputTable[RecordedValue])),0)</f>
        <v>5.7743599319329868E-2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106" cm="1">
        <f t="array" ref="O106">MIN(IF((OutputTable[GroupByKey]=OutputTable[[#This Row],[GroupByKey]]),(OutputTable[GroupByKey]=OutputTable[[#This Row],[GroupByKey]])*OutputTable[RecordedValue]))</f>
        <v>0.68630817725209003</v>
      </c>
      <c r="P106" cm="1">
        <f t="array" ref="P106">MAX(IF((OutputTable[GroupByKey]=OutputTable[[#This Row],[GroupByKey]]),(OutputTable[GroupByKey]=OutputTable[[#This Row],[GroupByKey]])*OutputTable[RecordedValue]))</f>
        <v>0.89844569749382897</v>
      </c>
    </row>
    <row r="107" spans="1:16" x14ac:dyDescent="0.3">
      <c r="A107" t="s">
        <v>66</v>
      </c>
      <c r="B107" t="s">
        <v>68</v>
      </c>
      <c r="C107">
        <v>5</v>
      </c>
      <c r="D107" t="s">
        <v>125</v>
      </c>
      <c r="E107" t="s">
        <v>126</v>
      </c>
      <c r="F107" t="s">
        <v>86</v>
      </c>
      <c r="G107">
        <v>181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ProjectVisitantes.NumberInNumber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194.43333333333334</v>
      </c>
      <c r="L107" cm="1">
        <f t="array" ref="L107">IFERROR(_xlfn.STDEV.S(IF((OutputTable[GroupByKey]=OutputTable[[#This Row],[GroupByKey]]),(OutputTable[GroupByKey]=OutputTable[[#This Row],[GroupByKey]])*OutputTable[RecordedValue])),0)</f>
        <v>19.567184586538712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107" cm="1">
        <f t="array" ref="O107">MIN(IF((OutputTable[GroupByKey]=OutputTable[[#This Row],[GroupByKey]]),(OutputTable[GroupByKey]=OutputTable[[#This Row],[GroupByKey]])*OutputTable[RecordedValue]))</f>
        <v>158</v>
      </c>
      <c r="P107" cm="1">
        <f t="array" ref="P107">MAX(IF((OutputTable[GroupByKey]=OutputTable[[#This Row],[GroupByKey]]),(OutputTable[GroupByKey]=OutputTable[[#This Row],[GroupByKey]])*OutputTable[RecordedValue]))</f>
        <v>255</v>
      </c>
    </row>
    <row r="108" spans="1:16" x14ac:dyDescent="0.3">
      <c r="A108" t="s">
        <v>66</v>
      </c>
      <c r="B108" t="s">
        <v>68</v>
      </c>
      <c r="C108">
        <v>5</v>
      </c>
      <c r="D108" t="s">
        <v>127</v>
      </c>
      <c r="E108" t="s">
        <v>121</v>
      </c>
      <c r="F108" t="s">
        <v>86</v>
      </c>
      <c r="G108">
        <v>123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ProjectVisitantes.NumberOutNumber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138.66666666666666</v>
      </c>
      <c r="L108" cm="1">
        <f t="array" ref="L108">IFERROR(_xlfn.STDEV.S(IF((OutputTable[GroupByKey]=OutputTable[[#This Row],[GroupByKey]]),(OutputTable[GroupByKey]=OutputTable[[#This Row],[GroupByKey]])*OutputTable[RecordedValue])),0)</f>
        <v>10.59386072484773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08" cm="1">
        <f t="array" ref="O108">MIN(IF((OutputTable[GroupByKey]=OutputTable[[#This Row],[GroupByKey]]),(OutputTable[GroupByKey]=OutputTable[[#This Row],[GroupByKey]])*OutputTable[RecordedValue]))</f>
        <v>122</v>
      </c>
      <c r="P108" cm="1">
        <f t="array" ref="P108">MAX(IF((OutputTable[GroupByKey]=OutputTable[[#This Row],[GroupByKey]]),(OutputTable[GroupByKey]=OutputTable[[#This Row],[GroupByKey]])*OutputTable[RecordedValue]))</f>
        <v>158</v>
      </c>
    </row>
    <row r="109" spans="1:16" x14ac:dyDescent="0.3">
      <c r="A109" t="s">
        <v>66</v>
      </c>
      <c r="B109" t="s">
        <v>68</v>
      </c>
      <c r="C109">
        <v>5</v>
      </c>
      <c r="D109" t="s">
        <v>128</v>
      </c>
      <c r="E109" t="s">
        <v>109</v>
      </c>
      <c r="F109" t="s">
        <v>95</v>
      </c>
      <c r="G109">
        <v>0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Projectcajero.NumberSeizedTotal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0</v>
      </c>
      <c r="L109" cm="1">
        <f t="array" ref="L109">IFERROR(_xlfn.STDEV.S(IF((OutputTable[GroupByKey]=OutputTable[[#This Row],[GroupByKey]]),(OutputTable[GroupByKey]=OutputTable[[#This Row],[GroupByKey]])*OutputTable[RecordedValue])),0)</f>
        <v>0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" cm="1">
        <f t="array" ref="O109">MIN(IF((OutputTable[GroupByKey]=OutputTable[[#This Row],[GroupByKey]]),(OutputTable[GroupByKey]=OutputTable[[#This Row],[GroupByKey]])*OutputTable[RecordedValue]))</f>
        <v>0</v>
      </c>
      <c r="P109" cm="1">
        <f t="array" ref="P109">MAX(IF((OutputTable[GroupByKey]=OutputTable[[#This Row],[GroupByKey]]),(OutputTable[GroupByKey]=OutputTable[[#This Row],[GroupByKey]])*OutputTable[RecordedValue]))</f>
        <v>0</v>
      </c>
    </row>
    <row r="110" spans="1:16" x14ac:dyDescent="0.3">
      <c r="A110" t="s">
        <v>66</v>
      </c>
      <c r="B110" t="s">
        <v>68</v>
      </c>
      <c r="C110">
        <v>5</v>
      </c>
      <c r="D110" t="s">
        <v>129</v>
      </c>
      <c r="E110" t="s">
        <v>111</v>
      </c>
      <c r="F110" t="s">
        <v>95</v>
      </c>
      <c r="G110">
        <v>0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</v>
      </c>
      <c r="L110" cm="1">
        <f t="array" ref="L110">IFERROR(_xlfn.STDEV.S(IF((OutputTable[GroupByKey]=OutputTable[[#This Row],[GroupByKey]]),(OutputTable[GroupByKey]=OutputTable[[#This Row],[GroupByKey]])*OutputTable[RecordedValue])),0)</f>
        <v>0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cm="1">
        <f t="array" ref="O110">MIN(IF((OutputTable[GroupByKey]=OutputTable[[#This Row],[GroupByKey]]),(OutputTable[GroupByKey]=OutputTable[[#This Row],[GroupByKey]])*OutputTable[RecordedValue]))</f>
        <v>0</v>
      </c>
      <c r="P110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3">
      <c r="A111" t="s">
        <v>66</v>
      </c>
      <c r="B111" t="s">
        <v>68</v>
      </c>
      <c r="C111">
        <v>5</v>
      </c>
      <c r="D111" t="s">
        <v>130</v>
      </c>
      <c r="E111" t="s">
        <v>109</v>
      </c>
      <c r="F111" t="s">
        <v>95</v>
      </c>
      <c r="G111">
        <v>88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Projectticketsa.NumberSeizedTotal Number SeizedResource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99.666666666666671</v>
      </c>
      <c r="L111" cm="1">
        <f t="array" ref="L111">IFERROR(_xlfn.STDEV.S(IF((OutputTable[GroupByKey]=OutputTable[[#This Row],[GroupByKey]]),(OutputTable[GroupByKey]=OutputTable[[#This Row],[GroupByKey]])*OutputTable[RecordedValue])),0)</f>
        <v>11.021400290698853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111" cm="1">
        <f t="array" ref="O111">MIN(IF((OutputTable[GroupByKey]=OutputTable[[#This Row],[GroupByKey]]),(OutputTable[GroupByKey]=OutputTable[[#This Row],[GroupByKey]])*OutputTable[RecordedValue]))</f>
        <v>84</v>
      </c>
      <c r="P111" cm="1">
        <f t="array" ref="P111">MAX(IF((OutputTable[GroupByKey]=OutputTable[[#This Row],[GroupByKey]]),(OutputTable[GroupByKey]=OutputTable[[#This Row],[GroupByKey]])*OutputTable[RecordedValue]))</f>
        <v>133</v>
      </c>
    </row>
    <row r="112" spans="1:16" x14ac:dyDescent="0.3">
      <c r="A112" t="s">
        <v>66</v>
      </c>
      <c r="B112" t="s">
        <v>68</v>
      </c>
      <c r="C112">
        <v>5</v>
      </c>
      <c r="D112" t="s">
        <v>131</v>
      </c>
      <c r="E112" t="s">
        <v>111</v>
      </c>
      <c r="F112" t="s">
        <v>95</v>
      </c>
      <c r="G112">
        <v>0.68101151474133004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0.81099663999028448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0.1069626954834289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112" s="5" cm="1">
        <f t="array" ref="O112">MIN(IF((OutputTable[GroupByKey]=OutputTable[[#This Row],[GroupByKey]]),(OutputTable[GroupByKey]=OutputTable[[#This Row],[GroupByKey]])*OutputTable[RecordedValue]))</f>
        <v>0.634589476164233</v>
      </c>
      <c r="P112" s="5" cm="1">
        <f t="array" ref="P112">MAX(IF((OutputTable[GroupByKey]=OutputTable[[#This Row],[GroupByKey]]),(OutputTable[GroupByKey]=OutputTable[[#This Row],[GroupByKey]])*OutputTable[RecordedValue]))</f>
        <v>0.99383259650362799</v>
      </c>
    </row>
    <row r="113" spans="1:16" x14ac:dyDescent="0.3">
      <c r="A113" t="s">
        <v>66</v>
      </c>
      <c r="B113" t="s">
        <v>68</v>
      </c>
      <c r="C113">
        <v>5</v>
      </c>
      <c r="D113" t="s">
        <v>132</v>
      </c>
      <c r="E113" t="s">
        <v>109</v>
      </c>
      <c r="F113" t="s">
        <v>95</v>
      </c>
      <c r="G113">
        <v>54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51.966666666666669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7.0636677653220881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113" s="5" cm="1">
        <f t="array" ref="O113">MIN(IF((OutputTable[GroupByKey]=OutputTable[[#This Row],[GroupByKey]]),(OutputTable[GroupByKey]=OutputTable[[#This Row],[GroupByKey]])*OutputTable[RecordedValue]))</f>
        <v>40</v>
      </c>
      <c r="P113" s="5" cm="1">
        <f t="array" ref="P113">MAX(IF((OutputTable[GroupByKey]=OutputTable[[#This Row],[GroupByKey]]),(OutputTable[GroupByKey]=OutputTable[[#This Row],[GroupByKey]])*OutputTable[RecordedValue]))</f>
        <v>70</v>
      </c>
    </row>
    <row r="114" spans="1:16" x14ac:dyDescent="0.3">
      <c r="A114" t="s">
        <v>66</v>
      </c>
      <c r="B114" t="s">
        <v>68</v>
      </c>
      <c r="C114">
        <v>5</v>
      </c>
      <c r="D114" t="s">
        <v>133</v>
      </c>
      <c r="E114" t="s">
        <v>111</v>
      </c>
      <c r="F114" t="s">
        <v>95</v>
      </c>
      <c r="G114">
        <v>0.74061105631083801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0.86404173385398308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7.7429091138254261E-2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114" s="5" cm="1">
        <f t="array" ref="O114">MIN(IF((OutputTable[GroupByKey]=OutputTable[[#This Row],[GroupByKey]]),(OutputTable[GroupByKey]=OutputTable[[#This Row],[GroupByKey]])*OutputTable[RecordedValue]))</f>
        <v>0.74061105631083801</v>
      </c>
      <c r="P114" s="5" cm="1">
        <f t="array" ref="P114">MAX(IF((OutputTable[GroupByKey]=OutputTable[[#This Row],[GroupByKey]]),(OutputTable[GroupByKey]=OutputTable[[#This Row],[GroupByKey]])*OutputTable[RecordedValue]))</f>
        <v>0.99245161744166299</v>
      </c>
    </row>
    <row r="115" spans="1:16" x14ac:dyDescent="0.3">
      <c r="A115" t="s">
        <v>66</v>
      </c>
      <c r="B115" t="s">
        <v>68</v>
      </c>
      <c r="C115">
        <v>5</v>
      </c>
      <c r="D115" t="s">
        <v>134</v>
      </c>
      <c r="E115" t="s">
        <v>109</v>
      </c>
      <c r="F115" t="s">
        <v>95</v>
      </c>
      <c r="G115">
        <v>35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36.233333333333334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4.775536318198915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115" s="5" cm="1">
        <f t="array" ref="O115">MIN(IF((OutputTable[GroupByKey]=OutputTable[[#This Row],[GroupByKey]]),(OutputTable[GroupByKey]=OutputTable[[#This Row],[GroupByKey]])*OutputTable[RecordedValue]))</f>
        <v>28</v>
      </c>
      <c r="P115" s="5" cm="1">
        <f t="array" ref="P115">MAX(IF((OutputTable[GroupByKey]=OutputTable[[#This Row],[GroupByKey]]),(OutputTable[GroupByKey]=OutputTable[[#This Row],[GroupByKey]])*OutputTable[RecordedValue]))</f>
        <v>48</v>
      </c>
    </row>
    <row r="116" spans="1:16" x14ac:dyDescent="0.3">
      <c r="A116" t="s">
        <v>66</v>
      </c>
      <c r="B116" t="s">
        <v>68</v>
      </c>
      <c r="C116">
        <v>5</v>
      </c>
      <c r="D116" t="s">
        <v>135</v>
      </c>
      <c r="E116" t="s">
        <v>111</v>
      </c>
      <c r="F116" t="s">
        <v>95</v>
      </c>
      <c r="G116">
        <v>0.77153842336211698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0.88098039877461687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6.9783648638161486E-2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116" s="5" cm="1">
        <f t="array" ref="O116">MIN(IF((OutputTable[GroupByKey]=OutputTable[[#This Row],[GroupByKey]]),(OutputTable[GroupByKey]=OutputTable[[#This Row],[GroupByKey]])*OutputTable[RecordedValue]))</f>
        <v>0.73843386001690303</v>
      </c>
      <c r="P116" s="5" cm="1">
        <f t="array" ref="P116">MAX(IF((OutputTable[GroupByKey]=OutputTable[[#This Row],[GroupByKey]]),(OutputTable[GroupByKey]=OutputTable[[#This Row],[GroupByKey]])*OutputTable[RecordedValue]))</f>
        <v>0.99245161744166299</v>
      </c>
    </row>
    <row r="117" spans="1:16" x14ac:dyDescent="0.3">
      <c r="A117" t="s">
        <v>66</v>
      </c>
      <c r="B117" t="s">
        <v>68</v>
      </c>
      <c r="C117">
        <v>6</v>
      </c>
      <c r="D117" t="s">
        <v>108</v>
      </c>
      <c r="E117" t="s">
        <v>109</v>
      </c>
      <c r="F117" t="s">
        <v>95</v>
      </c>
      <c r="G117">
        <v>38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34.633333333333333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6.3326375903390151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117" s="5" cm="1">
        <f t="array" ref="O117">MIN(IF((OutputTable[GroupByKey]=OutputTable[[#This Row],[GroupByKey]]),(OutputTable[GroupByKey]=OutputTable[[#This Row],[GroupByKey]])*OutputTable[RecordedValue]))</f>
        <v>24</v>
      </c>
      <c r="P117" s="5" cm="1">
        <f t="array" ref="P117">MAX(IF((OutputTable[GroupByKey]=OutputTable[[#This Row],[GroupByKey]]),(OutputTable[GroupByKey]=OutputTable[[#This Row],[GroupByKey]])*OutputTable[RecordedValue]))</f>
        <v>47</v>
      </c>
    </row>
    <row r="118" spans="1:16" x14ac:dyDescent="0.3">
      <c r="A118" t="s">
        <v>66</v>
      </c>
      <c r="B118" t="s">
        <v>68</v>
      </c>
      <c r="C118">
        <v>6</v>
      </c>
      <c r="D118" t="s">
        <v>110</v>
      </c>
      <c r="E118" t="s">
        <v>111</v>
      </c>
      <c r="F118" t="s">
        <v>95</v>
      </c>
      <c r="G118">
        <v>3.8309903990688898E-2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3.5359789427834361E-2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6.6521615975834569E-3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118" s="5" cm="1">
        <f t="array" ref="O118">MIN(IF((OutputTable[GroupByKey]=OutputTable[[#This Row],[GroupByKey]]),(OutputTable[GroupByKey]=OutputTable[[#This Row],[GroupByKey]])*OutputTable[RecordedValue]))</f>
        <v>2.3718114155243601E-2</v>
      </c>
      <c r="P118" s="5" cm="1">
        <f t="array" ref="P118">MAX(IF((OutputTable[GroupByKey]=OutputTable[[#This Row],[GroupByKey]]),(OutputTable[GroupByKey]=OutputTable[[#This Row],[GroupByKey]])*OutputTable[RecordedValue]))</f>
        <v>4.8583931724403701E-2</v>
      </c>
    </row>
    <row r="119" spans="1:16" x14ac:dyDescent="0.3">
      <c r="A119" t="s">
        <v>66</v>
      </c>
      <c r="B119" t="s">
        <v>68</v>
      </c>
      <c r="C119">
        <v>6</v>
      </c>
      <c r="D119" t="s">
        <v>112</v>
      </c>
      <c r="E119" t="s">
        <v>109</v>
      </c>
      <c r="F119" t="s">
        <v>95</v>
      </c>
      <c r="G119">
        <v>102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105.13333333333334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9.9020490158675578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119" s="5" cm="1">
        <f t="array" ref="O119">MIN(IF((OutputTable[GroupByKey]=OutputTable[[#This Row],[GroupByKey]]),(OutputTable[GroupByKey]=OutputTable[[#This Row],[GroupByKey]])*OutputTable[RecordedValue]))</f>
        <v>90</v>
      </c>
      <c r="P119" s="5" cm="1">
        <f t="array" ref="P119">MAX(IF((OutputTable[GroupByKey]=OutputTable[[#This Row],[GroupByKey]]),(OutputTable[GroupByKey]=OutputTable[[#This Row],[GroupByKey]])*OutputTable[RecordedValue]))</f>
        <v>120</v>
      </c>
    </row>
    <row r="120" spans="1:16" x14ac:dyDescent="0.3">
      <c r="A120" t="s">
        <v>66</v>
      </c>
      <c r="B120" t="s">
        <v>68</v>
      </c>
      <c r="C120">
        <v>6</v>
      </c>
      <c r="D120" t="s">
        <v>113</v>
      </c>
      <c r="E120" t="s">
        <v>111</v>
      </c>
      <c r="F120" t="s">
        <v>95</v>
      </c>
      <c r="G120">
        <v>0.25199689966710298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0.24658598119222253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2.3372241503878202E-2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120" s="5" cm="1">
        <f t="array" ref="O120">MIN(IF((OutputTable[GroupByKey]=OutputTable[[#This Row],[GroupByKey]]),(OutputTable[GroupByKey]=OutputTable[[#This Row],[GroupByKey]])*OutputTable[RecordedValue]))</f>
        <v>0.20767736113278101</v>
      </c>
      <c r="P120" s="5" cm="1">
        <f t="array" ref="P120">MAX(IF((OutputTable[GroupByKey]=OutputTable[[#This Row],[GroupByKey]]),(OutputTable[GroupByKey]=OutputTable[[#This Row],[GroupByKey]])*OutputTable[RecordedValue]))</f>
        <v>0.28501162927715601</v>
      </c>
    </row>
    <row r="121" spans="1:16" x14ac:dyDescent="0.3">
      <c r="A121" t="s">
        <v>66</v>
      </c>
      <c r="B121" t="s">
        <v>68</v>
      </c>
      <c r="C121">
        <v>6</v>
      </c>
      <c r="D121" t="s">
        <v>114</v>
      </c>
      <c r="E121" t="s">
        <v>109</v>
      </c>
      <c r="F121" t="s">
        <v>95</v>
      </c>
      <c r="G121">
        <v>125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130.19999999999999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9.6932255049418501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121" s="5" cm="1">
        <f t="array" ref="O121">MIN(IF((OutputTable[GroupByKey]=OutputTable[[#This Row],[GroupByKey]]),(OutputTable[GroupByKey]=OutputTable[[#This Row],[GroupByKey]])*OutputTable[RecordedValue]))</f>
        <v>112</v>
      </c>
      <c r="P121" s="5" cm="1">
        <f t="array" ref="P121">MAX(IF((OutputTable[GroupByKey]=OutputTable[[#This Row],[GroupByKey]]),(OutputTable[GroupByKey]=OutputTable[[#This Row],[GroupByKey]])*OutputTable[RecordedValue]))</f>
        <v>150</v>
      </c>
    </row>
    <row r="122" spans="1:16" x14ac:dyDescent="0.3">
      <c r="A122" t="s">
        <v>66</v>
      </c>
      <c r="B122" t="s">
        <v>68</v>
      </c>
      <c r="C122">
        <v>6</v>
      </c>
      <c r="D122" t="s">
        <v>115</v>
      </c>
      <c r="E122" t="s">
        <v>111</v>
      </c>
      <c r="F122" t="s">
        <v>95</v>
      </c>
      <c r="G122">
        <v>0.57034814605345896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0.61071636647106653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4.8363406640152928E-2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122" s="5" cm="1">
        <f t="array" ref="O122">MIN(IF((OutputTable[GroupByKey]=OutputTable[[#This Row],[GroupByKey]]),(OutputTable[GroupByKey]=OutputTable[[#This Row],[GroupByKey]])*OutputTable[RecordedValue]))</f>
        <v>0.517215348442703</v>
      </c>
      <c r="P122" s="5" cm="1">
        <f t="array" ref="P122">MAX(IF((OutputTable[GroupByKey]=OutputTable[[#This Row],[GroupByKey]]),(OutputTable[GroupByKey]=OutputTable[[#This Row],[GroupByKey]])*OutputTable[RecordedValue]))</f>
        <v>0.67770389283754395</v>
      </c>
    </row>
    <row r="123" spans="1:16" x14ac:dyDescent="0.3">
      <c r="A123" t="s">
        <v>66</v>
      </c>
      <c r="B123" t="s">
        <v>68</v>
      </c>
      <c r="C123">
        <v>6</v>
      </c>
      <c r="D123" t="s">
        <v>116</v>
      </c>
      <c r="E123" t="s">
        <v>109</v>
      </c>
      <c r="F123" t="s">
        <v>95</v>
      </c>
      <c r="G123">
        <v>353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366.5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27.998460548813185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123" s="5" cm="1">
        <f t="array" ref="O123">MIN(IF((OutputTable[GroupByKey]=OutputTable[[#This Row],[GroupByKey]]),(OutputTable[GroupByKey]=OutputTable[[#This Row],[GroupByKey]])*OutputTable[RecordedValue]))</f>
        <v>308</v>
      </c>
      <c r="P123" s="5" cm="1">
        <f t="array" ref="P123">MAX(IF((OutputTable[GroupByKey]=OutputTable[[#This Row],[GroupByKey]]),(OutputTable[GroupByKey]=OutputTable[[#This Row],[GroupByKey]])*OutputTable[RecordedValue]))</f>
        <v>415</v>
      </c>
    </row>
    <row r="124" spans="1:16" x14ac:dyDescent="0.3">
      <c r="A124" t="s">
        <v>66</v>
      </c>
      <c r="B124" t="s">
        <v>68</v>
      </c>
      <c r="C124">
        <v>6</v>
      </c>
      <c r="D124" t="s">
        <v>117</v>
      </c>
      <c r="E124" t="s">
        <v>111</v>
      </c>
      <c r="F124" t="s">
        <v>95</v>
      </c>
      <c r="G124">
        <v>0.15794573436347401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0.17017204824235124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1.331368412630852E-2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124" s="5" cm="1">
        <f t="array" ref="O124">MIN(IF((OutputTable[GroupByKey]=OutputTable[[#This Row],[GroupByKey]]),(OutputTable[GroupByKey]=OutputTable[[#This Row],[GroupByKey]])*OutputTable[RecordedValue]))</f>
        <v>0.14484829778125299</v>
      </c>
      <c r="P124" s="5" cm="1">
        <f t="array" ref="P124">MAX(IF((OutputTable[GroupByKey]=OutputTable[[#This Row],[GroupByKey]]),(OutputTable[GroupByKey]=OutputTable[[#This Row],[GroupByKey]])*OutputTable[RecordedValue]))</f>
        <v>0.19609322315655101</v>
      </c>
    </row>
    <row r="125" spans="1:16" x14ac:dyDescent="0.3">
      <c r="A125" t="s">
        <v>66</v>
      </c>
      <c r="B125" t="s">
        <v>68</v>
      </c>
      <c r="C125">
        <v>6</v>
      </c>
      <c r="D125" t="s">
        <v>118</v>
      </c>
      <c r="E125" t="s">
        <v>109</v>
      </c>
      <c r="F125" t="s">
        <v>95</v>
      </c>
      <c r="G125">
        <v>68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67.599999999999994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8.2277914244430335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125" s="5" cm="1">
        <f t="array" ref="O125">MIN(IF((OutputTable[GroupByKey]=OutputTable[[#This Row],[GroupByKey]]),(OutputTable[GroupByKey]=OutputTable[[#This Row],[GroupByKey]])*OutputTable[RecordedValue]))</f>
        <v>53</v>
      </c>
      <c r="P125" s="5" cm="1">
        <f t="array" ref="P125">MAX(IF((OutputTable[GroupByKey]=OutputTable[[#This Row],[GroupByKey]]),(OutputTable[GroupByKey]=OutputTable[[#This Row],[GroupByKey]])*OutputTable[RecordedValue]))</f>
        <v>83</v>
      </c>
    </row>
    <row r="126" spans="1:16" x14ac:dyDescent="0.3">
      <c r="A126" t="s">
        <v>66</v>
      </c>
      <c r="B126" t="s">
        <v>68</v>
      </c>
      <c r="C126">
        <v>6</v>
      </c>
      <c r="D126" t="s">
        <v>119</v>
      </c>
      <c r="E126" t="s">
        <v>111</v>
      </c>
      <c r="F126" t="s">
        <v>95</v>
      </c>
      <c r="G126">
        <v>9.602364319336E-2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9.2629789222133899E-2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1.1199993404883948E-2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126" s="5" cm="1">
        <f t="array" ref="O126">MIN(IF((OutputTable[GroupByKey]=OutputTable[[#This Row],[GroupByKey]]),(OutputTable[GroupByKey]=OutputTable[[#This Row],[GroupByKey]])*OutputTable[RecordedValue]))</f>
        <v>7.4778736536586704E-2</v>
      </c>
      <c r="P126" s="5" cm="1">
        <f t="array" ref="P126">MAX(IF((OutputTable[GroupByKey]=OutputTable[[#This Row],[GroupByKey]]),(OutputTable[GroupByKey]=OutputTable[[#This Row],[GroupByKey]])*OutputTable[RecordedValue]))</f>
        <v>0.111025455742452</v>
      </c>
    </row>
    <row r="127" spans="1:16" x14ac:dyDescent="0.3">
      <c r="A127" t="s">
        <v>66</v>
      </c>
      <c r="B127" t="s">
        <v>68</v>
      </c>
      <c r="C127">
        <v>6</v>
      </c>
      <c r="D127" t="s">
        <v>120</v>
      </c>
      <c r="E127" t="s">
        <v>121</v>
      </c>
      <c r="F127" t="s">
        <v>122</v>
      </c>
      <c r="G127">
        <v>140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ProjectSystem.NumberOutNumber OutSystem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138.66666666666666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10.59386072484773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27" s="5" cm="1">
        <f t="array" ref="O127">MIN(IF((OutputTable[GroupByKey]=OutputTable[[#This Row],[GroupByKey]]),(OutputTable[GroupByKey]=OutputTable[[#This Row],[GroupByKey]])*OutputTable[RecordedValue]))</f>
        <v>122</v>
      </c>
      <c r="P127" s="5" cm="1">
        <f t="array" ref="P127">MAX(IF((OutputTable[GroupByKey]=OutputTable[[#This Row],[GroupByKey]]),(OutputTable[GroupByKey]=OutputTable[[#This Row],[GroupByKey]])*OutputTable[RecordedValue]))</f>
        <v>158</v>
      </c>
    </row>
    <row r="128" spans="1:16" x14ac:dyDescent="0.3">
      <c r="A128" t="s">
        <v>66</v>
      </c>
      <c r="B128" t="s">
        <v>68</v>
      </c>
      <c r="C128">
        <v>6</v>
      </c>
      <c r="D128" t="s">
        <v>123</v>
      </c>
      <c r="E128" t="s">
        <v>109</v>
      </c>
      <c r="F128" t="s">
        <v>95</v>
      </c>
      <c r="G128">
        <v>318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324.63333333333333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23.733409208195905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128" s="5" cm="1">
        <f t="array" ref="O128">MIN(IF((OutputTable[GroupByKey]=OutputTable[[#This Row],[GroupByKey]]),(OutputTable[GroupByKey]=OutputTable[[#This Row],[GroupByKey]])*OutputTable[RecordedValue]))</f>
        <v>276</v>
      </c>
      <c r="P128" s="5" cm="1">
        <f t="array" ref="P128">MAX(IF((OutputTable[GroupByKey]=OutputTable[[#This Row],[GroupByKey]]),(OutputTable[GroupByKey]=OutputTable[[#This Row],[GroupByKey]])*OutputTable[RecordedValue]))</f>
        <v>370</v>
      </c>
    </row>
    <row r="129" spans="1:16" x14ac:dyDescent="0.3">
      <c r="A129" t="s">
        <v>66</v>
      </c>
      <c r="B129" t="s">
        <v>68</v>
      </c>
      <c r="C129">
        <v>6</v>
      </c>
      <c r="D129" t="s">
        <v>124</v>
      </c>
      <c r="E129" t="s">
        <v>111</v>
      </c>
      <c r="F129" t="s">
        <v>95</v>
      </c>
      <c r="G129">
        <v>0.76619242988063996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0.78890367752589419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5.7743599319329868E-2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129" s="5" cm="1">
        <f t="array" ref="O129">MIN(IF((OutputTable[GroupByKey]=OutputTable[[#This Row],[GroupByKey]]),(OutputTable[GroupByKey]=OutputTable[[#This Row],[GroupByKey]])*OutputTable[RecordedValue]))</f>
        <v>0.68630817725209003</v>
      </c>
      <c r="P129" s="5" cm="1">
        <f t="array" ref="P129">MAX(IF((OutputTable[GroupByKey]=OutputTable[[#This Row],[GroupByKey]]),(OutputTable[GroupByKey]=OutputTable[[#This Row],[GroupByKey]])*OutputTable[RecordedValue]))</f>
        <v>0.89844569749382897</v>
      </c>
    </row>
    <row r="130" spans="1:16" x14ac:dyDescent="0.3">
      <c r="A130" t="s">
        <v>66</v>
      </c>
      <c r="B130" t="s">
        <v>68</v>
      </c>
      <c r="C130">
        <v>6</v>
      </c>
      <c r="D130" t="s">
        <v>125</v>
      </c>
      <c r="E130" t="s">
        <v>126</v>
      </c>
      <c r="F130" t="s">
        <v>86</v>
      </c>
      <c r="G130">
        <v>191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ProjectVisitantes.NumberInNumber InEntity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194.43333333333334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19.567184586538712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130" s="5" cm="1">
        <f t="array" ref="O130">MIN(IF((OutputTable[GroupByKey]=OutputTable[[#This Row],[GroupByKey]]),(OutputTable[GroupByKey]=OutputTable[[#This Row],[GroupByKey]])*OutputTable[RecordedValue]))</f>
        <v>158</v>
      </c>
      <c r="P130" s="5" cm="1">
        <f t="array" ref="P130">MAX(IF((OutputTable[GroupByKey]=OutputTable[[#This Row],[GroupByKey]]),(OutputTable[GroupByKey]=OutputTable[[#This Row],[GroupByKey]])*OutputTable[RecordedValue]))</f>
        <v>255</v>
      </c>
    </row>
    <row r="131" spans="1:16" x14ac:dyDescent="0.3">
      <c r="A131" t="s">
        <v>66</v>
      </c>
      <c r="B131" t="s">
        <v>68</v>
      </c>
      <c r="C131">
        <v>6</v>
      </c>
      <c r="D131" t="s">
        <v>127</v>
      </c>
      <c r="E131" t="s">
        <v>121</v>
      </c>
      <c r="F131" t="s">
        <v>86</v>
      </c>
      <c r="G131">
        <v>140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ProjectVisitantes.NumberOutNumber OutEntity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138.66666666666666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10.59386072484773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31" s="5" cm="1">
        <f t="array" ref="O131">MIN(IF((OutputTable[GroupByKey]=OutputTable[[#This Row],[GroupByKey]]),(OutputTable[GroupByKey]=OutputTable[[#This Row],[GroupByKey]])*OutputTable[RecordedValue]))</f>
        <v>122</v>
      </c>
      <c r="P131" s="5" cm="1">
        <f t="array" ref="P131">MAX(IF((OutputTable[GroupByKey]=OutputTable[[#This Row],[GroupByKey]]),(OutputTable[GroupByKey]=OutputTable[[#This Row],[GroupByKey]])*OutputTable[RecordedValue]))</f>
        <v>158</v>
      </c>
    </row>
    <row r="132" spans="1:16" x14ac:dyDescent="0.3">
      <c r="A132" t="s">
        <v>66</v>
      </c>
      <c r="B132" t="s">
        <v>68</v>
      </c>
      <c r="C132">
        <v>6</v>
      </c>
      <c r="D132" t="s">
        <v>128</v>
      </c>
      <c r="E132" t="s">
        <v>109</v>
      </c>
      <c r="F132" t="s">
        <v>95</v>
      </c>
      <c r="G132">
        <v>0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0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" s="5" cm="1">
        <f t="array" ref="O132">MIN(IF((OutputTable[GroupByKey]=OutputTable[[#This Row],[GroupByKey]]),(OutputTable[GroupByKey]=OutputTable[[#This Row],[GroupByKey]])*OutputTable[RecordedValue]))</f>
        <v>0</v>
      </c>
      <c r="P132" s="5" cm="1">
        <f t="array" ref="P132">MAX(IF((OutputTable[GroupByKey]=OutputTable[[#This Row],[GroupByKey]]),(OutputTable[GroupByKey]=OutputTable[[#This Row],[GroupByKey]])*OutputTable[RecordedValue]))</f>
        <v>0</v>
      </c>
    </row>
    <row r="133" spans="1:16" x14ac:dyDescent="0.3">
      <c r="A133" t="s">
        <v>66</v>
      </c>
      <c r="B133" t="s">
        <v>68</v>
      </c>
      <c r="C133">
        <v>6</v>
      </c>
      <c r="D133" t="s">
        <v>129</v>
      </c>
      <c r="E133" t="s">
        <v>111</v>
      </c>
      <c r="F133" t="s">
        <v>95</v>
      </c>
      <c r="G133">
        <v>0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0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0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" s="5" cm="1">
        <f t="array" ref="O133">MIN(IF((OutputTable[GroupByKey]=OutputTable[[#This Row],[GroupByKey]]),(OutputTable[GroupByKey]=OutputTable[[#This Row],[GroupByKey]])*OutputTable[RecordedValue]))</f>
        <v>0</v>
      </c>
      <c r="P133" s="5" cm="1">
        <f t="array" ref="P133">MAX(IF((OutputTable[GroupByKey]=OutputTable[[#This Row],[GroupByKey]]),(OutputTable[GroupByKey]=OutputTable[[#This Row],[GroupByKey]])*OutputTable[RecordedValue]))</f>
        <v>0</v>
      </c>
    </row>
    <row r="134" spans="1:16" x14ac:dyDescent="0.3">
      <c r="A134" t="s">
        <v>66</v>
      </c>
      <c r="B134" t="s">
        <v>68</v>
      </c>
      <c r="C134">
        <v>6</v>
      </c>
      <c r="D134" t="s">
        <v>130</v>
      </c>
      <c r="E134" t="s">
        <v>109</v>
      </c>
      <c r="F134" t="s">
        <v>95</v>
      </c>
      <c r="G134">
        <v>94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99.666666666666671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11.021400290698853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134" s="5" cm="1">
        <f t="array" ref="O134">MIN(IF((OutputTable[GroupByKey]=OutputTable[[#This Row],[GroupByKey]]),(OutputTable[GroupByKey]=OutputTable[[#This Row],[GroupByKey]])*OutputTable[RecordedValue]))</f>
        <v>84</v>
      </c>
      <c r="P134" s="5" cm="1">
        <f t="array" ref="P134">MAX(IF((OutputTable[GroupByKey]=OutputTable[[#This Row],[GroupByKey]]),(OutputTable[GroupByKey]=OutputTable[[#This Row],[GroupByKey]])*OutputTable[RecordedValue]))</f>
        <v>133</v>
      </c>
    </row>
    <row r="135" spans="1:16" x14ac:dyDescent="0.3">
      <c r="A135" t="s">
        <v>66</v>
      </c>
      <c r="B135" t="s">
        <v>68</v>
      </c>
      <c r="C135">
        <v>6</v>
      </c>
      <c r="D135" t="s">
        <v>131</v>
      </c>
      <c r="E135" t="s">
        <v>111</v>
      </c>
      <c r="F135" t="s">
        <v>95</v>
      </c>
      <c r="G135">
        <v>0.73885214121423304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0.81099663999028448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0.1069626954834289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135" s="5" cm="1">
        <f t="array" ref="O135">MIN(IF((OutputTable[GroupByKey]=OutputTable[[#This Row],[GroupByKey]]),(OutputTable[GroupByKey]=OutputTable[[#This Row],[GroupByKey]])*OutputTable[RecordedValue]))</f>
        <v>0.634589476164233</v>
      </c>
      <c r="P135" s="5" cm="1">
        <f t="array" ref="P135">MAX(IF((OutputTable[GroupByKey]=OutputTable[[#This Row],[GroupByKey]]),(OutputTable[GroupByKey]=OutputTable[[#This Row],[GroupByKey]])*OutputTable[RecordedValue]))</f>
        <v>0.99383259650362799</v>
      </c>
    </row>
    <row r="136" spans="1:16" x14ac:dyDescent="0.3">
      <c r="A136" t="s">
        <v>66</v>
      </c>
      <c r="B136" t="s">
        <v>68</v>
      </c>
      <c r="C136">
        <v>6</v>
      </c>
      <c r="D136" t="s">
        <v>132</v>
      </c>
      <c r="E136" t="s">
        <v>109</v>
      </c>
      <c r="F136" t="s">
        <v>95</v>
      </c>
      <c r="G136">
        <v>53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51.966666666666669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7.0636677653220881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136" s="5" cm="1">
        <f t="array" ref="O136">MIN(IF((OutputTable[GroupByKey]=OutputTable[[#This Row],[GroupByKey]]),(OutputTable[GroupByKey]=OutputTable[[#This Row],[GroupByKey]])*OutputTable[RecordedValue]))</f>
        <v>40</v>
      </c>
      <c r="P136" s="5" cm="1">
        <f t="array" ref="P136">MAX(IF((OutputTable[GroupByKey]=OutputTable[[#This Row],[GroupByKey]]),(OutputTable[GroupByKey]=OutputTable[[#This Row],[GroupByKey]])*OutputTable[RecordedValue]))</f>
        <v>70</v>
      </c>
    </row>
    <row r="137" spans="1:16" x14ac:dyDescent="0.3">
      <c r="A137" t="s">
        <v>66</v>
      </c>
      <c r="B137" t="s">
        <v>68</v>
      </c>
      <c r="C137">
        <v>6</v>
      </c>
      <c r="D137" t="s">
        <v>133</v>
      </c>
      <c r="E137" t="s">
        <v>111</v>
      </c>
      <c r="F137" t="s">
        <v>95</v>
      </c>
      <c r="G137">
        <v>0.78122037467546601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0.86404173385398308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7.7429091138254261E-2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137" s="5" cm="1">
        <f t="array" ref="O137">MIN(IF((OutputTable[GroupByKey]=OutputTable[[#This Row],[GroupByKey]]),(OutputTable[GroupByKey]=OutputTable[[#This Row],[GroupByKey]])*OutputTable[RecordedValue]))</f>
        <v>0.74061105631083801</v>
      </c>
      <c r="P137" s="5" cm="1">
        <f t="array" ref="P137">MAX(IF((OutputTable[GroupByKey]=OutputTable[[#This Row],[GroupByKey]]),(OutputTable[GroupByKey]=OutputTable[[#This Row],[GroupByKey]])*OutputTable[RecordedValue]))</f>
        <v>0.99245161744166299</v>
      </c>
    </row>
    <row r="138" spans="1:16" x14ac:dyDescent="0.3">
      <c r="A138" t="s">
        <v>66</v>
      </c>
      <c r="B138" t="s">
        <v>68</v>
      </c>
      <c r="C138">
        <v>6</v>
      </c>
      <c r="D138" t="s">
        <v>134</v>
      </c>
      <c r="E138" t="s">
        <v>109</v>
      </c>
      <c r="F138" t="s">
        <v>95</v>
      </c>
      <c r="G138">
        <v>33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36.233333333333334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4.775536318198915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138" s="5" cm="1">
        <f t="array" ref="O138">MIN(IF((OutputTable[GroupByKey]=OutputTable[[#This Row],[GroupByKey]]),(OutputTable[GroupByKey]=OutputTable[[#This Row],[GroupByKey]])*OutputTable[RecordedValue]))</f>
        <v>28</v>
      </c>
      <c r="P138" s="5" cm="1">
        <f t="array" ref="P138">MAX(IF((OutputTable[GroupByKey]=OutputTable[[#This Row],[GroupByKey]]),(OutputTable[GroupByKey]=OutputTable[[#This Row],[GroupByKey]])*OutputTable[RecordedValue]))</f>
        <v>48</v>
      </c>
    </row>
    <row r="139" spans="1:16" x14ac:dyDescent="0.3">
      <c r="A139" t="s">
        <v>66</v>
      </c>
      <c r="B139" t="s">
        <v>68</v>
      </c>
      <c r="C139">
        <v>6</v>
      </c>
      <c r="D139" t="s">
        <v>135</v>
      </c>
      <c r="E139" t="s">
        <v>111</v>
      </c>
      <c r="F139" t="s">
        <v>95</v>
      </c>
      <c r="G139">
        <v>0.89951220908042195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0.88098039877461687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6.9783648638161486E-2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139" s="5" cm="1">
        <f t="array" ref="O139">MIN(IF((OutputTable[GroupByKey]=OutputTable[[#This Row],[GroupByKey]]),(OutputTable[GroupByKey]=OutputTable[[#This Row],[GroupByKey]])*OutputTable[RecordedValue]))</f>
        <v>0.73843386001690303</v>
      </c>
      <c r="P139" s="5" cm="1">
        <f t="array" ref="P139">MAX(IF((OutputTable[GroupByKey]=OutputTable[[#This Row],[GroupByKey]]),(OutputTable[GroupByKey]=OutputTable[[#This Row],[GroupByKey]])*OutputTable[RecordedValue]))</f>
        <v>0.99245161744166299</v>
      </c>
    </row>
    <row r="140" spans="1:16" x14ac:dyDescent="0.3">
      <c r="A140" t="s">
        <v>66</v>
      </c>
      <c r="B140" t="s">
        <v>68</v>
      </c>
      <c r="C140">
        <v>7</v>
      </c>
      <c r="D140" t="s">
        <v>108</v>
      </c>
      <c r="E140" t="s">
        <v>109</v>
      </c>
      <c r="F140" t="s">
        <v>95</v>
      </c>
      <c r="G140">
        <v>42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34.633333333333333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6.3326375903390151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140" s="5" cm="1">
        <f t="array" ref="O140">MIN(IF((OutputTable[GroupByKey]=OutputTable[[#This Row],[GroupByKey]]),(OutputTable[GroupByKey]=OutputTable[[#This Row],[GroupByKey]])*OutputTable[RecordedValue]))</f>
        <v>24</v>
      </c>
      <c r="P140" s="5" cm="1">
        <f t="array" ref="P140">MAX(IF((OutputTable[GroupByKey]=OutputTable[[#This Row],[GroupByKey]]),(OutputTable[GroupByKey]=OutputTable[[#This Row],[GroupByKey]])*OutputTable[RecordedValue]))</f>
        <v>47</v>
      </c>
    </row>
    <row r="141" spans="1:16" x14ac:dyDescent="0.3">
      <c r="A141" t="s">
        <v>66</v>
      </c>
      <c r="B141" t="s">
        <v>68</v>
      </c>
      <c r="C141">
        <v>7</v>
      </c>
      <c r="D141" t="s">
        <v>110</v>
      </c>
      <c r="E141" t="s">
        <v>111</v>
      </c>
      <c r="F141" t="s">
        <v>95</v>
      </c>
      <c r="G141">
        <v>4.2390596261205601E-2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3.5359789427834361E-2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6.6521615975834569E-3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141" s="5" cm="1">
        <f t="array" ref="O141">MIN(IF((OutputTable[GroupByKey]=OutputTable[[#This Row],[GroupByKey]]),(OutputTable[GroupByKey]=OutputTable[[#This Row],[GroupByKey]])*OutputTable[RecordedValue]))</f>
        <v>2.3718114155243601E-2</v>
      </c>
      <c r="P141" s="5" cm="1">
        <f t="array" ref="P141">MAX(IF((OutputTable[GroupByKey]=OutputTable[[#This Row],[GroupByKey]]),(OutputTable[GroupByKey]=OutputTable[[#This Row],[GroupByKey]])*OutputTable[RecordedValue]))</f>
        <v>4.8583931724403701E-2</v>
      </c>
    </row>
    <row r="142" spans="1:16" x14ac:dyDescent="0.3">
      <c r="A142" t="s">
        <v>66</v>
      </c>
      <c r="B142" t="s">
        <v>68</v>
      </c>
      <c r="C142">
        <v>7</v>
      </c>
      <c r="D142" t="s">
        <v>112</v>
      </c>
      <c r="E142" t="s">
        <v>109</v>
      </c>
      <c r="F142" t="s">
        <v>95</v>
      </c>
      <c r="G142">
        <v>104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105.13333333333334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9.9020490158675578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142" s="5" cm="1">
        <f t="array" ref="O142">MIN(IF((OutputTable[GroupByKey]=OutputTable[[#This Row],[GroupByKey]]),(OutputTable[GroupByKey]=OutputTable[[#This Row],[GroupByKey]])*OutputTable[RecordedValue]))</f>
        <v>90</v>
      </c>
      <c r="P142" s="5" cm="1">
        <f t="array" ref="P142">MAX(IF((OutputTable[GroupByKey]=OutputTable[[#This Row],[GroupByKey]]),(OutputTable[GroupByKey]=OutputTable[[#This Row],[GroupByKey]])*OutputTable[RecordedValue]))</f>
        <v>120</v>
      </c>
    </row>
    <row r="143" spans="1:16" x14ac:dyDescent="0.3">
      <c r="A143" t="s">
        <v>66</v>
      </c>
      <c r="B143" t="s">
        <v>68</v>
      </c>
      <c r="C143">
        <v>7</v>
      </c>
      <c r="D143" t="s">
        <v>113</v>
      </c>
      <c r="E143" t="s">
        <v>111</v>
      </c>
      <c r="F143" t="s">
        <v>95</v>
      </c>
      <c r="G143">
        <v>0.245853772157101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0.24658598119222253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2.3372241503878202E-2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143" s="5" cm="1">
        <f t="array" ref="O143">MIN(IF((OutputTable[GroupByKey]=OutputTable[[#This Row],[GroupByKey]]),(OutputTable[GroupByKey]=OutputTable[[#This Row],[GroupByKey]])*OutputTable[RecordedValue]))</f>
        <v>0.20767736113278101</v>
      </c>
      <c r="P143" s="5" cm="1">
        <f t="array" ref="P143">MAX(IF((OutputTable[GroupByKey]=OutputTable[[#This Row],[GroupByKey]]),(OutputTable[GroupByKey]=OutputTable[[#This Row],[GroupByKey]])*OutputTable[RecordedValue]))</f>
        <v>0.28501162927715601</v>
      </c>
    </row>
    <row r="144" spans="1:16" x14ac:dyDescent="0.3">
      <c r="A144" t="s">
        <v>66</v>
      </c>
      <c r="B144" t="s">
        <v>68</v>
      </c>
      <c r="C144">
        <v>7</v>
      </c>
      <c r="D144" t="s">
        <v>114</v>
      </c>
      <c r="E144" t="s">
        <v>109</v>
      </c>
      <c r="F144" t="s">
        <v>95</v>
      </c>
      <c r="G144">
        <v>130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130.19999999999999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9.6932255049418501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144" s="5" cm="1">
        <f t="array" ref="O144">MIN(IF((OutputTable[GroupByKey]=OutputTable[[#This Row],[GroupByKey]]),(OutputTable[GroupByKey]=OutputTable[[#This Row],[GroupByKey]])*OutputTable[RecordedValue]))</f>
        <v>112</v>
      </c>
      <c r="P144" s="5" cm="1">
        <f t="array" ref="P144">MAX(IF((OutputTable[GroupByKey]=OutputTable[[#This Row],[GroupByKey]]),(OutputTable[GroupByKey]=OutputTable[[#This Row],[GroupByKey]])*OutputTable[RecordedValue]))</f>
        <v>150</v>
      </c>
    </row>
    <row r="145" spans="1:16" x14ac:dyDescent="0.3">
      <c r="A145" t="s">
        <v>66</v>
      </c>
      <c r="B145" t="s">
        <v>68</v>
      </c>
      <c r="C145">
        <v>7</v>
      </c>
      <c r="D145" t="s">
        <v>115</v>
      </c>
      <c r="E145" t="s">
        <v>111</v>
      </c>
      <c r="F145" t="s">
        <v>95</v>
      </c>
      <c r="G145">
        <v>0.64834188804173898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0.61071636647106653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4.8363406640152928E-2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145" s="5" cm="1">
        <f t="array" ref="O145">MIN(IF((OutputTable[GroupByKey]=OutputTable[[#This Row],[GroupByKey]]),(OutputTable[GroupByKey]=OutputTable[[#This Row],[GroupByKey]])*OutputTable[RecordedValue]))</f>
        <v>0.517215348442703</v>
      </c>
      <c r="P145" s="5" cm="1">
        <f t="array" ref="P145">MAX(IF((OutputTable[GroupByKey]=OutputTable[[#This Row],[GroupByKey]]),(OutputTable[GroupByKey]=OutputTable[[#This Row],[GroupByKey]])*OutputTable[RecordedValue]))</f>
        <v>0.67770389283754395</v>
      </c>
    </row>
    <row r="146" spans="1:16" x14ac:dyDescent="0.3">
      <c r="A146" t="s">
        <v>66</v>
      </c>
      <c r="B146" t="s">
        <v>68</v>
      </c>
      <c r="C146">
        <v>7</v>
      </c>
      <c r="D146" t="s">
        <v>116</v>
      </c>
      <c r="E146" t="s">
        <v>109</v>
      </c>
      <c r="F146" t="s">
        <v>95</v>
      </c>
      <c r="G146">
        <v>372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366.5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27.998460548813185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146" s="5" cm="1">
        <f t="array" ref="O146">MIN(IF((OutputTable[GroupByKey]=OutputTable[[#This Row],[GroupByKey]]),(OutputTable[GroupByKey]=OutputTable[[#This Row],[GroupByKey]])*OutputTable[RecordedValue]))</f>
        <v>308</v>
      </c>
      <c r="P146" s="5" cm="1">
        <f t="array" ref="P146">MAX(IF((OutputTable[GroupByKey]=OutputTable[[#This Row],[GroupByKey]]),(OutputTable[GroupByKey]=OutputTable[[#This Row],[GroupByKey]])*OutputTable[RecordedValue]))</f>
        <v>415</v>
      </c>
    </row>
    <row r="147" spans="1:16" x14ac:dyDescent="0.3">
      <c r="A147" t="s">
        <v>66</v>
      </c>
      <c r="B147" t="s">
        <v>68</v>
      </c>
      <c r="C147">
        <v>7</v>
      </c>
      <c r="D147" t="s">
        <v>117</v>
      </c>
      <c r="E147" t="s">
        <v>111</v>
      </c>
      <c r="F147" t="s">
        <v>95</v>
      </c>
      <c r="G147">
        <v>0.170962037766936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0.17017204824235124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1.331368412630852E-2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147" s="5" cm="1">
        <f t="array" ref="O147">MIN(IF((OutputTable[GroupByKey]=OutputTable[[#This Row],[GroupByKey]]),(OutputTable[GroupByKey]=OutputTable[[#This Row],[GroupByKey]])*OutputTable[RecordedValue]))</f>
        <v>0.14484829778125299</v>
      </c>
      <c r="P147" s="5" cm="1">
        <f t="array" ref="P147">MAX(IF((OutputTable[GroupByKey]=OutputTable[[#This Row],[GroupByKey]]),(OutputTable[GroupByKey]=OutputTable[[#This Row],[GroupByKey]])*OutputTable[RecordedValue]))</f>
        <v>0.19609322315655101</v>
      </c>
    </row>
    <row r="148" spans="1:16" x14ac:dyDescent="0.3">
      <c r="A148" t="s">
        <v>66</v>
      </c>
      <c r="B148" t="s">
        <v>68</v>
      </c>
      <c r="C148">
        <v>7</v>
      </c>
      <c r="D148" t="s">
        <v>118</v>
      </c>
      <c r="E148" t="s">
        <v>109</v>
      </c>
      <c r="F148" t="s">
        <v>95</v>
      </c>
      <c r="G148">
        <v>72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67.599999999999994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8.2277914244430335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148" s="5" cm="1">
        <f t="array" ref="O148">MIN(IF((OutputTable[GroupByKey]=OutputTable[[#This Row],[GroupByKey]]),(OutputTable[GroupByKey]=OutputTable[[#This Row],[GroupByKey]])*OutputTable[RecordedValue]))</f>
        <v>53</v>
      </c>
      <c r="P148" s="5" cm="1">
        <f t="array" ref="P148">MAX(IF((OutputTable[GroupByKey]=OutputTable[[#This Row],[GroupByKey]]),(OutputTable[GroupByKey]=OutputTable[[#This Row],[GroupByKey]])*OutputTable[RecordedValue]))</f>
        <v>83</v>
      </c>
    </row>
    <row r="149" spans="1:16" x14ac:dyDescent="0.3">
      <c r="A149" t="s">
        <v>66</v>
      </c>
      <c r="B149" t="s">
        <v>68</v>
      </c>
      <c r="C149">
        <v>7</v>
      </c>
      <c r="D149" t="s">
        <v>119</v>
      </c>
      <c r="E149" t="s">
        <v>111</v>
      </c>
      <c r="F149" t="s">
        <v>95</v>
      </c>
      <c r="G149">
        <v>9.8781048970964902E-2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9.2629789222133899E-2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1.1199993404883948E-2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149" s="5" cm="1">
        <f t="array" ref="O149">MIN(IF((OutputTable[GroupByKey]=OutputTable[[#This Row],[GroupByKey]]),(OutputTable[GroupByKey]=OutputTable[[#This Row],[GroupByKey]])*OutputTable[RecordedValue]))</f>
        <v>7.4778736536586704E-2</v>
      </c>
      <c r="P149" s="5" cm="1">
        <f t="array" ref="P149">MAX(IF((OutputTable[GroupByKey]=OutputTable[[#This Row],[GroupByKey]]),(OutputTable[GroupByKey]=OutputTable[[#This Row],[GroupByKey]])*OutputTable[RecordedValue]))</f>
        <v>0.111025455742452</v>
      </c>
    </row>
    <row r="150" spans="1:16" x14ac:dyDescent="0.3">
      <c r="A150" t="s">
        <v>66</v>
      </c>
      <c r="B150" t="s">
        <v>68</v>
      </c>
      <c r="C150">
        <v>7</v>
      </c>
      <c r="D150" t="s">
        <v>120</v>
      </c>
      <c r="E150" t="s">
        <v>121</v>
      </c>
      <c r="F150" t="s">
        <v>122</v>
      </c>
      <c r="G150">
        <v>136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ProjectSystem.NumberOutNumber OutSystem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138.66666666666666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10.59386072484773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50" s="5" cm="1">
        <f t="array" ref="O150">MIN(IF((OutputTable[GroupByKey]=OutputTable[[#This Row],[GroupByKey]]),(OutputTable[GroupByKey]=OutputTable[[#This Row],[GroupByKey]])*OutputTable[RecordedValue]))</f>
        <v>122</v>
      </c>
      <c r="P150" s="5" cm="1">
        <f t="array" ref="P150">MAX(IF((OutputTable[GroupByKey]=OutputTable[[#This Row],[GroupByKey]]),(OutputTable[GroupByKey]=OutputTable[[#This Row],[GroupByKey]])*OutputTable[RecordedValue]))</f>
        <v>158</v>
      </c>
    </row>
    <row r="151" spans="1:16" x14ac:dyDescent="0.3">
      <c r="A151" t="s">
        <v>66</v>
      </c>
      <c r="B151" t="s">
        <v>68</v>
      </c>
      <c r="C151">
        <v>7</v>
      </c>
      <c r="D151" t="s">
        <v>123</v>
      </c>
      <c r="E151" t="s">
        <v>109</v>
      </c>
      <c r="F151" t="s">
        <v>95</v>
      </c>
      <c r="G151">
        <v>327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324.63333333333333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23.733409208195905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151" s="5" cm="1">
        <f t="array" ref="O151">MIN(IF((OutputTable[GroupByKey]=OutputTable[[#This Row],[GroupByKey]]),(OutputTable[GroupByKey]=OutputTable[[#This Row],[GroupByKey]])*OutputTable[RecordedValue]))</f>
        <v>276</v>
      </c>
      <c r="P151" s="5" cm="1">
        <f t="array" ref="P151">MAX(IF((OutputTable[GroupByKey]=OutputTable[[#This Row],[GroupByKey]]),(OutputTable[GroupByKey]=OutputTable[[#This Row],[GroupByKey]])*OutputTable[RecordedValue]))</f>
        <v>370</v>
      </c>
    </row>
    <row r="152" spans="1:16" x14ac:dyDescent="0.3">
      <c r="A152" t="s">
        <v>66</v>
      </c>
      <c r="B152" t="s">
        <v>68</v>
      </c>
      <c r="C152">
        <v>7</v>
      </c>
      <c r="D152" t="s">
        <v>124</v>
      </c>
      <c r="E152" t="s">
        <v>111</v>
      </c>
      <c r="F152" t="s">
        <v>95</v>
      </c>
      <c r="G152">
        <v>0.79512129590583103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30</v>
      </c>
      <c r="K152" s="5" cm="1">
        <f t="array" ref="K152">IFERROR(AVERAGE(IF((OutputTable[GroupByKey]=OutputTable[[#This Row],[GroupByKey]]),(OutputTable[GroupByKey]=OutputTable[[#This Row],[GroupByKey]])*OutputTable[RecordedValue])),0)</f>
        <v>0.78890367752589419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5.7743599319329868E-2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152" s="5" cm="1">
        <f t="array" ref="O152">MIN(IF((OutputTable[GroupByKey]=OutputTable[[#This Row],[GroupByKey]]),(OutputTable[GroupByKey]=OutputTable[[#This Row],[GroupByKey]])*OutputTable[RecordedValue]))</f>
        <v>0.68630817725209003</v>
      </c>
      <c r="P152" s="5" cm="1">
        <f t="array" ref="P152">MAX(IF((OutputTable[GroupByKey]=OutputTable[[#This Row],[GroupByKey]]),(OutputTable[GroupByKey]=OutputTable[[#This Row],[GroupByKey]])*OutputTable[RecordedValue]))</f>
        <v>0.89844569749382897</v>
      </c>
    </row>
    <row r="153" spans="1:16" x14ac:dyDescent="0.3">
      <c r="A153" t="s">
        <v>66</v>
      </c>
      <c r="B153" t="s">
        <v>68</v>
      </c>
      <c r="C153">
        <v>7</v>
      </c>
      <c r="D153" t="s">
        <v>125</v>
      </c>
      <c r="E153" t="s">
        <v>126</v>
      </c>
      <c r="F153" t="s">
        <v>86</v>
      </c>
      <c r="G153">
        <v>191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ProjectVisitantes.NumberInNumber InEntity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30</v>
      </c>
      <c r="K153" s="5" cm="1">
        <f t="array" ref="K153">IFERROR(AVERAGE(IF((OutputTable[GroupByKey]=OutputTable[[#This Row],[GroupByKey]]),(OutputTable[GroupByKey]=OutputTable[[#This Row],[GroupByKey]])*OutputTable[RecordedValue])),0)</f>
        <v>194.43333333333334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19.567184586538712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153" s="5" cm="1">
        <f t="array" ref="O153">MIN(IF((OutputTable[GroupByKey]=OutputTable[[#This Row],[GroupByKey]]),(OutputTable[GroupByKey]=OutputTable[[#This Row],[GroupByKey]])*OutputTable[RecordedValue]))</f>
        <v>158</v>
      </c>
      <c r="P153" s="5" cm="1">
        <f t="array" ref="P153">MAX(IF((OutputTable[GroupByKey]=OutputTable[[#This Row],[GroupByKey]]),(OutputTable[GroupByKey]=OutputTable[[#This Row],[GroupByKey]])*OutputTable[RecordedValue]))</f>
        <v>255</v>
      </c>
    </row>
    <row r="154" spans="1:16" x14ac:dyDescent="0.3">
      <c r="A154" t="s">
        <v>66</v>
      </c>
      <c r="B154" t="s">
        <v>68</v>
      </c>
      <c r="C154">
        <v>7</v>
      </c>
      <c r="D154" t="s">
        <v>127</v>
      </c>
      <c r="E154" t="s">
        <v>121</v>
      </c>
      <c r="F154" t="s">
        <v>86</v>
      </c>
      <c r="G154">
        <v>136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ProjectVisitantes.NumberOutNumber OutEntity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30</v>
      </c>
      <c r="K154" s="5" cm="1">
        <f t="array" ref="K154">IFERROR(AVERAGE(IF((OutputTable[GroupByKey]=OutputTable[[#This Row],[GroupByKey]]),(OutputTable[GroupByKey]=OutputTable[[#This Row],[GroupByKey]])*OutputTable[RecordedValue])),0)</f>
        <v>138.66666666666666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10.59386072484773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54" s="5" cm="1">
        <f t="array" ref="O154">MIN(IF((OutputTable[GroupByKey]=OutputTable[[#This Row],[GroupByKey]]),(OutputTable[GroupByKey]=OutputTable[[#This Row],[GroupByKey]])*OutputTable[RecordedValue]))</f>
        <v>122</v>
      </c>
      <c r="P154" s="5" cm="1">
        <f t="array" ref="P154">MAX(IF((OutputTable[GroupByKey]=OutputTable[[#This Row],[GroupByKey]]),(OutputTable[GroupByKey]=OutputTable[[#This Row],[GroupByKey]])*OutputTable[RecordedValue]))</f>
        <v>158</v>
      </c>
    </row>
    <row r="155" spans="1:16" x14ac:dyDescent="0.3">
      <c r="A155" t="s">
        <v>66</v>
      </c>
      <c r="B155" t="s">
        <v>68</v>
      </c>
      <c r="C155">
        <v>7</v>
      </c>
      <c r="D155" t="s">
        <v>128</v>
      </c>
      <c r="E155" t="s">
        <v>109</v>
      </c>
      <c r="F155" t="s">
        <v>95</v>
      </c>
      <c r="G155">
        <v>0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30</v>
      </c>
      <c r="K155" s="5" cm="1">
        <f t="array" ref="K155">IFERROR(AVERAGE(IF((OutputTable[GroupByKey]=OutputTable[[#This Row],[GroupByKey]]),(OutputTable[GroupByKey]=OutputTable[[#This Row],[GroupByKey]])*OutputTable[RecordedValue])),0)</f>
        <v>0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0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" s="5" cm="1">
        <f t="array" ref="O155">MIN(IF((OutputTable[GroupByKey]=OutputTable[[#This Row],[GroupByKey]]),(OutputTable[GroupByKey]=OutputTable[[#This Row],[GroupByKey]])*OutputTable[RecordedValue]))</f>
        <v>0</v>
      </c>
      <c r="P155" s="5" cm="1">
        <f t="array" ref="P155">MAX(IF((OutputTable[GroupByKey]=OutputTable[[#This Row],[GroupByKey]]),(OutputTable[GroupByKey]=OutputTable[[#This Row],[GroupByKey]])*OutputTable[RecordedValue]))</f>
        <v>0</v>
      </c>
    </row>
    <row r="156" spans="1:16" x14ac:dyDescent="0.3">
      <c r="A156" t="s">
        <v>66</v>
      </c>
      <c r="B156" t="s">
        <v>68</v>
      </c>
      <c r="C156">
        <v>7</v>
      </c>
      <c r="D156" t="s">
        <v>129</v>
      </c>
      <c r="E156" t="s">
        <v>111</v>
      </c>
      <c r="F156" t="s">
        <v>95</v>
      </c>
      <c r="G156">
        <v>0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30</v>
      </c>
      <c r="K156" s="5" cm="1">
        <f t="array" ref="K156">IFERROR(AVERAGE(IF((OutputTable[GroupByKey]=OutputTable[[#This Row],[GroupByKey]]),(OutputTable[GroupByKey]=OutputTable[[#This Row],[GroupByKey]])*OutputTable[RecordedValue])),0)</f>
        <v>0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0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" s="5" cm="1">
        <f t="array" ref="O156">MIN(IF((OutputTable[GroupByKey]=OutputTable[[#This Row],[GroupByKey]]),(OutputTable[GroupByKey]=OutputTable[[#This Row],[GroupByKey]])*OutputTable[RecordedValue]))</f>
        <v>0</v>
      </c>
      <c r="P156" s="5" cm="1">
        <f t="array" ref="P156">MAX(IF((OutputTable[GroupByKey]=OutputTable[[#This Row],[GroupByKey]]),(OutputTable[GroupByKey]=OutputTable[[#This Row],[GroupByKey]])*OutputTable[RecordedValue]))</f>
        <v>0</v>
      </c>
    </row>
    <row r="157" spans="1:16" x14ac:dyDescent="0.3">
      <c r="A157" t="s">
        <v>66</v>
      </c>
      <c r="B157" t="s">
        <v>68</v>
      </c>
      <c r="C157">
        <v>7</v>
      </c>
      <c r="D157" t="s">
        <v>130</v>
      </c>
      <c r="E157" t="s">
        <v>109</v>
      </c>
      <c r="F157" t="s">
        <v>95</v>
      </c>
      <c r="G157">
        <v>99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30</v>
      </c>
      <c r="K157" s="5" cm="1">
        <f t="array" ref="K157">IFERROR(AVERAGE(IF((OutputTable[GroupByKey]=OutputTable[[#This Row],[GroupByKey]]),(OutputTable[GroupByKey]=OutputTable[[#This Row],[GroupByKey]])*OutputTable[RecordedValue])),0)</f>
        <v>99.666666666666671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11.021400290698853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157" s="5" cm="1">
        <f t="array" ref="O157">MIN(IF((OutputTable[GroupByKey]=OutputTable[[#This Row],[GroupByKey]]),(OutputTable[GroupByKey]=OutputTable[[#This Row],[GroupByKey]])*OutputTable[RecordedValue]))</f>
        <v>84</v>
      </c>
      <c r="P157" s="5" cm="1">
        <f t="array" ref="P157">MAX(IF((OutputTable[GroupByKey]=OutputTable[[#This Row],[GroupByKey]]),(OutputTable[GroupByKey]=OutputTable[[#This Row],[GroupByKey]])*OutputTable[RecordedValue]))</f>
        <v>133</v>
      </c>
    </row>
    <row r="158" spans="1:16" x14ac:dyDescent="0.3">
      <c r="A158" t="s">
        <v>66</v>
      </c>
      <c r="B158" t="s">
        <v>68</v>
      </c>
      <c r="C158">
        <v>7</v>
      </c>
      <c r="D158" t="s">
        <v>131</v>
      </c>
      <c r="E158" t="s">
        <v>111</v>
      </c>
      <c r="F158" t="s">
        <v>95</v>
      </c>
      <c r="G158">
        <v>0.87558796078330503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30</v>
      </c>
      <c r="K158" s="5" cm="1">
        <f t="array" ref="K158">IFERROR(AVERAGE(IF((OutputTable[GroupByKey]=OutputTable[[#This Row],[GroupByKey]]),(OutputTable[GroupByKey]=OutputTable[[#This Row],[GroupByKey]])*OutputTable[RecordedValue])),0)</f>
        <v>0.81099663999028448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0.1069626954834289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158" s="5" cm="1">
        <f t="array" ref="O158">MIN(IF((OutputTable[GroupByKey]=OutputTable[[#This Row],[GroupByKey]]),(OutputTable[GroupByKey]=OutputTable[[#This Row],[GroupByKey]])*OutputTable[RecordedValue]))</f>
        <v>0.634589476164233</v>
      </c>
      <c r="P158" s="5" cm="1">
        <f t="array" ref="P158">MAX(IF((OutputTable[GroupByKey]=OutputTable[[#This Row],[GroupByKey]]),(OutputTable[GroupByKey]=OutputTable[[#This Row],[GroupByKey]])*OutputTable[RecordedValue]))</f>
        <v>0.99383259650362799</v>
      </c>
    </row>
    <row r="159" spans="1:16" x14ac:dyDescent="0.3">
      <c r="A159" t="s">
        <v>66</v>
      </c>
      <c r="B159" t="s">
        <v>68</v>
      </c>
      <c r="C159">
        <v>7</v>
      </c>
      <c r="D159" t="s">
        <v>132</v>
      </c>
      <c r="E159" t="s">
        <v>109</v>
      </c>
      <c r="F159" t="s">
        <v>95</v>
      </c>
      <c r="G159">
        <v>53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30</v>
      </c>
      <c r="K159" s="5" cm="1">
        <f t="array" ref="K159">IFERROR(AVERAGE(IF((OutputTable[GroupByKey]=OutputTable[[#This Row],[GroupByKey]]),(OutputTable[GroupByKey]=OutputTable[[#This Row],[GroupByKey]])*OutputTable[RecordedValue])),0)</f>
        <v>51.966666666666669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7.0636677653220881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159" s="5" cm="1">
        <f t="array" ref="O159">MIN(IF((OutputTable[GroupByKey]=OutputTable[[#This Row],[GroupByKey]]),(OutputTable[GroupByKey]=OutputTable[[#This Row],[GroupByKey]])*OutputTable[RecordedValue]))</f>
        <v>40</v>
      </c>
      <c r="P159" s="5" cm="1">
        <f t="array" ref="P159">MAX(IF((OutputTable[GroupByKey]=OutputTable[[#This Row],[GroupByKey]]),(OutputTable[GroupByKey]=OutputTable[[#This Row],[GroupByKey]])*OutputTable[RecordedValue]))</f>
        <v>70</v>
      </c>
    </row>
    <row r="160" spans="1:16" x14ac:dyDescent="0.3">
      <c r="A160" t="s">
        <v>66</v>
      </c>
      <c r="B160" t="s">
        <v>68</v>
      </c>
      <c r="C160">
        <v>7</v>
      </c>
      <c r="D160" t="s">
        <v>133</v>
      </c>
      <c r="E160" t="s">
        <v>111</v>
      </c>
      <c r="F160" t="s">
        <v>95</v>
      </c>
      <c r="G160">
        <v>0.81925656722940299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30</v>
      </c>
      <c r="K160" s="5" cm="1">
        <f t="array" ref="K160">IFERROR(AVERAGE(IF((OutputTable[GroupByKey]=OutputTable[[#This Row],[GroupByKey]]),(OutputTable[GroupByKey]=OutputTable[[#This Row],[GroupByKey]])*OutputTable[RecordedValue])),0)</f>
        <v>0.86404173385398308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7.7429091138254261E-2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160" s="5" cm="1">
        <f t="array" ref="O160">MIN(IF((OutputTable[GroupByKey]=OutputTable[[#This Row],[GroupByKey]]),(OutputTable[GroupByKey]=OutputTable[[#This Row],[GroupByKey]])*OutputTable[RecordedValue]))</f>
        <v>0.74061105631083801</v>
      </c>
      <c r="P160" s="5" cm="1">
        <f t="array" ref="P160">MAX(IF((OutputTable[GroupByKey]=OutputTable[[#This Row],[GroupByKey]]),(OutputTable[GroupByKey]=OutputTable[[#This Row],[GroupByKey]])*OutputTable[RecordedValue]))</f>
        <v>0.99245161744166299</v>
      </c>
    </row>
    <row r="161" spans="1:16" x14ac:dyDescent="0.3">
      <c r="A161" t="s">
        <v>66</v>
      </c>
      <c r="B161" t="s">
        <v>68</v>
      </c>
      <c r="C161">
        <v>7</v>
      </c>
      <c r="D161" t="s">
        <v>134</v>
      </c>
      <c r="E161" t="s">
        <v>109</v>
      </c>
      <c r="F161" t="s">
        <v>95</v>
      </c>
      <c r="G161">
        <v>39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30</v>
      </c>
      <c r="K161" s="5" cm="1">
        <f t="array" ref="K161">IFERROR(AVERAGE(IF((OutputTable[GroupByKey]=OutputTable[[#This Row],[GroupByKey]]),(OutputTable[GroupByKey]=OutputTable[[#This Row],[GroupByKey]])*OutputTable[RecordedValue])),0)</f>
        <v>36.233333333333334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4.775536318198915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161" s="5" cm="1">
        <f t="array" ref="O161">MIN(IF((OutputTable[GroupByKey]=OutputTable[[#This Row],[GroupByKey]]),(OutputTable[GroupByKey]=OutputTable[[#This Row],[GroupByKey]])*OutputTable[RecordedValue]))</f>
        <v>28</v>
      </c>
      <c r="P161" s="5" cm="1">
        <f t="array" ref="P161">MAX(IF((OutputTable[GroupByKey]=OutputTable[[#This Row],[GroupByKey]]),(OutputTable[GroupByKey]=OutputTable[[#This Row],[GroupByKey]])*OutputTable[RecordedValue]))</f>
        <v>48</v>
      </c>
    </row>
    <row r="162" spans="1:16" x14ac:dyDescent="0.3">
      <c r="A162" t="s">
        <v>66</v>
      </c>
      <c r="B162" t="s">
        <v>68</v>
      </c>
      <c r="C162">
        <v>7</v>
      </c>
      <c r="D162" t="s">
        <v>135</v>
      </c>
      <c r="E162" t="s">
        <v>111</v>
      </c>
      <c r="F162" t="s">
        <v>95</v>
      </c>
      <c r="G162">
        <v>0.89702580167172297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30</v>
      </c>
      <c r="K162" s="5" cm="1">
        <f t="array" ref="K162">IFERROR(AVERAGE(IF((OutputTable[GroupByKey]=OutputTable[[#This Row],[GroupByKey]]),(OutputTable[GroupByKey]=OutputTable[[#This Row],[GroupByKey]])*OutputTable[RecordedValue])),0)</f>
        <v>0.88098039877461687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6.9783648638161486E-2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162" s="5" cm="1">
        <f t="array" ref="O162">MIN(IF((OutputTable[GroupByKey]=OutputTable[[#This Row],[GroupByKey]]),(OutputTable[GroupByKey]=OutputTable[[#This Row],[GroupByKey]])*OutputTable[RecordedValue]))</f>
        <v>0.73843386001690303</v>
      </c>
      <c r="P162" s="5" cm="1">
        <f t="array" ref="P162">MAX(IF((OutputTable[GroupByKey]=OutputTable[[#This Row],[GroupByKey]]),(OutputTable[GroupByKey]=OutputTable[[#This Row],[GroupByKey]])*OutputTable[RecordedValue]))</f>
        <v>0.99245161744166299</v>
      </c>
    </row>
    <row r="163" spans="1:16" x14ac:dyDescent="0.3">
      <c r="A163" t="s">
        <v>66</v>
      </c>
      <c r="B163" t="s">
        <v>68</v>
      </c>
      <c r="C163">
        <v>8</v>
      </c>
      <c r="D163" t="s">
        <v>108</v>
      </c>
      <c r="E163" t="s">
        <v>109</v>
      </c>
      <c r="F163" t="s">
        <v>95</v>
      </c>
      <c r="G163">
        <v>33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30</v>
      </c>
      <c r="K163" s="5" cm="1">
        <f t="array" ref="K163">IFERROR(AVERAGE(IF((OutputTable[GroupByKey]=OutputTable[[#This Row],[GroupByKey]]),(OutputTable[GroupByKey]=OutputTable[[#This Row],[GroupByKey]])*OutputTable[RecordedValue])),0)</f>
        <v>34.633333333333333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6.3326375903390151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163" s="5" cm="1">
        <f t="array" ref="O163">MIN(IF((OutputTable[GroupByKey]=OutputTable[[#This Row],[GroupByKey]]),(OutputTable[GroupByKey]=OutputTable[[#This Row],[GroupByKey]])*OutputTable[RecordedValue]))</f>
        <v>24</v>
      </c>
      <c r="P163" s="5" cm="1">
        <f t="array" ref="P163">MAX(IF((OutputTable[GroupByKey]=OutputTable[[#This Row],[GroupByKey]]),(OutputTable[GroupByKey]=OutputTable[[#This Row],[GroupByKey]])*OutputTable[RecordedValue]))</f>
        <v>47</v>
      </c>
    </row>
    <row r="164" spans="1:16" x14ac:dyDescent="0.3">
      <c r="A164" t="s">
        <v>66</v>
      </c>
      <c r="B164" t="s">
        <v>68</v>
      </c>
      <c r="C164">
        <v>8</v>
      </c>
      <c r="D164" t="s">
        <v>110</v>
      </c>
      <c r="E164" t="s">
        <v>111</v>
      </c>
      <c r="F164" t="s">
        <v>95</v>
      </c>
      <c r="G164">
        <v>3.36326834653402E-2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30</v>
      </c>
      <c r="K164" s="5" cm="1">
        <f t="array" ref="K164">IFERROR(AVERAGE(IF((OutputTable[GroupByKey]=OutputTable[[#This Row],[GroupByKey]]),(OutputTable[GroupByKey]=OutputTable[[#This Row],[GroupByKey]])*OutputTable[RecordedValue])),0)</f>
        <v>3.5359789427834361E-2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6.6521615975834569E-3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164" s="5" cm="1">
        <f t="array" ref="O164">MIN(IF((OutputTable[GroupByKey]=OutputTable[[#This Row],[GroupByKey]]),(OutputTable[GroupByKey]=OutputTable[[#This Row],[GroupByKey]])*OutputTable[RecordedValue]))</f>
        <v>2.3718114155243601E-2</v>
      </c>
      <c r="P164" s="5" cm="1">
        <f t="array" ref="P164">MAX(IF((OutputTable[GroupByKey]=OutputTable[[#This Row],[GroupByKey]]),(OutputTable[GroupByKey]=OutputTable[[#This Row],[GroupByKey]])*OutputTable[RecordedValue]))</f>
        <v>4.8583931724403701E-2</v>
      </c>
    </row>
    <row r="165" spans="1:16" x14ac:dyDescent="0.3">
      <c r="A165" t="s">
        <v>66</v>
      </c>
      <c r="B165" t="s">
        <v>68</v>
      </c>
      <c r="C165">
        <v>8</v>
      </c>
      <c r="D165" t="s">
        <v>112</v>
      </c>
      <c r="E165" t="s">
        <v>109</v>
      </c>
      <c r="F165" t="s">
        <v>95</v>
      </c>
      <c r="G165">
        <v>101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30</v>
      </c>
      <c r="K165" s="5" cm="1">
        <f t="array" ref="K165">IFERROR(AVERAGE(IF((OutputTable[GroupByKey]=OutputTable[[#This Row],[GroupByKey]]),(OutputTable[GroupByKey]=OutputTable[[#This Row],[GroupByKey]])*OutputTable[RecordedValue])),0)</f>
        <v>105.13333333333334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9.9020490158675578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165" s="5" cm="1">
        <f t="array" ref="O165">MIN(IF((OutputTable[GroupByKey]=OutputTable[[#This Row],[GroupByKey]]),(OutputTable[GroupByKey]=OutputTable[[#This Row],[GroupByKey]])*OutputTable[RecordedValue]))</f>
        <v>90</v>
      </c>
      <c r="P165" s="5" cm="1">
        <f t="array" ref="P165">MAX(IF((OutputTable[GroupByKey]=OutputTable[[#This Row],[GroupByKey]]),(OutputTable[GroupByKey]=OutputTable[[#This Row],[GroupByKey]])*OutputTable[RecordedValue]))</f>
        <v>120</v>
      </c>
    </row>
    <row r="166" spans="1:16" x14ac:dyDescent="0.3">
      <c r="A166" t="s">
        <v>66</v>
      </c>
      <c r="B166" t="s">
        <v>68</v>
      </c>
      <c r="C166">
        <v>8</v>
      </c>
      <c r="D166" t="s">
        <v>113</v>
      </c>
      <c r="E166" t="s">
        <v>111</v>
      </c>
      <c r="F166" t="s">
        <v>95</v>
      </c>
      <c r="G166">
        <v>0.234236882354284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30</v>
      </c>
      <c r="K166" s="5" cm="1">
        <f t="array" ref="K166">IFERROR(AVERAGE(IF((OutputTable[GroupByKey]=OutputTable[[#This Row],[GroupByKey]]),(OutputTable[GroupByKey]=OutputTable[[#This Row],[GroupByKey]])*OutputTable[RecordedValue])),0)</f>
        <v>0.24658598119222253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2.3372241503878202E-2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166" s="5" cm="1">
        <f t="array" ref="O166">MIN(IF((OutputTable[GroupByKey]=OutputTable[[#This Row],[GroupByKey]]),(OutputTable[GroupByKey]=OutputTable[[#This Row],[GroupByKey]])*OutputTable[RecordedValue]))</f>
        <v>0.20767736113278101</v>
      </c>
      <c r="P166" s="5" cm="1">
        <f t="array" ref="P166">MAX(IF((OutputTable[GroupByKey]=OutputTable[[#This Row],[GroupByKey]]),(OutputTable[GroupByKey]=OutputTable[[#This Row],[GroupByKey]])*OutputTable[RecordedValue]))</f>
        <v>0.28501162927715601</v>
      </c>
    </row>
    <row r="167" spans="1:16" x14ac:dyDescent="0.3">
      <c r="A167" t="s">
        <v>66</v>
      </c>
      <c r="B167" t="s">
        <v>68</v>
      </c>
      <c r="C167">
        <v>8</v>
      </c>
      <c r="D167" t="s">
        <v>114</v>
      </c>
      <c r="E167" t="s">
        <v>109</v>
      </c>
      <c r="F167" t="s">
        <v>95</v>
      </c>
      <c r="G167">
        <v>135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30</v>
      </c>
      <c r="K167" s="5" cm="1">
        <f t="array" ref="K167">IFERROR(AVERAGE(IF((OutputTable[GroupByKey]=OutputTable[[#This Row],[GroupByKey]]),(OutputTable[GroupByKey]=OutputTable[[#This Row],[GroupByKey]])*OutputTable[RecordedValue])),0)</f>
        <v>130.19999999999999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9.6932255049418501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167" s="5" cm="1">
        <f t="array" ref="O167">MIN(IF((OutputTable[GroupByKey]=OutputTable[[#This Row],[GroupByKey]]),(OutputTable[GroupByKey]=OutputTable[[#This Row],[GroupByKey]])*OutputTable[RecordedValue]))</f>
        <v>112</v>
      </c>
      <c r="P167" s="5" cm="1">
        <f t="array" ref="P167">MAX(IF((OutputTable[GroupByKey]=OutputTable[[#This Row],[GroupByKey]]),(OutputTable[GroupByKey]=OutputTable[[#This Row],[GroupByKey]])*OutputTable[RecordedValue]))</f>
        <v>150</v>
      </c>
    </row>
    <row r="168" spans="1:16" x14ac:dyDescent="0.3">
      <c r="A168" t="s">
        <v>66</v>
      </c>
      <c r="B168" t="s">
        <v>68</v>
      </c>
      <c r="C168">
        <v>8</v>
      </c>
      <c r="D168" t="s">
        <v>115</v>
      </c>
      <c r="E168" t="s">
        <v>111</v>
      </c>
      <c r="F168" t="s">
        <v>95</v>
      </c>
      <c r="G168">
        <v>0.65997051406998997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30</v>
      </c>
      <c r="K168" s="5" cm="1">
        <f t="array" ref="K168">IFERROR(AVERAGE(IF((OutputTable[GroupByKey]=OutputTable[[#This Row],[GroupByKey]]),(OutputTable[GroupByKey]=OutputTable[[#This Row],[GroupByKey]])*OutputTable[RecordedValue])),0)</f>
        <v>0.61071636647106653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4.8363406640152928E-2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168" s="5" cm="1">
        <f t="array" ref="O168">MIN(IF((OutputTable[GroupByKey]=OutputTable[[#This Row],[GroupByKey]]),(OutputTable[GroupByKey]=OutputTable[[#This Row],[GroupByKey]])*OutputTable[RecordedValue]))</f>
        <v>0.517215348442703</v>
      </c>
      <c r="P168" s="5" cm="1">
        <f t="array" ref="P168">MAX(IF((OutputTable[GroupByKey]=OutputTable[[#This Row],[GroupByKey]]),(OutputTable[GroupByKey]=OutputTable[[#This Row],[GroupByKey]])*OutputTable[RecordedValue]))</f>
        <v>0.67770389283754395</v>
      </c>
    </row>
    <row r="169" spans="1:16" x14ac:dyDescent="0.3">
      <c r="A169" t="s">
        <v>66</v>
      </c>
      <c r="B169" t="s">
        <v>68</v>
      </c>
      <c r="C169">
        <v>8</v>
      </c>
      <c r="D169" t="s">
        <v>116</v>
      </c>
      <c r="E169" t="s">
        <v>109</v>
      </c>
      <c r="F169" t="s">
        <v>95</v>
      </c>
      <c r="G169">
        <v>372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30</v>
      </c>
      <c r="K169" s="5" cm="1">
        <f t="array" ref="K169">IFERROR(AVERAGE(IF((OutputTable[GroupByKey]=OutputTable[[#This Row],[GroupByKey]]),(OutputTable[GroupByKey]=OutputTable[[#This Row],[GroupByKey]])*OutputTable[RecordedValue])),0)</f>
        <v>366.5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27.998460548813185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169" s="5" cm="1">
        <f t="array" ref="O169">MIN(IF((OutputTable[GroupByKey]=OutputTable[[#This Row],[GroupByKey]]),(OutputTable[GroupByKey]=OutputTable[[#This Row],[GroupByKey]])*OutputTable[RecordedValue]))</f>
        <v>308</v>
      </c>
      <c r="P169" s="5" cm="1">
        <f t="array" ref="P169">MAX(IF((OutputTable[GroupByKey]=OutputTable[[#This Row],[GroupByKey]]),(OutputTable[GroupByKey]=OutputTable[[#This Row],[GroupByKey]])*OutputTable[RecordedValue]))</f>
        <v>415</v>
      </c>
    </row>
    <row r="170" spans="1:16" x14ac:dyDescent="0.3">
      <c r="A170" t="s">
        <v>66</v>
      </c>
      <c r="B170" t="s">
        <v>68</v>
      </c>
      <c r="C170">
        <v>8</v>
      </c>
      <c r="D170" t="s">
        <v>117</v>
      </c>
      <c r="E170" t="s">
        <v>111</v>
      </c>
      <c r="F170" t="s">
        <v>95</v>
      </c>
      <c r="G170">
        <v>0.17449546305163599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30</v>
      </c>
      <c r="K170" s="5" cm="1">
        <f t="array" ref="K170">IFERROR(AVERAGE(IF((OutputTable[GroupByKey]=OutputTable[[#This Row],[GroupByKey]]),(OutputTable[GroupByKey]=OutputTable[[#This Row],[GroupByKey]])*OutputTable[RecordedValue])),0)</f>
        <v>0.17017204824235124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1.331368412630852E-2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170" s="5" cm="1">
        <f t="array" ref="O170">MIN(IF((OutputTable[GroupByKey]=OutputTable[[#This Row],[GroupByKey]]),(OutputTable[GroupByKey]=OutputTable[[#This Row],[GroupByKey]])*OutputTable[RecordedValue]))</f>
        <v>0.14484829778125299</v>
      </c>
      <c r="P170" s="5" cm="1">
        <f t="array" ref="P170">MAX(IF((OutputTable[GroupByKey]=OutputTable[[#This Row],[GroupByKey]]),(OutputTable[GroupByKey]=OutputTable[[#This Row],[GroupByKey]])*OutputTable[RecordedValue]))</f>
        <v>0.19609322315655101</v>
      </c>
    </row>
    <row r="171" spans="1:16" x14ac:dyDescent="0.3">
      <c r="A171" t="s">
        <v>66</v>
      </c>
      <c r="B171" t="s">
        <v>68</v>
      </c>
      <c r="C171">
        <v>8</v>
      </c>
      <c r="D171" t="s">
        <v>118</v>
      </c>
      <c r="E171" t="s">
        <v>109</v>
      </c>
      <c r="F171" t="s">
        <v>95</v>
      </c>
      <c r="G171">
        <v>67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30</v>
      </c>
      <c r="K171" s="5" cm="1">
        <f t="array" ref="K171">IFERROR(AVERAGE(IF((OutputTable[GroupByKey]=OutputTable[[#This Row],[GroupByKey]]),(OutputTable[GroupByKey]=OutputTable[[#This Row],[GroupByKey]])*OutputTable[RecordedValue])),0)</f>
        <v>67.599999999999994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8.2277914244430335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171" s="5" cm="1">
        <f t="array" ref="O171">MIN(IF((OutputTable[GroupByKey]=OutputTable[[#This Row],[GroupByKey]]),(OutputTable[GroupByKey]=OutputTable[[#This Row],[GroupByKey]])*OutputTable[RecordedValue]))</f>
        <v>53</v>
      </c>
      <c r="P171" s="5" cm="1">
        <f t="array" ref="P171">MAX(IF((OutputTable[GroupByKey]=OutputTable[[#This Row],[GroupByKey]]),(OutputTable[GroupByKey]=OutputTable[[#This Row],[GroupByKey]])*OutputTable[RecordedValue]))</f>
        <v>83</v>
      </c>
    </row>
    <row r="172" spans="1:16" x14ac:dyDescent="0.3">
      <c r="A172" t="s">
        <v>66</v>
      </c>
      <c r="B172" t="s">
        <v>68</v>
      </c>
      <c r="C172">
        <v>8</v>
      </c>
      <c r="D172" t="s">
        <v>119</v>
      </c>
      <c r="E172" t="s">
        <v>111</v>
      </c>
      <c r="F172" t="s">
        <v>95</v>
      </c>
      <c r="G172">
        <v>9.3675128784135794E-2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30</v>
      </c>
      <c r="K172" s="5" cm="1">
        <f t="array" ref="K172">IFERROR(AVERAGE(IF((OutputTable[GroupByKey]=OutputTable[[#This Row],[GroupByKey]]),(OutputTable[GroupByKey]=OutputTable[[#This Row],[GroupByKey]])*OutputTable[RecordedValue])),0)</f>
        <v>9.2629789222133899E-2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1.1199993404883948E-2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172" s="5" cm="1">
        <f t="array" ref="O172">MIN(IF((OutputTable[GroupByKey]=OutputTable[[#This Row],[GroupByKey]]),(OutputTable[GroupByKey]=OutputTable[[#This Row],[GroupByKey]])*OutputTable[RecordedValue]))</f>
        <v>7.4778736536586704E-2</v>
      </c>
      <c r="P172" s="5" cm="1">
        <f t="array" ref="P172">MAX(IF((OutputTable[GroupByKey]=OutputTable[[#This Row],[GroupByKey]]),(OutputTable[GroupByKey]=OutputTable[[#This Row],[GroupByKey]])*OutputTable[RecordedValue]))</f>
        <v>0.111025455742452</v>
      </c>
    </row>
    <row r="173" spans="1:16" x14ac:dyDescent="0.3">
      <c r="A173" t="s">
        <v>66</v>
      </c>
      <c r="B173" t="s">
        <v>68</v>
      </c>
      <c r="C173">
        <v>8</v>
      </c>
      <c r="D173" t="s">
        <v>120</v>
      </c>
      <c r="E173" t="s">
        <v>121</v>
      </c>
      <c r="F173" t="s">
        <v>122</v>
      </c>
      <c r="G173">
        <v>148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ProjectSystem.NumberOutNumber OutSystem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30</v>
      </c>
      <c r="K173" s="5" cm="1">
        <f t="array" ref="K173">IFERROR(AVERAGE(IF((OutputTable[GroupByKey]=OutputTable[[#This Row],[GroupByKey]]),(OutputTable[GroupByKey]=OutputTable[[#This Row],[GroupByKey]])*OutputTable[RecordedValue])),0)</f>
        <v>138.66666666666666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10.59386072484773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73" s="5" cm="1">
        <f t="array" ref="O173">MIN(IF((OutputTable[GroupByKey]=OutputTable[[#This Row],[GroupByKey]]),(OutputTable[GroupByKey]=OutputTable[[#This Row],[GroupByKey]])*OutputTable[RecordedValue]))</f>
        <v>122</v>
      </c>
      <c r="P173" s="5" cm="1">
        <f t="array" ref="P173">MAX(IF((OutputTable[GroupByKey]=OutputTable[[#This Row],[GroupByKey]]),(OutputTable[GroupByKey]=OutputTable[[#This Row],[GroupByKey]])*OutputTable[RecordedValue]))</f>
        <v>158</v>
      </c>
    </row>
    <row r="174" spans="1:16" x14ac:dyDescent="0.3">
      <c r="A174" t="s">
        <v>66</v>
      </c>
      <c r="B174" t="s">
        <v>68</v>
      </c>
      <c r="C174">
        <v>8</v>
      </c>
      <c r="D174" t="s">
        <v>123</v>
      </c>
      <c r="E174" t="s">
        <v>109</v>
      </c>
      <c r="F174" t="s">
        <v>95</v>
      </c>
      <c r="G174">
        <v>329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30</v>
      </c>
      <c r="K174" s="5" cm="1">
        <f t="array" ref="K174">IFERROR(AVERAGE(IF((OutputTable[GroupByKey]=OutputTable[[#This Row],[GroupByKey]]),(OutputTable[GroupByKey]=OutputTable[[#This Row],[GroupByKey]])*OutputTable[RecordedValue])),0)</f>
        <v>324.63333333333333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23.733409208195905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174" s="5" cm="1">
        <f t="array" ref="O174">MIN(IF((OutputTable[GroupByKey]=OutputTable[[#This Row],[GroupByKey]]),(OutputTable[GroupByKey]=OutputTable[[#This Row],[GroupByKey]])*OutputTable[RecordedValue]))</f>
        <v>276</v>
      </c>
      <c r="P174" s="5" cm="1">
        <f t="array" ref="P174">MAX(IF((OutputTable[GroupByKey]=OutputTable[[#This Row],[GroupByKey]]),(OutputTable[GroupByKey]=OutputTable[[#This Row],[GroupByKey]])*OutputTable[RecordedValue]))</f>
        <v>370</v>
      </c>
    </row>
    <row r="175" spans="1:16" x14ac:dyDescent="0.3">
      <c r="A175" t="s">
        <v>66</v>
      </c>
      <c r="B175" t="s">
        <v>68</v>
      </c>
      <c r="C175">
        <v>8</v>
      </c>
      <c r="D175" t="s">
        <v>124</v>
      </c>
      <c r="E175" t="s">
        <v>111</v>
      </c>
      <c r="F175" t="s">
        <v>95</v>
      </c>
      <c r="G175">
        <v>0.80638510475029901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30</v>
      </c>
      <c r="K175" s="5" cm="1">
        <f t="array" ref="K175">IFERROR(AVERAGE(IF((OutputTable[GroupByKey]=OutputTable[[#This Row],[GroupByKey]]),(OutputTable[GroupByKey]=OutputTable[[#This Row],[GroupByKey]])*OutputTable[RecordedValue])),0)</f>
        <v>0.78890367752589419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5.7743599319329868E-2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175" s="5" cm="1">
        <f t="array" ref="O175">MIN(IF((OutputTable[GroupByKey]=OutputTable[[#This Row],[GroupByKey]]),(OutputTable[GroupByKey]=OutputTable[[#This Row],[GroupByKey]])*OutputTable[RecordedValue]))</f>
        <v>0.68630817725209003</v>
      </c>
      <c r="P175" s="5" cm="1">
        <f t="array" ref="P175">MAX(IF((OutputTable[GroupByKey]=OutputTable[[#This Row],[GroupByKey]]),(OutputTable[GroupByKey]=OutputTable[[#This Row],[GroupByKey]])*OutputTable[RecordedValue]))</f>
        <v>0.89844569749382897</v>
      </c>
    </row>
    <row r="176" spans="1:16" x14ac:dyDescent="0.3">
      <c r="A176" t="s">
        <v>66</v>
      </c>
      <c r="B176" t="s">
        <v>68</v>
      </c>
      <c r="C176">
        <v>8</v>
      </c>
      <c r="D176" t="s">
        <v>125</v>
      </c>
      <c r="E176" t="s">
        <v>126</v>
      </c>
      <c r="F176" t="s">
        <v>86</v>
      </c>
      <c r="G176">
        <v>186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ProjectVisitantes.NumberInNumber InEntity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30</v>
      </c>
      <c r="K176" s="5" cm="1">
        <f t="array" ref="K176">IFERROR(AVERAGE(IF((OutputTable[GroupByKey]=OutputTable[[#This Row],[GroupByKey]]),(OutputTable[GroupByKey]=OutputTable[[#This Row],[GroupByKey]])*OutputTable[RecordedValue])),0)</f>
        <v>194.43333333333334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19.567184586538712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176" s="5" cm="1">
        <f t="array" ref="O176">MIN(IF((OutputTable[GroupByKey]=OutputTable[[#This Row],[GroupByKey]]),(OutputTable[GroupByKey]=OutputTable[[#This Row],[GroupByKey]])*OutputTable[RecordedValue]))</f>
        <v>158</v>
      </c>
      <c r="P176" s="5" cm="1">
        <f t="array" ref="P176">MAX(IF((OutputTable[GroupByKey]=OutputTable[[#This Row],[GroupByKey]]),(OutputTable[GroupByKey]=OutputTable[[#This Row],[GroupByKey]])*OutputTable[RecordedValue]))</f>
        <v>255</v>
      </c>
    </row>
    <row r="177" spans="1:16" x14ac:dyDescent="0.3">
      <c r="A177" t="s">
        <v>66</v>
      </c>
      <c r="B177" t="s">
        <v>68</v>
      </c>
      <c r="C177">
        <v>8</v>
      </c>
      <c r="D177" t="s">
        <v>127</v>
      </c>
      <c r="E177" t="s">
        <v>121</v>
      </c>
      <c r="F177" t="s">
        <v>86</v>
      </c>
      <c r="G177">
        <v>148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ProjectVisitantes.NumberOutNumber OutEntity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30</v>
      </c>
      <c r="K177" s="5" cm="1">
        <f t="array" ref="K177">IFERROR(AVERAGE(IF((OutputTable[GroupByKey]=OutputTable[[#This Row],[GroupByKey]]),(OutputTable[GroupByKey]=OutputTable[[#This Row],[GroupByKey]])*OutputTable[RecordedValue])),0)</f>
        <v>138.66666666666666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10.59386072484773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77" s="5" cm="1">
        <f t="array" ref="O177">MIN(IF((OutputTable[GroupByKey]=OutputTable[[#This Row],[GroupByKey]]),(OutputTable[GroupByKey]=OutputTable[[#This Row],[GroupByKey]])*OutputTable[RecordedValue]))</f>
        <v>122</v>
      </c>
      <c r="P177" s="5" cm="1">
        <f t="array" ref="P177">MAX(IF((OutputTable[GroupByKey]=OutputTable[[#This Row],[GroupByKey]]),(OutputTable[GroupByKey]=OutputTable[[#This Row],[GroupByKey]])*OutputTable[RecordedValue]))</f>
        <v>158</v>
      </c>
    </row>
    <row r="178" spans="1:16" x14ac:dyDescent="0.3">
      <c r="A178" t="s">
        <v>66</v>
      </c>
      <c r="B178" t="s">
        <v>68</v>
      </c>
      <c r="C178">
        <v>8</v>
      </c>
      <c r="D178" t="s">
        <v>128</v>
      </c>
      <c r="E178" t="s">
        <v>109</v>
      </c>
      <c r="F178" t="s">
        <v>95</v>
      </c>
      <c r="G178">
        <v>0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30</v>
      </c>
      <c r="K178" s="5" cm="1">
        <f t="array" ref="K178">IFERROR(AVERAGE(IF((OutputTable[GroupByKey]=OutputTable[[#This Row],[GroupByKey]]),(OutputTable[GroupByKey]=OutputTable[[#This Row],[GroupByKey]])*OutputTable[RecordedValue])),0)</f>
        <v>0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0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s="5" cm="1">
        <f t="array" ref="O178">MIN(IF((OutputTable[GroupByKey]=OutputTable[[#This Row],[GroupByKey]]),(OutputTable[GroupByKey]=OutputTable[[#This Row],[GroupByKey]])*OutputTable[RecordedValue]))</f>
        <v>0</v>
      </c>
      <c r="P178" s="5" cm="1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3">
      <c r="A179" t="s">
        <v>66</v>
      </c>
      <c r="B179" t="s">
        <v>68</v>
      </c>
      <c r="C179">
        <v>8</v>
      </c>
      <c r="D179" t="s">
        <v>129</v>
      </c>
      <c r="E179" t="s">
        <v>111</v>
      </c>
      <c r="F179" t="s">
        <v>95</v>
      </c>
      <c r="G179">
        <v>0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30</v>
      </c>
      <c r="K179" s="5" cm="1">
        <f t="array" ref="K179">IFERROR(AVERAGE(IF((OutputTable[GroupByKey]=OutputTable[[#This Row],[GroupByKey]]),(OutputTable[GroupByKey]=OutputTable[[#This Row],[GroupByKey]])*OutputTable[RecordedValue])),0)</f>
        <v>0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0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" s="5" cm="1">
        <f t="array" ref="O179">MIN(IF((OutputTable[GroupByKey]=OutputTable[[#This Row],[GroupByKey]]),(OutputTable[GroupByKey]=OutputTable[[#This Row],[GroupByKey]])*OutputTable[RecordedValue]))</f>
        <v>0</v>
      </c>
      <c r="P179" s="5" cm="1">
        <f t="array" ref="P179">MAX(IF((OutputTable[GroupByKey]=OutputTable[[#This Row],[GroupByKey]]),(OutputTable[GroupByKey]=OutputTable[[#This Row],[GroupByKey]])*OutputTable[RecordedValue]))</f>
        <v>0</v>
      </c>
    </row>
    <row r="180" spans="1:16" x14ac:dyDescent="0.3">
      <c r="A180" t="s">
        <v>66</v>
      </c>
      <c r="B180" t="s">
        <v>68</v>
      </c>
      <c r="C180">
        <v>8</v>
      </c>
      <c r="D180" t="s">
        <v>130</v>
      </c>
      <c r="E180" t="s">
        <v>109</v>
      </c>
      <c r="F180" t="s">
        <v>95</v>
      </c>
      <c r="G180">
        <v>105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30</v>
      </c>
      <c r="K180" s="5" cm="1">
        <f t="array" ref="K180">IFERROR(AVERAGE(IF((OutputTable[GroupByKey]=OutputTable[[#This Row],[GroupByKey]]),(OutputTable[GroupByKey]=OutputTable[[#This Row],[GroupByKey]])*OutputTable[RecordedValue])),0)</f>
        <v>99.666666666666671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11.021400290698853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180" s="5" cm="1">
        <f t="array" ref="O180">MIN(IF((OutputTable[GroupByKey]=OutputTable[[#This Row],[GroupByKey]]),(OutputTable[GroupByKey]=OutputTable[[#This Row],[GroupByKey]])*OutputTable[RecordedValue]))</f>
        <v>84</v>
      </c>
      <c r="P180" s="5" cm="1">
        <f t="array" ref="P180">MAX(IF((OutputTable[GroupByKey]=OutputTable[[#This Row],[GroupByKey]]),(OutputTable[GroupByKey]=OutputTable[[#This Row],[GroupByKey]])*OutputTable[RecordedValue]))</f>
        <v>133</v>
      </c>
    </row>
    <row r="181" spans="1:16" x14ac:dyDescent="0.3">
      <c r="A181" t="s">
        <v>66</v>
      </c>
      <c r="B181" t="s">
        <v>68</v>
      </c>
      <c r="C181">
        <v>8</v>
      </c>
      <c r="D181" t="s">
        <v>131</v>
      </c>
      <c r="E181" t="s">
        <v>111</v>
      </c>
      <c r="F181" t="s">
        <v>95</v>
      </c>
      <c r="G181">
        <v>0.85504992561347204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30</v>
      </c>
      <c r="K181" s="5" cm="1">
        <f t="array" ref="K181">IFERROR(AVERAGE(IF((OutputTable[GroupByKey]=OutputTable[[#This Row],[GroupByKey]]),(OutputTable[GroupByKey]=OutputTable[[#This Row],[GroupByKey]])*OutputTable[RecordedValue])),0)</f>
        <v>0.81099663999028448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0.1069626954834289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181" s="5" cm="1">
        <f t="array" ref="O181">MIN(IF((OutputTable[GroupByKey]=OutputTable[[#This Row],[GroupByKey]]),(OutputTable[GroupByKey]=OutputTable[[#This Row],[GroupByKey]])*OutputTable[RecordedValue]))</f>
        <v>0.634589476164233</v>
      </c>
      <c r="P181" s="5" cm="1">
        <f t="array" ref="P181">MAX(IF((OutputTable[GroupByKey]=OutputTable[[#This Row],[GroupByKey]]),(OutputTable[GroupByKey]=OutputTable[[#This Row],[GroupByKey]])*OutputTable[RecordedValue]))</f>
        <v>0.99383259650362799</v>
      </c>
    </row>
    <row r="182" spans="1:16" x14ac:dyDescent="0.3">
      <c r="A182" t="s">
        <v>66</v>
      </c>
      <c r="B182" t="s">
        <v>68</v>
      </c>
      <c r="C182">
        <v>8</v>
      </c>
      <c r="D182" t="s">
        <v>132</v>
      </c>
      <c r="E182" t="s">
        <v>109</v>
      </c>
      <c r="F182" t="s">
        <v>95</v>
      </c>
      <c r="G182">
        <v>41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30</v>
      </c>
      <c r="K182" s="5" cm="1">
        <f t="array" ref="K182">IFERROR(AVERAGE(IF((OutputTable[GroupByKey]=OutputTable[[#This Row],[GroupByKey]]),(OutputTable[GroupByKey]=OutputTable[[#This Row],[GroupByKey]])*OutputTable[RecordedValue])),0)</f>
        <v>51.966666666666669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7.0636677653220881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182" s="5" cm="1">
        <f t="array" ref="O182">MIN(IF((OutputTable[GroupByKey]=OutputTable[[#This Row],[GroupByKey]]),(OutputTable[GroupByKey]=OutputTable[[#This Row],[GroupByKey]])*OutputTable[RecordedValue]))</f>
        <v>40</v>
      </c>
      <c r="P182" s="5" cm="1">
        <f t="array" ref="P182">MAX(IF((OutputTable[GroupByKey]=OutputTable[[#This Row],[GroupByKey]]),(OutputTable[GroupByKey]=OutputTable[[#This Row],[GroupByKey]])*OutputTable[RecordedValue]))</f>
        <v>70</v>
      </c>
    </row>
    <row r="183" spans="1:16" x14ac:dyDescent="0.3">
      <c r="A183" t="s">
        <v>66</v>
      </c>
      <c r="B183" t="s">
        <v>68</v>
      </c>
      <c r="C183">
        <v>8</v>
      </c>
      <c r="D183" t="s">
        <v>133</v>
      </c>
      <c r="E183" t="s">
        <v>111</v>
      </c>
      <c r="F183" t="s">
        <v>95</v>
      </c>
      <c r="G183">
        <v>0.85719230705826099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30</v>
      </c>
      <c r="K183" s="5" cm="1">
        <f t="array" ref="K183">IFERROR(AVERAGE(IF((OutputTable[GroupByKey]=OutputTable[[#This Row],[GroupByKey]]),(OutputTable[GroupByKey]=OutputTable[[#This Row],[GroupByKey]])*OutputTable[RecordedValue])),0)</f>
        <v>0.86404173385398308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7.7429091138254261E-2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183" s="5" cm="1">
        <f t="array" ref="O183">MIN(IF((OutputTable[GroupByKey]=OutputTable[[#This Row],[GroupByKey]]),(OutputTable[GroupByKey]=OutputTable[[#This Row],[GroupByKey]])*OutputTable[RecordedValue]))</f>
        <v>0.74061105631083801</v>
      </c>
      <c r="P183" s="5" cm="1">
        <f t="array" ref="P183">MAX(IF((OutputTable[GroupByKey]=OutputTable[[#This Row],[GroupByKey]]),(OutputTable[GroupByKey]=OutputTable[[#This Row],[GroupByKey]])*OutputTable[RecordedValue]))</f>
        <v>0.99245161744166299</v>
      </c>
    </row>
    <row r="184" spans="1:16" x14ac:dyDescent="0.3">
      <c r="A184" t="s">
        <v>66</v>
      </c>
      <c r="B184" t="s">
        <v>68</v>
      </c>
      <c r="C184">
        <v>8</v>
      </c>
      <c r="D184" t="s">
        <v>134</v>
      </c>
      <c r="E184" t="s">
        <v>109</v>
      </c>
      <c r="F184" t="s">
        <v>95</v>
      </c>
      <c r="G184">
        <v>37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30</v>
      </c>
      <c r="K184" s="5" cm="1">
        <f t="array" ref="K184">IFERROR(AVERAGE(IF((OutputTable[GroupByKey]=OutputTable[[#This Row],[GroupByKey]]),(OutputTable[GroupByKey]=OutputTable[[#This Row],[GroupByKey]])*OutputTable[RecordedValue])),0)</f>
        <v>36.233333333333334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4.775536318198915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184" s="5" cm="1">
        <f t="array" ref="O184">MIN(IF((OutputTable[GroupByKey]=OutputTable[[#This Row],[GroupByKey]]),(OutputTable[GroupByKey]=OutputTable[[#This Row],[GroupByKey]])*OutputTable[RecordedValue]))</f>
        <v>28</v>
      </c>
      <c r="P184" s="5" cm="1">
        <f t="array" ref="P184">MAX(IF((OutputTable[GroupByKey]=OutputTable[[#This Row],[GroupByKey]]),(OutputTable[GroupByKey]=OutputTable[[#This Row],[GroupByKey]])*OutputTable[RecordedValue]))</f>
        <v>48</v>
      </c>
    </row>
    <row r="185" spans="1:16" x14ac:dyDescent="0.3">
      <c r="A185" t="s">
        <v>66</v>
      </c>
      <c r="B185" t="s">
        <v>68</v>
      </c>
      <c r="C185">
        <v>8</v>
      </c>
      <c r="D185" t="s">
        <v>135</v>
      </c>
      <c r="E185" t="s">
        <v>111</v>
      </c>
      <c r="F185" t="s">
        <v>95</v>
      </c>
      <c r="G185">
        <v>0.91658316619310198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30</v>
      </c>
      <c r="K185" s="5" cm="1">
        <f t="array" ref="K185">IFERROR(AVERAGE(IF((OutputTable[GroupByKey]=OutputTable[[#This Row],[GroupByKey]]),(OutputTable[GroupByKey]=OutputTable[[#This Row],[GroupByKey]])*OutputTable[RecordedValue])),0)</f>
        <v>0.88098039877461687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6.9783648638161486E-2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185" s="5" cm="1">
        <f t="array" ref="O185">MIN(IF((OutputTable[GroupByKey]=OutputTable[[#This Row],[GroupByKey]]),(OutputTable[GroupByKey]=OutputTable[[#This Row],[GroupByKey]])*OutputTable[RecordedValue]))</f>
        <v>0.73843386001690303</v>
      </c>
      <c r="P185" s="5" cm="1">
        <f t="array" ref="P185">MAX(IF((OutputTable[GroupByKey]=OutputTable[[#This Row],[GroupByKey]]),(OutputTable[GroupByKey]=OutputTable[[#This Row],[GroupByKey]])*OutputTable[RecordedValue]))</f>
        <v>0.99245161744166299</v>
      </c>
    </row>
    <row r="186" spans="1:16" x14ac:dyDescent="0.3">
      <c r="A186" t="s">
        <v>66</v>
      </c>
      <c r="B186" t="s">
        <v>68</v>
      </c>
      <c r="C186">
        <v>9</v>
      </c>
      <c r="D186" t="s">
        <v>108</v>
      </c>
      <c r="E186" t="s">
        <v>109</v>
      </c>
      <c r="F186" t="s">
        <v>95</v>
      </c>
      <c r="G186">
        <v>28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30</v>
      </c>
      <c r="K186" s="5" cm="1">
        <f t="array" ref="K186">IFERROR(AVERAGE(IF((OutputTable[GroupByKey]=OutputTable[[#This Row],[GroupByKey]]),(OutputTable[GroupByKey]=OutputTable[[#This Row],[GroupByKey]])*OutputTable[RecordedValue])),0)</f>
        <v>34.633333333333333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6.3326375903390151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186" s="5" cm="1">
        <f t="array" ref="O186">MIN(IF((OutputTable[GroupByKey]=OutputTable[[#This Row],[GroupByKey]]),(OutputTable[GroupByKey]=OutputTable[[#This Row],[GroupByKey]])*OutputTable[RecordedValue]))</f>
        <v>24</v>
      </c>
      <c r="P186" s="5" cm="1">
        <f t="array" ref="P186">MAX(IF((OutputTable[GroupByKey]=OutputTable[[#This Row],[GroupByKey]]),(OutputTable[GroupByKey]=OutputTable[[#This Row],[GroupByKey]])*OutputTable[RecordedValue]))</f>
        <v>47</v>
      </c>
    </row>
    <row r="187" spans="1:16" x14ac:dyDescent="0.3">
      <c r="A187" t="s">
        <v>66</v>
      </c>
      <c r="B187" t="s">
        <v>68</v>
      </c>
      <c r="C187">
        <v>9</v>
      </c>
      <c r="D187" t="s">
        <v>110</v>
      </c>
      <c r="E187" t="s">
        <v>111</v>
      </c>
      <c r="F187" t="s">
        <v>95</v>
      </c>
      <c r="G187">
        <v>2.8335636718683398E-2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30</v>
      </c>
      <c r="K187" s="5" cm="1">
        <f t="array" ref="K187">IFERROR(AVERAGE(IF((OutputTable[GroupByKey]=OutputTable[[#This Row],[GroupByKey]]),(OutputTable[GroupByKey]=OutputTable[[#This Row],[GroupByKey]])*OutputTable[RecordedValue])),0)</f>
        <v>3.5359789427834361E-2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6.6521615975834569E-3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187" s="5" cm="1">
        <f t="array" ref="O187">MIN(IF((OutputTable[GroupByKey]=OutputTable[[#This Row],[GroupByKey]]),(OutputTable[GroupByKey]=OutputTable[[#This Row],[GroupByKey]])*OutputTable[RecordedValue]))</f>
        <v>2.3718114155243601E-2</v>
      </c>
      <c r="P187" s="5" cm="1">
        <f t="array" ref="P187">MAX(IF((OutputTable[GroupByKey]=OutputTable[[#This Row],[GroupByKey]]),(OutputTable[GroupByKey]=OutputTable[[#This Row],[GroupByKey]])*OutputTable[RecordedValue]))</f>
        <v>4.8583931724403701E-2</v>
      </c>
    </row>
    <row r="188" spans="1:16" x14ac:dyDescent="0.3">
      <c r="A188" t="s">
        <v>66</v>
      </c>
      <c r="B188" t="s">
        <v>68</v>
      </c>
      <c r="C188">
        <v>9</v>
      </c>
      <c r="D188" t="s">
        <v>112</v>
      </c>
      <c r="E188" t="s">
        <v>109</v>
      </c>
      <c r="F188" t="s">
        <v>95</v>
      </c>
      <c r="G188">
        <v>120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30</v>
      </c>
      <c r="K188" s="5" cm="1">
        <f t="array" ref="K188">IFERROR(AVERAGE(IF((OutputTable[GroupByKey]=OutputTable[[#This Row],[GroupByKey]]),(OutputTable[GroupByKey]=OutputTable[[#This Row],[GroupByKey]])*OutputTable[RecordedValue])),0)</f>
        <v>105.13333333333334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9.9020490158675578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188" s="5" cm="1">
        <f t="array" ref="O188">MIN(IF((OutputTable[GroupByKey]=OutputTable[[#This Row],[GroupByKey]]),(OutputTable[GroupByKey]=OutputTable[[#This Row],[GroupByKey]])*OutputTable[RecordedValue]))</f>
        <v>90</v>
      </c>
      <c r="P188" s="5" cm="1">
        <f t="array" ref="P188">MAX(IF((OutputTable[GroupByKey]=OutputTable[[#This Row],[GroupByKey]]),(OutputTable[GroupByKey]=OutputTable[[#This Row],[GroupByKey]])*OutputTable[RecordedValue]))</f>
        <v>120</v>
      </c>
    </row>
    <row r="189" spans="1:16" x14ac:dyDescent="0.3">
      <c r="A189" t="s">
        <v>66</v>
      </c>
      <c r="B189" t="s">
        <v>68</v>
      </c>
      <c r="C189">
        <v>9</v>
      </c>
      <c r="D189" t="s">
        <v>113</v>
      </c>
      <c r="E189" t="s">
        <v>111</v>
      </c>
      <c r="F189" t="s">
        <v>95</v>
      </c>
      <c r="G189">
        <v>0.28501162927715601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30</v>
      </c>
      <c r="K189" s="5" cm="1">
        <f t="array" ref="K189">IFERROR(AVERAGE(IF((OutputTable[GroupByKey]=OutputTable[[#This Row],[GroupByKey]]),(OutputTable[GroupByKey]=OutputTable[[#This Row],[GroupByKey]])*OutputTable[RecordedValue])),0)</f>
        <v>0.24658598119222253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2.3372241503878202E-2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189" s="5" cm="1">
        <f t="array" ref="O189">MIN(IF((OutputTable[GroupByKey]=OutputTable[[#This Row],[GroupByKey]]),(OutputTable[GroupByKey]=OutputTable[[#This Row],[GroupByKey]])*OutputTable[RecordedValue]))</f>
        <v>0.20767736113278101</v>
      </c>
      <c r="P189" s="5" cm="1">
        <f t="array" ref="P189">MAX(IF((OutputTable[GroupByKey]=OutputTable[[#This Row],[GroupByKey]]),(OutputTable[GroupByKey]=OutputTable[[#This Row],[GroupByKey]])*OutputTable[RecordedValue]))</f>
        <v>0.28501162927715601</v>
      </c>
    </row>
    <row r="190" spans="1:16" x14ac:dyDescent="0.3">
      <c r="A190" t="s">
        <v>66</v>
      </c>
      <c r="B190" t="s">
        <v>68</v>
      </c>
      <c r="C190">
        <v>9</v>
      </c>
      <c r="D190" t="s">
        <v>114</v>
      </c>
      <c r="E190" t="s">
        <v>109</v>
      </c>
      <c r="F190" t="s">
        <v>95</v>
      </c>
      <c r="G190">
        <v>135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30</v>
      </c>
      <c r="K190" s="5" cm="1">
        <f t="array" ref="K190">IFERROR(AVERAGE(IF((OutputTable[GroupByKey]=OutputTable[[#This Row],[GroupByKey]]),(OutputTable[GroupByKey]=OutputTable[[#This Row],[GroupByKey]])*OutputTable[RecordedValue])),0)</f>
        <v>130.19999999999999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9.6932255049418501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190" s="5" cm="1">
        <f t="array" ref="O190">MIN(IF((OutputTable[GroupByKey]=OutputTable[[#This Row],[GroupByKey]]),(OutputTable[GroupByKey]=OutputTable[[#This Row],[GroupByKey]])*OutputTable[RecordedValue]))</f>
        <v>112</v>
      </c>
      <c r="P190" s="5" cm="1">
        <f t="array" ref="P190">MAX(IF((OutputTable[GroupByKey]=OutputTable[[#This Row],[GroupByKey]]),(OutputTable[GroupByKey]=OutputTable[[#This Row],[GroupByKey]])*OutputTable[RecordedValue]))</f>
        <v>150</v>
      </c>
    </row>
    <row r="191" spans="1:16" x14ac:dyDescent="0.3">
      <c r="A191" t="s">
        <v>66</v>
      </c>
      <c r="B191" t="s">
        <v>68</v>
      </c>
      <c r="C191">
        <v>9</v>
      </c>
      <c r="D191" t="s">
        <v>115</v>
      </c>
      <c r="E191" t="s">
        <v>111</v>
      </c>
      <c r="F191" t="s">
        <v>95</v>
      </c>
      <c r="G191">
        <v>0.64432488968538504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30</v>
      </c>
      <c r="K191" s="5" cm="1">
        <f t="array" ref="K191">IFERROR(AVERAGE(IF((OutputTable[GroupByKey]=OutputTable[[#This Row],[GroupByKey]]),(OutputTable[GroupByKey]=OutputTable[[#This Row],[GroupByKey]])*OutputTable[RecordedValue])),0)</f>
        <v>0.61071636647106653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4.8363406640152928E-2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191" s="5" cm="1">
        <f t="array" ref="O191">MIN(IF((OutputTable[GroupByKey]=OutputTable[[#This Row],[GroupByKey]]),(OutputTable[GroupByKey]=OutputTable[[#This Row],[GroupByKey]])*OutputTable[RecordedValue]))</f>
        <v>0.517215348442703</v>
      </c>
      <c r="P191" s="5" cm="1">
        <f t="array" ref="P191">MAX(IF((OutputTable[GroupByKey]=OutputTable[[#This Row],[GroupByKey]]),(OutputTable[GroupByKey]=OutputTable[[#This Row],[GroupByKey]])*OutputTable[RecordedValue]))</f>
        <v>0.67770389283754395</v>
      </c>
    </row>
    <row r="192" spans="1:16" x14ac:dyDescent="0.3">
      <c r="A192" t="s">
        <v>66</v>
      </c>
      <c r="B192" t="s">
        <v>68</v>
      </c>
      <c r="C192">
        <v>9</v>
      </c>
      <c r="D192" t="s">
        <v>116</v>
      </c>
      <c r="E192" t="s">
        <v>109</v>
      </c>
      <c r="F192" t="s">
        <v>95</v>
      </c>
      <c r="G192">
        <v>365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30</v>
      </c>
      <c r="K192" s="5" cm="1">
        <f t="array" ref="K192">IFERROR(AVERAGE(IF((OutputTable[GroupByKey]=OutputTable[[#This Row],[GroupByKey]]),(OutputTable[GroupByKey]=OutputTable[[#This Row],[GroupByKey]])*OutputTable[RecordedValue])),0)</f>
        <v>366.5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27.998460548813185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192" s="5" cm="1">
        <f t="array" ref="O192">MIN(IF((OutputTable[GroupByKey]=OutputTable[[#This Row],[GroupByKey]]),(OutputTable[GroupByKey]=OutputTable[[#This Row],[GroupByKey]])*OutputTable[RecordedValue]))</f>
        <v>308</v>
      </c>
      <c r="P192" s="5" cm="1">
        <f t="array" ref="P192">MAX(IF((OutputTable[GroupByKey]=OutputTable[[#This Row],[GroupByKey]]),(OutputTable[GroupByKey]=OutputTable[[#This Row],[GroupByKey]])*OutputTable[RecordedValue]))</f>
        <v>415</v>
      </c>
    </row>
    <row r="193" spans="1:16" x14ac:dyDescent="0.3">
      <c r="A193" t="s">
        <v>66</v>
      </c>
      <c r="B193" t="s">
        <v>68</v>
      </c>
      <c r="C193">
        <v>9</v>
      </c>
      <c r="D193" t="s">
        <v>117</v>
      </c>
      <c r="E193" t="s">
        <v>111</v>
      </c>
      <c r="F193" t="s">
        <v>95</v>
      </c>
      <c r="G193">
        <v>0.171633185515042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30</v>
      </c>
      <c r="K193" s="5" cm="1">
        <f t="array" ref="K193">IFERROR(AVERAGE(IF((OutputTable[GroupByKey]=OutputTable[[#This Row],[GroupByKey]]),(OutputTable[GroupByKey]=OutputTable[[#This Row],[GroupByKey]])*OutputTable[RecordedValue])),0)</f>
        <v>0.17017204824235124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1.331368412630852E-2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193" s="5" cm="1">
        <f t="array" ref="O193">MIN(IF((OutputTable[GroupByKey]=OutputTable[[#This Row],[GroupByKey]]),(OutputTable[GroupByKey]=OutputTable[[#This Row],[GroupByKey]])*OutputTable[RecordedValue]))</f>
        <v>0.14484829778125299</v>
      </c>
      <c r="P193" s="5" cm="1">
        <f t="array" ref="P193">MAX(IF((OutputTable[GroupByKey]=OutputTable[[#This Row],[GroupByKey]]),(OutputTable[GroupByKey]=OutputTable[[#This Row],[GroupByKey]])*OutputTable[RecordedValue]))</f>
        <v>0.19609322315655101</v>
      </c>
    </row>
    <row r="194" spans="1:16" x14ac:dyDescent="0.3">
      <c r="A194" t="s">
        <v>66</v>
      </c>
      <c r="B194" t="s">
        <v>68</v>
      </c>
      <c r="C194">
        <v>9</v>
      </c>
      <c r="D194" t="s">
        <v>118</v>
      </c>
      <c r="E194" t="s">
        <v>109</v>
      </c>
      <c r="F194" t="s">
        <v>95</v>
      </c>
      <c r="G194">
        <v>58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30</v>
      </c>
      <c r="K194" s="5" cm="1">
        <f t="array" ref="K194">IFERROR(AVERAGE(IF((OutputTable[GroupByKey]=OutputTable[[#This Row],[GroupByKey]]),(OutputTable[GroupByKey]=OutputTable[[#This Row],[GroupByKey]])*OutputTable[RecordedValue])),0)</f>
        <v>67.599999999999994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8.2277914244430335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194" s="5" cm="1">
        <f t="array" ref="O194">MIN(IF((OutputTable[GroupByKey]=OutputTable[[#This Row],[GroupByKey]]),(OutputTable[GroupByKey]=OutputTable[[#This Row],[GroupByKey]])*OutputTable[RecordedValue]))</f>
        <v>53</v>
      </c>
      <c r="P194" s="5" cm="1">
        <f t="array" ref="P194">MAX(IF((OutputTable[GroupByKey]=OutputTable[[#This Row],[GroupByKey]]),(OutputTable[GroupByKey]=OutputTable[[#This Row],[GroupByKey]])*OutputTable[RecordedValue]))</f>
        <v>83</v>
      </c>
    </row>
    <row r="195" spans="1:16" x14ac:dyDescent="0.3">
      <c r="A195" t="s">
        <v>66</v>
      </c>
      <c r="B195" t="s">
        <v>68</v>
      </c>
      <c r="C195">
        <v>9</v>
      </c>
      <c r="D195" t="s">
        <v>119</v>
      </c>
      <c r="E195" t="s">
        <v>111</v>
      </c>
      <c r="F195" t="s">
        <v>95</v>
      </c>
      <c r="G195">
        <v>7.5307466052223798E-2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30</v>
      </c>
      <c r="K195" s="5" cm="1">
        <f t="array" ref="K195">IFERROR(AVERAGE(IF((OutputTable[GroupByKey]=OutputTable[[#This Row],[GroupByKey]]),(OutputTable[GroupByKey]=OutputTable[[#This Row],[GroupByKey]])*OutputTable[RecordedValue])),0)</f>
        <v>9.2629789222133899E-2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1.1199993404883948E-2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195" s="5" cm="1">
        <f t="array" ref="O195">MIN(IF((OutputTable[GroupByKey]=OutputTable[[#This Row],[GroupByKey]]),(OutputTable[GroupByKey]=OutputTable[[#This Row],[GroupByKey]])*OutputTable[RecordedValue]))</f>
        <v>7.4778736536586704E-2</v>
      </c>
      <c r="P195" s="5" cm="1">
        <f t="array" ref="P195">MAX(IF((OutputTable[GroupByKey]=OutputTable[[#This Row],[GroupByKey]]),(OutputTable[GroupByKey]=OutputTable[[#This Row],[GroupByKey]])*OutputTable[RecordedValue]))</f>
        <v>0.111025455742452</v>
      </c>
    </row>
    <row r="196" spans="1:16" x14ac:dyDescent="0.3">
      <c r="A196" t="s">
        <v>66</v>
      </c>
      <c r="B196" t="s">
        <v>68</v>
      </c>
      <c r="C196">
        <v>9</v>
      </c>
      <c r="D196" t="s">
        <v>120</v>
      </c>
      <c r="E196" t="s">
        <v>121</v>
      </c>
      <c r="F196" t="s">
        <v>122</v>
      </c>
      <c r="G196">
        <v>134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ProjectSystem.NumberOutNumber OutSystem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30</v>
      </c>
      <c r="K196" s="5" cm="1">
        <f t="array" ref="K196">IFERROR(AVERAGE(IF((OutputTable[GroupByKey]=OutputTable[[#This Row],[GroupByKey]]),(OutputTable[GroupByKey]=OutputTable[[#This Row],[GroupByKey]])*OutputTable[RecordedValue])),0)</f>
        <v>138.66666666666666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10.59386072484773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196" s="5" cm="1">
        <f t="array" ref="O196">MIN(IF((OutputTable[GroupByKey]=OutputTable[[#This Row],[GroupByKey]]),(OutputTable[GroupByKey]=OutputTable[[#This Row],[GroupByKey]])*OutputTable[RecordedValue]))</f>
        <v>122</v>
      </c>
      <c r="P196" s="5" cm="1">
        <f t="array" ref="P196">MAX(IF((OutputTable[GroupByKey]=OutputTable[[#This Row],[GroupByKey]]),(OutputTable[GroupByKey]=OutputTable[[#This Row],[GroupByKey]])*OutputTable[RecordedValue]))</f>
        <v>158</v>
      </c>
    </row>
    <row r="197" spans="1:16" x14ac:dyDescent="0.3">
      <c r="A197" t="s">
        <v>66</v>
      </c>
      <c r="B197" t="s">
        <v>68</v>
      </c>
      <c r="C197">
        <v>9</v>
      </c>
      <c r="D197" t="s">
        <v>123</v>
      </c>
      <c r="E197" t="s">
        <v>109</v>
      </c>
      <c r="F197" t="s">
        <v>95</v>
      </c>
      <c r="G197">
        <v>322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30</v>
      </c>
      <c r="K197" s="5" cm="1">
        <f t="array" ref="K197">IFERROR(AVERAGE(IF((OutputTable[GroupByKey]=OutputTable[[#This Row],[GroupByKey]]),(OutputTable[GroupByKey]=OutputTable[[#This Row],[GroupByKey]])*OutputTable[RecordedValue])),0)</f>
        <v>324.63333333333333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23.733409208195905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197" s="5" cm="1">
        <f t="array" ref="O197">MIN(IF((OutputTable[GroupByKey]=OutputTable[[#This Row],[GroupByKey]]),(OutputTable[GroupByKey]=OutputTable[[#This Row],[GroupByKey]])*OutputTable[RecordedValue]))</f>
        <v>276</v>
      </c>
      <c r="P197" s="5" cm="1">
        <f t="array" ref="P197">MAX(IF((OutputTable[GroupByKey]=OutputTable[[#This Row],[GroupByKey]]),(OutputTable[GroupByKey]=OutputTable[[#This Row],[GroupByKey]])*OutputTable[RecordedValue]))</f>
        <v>370</v>
      </c>
    </row>
    <row r="198" spans="1:16" x14ac:dyDescent="0.3">
      <c r="A198" t="s">
        <v>66</v>
      </c>
      <c r="B198" t="s">
        <v>68</v>
      </c>
      <c r="C198">
        <v>9</v>
      </c>
      <c r="D198" t="s">
        <v>124</v>
      </c>
      <c r="E198" t="s">
        <v>111</v>
      </c>
      <c r="F198" t="s">
        <v>95</v>
      </c>
      <c r="G198">
        <v>0.79206849002467905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30</v>
      </c>
      <c r="K198" s="5" cm="1">
        <f t="array" ref="K198">IFERROR(AVERAGE(IF((OutputTable[GroupByKey]=OutputTable[[#This Row],[GroupByKey]]),(OutputTable[GroupByKey]=OutputTable[[#This Row],[GroupByKey]])*OutputTable[RecordedValue])),0)</f>
        <v>0.78890367752589419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5.7743599319329868E-2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198" s="5" cm="1">
        <f t="array" ref="O198">MIN(IF((OutputTable[GroupByKey]=OutputTable[[#This Row],[GroupByKey]]),(OutputTable[GroupByKey]=OutputTable[[#This Row],[GroupByKey]])*OutputTable[RecordedValue]))</f>
        <v>0.68630817725209003</v>
      </c>
      <c r="P198" s="5" cm="1">
        <f t="array" ref="P198">MAX(IF((OutputTable[GroupByKey]=OutputTable[[#This Row],[GroupByKey]]),(OutputTable[GroupByKey]=OutputTable[[#This Row],[GroupByKey]])*OutputTable[RecordedValue]))</f>
        <v>0.89844569749382897</v>
      </c>
    </row>
    <row r="199" spans="1:16" x14ac:dyDescent="0.3">
      <c r="A199" t="s">
        <v>66</v>
      </c>
      <c r="B199" t="s">
        <v>68</v>
      </c>
      <c r="C199">
        <v>9</v>
      </c>
      <c r="D199" t="s">
        <v>125</v>
      </c>
      <c r="E199" t="s">
        <v>126</v>
      </c>
      <c r="F199" t="s">
        <v>86</v>
      </c>
      <c r="G199">
        <v>192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ProjectVisitantes.NumberInNumber InEntity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30</v>
      </c>
      <c r="K199" s="5" cm="1">
        <f t="array" ref="K199">IFERROR(AVERAGE(IF((OutputTable[GroupByKey]=OutputTable[[#This Row],[GroupByKey]]),(OutputTable[GroupByKey]=OutputTable[[#This Row],[GroupByKey]])*OutputTable[RecordedValue])),0)</f>
        <v>194.43333333333334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19.567184586538712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199" s="5" cm="1">
        <f t="array" ref="O199">MIN(IF((OutputTable[GroupByKey]=OutputTable[[#This Row],[GroupByKey]]),(OutputTable[GroupByKey]=OutputTable[[#This Row],[GroupByKey]])*OutputTable[RecordedValue]))</f>
        <v>158</v>
      </c>
      <c r="P199" s="5" cm="1">
        <f t="array" ref="P199">MAX(IF((OutputTable[GroupByKey]=OutputTable[[#This Row],[GroupByKey]]),(OutputTable[GroupByKey]=OutputTable[[#This Row],[GroupByKey]])*OutputTable[RecordedValue]))</f>
        <v>255</v>
      </c>
    </row>
    <row r="200" spans="1:16" x14ac:dyDescent="0.3">
      <c r="A200" t="s">
        <v>66</v>
      </c>
      <c r="B200" t="s">
        <v>68</v>
      </c>
      <c r="C200">
        <v>9</v>
      </c>
      <c r="D200" t="s">
        <v>127</v>
      </c>
      <c r="E200" t="s">
        <v>121</v>
      </c>
      <c r="F200" t="s">
        <v>86</v>
      </c>
      <c r="G200">
        <v>134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ProjectVisitantes.NumberOutNumber OutEntity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30</v>
      </c>
      <c r="K200" s="5" cm="1">
        <f t="array" ref="K200">IFERROR(AVERAGE(IF((OutputTable[GroupByKey]=OutputTable[[#This Row],[GroupByKey]]),(OutputTable[GroupByKey]=OutputTable[[#This Row],[GroupByKey]])*OutputTable[RecordedValue])),0)</f>
        <v>138.66666666666666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10.59386072484773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200" s="5" cm="1">
        <f t="array" ref="O200">MIN(IF((OutputTable[GroupByKey]=OutputTable[[#This Row],[GroupByKey]]),(OutputTable[GroupByKey]=OutputTable[[#This Row],[GroupByKey]])*OutputTable[RecordedValue]))</f>
        <v>122</v>
      </c>
      <c r="P200" s="5" cm="1">
        <f t="array" ref="P200">MAX(IF((OutputTable[GroupByKey]=OutputTable[[#This Row],[GroupByKey]]),(OutputTable[GroupByKey]=OutputTable[[#This Row],[GroupByKey]])*OutputTable[RecordedValue]))</f>
        <v>158</v>
      </c>
    </row>
    <row r="201" spans="1:16" x14ac:dyDescent="0.3">
      <c r="A201" t="s">
        <v>66</v>
      </c>
      <c r="B201" t="s">
        <v>68</v>
      </c>
      <c r="C201">
        <v>9</v>
      </c>
      <c r="D201" t="s">
        <v>128</v>
      </c>
      <c r="E201" t="s">
        <v>109</v>
      </c>
      <c r="F201" t="s">
        <v>95</v>
      </c>
      <c r="G201">
        <v>0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30</v>
      </c>
      <c r="K201" s="5" cm="1">
        <f t="array" ref="K201">IFERROR(AVERAGE(IF((OutputTable[GroupByKey]=OutputTable[[#This Row],[GroupByKey]]),(OutputTable[GroupByKey]=OutputTable[[#This Row],[GroupByKey]])*OutputTable[RecordedValue])),0)</f>
        <v>0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" s="5" cm="1">
        <f t="array" ref="O201">MIN(IF((OutputTable[GroupByKey]=OutputTable[[#This Row],[GroupByKey]]),(OutputTable[GroupByKey]=OutputTable[[#This Row],[GroupByKey]])*OutputTable[RecordedValue]))</f>
        <v>0</v>
      </c>
      <c r="P201" s="5" cm="1">
        <f t="array" ref="P201">MAX(IF((OutputTable[GroupByKey]=OutputTable[[#This Row],[GroupByKey]]),(OutputTable[GroupByKey]=OutputTable[[#This Row],[GroupByKey]])*OutputTable[RecordedValue]))</f>
        <v>0</v>
      </c>
    </row>
    <row r="202" spans="1:16" x14ac:dyDescent="0.3">
      <c r="A202" t="s">
        <v>66</v>
      </c>
      <c r="B202" t="s">
        <v>68</v>
      </c>
      <c r="C202">
        <v>9</v>
      </c>
      <c r="D202" t="s">
        <v>129</v>
      </c>
      <c r="E202" t="s">
        <v>111</v>
      </c>
      <c r="F202" t="s">
        <v>95</v>
      </c>
      <c r="G202">
        <v>0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30</v>
      </c>
      <c r="K202" s="5" cm="1">
        <f t="array" ref="K202">IFERROR(AVERAGE(IF((OutputTable[GroupByKey]=OutputTable[[#This Row],[GroupByKey]]),(OutputTable[GroupByKey]=OutputTable[[#This Row],[GroupByKey]])*OutputTable[RecordedValue])),0)</f>
        <v>0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0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" s="5" cm="1">
        <f t="array" ref="O202">MIN(IF((OutputTable[GroupByKey]=OutputTable[[#This Row],[GroupByKey]]),(OutputTable[GroupByKey]=OutputTable[[#This Row],[GroupByKey]])*OutputTable[RecordedValue]))</f>
        <v>0</v>
      </c>
      <c r="P202" s="5" cm="1">
        <f t="array" ref="P202">MAX(IF((OutputTable[GroupByKey]=OutputTable[[#This Row],[GroupByKey]]),(OutputTable[GroupByKey]=OutputTable[[#This Row],[GroupByKey]])*OutputTable[RecordedValue]))</f>
        <v>0</v>
      </c>
    </row>
    <row r="203" spans="1:16" x14ac:dyDescent="0.3">
      <c r="A203" t="s">
        <v>66</v>
      </c>
      <c r="B203" t="s">
        <v>68</v>
      </c>
      <c r="C203">
        <v>9</v>
      </c>
      <c r="D203" t="s">
        <v>130</v>
      </c>
      <c r="E203" t="s">
        <v>109</v>
      </c>
      <c r="F203" t="s">
        <v>95</v>
      </c>
      <c r="G203">
        <v>93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30</v>
      </c>
      <c r="K203" s="5" cm="1">
        <f t="array" ref="K203">IFERROR(AVERAGE(IF((OutputTable[GroupByKey]=OutputTable[[#This Row],[GroupByKey]]),(OutputTable[GroupByKey]=OutputTable[[#This Row],[GroupByKey]])*OutputTable[RecordedValue])),0)</f>
        <v>99.666666666666671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11.021400290698853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203" s="5" cm="1">
        <f t="array" ref="O203">MIN(IF((OutputTable[GroupByKey]=OutputTable[[#This Row],[GroupByKey]]),(OutputTable[GroupByKey]=OutputTable[[#This Row],[GroupByKey]])*OutputTable[RecordedValue]))</f>
        <v>84</v>
      </c>
      <c r="P203" s="5" cm="1">
        <f t="array" ref="P203">MAX(IF((OutputTable[GroupByKey]=OutputTable[[#This Row],[GroupByKey]]),(OutputTable[GroupByKey]=OutputTable[[#This Row],[GroupByKey]])*OutputTable[RecordedValue]))</f>
        <v>133</v>
      </c>
    </row>
    <row r="204" spans="1:16" x14ac:dyDescent="0.3">
      <c r="A204" t="s">
        <v>66</v>
      </c>
      <c r="B204" t="s">
        <v>68</v>
      </c>
      <c r="C204">
        <v>9</v>
      </c>
      <c r="D204" t="s">
        <v>131</v>
      </c>
      <c r="E204" t="s">
        <v>111</v>
      </c>
      <c r="F204" t="s">
        <v>95</v>
      </c>
      <c r="G204">
        <v>0.76550090061679799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30</v>
      </c>
      <c r="K204" s="5" cm="1">
        <f t="array" ref="K204">IFERROR(AVERAGE(IF((OutputTable[GroupByKey]=OutputTable[[#This Row],[GroupByKey]]),(OutputTable[GroupByKey]=OutputTable[[#This Row],[GroupByKey]])*OutputTable[RecordedValue])),0)</f>
        <v>0.81099663999028448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0.1069626954834289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204" s="5" cm="1">
        <f t="array" ref="O204">MIN(IF((OutputTable[GroupByKey]=OutputTable[[#This Row],[GroupByKey]]),(OutputTable[GroupByKey]=OutputTable[[#This Row],[GroupByKey]])*OutputTable[RecordedValue]))</f>
        <v>0.634589476164233</v>
      </c>
      <c r="P204" s="5" cm="1">
        <f t="array" ref="P204">MAX(IF((OutputTable[GroupByKey]=OutputTable[[#This Row],[GroupByKey]]),(OutputTable[GroupByKey]=OutputTable[[#This Row],[GroupByKey]])*OutputTable[RecordedValue]))</f>
        <v>0.99383259650362799</v>
      </c>
    </row>
    <row r="205" spans="1:16" x14ac:dyDescent="0.3">
      <c r="A205" t="s">
        <v>66</v>
      </c>
      <c r="B205" t="s">
        <v>68</v>
      </c>
      <c r="C205">
        <v>9</v>
      </c>
      <c r="D205" t="s">
        <v>132</v>
      </c>
      <c r="E205" t="s">
        <v>109</v>
      </c>
      <c r="F205" t="s">
        <v>95</v>
      </c>
      <c r="G205">
        <v>61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30</v>
      </c>
      <c r="K205" s="5" cm="1">
        <f t="array" ref="K205">IFERROR(AVERAGE(IF((OutputTable[GroupByKey]=OutputTable[[#This Row],[GroupByKey]]),(OutputTable[GroupByKey]=OutputTable[[#This Row],[GroupByKey]])*OutputTable[RecordedValue])),0)</f>
        <v>51.966666666666669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7.0636677653220881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205" s="5" cm="1">
        <f t="array" ref="O205">MIN(IF((OutputTable[GroupByKey]=OutputTable[[#This Row],[GroupByKey]]),(OutputTable[GroupByKey]=OutputTable[[#This Row],[GroupByKey]])*OutputTable[RecordedValue]))</f>
        <v>40</v>
      </c>
      <c r="P205" s="5" cm="1">
        <f t="array" ref="P205">MAX(IF((OutputTable[GroupByKey]=OutputTable[[#This Row],[GroupByKey]]),(OutputTable[GroupByKey]=OutputTable[[#This Row],[GroupByKey]])*OutputTable[RecordedValue]))</f>
        <v>70</v>
      </c>
    </row>
    <row r="206" spans="1:16" x14ac:dyDescent="0.3">
      <c r="A206" t="s">
        <v>66</v>
      </c>
      <c r="B206" t="s">
        <v>68</v>
      </c>
      <c r="C206">
        <v>9</v>
      </c>
      <c r="D206" t="s">
        <v>133</v>
      </c>
      <c r="E206" t="s">
        <v>111</v>
      </c>
      <c r="F206" t="s">
        <v>95</v>
      </c>
      <c r="G206">
        <v>0.85434139310061796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30</v>
      </c>
      <c r="K206" s="5" cm="1">
        <f t="array" ref="K206">IFERROR(AVERAGE(IF((OutputTable[GroupByKey]=OutputTable[[#This Row],[GroupByKey]]),(OutputTable[GroupByKey]=OutputTable[[#This Row],[GroupByKey]])*OutputTable[RecordedValue])),0)</f>
        <v>0.86404173385398308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7.7429091138254261E-2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206" s="5" cm="1">
        <f t="array" ref="O206">MIN(IF((OutputTable[GroupByKey]=OutputTable[[#This Row],[GroupByKey]]),(OutputTable[GroupByKey]=OutputTable[[#This Row],[GroupByKey]])*OutputTable[RecordedValue]))</f>
        <v>0.74061105631083801</v>
      </c>
      <c r="P206" s="5" cm="1">
        <f t="array" ref="P206">MAX(IF((OutputTable[GroupByKey]=OutputTable[[#This Row],[GroupByKey]]),(OutputTable[GroupByKey]=OutputTable[[#This Row],[GroupByKey]])*OutputTable[RecordedValue]))</f>
        <v>0.99245161744166299</v>
      </c>
    </row>
    <row r="207" spans="1:16" x14ac:dyDescent="0.3">
      <c r="A207" t="s">
        <v>66</v>
      </c>
      <c r="B207" t="s">
        <v>68</v>
      </c>
      <c r="C207">
        <v>9</v>
      </c>
      <c r="D207" t="s">
        <v>134</v>
      </c>
      <c r="E207" t="s">
        <v>109</v>
      </c>
      <c r="F207" t="s">
        <v>95</v>
      </c>
      <c r="G207">
        <v>37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30</v>
      </c>
      <c r="K207" s="5" cm="1">
        <f t="array" ref="K207">IFERROR(AVERAGE(IF((OutputTable[GroupByKey]=OutputTable[[#This Row],[GroupByKey]]),(OutputTable[GroupByKey]=OutputTable[[#This Row],[GroupByKey]])*OutputTable[RecordedValue])),0)</f>
        <v>36.233333333333334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4.775536318198915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207" s="5" cm="1">
        <f t="array" ref="O207">MIN(IF((OutputTable[GroupByKey]=OutputTable[[#This Row],[GroupByKey]]),(OutputTable[GroupByKey]=OutputTable[[#This Row],[GroupByKey]])*OutputTable[RecordedValue]))</f>
        <v>28</v>
      </c>
      <c r="P207" s="5" cm="1">
        <f t="array" ref="P207">MAX(IF((OutputTable[GroupByKey]=OutputTable[[#This Row],[GroupByKey]]),(OutputTable[GroupByKey]=OutputTable[[#This Row],[GroupByKey]])*OutputTable[RecordedValue]))</f>
        <v>48</v>
      </c>
    </row>
    <row r="208" spans="1:16" x14ac:dyDescent="0.3">
      <c r="A208" t="s">
        <v>66</v>
      </c>
      <c r="B208" t="s">
        <v>68</v>
      </c>
      <c r="C208">
        <v>9</v>
      </c>
      <c r="D208" t="s">
        <v>135</v>
      </c>
      <c r="E208" t="s">
        <v>111</v>
      </c>
      <c r="F208" t="s">
        <v>95</v>
      </c>
      <c r="G208">
        <v>0.88251459474826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30</v>
      </c>
      <c r="K208" s="5" cm="1">
        <f t="array" ref="K208">IFERROR(AVERAGE(IF((OutputTable[GroupByKey]=OutputTable[[#This Row],[GroupByKey]]),(OutputTable[GroupByKey]=OutputTable[[#This Row],[GroupByKey]])*OutputTable[RecordedValue])),0)</f>
        <v>0.88098039877461687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6.9783648638161486E-2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208" s="5" cm="1">
        <f t="array" ref="O208">MIN(IF((OutputTable[GroupByKey]=OutputTable[[#This Row],[GroupByKey]]),(OutputTable[GroupByKey]=OutputTable[[#This Row],[GroupByKey]])*OutputTable[RecordedValue]))</f>
        <v>0.73843386001690303</v>
      </c>
      <c r="P208" s="5" cm="1">
        <f t="array" ref="P208">MAX(IF((OutputTable[GroupByKey]=OutputTable[[#This Row],[GroupByKey]]),(OutputTable[GroupByKey]=OutputTable[[#This Row],[GroupByKey]])*OutputTable[RecordedValue]))</f>
        <v>0.99245161744166299</v>
      </c>
    </row>
    <row r="209" spans="1:16" x14ac:dyDescent="0.3">
      <c r="A209" t="s">
        <v>66</v>
      </c>
      <c r="B209" t="s">
        <v>68</v>
      </c>
      <c r="C209">
        <v>10</v>
      </c>
      <c r="D209" t="s">
        <v>108</v>
      </c>
      <c r="E209" t="s">
        <v>109</v>
      </c>
      <c r="F209" t="s">
        <v>95</v>
      </c>
      <c r="G209">
        <v>41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30</v>
      </c>
      <c r="K209" s="5" cm="1">
        <f t="array" ref="K209">IFERROR(AVERAGE(IF((OutputTable[GroupByKey]=OutputTable[[#This Row],[GroupByKey]]),(OutputTable[GroupByKey]=OutputTable[[#This Row],[GroupByKey]])*OutputTable[RecordedValue])),0)</f>
        <v>34.633333333333333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6.3326375903390151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209" s="5" cm="1">
        <f t="array" ref="O209">MIN(IF((OutputTable[GroupByKey]=OutputTable[[#This Row],[GroupByKey]]),(OutputTable[GroupByKey]=OutputTable[[#This Row],[GroupByKey]])*OutputTable[RecordedValue]))</f>
        <v>24</v>
      </c>
      <c r="P209" s="5" cm="1">
        <f t="array" ref="P209">MAX(IF((OutputTable[GroupByKey]=OutputTable[[#This Row],[GroupByKey]]),(OutputTable[GroupByKey]=OutputTable[[#This Row],[GroupByKey]])*OutputTable[RecordedValue]))</f>
        <v>47</v>
      </c>
    </row>
    <row r="210" spans="1:16" x14ac:dyDescent="0.3">
      <c r="A210" t="s">
        <v>66</v>
      </c>
      <c r="B210" t="s">
        <v>68</v>
      </c>
      <c r="C210">
        <v>10</v>
      </c>
      <c r="D210" t="s">
        <v>110</v>
      </c>
      <c r="E210" t="s">
        <v>111</v>
      </c>
      <c r="F210" t="s">
        <v>95</v>
      </c>
      <c r="G210">
        <v>4.3017010240736599E-2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30</v>
      </c>
      <c r="K210" s="5" cm="1">
        <f t="array" ref="K210">IFERROR(AVERAGE(IF((OutputTable[GroupByKey]=OutputTable[[#This Row],[GroupByKey]]),(OutputTable[GroupByKey]=OutputTable[[#This Row],[GroupByKey]])*OutputTable[RecordedValue])),0)</f>
        <v>3.5359789427834361E-2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6.6521615975834569E-3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210" s="5" cm="1">
        <f t="array" ref="O210">MIN(IF((OutputTable[GroupByKey]=OutputTable[[#This Row],[GroupByKey]]),(OutputTable[GroupByKey]=OutputTable[[#This Row],[GroupByKey]])*OutputTable[RecordedValue]))</f>
        <v>2.3718114155243601E-2</v>
      </c>
      <c r="P210" s="5" cm="1">
        <f t="array" ref="P210">MAX(IF((OutputTable[GroupByKey]=OutputTable[[#This Row],[GroupByKey]]),(OutputTable[GroupByKey]=OutputTable[[#This Row],[GroupByKey]])*OutputTable[RecordedValue]))</f>
        <v>4.8583931724403701E-2</v>
      </c>
    </row>
    <row r="211" spans="1:16" x14ac:dyDescent="0.3">
      <c r="A211" t="s">
        <v>66</v>
      </c>
      <c r="B211" t="s">
        <v>68</v>
      </c>
      <c r="C211">
        <v>10</v>
      </c>
      <c r="D211" t="s">
        <v>112</v>
      </c>
      <c r="E211" t="s">
        <v>109</v>
      </c>
      <c r="F211" t="s">
        <v>95</v>
      </c>
      <c r="G211">
        <v>118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30</v>
      </c>
      <c r="K211" s="5" cm="1">
        <f t="array" ref="K211">IFERROR(AVERAGE(IF((OutputTable[GroupByKey]=OutputTable[[#This Row],[GroupByKey]]),(OutputTable[GroupByKey]=OutputTable[[#This Row],[GroupByKey]])*OutputTable[RecordedValue])),0)</f>
        <v>105.13333333333334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9.9020490158675578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211" s="5" cm="1">
        <f t="array" ref="O211">MIN(IF((OutputTable[GroupByKey]=OutputTable[[#This Row],[GroupByKey]]),(OutputTable[GroupByKey]=OutputTable[[#This Row],[GroupByKey]])*OutputTable[RecordedValue]))</f>
        <v>90</v>
      </c>
      <c r="P211" s="5" cm="1">
        <f t="array" ref="P211">MAX(IF((OutputTable[GroupByKey]=OutputTable[[#This Row],[GroupByKey]]),(OutputTable[GroupByKey]=OutputTable[[#This Row],[GroupByKey]])*OutputTable[RecordedValue]))</f>
        <v>120</v>
      </c>
    </row>
    <row r="212" spans="1:16" x14ac:dyDescent="0.3">
      <c r="A212" t="s">
        <v>66</v>
      </c>
      <c r="B212" t="s">
        <v>68</v>
      </c>
      <c r="C212">
        <v>10</v>
      </c>
      <c r="D212" t="s">
        <v>113</v>
      </c>
      <c r="E212" t="s">
        <v>111</v>
      </c>
      <c r="F212" t="s">
        <v>95</v>
      </c>
      <c r="G212">
        <v>0.27666209107690698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30</v>
      </c>
      <c r="K212" s="5" cm="1">
        <f t="array" ref="K212">IFERROR(AVERAGE(IF((OutputTable[GroupByKey]=OutputTable[[#This Row],[GroupByKey]]),(OutputTable[GroupByKey]=OutputTable[[#This Row],[GroupByKey]])*OutputTable[RecordedValue])),0)</f>
        <v>0.24658598119222253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2.3372241503878202E-2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212" s="5" cm="1">
        <f t="array" ref="O212">MIN(IF((OutputTable[GroupByKey]=OutputTable[[#This Row],[GroupByKey]]),(OutputTable[GroupByKey]=OutputTable[[#This Row],[GroupByKey]])*OutputTable[RecordedValue]))</f>
        <v>0.20767736113278101</v>
      </c>
      <c r="P212" s="5" cm="1">
        <f t="array" ref="P212">MAX(IF((OutputTable[GroupByKey]=OutputTable[[#This Row],[GroupByKey]]),(OutputTable[GroupByKey]=OutputTable[[#This Row],[GroupByKey]])*OutputTable[RecordedValue]))</f>
        <v>0.28501162927715601</v>
      </c>
    </row>
    <row r="213" spans="1:16" x14ac:dyDescent="0.3">
      <c r="A213" t="s">
        <v>66</v>
      </c>
      <c r="B213" t="s">
        <v>68</v>
      </c>
      <c r="C213">
        <v>10</v>
      </c>
      <c r="D213" t="s">
        <v>114</v>
      </c>
      <c r="E213" t="s">
        <v>109</v>
      </c>
      <c r="F213" t="s">
        <v>95</v>
      </c>
      <c r="G213">
        <v>143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30</v>
      </c>
      <c r="K213" s="5" cm="1">
        <f t="array" ref="K213">IFERROR(AVERAGE(IF((OutputTable[GroupByKey]=OutputTable[[#This Row],[GroupByKey]]),(OutputTable[GroupByKey]=OutputTable[[#This Row],[GroupByKey]])*OutputTable[RecordedValue])),0)</f>
        <v>130.19999999999999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9.6932255049418501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213" s="5" cm="1">
        <f t="array" ref="O213">MIN(IF((OutputTable[GroupByKey]=OutputTable[[#This Row],[GroupByKey]]),(OutputTable[GroupByKey]=OutputTable[[#This Row],[GroupByKey]])*OutputTable[RecordedValue]))</f>
        <v>112</v>
      </c>
      <c r="P213" s="5" cm="1">
        <f t="array" ref="P213">MAX(IF((OutputTable[GroupByKey]=OutputTable[[#This Row],[GroupByKey]]),(OutputTable[GroupByKey]=OutputTable[[#This Row],[GroupByKey]])*OutputTable[RecordedValue]))</f>
        <v>150</v>
      </c>
    </row>
    <row r="214" spans="1:16" x14ac:dyDescent="0.3">
      <c r="A214" t="s">
        <v>66</v>
      </c>
      <c r="B214" t="s">
        <v>68</v>
      </c>
      <c r="C214">
        <v>10</v>
      </c>
      <c r="D214" t="s">
        <v>115</v>
      </c>
      <c r="E214" t="s">
        <v>111</v>
      </c>
      <c r="F214" t="s">
        <v>95</v>
      </c>
      <c r="G214">
        <v>0.66863306738199302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30</v>
      </c>
      <c r="K214" s="5" cm="1">
        <f t="array" ref="K214">IFERROR(AVERAGE(IF((OutputTable[GroupByKey]=OutputTable[[#This Row],[GroupByKey]]),(OutputTable[GroupByKey]=OutputTable[[#This Row],[GroupByKey]])*OutputTable[RecordedValue])),0)</f>
        <v>0.61071636647106653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4.8363406640152928E-2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214" s="5" cm="1">
        <f t="array" ref="O214">MIN(IF((OutputTable[GroupByKey]=OutputTable[[#This Row],[GroupByKey]]),(OutputTable[GroupByKey]=OutputTable[[#This Row],[GroupByKey]])*OutputTable[RecordedValue]))</f>
        <v>0.517215348442703</v>
      </c>
      <c r="P214" s="5" cm="1">
        <f t="array" ref="P214">MAX(IF((OutputTable[GroupByKey]=OutputTable[[#This Row],[GroupByKey]]),(OutputTable[GroupByKey]=OutputTable[[#This Row],[GroupByKey]])*OutputTable[RecordedValue]))</f>
        <v>0.67770389283754395</v>
      </c>
    </row>
    <row r="215" spans="1:16" x14ac:dyDescent="0.3">
      <c r="A215" t="s">
        <v>66</v>
      </c>
      <c r="B215" t="s">
        <v>68</v>
      </c>
      <c r="C215">
        <v>10</v>
      </c>
      <c r="D215" t="s">
        <v>116</v>
      </c>
      <c r="E215" t="s">
        <v>109</v>
      </c>
      <c r="F215" t="s">
        <v>95</v>
      </c>
      <c r="G215">
        <v>415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30</v>
      </c>
      <c r="K215" s="5" cm="1">
        <f t="array" ref="K215">IFERROR(AVERAGE(IF((OutputTable[GroupByKey]=OutputTable[[#This Row],[GroupByKey]]),(OutputTable[GroupByKey]=OutputTable[[#This Row],[GroupByKey]])*OutputTable[RecordedValue])),0)</f>
        <v>366.5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27.998460548813185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215" s="5" cm="1">
        <f t="array" ref="O215">MIN(IF((OutputTable[GroupByKey]=OutputTable[[#This Row],[GroupByKey]]),(OutputTable[GroupByKey]=OutputTable[[#This Row],[GroupByKey]])*OutputTable[RecordedValue]))</f>
        <v>308</v>
      </c>
      <c r="P215" s="5" cm="1">
        <f t="array" ref="P215">MAX(IF((OutputTable[GroupByKey]=OutputTable[[#This Row],[GroupByKey]]),(OutputTable[GroupByKey]=OutputTable[[#This Row],[GroupByKey]])*OutputTable[RecordedValue]))</f>
        <v>415</v>
      </c>
    </row>
    <row r="216" spans="1:16" x14ac:dyDescent="0.3">
      <c r="A216" t="s">
        <v>66</v>
      </c>
      <c r="B216" t="s">
        <v>68</v>
      </c>
      <c r="C216">
        <v>10</v>
      </c>
      <c r="D216" t="s">
        <v>117</v>
      </c>
      <c r="E216" t="s">
        <v>111</v>
      </c>
      <c r="F216" t="s">
        <v>95</v>
      </c>
      <c r="G216">
        <v>0.19586315465507301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30</v>
      </c>
      <c r="K216" s="5" cm="1">
        <f t="array" ref="K216">IFERROR(AVERAGE(IF((OutputTable[GroupByKey]=OutputTable[[#This Row],[GroupByKey]]),(OutputTable[GroupByKey]=OutputTable[[#This Row],[GroupByKey]])*OutputTable[RecordedValue])),0)</f>
        <v>0.17017204824235124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1.331368412630852E-2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216" s="5" cm="1">
        <f t="array" ref="O216">MIN(IF((OutputTable[GroupByKey]=OutputTable[[#This Row],[GroupByKey]]),(OutputTable[GroupByKey]=OutputTable[[#This Row],[GroupByKey]])*OutputTable[RecordedValue]))</f>
        <v>0.14484829778125299</v>
      </c>
      <c r="P216" s="5" cm="1">
        <f t="array" ref="P216">MAX(IF((OutputTable[GroupByKey]=OutputTable[[#This Row],[GroupByKey]]),(OutputTable[GroupByKey]=OutputTable[[#This Row],[GroupByKey]])*OutputTable[RecordedValue]))</f>
        <v>0.19609322315655101</v>
      </c>
    </row>
    <row r="217" spans="1:16" x14ac:dyDescent="0.3">
      <c r="A217" t="s">
        <v>66</v>
      </c>
      <c r="B217" t="s">
        <v>68</v>
      </c>
      <c r="C217">
        <v>10</v>
      </c>
      <c r="D217" t="s">
        <v>118</v>
      </c>
      <c r="E217" t="s">
        <v>109</v>
      </c>
      <c r="F217" t="s">
        <v>95</v>
      </c>
      <c r="G217">
        <v>76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30</v>
      </c>
      <c r="K217" s="5" cm="1">
        <f t="array" ref="K217">IFERROR(AVERAGE(IF((OutputTable[GroupByKey]=OutputTable[[#This Row],[GroupByKey]]),(OutputTable[GroupByKey]=OutputTable[[#This Row],[GroupByKey]])*OutputTable[RecordedValue])),0)</f>
        <v>67.599999999999994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8.2277914244430335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217" s="5" cm="1">
        <f t="array" ref="O217">MIN(IF((OutputTable[GroupByKey]=OutputTable[[#This Row],[GroupByKey]]),(OutputTable[GroupByKey]=OutputTable[[#This Row],[GroupByKey]])*OutputTable[RecordedValue]))</f>
        <v>53</v>
      </c>
      <c r="P217" s="5" cm="1">
        <f t="array" ref="P217">MAX(IF((OutputTable[GroupByKey]=OutputTable[[#This Row],[GroupByKey]]),(OutputTable[GroupByKey]=OutputTable[[#This Row],[GroupByKey]])*OutputTable[RecordedValue]))</f>
        <v>83</v>
      </c>
    </row>
    <row r="218" spans="1:16" x14ac:dyDescent="0.3">
      <c r="A218" t="s">
        <v>66</v>
      </c>
      <c r="B218" t="s">
        <v>68</v>
      </c>
      <c r="C218">
        <v>10</v>
      </c>
      <c r="D218" t="s">
        <v>119</v>
      </c>
      <c r="E218" t="s">
        <v>111</v>
      </c>
      <c r="F218" t="s">
        <v>95</v>
      </c>
      <c r="G218">
        <v>0.105961263892736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30</v>
      </c>
      <c r="K218" s="5" cm="1">
        <f t="array" ref="K218">IFERROR(AVERAGE(IF((OutputTable[GroupByKey]=OutputTable[[#This Row],[GroupByKey]]),(OutputTable[GroupByKey]=OutputTable[[#This Row],[GroupByKey]])*OutputTable[RecordedValue])),0)</f>
        <v>9.2629789222133899E-2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1.1199993404883948E-2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218" s="5" cm="1">
        <f t="array" ref="O218">MIN(IF((OutputTable[GroupByKey]=OutputTable[[#This Row],[GroupByKey]]),(OutputTable[GroupByKey]=OutputTable[[#This Row],[GroupByKey]])*OutputTable[RecordedValue]))</f>
        <v>7.4778736536586704E-2</v>
      </c>
      <c r="P218" s="5" cm="1">
        <f t="array" ref="P218">MAX(IF((OutputTable[GroupByKey]=OutputTable[[#This Row],[GroupByKey]]),(OutputTable[GroupByKey]=OutputTable[[#This Row],[GroupByKey]])*OutputTable[RecordedValue]))</f>
        <v>0.111025455742452</v>
      </c>
    </row>
    <row r="219" spans="1:16" x14ac:dyDescent="0.3">
      <c r="A219" t="s">
        <v>66</v>
      </c>
      <c r="B219" t="s">
        <v>68</v>
      </c>
      <c r="C219">
        <v>10</v>
      </c>
      <c r="D219" t="s">
        <v>120</v>
      </c>
      <c r="E219" t="s">
        <v>121</v>
      </c>
      <c r="F219" t="s">
        <v>122</v>
      </c>
      <c r="G219">
        <v>155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ProjectSystem.NumberOutNumber OutSystem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30</v>
      </c>
      <c r="K219" s="5" cm="1">
        <f t="array" ref="K219">IFERROR(AVERAGE(IF((OutputTable[GroupByKey]=OutputTable[[#This Row],[GroupByKey]]),(OutputTable[GroupByKey]=OutputTable[[#This Row],[GroupByKey]])*OutputTable[RecordedValue])),0)</f>
        <v>138.66666666666666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10.59386072484773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219" s="5" cm="1">
        <f t="array" ref="O219">MIN(IF((OutputTable[GroupByKey]=OutputTable[[#This Row],[GroupByKey]]),(OutputTable[GroupByKey]=OutputTable[[#This Row],[GroupByKey]])*OutputTable[RecordedValue]))</f>
        <v>122</v>
      </c>
      <c r="P219" s="5" cm="1">
        <f t="array" ref="P219">MAX(IF((OutputTable[GroupByKey]=OutputTable[[#This Row],[GroupByKey]]),(OutputTable[GroupByKey]=OutputTable[[#This Row],[GroupByKey]])*OutputTable[RecordedValue]))</f>
        <v>158</v>
      </c>
    </row>
    <row r="220" spans="1:16" x14ac:dyDescent="0.3">
      <c r="A220" t="s">
        <v>66</v>
      </c>
      <c r="B220" t="s">
        <v>68</v>
      </c>
      <c r="C220">
        <v>10</v>
      </c>
      <c r="D220" t="s">
        <v>123</v>
      </c>
      <c r="E220" t="s">
        <v>109</v>
      </c>
      <c r="F220" t="s">
        <v>95</v>
      </c>
      <c r="G220">
        <v>370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30</v>
      </c>
      <c r="K220" s="5" cm="1">
        <f t="array" ref="K220">IFERROR(AVERAGE(IF((OutputTable[GroupByKey]=OutputTable[[#This Row],[GroupByKey]]),(OutputTable[GroupByKey]=OutputTable[[#This Row],[GroupByKey]])*OutputTable[RecordedValue])),0)</f>
        <v>324.63333333333333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23.733409208195905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220" s="5" cm="1">
        <f t="array" ref="O220">MIN(IF((OutputTable[GroupByKey]=OutputTable[[#This Row],[GroupByKey]]),(OutputTable[GroupByKey]=OutputTable[[#This Row],[GroupByKey]])*OutputTable[RecordedValue]))</f>
        <v>276</v>
      </c>
      <c r="P220" s="5" cm="1">
        <f t="array" ref="P220">MAX(IF((OutputTable[GroupByKey]=OutputTable[[#This Row],[GroupByKey]]),(OutputTable[GroupByKey]=OutputTable[[#This Row],[GroupByKey]])*OutputTable[RecordedValue]))</f>
        <v>370</v>
      </c>
    </row>
    <row r="221" spans="1:16" x14ac:dyDescent="0.3">
      <c r="A221" t="s">
        <v>66</v>
      </c>
      <c r="B221" t="s">
        <v>68</v>
      </c>
      <c r="C221">
        <v>10</v>
      </c>
      <c r="D221" t="s">
        <v>124</v>
      </c>
      <c r="E221" t="s">
        <v>111</v>
      </c>
      <c r="F221" t="s">
        <v>95</v>
      </c>
      <c r="G221">
        <v>0.89844569749382897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30</v>
      </c>
      <c r="K221" s="5" cm="1">
        <f t="array" ref="K221">IFERROR(AVERAGE(IF((OutputTable[GroupByKey]=OutputTable[[#This Row],[GroupByKey]]),(OutputTable[GroupByKey]=OutputTable[[#This Row],[GroupByKey]])*OutputTable[RecordedValue])),0)</f>
        <v>0.78890367752589419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5.7743599319329868E-2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221" s="5" cm="1">
        <f t="array" ref="O221">MIN(IF((OutputTable[GroupByKey]=OutputTable[[#This Row],[GroupByKey]]),(OutputTable[GroupByKey]=OutputTable[[#This Row],[GroupByKey]])*OutputTable[RecordedValue]))</f>
        <v>0.68630817725209003</v>
      </c>
      <c r="P221" s="5" cm="1">
        <f t="array" ref="P221">MAX(IF((OutputTable[GroupByKey]=OutputTable[[#This Row],[GroupByKey]]),(OutputTable[GroupByKey]=OutputTable[[#This Row],[GroupByKey]])*OutputTable[RecordedValue]))</f>
        <v>0.89844569749382897</v>
      </c>
    </row>
    <row r="222" spans="1:16" x14ac:dyDescent="0.3">
      <c r="A222" t="s">
        <v>66</v>
      </c>
      <c r="B222" t="s">
        <v>68</v>
      </c>
      <c r="C222">
        <v>10</v>
      </c>
      <c r="D222" t="s">
        <v>125</v>
      </c>
      <c r="E222" t="s">
        <v>126</v>
      </c>
      <c r="F222" t="s">
        <v>86</v>
      </c>
      <c r="G222">
        <v>255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ProjectVisitantes.NumberInNumber InEntity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30</v>
      </c>
      <c r="K222" s="5" cm="1">
        <f t="array" ref="K222">IFERROR(AVERAGE(IF((OutputTable[GroupByKey]=OutputTable[[#This Row],[GroupByKey]]),(OutputTable[GroupByKey]=OutputTable[[#This Row],[GroupByKey]])*OutputTable[RecordedValue])),0)</f>
        <v>194.43333333333334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19.567184586538712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222" s="5" cm="1">
        <f t="array" ref="O222">MIN(IF((OutputTable[GroupByKey]=OutputTable[[#This Row],[GroupByKey]]),(OutputTable[GroupByKey]=OutputTable[[#This Row],[GroupByKey]])*OutputTable[RecordedValue]))</f>
        <v>158</v>
      </c>
      <c r="P222" s="5" cm="1">
        <f t="array" ref="P222">MAX(IF((OutputTable[GroupByKey]=OutputTable[[#This Row],[GroupByKey]]),(OutputTable[GroupByKey]=OutputTable[[#This Row],[GroupByKey]])*OutputTable[RecordedValue]))</f>
        <v>255</v>
      </c>
    </row>
    <row r="223" spans="1:16" x14ac:dyDescent="0.3">
      <c r="A223" t="s">
        <v>66</v>
      </c>
      <c r="B223" t="s">
        <v>68</v>
      </c>
      <c r="C223">
        <v>10</v>
      </c>
      <c r="D223" t="s">
        <v>127</v>
      </c>
      <c r="E223" t="s">
        <v>121</v>
      </c>
      <c r="F223" t="s">
        <v>86</v>
      </c>
      <c r="G223">
        <v>155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ProjectVisitantes.NumberOutNumber OutEntity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30</v>
      </c>
      <c r="K223" s="5" cm="1">
        <f t="array" ref="K223">IFERROR(AVERAGE(IF((OutputTable[GroupByKey]=OutputTable[[#This Row],[GroupByKey]]),(OutputTable[GroupByKey]=OutputTable[[#This Row],[GroupByKey]])*OutputTable[RecordedValue])),0)</f>
        <v>138.66666666666666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10.59386072484773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223" s="5" cm="1">
        <f t="array" ref="O223">MIN(IF((OutputTable[GroupByKey]=OutputTable[[#This Row],[GroupByKey]]),(OutputTable[GroupByKey]=OutputTable[[#This Row],[GroupByKey]])*OutputTable[RecordedValue]))</f>
        <v>122</v>
      </c>
      <c r="P223" s="5" cm="1">
        <f t="array" ref="P223">MAX(IF((OutputTable[GroupByKey]=OutputTable[[#This Row],[GroupByKey]]),(OutputTable[GroupByKey]=OutputTable[[#This Row],[GroupByKey]])*OutputTable[RecordedValue]))</f>
        <v>158</v>
      </c>
    </row>
    <row r="224" spans="1:16" x14ac:dyDescent="0.3">
      <c r="A224" t="s">
        <v>66</v>
      </c>
      <c r="B224" t="s">
        <v>68</v>
      </c>
      <c r="C224">
        <v>10</v>
      </c>
      <c r="D224" t="s">
        <v>128</v>
      </c>
      <c r="E224" t="s">
        <v>109</v>
      </c>
      <c r="F224" t="s">
        <v>95</v>
      </c>
      <c r="G224">
        <v>0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30</v>
      </c>
      <c r="K224" s="5" cm="1">
        <f t="array" ref="K224">IFERROR(AVERAGE(IF((OutputTable[GroupByKey]=OutputTable[[#This Row],[GroupByKey]]),(OutputTable[GroupByKey]=OutputTable[[#This Row],[GroupByKey]])*OutputTable[RecordedValue])),0)</f>
        <v>0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0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" s="5" cm="1">
        <f t="array" ref="O224">MIN(IF((OutputTable[GroupByKey]=OutputTable[[#This Row],[GroupByKey]]),(OutputTable[GroupByKey]=OutputTable[[#This Row],[GroupByKey]])*OutputTable[RecordedValue]))</f>
        <v>0</v>
      </c>
      <c r="P224" s="5" cm="1">
        <f t="array" ref="P224">MAX(IF((OutputTable[GroupByKey]=OutputTable[[#This Row],[GroupByKey]]),(OutputTable[GroupByKey]=OutputTable[[#This Row],[GroupByKey]])*OutputTable[RecordedValue]))</f>
        <v>0</v>
      </c>
    </row>
    <row r="225" spans="1:16" x14ac:dyDescent="0.3">
      <c r="A225" t="s">
        <v>66</v>
      </c>
      <c r="B225" t="s">
        <v>68</v>
      </c>
      <c r="C225">
        <v>10</v>
      </c>
      <c r="D225" t="s">
        <v>129</v>
      </c>
      <c r="E225" t="s">
        <v>111</v>
      </c>
      <c r="F225" t="s">
        <v>95</v>
      </c>
      <c r="G225">
        <v>0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30</v>
      </c>
      <c r="K225" s="5" cm="1">
        <f t="array" ref="K225">IFERROR(AVERAGE(IF((OutputTable[GroupByKey]=OutputTable[[#This Row],[GroupByKey]]),(OutputTable[GroupByKey]=OutputTable[[#This Row],[GroupByKey]])*OutputTable[RecordedValue])),0)</f>
        <v>0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s="5" cm="1">
        <f t="array" ref="O225">MIN(IF((OutputTable[GroupByKey]=OutputTable[[#This Row],[GroupByKey]]),(OutputTable[GroupByKey]=OutputTable[[#This Row],[GroupByKey]])*OutputTable[RecordedValue]))</f>
        <v>0</v>
      </c>
      <c r="P225" s="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3">
      <c r="A226" t="s">
        <v>66</v>
      </c>
      <c r="B226" t="s">
        <v>68</v>
      </c>
      <c r="C226">
        <v>10</v>
      </c>
      <c r="D226" t="s">
        <v>130</v>
      </c>
      <c r="E226" t="s">
        <v>109</v>
      </c>
      <c r="F226" t="s">
        <v>95</v>
      </c>
      <c r="G226">
        <v>133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30</v>
      </c>
      <c r="K226" s="5" cm="1">
        <f t="array" ref="K226">IFERROR(AVERAGE(IF((OutputTable[GroupByKey]=OutputTable[[#This Row],[GroupByKey]]),(OutputTable[GroupByKey]=OutputTable[[#This Row],[GroupByKey]])*OutputTable[RecordedValue])),0)</f>
        <v>99.666666666666671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11.021400290698853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226" s="5" cm="1">
        <f t="array" ref="O226">MIN(IF((OutputTable[GroupByKey]=OutputTable[[#This Row],[GroupByKey]]),(OutputTable[GroupByKey]=OutputTable[[#This Row],[GroupByKey]])*OutputTable[RecordedValue]))</f>
        <v>84</v>
      </c>
      <c r="P226" s="5" cm="1">
        <f t="array" ref="P226">MAX(IF((OutputTable[GroupByKey]=OutputTable[[#This Row],[GroupByKey]]),(OutputTable[GroupByKey]=OutputTable[[#This Row],[GroupByKey]])*OutputTable[RecordedValue]))</f>
        <v>133</v>
      </c>
    </row>
    <row r="227" spans="1:16" x14ac:dyDescent="0.3">
      <c r="A227" t="s">
        <v>66</v>
      </c>
      <c r="B227" t="s">
        <v>68</v>
      </c>
      <c r="C227">
        <v>10</v>
      </c>
      <c r="D227" t="s">
        <v>131</v>
      </c>
      <c r="E227" t="s">
        <v>111</v>
      </c>
      <c r="F227" t="s">
        <v>95</v>
      </c>
      <c r="G227">
        <v>0.98690384340996296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30</v>
      </c>
      <c r="K227" s="5" cm="1">
        <f t="array" ref="K227">IFERROR(AVERAGE(IF((OutputTable[GroupByKey]=OutputTable[[#This Row],[GroupByKey]]),(OutputTable[GroupByKey]=OutputTable[[#This Row],[GroupByKey]])*OutputTable[RecordedValue])),0)</f>
        <v>0.81099663999028448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0.1069626954834289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227" s="5" cm="1">
        <f t="array" ref="O227">MIN(IF((OutputTable[GroupByKey]=OutputTable[[#This Row],[GroupByKey]]),(OutputTable[GroupByKey]=OutputTable[[#This Row],[GroupByKey]])*OutputTable[RecordedValue]))</f>
        <v>0.634589476164233</v>
      </c>
      <c r="P227" s="5" cm="1">
        <f t="array" ref="P227">MAX(IF((OutputTable[GroupByKey]=OutputTable[[#This Row],[GroupByKey]]),(OutputTable[GroupByKey]=OutputTable[[#This Row],[GroupByKey]])*OutputTable[RecordedValue]))</f>
        <v>0.99383259650362799</v>
      </c>
    </row>
    <row r="228" spans="1:16" x14ac:dyDescent="0.3">
      <c r="A228" t="s">
        <v>66</v>
      </c>
      <c r="B228" t="s">
        <v>68</v>
      </c>
      <c r="C228">
        <v>10</v>
      </c>
      <c r="D228" t="s">
        <v>132</v>
      </c>
      <c r="E228" t="s">
        <v>109</v>
      </c>
      <c r="F228" t="s">
        <v>95</v>
      </c>
      <c r="G228">
        <v>54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30</v>
      </c>
      <c r="K228" s="5" cm="1">
        <f t="array" ref="K228">IFERROR(AVERAGE(IF((OutputTable[GroupByKey]=OutputTable[[#This Row],[GroupByKey]]),(OutputTable[GroupByKey]=OutputTable[[#This Row],[GroupByKey]])*OutputTable[RecordedValue])),0)</f>
        <v>51.966666666666669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7.0636677653220881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228" s="5" cm="1">
        <f t="array" ref="O228">MIN(IF((OutputTable[GroupByKey]=OutputTable[[#This Row],[GroupByKey]]),(OutputTable[GroupByKey]=OutputTable[[#This Row],[GroupByKey]])*OutputTable[RecordedValue]))</f>
        <v>40</v>
      </c>
      <c r="P228" s="5" cm="1">
        <f t="array" ref="P228">MAX(IF((OutputTable[GroupByKey]=OutputTable[[#This Row],[GroupByKey]]),(OutputTable[GroupByKey]=OutputTable[[#This Row],[GroupByKey]])*OutputTable[RecordedValue]))</f>
        <v>70</v>
      </c>
    </row>
    <row r="229" spans="1:16" x14ac:dyDescent="0.3">
      <c r="A229" t="s">
        <v>66</v>
      </c>
      <c r="B229" t="s">
        <v>68</v>
      </c>
      <c r="C229">
        <v>10</v>
      </c>
      <c r="D229" t="s">
        <v>133</v>
      </c>
      <c r="E229" t="s">
        <v>111</v>
      </c>
      <c r="F229" t="s">
        <v>95</v>
      </c>
      <c r="G229">
        <v>0.98313807304046597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30</v>
      </c>
      <c r="K229" s="5" cm="1">
        <f t="array" ref="K229">IFERROR(AVERAGE(IF((OutputTable[GroupByKey]=OutputTable[[#This Row],[GroupByKey]]),(OutputTable[GroupByKey]=OutputTable[[#This Row],[GroupByKey]])*OutputTable[RecordedValue])),0)</f>
        <v>0.86404173385398308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7.7429091138254261E-2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229" s="5" cm="1">
        <f t="array" ref="O229">MIN(IF((OutputTable[GroupByKey]=OutputTable[[#This Row],[GroupByKey]]),(OutputTable[GroupByKey]=OutputTable[[#This Row],[GroupByKey]])*OutputTable[RecordedValue]))</f>
        <v>0.74061105631083801</v>
      </c>
      <c r="P229" s="5" cm="1">
        <f t="array" ref="P229">MAX(IF((OutputTable[GroupByKey]=OutputTable[[#This Row],[GroupByKey]]),(OutputTable[GroupByKey]=OutputTable[[#This Row],[GroupByKey]])*OutputTable[RecordedValue]))</f>
        <v>0.99245161744166299</v>
      </c>
    </row>
    <row r="230" spans="1:16" x14ac:dyDescent="0.3">
      <c r="A230" t="s">
        <v>66</v>
      </c>
      <c r="B230" t="s">
        <v>68</v>
      </c>
      <c r="C230">
        <v>10</v>
      </c>
      <c r="D230" t="s">
        <v>134</v>
      </c>
      <c r="E230" t="s">
        <v>109</v>
      </c>
      <c r="F230" t="s">
        <v>95</v>
      </c>
      <c r="G230">
        <v>32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30</v>
      </c>
      <c r="K230" s="5" cm="1">
        <f t="array" ref="K230">IFERROR(AVERAGE(IF((OutputTable[GroupByKey]=OutputTable[[#This Row],[GroupByKey]]),(OutputTable[GroupByKey]=OutputTable[[#This Row],[GroupByKey]])*OutputTable[RecordedValue])),0)</f>
        <v>36.233333333333334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4.775536318198915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230" s="5" cm="1">
        <f t="array" ref="O230">MIN(IF((OutputTable[GroupByKey]=OutputTable[[#This Row],[GroupByKey]]),(OutputTable[GroupByKey]=OutputTable[[#This Row],[GroupByKey]])*OutputTable[RecordedValue]))</f>
        <v>28</v>
      </c>
      <c r="P230" s="5" cm="1">
        <f t="array" ref="P230">MAX(IF((OutputTable[GroupByKey]=OutputTable[[#This Row],[GroupByKey]]),(OutputTable[GroupByKey]=OutputTable[[#This Row],[GroupByKey]])*OutputTable[RecordedValue]))</f>
        <v>48</v>
      </c>
    </row>
    <row r="231" spans="1:16" x14ac:dyDescent="0.3">
      <c r="A231" t="s">
        <v>66</v>
      </c>
      <c r="B231" t="s">
        <v>68</v>
      </c>
      <c r="C231">
        <v>10</v>
      </c>
      <c r="D231" t="s">
        <v>135</v>
      </c>
      <c r="E231" t="s">
        <v>111</v>
      </c>
      <c r="F231" t="s">
        <v>95</v>
      </c>
      <c r="G231">
        <v>0.98361198881928302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30</v>
      </c>
      <c r="K231" s="5" cm="1">
        <f t="array" ref="K231">IFERROR(AVERAGE(IF((OutputTable[GroupByKey]=OutputTable[[#This Row],[GroupByKey]]),(OutputTable[GroupByKey]=OutputTable[[#This Row],[GroupByKey]])*OutputTable[RecordedValue])),0)</f>
        <v>0.88098039877461687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6.9783648638161486E-2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231" s="5" cm="1">
        <f t="array" ref="O231">MIN(IF((OutputTable[GroupByKey]=OutputTable[[#This Row],[GroupByKey]]),(OutputTable[GroupByKey]=OutputTable[[#This Row],[GroupByKey]])*OutputTable[RecordedValue]))</f>
        <v>0.73843386001690303</v>
      </c>
      <c r="P231" s="5" cm="1">
        <f t="array" ref="P231">MAX(IF((OutputTable[GroupByKey]=OutputTable[[#This Row],[GroupByKey]]),(OutputTable[GroupByKey]=OutputTable[[#This Row],[GroupByKey]])*OutputTable[RecordedValue]))</f>
        <v>0.99245161744166299</v>
      </c>
    </row>
    <row r="232" spans="1:16" x14ac:dyDescent="0.3">
      <c r="A232" t="s">
        <v>66</v>
      </c>
      <c r="B232" t="s">
        <v>68</v>
      </c>
      <c r="C232">
        <v>11</v>
      </c>
      <c r="D232" t="s">
        <v>108</v>
      </c>
      <c r="E232" t="s">
        <v>109</v>
      </c>
      <c r="F232" t="s">
        <v>95</v>
      </c>
      <c r="G232">
        <v>33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30</v>
      </c>
      <c r="K232" s="5" cm="1">
        <f t="array" ref="K232">IFERROR(AVERAGE(IF((OutputTable[GroupByKey]=OutputTable[[#This Row],[GroupByKey]]),(OutputTable[GroupByKey]=OutputTable[[#This Row],[GroupByKey]])*OutputTable[RecordedValue])),0)</f>
        <v>34.633333333333333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6.3326375903390151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232" s="5" cm="1">
        <f t="array" ref="O232">MIN(IF((OutputTable[GroupByKey]=OutputTable[[#This Row],[GroupByKey]]),(OutputTable[GroupByKey]=OutputTable[[#This Row],[GroupByKey]])*OutputTable[RecordedValue]))</f>
        <v>24</v>
      </c>
      <c r="P232" s="5" cm="1">
        <f t="array" ref="P232">MAX(IF((OutputTable[GroupByKey]=OutputTable[[#This Row],[GroupByKey]]),(OutputTable[GroupByKey]=OutputTable[[#This Row],[GroupByKey]])*OutputTable[RecordedValue]))</f>
        <v>47</v>
      </c>
    </row>
    <row r="233" spans="1:16" x14ac:dyDescent="0.3">
      <c r="A233" t="s">
        <v>66</v>
      </c>
      <c r="B233" t="s">
        <v>68</v>
      </c>
      <c r="C233">
        <v>11</v>
      </c>
      <c r="D233" t="s">
        <v>110</v>
      </c>
      <c r="E233" t="s">
        <v>111</v>
      </c>
      <c r="F233" t="s">
        <v>95</v>
      </c>
      <c r="G233">
        <v>3.5523138114882301E-2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30</v>
      </c>
      <c r="K233" s="5" cm="1">
        <f t="array" ref="K233">IFERROR(AVERAGE(IF((OutputTable[GroupByKey]=OutputTable[[#This Row],[GroupByKey]]),(OutputTable[GroupByKey]=OutputTable[[#This Row],[GroupByKey]])*OutputTable[RecordedValue])),0)</f>
        <v>3.5359789427834361E-2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6.6521615975834569E-3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233" s="5" cm="1">
        <f t="array" ref="O233">MIN(IF((OutputTable[GroupByKey]=OutputTable[[#This Row],[GroupByKey]]),(OutputTable[GroupByKey]=OutputTable[[#This Row],[GroupByKey]])*OutputTable[RecordedValue]))</f>
        <v>2.3718114155243601E-2</v>
      </c>
      <c r="P233" s="5" cm="1">
        <f t="array" ref="P233">MAX(IF((OutputTable[GroupByKey]=OutputTable[[#This Row],[GroupByKey]]),(OutputTable[GroupByKey]=OutputTable[[#This Row],[GroupByKey]])*OutputTable[RecordedValue]))</f>
        <v>4.8583931724403701E-2</v>
      </c>
    </row>
    <row r="234" spans="1:16" x14ac:dyDescent="0.3">
      <c r="A234" t="s">
        <v>66</v>
      </c>
      <c r="B234" t="s">
        <v>68</v>
      </c>
      <c r="C234">
        <v>11</v>
      </c>
      <c r="D234" t="s">
        <v>112</v>
      </c>
      <c r="E234" t="s">
        <v>109</v>
      </c>
      <c r="F234" t="s">
        <v>95</v>
      </c>
      <c r="G234">
        <v>115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30</v>
      </c>
      <c r="K234" s="5" cm="1">
        <f t="array" ref="K234">IFERROR(AVERAGE(IF((OutputTable[GroupByKey]=OutputTable[[#This Row],[GroupByKey]]),(OutputTable[GroupByKey]=OutputTable[[#This Row],[GroupByKey]])*OutputTable[RecordedValue])),0)</f>
        <v>105.13333333333334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9.9020490158675578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234" s="5" cm="1">
        <f t="array" ref="O234">MIN(IF((OutputTable[GroupByKey]=OutputTable[[#This Row],[GroupByKey]]),(OutputTable[GroupByKey]=OutputTable[[#This Row],[GroupByKey]])*OutputTable[RecordedValue]))</f>
        <v>90</v>
      </c>
      <c r="P234" s="5" cm="1">
        <f t="array" ref="P234">MAX(IF((OutputTable[GroupByKey]=OutputTable[[#This Row],[GroupByKey]]),(OutputTable[GroupByKey]=OutputTable[[#This Row],[GroupByKey]])*OutputTable[RecordedValue]))</f>
        <v>120</v>
      </c>
    </row>
    <row r="235" spans="1:16" x14ac:dyDescent="0.3">
      <c r="A235" t="s">
        <v>66</v>
      </c>
      <c r="B235" t="s">
        <v>68</v>
      </c>
      <c r="C235">
        <v>11</v>
      </c>
      <c r="D235" t="s">
        <v>113</v>
      </c>
      <c r="E235" t="s">
        <v>111</v>
      </c>
      <c r="F235" t="s">
        <v>95</v>
      </c>
      <c r="G235">
        <v>0.27496885846621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30</v>
      </c>
      <c r="K235" s="5" cm="1">
        <f t="array" ref="K235">IFERROR(AVERAGE(IF((OutputTable[GroupByKey]=OutputTable[[#This Row],[GroupByKey]]),(OutputTable[GroupByKey]=OutputTable[[#This Row],[GroupByKey]])*OutputTable[RecordedValue])),0)</f>
        <v>0.24658598119222253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2.3372241503878202E-2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235" s="5" cm="1">
        <f t="array" ref="O235">MIN(IF((OutputTable[GroupByKey]=OutputTable[[#This Row],[GroupByKey]]),(OutputTable[GroupByKey]=OutputTable[[#This Row],[GroupByKey]])*OutputTable[RecordedValue]))</f>
        <v>0.20767736113278101</v>
      </c>
      <c r="P235" s="5" cm="1">
        <f t="array" ref="P235">MAX(IF((OutputTable[GroupByKey]=OutputTable[[#This Row],[GroupByKey]]),(OutputTable[GroupByKey]=OutputTable[[#This Row],[GroupByKey]])*OutputTable[RecordedValue]))</f>
        <v>0.28501162927715601</v>
      </c>
    </row>
    <row r="236" spans="1:16" x14ac:dyDescent="0.3">
      <c r="A236" t="s">
        <v>66</v>
      </c>
      <c r="B236" t="s">
        <v>68</v>
      </c>
      <c r="C236">
        <v>11</v>
      </c>
      <c r="D236" t="s">
        <v>114</v>
      </c>
      <c r="E236" t="s">
        <v>109</v>
      </c>
      <c r="F236" t="s">
        <v>95</v>
      </c>
      <c r="G236">
        <v>145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30</v>
      </c>
      <c r="K236" s="5" cm="1">
        <f t="array" ref="K236">IFERROR(AVERAGE(IF((OutputTable[GroupByKey]=OutputTable[[#This Row],[GroupByKey]]),(OutputTable[GroupByKey]=OutputTable[[#This Row],[GroupByKey]])*OutputTable[RecordedValue])),0)</f>
        <v>130.19999999999999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9.6932255049418501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236" s="5" cm="1">
        <f t="array" ref="O236">MIN(IF((OutputTable[GroupByKey]=OutputTable[[#This Row],[GroupByKey]]),(OutputTable[GroupByKey]=OutputTable[[#This Row],[GroupByKey]])*OutputTable[RecordedValue]))</f>
        <v>112</v>
      </c>
      <c r="P236" s="5" cm="1">
        <f t="array" ref="P236">MAX(IF((OutputTable[GroupByKey]=OutputTable[[#This Row],[GroupByKey]]),(OutputTable[GroupByKey]=OutputTable[[#This Row],[GroupByKey]])*OutputTable[RecordedValue]))</f>
        <v>150</v>
      </c>
    </row>
    <row r="237" spans="1:16" x14ac:dyDescent="0.3">
      <c r="A237" t="s">
        <v>66</v>
      </c>
      <c r="B237" t="s">
        <v>68</v>
      </c>
      <c r="C237">
        <v>11</v>
      </c>
      <c r="D237" t="s">
        <v>115</v>
      </c>
      <c r="E237" t="s">
        <v>111</v>
      </c>
      <c r="F237" t="s">
        <v>95</v>
      </c>
      <c r="G237">
        <v>0.66772673585284703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30</v>
      </c>
      <c r="K237" s="5" cm="1">
        <f t="array" ref="K237">IFERROR(AVERAGE(IF((OutputTable[GroupByKey]=OutputTable[[#This Row],[GroupByKey]]),(OutputTable[GroupByKey]=OutputTable[[#This Row],[GroupByKey]])*OutputTable[RecordedValue])),0)</f>
        <v>0.61071636647106653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4.8363406640152928E-2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237" s="5" cm="1">
        <f t="array" ref="O237">MIN(IF((OutputTable[GroupByKey]=OutputTable[[#This Row],[GroupByKey]]),(OutputTable[GroupByKey]=OutputTable[[#This Row],[GroupByKey]])*OutputTable[RecordedValue]))</f>
        <v>0.517215348442703</v>
      </c>
      <c r="P237" s="5" cm="1">
        <f t="array" ref="P237">MAX(IF((OutputTable[GroupByKey]=OutputTable[[#This Row],[GroupByKey]]),(OutputTable[GroupByKey]=OutputTable[[#This Row],[GroupByKey]])*OutputTable[RecordedValue]))</f>
        <v>0.67770389283754395</v>
      </c>
    </row>
    <row r="238" spans="1:16" x14ac:dyDescent="0.3">
      <c r="A238" t="s">
        <v>66</v>
      </c>
      <c r="B238" t="s">
        <v>68</v>
      </c>
      <c r="C238">
        <v>11</v>
      </c>
      <c r="D238" t="s">
        <v>116</v>
      </c>
      <c r="E238" t="s">
        <v>109</v>
      </c>
      <c r="F238" t="s">
        <v>95</v>
      </c>
      <c r="G238">
        <v>389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30</v>
      </c>
      <c r="K238" s="5" cm="1">
        <f t="array" ref="K238">IFERROR(AVERAGE(IF((OutputTable[GroupByKey]=OutputTable[[#This Row],[GroupByKey]]),(OutputTable[GroupByKey]=OutputTable[[#This Row],[GroupByKey]])*OutputTable[RecordedValue])),0)</f>
        <v>366.5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27.998460548813185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238" s="5" cm="1">
        <f t="array" ref="O238">MIN(IF((OutputTable[GroupByKey]=OutputTable[[#This Row],[GroupByKey]]),(OutputTable[GroupByKey]=OutputTable[[#This Row],[GroupByKey]])*OutputTable[RecordedValue]))</f>
        <v>308</v>
      </c>
      <c r="P238" s="5" cm="1">
        <f t="array" ref="P238">MAX(IF((OutputTable[GroupByKey]=OutputTable[[#This Row],[GroupByKey]]),(OutputTable[GroupByKey]=OutputTable[[#This Row],[GroupByKey]])*OutputTable[RecordedValue]))</f>
        <v>415</v>
      </c>
    </row>
    <row r="239" spans="1:16" x14ac:dyDescent="0.3">
      <c r="A239" t="s">
        <v>66</v>
      </c>
      <c r="B239" t="s">
        <v>68</v>
      </c>
      <c r="C239">
        <v>11</v>
      </c>
      <c r="D239" t="s">
        <v>117</v>
      </c>
      <c r="E239" t="s">
        <v>111</v>
      </c>
      <c r="F239" t="s">
        <v>95</v>
      </c>
      <c r="G239">
        <v>0.181186689002104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30</v>
      </c>
      <c r="K239" s="5" cm="1">
        <f t="array" ref="K239">IFERROR(AVERAGE(IF((OutputTable[GroupByKey]=OutputTable[[#This Row],[GroupByKey]]),(OutputTable[GroupByKey]=OutputTable[[#This Row],[GroupByKey]])*OutputTable[RecordedValue])),0)</f>
        <v>0.17017204824235124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1.331368412630852E-2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239" s="5" cm="1">
        <f t="array" ref="O239">MIN(IF((OutputTable[GroupByKey]=OutputTable[[#This Row],[GroupByKey]]),(OutputTable[GroupByKey]=OutputTable[[#This Row],[GroupByKey]])*OutputTable[RecordedValue]))</f>
        <v>0.14484829778125299</v>
      </c>
      <c r="P239" s="5" cm="1">
        <f t="array" ref="P239">MAX(IF((OutputTable[GroupByKey]=OutputTable[[#This Row],[GroupByKey]]),(OutputTable[GroupByKey]=OutputTable[[#This Row],[GroupByKey]])*OutputTable[RecordedValue]))</f>
        <v>0.19609322315655101</v>
      </c>
    </row>
    <row r="240" spans="1:16" x14ac:dyDescent="0.3">
      <c r="A240" t="s">
        <v>66</v>
      </c>
      <c r="B240" t="s">
        <v>68</v>
      </c>
      <c r="C240">
        <v>11</v>
      </c>
      <c r="D240" t="s">
        <v>118</v>
      </c>
      <c r="E240" t="s">
        <v>109</v>
      </c>
      <c r="F240" t="s">
        <v>95</v>
      </c>
      <c r="G240">
        <v>72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30</v>
      </c>
      <c r="K240" s="5" cm="1">
        <f t="array" ref="K240">IFERROR(AVERAGE(IF((OutputTable[GroupByKey]=OutputTable[[#This Row],[GroupByKey]]),(OutputTable[GroupByKey]=OutputTable[[#This Row],[GroupByKey]])*OutputTable[RecordedValue])),0)</f>
        <v>67.599999999999994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8.2277914244430335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240" s="5" cm="1">
        <f t="array" ref="O240">MIN(IF((OutputTable[GroupByKey]=OutputTable[[#This Row],[GroupByKey]]),(OutputTable[GroupByKey]=OutputTable[[#This Row],[GroupByKey]])*OutputTable[RecordedValue]))</f>
        <v>53</v>
      </c>
      <c r="P240" s="5" cm="1">
        <f t="array" ref="P240">MAX(IF((OutputTable[GroupByKey]=OutputTable[[#This Row],[GroupByKey]]),(OutputTable[GroupByKey]=OutputTable[[#This Row],[GroupByKey]])*OutputTable[RecordedValue]))</f>
        <v>83</v>
      </c>
    </row>
    <row r="241" spans="1:16" x14ac:dyDescent="0.3">
      <c r="A241" t="s">
        <v>66</v>
      </c>
      <c r="B241" t="s">
        <v>68</v>
      </c>
      <c r="C241">
        <v>11</v>
      </c>
      <c r="D241" t="s">
        <v>119</v>
      </c>
      <c r="E241" t="s">
        <v>111</v>
      </c>
      <c r="F241" t="s">
        <v>95</v>
      </c>
      <c r="G241">
        <v>0.100802419981702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30</v>
      </c>
      <c r="K241" s="5" cm="1">
        <f t="array" ref="K241">IFERROR(AVERAGE(IF((OutputTable[GroupByKey]=OutputTable[[#This Row],[GroupByKey]]),(OutputTable[GroupByKey]=OutputTable[[#This Row],[GroupByKey]])*OutputTable[RecordedValue])),0)</f>
        <v>9.2629789222133899E-2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1.1199993404883948E-2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241" s="5" cm="1">
        <f t="array" ref="O241">MIN(IF((OutputTable[GroupByKey]=OutputTable[[#This Row],[GroupByKey]]),(OutputTable[GroupByKey]=OutputTable[[#This Row],[GroupByKey]])*OutputTable[RecordedValue]))</f>
        <v>7.4778736536586704E-2</v>
      </c>
      <c r="P241" s="5" cm="1">
        <f t="array" ref="P241">MAX(IF((OutputTable[GroupByKey]=OutputTable[[#This Row],[GroupByKey]]),(OutputTable[GroupByKey]=OutputTable[[#This Row],[GroupByKey]])*OutputTable[RecordedValue]))</f>
        <v>0.111025455742452</v>
      </c>
    </row>
    <row r="242" spans="1:16" x14ac:dyDescent="0.3">
      <c r="A242" t="s">
        <v>66</v>
      </c>
      <c r="B242" t="s">
        <v>68</v>
      </c>
      <c r="C242">
        <v>11</v>
      </c>
      <c r="D242" t="s">
        <v>120</v>
      </c>
      <c r="E242" t="s">
        <v>121</v>
      </c>
      <c r="F242" t="s">
        <v>122</v>
      </c>
      <c r="G242">
        <v>152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ProjectSystem.NumberOutNumber OutSystem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30</v>
      </c>
      <c r="K242" s="5" cm="1">
        <f t="array" ref="K242">IFERROR(AVERAGE(IF((OutputTable[GroupByKey]=OutputTable[[#This Row],[GroupByKey]]),(OutputTable[GroupByKey]=OutputTable[[#This Row],[GroupByKey]])*OutputTable[RecordedValue])),0)</f>
        <v>138.66666666666666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10.59386072484773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242" s="5" cm="1">
        <f t="array" ref="O242">MIN(IF((OutputTable[GroupByKey]=OutputTable[[#This Row],[GroupByKey]]),(OutputTable[GroupByKey]=OutputTable[[#This Row],[GroupByKey]])*OutputTable[RecordedValue]))</f>
        <v>122</v>
      </c>
      <c r="P242" s="5" cm="1">
        <f t="array" ref="P242">MAX(IF((OutputTable[GroupByKey]=OutputTable[[#This Row],[GroupByKey]]),(OutputTable[GroupByKey]=OutputTable[[#This Row],[GroupByKey]])*OutputTable[RecordedValue]))</f>
        <v>158</v>
      </c>
    </row>
    <row r="243" spans="1:16" x14ac:dyDescent="0.3">
      <c r="A243" t="s">
        <v>66</v>
      </c>
      <c r="B243" t="s">
        <v>68</v>
      </c>
      <c r="C243">
        <v>11</v>
      </c>
      <c r="D243" t="s">
        <v>123</v>
      </c>
      <c r="E243" t="s">
        <v>109</v>
      </c>
      <c r="F243" t="s">
        <v>95</v>
      </c>
      <c r="G243">
        <v>346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30</v>
      </c>
      <c r="K243" s="5" cm="1">
        <f t="array" ref="K243">IFERROR(AVERAGE(IF((OutputTable[GroupByKey]=OutputTable[[#This Row],[GroupByKey]]),(OutputTable[GroupByKey]=OutputTable[[#This Row],[GroupByKey]])*OutputTable[RecordedValue])),0)</f>
        <v>324.63333333333333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23.733409208195905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243" s="5" cm="1">
        <f t="array" ref="O243">MIN(IF((OutputTable[GroupByKey]=OutputTable[[#This Row],[GroupByKey]]),(OutputTable[GroupByKey]=OutputTable[[#This Row],[GroupByKey]])*OutputTable[RecordedValue]))</f>
        <v>276</v>
      </c>
      <c r="P243" s="5" cm="1">
        <f t="array" ref="P243">MAX(IF((OutputTable[GroupByKey]=OutputTable[[#This Row],[GroupByKey]]),(OutputTable[GroupByKey]=OutputTable[[#This Row],[GroupByKey]])*OutputTable[RecordedValue]))</f>
        <v>370</v>
      </c>
    </row>
    <row r="244" spans="1:16" x14ac:dyDescent="0.3">
      <c r="A244" t="s">
        <v>66</v>
      </c>
      <c r="B244" t="s">
        <v>68</v>
      </c>
      <c r="C244">
        <v>11</v>
      </c>
      <c r="D244" t="s">
        <v>124</v>
      </c>
      <c r="E244" t="s">
        <v>111</v>
      </c>
      <c r="F244" t="s">
        <v>95</v>
      </c>
      <c r="G244">
        <v>0.84763174738566405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30</v>
      </c>
      <c r="K244" s="5" cm="1">
        <f t="array" ref="K244">IFERROR(AVERAGE(IF((OutputTable[GroupByKey]=OutputTable[[#This Row],[GroupByKey]]),(OutputTable[GroupByKey]=OutputTable[[#This Row],[GroupByKey]])*OutputTable[RecordedValue])),0)</f>
        <v>0.78890367752589419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5.7743599319329868E-2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244" s="5" cm="1">
        <f t="array" ref="O244">MIN(IF((OutputTable[GroupByKey]=OutputTable[[#This Row],[GroupByKey]]),(OutputTable[GroupByKey]=OutputTable[[#This Row],[GroupByKey]])*OutputTable[RecordedValue]))</f>
        <v>0.68630817725209003</v>
      </c>
      <c r="P244" s="5" cm="1">
        <f t="array" ref="P244">MAX(IF((OutputTable[GroupByKey]=OutputTable[[#This Row],[GroupByKey]]),(OutputTable[GroupByKey]=OutputTable[[#This Row],[GroupByKey]])*OutputTable[RecordedValue]))</f>
        <v>0.89844569749382897</v>
      </c>
    </row>
    <row r="245" spans="1:16" x14ac:dyDescent="0.3">
      <c r="A245" t="s">
        <v>66</v>
      </c>
      <c r="B245" t="s">
        <v>68</v>
      </c>
      <c r="C245">
        <v>11</v>
      </c>
      <c r="D245" t="s">
        <v>125</v>
      </c>
      <c r="E245" t="s">
        <v>126</v>
      </c>
      <c r="F245" t="s">
        <v>86</v>
      </c>
      <c r="G245">
        <v>201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ProjectVisitantes.NumberInNumber InEntity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30</v>
      </c>
      <c r="K245" s="5" cm="1">
        <f t="array" ref="K245">IFERROR(AVERAGE(IF((OutputTable[GroupByKey]=OutputTable[[#This Row],[GroupByKey]]),(OutputTable[GroupByKey]=OutputTable[[#This Row],[GroupByKey]])*OutputTable[RecordedValue])),0)</f>
        <v>194.43333333333334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19.567184586538712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245" s="5" cm="1">
        <f t="array" ref="O245">MIN(IF((OutputTable[GroupByKey]=OutputTable[[#This Row],[GroupByKey]]),(OutputTable[GroupByKey]=OutputTable[[#This Row],[GroupByKey]])*OutputTable[RecordedValue]))</f>
        <v>158</v>
      </c>
      <c r="P245" s="5" cm="1">
        <f t="array" ref="P245">MAX(IF((OutputTable[GroupByKey]=OutputTable[[#This Row],[GroupByKey]]),(OutputTable[GroupByKey]=OutputTable[[#This Row],[GroupByKey]])*OutputTable[RecordedValue]))</f>
        <v>255</v>
      </c>
    </row>
    <row r="246" spans="1:16" x14ac:dyDescent="0.3">
      <c r="A246" t="s">
        <v>66</v>
      </c>
      <c r="B246" t="s">
        <v>68</v>
      </c>
      <c r="C246">
        <v>11</v>
      </c>
      <c r="D246" t="s">
        <v>127</v>
      </c>
      <c r="E246" t="s">
        <v>121</v>
      </c>
      <c r="F246" t="s">
        <v>86</v>
      </c>
      <c r="G246">
        <v>152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ProjectVisitantes.NumberOutNumber OutEntity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30</v>
      </c>
      <c r="K246" s="5" cm="1">
        <f t="array" ref="K246">IFERROR(AVERAGE(IF((OutputTable[GroupByKey]=OutputTable[[#This Row],[GroupByKey]]),(OutputTable[GroupByKey]=OutputTable[[#This Row],[GroupByKey]])*OutputTable[RecordedValue])),0)</f>
        <v>138.66666666666666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10.59386072484773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246" s="5" cm="1">
        <f t="array" ref="O246">MIN(IF((OutputTable[GroupByKey]=OutputTable[[#This Row],[GroupByKey]]),(OutputTable[GroupByKey]=OutputTable[[#This Row],[GroupByKey]])*OutputTable[RecordedValue]))</f>
        <v>122</v>
      </c>
      <c r="P246" s="5" cm="1">
        <f t="array" ref="P246">MAX(IF((OutputTable[GroupByKey]=OutputTable[[#This Row],[GroupByKey]]),(OutputTable[GroupByKey]=OutputTable[[#This Row],[GroupByKey]])*OutputTable[RecordedValue]))</f>
        <v>158</v>
      </c>
    </row>
    <row r="247" spans="1:16" x14ac:dyDescent="0.3">
      <c r="A247" t="s">
        <v>66</v>
      </c>
      <c r="B247" t="s">
        <v>68</v>
      </c>
      <c r="C247">
        <v>11</v>
      </c>
      <c r="D247" t="s">
        <v>128</v>
      </c>
      <c r="E247" t="s">
        <v>109</v>
      </c>
      <c r="F247" t="s">
        <v>95</v>
      </c>
      <c r="G247">
        <v>0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30</v>
      </c>
      <c r="K247" s="5" cm="1">
        <f t="array" ref="K247">IFERROR(AVERAGE(IF((OutputTable[GroupByKey]=OutputTable[[#This Row],[GroupByKey]]),(OutputTable[GroupByKey]=OutputTable[[#This Row],[GroupByKey]])*OutputTable[RecordedValue])),0)</f>
        <v>0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0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" s="5" cm="1">
        <f t="array" ref="O247">MIN(IF((OutputTable[GroupByKey]=OutputTable[[#This Row],[GroupByKey]]),(OutputTable[GroupByKey]=OutputTable[[#This Row],[GroupByKey]])*OutputTable[RecordedValue]))</f>
        <v>0</v>
      </c>
      <c r="P247" s="5" cm="1">
        <f t="array" ref="P247">MAX(IF((OutputTable[GroupByKey]=OutputTable[[#This Row],[GroupByKey]]),(OutputTable[GroupByKey]=OutputTable[[#This Row],[GroupByKey]])*OutputTable[RecordedValue]))</f>
        <v>0</v>
      </c>
    </row>
    <row r="248" spans="1:16" x14ac:dyDescent="0.3">
      <c r="A248" t="s">
        <v>66</v>
      </c>
      <c r="B248" t="s">
        <v>68</v>
      </c>
      <c r="C248">
        <v>11</v>
      </c>
      <c r="D248" t="s">
        <v>129</v>
      </c>
      <c r="E248" t="s">
        <v>111</v>
      </c>
      <c r="F248" t="s">
        <v>95</v>
      </c>
      <c r="G248">
        <v>0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30</v>
      </c>
      <c r="K248" s="5" cm="1">
        <f t="array" ref="K248">IFERROR(AVERAGE(IF((OutputTable[GroupByKey]=OutputTable[[#This Row],[GroupByKey]]),(OutputTable[GroupByKey]=OutputTable[[#This Row],[GroupByKey]])*OutputTable[RecordedValue])),0)</f>
        <v>0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0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" s="5" cm="1">
        <f t="array" ref="O248">MIN(IF((OutputTable[GroupByKey]=OutputTable[[#This Row],[GroupByKey]]),(OutputTable[GroupByKey]=OutputTable[[#This Row],[GroupByKey]])*OutputTable[RecordedValue]))</f>
        <v>0</v>
      </c>
      <c r="P248" s="5" cm="1">
        <f t="array" ref="P248">MAX(IF((OutputTable[GroupByKey]=OutputTable[[#This Row],[GroupByKey]]),(OutputTable[GroupByKey]=OutputTable[[#This Row],[GroupByKey]])*OutputTable[RecordedValue]))</f>
        <v>0</v>
      </c>
    </row>
    <row r="249" spans="1:16" x14ac:dyDescent="0.3">
      <c r="A249" t="s">
        <v>66</v>
      </c>
      <c r="B249" t="s">
        <v>68</v>
      </c>
      <c r="C249">
        <v>11</v>
      </c>
      <c r="D249" t="s">
        <v>130</v>
      </c>
      <c r="E249" t="s">
        <v>109</v>
      </c>
      <c r="F249" t="s">
        <v>95</v>
      </c>
      <c r="G249">
        <v>89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30</v>
      </c>
      <c r="K249" s="5" cm="1">
        <f t="array" ref="K249">IFERROR(AVERAGE(IF((OutputTable[GroupByKey]=OutputTable[[#This Row],[GroupByKey]]),(OutputTable[GroupByKey]=OutputTable[[#This Row],[GroupByKey]])*OutputTable[RecordedValue])),0)</f>
        <v>99.666666666666671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11.021400290698853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249" s="5" cm="1">
        <f t="array" ref="O249">MIN(IF((OutputTable[GroupByKey]=OutputTable[[#This Row],[GroupByKey]]),(OutputTable[GroupByKey]=OutputTable[[#This Row],[GroupByKey]])*OutputTable[RecordedValue]))</f>
        <v>84</v>
      </c>
      <c r="P249" s="5" cm="1">
        <f t="array" ref="P249">MAX(IF((OutputTable[GroupByKey]=OutputTable[[#This Row],[GroupByKey]]),(OutputTable[GroupByKey]=OutputTable[[#This Row],[GroupByKey]])*OutputTable[RecordedValue]))</f>
        <v>133</v>
      </c>
    </row>
    <row r="250" spans="1:16" x14ac:dyDescent="0.3">
      <c r="A250" t="s">
        <v>66</v>
      </c>
      <c r="B250" t="s">
        <v>68</v>
      </c>
      <c r="C250">
        <v>11</v>
      </c>
      <c r="D250" t="s">
        <v>131</v>
      </c>
      <c r="E250" t="s">
        <v>111</v>
      </c>
      <c r="F250" t="s">
        <v>95</v>
      </c>
      <c r="G250">
        <v>0.75077130981181806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30</v>
      </c>
      <c r="K250" s="5" cm="1">
        <f t="array" ref="K250">IFERROR(AVERAGE(IF((OutputTable[GroupByKey]=OutputTable[[#This Row],[GroupByKey]]),(OutputTable[GroupByKey]=OutputTable[[#This Row],[GroupByKey]])*OutputTable[RecordedValue])),0)</f>
        <v>0.81099663999028448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0.1069626954834289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250" s="5" cm="1">
        <f t="array" ref="O250">MIN(IF((OutputTable[GroupByKey]=OutputTable[[#This Row],[GroupByKey]]),(OutputTable[GroupByKey]=OutputTable[[#This Row],[GroupByKey]])*OutputTable[RecordedValue]))</f>
        <v>0.634589476164233</v>
      </c>
      <c r="P250" s="5" cm="1">
        <f t="array" ref="P250">MAX(IF((OutputTable[GroupByKey]=OutputTable[[#This Row],[GroupByKey]]),(OutputTable[GroupByKey]=OutputTable[[#This Row],[GroupByKey]])*OutputTable[RecordedValue]))</f>
        <v>0.99383259650362799</v>
      </c>
    </row>
    <row r="251" spans="1:16" x14ac:dyDescent="0.3">
      <c r="A251" t="s">
        <v>66</v>
      </c>
      <c r="B251" t="s">
        <v>68</v>
      </c>
      <c r="C251">
        <v>11</v>
      </c>
      <c r="D251" t="s">
        <v>132</v>
      </c>
      <c r="E251" t="s">
        <v>109</v>
      </c>
      <c r="F251" t="s">
        <v>95</v>
      </c>
      <c r="G251">
        <v>59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30</v>
      </c>
      <c r="K251" s="5" cm="1">
        <f t="array" ref="K251">IFERROR(AVERAGE(IF((OutputTable[GroupByKey]=OutputTable[[#This Row],[GroupByKey]]),(OutputTable[GroupByKey]=OutputTable[[#This Row],[GroupByKey]])*OutputTable[RecordedValue])),0)</f>
        <v>51.966666666666669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7.0636677653220881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251" s="5" cm="1">
        <f t="array" ref="O251">MIN(IF((OutputTable[GroupByKey]=OutputTable[[#This Row],[GroupByKey]]),(OutputTable[GroupByKey]=OutputTable[[#This Row],[GroupByKey]])*OutputTable[RecordedValue]))</f>
        <v>40</v>
      </c>
      <c r="P251" s="5" cm="1">
        <f t="array" ref="P251">MAX(IF((OutputTable[GroupByKey]=OutputTable[[#This Row],[GroupByKey]]),(OutputTable[GroupByKey]=OutputTable[[#This Row],[GroupByKey]])*OutputTable[RecordedValue]))</f>
        <v>70</v>
      </c>
    </row>
    <row r="252" spans="1:16" x14ac:dyDescent="0.3">
      <c r="A252" t="s">
        <v>66</v>
      </c>
      <c r="B252" t="s">
        <v>68</v>
      </c>
      <c r="C252">
        <v>11</v>
      </c>
      <c r="D252" t="s">
        <v>133</v>
      </c>
      <c r="E252" t="s">
        <v>111</v>
      </c>
      <c r="F252" t="s">
        <v>95</v>
      </c>
      <c r="G252">
        <v>0.81599937008005397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30</v>
      </c>
      <c r="K252" s="5" cm="1">
        <f t="array" ref="K252">IFERROR(AVERAGE(IF((OutputTable[GroupByKey]=OutputTable[[#This Row],[GroupByKey]]),(OutputTable[GroupByKey]=OutputTable[[#This Row],[GroupByKey]])*OutputTable[RecordedValue])),0)</f>
        <v>0.86404173385398308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7.7429091138254261E-2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252" s="5" cm="1">
        <f t="array" ref="O252">MIN(IF((OutputTable[GroupByKey]=OutputTable[[#This Row],[GroupByKey]]),(OutputTable[GroupByKey]=OutputTable[[#This Row],[GroupByKey]])*OutputTable[RecordedValue]))</f>
        <v>0.74061105631083801</v>
      </c>
      <c r="P252" s="5" cm="1">
        <f t="array" ref="P252">MAX(IF((OutputTable[GroupByKey]=OutputTable[[#This Row],[GroupByKey]]),(OutputTable[GroupByKey]=OutputTable[[#This Row],[GroupByKey]])*OutputTable[RecordedValue]))</f>
        <v>0.99245161744166299</v>
      </c>
    </row>
    <row r="253" spans="1:16" x14ac:dyDescent="0.3">
      <c r="A253" t="s">
        <v>66</v>
      </c>
      <c r="B253" t="s">
        <v>68</v>
      </c>
      <c r="C253">
        <v>11</v>
      </c>
      <c r="D253" t="s">
        <v>134</v>
      </c>
      <c r="E253" t="s">
        <v>109</v>
      </c>
      <c r="F253" t="s">
        <v>95</v>
      </c>
      <c r="G253">
        <v>48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30</v>
      </c>
      <c r="K253" s="5" cm="1">
        <f t="array" ref="K253">IFERROR(AVERAGE(IF((OutputTable[GroupByKey]=OutputTable[[#This Row],[GroupByKey]]),(OutputTable[GroupByKey]=OutputTable[[#This Row],[GroupByKey]])*OutputTable[RecordedValue])),0)</f>
        <v>36.233333333333334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4.775536318198915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253" s="5" cm="1">
        <f t="array" ref="O253">MIN(IF((OutputTable[GroupByKey]=OutputTable[[#This Row],[GroupByKey]]),(OutputTable[GroupByKey]=OutputTable[[#This Row],[GroupByKey]])*OutputTable[RecordedValue]))</f>
        <v>28</v>
      </c>
      <c r="P253" s="5" cm="1">
        <f t="array" ref="P253">MAX(IF((OutputTable[GroupByKey]=OutputTable[[#This Row],[GroupByKey]]),(OutputTable[GroupByKey]=OutputTable[[#This Row],[GroupByKey]])*OutputTable[RecordedValue]))</f>
        <v>48</v>
      </c>
    </row>
    <row r="254" spans="1:16" x14ac:dyDescent="0.3">
      <c r="A254" t="s">
        <v>66</v>
      </c>
      <c r="B254" t="s">
        <v>68</v>
      </c>
      <c r="C254">
        <v>11</v>
      </c>
      <c r="D254" t="s">
        <v>135</v>
      </c>
      <c r="E254" t="s">
        <v>111</v>
      </c>
      <c r="F254" t="s">
        <v>95</v>
      </c>
      <c r="G254">
        <v>0.87145477591520804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30</v>
      </c>
      <c r="K254" s="5" cm="1">
        <f t="array" ref="K254">IFERROR(AVERAGE(IF((OutputTable[GroupByKey]=OutputTable[[#This Row],[GroupByKey]]),(OutputTable[GroupByKey]=OutputTable[[#This Row],[GroupByKey]])*OutputTable[RecordedValue])),0)</f>
        <v>0.88098039877461687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6.9783648638161486E-2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254" s="5" cm="1">
        <f t="array" ref="O254">MIN(IF((OutputTable[GroupByKey]=OutputTable[[#This Row],[GroupByKey]]),(OutputTable[GroupByKey]=OutputTable[[#This Row],[GroupByKey]])*OutputTable[RecordedValue]))</f>
        <v>0.73843386001690303</v>
      </c>
      <c r="P254" s="5" cm="1">
        <f t="array" ref="P254">MAX(IF((OutputTable[GroupByKey]=OutputTable[[#This Row],[GroupByKey]]),(OutputTable[GroupByKey]=OutputTable[[#This Row],[GroupByKey]])*OutputTable[RecordedValue]))</f>
        <v>0.99245161744166299</v>
      </c>
    </row>
    <row r="255" spans="1:16" x14ac:dyDescent="0.3">
      <c r="A255" t="s">
        <v>66</v>
      </c>
      <c r="B255" t="s">
        <v>68</v>
      </c>
      <c r="C255">
        <v>12</v>
      </c>
      <c r="D255" t="s">
        <v>108</v>
      </c>
      <c r="E255" t="s">
        <v>109</v>
      </c>
      <c r="F255" t="s">
        <v>95</v>
      </c>
      <c r="G255">
        <v>30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30</v>
      </c>
      <c r="K255" s="5" cm="1">
        <f t="array" ref="K255">IFERROR(AVERAGE(IF((OutputTable[GroupByKey]=OutputTable[[#This Row],[GroupByKey]]),(OutputTable[GroupByKey]=OutputTable[[#This Row],[GroupByKey]])*OutputTable[RecordedValue])),0)</f>
        <v>34.633333333333333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6.3326375903390151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255" s="5" cm="1">
        <f t="array" ref="O255">MIN(IF((OutputTable[GroupByKey]=OutputTable[[#This Row],[GroupByKey]]),(OutputTable[GroupByKey]=OutputTable[[#This Row],[GroupByKey]])*OutputTable[RecordedValue]))</f>
        <v>24</v>
      </c>
      <c r="P255" s="5" cm="1">
        <f t="array" ref="P255">MAX(IF((OutputTable[GroupByKey]=OutputTable[[#This Row],[GroupByKey]]),(OutputTable[GroupByKey]=OutputTable[[#This Row],[GroupByKey]])*OutputTable[RecordedValue]))</f>
        <v>47</v>
      </c>
    </row>
    <row r="256" spans="1:16" x14ac:dyDescent="0.3">
      <c r="A256" t="s">
        <v>66</v>
      </c>
      <c r="B256" t="s">
        <v>68</v>
      </c>
      <c r="C256">
        <v>12</v>
      </c>
      <c r="D256" t="s">
        <v>110</v>
      </c>
      <c r="E256" t="s">
        <v>111</v>
      </c>
      <c r="F256" t="s">
        <v>95</v>
      </c>
      <c r="G256">
        <v>2.9507417656767201E-2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30</v>
      </c>
      <c r="K256" s="5" cm="1">
        <f t="array" ref="K256">IFERROR(AVERAGE(IF((OutputTable[GroupByKey]=OutputTable[[#This Row],[GroupByKey]]),(OutputTable[GroupByKey]=OutputTable[[#This Row],[GroupByKey]])*OutputTable[RecordedValue])),0)</f>
        <v>3.5359789427834361E-2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6.6521615975834569E-3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256" s="5" cm="1">
        <f t="array" ref="O256">MIN(IF((OutputTable[GroupByKey]=OutputTable[[#This Row],[GroupByKey]]),(OutputTable[GroupByKey]=OutputTable[[#This Row],[GroupByKey]])*OutputTable[RecordedValue]))</f>
        <v>2.3718114155243601E-2</v>
      </c>
      <c r="P256" s="5" cm="1">
        <f t="array" ref="P256">MAX(IF((OutputTable[GroupByKey]=OutputTable[[#This Row],[GroupByKey]]),(OutputTable[GroupByKey]=OutputTable[[#This Row],[GroupByKey]])*OutputTable[RecordedValue]))</f>
        <v>4.8583931724403701E-2</v>
      </c>
    </row>
    <row r="257" spans="1:16" x14ac:dyDescent="0.3">
      <c r="A257" t="s">
        <v>66</v>
      </c>
      <c r="B257" t="s">
        <v>68</v>
      </c>
      <c r="C257">
        <v>12</v>
      </c>
      <c r="D257" t="s">
        <v>112</v>
      </c>
      <c r="E257" t="s">
        <v>109</v>
      </c>
      <c r="F257" t="s">
        <v>95</v>
      </c>
      <c r="G257">
        <v>90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30</v>
      </c>
      <c r="K257" s="5" cm="1">
        <f t="array" ref="K257">IFERROR(AVERAGE(IF((OutputTable[GroupByKey]=OutputTable[[#This Row],[GroupByKey]]),(OutputTable[GroupByKey]=OutputTable[[#This Row],[GroupByKey]])*OutputTable[RecordedValue])),0)</f>
        <v>105.13333333333334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9.9020490158675578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257" s="5" cm="1">
        <f t="array" ref="O257">MIN(IF((OutputTable[GroupByKey]=OutputTable[[#This Row],[GroupByKey]]),(OutputTable[GroupByKey]=OutputTable[[#This Row],[GroupByKey]])*OutputTable[RecordedValue]))</f>
        <v>90</v>
      </c>
      <c r="P257" s="5" cm="1">
        <f t="array" ref="P257">MAX(IF((OutputTable[GroupByKey]=OutputTable[[#This Row],[GroupByKey]]),(OutputTable[GroupByKey]=OutputTable[[#This Row],[GroupByKey]])*OutputTable[RecordedValue]))</f>
        <v>120</v>
      </c>
    </row>
    <row r="258" spans="1:16" x14ac:dyDescent="0.3">
      <c r="A258" t="s">
        <v>66</v>
      </c>
      <c r="B258" t="s">
        <v>68</v>
      </c>
      <c r="C258">
        <v>12</v>
      </c>
      <c r="D258" t="s">
        <v>113</v>
      </c>
      <c r="E258" t="s">
        <v>111</v>
      </c>
      <c r="F258" t="s">
        <v>95</v>
      </c>
      <c r="G258">
        <v>0.21491141235396499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30</v>
      </c>
      <c r="K258" s="5" cm="1">
        <f t="array" ref="K258">IFERROR(AVERAGE(IF((OutputTable[GroupByKey]=OutputTable[[#This Row],[GroupByKey]]),(OutputTable[GroupByKey]=OutputTable[[#This Row],[GroupByKey]])*OutputTable[RecordedValue])),0)</f>
        <v>0.24658598119222253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2.3372241503878202E-2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258" s="5" cm="1">
        <f t="array" ref="O258">MIN(IF((OutputTable[GroupByKey]=OutputTable[[#This Row],[GroupByKey]]),(OutputTable[GroupByKey]=OutputTable[[#This Row],[GroupByKey]])*OutputTable[RecordedValue]))</f>
        <v>0.20767736113278101</v>
      </c>
      <c r="P258" s="5" cm="1">
        <f t="array" ref="P258">MAX(IF((OutputTable[GroupByKey]=OutputTable[[#This Row],[GroupByKey]]),(OutputTable[GroupByKey]=OutputTable[[#This Row],[GroupByKey]])*OutputTable[RecordedValue]))</f>
        <v>0.28501162927715601</v>
      </c>
    </row>
    <row r="259" spans="1:16" x14ac:dyDescent="0.3">
      <c r="A259" t="s">
        <v>66</v>
      </c>
      <c r="B259" t="s">
        <v>68</v>
      </c>
      <c r="C259">
        <v>12</v>
      </c>
      <c r="D259" t="s">
        <v>114</v>
      </c>
      <c r="E259" t="s">
        <v>109</v>
      </c>
      <c r="F259" t="s">
        <v>95</v>
      </c>
      <c r="G259">
        <v>130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30</v>
      </c>
      <c r="K259" s="5" cm="1">
        <f t="array" ref="K259">IFERROR(AVERAGE(IF((OutputTable[GroupByKey]=OutputTable[[#This Row],[GroupByKey]]),(OutputTable[GroupByKey]=OutputTable[[#This Row],[GroupByKey]])*OutputTable[RecordedValue])),0)</f>
        <v>130.19999999999999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9.6932255049418501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259" s="5" cm="1">
        <f t="array" ref="O259">MIN(IF((OutputTable[GroupByKey]=OutputTable[[#This Row],[GroupByKey]]),(OutputTable[GroupByKey]=OutputTable[[#This Row],[GroupByKey]])*OutputTable[RecordedValue]))</f>
        <v>112</v>
      </c>
      <c r="P259" s="5" cm="1">
        <f t="array" ref="P259">MAX(IF((OutputTable[GroupByKey]=OutputTable[[#This Row],[GroupByKey]]),(OutputTable[GroupByKey]=OutputTable[[#This Row],[GroupByKey]])*OutputTable[RecordedValue]))</f>
        <v>150</v>
      </c>
    </row>
    <row r="260" spans="1:16" x14ac:dyDescent="0.3">
      <c r="A260" t="s">
        <v>66</v>
      </c>
      <c r="B260" t="s">
        <v>68</v>
      </c>
      <c r="C260">
        <v>12</v>
      </c>
      <c r="D260" t="s">
        <v>115</v>
      </c>
      <c r="E260" t="s">
        <v>111</v>
      </c>
      <c r="F260" t="s">
        <v>95</v>
      </c>
      <c r="G260">
        <v>0.60252520259327202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30</v>
      </c>
      <c r="K260" s="5" cm="1">
        <f t="array" ref="K260">IFERROR(AVERAGE(IF((OutputTable[GroupByKey]=OutputTable[[#This Row],[GroupByKey]]),(OutputTable[GroupByKey]=OutputTable[[#This Row],[GroupByKey]])*OutputTable[RecordedValue])),0)</f>
        <v>0.61071636647106653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4.8363406640152928E-2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260" s="5" cm="1">
        <f t="array" ref="O260">MIN(IF((OutputTable[GroupByKey]=OutputTable[[#This Row],[GroupByKey]]),(OutputTable[GroupByKey]=OutputTable[[#This Row],[GroupByKey]])*OutputTable[RecordedValue]))</f>
        <v>0.517215348442703</v>
      </c>
      <c r="P260" s="5" cm="1">
        <f t="array" ref="P260">MAX(IF((OutputTable[GroupByKey]=OutputTable[[#This Row],[GroupByKey]]),(OutputTable[GroupByKey]=OutputTable[[#This Row],[GroupByKey]])*OutputTable[RecordedValue]))</f>
        <v>0.67770389283754395</v>
      </c>
    </row>
    <row r="261" spans="1:16" x14ac:dyDescent="0.3">
      <c r="A261" t="s">
        <v>66</v>
      </c>
      <c r="B261" t="s">
        <v>68</v>
      </c>
      <c r="C261">
        <v>12</v>
      </c>
      <c r="D261" t="s">
        <v>116</v>
      </c>
      <c r="E261" t="s">
        <v>109</v>
      </c>
      <c r="F261" t="s">
        <v>95</v>
      </c>
      <c r="G261">
        <v>365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30</v>
      </c>
      <c r="K261" s="5" cm="1">
        <f t="array" ref="K261">IFERROR(AVERAGE(IF((OutputTable[GroupByKey]=OutputTable[[#This Row],[GroupByKey]]),(OutputTable[GroupByKey]=OutputTable[[#This Row],[GroupByKey]])*OutputTable[RecordedValue])),0)</f>
        <v>366.5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27.998460548813185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261" s="5" cm="1">
        <f t="array" ref="O261">MIN(IF((OutputTable[GroupByKey]=OutputTable[[#This Row],[GroupByKey]]),(OutputTable[GroupByKey]=OutputTable[[#This Row],[GroupByKey]])*OutputTable[RecordedValue]))</f>
        <v>308</v>
      </c>
      <c r="P261" s="5" cm="1">
        <f t="array" ref="P261">MAX(IF((OutputTable[GroupByKey]=OutputTable[[#This Row],[GroupByKey]]),(OutputTable[GroupByKey]=OutputTable[[#This Row],[GroupByKey]])*OutputTable[RecordedValue]))</f>
        <v>415</v>
      </c>
    </row>
    <row r="262" spans="1:16" x14ac:dyDescent="0.3">
      <c r="A262" t="s">
        <v>66</v>
      </c>
      <c r="B262" t="s">
        <v>68</v>
      </c>
      <c r="C262">
        <v>12</v>
      </c>
      <c r="D262" t="s">
        <v>117</v>
      </c>
      <c r="E262" t="s">
        <v>111</v>
      </c>
      <c r="F262" t="s">
        <v>95</v>
      </c>
      <c r="G262">
        <v>0.16551692449424399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30</v>
      </c>
      <c r="K262" s="5" cm="1">
        <f t="array" ref="K262">IFERROR(AVERAGE(IF((OutputTable[GroupByKey]=OutputTable[[#This Row],[GroupByKey]]),(OutputTable[GroupByKey]=OutputTable[[#This Row],[GroupByKey]])*OutputTable[RecordedValue])),0)</f>
        <v>0.17017204824235124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1.331368412630852E-2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262" s="5" cm="1">
        <f t="array" ref="O262">MIN(IF((OutputTable[GroupByKey]=OutputTable[[#This Row],[GroupByKey]]),(OutputTable[GroupByKey]=OutputTable[[#This Row],[GroupByKey]])*OutputTable[RecordedValue]))</f>
        <v>0.14484829778125299</v>
      </c>
      <c r="P262" s="5" cm="1">
        <f t="array" ref="P262">MAX(IF((OutputTable[GroupByKey]=OutputTable[[#This Row],[GroupByKey]]),(OutputTable[GroupByKey]=OutputTable[[#This Row],[GroupByKey]])*OutputTable[RecordedValue]))</f>
        <v>0.19609322315655101</v>
      </c>
    </row>
    <row r="263" spans="1:16" x14ac:dyDescent="0.3">
      <c r="A263" t="s">
        <v>66</v>
      </c>
      <c r="B263" t="s">
        <v>68</v>
      </c>
      <c r="C263">
        <v>12</v>
      </c>
      <c r="D263" t="s">
        <v>118</v>
      </c>
      <c r="E263" t="s">
        <v>109</v>
      </c>
      <c r="F263" t="s">
        <v>95</v>
      </c>
      <c r="G263">
        <v>70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30</v>
      </c>
      <c r="K263" s="5" cm="1">
        <f t="array" ref="K263">IFERROR(AVERAGE(IF((OutputTable[GroupByKey]=OutputTable[[#This Row],[GroupByKey]]),(OutputTable[GroupByKey]=OutputTable[[#This Row],[GroupByKey]])*OutputTable[RecordedValue])),0)</f>
        <v>67.599999999999994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8.2277914244430335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263" s="5" cm="1">
        <f t="array" ref="O263">MIN(IF((OutputTable[GroupByKey]=OutputTable[[#This Row],[GroupByKey]]),(OutputTable[GroupByKey]=OutputTable[[#This Row],[GroupByKey]])*OutputTable[RecordedValue]))</f>
        <v>53</v>
      </c>
      <c r="P263" s="5" cm="1">
        <f t="array" ref="P263">MAX(IF((OutputTable[GroupByKey]=OutputTable[[#This Row],[GroupByKey]]),(OutputTable[GroupByKey]=OutputTable[[#This Row],[GroupByKey]])*OutputTable[RecordedValue]))</f>
        <v>83</v>
      </c>
    </row>
    <row r="264" spans="1:16" x14ac:dyDescent="0.3">
      <c r="A264" t="s">
        <v>66</v>
      </c>
      <c r="B264" t="s">
        <v>68</v>
      </c>
      <c r="C264">
        <v>12</v>
      </c>
      <c r="D264" t="s">
        <v>119</v>
      </c>
      <c r="E264" t="s">
        <v>111</v>
      </c>
      <c r="F264" t="s">
        <v>95</v>
      </c>
      <c r="G264">
        <v>9.6372163840602001E-2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30</v>
      </c>
      <c r="K264" s="5" cm="1">
        <f t="array" ref="K264">IFERROR(AVERAGE(IF((OutputTable[GroupByKey]=OutputTable[[#This Row],[GroupByKey]]),(OutputTable[GroupByKey]=OutputTable[[#This Row],[GroupByKey]])*OutputTable[RecordedValue])),0)</f>
        <v>9.2629789222133899E-2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1.1199993404883948E-2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264" s="5" cm="1">
        <f t="array" ref="O264">MIN(IF((OutputTable[GroupByKey]=OutputTable[[#This Row],[GroupByKey]]),(OutputTable[GroupByKey]=OutputTable[[#This Row],[GroupByKey]])*OutputTable[RecordedValue]))</f>
        <v>7.4778736536586704E-2</v>
      </c>
      <c r="P264" s="5" cm="1">
        <f t="array" ref="P264">MAX(IF((OutputTable[GroupByKey]=OutputTable[[#This Row],[GroupByKey]]),(OutputTable[GroupByKey]=OutputTable[[#This Row],[GroupByKey]])*OutputTable[RecordedValue]))</f>
        <v>0.111025455742452</v>
      </c>
    </row>
    <row r="265" spans="1:16" x14ac:dyDescent="0.3">
      <c r="A265" t="s">
        <v>66</v>
      </c>
      <c r="B265" t="s">
        <v>68</v>
      </c>
      <c r="C265">
        <v>12</v>
      </c>
      <c r="D265" t="s">
        <v>120</v>
      </c>
      <c r="E265" t="s">
        <v>121</v>
      </c>
      <c r="F265" t="s">
        <v>122</v>
      </c>
      <c r="G265">
        <v>140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ProjectSystem.NumberOutNumber OutSystem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30</v>
      </c>
      <c r="K265" s="5" cm="1">
        <f t="array" ref="K265">IFERROR(AVERAGE(IF((OutputTable[GroupByKey]=OutputTable[[#This Row],[GroupByKey]]),(OutputTable[GroupByKey]=OutputTable[[#This Row],[GroupByKey]])*OutputTable[RecordedValue])),0)</f>
        <v>138.66666666666666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10.59386072484773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265" s="5" cm="1">
        <f t="array" ref="O265">MIN(IF((OutputTable[GroupByKey]=OutputTable[[#This Row],[GroupByKey]]),(OutputTable[GroupByKey]=OutputTable[[#This Row],[GroupByKey]])*OutputTable[RecordedValue]))</f>
        <v>122</v>
      </c>
      <c r="P265" s="5" cm="1">
        <f t="array" ref="P265">MAX(IF((OutputTable[GroupByKey]=OutputTable[[#This Row],[GroupByKey]]),(OutputTable[GroupByKey]=OutputTable[[#This Row],[GroupByKey]])*OutputTable[RecordedValue]))</f>
        <v>158</v>
      </c>
    </row>
    <row r="266" spans="1:16" x14ac:dyDescent="0.3">
      <c r="A266" t="s">
        <v>66</v>
      </c>
      <c r="B266" t="s">
        <v>68</v>
      </c>
      <c r="C266">
        <v>12</v>
      </c>
      <c r="D266" t="s">
        <v>123</v>
      </c>
      <c r="E266" t="s">
        <v>109</v>
      </c>
      <c r="F266" t="s">
        <v>95</v>
      </c>
      <c r="G266">
        <v>317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30</v>
      </c>
      <c r="K266" s="5" cm="1">
        <f t="array" ref="K266">IFERROR(AVERAGE(IF((OutputTable[GroupByKey]=OutputTable[[#This Row],[GroupByKey]]),(OutputTable[GroupByKey]=OutputTable[[#This Row],[GroupByKey]])*OutputTable[RecordedValue])),0)</f>
        <v>324.63333333333333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23.733409208195905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266" s="5" cm="1">
        <f t="array" ref="O266">MIN(IF((OutputTable[GroupByKey]=OutputTable[[#This Row],[GroupByKey]]),(OutputTable[GroupByKey]=OutputTable[[#This Row],[GroupByKey]])*OutputTable[RecordedValue]))</f>
        <v>276</v>
      </c>
      <c r="P266" s="5" cm="1">
        <f t="array" ref="P266">MAX(IF((OutputTable[GroupByKey]=OutputTable[[#This Row],[GroupByKey]]),(OutputTable[GroupByKey]=OutputTable[[#This Row],[GroupByKey]])*OutputTable[RecordedValue]))</f>
        <v>370</v>
      </c>
    </row>
    <row r="267" spans="1:16" x14ac:dyDescent="0.3">
      <c r="A267" t="s">
        <v>66</v>
      </c>
      <c r="B267" t="s">
        <v>68</v>
      </c>
      <c r="C267">
        <v>12</v>
      </c>
      <c r="D267" t="s">
        <v>124</v>
      </c>
      <c r="E267" t="s">
        <v>111</v>
      </c>
      <c r="F267" t="s">
        <v>95</v>
      </c>
      <c r="G267">
        <v>0.77693020576993899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30</v>
      </c>
      <c r="K267" s="5" cm="1">
        <f t="array" ref="K267">IFERROR(AVERAGE(IF((OutputTable[GroupByKey]=OutputTable[[#This Row],[GroupByKey]]),(OutputTable[GroupByKey]=OutputTable[[#This Row],[GroupByKey]])*OutputTable[RecordedValue])),0)</f>
        <v>0.78890367752589419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5.7743599319329868E-2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267" s="5" cm="1">
        <f t="array" ref="O267">MIN(IF((OutputTable[GroupByKey]=OutputTable[[#This Row],[GroupByKey]]),(OutputTable[GroupByKey]=OutputTable[[#This Row],[GroupByKey]])*OutputTable[RecordedValue]))</f>
        <v>0.68630817725209003</v>
      </c>
      <c r="P267" s="5" cm="1">
        <f t="array" ref="P267">MAX(IF((OutputTable[GroupByKey]=OutputTable[[#This Row],[GroupByKey]]),(OutputTable[GroupByKey]=OutputTable[[#This Row],[GroupByKey]])*OutputTable[RecordedValue]))</f>
        <v>0.89844569749382897</v>
      </c>
    </row>
    <row r="268" spans="1:16" x14ac:dyDescent="0.3">
      <c r="A268" t="s">
        <v>66</v>
      </c>
      <c r="B268" t="s">
        <v>68</v>
      </c>
      <c r="C268">
        <v>12</v>
      </c>
      <c r="D268" t="s">
        <v>125</v>
      </c>
      <c r="E268" t="s">
        <v>126</v>
      </c>
      <c r="F268" t="s">
        <v>86</v>
      </c>
      <c r="G268">
        <v>181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ProjectVisitantes.NumberInNumber InEntity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30</v>
      </c>
      <c r="K268" s="5" cm="1">
        <f t="array" ref="K268">IFERROR(AVERAGE(IF((OutputTable[GroupByKey]=OutputTable[[#This Row],[GroupByKey]]),(OutputTable[GroupByKey]=OutputTable[[#This Row],[GroupByKey]])*OutputTable[RecordedValue])),0)</f>
        <v>194.43333333333334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19.567184586538712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268" s="5" cm="1">
        <f t="array" ref="O268">MIN(IF((OutputTable[GroupByKey]=OutputTable[[#This Row],[GroupByKey]]),(OutputTable[GroupByKey]=OutputTable[[#This Row],[GroupByKey]])*OutputTable[RecordedValue]))</f>
        <v>158</v>
      </c>
      <c r="P268" s="5" cm="1">
        <f t="array" ref="P268">MAX(IF((OutputTable[GroupByKey]=OutputTable[[#This Row],[GroupByKey]]),(OutputTable[GroupByKey]=OutputTable[[#This Row],[GroupByKey]])*OutputTable[RecordedValue]))</f>
        <v>255</v>
      </c>
    </row>
    <row r="269" spans="1:16" x14ac:dyDescent="0.3">
      <c r="A269" t="s">
        <v>66</v>
      </c>
      <c r="B269" t="s">
        <v>68</v>
      </c>
      <c r="C269">
        <v>12</v>
      </c>
      <c r="D269" t="s">
        <v>127</v>
      </c>
      <c r="E269" t="s">
        <v>121</v>
      </c>
      <c r="F269" t="s">
        <v>86</v>
      </c>
      <c r="G269">
        <v>140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ProjectVisitantes.NumberOutNumber OutEntity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30</v>
      </c>
      <c r="K269" s="5" cm="1">
        <f t="array" ref="K269">IFERROR(AVERAGE(IF((OutputTable[GroupByKey]=OutputTable[[#This Row],[GroupByKey]]),(OutputTable[GroupByKey]=OutputTable[[#This Row],[GroupByKey]])*OutputTable[RecordedValue])),0)</f>
        <v>138.66666666666666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10.59386072484773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269" s="5" cm="1">
        <f t="array" ref="O269">MIN(IF((OutputTable[GroupByKey]=OutputTable[[#This Row],[GroupByKey]]),(OutputTable[GroupByKey]=OutputTable[[#This Row],[GroupByKey]])*OutputTable[RecordedValue]))</f>
        <v>122</v>
      </c>
      <c r="P269" s="5" cm="1">
        <f t="array" ref="P269">MAX(IF((OutputTable[GroupByKey]=OutputTable[[#This Row],[GroupByKey]]),(OutputTable[GroupByKey]=OutputTable[[#This Row],[GroupByKey]])*OutputTable[RecordedValue]))</f>
        <v>158</v>
      </c>
    </row>
    <row r="270" spans="1:16" x14ac:dyDescent="0.3">
      <c r="A270" t="s">
        <v>66</v>
      </c>
      <c r="B270" t="s">
        <v>68</v>
      </c>
      <c r="C270">
        <v>12</v>
      </c>
      <c r="D270" t="s">
        <v>128</v>
      </c>
      <c r="E270" t="s">
        <v>109</v>
      </c>
      <c r="F270" t="s">
        <v>95</v>
      </c>
      <c r="G270">
        <v>0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30</v>
      </c>
      <c r="K270" s="5" cm="1">
        <f t="array" ref="K270">IFERROR(AVERAGE(IF((OutputTable[GroupByKey]=OutputTable[[#This Row],[GroupByKey]]),(OutputTable[GroupByKey]=OutputTable[[#This Row],[GroupByKey]])*OutputTable[RecordedValue])),0)</f>
        <v>0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0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0" s="5" cm="1">
        <f t="array" ref="O270">MIN(IF((OutputTable[GroupByKey]=OutputTable[[#This Row],[GroupByKey]]),(OutputTable[GroupByKey]=OutputTable[[#This Row],[GroupByKey]])*OutputTable[RecordedValue]))</f>
        <v>0</v>
      </c>
      <c r="P270" s="5" cm="1">
        <f t="array" ref="P270">MAX(IF((OutputTable[GroupByKey]=OutputTable[[#This Row],[GroupByKey]]),(OutputTable[GroupByKey]=OutputTable[[#This Row],[GroupByKey]])*OutputTable[RecordedValue]))</f>
        <v>0</v>
      </c>
    </row>
    <row r="271" spans="1:16" x14ac:dyDescent="0.3">
      <c r="A271" t="s">
        <v>66</v>
      </c>
      <c r="B271" t="s">
        <v>68</v>
      </c>
      <c r="C271">
        <v>12</v>
      </c>
      <c r="D271" t="s">
        <v>129</v>
      </c>
      <c r="E271" t="s">
        <v>111</v>
      </c>
      <c r="F271" t="s">
        <v>95</v>
      </c>
      <c r="G271">
        <v>0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30</v>
      </c>
      <c r="K271" s="5" cm="1">
        <f t="array" ref="K271">IFERROR(AVERAGE(IF((OutputTable[GroupByKey]=OutputTable[[#This Row],[GroupByKey]]),(OutputTable[GroupByKey]=OutputTable[[#This Row],[GroupByKey]])*OutputTable[RecordedValue])),0)</f>
        <v>0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0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1" s="5" cm="1">
        <f t="array" ref="O271">MIN(IF((OutputTable[GroupByKey]=OutputTable[[#This Row],[GroupByKey]]),(OutputTable[GroupByKey]=OutputTable[[#This Row],[GroupByKey]])*OutputTable[RecordedValue]))</f>
        <v>0</v>
      </c>
      <c r="P271" s="5" cm="1">
        <f t="array" ref="P271">MAX(IF((OutputTable[GroupByKey]=OutputTable[[#This Row],[GroupByKey]]),(OutputTable[GroupByKey]=OutputTable[[#This Row],[GroupByKey]])*OutputTable[RecordedValue]))</f>
        <v>0</v>
      </c>
    </row>
    <row r="272" spans="1:16" x14ac:dyDescent="0.3">
      <c r="A272" t="s">
        <v>66</v>
      </c>
      <c r="B272" t="s">
        <v>68</v>
      </c>
      <c r="C272">
        <v>12</v>
      </c>
      <c r="D272" t="s">
        <v>130</v>
      </c>
      <c r="E272" t="s">
        <v>109</v>
      </c>
      <c r="F272" t="s">
        <v>95</v>
      </c>
      <c r="G272">
        <v>101</v>
      </c>
      <c r="H272">
        <v>0</v>
      </c>
      <c r="I272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30</v>
      </c>
      <c r="K272" s="5" cm="1">
        <f t="array" ref="K272">IFERROR(AVERAGE(IF((OutputTable[GroupByKey]=OutputTable[[#This Row],[GroupByKey]]),(OutputTable[GroupByKey]=OutputTable[[#This Row],[GroupByKey]])*OutputTable[RecordedValue])),0)</f>
        <v>99.666666666666671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11.021400290698853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272" s="5" cm="1">
        <f t="array" ref="O272">MIN(IF((OutputTable[GroupByKey]=OutputTable[[#This Row],[GroupByKey]]),(OutputTable[GroupByKey]=OutputTable[[#This Row],[GroupByKey]])*OutputTable[RecordedValue]))</f>
        <v>84</v>
      </c>
      <c r="P272" s="5" cm="1">
        <f t="array" ref="P272">MAX(IF((OutputTable[GroupByKey]=OutputTable[[#This Row],[GroupByKey]]),(OutputTable[GroupByKey]=OutputTable[[#This Row],[GroupByKey]])*OutputTable[RecordedValue]))</f>
        <v>133</v>
      </c>
    </row>
    <row r="273" spans="1:16" x14ac:dyDescent="0.3">
      <c r="A273" t="s">
        <v>66</v>
      </c>
      <c r="B273" t="s">
        <v>68</v>
      </c>
      <c r="C273">
        <v>12</v>
      </c>
      <c r="D273" t="s">
        <v>131</v>
      </c>
      <c r="E273" t="s">
        <v>111</v>
      </c>
      <c r="F273" t="s">
        <v>95</v>
      </c>
      <c r="G273">
        <v>0.86267190035330898</v>
      </c>
      <c r="H273">
        <v>0</v>
      </c>
      <c r="I273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30</v>
      </c>
      <c r="K273" s="5" cm="1">
        <f t="array" ref="K273">IFERROR(AVERAGE(IF((OutputTable[GroupByKey]=OutputTable[[#This Row],[GroupByKey]]),(OutputTable[GroupByKey]=OutputTable[[#This Row],[GroupByKey]])*OutputTable[RecordedValue])),0)</f>
        <v>0.81099663999028448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0.1069626954834289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273" s="5" cm="1">
        <f t="array" ref="O273">MIN(IF((OutputTable[GroupByKey]=OutputTable[[#This Row],[GroupByKey]]),(OutputTable[GroupByKey]=OutputTable[[#This Row],[GroupByKey]])*OutputTable[RecordedValue]))</f>
        <v>0.634589476164233</v>
      </c>
      <c r="P273" s="5" cm="1">
        <f t="array" ref="P273">MAX(IF((OutputTable[GroupByKey]=OutputTable[[#This Row],[GroupByKey]]),(OutputTable[GroupByKey]=OutputTable[[#This Row],[GroupByKey]])*OutputTable[RecordedValue]))</f>
        <v>0.99383259650362799</v>
      </c>
    </row>
    <row r="274" spans="1:16" x14ac:dyDescent="0.3">
      <c r="A274" t="s">
        <v>66</v>
      </c>
      <c r="B274" t="s">
        <v>68</v>
      </c>
      <c r="C274">
        <v>12</v>
      </c>
      <c r="D274" t="s">
        <v>132</v>
      </c>
      <c r="E274" t="s">
        <v>109</v>
      </c>
      <c r="F274" t="s">
        <v>95</v>
      </c>
      <c r="G274">
        <v>50</v>
      </c>
      <c r="H274">
        <v>0</v>
      </c>
      <c r="I274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30</v>
      </c>
      <c r="K274" s="5" cm="1">
        <f t="array" ref="K274">IFERROR(AVERAGE(IF((OutputTable[GroupByKey]=OutputTable[[#This Row],[GroupByKey]]),(OutputTable[GroupByKey]=OutputTable[[#This Row],[GroupByKey]])*OutputTable[RecordedValue])),0)</f>
        <v>51.966666666666669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7.0636677653220881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274" s="5" cm="1">
        <f t="array" ref="O274">MIN(IF((OutputTable[GroupByKey]=OutputTable[[#This Row],[GroupByKey]]),(OutputTable[GroupByKey]=OutputTable[[#This Row],[GroupByKey]])*OutputTable[RecordedValue]))</f>
        <v>40</v>
      </c>
      <c r="P274" s="5" cm="1">
        <f t="array" ref="P274">MAX(IF((OutputTable[GroupByKey]=OutputTable[[#This Row],[GroupByKey]]),(OutputTable[GroupByKey]=OutputTable[[#This Row],[GroupByKey]])*OutputTable[RecordedValue]))</f>
        <v>70</v>
      </c>
    </row>
    <row r="275" spans="1:16" x14ac:dyDescent="0.3">
      <c r="A275" t="s">
        <v>66</v>
      </c>
      <c r="B275" t="s">
        <v>68</v>
      </c>
      <c r="C275">
        <v>12</v>
      </c>
      <c r="D275" t="s">
        <v>133</v>
      </c>
      <c r="E275" t="s">
        <v>111</v>
      </c>
      <c r="F275" t="s">
        <v>95</v>
      </c>
      <c r="G275">
        <v>0.92215993565851195</v>
      </c>
      <c r="H275">
        <v>0</v>
      </c>
      <c r="I275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30</v>
      </c>
      <c r="K275" s="5" cm="1">
        <f t="array" ref="K275">IFERROR(AVERAGE(IF((OutputTable[GroupByKey]=OutputTable[[#This Row],[GroupByKey]]),(OutputTable[GroupByKey]=OutputTable[[#This Row],[GroupByKey]])*OutputTable[RecordedValue])),0)</f>
        <v>0.86404173385398308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7.7429091138254261E-2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275" s="5" cm="1">
        <f t="array" ref="O275">MIN(IF((OutputTable[GroupByKey]=OutputTable[[#This Row],[GroupByKey]]),(OutputTable[GroupByKey]=OutputTable[[#This Row],[GroupByKey]])*OutputTable[RecordedValue]))</f>
        <v>0.74061105631083801</v>
      </c>
      <c r="P275" s="5" cm="1">
        <f t="array" ref="P275">MAX(IF((OutputTable[GroupByKey]=OutputTable[[#This Row],[GroupByKey]]),(OutputTable[GroupByKey]=OutputTable[[#This Row],[GroupByKey]])*OutputTable[RecordedValue]))</f>
        <v>0.99245161744166299</v>
      </c>
    </row>
    <row r="276" spans="1:16" x14ac:dyDescent="0.3">
      <c r="A276" t="s">
        <v>66</v>
      </c>
      <c r="B276" t="s">
        <v>68</v>
      </c>
      <c r="C276">
        <v>12</v>
      </c>
      <c r="D276" t="s">
        <v>134</v>
      </c>
      <c r="E276" t="s">
        <v>109</v>
      </c>
      <c r="F276" t="s">
        <v>95</v>
      </c>
      <c r="G276">
        <v>28</v>
      </c>
      <c r="H276">
        <v>0</v>
      </c>
      <c r="I276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30</v>
      </c>
      <c r="K276" s="5" cm="1">
        <f t="array" ref="K276">IFERROR(AVERAGE(IF((OutputTable[GroupByKey]=OutputTable[[#This Row],[GroupByKey]]),(OutputTable[GroupByKey]=OutputTable[[#This Row],[GroupByKey]])*OutputTable[RecordedValue])),0)</f>
        <v>36.233333333333334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4.775536318198915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276" s="5" cm="1">
        <f t="array" ref="O276">MIN(IF((OutputTable[GroupByKey]=OutputTable[[#This Row],[GroupByKey]]),(OutputTable[GroupByKey]=OutputTable[[#This Row],[GroupByKey]])*OutputTable[RecordedValue]))</f>
        <v>28</v>
      </c>
      <c r="P276" s="5" cm="1">
        <f t="array" ref="P276">MAX(IF((OutputTable[GroupByKey]=OutputTable[[#This Row],[GroupByKey]]),(OutputTable[GroupByKey]=OutputTable[[#This Row],[GroupByKey]])*OutputTable[RecordedValue]))</f>
        <v>48</v>
      </c>
    </row>
    <row r="277" spans="1:16" x14ac:dyDescent="0.3">
      <c r="A277" t="s">
        <v>66</v>
      </c>
      <c r="B277" t="s">
        <v>68</v>
      </c>
      <c r="C277">
        <v>12</v>
      </c>
      <c r="D277" t="s">
        <v>135</v>
      </c>
      <c r="E277" t="s">
        <v>111</v>
      </c>
      <c r="F277" t="s">
        <v>95</v>
      </c>
      <c r="G277">
        <v>0.92801019582311495</v>
      </c>
      <c r="H277">
        <v>0</v>
      </c>
      <c r="I277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30</v>
      </c>
      <c r="K277" s="5" cm="1">
        <f t="array" ref="K277">IFERROR(AVERAGE(IF((OutputTable[GroupByKey]=OutputTable[[#This Row],[GroupByKey]]),(OutputTable[GroupByKey]=OutputTable[[#This Row],[GroupByKey]])*OutputTable[RecordedValue])),0)</f>
        <v>0.88098039877461687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6.9783648638161486E-2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277" s="5" cm="1">
        <f t="array" ref="O277">MIN(IF((OutputTable[GroupByKey]=OutputTable[[#This Row],[GroupByKey]]),(OutputTable[GroupByKey]=OutputTable[[#This Row],[GroupByKey]])*OutputTable[RecordedValue]))</f>
        <v>0.73843386001690303</v>
      </c>
      <c r="P277" s="5" cm="1">
        <f t="array" ref="P277">MAX(IF((OutputTable[GroupByKey]=OutputTable[[#This Row],[GroupByKey]]),(OutputTable[GroupByKey]=OutputTable[[#This Row],[GroupByKey]])*OutputTable[RecordedValue]))</f>
        <v>0.99245161744166299</v>
      </c>
    </row>
    <row r="278" spans="1:16" x14ac:dyDescent="0.3">
      <c r="A278" t="s">
        <v>66</v>
      </c>
      <c r="B278" t="s">
        <v>68</v>
      </c>
      <c r="C278">
        <v>13</v>
      </c>
      <c r="D278" t="s">
        <v>108</v>
      </c>
      <c r="E278" t="s">
        <v>109</v>
      </c>
      <c r="F278" t="s">
        <v>95</v>
      </c>
      <c r="G278">
        <v>37</v>
      </c>
      <c r="H278">
        <v>0</v>
      </c>
      <c r="I278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30</v>
      </c>
      <c r="K278" s="5" cm="1">
        <f t="array" ref="K278">IFERROR(AVERAGE(IF((OutputTable[GroupByKey]=OutputTable[[#This Row],[GroupByKey]]),(OutputTable[GroupByKey]=OutputTable[[#This Row],[GroupByKey]])*OutputTable[RecordedValue])),0)</f>
        <v>34.633333333333333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6.3326375903390151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278" s="5" cm="1">
        <f t="array" ref="O278">MIN(IF((OutputTable[GroupByKey]=OutputTable[[#This Row],[GroupByKey]]),(OutputTable[GroupByKey]=OutputTable[[#This Row],[GroupByKey]])*OutputTable[RecordedValue]))</f>
        <v>24</v>
      </c>
      <c r="P278" s="5" cm="1">
        <f t="array" ref="P278">MAX(IF((OutputTable[GroupByKey]=OutputTable[[#This Row],[GroupByKey]]),(OutputTable[GroupByKey]=OutputTable[[#This Row],[GroupByKey]])*OutputTable[RecordedValue]))</f>
        <v>47</v>
      </c>
    </row>
    <row r="279" spans="1:16" x14ac:dyDescent="0.3">
      <c r="A279" t="s">
        <v>66</v>
      </c>
      <c r="B279" t="s">
        <v>68</v>
      </c>
      <c r="C279">
        <v>13</v>
      </c>
      <c r="D279" t="s">
        <v>110</v>
      </c>
      <c r="E279" t="s">
        <v>111</v>
      </c>
      <c r="F279" t="s">
        <v>95</v>
      </c>
      <c r="G279">
        <v>3.6206108576948497E-2</v>
      </c>
      <c r="H279">
        <v>0</v>
      </c>
      <c r="I279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30</v>
      </c>
      <c r="K279" s="5" cm="1">
        <f t="array" ref="K279">IFERROR(AVERAGE(IF((OutputTable[GroupByKey]=OutputTable[[#This Row],[GroupByKey]]),(OutputTable[GroupByKey]=OutputTable[[#This Row],[GroupByKey]])*OutputTable[RecordedValue])),0)</f>
        <v>3.5359789427834361E-2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6.6521615975834569E-3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279" s="5" cm="1">
        <f t="array" ref="O279">MIN(IF((OutputTable[GroupByKey]=OutputTable[[#This Row],[GroupByKey]]),(OutputTable[GroupByKey]=OutputTable[[#This Row],[GroupByKey]])*OutputTable[RecordedValue]))</f>
        <v>2.3718114155243601E-2</v>
      </c>
      <c r="P279" s="5" cm="1">
        <f t="array" ref="P279">MAX(IF((OutputTable[GroupByKey]=OutputTable[[#This Row],[GroupByKey]]),(OutputTable[GroupByKey]=OutputTable[[#This Row],[GroupByKey]])*OutputTable[RecordedValue]))</f>
        <v>4.8583931724403701E-2</v>
      </c>
    </row>
    <row r="280" spans="1:16" x14ac:dyDescent="0.3">
      <c r="A280" t="s">
        <v>66</v>
      </c>
      <c r="B280" t="s">
        <v>68</v>
      </c>
      <c r="C280">
        <v>13</v>
      </c>
      <c r="D280" t="s">
        <v>112</v>
      </c>
      <c r="E280" t="s">
        <v>109</v>
      </c>
      <c r="F280" t="s">
        <v>95</v>
      </c>
      <c r="G280">
        <v>108</v>
      </c>
      <c r="H280">
        <v>0</v>
      </c>
      <c r="I280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30</v>
      </c>
      <c r="K280" s="5" cm="1">
        <f t="array" ref="K280">IFERROR(AVERAGE(IF((OutputTable[GroupByKey]=OutputTable[[#This Row],[GroupByKey]]),(OutputTable[GroupByKey]=OutputTable[[#This Row],[GroupByKey]])*OutputTable[RecordedValue])),0)</f>
        <v>105.13333333333334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9.9020490158675578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280" s="5" cm="1">
        <f t="array" ref="O280">MIN(IF((OutputTable[GroupByKey]=OutputTable[[#This Row],[GroupByKey]]),(OutputTable[GroupByKey]=OutputTable[[#This Row],[GroupByKey]])*OutputTable[RecordedValue]))</f>
        <v>90</v>
      </c>
      <c r="P280" s="5" cm="1">
        <f t="array" ref="P280">MAX(IF((OutputTable[GroupByKey]=OutputTable[[#This Row],[GroupByKey]]),(OutputTable[GroupByKey]=OutputTable[[#This Row],[GroupByKey]])*OutputTable[RecordedValue]))</f>
        <v>120</v>
      </c>
    </row>
    <row r="281" spans="1:16" x14ac:dyDescent="0.3">
      <c r="A281" t="s">
        <v>66</v>
      </c>
      <c r="B281" t="s">
        <v>68</v>
      </c>
      <c r="C281">
        <v>13</v>
      </c>
      <c r="D281" t="s">
        <v>113</v>
      </c>
      <c r="E281" t="s">
        <v>111</v>
      </c>
      <c r="F281" t="s">
        <v>95</v>
      </c>
      <c r="G281">
        <v>0.25194145829438302</v>
      </c>
      <c r="H281">
        <v>0</v>
      </c>
      <c r="I281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30</v>
      </c>
      <c r="K281" s="5" cm="1">
        <f t="array" ref="K281">IFERROR(AVERAGE(IF((OutputTable[GroupByKey]=OutputTable[[#This Row],[GroupByKey]]),(OutputTable[GroupByKey]=OutputTable[[#This Row],[GroupByKey]])*OutputTable[RecordedValue])),0)</f>
        <v>0.24658598119222253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2.3372241503878202E-2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281" s="5" cm="1">
        <f t="array" ref="O281">MIN(IF((OutputTable[GroupByKey]=OutputTable[[#This Row],[GroupByKey]]),(OutputTable[GroupByKey]=OutputTable[[#This Row],[GroupByKey]])*OutputTable[RecordedValue]))</f>
        <v>0.20767736113278101</v>
      </c>
      <c r="P281" s="5" cm="1">
        <f t="array" ref="P281">MAX(IF((OutputTable[GroupByKey]=OutputTable[[#This Row],[GroupByKey]]),(OutputTable[GroupByKey]=OutputTable[[#This Row],[GroupByKey]])*OutputTable[RecordedValue]))</f>
        <v>0.28501162927715601</v>
      </c>
    </row>
    <row r="282" spans="1:16" x14ac:dyDescent="0.3">
      <c r="A282" t="s">
        <v>66</v>
      </c>
      <c r="B282" t="s">
        <v>68</v>
      </c>
      <c r="C282">
        <v>13</v>
      </c>
      <c r="D282" t="s">
        <v>114</v>
      </c>
      <c r="E282" t="s">
        <v>109</v>
      </c>
      <c r="F282" t="s">
        <v>95</v>
      </c>
      <c r="G282">
        <v>119</v>
      </c>
      <c r="H282">
        <v>0</v>
      </c>
      <c r="I282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30</v>
      </c>
      <c r="K282" s="5" cm="1">
        <f t="array" ref="K282">IFERROR(AVERAGE(IF((OutputTable[GroupByKey]=OutputTable[[#This Row],[GroupByKey]]),(OutputTable[GroupByKey]=OutputTable[[#This Row],[GroupByKey]])*OutputTable[RecordedValue])),0)</f>
        <v>130.19999999999999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9.6932255049418501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282" s="5" cm="1">
        <f t="array" ref="O282">MIN(IF((OutputTable[GroupByKey]=OutputTable[[#This Row],[GroupByKey]]),(OutputTable[GroupByKey]=OutputTable[[#This Row],[GroupByKey]])*OutputTable[RecordedValue]))</f>
        <v>112</v>
      </c>
      <c r="P282" s="5" cm="1">
        <f t="array" ref="P282">MAX(IF((OutputTable[GroupByKey]=OutputTable[[#This Row],[GroupByKey]]),(OutputTable[GroupByKey]=OutputTable[[#This Row],[GroupByKey]])*OutputTable[RecordedValue]))</f>
        <v>150</v>
      </c>
    </row>
    <row r="283" spans="1:16" x14ac:dyDescent="0.3">
      <c r="A283" t="s">
        <v>66</v>
      </c>
      <c r="B283" t="s">
        <v>68</v>
      </c>
      <c r="C283">
        <v>13</v>
      </c>
      <c r="D283" t="s">
        <v>115</v>
      </c>
      <c r="E283" t="s">
        <v>111</v>
      </c>
      <c r="F283" t="s">
        <v>95</v>
      </c>
      <c r="G283">
        <v>0.56227626351082505</v>
      </c>
      <c r="H283">
        <v>0</v>
      </c>
      <c r="I283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30</v>
      </c>
      <c r="K283" s="5" cm="1">
        <f t="array" ref="K283">IFERROR(AVERAGE(IF((OutputTable[GroupByKey]=OutputTable[[#This Row],[GroupByKey]]),(OutputTable[GroupByKey]=OutputTable[[#This Row],[GroupByKey]])*OutputTable[RecordedValue])),0)</f>
        <v>0.61071636647106653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4.8363406640152928E-2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283" s="5" cm="1">
        <f t="array" ref="O283">MIN(IF((OutputTable[GroupByKey]=OutputTable[[#This Row],[GroupByKey]]),(OutputTable[GroupByKey]=OutputTable[[#This Row],[GroupByKey]])*OutputTable[RecordedValue]))</f>
        <v>0.517215348442703</v>
      </c>
      <c r="P283" s="5" cm="1">
        <f t="array" ref="P283">MAX(IF((OutputTable[GroupByKey]=OutputTable[[#This Row],[GroupByKey]]),(OutputTable[GroupByKey]=OutputTable[[#This Row],[GroupByKey]])*OutputTable[RecordedValue]))</f>
        <v>0.67770389283754395</v>
      </c>
    </row>
    <row r="284" spans="1:16" x14ac:dyDescent="0.3">
      <c r="A284" t="s">
        <v>66</v>
      </c>
      <c r="B284" t="s">
        <v>68</v>
      </c>
      <c r="C284">
        <v>13</v>
      </c>
      <c r="D284" t="s">
        <v>116</v>
      </c>
      <c r="E284" t="s">
        <v>109</v>
      </c>
      <c r="F284" t="s">
        <v>95</v>
      </c>
      <c r="G284">
        <v>353</v>
      </c>
      <c r="H284">
        <v>0</v>
      </c>
      <c r="I284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30</v>
      </c>
      <c r="K284" s="5" cm="1">
        <f t="array" ref="K284">IFERROR(AVERAGE(IF((OutputTable[GroupByKey]=OutputTable[[#This Row],[GroupByKey]]),(OutputTable[GroupByKey]=OutputTable[[#This Row],[GroupByKey]])*OutputTable[RecordedValue])),0)</f>
        <v>366.5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27.998460548813185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284" s="5" cm="1">
        <f t="array" ref="O284">MIN(IF((OutputTable[GroupByKey]=OutputTable[[#This Row],[GroupByKey]]),(OutputTable[GroupByKey]=OutputTable[[#This Row],[GroupByKey]])*OutputTable[RecordedValue]))</f>
        <v>308</v>
      </c>
      <c r="P284" s="5" cm="1">
        <f t="array" ref="P284">MAX(IF((OutputTable[GroupByKey]=OutputTable[[#This Row],[GroupByKey]]),(OutputTable[GroupByKey]=OutputTable[[#This Row],[GroupByKey]])*OutputTable[RecordedValue]))</f>
        <v>415</v>
      </c>
    </row>
    <row r="285" spans="1:16" x14ac:dyDescent="0.3">
      <c r="A285" t="s">
        <v>66</v>
      </c>
      <c r="B285" t="s">
        <v>68</v>
      </c>
      <c r="C285">
        <v>13</v>
      </c>
      <c r="D285" t="s">
        <v>117</v>
      </c>
      <c r="E285" t="s">
        <v>111</v>
      </c>
      <c r="F285" t="s">
        <v>95</v>
      </c>
      <c r="G285">
        <v>0.16392696373210799</v>
      </c>
      <c r="H285">
        <v>0</v>
      </c>
      <c r="I285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30</v>
      </c>
      <c r="K285" s="5" cm="1">
        <f t="array" ref="K285">IFERROR(AVERAGE(IF((OutputTable[GroupByKey]=OutputTable[[#This Row],[GroupByKey]]),(OutputTable[GroupByKey]=OutputTable[[#This Row],[GroupByKey]])*OutputTable[RecordedValue])),0)</f>
        <v>0.17017204824235124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1.331368412630852E-2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285" s="5" cm="1">
        <f t="array" ref="O285">MIN(IF((OutputTable[GroupByKey]=OutputTable[[#This Row],[GroupByKey]]),(OutputTable[GroupByKey]=OutputTable[[#This Row],[GroupByKey]])*OutputTable[RecordedValue]))</f>
        <v>0.14484829778125299</v>
      </c>
      <c r="P285" s="5" cm="1">
        <f t="array" ref="P285">MAX(IF((OutputTable[GroupByKey]=OutputTable[[#This Row],[GroupByKey]]),(OutputTable[GroupByKey]=OutputTable[[#This Row],[GroupByKey]])*OutputTable[RecordedValue]))</f>
        <v>0.19609322315655101</v>
      </c>
    </row>
    <row r="286" spans="1:16" x14ac:dyDescent="0.3">
      <c r="A286" t="s">
        <v>66</v>
      </c>
      <c r="B286" t="s">
        <v>68</v>
      </c>
      <c r="C286">
        <v>13</v>
      </c>
      <c r="D286" t="s">
        <v>118</v>
      </c>
      <c r="E286" t="s">
        <v>109</v>
      </c>
      <c r="F286" t="s">
        <v>95</v>
      </c>
      <c r="G286">
        <v>64</v>
      </c>
      <c r="H286">
        <v>0</v>
      </c>
      <c r="I286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30</v>
      </c>
      <c r="K286" s="5" cm="1">
        <f t="array" ref="K286">IFERROR(AVERAGE(IF((OutputTable[GroupByKey]=OutputTable[[#This Row],[GroupByKey]]),(OutputTable[GroupByKey]=OutputTable[[#This Row],[GroupByKey]])*OutputTable[RecordedValue])),0)</f>
        <v>67.599999999999994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8.2277914244430335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286" s="5" cm="1">
        <f t="array" ref="O286">MIN(IF((OutputTable[GroupByKey]=OutputTable[[#This Row],[GroupByKey]]),(OutputTable[GroupByKey]=OutputTable[[#This Row],[GroupByKey]])*OutputTable[RecordedValue]))</f>
        <v>53</v>
      </c>
      <c r="P286" s="5" cm="1">
        <f t="array" ref="P286">MAX(IF((OutputTable[GroupByKey]=OutputTable[[#This Row],[GroupByKey]]),(OutputTable[GroupByKey]=OutputTable[[#This Row],[GroupByKey]])*OutputTable[RecordedValue]))</f>
        <v>83</v>
      </c>
    </row>
    <row r="287" spans="1:16" x14ac:dyDescent="0.3">
      <c r="A287" t="s">
        <v>66</v>
      </c>
      <c r="B287" t="s">
        <v>68</v>
      </c>
      <c r="C287">
        <v>13</v>
      </c>
      <c r="D287" t="s">
        <v>119</v>
      </c>
      <c r="E287" t="s">
        <v>111</v>
      </c>
      <c r="F287" t="s">
        <v>95</v>
      </c>
      <c r="G287">
        <v>8.9734787248045803E-2</v>
      </c>
      <c r="H287">
        <v>0</v>
      </c>
      <c r="I287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30</v>
      </c>
      <c r="K287" s="5" cm="1">
        <f t="array" ref="K287">IFERROR(AVERAGE(IF((OutputTable[GroupByKey]=OutputTable[[#This Row],[GroupByKey]]),(OutputTable[GroupByKey]=OutputTable[[#This Row],[GroupByKey]])*OutputTable[RecordedValue])),0)</f>
        <v>9.2629789222133899E-2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1.1199993404883948E-2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287" s="5" cm="1">
        <f t="array" ref="O287">MIN(IF((OutputTable[GroupByKey]=OutputTable[[#This Row],[GroupByKey]]),(OutputTable[GroupByKey]=OutputTable[[#This Row],[GroupByKey]])*OutputTable[RecordedValue]))</f>
        <v>7.4778736536586704E-2</v>
      </c>
      <c r="P287" s="5" cm="1">
        <f t="array" ref="P287">MAX(IF((OutputTable[GroupByKey]=OutputTable[[#This Row],[GroupByKey]]),(OutputTable[GroupByKey]=OutputTable[[#This Row],[GroupByKey]])*OutputTable[RecordedValue]))</f>
        <v>0.111025455742452</v>
      </c>
    </row>
    <row r="288" spans="1:16" x14ac:dyDescent="0.3">
      <c r="A288" t="s">
        <v>66</v>
      </c>
      <c r="B288" t="s">
        <v>68</v>
      </c>
      <c r="C288">
        <v>13</v>
      </c>
      <c r="D288" t="s">
        <v>120</v>
      </c>
      <c r="E288" t="s">
        <v>121</v>
      </c>
      <c r="F288" t="s">
        <v>122</v>
      </c>
      <c r="G288">
        <v>131</v>
      </c>
      <c r="H288">
        <v>0</v>
      </c>
      <c r="I288" s="5" t="str">
        <f>OutputTable[[#This Row],[ProjectName]]&amp;OutputTable[[#This Row],[Name]]&amp;OutputTable[[#This Row],[Type]]&amp;OutputTable[[#This Row],[Source]]</f>
        <v>Unnamed ProjectSystem.NumberOutNumber OutSystem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30</v>
      </c>
      <c r="K288" s="5" cm="1">
        <f t="array" ref="K288">IFERROR(AVERAGE(IF((OutputTable[GroupByKey]=OutputTable[[#This Row],[GroupByKey]]),(OutputTable[GroupByKey]=OutputTable[[#This Row],[GroupByKey]])*OutputTable[RecordedValue])),0)</f>
        <v>138.66666666666666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10.59386072484773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288" s="5" cm="1">
        <f t="array" ref="O288">MIN(IF((OutputTable[GroupByKey]=OutputTable[[#This Row],[GroupByKey]]),(OutputTable[GroupByKey]=OutputTable[[#This Row],[GroupByKey]])*OutputTable[RecordedValue]))</f>
        <v>122</v>
      </c>
      <c r="P288" s="5" cm="1">
        <f t="array" ref="P288">MAX(IF((OutputTable[GroupByKey]=OutputTable[[#This Row],[GroupByKey]]),(OutputTable[GroupByKey]=OutputTable[[#This Row],[GroupByKey]])*OutputTable[RecordedValue]))</f>
        <v>158</v>
      </c>
    </row>
    <row r="289" spans="1:16" x14ac:dyDescent="0.3">
      <c r="A289" t="s">
        <v>66</v>
      </c>
      <c r="B289" t="s">
        <v>68</v>
      </c>
      <c r="C289">
        <v>13</v>
      </c>
      <c r="D289" t="s">
        <v>123</v>
      </c>
      <c r="E289" t="s">
        <v>109</v>
      </c>
      <c r="F289" t="s">
        <v>95</v>
      </c>
      <c r="G289">
        <v>317</v>
      </c>
      <c r="H289">
        <v>0</v>
      </c>
      <c r="I289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30</v>
      </c>
      <c r="K289" s="5" cm="1">
        <f t="array" ref="K289">IFERROR(AVERAGE(IF((OutputTable[GroupByKey]=OutputTable[[#This Row],[GroupByKey]]),(OutputTable[GroupByKey]=OutputTable[[#This Row],[GroupByKey]])*OutputTable[RecordedValue])),0)</f>
        <v>324.63333333333333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23.733409208195905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289" s="5" cm="1">
        <f t="array" ref="O289">MIN(IF((OutputTable[GroupByKey]=OutputTable[[#This Row],[GroupByKey]]),(OutputTable[GroupByKey]=OutputTable[[#This Row],[GroupByKey]])*OutputTable[RecordedValue]))</f>
        <v>276</v>
      </c>
      <c r="P289" s="5" cm="1">
        <f t="array" ref="P289">MAX(IF((OutputTable[GroupByKey]=OutputTable[[#This Row],[GroupByKey]]),(OutputTable[GroupByKey]=OutputTable[[#This Row],[GroupByKey]])*OutputTable[RecordedValue]))</f>
        <v>370</v>
      </c>
    </row>
    <row r="290" spans="1:16" x14ac:dyDescent="0.3">
      <c r="A290" t="s">
        <v>66</v>
      </c>
      <c r="B290" t="s">
        <v>68</v>
      </c>
      <c r="C290">
        <v>13</v>
      </c>
      <c r="D290" t="s">
        <v>124</v>
      </c>
      <c r="E290" t="s">
        <v>111</v>
      </c>
      <c r="F290" t="s">
        <v>95</v>
      </c>
      <c r="G290">
        <v>0.784722663085343</v>
      </c>
      <c r="H290">
        <v>0</v>
      </c>
      <c r="I290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30</v>
      </c>
      <c r="K290" s="5" cm="1">
        <f t="array" ref="K290">IFERROR(AVERAGE(IF((OutputTable[GroupByKey]=OutputTable[[#This Row],[GroupByKey]]),(OutputTable[GroupByKey]=OutputTable[[#This Row],[GroupByKey]])*OutputTable[RecordedValue])),0)</f>
        <v>0.78890367752589419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5.7743599319329868E-2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290" s="5" cm="1">
        <f t="array" ref="O290">MIN(IF((OutputTable[GroupByKey]=OutputTable[[#This Row],[GroupByKey]]),(OutputTable[GroupByKey]=OutputTable[[#This Row],[GroupByKey]])*OutputTable[RecordedValue]))</f>
        <v>0.68630817725209003</v>
      </c>
      <c r="P290" s="5" cm="1">
        <f t="array" ref="P290">MAX(IF((OutputTable[GroupByKey]=OutputTable[[#This Row],[GroupByKey]]),(OutputTable[GroupByKey]=OutputTable[[#This Row],[GroupByKey]])*OutputTable[RecordedValue]))</f>
        <v>0.89844569749382897</v>
      </c>
    </row>
    <row r="291" spans="1:16" x14ac:dyDescent="0.3">
      <c r="A291" t="s">
        <v>66</v>
      </c>
      <c r="B291" t="s">
        <v>68</v>
      </c>
      <c r="C291">
        <v>13</v>
      </c>
      <c r="D291" t="s">
        <v>125</v>
      </c>
      <c r="E291" t="s">
        <v>126</v>
      </c>
      <c r="F291" t="s">
        <v>86</v>
      </c>
      <c r="G291">
        <v>187</v>
      </c>
      <c r="H291">
        <v>0</v>
      </c>
      <c r="I291" s="5" t="str">
        <f>OutputTable[[#This Row],[ProjectName]]&amp;OutputTable[[#This Row],[Name]]&amp;OutputTable[[#This Row],[Type]]&amp;OutputTable[[#This Row],[Source]]</f>
        <v>Unnamed ProjectVisitantes.NumberInNumber InEntity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30</v>
      </c>
      <c r="K291" s="5" cm="1">
        <f t="array" ref="K291">IFERROR(AVERAGE(IF((OutputTable[GroupByKey]=OutputTable[[#This Row],[GroupByKey]]),(OutputTable[GroupByKey]=OutputTable[[#This Row],[GroupByKey]])*OutputTable[RecordedValue])),0)</f>
        <v>194.43333333333334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19.567184586538712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291" s="5" cm="1">
        <f t="array" ref="O291">MIN(IF((OutputTable[GroupByKey]=OutputTable[[#This Row],[GroupByKey]]),(OutputTable[GroupByKey]=OutputTable[[#This Row],[GroupByKey]])*OutputTable[RecordedValue]))</f>
        <v>158</v>
      </c>
      <c r="P291" s="5" cm="1">
        <f t="array" ref="P291">MAX(IF((OutputTable[GroupByKey]=OutputTable[[#This Row],[GroupByKey]]),(OutputTable[GroupByKey]=OutputTable[[#This Row],[GroupByKey]])*OutputTable[RecordedValue]))</f>
        <v>255</v>
      </c>
    </row>
    <row r="292" spans="1:16" x14ac:dyDescent="0.3">
      <c r="A292" t="s">
        <v>66</v>
      </c>
      <c r="B292" t="s">
        <v>68</v>
      </c>
      <c r="C292">
        <v>13</v>
      </c>
      <c r="D292" t="s">
        <v>127</v>
      </c>
      <c r="E292" t="s">
        <v>121</v>
      </c>
      <c r="F292" t="s">
        <v>86</v>
      </c>
      <c r="G292">
        <v>131</v>
      </c>
      <c r="H292">
        <v>0</v>
      </c>
      <c r="I292" s="5" t="str">
        <f>OutputTable[[#This Row],[ProjectName]]&amp;OutputTable[[#This Row],[Name]]&amp;OutputTable[[#This Row],[Type]]&amp;OutputTable[[#This Row],[Source]]</f>
        <v>Unnamed ProjectVisitantes.NumberOutNumber OutEntity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30</v>
      </c>
      <c r="K292" s="5" cm="1">
        <f t="array" ref="K292">IFERROR(AVERAGE(IF((OutputTable[GroupByKey]=OutputTable[[#This Row],[GroupByKey]]),(OutputTable[GroupByKey]=OutputTable[[#This Row],[GroupByKey]])*OutputTable[RecordedValue])),0)</f>
        <v>138.66666666666666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10.59386072484773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292" s="5" cm="1">
        <f t="array" ref="O292">MIN(IF((OutputTable[GroupByKey]=OutputTable[[#This Row],[GroupByKey]]),(OutputTable[GroupByKey]=OutputTable[[#This Row],[GroupByKey]])*OutputTable[RecordedValue]))</f>
        <v>122</v>
      </c>
      <c r="P292" s="5" cm="1">
        <f t="array" ref="P292">MAX(IF((OutputTable[GroupByKey]=OutputTable[[#This Row],[GroupByKey]]),(OutputTable[GroupByKey]=OutputTable[[#This Row],[GroupByKey]])*OutputTable[RecordedValue]))</f>
        <v>158</v>
      </c>
    </row>
    <row r="293" spans="1:16" x14ac:dyDescent="0.3">
      <c r="A293" t="s">
        <v>66</v>
      </c>
      <c r="B293" t="s">
        <v>68</v>
      </c>
      <c r="C293">
        <v>13</v>
      </c>
      <c r="D293" t="s">
        <v>128</v>
      </c>
      <c r="E293" t="s">
        <v>109</v>
      </c>
      <c r="F293" t="s">
        <v>95</v>
      </c>
      <c r="G293">
        <v>0</v>
      </c>
      <c r="H293">
        <v>0</v>
      </c>
      <c r="I293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30</v>
      </c>
      <c r="K293" s="5" cm="1">
        <f t="array" ref="K293">IFERROR(AVERAGE(IF((OutputTable[GroupByKey]=OutputTable[[#This Row],[GroupByKey]]),(OutputTable[GroupByKey]=OutputTable[[#This Row],[GroupByKey]])*OutputTable[RecordedValue])),0)</f>
        <v>0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s="5" cm="1">
        <f t="array" ref="O293">MIN(IF((OutputTable[GroupByKey]=OutputTable[[#This Row],[GroupByKey]]),(OutputTable[GroupByKey]=OutputTable[[#This Row],[GroupByKey]])*OutputTable[RecordedValue]))</f>
        <v>0</v>
      </c>
      <c r="P293" s="5" cm="1">
        <f t="array" ref="P293">MAX(IF((OutputTable[GroupByKey]=OutputTable[[#This Row],[GroupByKey]]),(OutputTable[GroupByKey]=OutputTable[[#This Row],[GroupByKey]])*OutputTable[RecordedValue]))</f>
        <v>0</v>
      </c>
    </row>
    <row r="294" spans="1:16" x14ac:dyDescent="0.3">
      <c r="A294" t="s">
        <v>66</v>
      </c>
      <c r="B294" t="s">
        <v>68</v>
      </c>
      <c r="C294">
        <v>13</v>
      </c>
      <c r="D294" t="s">
        <v>129</v>
      </c>
      <c r="E294" t="s">
        <v>111</v>
      </c>
      <c r="F294" t="s">
        <v>95</v>
      </c>
      <c r="G294">
        <v>0</v>
      </c>
      <c r="H294">
        <v>0</v>
      </c>
      <c r="I294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30</v>
      </c>
      <c r="K294" s="5" cm="1">
        <f t="array" ref="K294">IFERROR(AVERAGE(IF((OutputTable[GroupByKey]=OutputTable[[#This Row],[GroupByKey]]),(OutputTable[GroupByKey]=OutputTable[[#This Row],[GroupByKey]])*OutputTable[RecordedValue])),0)</f>
        <v>0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0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" s="5" cm="1">
        <f t="array" ref="O294">MIN(IF((OutputTable[GroupByKey]=OutputTable[[#This Row],[GroupByKey]]),(OutputTable[GroupByKey]=OutputTable[[#This Row],[GroupByKey]])*OutputTable[RecordedValue]))</f>
        <v>0</v>
      </c>
      <c r="P294" s="5" cm="1">
        <f t="array" ref="P294">MAX(IF((OutputTable[GroupByKey]=OutputTable[[#This Row],[GroupByKey]]),(OutputTable[GroupByKey]=OutputTable[[#This Row],[GroupByKey]])*OutputTable[RecordedValue]))</f>
        <v>0</v>
      </c>
    </row>
    <row r="295" spans="1:16" x14ac:dyDescent="0.3">
      <c r="A295" t="s">
        <v>66</v>
      </c>
      <c r="B295" t="s">
        <v>68</v>
      </c>
      <c r="C295">
        <v>13</v>
      </c>
      <c r="D295" t="s">
        <v>130</v>
      </c>
      <c r="E295" t="s">
        <v>109</v>
      </c>
      <c r="F295" t="s">
        <v>95</v>
      </c>
      <c r="G295">
        <v>96</v>
      </c>
      <c r="H295">
        <v>0</v>
      </c>
      <c r="I295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30</v>
      </c>
      <c r="K295" s="5" cm="1">
        <f t="array" ref="K295">IFERROR(AVERAGE(IF((OutputTable[GroupByKey]=OutputTable[[#This Row],[GroupByKey]]),(OutputTable[GroupByKey]=OutputTable[[#This Row],[GroupByKey]])*OutputTable[RecordedValue])),0)</f>
        <v>99.666666666666671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11.021400290698853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295" s="5" cm="1">
        <f t="array" ref="O295">MIN(IF((OutputTable[GroupByKey]=OutputTable[[#This Row],[GroupByKey]]),(OutputTable[GroupByKey]=OutputTable[[#This Row],[GroupByKey]])*OutputTable[RecordedValue]))</f>
        <v>84</v>
      </c>
      <c r="P295" s="5" cm="1">
        <f t="array" ref="P295">MAX(IF((OutputTable[GroupByKey]=OutputTable[[#This Row],[GroupByKey]]),(OutputTable[GroupByKey]=OutputTable[[#This Row],[GroupByKey]])*OutputTable[RecordedValue]))</f>
        <v>133</v>
      </c>
    </row>
    <row r="296" spans="1:16" x14ac:dyDescent="0.3">
      <c r="A296" t="s">
        <v>66</v>
      </c>
      <c r="B296" t="s">
        <v>68</v>
      </c>
      <c r="C296">
        <v>13</v>
      </c>
      <c r="D296" t="s">
        <v>131</v>
      </c>
      <c r="E296" t="s">
        <v>111</v>
      </c>
      <c r="F296" t="s">
        <v>95</v>
      </c>
      <c r="G296">
        <v>0.77915105395295903</v>
      </c>
      <c r="H296">
        <v>0</v>
      </c>
      <c r="I296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30</v>
      </c>
      <c r="K296" s="5" cm="1">
        <f t="array" ref="K296">IFERROR(AVERAGE(IF((OutputTable[GroupByKey]=OutputTable[[#This Row],[GroupByKey]]),(OutputTable[GroupByKey]=OutputTable[[#This Row],[GroupByKey]])*OutputTable[RecordedValue])),0)</f>
        <v>0.81099663999028448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0.1069626954834289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296" s="5" cm="1">
        <f t="array" ref="O296">MIN(IF((OutputTable[GroupByKey]=OutputTable[[#This Row],[GroupByKey]]),(OutputTable[GroupByKey]=OutputTable[[#This Row],[GroupByKey]])*OutputTable[RecordedValue]))</f>
        <v>0.634589476164233</v>
      </c>
      <c r="P296" s="5" cm="1">
        <f t="array" ref="P296">MAX(IF((OutputTable[GroupByKey]=OutputTable[[#This Row],[GroupByKey]]),(OutputTable[GroupByKey]=OutputTable[[#This Row],[GroupByKey]])*OutputTable[RecordedValue]))</f>
        <v>0.99383259650362799</v>
      </c>
    </row>
    <row r="297" spans="1:16" x14ac:dyDescent="0.3">
      <c r="A297" t="s">
        <v>66</v>
      </c>
      <c r="B297" t="s">
        <v>68</v>
      </c>
      <c r="C297">
        <v>13</v>
      </c>
      <c r="D297" t="s">
        <v>132</v>
      </c>
      <c r="E297" t="s">
        <v>109</v>
      </c>
      <c r="F297" t="s">
        <v>95</v>
      </c>
      <c r="G297">
        <v>51</v>
      </c>
      <c r="H297">
        <v>0</v>
      </c>
      <c r="I297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30</v>
      </c>
      <c r="K297" s="5" cm="1">
        <f t="array" ref="K297">IFERROR(AVERAGE(IF((OutputTable[GroupByKey]=OutputTable[[#This Row],[GroupByKey]]),(OutputTable[GroupByKey]=OutputTable[[#This Row],[GroupByKey]])*OutputTable[RecordedValue])),0)</f>
        <v>51.966666666666669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7.0636677653220881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297" s="5" cm="1">
        <f t="array" ref="O297">MIN(IF((OutputTable[GroupByKey]=OutputTable[[#This Row],[GroupByKey]]),(OutputTable[GroupByKey]=OutputTable[[#This Row],[GroupByKey]])*OutputTable[RecordedValue]))</f>
        <v>40</v>
      </c>
      <c r="P297" s="5" cm="1">
        <f t="array" ref="P297">MAX(IF((OutputTable[GroupByKey]=OutputTable[[#This Row],[GroupByKey]]),(OutputTable[GroupByKey]=OutputTable[[#This Row],[GroupByKey]])*OutputTable[RecordedValue]))</f>
        <v>70</v>
      </c>
    </row>
    <row r="298" spans="1:16" x14ac:dyDescent="0.3">
      <c r="A298" t="s">
        <v>66</v>
      </c>
      <c r="B298" t="s">
        <v>68</v>
      </c>
      <c r="C298">
        <v>13</v>
      </c>
      <c r="D298" t="s">
        <v>133</v>
      </c>
      <c r="E298" t="s">
        <v>111</v>
      </c>
      <c r="F298" t="s">
        <v>95</v>
      </c>
      <c r="G298">
        <v>0.86787309610032204</v>
      </c>
      <c r="H298">
        <v>0</v>
      </c>
      <c r="I298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30</v>
      </c>
      <c r="K298" s="5" cm="1">
        <f t="array" ref="K298">IFERROR(AVERAGE(IF((OutputTable[GroupByKey]=OutputTable[[#This Row],[GroupByKey]]),(OutputTable[GroupByKey]=OutputTable[[#This Row],[GroupByKey]])*OutputTable[RecordedValue])),0)</f>
        <v>0.86404173385398308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7.7429091138254261E-2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298" s="5" cm="1">
        <f t="array" ref="O298">MIN(IF((OutputTable[GroupByKey]=OutputTable[[#This Row],[GroupByKey]]),(OutputTable[GroupByKey]=OutputTable[[#This Row],[GroupByKey]])*OutputTable[RecordedValue]))</f>
        <v>0.74061105631083801</v>
      </c>
      <c r="P298" s="5" cm="1">
        <f t="array" ref="P298">MAX(IF((OutputTable[GroupByKey]=OutputTable[[#This Row],[GroupByKey]]),(OutputTable[GroupByKey]=OutputTable[[#This Row],[GroupByKey]])*OutputTable[RecordedValue]))</f>
        <v>0.99245161744166299</v>
      </c>
    </row>
    <row r="299" spans="1:16" x14ac:dyDescent="0.3">
      <c r="A299" t="s">
        <v>66</v>
      </c>
      <c r="B299" t="s">
        <v>68</v>
      </c>
      <c r="C299">
        <v>13</v>
      </c>
      <c r="D299" t="s">
        <v>134</v>
      </c>
      <c r="E299" t="s">
        <v>109</v>
      </c>
      <c r="F299" t="s">
        <v>95</v>
      </c>
      <c r="G299">
        <v>40</v>
      </c>
      <c r="H299">
        <v>0</v>
      </c>
      <c r="I299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30</v>
      </c>
      <c r="K299" s="5" cm="1">
        <f t="array" ref="K299">IFERROR(AVERAGE(IF((OutputTable[GroupByKey]=OutputTable[[#This Row],[GroupByKey]]),(OutputTable[GroupByKey]=OutputTable[[#This Row],[GroupByKey]])*OutputTable[RecordedValue])),0)</f>
        <v>36.233333333333334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4.775536318198915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299" s="5" cm="1">
        <f t="array" ref="O299">MIN(IF((OutputTable[GroupByKey]=OutputTable[[#This Row],[GroupByKey]]),(OutputTable[GroupByKey]=OutputTable[[#This Row],[GroupByKey]])*OutputTable[RecordedValue]))</f>
        <v>28</v>
      </c>
      <c r="P299" s="5" cm="1">
        <f t="array" ref="P299">MAX(IF((OutputTable[GroupByKey]=OutputTable[[#This Row],[GroupByKey]]),(OutputTable[GroupByKey]=OutputTable[[#This Row],[GroupByKey]])*OutputTable[RecordedValue]))</f>
        <v>48</v>
      </c>
    </row>
    <row r="300" spans="1:16" x14ac:dyDescent="0.3">
      <c r="A300" t="s">
        <v>66</v>
      </c>
      <c r="B300" t="s">
        <v>68</v>
      </c>
      <c r="C300">
        <v>13</v>
      </c>
      <c r="D300" t="s">
        <v>135</v>
      </c>
      <c r="E300" t="s">
        <v>111</v>
      </c>
      <c r="F300" t="s">
        <v>95</v>
      </c>
      <c r="G300">
        <v>0.84014877554720702</v>
      </c>
      <c r="H300">
        <v>0</v>
      </c>
      <c r="I300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30</v>
      </c>
      <c r="K300" s="5" cm="1">
        <f t="array" ref="K300">IFERROR(AVERAGE(IF((OutputTable[GroupByKey]=OutputTable[[#This Row],[GroupByKey]]),(OutputTable[GroupByKey]=OutputTable[[#This Row],[GroupByKey]])*OutputTable[RecordedValue])),0)</f>
        <v>0.88098039877461687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6.9783648638161486E-2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300" s="5" cm="1">
        <f t="array" ref="O300">MIN(IF((OutputTable[GroupByKey]=OutputTable[[#This Row],[GroupByKey]]),(OutputTable[GroupByKey]=OutputTable[[#This Row],[GroupByKey]])*OutputTable[RecordedValue]))</f>
        <v>0.73843386001690303</v>
      </c>
      <c r="P300" s="5" cm="1">
        <f t="array" ref="P300">MAX(IF((OutputTable[GroupByKey]=OutputTable[[#This Row],[GroupByKey]]),(OutputTable[GroupByKey]=OutputTable[[#This Row],[GroupByKey]])*OutputTable[RecordedValue]))</f>
        <v>0.99245161744166299</v>
      </c>
    </row>
    <row r="301" spans="1:16" x14ac:dyDescent="0.3">
      <c r="A301" t="s">
        <v>66</v>
      </c>
      <c r="B301" t="s">
        <v>68</v>
      </c>
      <c r="C301">
        <v>14</v>
      </c>
      <c r="D301" t="s">
        <v>108</v>
      </c>
      <c r="E301" t="s">
        <v>109</v>
      </c>
      <c r="F301" t="s">
        <v>95</v>
      </c>
      <c r="G301">
        <v>24</v>
      </c>
      <c r="H301">
        <v>0</v>
      </c>
      <c r="I301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30</v>
      </c>
      <c r="K301" s="5" cm="1">
        <f t="array" ref="K301">IFERROR(AVERAGE(IF((OutputTable[GroupByKey]=OutputTable[[#This Row],[GroupByKey]]),(OutputTable[GroupByKey]=OutputTable[[#This Row],[GroupByKey]])*OutputTable[RecordedValue])),0)</f>
        <v>34.633333333333333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6.3326375903390151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301" s="5" cm="1">
        <f t="array" ref="O301">MIN(IF((OutputTable[GroupByKey]=OutputTable[[#This Row],[GroupByKey]]),(OutputTable[GroupByKey]=OutputTable[[#This Row],[GroupByKey]])*OutputTable[RecordedValue]))</f>
        <v>24</v>
      </c>
      <c r="P301" s="5" cm="1">
        <f t="array" ref="P301">MAX(IF((OutputTable[GroupByKey]=OutputTable[[#This Row],[GroupByKey]]),(OutputTable[GroupByKey]=OutputTable[[#This Row],[GroupByKey]])*OutputTable[RecordedValue]))</f>
        <v>47</v>
      </c>
    </row>
    <row r="302" spans="1:16" x14ac:dyDescent="0.3">
      <c r="A302" t="s">
        <v>66</v>
      </c>
      <c r="B302" t="s">
        <v>68</v>
      </c>
      <c r="C302">
        <v>14</v>
      </c>
      <c r="D302" t="s">
        <v>110</v>
      </c>
      <c r="E302" t="s">
        <v>111</v>
      </c>
      <c r="F302" t="s">
        <v>95</v>
      </c>
      <c r="G302">
        <v>2.5059628381973599E-2</v>
      </c>
      <c r="H302">
        <v>0</v>
      </c>
      <c r="I302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30</v>
      </c>
      <c r="K302" s="5" cm="1">
        <f t="array" ref="K302">IFERROR(AVERAGE(IF((OutputTable[GroupByKey]=OutputTable[[#This Row],[GroupByKey]]),(OutputTable[GroupByKey]=OutputTable[[#This Row],[GroupByKey]])*OutputTable[RecordedValue])),0)</f>
        <v>3.5359789427834361E-2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6.6521615975834569E-3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302" s="5" cm="1">
        <f t="array" ref="O302">MIN(IF((OutputTable[GroupByKey]=OutputTable[[#This Row],[GroupByKey]]),(OutputTable[GroupByKey]=OutputTable[[#This Row],[GroupByKey]])*OutputTable[RecordedValue]))</f>
        <v>2.3718114155243601E-2</v>
      </c>
      <c r="P302" s="5" cm="1">
        <f t="array" ref="P302">MAX(IF((OutputTable[GroupByKey]=OutputTable[[#This Row],[GroupByKey]]),(OutputTable[GroupByKey]=OutputTable[[#This Row],[GroupByKey]])*OutputTable[RecordedValue]))</f>
        <v>4.8583931724403701E-2</v>
      </c>
    </row>
    <row r="303" spans="1:16" x14ac:dyDescent="0.3">
      <c r="A303" t="s">
        <v>66</v>
      </c>
      <c r="B303" t="s">
        <v>68</v>
      </c>
      <c r="C303">
        <v>14</v>
      </c>
      <c r="D303" t="s">
        <v>112</v>
      </c>
      <c r="E303" t="s">
        <v>109</v>
      </c>
      <c r="F303" t="s">
        <v>95</v>
      </c>
      <c r="G303">
        <v>100</v>
      </c>
      <c r="H303">
        <v>0</v>
      </c>
      <c r="I303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30</v>
      </c>
      <c r="K303" s="5" cm="1">
        <f t="array" ref="K303">IFERROR(AVERAGE(IF((OutputTable[GroupByKey]=OutputTable[[#This Row],[GroupByKey]]),(OutputTable[GroupByKey]=OutputTable[[#This Row],[GroupByKey]])*OutputTable[RecordedValue])),0)</f>
        <v>105.13333333333334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9.9020490158675578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303" s="5" cm="1">
        <f t="array" ref="O303">MIN(IF((OutputTable[GroupByKey]=OutputTable[[#This Row],[GroupByKey]]),(OutputTable[GroupByKey]=OutputTable[[#This Row],[GroupByKey]])*OutputTable[RecordedValue]))</f>
        <v>90</v>
      </c>
      <c r="P303" s="5" cm="1">
        <f t="array" ref="P303">MAX(IF((OutputTable[GroupByKey]=OutputTable[[#This Row],[GroupByKey]]),(OutputTable[GroupByKey]=OutputTable[[#This Row],[GroupByKey]])*OutputTable[RecordedValue]))</f>
        <v>120</v>
      </c>
    </row>
    <row r="304" spans="1:16" x14ac:dyDescent="0.3">
      <c r="A304" t="s">
        <v>66</v>
      </c>
      <c r="B304" t="s">
        <v>68</v>
      </c>
      <c r="C304">
        <v>14</v>
      </c>
      <c r="D304" t="s">
        <v>113</v>
      </c>
      <c r="E304" t="s">
        <v>111</v>
      </c>
      <c r="F304" t="s">
        <v>95</v>
      </c>
      <c r="G304">
        <v>0.23134390421608</v>
      </c>
      <c r="H304">
        <v>0</v>
      </c>
      <c r="I304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30</v>
      </c>
      <c r="K304" s="5" cm="1">
        <f t="array" ref="K304">IFERROR(AVERAGE(IF((OutputTable[GroupByKey]=OutputTable[[#This Row],[GroupByKey]]),(OutputTable[GroupByKey]=OutputTable[[#This Row],[GroupByKey]])*OutputTable[RecordedValue])),0)</f>
        <v>0.24658598119222253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2.3372241503878202E-2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304" s="5" cm="1">
        <f t="array" ref="O304">MIN(IF((OutputTable[GroupByKey]=OutputTable[[#This Row],[GroupByKey]]),(OutputTable[GroupByKey]=OutputTable[[#This Row],[GroupByKey]])*OutputTable[RecordedValue]))</f>
        <v>0.20767736113278101</v>
      </c>
      <c r="P304" s="5" cm="1">
        <f t="array" ref="P304">MAX(IF((OutputTable[GroupByKey]=OutputTable[[#This Row],[GroupByKey]]),(OutputTable[GroupByKey]=OutputTable[[#This Row],[GroupByKey]])*OutputTable[RecordedValue]))</f>
        <v>0.28501162927715601</v>
      </c>
    </row>
    <row r="305" spans="1:16" x14ac:dyDescent="0.3">
      <c r="A305" t="s">
        <v>66</v>
      </c>
      <c r="B305" t="s">
        <v>68</v>
      </c>
      <c r="C305">
        <v>14</v>
      </c>
      <c r="D305" t="s">
        <v>114</v>
      </c>
      <c r="E305" t="s">
        <v>109</v>
      </c>
      <c r="F305" t="s">
        <v>95</v>
      </c>
      <c r="G305">
        <v>124</v>
      </c>
      <c r="H305">
        <v>0</v>
      </c>
      <c r="I305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30</v>
      </c>
      <c r="K305" s="5" cm="1">
        <f t="array" ref="K305">IFERROR(AVERAGE(IF((OutputTable[GroupByKey]=OutputTable[[#This Row],[GroupByKey]]),(OutputTable[GroupByKey]=OutputTable[[#This Row],[GroupByKey]])*OutputTable[RecordedValue])),0)</f>
        <v>130.19999999999999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9.6932255049418501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305" s="5" cm="1">
        <f t="array" ref="O305">MIN(IF((OutputTable[GroupByKey]=OutputTable[[#This Row],[GroupByKey]]),(OutputTable[GroupByKey]=OutputTable[[#This Row],[GroupByKey]])*OutputTable[RecordedValue]))</f>
        <v>112</v>
      </c>
      <c r="P305" s="5" cm="1">
        <f t="array" ref="P305">MAX(IF((OutputTable[GroupByKey]=OutputTable[[#This Row],[GroupByKey]]),(OutputTable[GroupByKey]=OutputTable[[#This Row],[GroupByKey]])*OutputTable[RecordedValue]))</f>
        <v>150</v>
      </c>
    </row>
    <row r="306" spans="1:16" x14ac:dyDescent="0.3">
      <c r="A306" t="s">
        <v>66</v>
      </c>
      <c r="B306" t="s">
        <v>68</v>
      </c>
      <c r="C306">
        <v>14</v>
      </c>
      <c r="D306" t="s">
        <v>115</v>
      </c>
      <c r="E306" t="s">
        <v>111</v>
      </c>
      <c r="F306" t="s">
        <v>95</v>
      </c>
      <c r="G306">
        <v>0.56693105671297805</v>
      </c>
      <c r="H306">
        <v>0</v>
      </c>
      <c r="I306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30</v>
      </c>
      <c r="K306" s="5" cm="1">
        <f t="array" ref="K306">IFERROR(AVERAGE(IF((OutputTable[GroupByKey]=OutputTable[[#This Row],[GroupByKey]]),(OutputTable[GroupByKey]=OutputTable[[#This Row],[GroupByKey]])*OutputTable[RecordedValue])),0)</f>
        <v>0.61071636647106653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4.8363406640152928E-2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306" s="5" cm="1">
        <f t="array" ref="O306">MIN(IF((OutputTable[GroupByKey]=OutputTable[[#This Row],[GroupByKey]]),(OutputTable[GroupByKey]=OutputTable[[#This Row],[GroupByKey]])*OutputTable[RecordedValue]))</f>
        <v>0.517215348442703</v>
      </c>
      <c r="P306" s="5" cm="1">
        <f t="array" ref="P306">MAX(IF((OutputTable[GroupByKey]=OutputTable[[#This Row],[GroupByKey]]),(OutputTable[GroupByKey]=OutputTable[[#This Row],[GroupByKey]])*OutputTable[RecordedValue]))</f>
        <v>0.67770389283754395</v>
      </c>
    </row>
    <row r="307" spans="1:16" x14ac:dyDescent="0.3">
      <c r="A307" t="s">
        <v>66</v>
      </c>
      <c r="B307" t="s">
        <v>68</v>
      </c>
      <c r="C307">
        <v>14</v>
      </c>
      <c r="D307" t="s">
        <v>116</v>
      </c>
      <c r="E307" t="s">
        <v>109</v>
      </c>
      <c r="F307" t="s">
        <v>95</v>
      </c>
      <c r="G307">
        <v>330</v>
      </c>
      <c r="H307">
        <v>0</v>
      </c>
      <c r="I307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30</v>
      </c>
      <c r="K307" s="5" cm="1">
        <f t="array" ref="K307">IFERROR(AVERAGE(IF((OutputTable[GroupByKey]=OutputTable[[#This Row],[GroupByKey]]),(OutputTable[GroupByKey]=OutputTable[[#This Row],[GroupByKey]])*OutputTable[RecordedValue])),0)</f>
        <v>366.5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27.998460548813185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307" s="5" cm="1">
        <f t="array" ref="O307">MIN(IF((OutputTable[GroupByKey]=OutputTable[[#This Row],[GroupByKey]]),(OutputTable[GroupByKey]=OutputTable[[#This Row],[GroupByKey]])*OutputTable[RecordedValue]))</f>
        <v>308</v>
      </c>
      <c r="P307" s="5" cm="1">
        <f t="array" ref="P307">MAX(IF((OutputTable[GroupByKey]=OutputTable[[#This Row],[GroupByKey]]),(OutputTable[GroupByKey]=OutputTable[[#This Row],[GroupByKey]])*OutputTable[RecordedValue]))</f>
        <v>415</v>
      </c>
    </row>
    <row r="308" spans="1:16" x14ac:dyDescent="0.3">
      <c r="A308" t="s">
        <v>66</v>
      </c>
      <c r="B308" t="s">
        <v>68</v>
      </c>
      <c r="C308">
        <v>14</v>
      </c>
      <c r="D308" t="s">
        <v>117</v>
      </c>
      <c r="E308" t="s">
        <v>111</v>
      </c>
      <c r="F308" t="s">
        <v>95</v>
      </c>
      <c r="G308">
        <v>0.156339285259783</v>
      </c>
      <c r="H308">
        <v>0</v>
      </c>
      <c r="I308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30</v>
      </c>
      <c r="K308" s="5" cm="1">
        <f t="array" ref="K308">IFERROR(AVERAGE(IF((OutputTable[GroupByKey]=OutputTable[[#This Row],[GroupByKey]]),(OutputTable[GroupByKey]=OutputTable[[#This Row],[GroupByKey]])*OutputTable[RecordedValue])),0)</f>
        <v>0.17017204824235124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1.331368412630852E-2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308" s="5" cm="1">
        <f t="array" ref="O308">MIN(IF((OutputTable[GroupByKey]=OutputTable[[#This Row],[GroupByKey]]),(OutputTable[GroupByKey]=OutputTable[[#This Row],[GroupByKey]])*OutputTable[RecordedValue]))</f>
        <v>0.14484829778125299</v>
      </c>
      <c r="P308" s="5" cm="1">
        <f t="array" ref="P308">MAX(IF((OutputTable[GroupByKey]=OutputTable[[#This Row],[GroupByKey]]),(OutputTable[GroupByKey]=OutputTable[[#This Row],[GroupByKey]])*OutputTable[RecordedValue]))</f>
        <v>0.19609322315655101</v>
      </c>
    </row>
    <row r="309" spans="1:16" x14ac:dyDescent="0.3">
      <c r="A309" t="s">
        <v>66</v>
      </c>
      <c r="B309" t="s">
        <v>68</v>
      </c>
      <c r="C309">
        <v>14</v>
      </c>
      <c r="D309" t="s">
        <v>118</v>
      </c>
      <c r="E309" t="s">
        <v>109</v>
      </c>
      <c r="F309" t="s">
        <v>95</v>
      </c>
      <c r="G309">
        <v>55</v>
      </c>
      <c r="H309">
        <v>0</v>
      </c>
      <c r="I309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30</v>
      </c>
      <c r="K309" s="5" cm="1">
        <f t="array" ref="K309">IFERROR(AVERAGE(IF((OutputTable[GroupByKey]=OutputTable[[#This Row],[GroupByKey]]),(OutputTable[GroupByKey]=OutputTable[[#This Row],[GroupByKey]])*OutputTable[RecordedValue])),0)</f>
        <v>67.599999999999994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8.2277914244430335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309" s="5" cm="1">
        <f t="array" ref="O309">MIN(IF((OutputTable[GroupByKey]=OutputTable[[#This Row],[GroupByKey]]),(OutputTable[GroupByKey]=OutputTable[[#This Row],[GroupByKey]])*OutputTable[RecordedValue]))</f>
        <v>53</v>
      </c>
      <c r="P309" s="5" cm="1">
        <f t="array" ref="P309">MAX(IF((OutputTable[GroupByKey]=OutputTable[[#This Row],[GroupByKey]]),(OutputTable[GroupByKey]=OutputTable[[#This Row],[GroupByKey]])*OutputTable[RecordedValue]))</f>
        <v>83</v>
      </c>
    </row>
    <row r="310" spans="1:16" x14ac:dyDescent="0.3">
      <c r="A310" t="s">
        <v>66</v>
      </c>
      <c r="B310" t="s">
        <v>68</v>
      </c>
      <c r="C310">
        <v>14</v>
      </c>
      <c r="D310" t="s">
        <v>119</v>
      </c>
      <c r="E310" t="s">
        <v>111</v>
      </c>
      <c r="F310" t="s">
        <v>95</v>
      </c>
      <c r="G310">
        <v>7.4778736536586704E-2</v>
      </c>
      <c r="H310">
        <v>0</v>
      </c>
      <c r="I310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30</v>
      </c>
      <c r="K310" s="5" cm="1">
        <f t="array" ref="K310">IFERROR(AVERAGE(IF((OutputTable[GroupByKey]=OutputTable[[#This Row],[GroupByKey]]),(OutputTable[GroupByKey]=OutputTable[[#This Row],[GroupByKey]])*OutputTable[RecordedValue])),0)</f>
        <v>9.2629789222133899E-2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1.1199993404883948E-2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310" s="5" cm="1">
        <f t="array" ref="O310">MIN(IF((OutputTable[GroupByKey]=OutputTable[[#This Row],[GroupByKey]]),(OutputTable[GroupByKey]=OutputTable[[#This Row],[GroupByKey]])*OutputTable[RecordedValue]))</f>
        <v>7.4778736536586704E-2</v>
      </c>
      <c r="P310" s="5" cm="1">
        <f t="array" ref="P310">MAX(IF((OutputTable[GroupByKey]=OutputTable[[#This Row],[GroupByKey]]),(OutputTable[GroupByKey]=OutputTable[[#This Row],[GroupByKey]])*OutputTable[RecordedValue]))</f>
        <v>0.111025455742452</v>
      </c>
    </row>
    <row r="311" spans="1:16" x14ac:dyDescent="0.3">
      <c r="A311" t="s">
        <v>66</v>
      </c>
      <c r="B311" t="s">
        <v>68</v>
      </c>
      <c r="C311">
        <v>14</v>
      </c>
      <c r="D311" t="s">
        <v>120</v>
      </c>
      <c r="E311" t="s">
        <v>121</v>
      </c>
      <c r="F311" t="s">
        <v>122</v>
      </c>
      <c r="G311">
        <v>126</v>
      </c>
      <c r="H311">
        <v>0</v>
      </c>
      <c r="I311" s="5" t="str">
        <f>OutputTable[[#This Row],[ProjectName]]&amp;OutputTable[[#This Row],[Name]]&amp;OutputTable[[#This Row],[Type]]&amp;OutputTable[[#This Row],[Source]]</f>
        <v>Unnamed ProjectSystem.NumberOutNumber OutSystem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30</v>
      </c>
      <c r="K311" s="5" cm="1">
        <f t="array" ref="K311">IFERROR(AVERAGE(IF((OutputTable[GroupByKey]=OutputTable[[#This Row],[GroupByKey]]),(OutputTable[GroupByKey]=OutputTable[[#This Row],[GroupByKey]])*OutputTable[RecordedValue])),0)</f>
        <v>138.66666666666666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10.59386072484773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311" s="5" cm="1">
        <f t="array" ref="O311">MIN(IF((OutputTable[GroupByKey]=OutputTable[[#This Row],[GroupByKey]]),(OutputTable[GroupByKey]=OutputTable[[#This Row],[GroupByKey]])*OutputTable[RecordedValue]))</f>
        <v>122</v>
      </c>
      <c r="P311" s="5" cm="1">
        <f t="array" ref="P311">MAX(IF((OutputTable[GroupByKey]=OutputTable[[#This Row],[GroupByKey]]),(OutputTable[GroupByKey]=OutputTable[[#This Row],[GroupByKey]])*OutputTable[RecordedValue]))</f>
        <v>158</v>
      </c>
    </row>
    <row r="312" spans="1:16" x14ac:dyDescent="0.3">
      <c r="A312" t="s">
        <v>66</v>
      </c>
      <c r="B312" t="s">
        <v>68</v>
      </c>
      <c r="C312">
        <v>14</v>
      </c>
      <c r="D312" t="s">
        <v>123</v>
      </c>
      <c r="E312" t="s">
        <v>109</v>
      </c>
      <c r="F312" t="s">
        <v>95</v>
      </c>
      <c r="G312">
        <v>290</v>
      </c>
      <c r="H312">
        <v>0</v>
      </c>
      <c r="I312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30</v>
      </c>
      <c r="K312" s="5" cm="1">
        <f t="array" ref="K312">IFERROR(AVERAGE(IF((OutputTable[GroupByKey]=OutputTable[[#This Row],[GroupByKey]]),(OutputTable[GroupByKey]=OutputTable[[#This Row],[GroupByKey]])*OutputTable[RecordedValue])),0)</f>
        <v>324.63333333333333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23.733409208195905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312" s="5" cm="1">
        <f t="array" ref="O312">MIN(IF((OutputTable[GroupByKey]=OutputTable[[#This Row],[GroupByKey]]),(OutputTable[GroupByKey]=OutputTable[[#This Row],[GroupByKey]])*OutputTable[RecordedValue]))</f>
        <v>276</v>
      </c>
      <c r="P312" s="5" cm="1">
        <f t="array" ref="P312">MAX(IF((OutputTable[GroupByKey]=OutputTable[[#This Row],[GroupByKey]]),(OutputTable[GroupByKey]=OutputTable[[#This Row],[GroupByKey]])*OutputTable[RecordedValue]))</f>
        <v>370</v>
      </c>
    </row>
    <row r="313" spans="1:16" x14ac:dyDescent="0.3">
      <c r="A313" t="s">
        <v>66</v>
      </c>
      <c r="B313" t="s">
        <v>68</v>
      </c>
      <c r="C313">
        <v>14</v>
      </c>
      <c r="D313" t="s">
        <v>124</v>
      </c>
      <c r="E313" t="s">
        <v>111</v>
      </c>
      <c r="F313" t="s">
        <v>95</v>
      </c>
      <c r="G313">
        <v>0.70129240625179201</v>
      </c>
      <c r="H313">
        <v>0</v>
      </c>
      <c r="I313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30</v>
      </c>
      <c r="K313" s="5" cm="1">
        <f t="array" ref="K313">IFERROR(AVERAGE(IF((OutputTable[GroupByKey]=OutputTable[[#This Row],[GroupByKey]]),(OutputTable[GroupByKey]=OutputTable[[#This Row],[GroupByKey]])*OutputTable[RecordedValue])),0)</f>
        <v>0.78890367752589419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5.7743599319329868E-2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313" s="5" cm="1">
        <f t="array" ref="O313">MIN(IF((OutputTable[GroupByKey]=OutputTable[[#This Row],[GroupByKey]]),(OutputTable[GroupByKey]=OutputTable[[#This Row],[GroupByKey]])*OutputTable[RecordedValue]))</f>
        <v>0.68630817725209003</v>
      </c>
      <c r="P313" s="5" cm="1">
        <f t="array" ref="P313">MAX(IF((OutputTable[GroupByKey]=OutputTable[[#This Row],[GroupByKey]]),(OutputTable[GroupByKey]=OutputTable[[#This Row],[GroupByKey]])*OutputTable[RecordedValue]))</f>
        <v>0.89844569749382897</v>
      </c>
    </row>
    <row r="314" spans="1:16" x14ac:dyDescent="0.3">
      <c r="A314" t="s">
        <v>66</v>
      </c>
      <c r="B314" t="s">
        <v>68</v>
      </c>
      <c r="C314">
        <v>14</v>
      </c>
      <c r="D314" t="s">
        <v>125</v>
      </c>
      <c r="E314" t="s">
        <v>126</v>
      </c>
      <c r="F314" t="s">
        <v>86</v>
      </c>
      <c r="G314">
        <v>165</v>
      </c>
      <c r="H314">
        <v>0</v>
      </c>
      <c r="I314" s="5" t="str">
        <f>OutputTable[[#This Row],[ProjectName]]&amp;OutputTable[[#This Row],[Name]]&amp;OutputTable[[#This Row],[Type]]&amp;OutputTable[[#This Row],[Source]]</f>
        <v>Unnamed ProjectVisitantes.NumberInNumber InEntity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30</v>
      </c>
      <c r="K314" s="5" cm="1">
        <f t="array" ref="K314">IFERROR(AVERAGE(IF((OutputTable[GroupByKey]=OutputTable[[#This Row],[GroupByKey]]),(OutputTable[GroupByKey]=OutputTable[[#This Row],[GroupByKey]])*OutputTable[RecordedValue])),0)</f>
        <v>194.43333333333334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19.567184586538712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314" s="5" cm="1">
        <f t="array" ref="O314">MIN(IF((OutputTable[GroupByKey]=OutputTable[[#This Row],[GroupByKey]]),(OutputTable[GroupByKey]=OutputTable[[#This Row],[GroupByKey]])*OutputTable[RecordedValue]))</f>
        <v>158</v>
      </c>
      <c r="P314" s="5" cm="1">
        <f t="array" ref="P314">MAX(IF((OutputTable[GroupByKey]=OutputTable[[#This Row],[GroupByKey]]),(OutputTable[GroupByKey]=OutputTable[[#This Row],[GroupByKey]])*OutputTable[RecordedValue]))</f>
        <v>255</v>
      </c>
    </row>
    <row r="315" spans="1:16" x14ac:dyDescent="0.3">
      <c r="A315" t="s">
        <v>66</v>
      </c>
      <c r="B315" t="s">
        <v>68</v>
      </c>
      <c r="C315">
        <v>14</v>
      </c>
      <c r="D315" t="s">
        <v>127</v>
      </c>
      <c r="E315" t="s">
        <v>121</v>
      </c>
      <c r="F315" t="s">
        <v>86</v>
      </c>
      <c r="G315">
        <v>126</v>
      </c>
      <c r="H315">
        <v>0</v>
      </c>
      <c r="I315" s="5" t="str">
        <f>OutputTable[[#This Row],[ProjectName]]&amp;OutputTable[[#This Row],[Name]]&amp;OutputTable[[#This Row],[Type]]&amp;OutputTable[[#This Row],[Source]]</f>
        <v>Unnamed ProjectVisitantes.NumberOutNumber OutEntity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30</v>
      </c>
      <c r="K315" s="5" cm="1">
        <f t="array" ref="K315">IFERROR(AVERAGE(IF((OutputTable[GroupByKey]=OutputTable[[#This Row],[GroupByKey]]),(OutputTable[GroupByKey]=OutputTable[[#This Row],[GroupByKey]])*OutputTable[RecordedValue])),0)</f>
        <v>138.66666666666666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10.59386072484773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315" s="5" cm="1">
        <f t="array" ref="O315">MIN(IF((OutputTable[GroupByKey]=OutputTable[[#This Row],[GroupByKey]]),(OutputTable[GroupByKey]=OutputTable[[#This Row],[GroupByKey]])*OutputTable[RecordedValue]))</f>
        <v>122</v>
      </c>
      <c r="P315" s="5" cm="1">
        <f t="array" ref="P315">MAX(IF((OutputTable[GroupByKey]=OutputTable[[#This Row],[GroupByKey]]),(OutputTable[GroupByKey]=OutputTable[[#This Row],[GroupByKey]])*OutputTable[RecordedValue]))</f>
        <v>158</v>
      </c>
    </row>
    <row r="316" spans="1:16" x14ac:dyDescent="0.3">
      <c r="A316" t="s">
        <v>66</v>
      </c>
      <c r="B316" t="s">
        <v>68</v>
      </c>
      <c r="C316">
        <v>14</v>
      </c>
      <c r="D316" t="s">
        <v>128</v>
      </c>
      <c r="E316" t="s">
        <v>109</v>
      </c>
      <c r="F316" t="s">
        <v>95</v>
      </c>
      <c r="G316">
        <v>0</v>
      </c>
      <c r="H316">
        <v>0</v>
      </c>
      <c r="I316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30</v>
      </c>
      <c r="K316" s="5" cm="1">
        <f t="array" ref="K316">IFERROR(AVERAGE(IF((OutputTable[GroupByKey]=OutputTable[[#This Row],[GroupByKey]]),(OutputTable[GroupByKey]=OutputTable[[#This Row],[GroupByKey]])*OutputTable[RecordedValue])),0)</f>
        <v>0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0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6" s="5" cm="1">
        <f t="array" ref="O316">MIN(IF((OutputTable[GroupByKey]=OutputTable[[#This Row],[GroupByKey]]),(OutputTable[GroupByKey]=OutputTable[[#This Row],[GroupByKey]])*OutputTable[RecordedValue]))</f>
        <v>0</v>
      </c>
      <c r="P316" s="5" cm="1">
        <f t="array" ref="P316">MAX(IF((OutputTable[GroupByKey]=OutputTable[[#This Row],[GroupByKey]]),(OutputTable[GroupByKey]=OutputTable[[#This Row],[GroupByKey]])*OutputTable[RecordedValue]))</f>
        <v>0</v>
      </c>
    </row>
    <row r="317" spans="1:16" x14ac:dyDescent="0.3">
      <c r="A317" t="s">
        <v>66</v>
      </c>
      <c r="B317" t="s">
        <v>68</v>
      </c>
      <c r="C317">
        <v>14</v>
      </c>
      <c r="D317" t="s">
        <v>129</v>
      </c>
      <c r="E317" t="s">
        <v>111</v>
      </c>
      <c r="F317" t="s">
        <v>95</v>
      </c>
      <c r="G317">
        <v>0</v>
      </c>
      <c r="H317">
        <v>0</v>
      </c>
      <c r="I317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30</v>
      </c>
      <c r="K317" s="5" cm="1">
        <f t="array" ref="K317">IFERROR(AVERAGE(IF((OutputTable[GroupByKey]=OutputTable[[#This Row],[GroupByKey]]),(OutputTable[GroupByKey]=OutputTable[[#This Row],[GroupByKey]])*OutputTable[RecordedValue])),0)</f>
        <v>0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0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7" s="5" cm="1">
        <f t="array" ref="O317">MIN(IF((OutputTable[GroupByKey]=OutputTable[[#This Row],[GroupByKey]]),(OutputTable[GroupByKey]=OutputTable[[#This Row],[GroupByKey]])*OutputTable[RecordedValue]))</f>
        <v>0</v>
      </c>
      <c r="P317" s="5" cm="1">
        <f t="array" ref="P317">MAX(IF((OutputTable[GroupByKey]=OutputTable[[#This Row],[GroupByKey]]),(OutputTable[GroupByKey]=OutputTable[[#This Row],[GroupByKey]])*OutputTable[RecordedValue]))</f>
        <v>0</v>
      </c>
    </row>
    <row r="318" spans="1:16" x14ac:dyDescent="0.3">
      <c r="A318" t="s">
        <v>66</v>
      </c>
      <c r="B318" t="s">
        <v>68</v>
      </c>
      <c r="C318">
        <v>14</v>
      </c>
      <c r="D318" t="s">
        <v>130</v>
      </c>
      <c r="E318" t="s">
        <v>109</v>
      </c>
      <c r="F318" t="s">
        <v>95</v>
      </c>
      <c r="G318">
        <v>84</v>
      </c>
      <c r="H318">
        <v>0</v>
      </c>
      <c r="I318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30</v>
      </c>
      <c r="K318" s="5" cm="1">
        <f t="array" ref="K318">IFERROR(AVERAGE(IF((OutputTable[GroupByKey]=OutputTable[[#This Row],[GroupByKey]]),(OutputTable[GroupByKey]=OutputTable[[#This Row],[GroupByKey]])*OutputTable[RecordedValue])),0)</f>
        <v>99.666666666666671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11.021400290698853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318" s="5" cm="1">
        <f t="array" ref="O318">MIN(IF((OutputTable[GroupByKey]=OutputTable[[#This Row],[GroupByKey]]),(OutputTable[GroupByKey]=OutputTable[[#This Row],[GroupByKey]])*OutputTable[RecordedValue]))</f>
        <v>84</v>
      </c>
      <c r="P318" s="5" cm="1">
        <f t="array" ref="P318">MAX(IF((OutputTable[GroupByKey]=OutputTable[[#This Row],[GroupByKey]]),(OutputTable[GroupByKey]=OutputTable[[#This Row],[GroupByKey]])*OutputTable[RecordedValue]))</f>
        <v>133</v>
      </c>
    </row>
    <row r="319" spans="1:16" x14ac:dyDescent="0.3">
      <c r="A319" t="s">
        <v>66</v>
      </c>
      <c r="B319" t="s">
        <v>68</v>
      </c>
      <c r="C319">
        <v>14</v>
      </c>
      <c r="D319" t="s">
        <v>131</v>
      </c>
      <c r="E319" t="s">
        <v>111</v>
      </c>
      <c r="F319" t="s">
        <v>95</v>
      </c>
      <c r="G319">
        <v>0.68750849306624195</v>
      </c>
      <c r="H319">
        <v>0</v>
      </c>
      <c r="I319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30</v>
      </c>
      <c r="K319" s="5" cm="1">
        <f t="array" ref="K319">IFERROR(AVERAGE(IF((OutputTable[GroupByKey]=OutputTable[[#This Row],[GroupByKey]]),(OutputTable[GroupByKey]=OutputTable[[#This Row],[GroupByKey]])*OutputTable[RecordedValue])),0)</f>
        <v>0.81099663999028448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0.1069626954834289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319" s="5" cm="1">
        <f t="array" ref="O319">MIN(IF((OutputTable[GroupByKey]=OutputTable[[#This Row],[GroupByKey]]),(OutputTable[GroupByKey]=OutputTable[[#This Row],[GroupByKey]])*OutputTable[RecordedValue]))</f>
        <v>0.634589476164233</v>
      </c>
      <c r="P319" s="5" cm="1">
        <f t="array" ref="P319">MAX(IF((OutputTable[GroupByKey]=OutputTable[[#This Row],[GroupByKey]]),(OutputTable[GroupByKey]=OutputTable[[#This Row],[GroupByKey]])*OutputTable[RecordedValue]))</f>
        <v>0.99383259650362799</v>
      </c>
    </row>
    <row r="320" spans="1:16" x14ac:dyDescent="0.3">
      <c r="A320" t="s">
        <v>66</v>
      </c>
      <c r="B320" t="s">
        <v>68</v>
      </c>
      <c r="C320">
        <v>14</v>
      </c>
      <c r="D320" t="s">
        <v>132</v>
      </c>
      <c r="E320" t="s">
        <v>109</v>
      </c>
      <c r="F320" t="s">
        <v>95</v>
      </c>
      <c r="G320">
        <v>50</v>
      </c>
      <c r="H320">
        <v>0</v>
      </c>
      <c r="I320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30</v>
      </c>
      <c r="K320" s="5" cm="1">
        <f t="array" ref="K320">IFERROR(AVERAGE(IF((OutputTable[GroupByKey]=OutputTable[[#This Row],[GroupByKey]]),(OutputTable[GroupByKey]=OutputTable[[#This Row],[GroupByKey]])*OutputTable[RecordedValue])),0)</f>
        <v>51.966666666666669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7.0636677653220881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320" s="5" cm="1">
        <f t="array" ref="O320">MIN(IF((OutputTable[GroupByKey]=OutputTable[[#This Row],[GroupByKey]]),(OutputTable[GroupByKey]=OutputTable[[#This Row],[GroupByKey]])*OutputTable[RecordedValue]))</f>
        <v>40</v>
      </c>
      <c r="P320" s="5" cm="1">
        <f t="array" ref="P320">MAX(IF((OutputTable[GroupByKey]=OutputTable[[#This Row],[GroupByKey]]),(OutputTable[GroupByKey]=OutputTable[[#This Row],[GroupByKey]])*OutputTable[RecordedValue]))</f>
        <v>70</v>
      </c>
    </row>
    <row r="321" spans="1:16" x14ac:dyDescent="0.3">
      <c r="A321" t="s">
        <v>66</v>
      </c>
      <c r="B321" t="s">
        <v>68</v>
      </c>
      <c r="C321">
        <v>14</v>
      </c>
      <c r="D321" t="s">
        <v>133</v>
      </c>
      <c r="E321" t="s">
        <v>111</v>
      </c>
      <c r="F321" t="s">
        <v>95</v>
      </c>
      <c r="G321">
        <v>0.80634608379679995</v>
      </c>
      <c r="H321">
        <v>0</v>
      </c>
      <c r="I321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30</v>
      </c>
      <c r="K321" s="5" cm="1">
        <f t="array" ref="K321">IFERROR(AVERAGE(IF((OutputTable[GroupByKey]=OutputTable[[#This Row],[GroupByKey]]),(OutputTable[GroupByKey]=OutputTable[[#This Row],[GroupByKey]])*OutputTable[RecordedValue])),0)</f>
        <v>0.86404173385398308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7.7429091138254261E-2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321" s="5" cm="1">
        <f t="array" ref="O321">MIN(IF((OutputTable[GroupByKey]=OutputTable[[#This Row],[GroupByKey]]),(OutputTable[GroupByKey]=OutputTable[[#This Row],[GroupByKey]])*OutputTable[RecordedValue]))</f>
        <v>0.74061105631083801</v>
      </c>
      <c r="P321" s="5" cm="1">
        <f t="array" ref="P321">MAX(IF((OutputTable[GroupByKey]=OutputTable[[#This Row],[GroupByKey]]),(OutputTable[GroupByKey]=OutputTable[[#This Row],[GroupByKey]])*OutputTable[RecordedValue]))</f>
        <v>0.99245161744166299</v>
      </c>
    </row>
    <row r="322" spans="1:16" x14ac:dyDescent="0.3">
      <c r="A322" t="s">
        <v>66</v>
      </c>
      <c r="B322" t="s">
        <v>68</v>
      </c>
      <c r="C322">
        <v>14</v>
      </c>
      <c r="D322" t="s">
        <v>134</v>
      </c>
      <c r="E322" t="s">
        <v>109</v>
      </c>
      <c r="F322" t="s">
        <v>95</v>
      </c>
      <c r="G322">
        <v>31</v>
      </c>
      <c r="H322">
        <v>0</v>
      </c>
      <c r="I322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30</v>
      </c>
      <c r="K322" s="5" cm="1">
        <f t="array" ref="K322">IFERROR(AVERAGE(IF((OutputTable[GroupByKey]=OutputTable[[#This Row],[GroupByKey]]),(OutputTable[GroupByKey]=OutputTable[[#This Row],[GroupByKey]])*OutputTable[RecordedValue])),0)</f>
        <v>36.233333333333334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4.775536318198915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322" s="5" cm="1">
        <f t="array" ref="O322">MIN(IF((OutputTable[GroupByKey]=OutputTable[[#This Row],[GroupByKey]]),(OutputTable[GroupByKey]=OutputTable[[#This Row],[GroupByKey]])*OutputTable[RecordedValue]))</f>
        <v>28</v>
      </c>
      <c r="P322" s="5" cm="1">
        <f t="array" ref="P322">MAX(IF((OutputTable[GroupByKey]=OutputTable[[#This Row],[GroupByKey]]),(OutputTable[GroupByKey]=OutputTable[[#This Row],[GroupByKey]])*OutputTable[RecordedValue]))</f>
        <v>48</v>
      </c>
    </row>
    <row r="323" spans="1:16" x14ac:dyDescent="0.3">
      <c r="A323" t="s">
        <v>66</v>
      </c>
      <c r="B323" t="s">
        <v>68</v>
      </c>
      <c r="C323">
        <v>14</v>
      </c>
      <c r="D323" t="s">
        <v>135</v>
      </c>
      <c r="E323" t="s">
        <v>111</v>
      </c>
      <c r="F323" t="s">
        <v>95</v>
      </c>
      <c r="G323">
        <v>0.856554999150001</v>
      </c>
      <c r="H323">
        <v>0</v>
      </c>
      <c r="I323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30</v>
      </c>
      <c r="K323" s="5" cm="1">
        <f t="array" ref="K323">IFERROR(AVERAGE(IF((OutputTable[GroupByKey]=OutputTable[[#This Row],[GroupByKey]]),(OutputTable[GroupByKey]=OutputTable[[#This Row],[GroupByKey]])*OutputTable[RecordedValue])),0)</f>
        <v>0.88098039877461687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6.9783648638161486E-2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323" s="5" cm="1">
        <f t="array" ref="O323">MIN(IF((OutputTable[GroupByKey]=OutputTable[[#This Row],[GroupByKey]]),(OutputTable[GroupByKey]=OutputTable[[#This Row],[GroupByKey]])*OutputTable[RecordedValue]))</f>
        <v>0.73843386001690303</v>
      </c>
      <c r="P323" s="5" cm="1">
        <f t="array" ref="P323">MAX(IF((OutputTable[GroupByKey]=OutputTable[[#This Row],[GroupByKey]]),(OutputTable[GroupByKey]=OutputTable[[#This Row],[GroupByKey]])*OutputTable[RecordedValue]))</f>
        <v>0.99245161744166299</v>
      </c>
    </row>
    <row r="324" spans="1:16" x14ac:dyDescent="0.3">
      <c r="A324" t="s">
        <v>66</v>
      </c>
      <c r="B324" t="s">
        <v>68</v>
      </c>
      <c r="C324">
        <v>15</v>
      </c>
      <c r="D324" t="s">
        <v>108</v>
      </c>
      <c r="E324" t="s">
        <v>109</v>
      </c>
      <c r="F324" t="s">
        <v>95</v>
      </c>
      <c r="G324">
        <v>41</v>
      </c>
      <c r="H324">
        <v>0</v>
      </c>
      <c r="I324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30</v>
      </c>
      <c r="K324" s="5" cm="1">
        <f t="array" ref="K324">IFERROR(AVERAGE(IF((OutputTable[GroupByKey]=OutputTable[[#This Row],[GroupByKey]]),(OutputTable[GroupByKey]=OutputTable[[#This Row],[GroupByKey]])*OutputTable[RecordedValue])),0)</f>
        <v>34.633333333333333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6.3326375903390151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324" s="5" cm="1">
        <f t="array" ref="O324">MIN(IF((OutputTable[GroupByKey]=OutputTable[[#This Row],[GroupByKey]]),(OutputTable[GroupByKey]=OutputTable[[#This Row],[GroupByKey]])*OutputTable[RecordedValue]))</f>
        <v>24</v>
      </c>
      <c r="P324" s="5" cm="1">
        <f t="array" ref="P324">MAX(IF((OutputTable[GroupByKey]=OutputTable[[#This Row],[GroupByKey]]),(OutputTable[GroupByKey]=OutputTable[[#This Row],[GroupByKey]])*OutputTable[RecordedValue]))</f>
        <v>47</v>
      </c>
    </row>
    <row r="325" spans="1:16" x14ac:dyDescent="0.3">
      <c r="A325" t="s">
        <v>66</v>
      </c>
      <c r="B325" t="s">
        <v>68</v>
      </c>
      <c r="C325">
        <v>15</v>
      </c>
      <c r="D325" t="s">
        <v>110</v>
      </c>
      <c r="E325" t="s">
        <v>111</v>
      </c>
      <c r="F325" t="s">
        <v>95</v>
      </c>
      <c r="G325">
        <v>4.18742270562142E-2</v>
      </c>
      <c r="H325">
        <v>0</v>
      </c>
      <c r="I325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30</v>
      </c>
      <c r="K325" s="5" cm="1">
        <f t="array" ref="K325">IFERROR(AVERAGE(IF((OutputTable[GroupByKey]=OutputTable[[#This Row],[GroupByKey]]),(OutputTable[GroupByKey]=OutputTable[[#This Row],[GroupByKey]])*OutputTable[RecordedValue])),0)</f>
        <v>3.5359789427834361E-2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6.6521615975834569E-3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325" s="5" cm="1">
        <f t="array" ref="O325">MIN(IF((OutputTable[GroupByKey]=OutputTable[[#This Row],[GroupByKey]]),(OutputTable[GroupByKey]=OutputTable[[#This Row],[GroupByKey]])*OutputTable[RecordedValue]))</f>
        <v>2.3718114155243601E-2</v>
      </c>
      <c r="P325" s="5" cm="1">
        <f t="array" ref="P325">MAX(IF((OutputTable[GroupByKey]=OutputTable[[#This Row],[GroupByKey]]),(OutputTable[GroupByKey]=OutputTable[[#This Row],[GroupByKey]])*OutputTable[RecordedValue]))</f>
        <v>4.8583931724403701E-2</v>
      </c>
    </row>
    <row r="326" spans="1:16" x14ac:dyDescent="0.3">
      <c r="A326" t="s">
        <v>66</v>
      </c>
      <c r="B326" t="s">
        <v>68</v>
      </c>
      <c r="C326">
        <v>15</v>
      </c>
      <c r="D326" t="s">
        <v>112</v>
      </c>
      <c r="E326" t="s">
        <v>109</v>
      </c>
      <c r="F326" t="s">
        <v>95</v>
      </c>
      <c r="G326">
        <v>96</v>
      </c>
      <c r="H326">
        <v>0</v>
      </c>
      <c r="I326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30</v>
      </c>
      <c r="K326" s="5" cm="1">
        <f t="array" ref="K326">IFERROR(AVERAGE(IF((OutputTable[GroupByKey]=OutputTable[[#This Row],[GroupByKey]]),(OutputTable[GroupByKey]=OutputTable[[#This Row],[GroupByKey]])*OutputTable[RecordedValue])),0)</f>
        <v>105.13333333333334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9.9020490158675578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326" s="5" cm="1">
        <f t="array" ref="O326">MIN(IF((OutputTable[GroupByKey]=OutputTable[[#This Row],[GroupByKey]]),(OutputTable[GroupByKey]=OutputTable[[#This Row],[GroupByKey]])*OutputTable[RecordedValue]))</f>
        <v>90</v>
      </c>
      <c r="P326" s="5" cm="1">
        <f t="array" ref="P326">MAX(IF((OutputTable[GroupByKey]=OutputTable[[#This Row],[GroupByKey]]),(OutputTable[GroupByKey]=OutputTable[[#This Row],[GroupByKey]])*OutputTable[RecordedValue]))</f>
        <v>120</v>
      </c>
    </row>
    <row r="327" spans="1:16" x14ac:dyDescent="0.3">
      <c r="A327" t="s">
        <v>66</v>
      </c>
      <c r="B327" t="s">
        <v>68</v>
      </c>
      <c r="C327">
        <v>15</v>
      </c>
      <c r="D327" t="s">
        <v>113</v>
      </c>
      <c r="E327" t="s">
        <v>111</v>
      </c>
      <c r="F327" t="s">
        <v>95</v>
      </c>
      <c r="G327">
        <v>0.23700520774289599</v>
      </c>
      <c r="H327">
        <v>0</v>
      </c>
      <c r="I327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30</v>
      </c>
      <c r="K327" s="5" cm="1">
        <f t="array" ref="K327">IFERROR(AVERAGE(IF((OutputTable[GroupByKey]=OutputTable[[#This Row],[GroupByKey]]),(OutputTable[GroupByKey]=OutputTable[[#This Row],[GroupByKey]])*OutputTable[RecordedValue])),0)</f>
        <v>0.24658598119222253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2.3372241503878202E-2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327" s="5" cm="1">
        <f t="array" ref="O327">MIN(IF((OutputTable[GroupByKey]=OutputTable[[#This Row],[GroupByKey]]),(OutputTable[GroupByKey]=OutputTable[[#This Row],[GroupByKey]])*OutputTable[RecordedValue]))</f>
        <v>0.20767736113278101</v>
      </c>
      <c r="P327" s="5" cm="1">
        <f t="array" ref="P327">MAX(IF((OutputTable[GroupByKey]=OutputTable[[#This Row],[GroupByKey]]),(OutputTable[GroupByKey]=OutputTable[[#This Row],[GroupByKey]])*OutputTable[RecordedValue]))</f>
        <v>0.28501162927715601</v>
      </c>
    </row>
    <row r="328" spans="1:16" x14ac:dyDescent="0.3">
      <c r="A328" t="s">
        <v>66</v>
      </c>
      <c r="B328" t="s">
        <v>68</v>
      </c>
      <c r="C328">
        <v>15</v>
      </c>
      <c r="D328" t="s">
        <v>114</v>
      </c>
      <c r="E328" t="s">
        <v>109</v>
      </c>
      <c r="F328" t="s">
        <v>95</v>
      </c>
      <c r="G328">
        <v>113</v>
      </c>
      <c r="H328">
        <v>0</v>
      </c>
      <c r="I328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30</v>
      </c>
      <c r="K328" s="5" cm="1">
        <f t="array" ref="K328">IFERROR(AVERAGE(IF((OutputTable[GroupByKey]=OutputTable[[#This Row],[GroupByKey]]),(OutputTable[GroupByKey]=OutputTable[[#This Row],[GroupByKey]])*OutputTable[RecordedValue])),0)</f>
        <v>130.19999999999999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9.6932255049418501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328" s="5" cm="1">
        <f t="array" ref="O328">MIN(IF((OutputTable[GroupByKey]=OutputTable[[#This Row],[GroupByKey]]),(OutputTable[GroupByKey]=OutputTable[[#This Row],[GroupByKey]])*OutputTable[RecordedValue]))</f>
        <v>112</v>
      </c>
      <c r="P328" s="5" cm="1">
        <f t="array" ref="P328">MAX(IF((OutputTable[GroupByKey]=OutputTable[[#This Row],[GroupByKey]]),(OutputTable[GroupByKey]=OutputTable[[#This Row],[GroupByKey]])*OutputTable[RecordedValue]))</f>
        <v>150</v>
      </c>
    </row>
    <row r="329" spans="1:16" x14ac:dyDescent="0.3">
      <c r="A329" t="s">
        <v>66</v>
      </c>
      <c r="B329" t="s">
        <v>68</v>
      </c>
      <c r="C329">
        <v>15</v>
      </c>
      <c r="D329" t="s">
        <v>115</v>
      </c>
      <c r="E329" t="s">
        <v>111</v>
      </c>
      <c r="F329" t="s">
        <v>95</v>
      </c>
      <c r="G329">
        <v>0.54289788173472897</v>
      </c>
      <c r="H329">
        <v>0</v>
      </c>
      <c r="I329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30</v>
      </c>
      <c r="K329" s="5" cm="1">
        <f t="array" ref="K329">IFERROR(AVERAGE(IF((OutputTable[GroupByKey]=OutputTable[[#This Row],[GroupByKey]]),(OutputTable[GroupByKey]=OutputTable[[#This Row],[GroupByKey]])*OutputTable[RecordedValue])),0)</f>
        <v>0.61071636647106653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4.8363406640152928E-2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329" s="5" cm="1">
        <f t="array" ref="O329">MIN(IF((OutputTable[GroupByKey]=OutputTable[[#This Row],[GroupByKey]]),(OutputTable[GroupByKey]=OutputTable[[#This Row],[GroupByKey]])*OutputTable[RecordedValue]))</f>
        <v>0.517215348442703</v>
      </c>
      <c r="P329" s="5" cm="1">
        <f t="array" ref="P329">MAX(IF((OutputTable[GroupByKey]=OutputTable[[#This Row],[GroupByKey]]),(OutputTable[GroupByKey]=OutputTable[[#This Row],[GroupByKey]])*OutputTable[RecordedValue]))</f>
        <v>0.67770389283754395</v>
      </c>
    </row>
    <row r="330" spans="1:16" x14ac:dyDescent="0.3">
      <c r="A330" t="s">
        <v>66</v>
      </c>
      <c r="B330" t="s">
        <v>68</v>
      </c>
      <c r="C330">
        <v>15</v>
      </c>
      <c r="D330" t="s">
        <v>116</v>
      </c>
      <c r="E330" t="s">
        <v>109</v>
      </c>
      <c r="F330" t="s">
        <v>95</v>
      </c>
      <c r="G330">
        <v>335</v>
      </c>
      <c r="H330">
        <v>0</v>
      </c>
      <c r="I330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30</v>
      </c>
      <c r="K330" s="5" cm="1">
        <f t="array" ref="K330">IFERROR(AVERAGE(IF((OutputTable[GroupByKey]=OutputTable[[#This Row],[GroupByKey]]),(OutputTable[GroupByKey]=OutputTable[[#This Row],[GroupByKey]])*OutputTable[RecordedValue])),0)</f>
        <v>366.5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27.998460548813185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330" s="5" cm="1">
        <f t="array" ref="O330">MIN(IF((OutputTable[GroupByKey]=OutputTable[[#This Row],[GroupByKey]]),(OutputTable[GroupByKey]=OutputTable[[#This Row],[GroupByKey]])*OutputTable[RecordedValue]))</f>
        <v>308</v>
      </c>
      <c r="P330" s="5" cm="1">
        <f t="array" ref="P330">MAX(IF((OutputTable[GroupByKey]=OutputTable[[#This Row],[GroupByKey]]),(OutputTable[GroupByKey]=OutputTable[[#This Row],[GroupByKey]])*OutputTable[RecordedValue]))</f>
        <v>415</v>
      </c>
    </row>
    <row r="331" spans="1:16" x14ac:dyDescent="0.3">
      <c r="A331" t="s">
        <v>66</v>
      </c>
      <c r="B331" t="s">
        <v>68</v>
      </c>
      <c r="C331">
        <v>15</v>
      </c>
      <c r="D331" t="s">
        <v>117</v>
      </c>
      <c r="E331" t="s">
        <v>111</v>
      </c>
      <c r="F331" t="s">
        <v>95</v>
      </c>
      <c r="G331">
        <v>0.155305459764535</v>
      </c>
      <c r="H331">
        <v>0</v>
      </c>
      <c r="I331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30</v>
      </c>
      <c r="K331" s="5" cm="1">
        <f t="array" ref="K331">IFERROR(AVERAGE(IF((OutputTable[GroupByKey]=OutputTable[[#This Row],[GroupByKey]]),(OutputTable[GroupByKey]=OutputTable[[#This Row],[GroupByKey]])*OutputTable[RecordedValue])),0)</f>
        <v>0.17017204824235124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1.331368412630852E-2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331" s="5" cm="1">
        <f t="array" ref="O331">MIN(IF((OutputTable[GroupByKey]=OutputTable[[#This Row],[GroupByKey]]),(OutputTable[GroupByKey]=OutputTable[[#This Row],[GroupByKey]])*OutputTable[RecordedValue]))</f>
        <v>0.14484829778125299</v>
      </c>
      <c r="P331" s="5" cm="1">
        <f t="array" ref="P331">MAX(IF((OutputTable[GroupByKey]=OutputTable[[#This Row],[GroupByKey]]),(OutputTable[GroupByKey]=OutputTable[[#This Row],[GroupByKey]])*OutputTable[RecordedValue]))</f>
        <v>0.19609322315655101</v>
      </c>
    </row>
    <row r="332" spans="1:16" x14ac:dyDescent="0.3">
      <c r="A332" t="s">
        <v>66</v>
      </c>
      <c r="B332" t="s">
        <v>68</v>
      </c>
      <c r="C332">
        <v>15</v>
      </c>
      <c r="D332" t="s">
        <v>118</v>
      </c>
      <c r="E332" t="s">
        <v>109</v>
      </c>
      <c r="F332" t="s">
        <v>95</v>
      </c>
      <c r="G332">
        <v>62</v>
      </c>
      <c r="H332">
        <v>0</v>
      </c>
      <c r="I332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30</v>
      </c>
      <c r="K332" s="5" cm="1">
        <f t="array" ref="K332">IFERROR(AVERAGE(IF((OutputTable[GroupByKey]=OutputTable[[#This Row],[GroupByKey]]),(OutputTable[GroupByKey]=OutputTable[[#This Row],[GroupByKey]])*OutputTable[RecordedValue])),0)</f>
        <v>67.599999999999994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8.2277914244430335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332" s="5" cm="1">
        <f t="array" ref="O332">MIN(IF((OutputTable[GroupByKey]=OutputTable[[#This Row],[GroupByKey]]),(OutputTable[GroupByKey]=OutputTable[[#This Row],[GroupByKey]])*OutputTable[RecordedValue]))</f>
        <v>53</v>
      </c>
      <c r="P332" s="5" cm="1">
        <f t="array" ref="P332">MAX(IF((OutputTable[GroupByKey]=OutputTable[[#This Row],[GroupByKey]]),(OutputTable[GroupByKey]=OutputTable[[#This Row],[GroupByKey]])*OutputTable[RecordedValue]))</f>
        <v>83</v>
      </c>
    </row>
    <row r="333" spans="1:16" x14ac:dyDescent="0.3">
      <c r="A333" t="s">
        <v>66</v>
      </c>
      <c r="B333" t="s">
        <v>68</v>
      </c>
      <c r="C333">
        <v>15</v>
      </c>
      <c r="D333" t="s">
        <v>119</v>
      </c>
      <c r="E333" t="s">
        <v>111</v>
      </c>
      <c r="F333" t="s">
        <v>95</v>
      </c>
      <c r="G333">
        <v>8.4563850577011296E-2</v>
      </c>
      <c r="H333">
        <v>0</v>
      </c>
      <c r="I333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30</v>
      </c>
      <c r="K333" s="5" cm="1">
        <f t="array" ref="K333">IFERROR(AVERAGE(IF((OutputTable[GroupByKey]=OutputTable[[#This Row],[GroupByKey]]),(OutputTable[GroupByKey]=OutputTable[[#This Row],[GroupByKey]])*OutputTable[RecordedValue])),0)</f>
        <v>9.2629789222133899E-2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1.1199993404883948E-2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333" s="5" cm="1">
        <f t="array" ref="O333">MIN(IF((OutputTable[GroupByKey]=OutputTable[[#This Row],[GroupByKey]]),(OutputTable[GroupByKey]=OutputTable[[#This Row],[GroupByKey]])*OutputTable[RecordedValue]))</f>
        <v>7.4778736536586704E-2</v>
      </c>
      <c r="P333" s="5" cm="1">
        <f t="array" ref="P333">MAX(IF((OutputTable[GroupByKey]=OutputTable[[#This Row],[GroupByKey]]),(OutputTable[GroupByKey]=OutputTable[[#This Row],[GroupByKey]])*OutputTable[RecordedValue]))</f>
        <v>0.111025455742452</v>
      </c>
    </row>
    <row r="334" spans="1:16" x14ac:dyDescent="0.3">
      <c r="A334" t="s">
        <v>66</v>
      </c>
      <c r="B334" t="s">
        <v>68</v>
      </c>
      <c r="C334">
        <v>15</v>
      </c>
      <c r="D334" t="s">
        <v>120</v>
      </c>
      <c r="E334" t="s">
        <v>121</v>
      </c>
      <c r="F334" t="s">
        <v>122</v>
      </c>
      <c r="G334">
        <v>138</v>
      </c>
      <c r="H334">
        <v>0</v>
      </c>
      <c r="I334" s="5" t="str">
        <f>OutputTable[[#This Row],[ProjectName]]&amp;OutputTable[[#This Row],[Name]]&amp;OutputTable[[#This Row],[Type]]&amp;OutputTable[[#This Row],[Source]]</f>
        <v>Unnamed ProjectSystem.NumberOutNumber OutSystem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30</v>
      </c>
      <c r="K334" s="5" cm="1">
        <f t="array" ref="K334">IFERROR(AVERAGE(IF((OutputTable[GroupByKey]=OutputTable[[#This Row],[GroupByKey]]),(OutputTable[GroupByKey]=OutputTable[[#This Row],[GroupByKey]])*OutputTable[RecordedValue])),0)</f>
        <v>138.66666666666666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10.59386072484773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334" s="5" cm="1">
        <f t="array" ref="O334">MIN(IF((OutputTable[GroupByKey]=OutputTable[[#This Row],[GroupByKey]]),(OutputTable[GroupByKey]=OutputTable[[#This Row],[GroupByKey]])*OutputTable[RecordedValue]))</f>
        <v>122</v>
      </c>
      <c r="P334" s="5" cm="1">
        <f t="array" ref="P334">MAX(IF((OutputTable[GroupByKey]=OutputTable[[#This Row],[GroupByKey]]),(OutputTable[GroupByKey]=OutputTable[[#This Row],[GroupByKey]])*OutputTable[RecordedValue]))</f>
        <v>158</v>
      </c>
    </row>
    <row r="335" spans="1:16" x14ac:dyDescent="0.3">
      <c r="A335" t="s">
        <v>66</v>
      </c>
      <c r="B335" t="s">
        <v>68</v>
      </c>
      <c r="C335">
        <v>15</v>
      </c>
      <c r="D335" t="s">
        <v>123</v>
      </c>
      <c r="E335" t="s">
        <v>109</v>
      </c>
      <c r="F335" t="s">
        <v>95</v>
      </c>
      <c r="G335">
        <v>310</v>
      </c>
      <c r="H335">
        <v>0</v>
      </c>
      <c r="I335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30</v>
      </c>
      <c r="K335" s="5" cm="1">
        <f t="array" ref="K335">IFERROR(AVERAGE(IF((OutputTable[GroupByKey]=OutputTable[[#This Row],[GroupByKey]]),(OutputTable[GroupByKey]=OutputTable[[#This Row],[GroupByKey]])*OutputTable[RecordedValue])),0)</f>
        <v>324.63333333333333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23.733409208195905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335" s="5" cm="1">
        <f t="array" ref="O335">MIN(IF((OutputTable[GroupByKey]=OutputTable[[#This Row],[GroupByKey]]),(OutputTable[GroupByKey]=OutputTable[[#This Row],[GroupByKey]])*OutputTable[RecordedValue]))</f>
        <v>276</v>
      </c>
      <c r="P335" s="5" cm="1">
        <f t="array" ref="P335">MAX(IF((OutputTable[GroupByKey]=OutputTable[[#This Row],[GroupByKey]]),(OutputTable[GroupByKey]=OutputTable[[#This Row],[GroupByKey]])*OutputTable[RecordedValue]))</f>
        <v>370</v>
      </c>
    </row>
    <row r="336" spans="1:16" x14ac:dyDescent="0.3">
      <c r="A336" t="s">
        <v>66</v>
      </c>
      <c r="B336" t="s">
        <v>68</v>
      </c>
      <c r="C336">
        <v>15</v>
      </c>
      <c r="D336" t="s">
        <v>124</v>
      </c>
      <c r="E336" t="s">
        <v>111</v>
      </c>
      <c r="F336" t="s">
        <v>95</v>
      </c>
      <c r="G336">
        <v>0.74823895835411303</v>
      </c>
      <c r="H336">
        <v>0</v>
      </c>
      <c r="I336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30</v>
      </c>
      <c r="K336" s="5" cm="1">
        <f t="array" ref="K336">IFERROR(AVERAGE(IF((OutputTable[GroupByKey]=OutputTable[[#This Row],[GroupByKey]]),(OutputTable[GroupByKey]=OutputTable[[#This Row],[GroupByKey]])*OutputTable[RecordedValue])),0)</f>
        <v>0.78890367752589419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5.7743599319329868E-2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336" s="5" cm="1">
        <f t="array" ref="O336">MIN(IF((OutputTable[GroupByKey]=OutputTable[[#This Row],[GroupByKey]]),(OutputTable[GroupByKey]=OutputTable[[#This Row],[GroupByKey]])*OutputTable[RecordedValue]))</f>
        <v>0.68630817725209003</v>
      </c>
      <c r="P336" s="5" cm="1">
        <f t="array" ref="P336">MAX(IF((OutputTable[GroupByKey]=OutputTable[[#This Row],[GroupByKey]]),(OutputTable[GroupByKey]=OutputTable[[#This Row],[GroupByKey]])*OutputTable[RecordedValue]))</f>
        <v>0.89844569749382897</v>
      </c>
    </row>
    <row r="337" spans="1:16" x14ac:dyDescent="0.3">
      <c r="A337" t="s">
        <v>66</v>
      </c>
      <c r="B337" t="s">
        <v>68</v>
      </c>
      <c r="C337">
        <v>15</v>
      </c>
      <c r="D337" t="s">
        <v>125</v>
      </c>
      <c r="E337" t="s">
        <v>126</v>
      </c>
      <c r="F337" t="s">
        <v>86</v>
      </c>
      <c r="G337">
        <v>177</v>
      </c>
      <c r="H337">
        <v>0</v>
      </c>
      <c r="I337" s="5" t="str">
        <f>OutputTable[[#This Row],[ProjectName]]&amp;OutputTable[[#This Row],[Name]]&amp;OutputTable[[#This Row],[Type]]&amp;OutputTable[[#This Row],[Source]]</f>
        <v>Unnamed ProjectVisitantes.NumberInNumber InEntity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30</v>
      </c>
      <c r="K337" s="5" cm="1">
        <f t="array" ref="K337">IFERROR(AVERAGE(IF((OutputTable[GroupByKey]=OutputTable[[#This Row],[GroupByKey]]),(OutputTable[GroupByKey]=OutputTable[[#This Row],[GroupByKey]])*OutputTable[RecordedValue])),0)</f>
        <v>194.43333333333334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19.567184586538712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337" s="5" cm="1">
        <f t="array" ref="O337">MIN(IF((OutputTable[GroupByKey]=OutputTable[[#This Row],[GroupByKey]]),(OutputTable[GroupByKey]=OutputTable[[#This Row],[GroupByKey]])*OutputTable[RecordedValue]))</f>
        <v>158</v>
      </c>
      <c r="P337" s="5" cm="1">
        <f t="array" ref="P337">MAX(IF((OutputTable[GroupByKey]=OutputTable[[#This Row],[GroupByKey]]),(OutputTable[GroupByKey]=OutputTable[[#This Row],[GroupByKey]])*OutputTable[RecordedValue]))</f>
        <v>255</v>
      </c>
    </row>
    <row r="338" spans="1:16" x14ac:dyDescent="0.3">
      <c r="A338" t="s">
        <v>66</v>
      </c>
      <c r="B338" t="s">
        <v>68</v>
      </c>
      <c r="C338">
        <v>15</v>
      </c>
      <c r="D338" t="s">
        <v>127</v>
      </c>
      <c r="E338" t="s">
        <v>121</v>
      </c>
      <c r="F338" t="s">
        <v>86</v>
      </c>
      <c r="G338">
        <v>138</v>
      </c>
      <c r="H338">
        <v>0</v>
      </c>
      <c r="I338" s="5" t="str">
        <f>OutputTable[[#This Row],[ProjectName]]&amp;OutputTable[[#This Row],[Name]]&amp;OutputTable[[#This Row],[Type]]&amp;OutputTable[[#This Row],[Source]]</f>
        <v>Unnamed ProjectVisitantes.NumberOutNumber OutEntity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30</v>
      </c>
      <c r="K338" s="5" cm="1">
        <f t="array" ref="K338">IFERROR(AVERAGE(IF((OutputTable[GroupByKey]=OutputTable[[#This Row],[GroupByKey]]),(OutputTable[GroupByKey]=OutputTable[[#This Row],[GroupByKey]])*OutputTable[RecordedValue])),0)</f>
        <v>138.66666666666666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10.59386072484773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338" s="5" cm="1">
        <f t="array" ref="O338">MIN(IF((OutputTable[GroupByKey]=OutputTable[[#This Row],[GroupByKey]]),(OutputTable[GroupByKey]=OutputTable[[#This Row],[GroupByKey]])*OutputTable[RecordedValue]))</f>
        <v>122</v>
      </c>
      <c r="P338" s="5" cm="1">
        <f t="array" ref="P338">MAX(IF((OutputTable[GroupByKey]=OutputTable[[#This Row],[GroupByKey]]),(OutputTable[GroupByKey]=OutputTable[[#This Row],[GroupByKey]])*OutputTable[RecordedValue]))</f>
        <v>158</v>
      </c>
    </row>
    <row r="339" spans="1:16" x14ac:dyDescent="0.3">
      <c r="A339" t="s">
        <v>66</v>
      </c>
      <c r="B339" t="s">
        <v>68</v>
      </c>
      <c r="C339">
        <v>15</v>
      </c>
      <c r="D339" t="s">
        <v>128</v>
      </c>
      <c r="E339" t="s">
        <v>109</v>
      </c>
      <c r="F339" t="s">
        <v>95</v>
      </c>
      <c r="G339">
        <v>0</v>
      </c>
      <c r="H339">
        <v>0</v>
      </c>
      <c r="I339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30</v>
      </c>
      <c r="K339" s="5" cm="1">
        <f t="array" ref="K339">IFERROR(AVERAGE(IF((OutputTable[GroupByKey]=OutputTable[[#This Row],[GroupByKey]]),(OutputTable[GroupByKey]=OutputTable[[#This Row],[GroupByKey]])*OutputTable[RecordedValue])),0)</f>
        <v>0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0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9" s="5" cm="1">
        <f t="array" ref="O339">MIN(IF((OutputTable[GroupByKey]=OutputTable[[#This Row],[GroupByKey]]),(OutputTable[GroupByKey]=OutputTable[[#This Row],[GroupByKey]])*OutputTable[RecordedValue]))</f>
        <v>0</v>
      </c>
      <c r="P339" s="5" cm="1">
        <f t="array" ref="P339">MAX(IF((OutputTable[GroupByKey]=OutputTable[[#This Row],[GroupByKey]]),(OutputTable[GroupByKey]=OutputTable[[#This Row],[GroupByKey]])*OutputTable[RecordedValue]))</f>
        <v>0</v>
      </c>
    </row>
    <row r="340" spans="1:16" x14ac:dyDescent="0.3">
      <c r="A340" t="s">
        <v>66</v>
      </c>
      <c r="B340" t="s">
        <v>68</v>
      </c>
      <c r="C340">
        <v>15</v>
      </c>
      <c r="D340" t="s">
        <v>129</v>
      </c>
      <c r="E340" t="s">
        <v>111</v>
      </c>
      <c r="F340" t="s">
        <v>95</v>
      </c>
      <c r="G340">
        <v>0</v>
      </c>
      <c r="H340">
        <v>0</v>
      </c>
      <c r="I340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30</v>
      </c>
      <c r="K340" s="5" cm="1">
        <f t="array" ref="K340">IFERROR(AVERAGE(IF((OutputTable[GroupByKey]=OutputTable[[#This Row],[GroupByKey]]),(OutputTable[GroupByKey]=OutputTable[[#This Row],[GroupByKey]])*OutputTable[RecordedValue])),0)</f>
        <v>0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0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0" s="5" cm="1">
        <f t="array" ref="O340">MIN(IF((OutputTable[GroupByKey]=OutputTable[[#This Row],[GroupByKey]]),(OutputTable[GroupByKey]=OutputTable[[#This Row],[GroupByKey]])*OutputTable[RecordedValue]))</f>
        <v>0</v>
      </c>
      <c r="P340" s="5" cm="1">
        <f t="array" ref="P340">MAX(IF((OutputTable[GroupByKey]=OutputTable[[#This Row],[GroupByKey]]),(OutputTable[GroupByKey]=OutputTable[[#This Row],[GroupByKey]])*OutputTable[RecordedValue]))</f>
        <v>0</v>
      </c>
    </row>
    <row r="341" spans="1:16" x14ac:dyDescent="0.3">
      <c r="A341" t="s">
        <v>66</v>
      </c>
      <c r="B341" t="s">
        <v>68</v>
      </c>
      <c r="C341">
        <v>15</v>
      </c>
      <c r="D341" t="s">
        <v>130</v>
      </c>
      <c r="E341" t="s">
        <v>109</v>
      </c>
      <c r="F341" t="s">
        <v>95</v>
      </c>
      <c r="G341">
        <v>93</v>
      </c>
      <c r="H341">
        <v>0</v>
      </c>
      <c r="I341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30</v>
      </c>
      <c r="K341" s="5" cm="1">
        <f t="array" ref="K341">IFERROR(AVERAGE(IF((OutputTable[GroupByKey]=OutputTable[[#This Row],[GroupByKey]]),(OutputTable[GroupByKey]=OutputTable[[#This Row],[GroupByKey]])*OutputTable[RecordedValue])),0)</f>
        <v>99.666666666666671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11.021400290698853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341" s="5" cm="1">
        <f t="array" ref="O341">MIN(IF((OutputTable[GroupByKey]=OutputTable[[#This Row],[GroupByKey]]),(OutputTable[GroupByKey]=OutputTable[[#This Row],[GroupByKey]])*OutputTable[RecordedValue]))</f>
        <v>84</v>
      </c>
      <c r="P341" s="5" cm="1">
        <f t="array" ref="P341">MAX(IF((OutputTable[GroupByKey]=OutputTable[[#This Row],[GroupByKey]]),(OutputTable[GroupByKey]=OutputTable[[#This Row],[GroupByKey]])*OutputTable[RecordedValue]))</f>
        <v>133</v>
      </c>
    </row>
    <row r="342" spans="1:16" x14ac:dyDescent="0.3">
      <c r="A342" t="s">
        <v>66</v>
      </c>
      <c r="B342" t="s">
        <v>68</v>
      </c>
      <c r="C342">
        <v>15</v>
      </c>
      <c r="D342" t="s">
        <v>131</v>
      </c>
      <c r="E342" t="s">
        <v>111</v>
      </c>
      <c r="F342" t="s">
        <v>95</v>
      </c>
      <c r="G342">
        <v>0.634589476164233</v>
      </c>
      <c r="H342">
        <v>0</v>
      </c>
      <c r="I342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30</v>
      </c>
      <c r="K342" s="5" cm="1">
        <f t="array" ref="K342">IFERROR(AVERAGE(IF((OutputTable[GroupByKey]=OutputTable[[#This Row],[GroupByKey]]),(OutputTable[GroupByKey]=OutputTable[[#This Row],[GroupByKey]])*OutputTable[RecordedValue])),0)</f>
        <v>0.81099663999028448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0.1069626954834289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342" s="5" cm="1">
        <f t="array" ref="O342">MIN(IF((OutputTable[GroupByKey]=OutputTable[[#This Row],[GroupByKey]]),(OutputTable[GroupByKey]=OutputTable[[#This Row],[GroupByKey]])*OutputTable[RecordedValue]))</f>
        <v>0.634589476164233</v>
      </c>
      <c r="P342" s="5" cm="1">
        <f t="array" ref="P342">MAX(IF((OutputTable[GroupByKey]=OutputTable[[#This Row],[GroupByKey]]),(OutputTable[GroupByKey]=OutputTable[[#This Row],[GroupByKey]])*OutputTable[RecordedValue]))</f>
        <v>0.99383259650362799</v>
      </c>
    </row>
    <row r="343" spans="1:16" x14ac:dyDescent="0.3">
      <c r="A343" t="s">
        <v>66</v>
      </c>
      <c r="B343" t="s">
        <v>68</v>
      </c>
      <c r="C343">
        <v>15</v>
      </c>
      <c r="D343" t="s">
        <v>132</v>
      </c>
      <c r="E343" t="s">
        <v>109</v>
      </c>
      <c r="F343" t="s">
        <v>95</v>
      </c>
      <c r="G343">
        <v>40</v>
      </c>
      <c r="H343">
        <v>0</v>
      </c>
      <c r="I343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30</v>
      </c>
      <c r="K343" s="5" cm="1">
        <f t="array" ref="K343">IFERROR(AVERAGE(IF((OutputTable[GroupByKey]=OutputTable[[#This Row],[GroupByKey]]),(OutputTable[GroupByKey]=OutputTable[[#This Row],[GroupByKey]])*OutputTable[RecordedValue])),0)</f>
        <v>51.966666666666669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7.0636677653220881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343" s="5" cm="1">
        <f t="array" ref="O343">MIN(IF((OutputTable[GroupByKey]=OutputTable[[#This Row],[GroupByKey]]),(OutputTable[GroupByKey]=OutputTable[[#This Row],[GroupByKey]])*OutputTable[RecordedValue]))</f>
        <v>40</v>
      </c>
      <c r="P343" s="5" cm="1">
        <f t="array" ref="P343">MAX(IF((OutputTable[GroupByKey]=OutputTable[[#This Row],[GroupByKey]]),(OutputTable[GroupByKey]=OutputTable[[#This Row],[GroupByKey]])*OutputTable[RecordedValue]))</f>
        <v>70</v>
      </c>
    </row>
    <row r="344" spans="1:16" x14ac:dyDescent="0.3">
      <c r="A344" t="s">
        <v>66</v>
      </c>
      <c r="B344" t="s">
        <v>68</v>
      </c>
      <c r="C344">
        <v>15</v>
      </c>
      <c r="D344" t="s">
        <v>133</v>
      </c>
      <c r="E344" t="s">
        <v>111</v>
      </c>
      <c r="F344" t="s">
        <v>95</v>
      </c>
      <c r="G344">
        <v>0.74546776871926002</v>
      </c>
      <c r="H344">
        <v>0</v>
      </c>
      <c r="I344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30</v>
      </c>
      <c r="K344" s="5" cm="1">
        <f t="array" ref="K344">IFERROR(AVERAGE(IF((OutputTable[GroupByKey]=OutputTable[[#This Row],[GroupByKey]]),(OutputTable[GroupByKey]=OutputTable[[#This Row],[GroupByKey]])*OutputTable[RecordedValue])),0)</f>
        <v>0.86404173385398308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7.7429091138254261E-2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344" s="5" cm="1">
        <f t="array" ref="O344">MIN(IF((OutputTable[GroupByKey]=OutputTable[[#This Row],[GroupByKey]]),(OutputTable[GroupByKey]=OutputTable[[#This Row],[GroupByKey]])*OutputTable[RecordedValue]))</f>
        <v>0.74061105631083801</v>
      </c>
      <c r="P344" s="5" cm="1">
        <f t="array" ref="P344">MAX(IF((OutputTable[GroupByKey]=OutputTable[[#This Row],[GroupByKey]]),(OutputTable[GroupByKey]=OutputTable[[#This Row],[GroupByKey]])*OutputTable[RecordedValue]))</f>
        <v>0.99245161744166299</v>
      </c>
    </row>
    <row r="345" spans="1:16" x14ac:dyDescent="0.3">
      <c r="A345" t="s">
        <v>66</v>
      </c>
      <c r="B345" t="s">
        <v>68</v>
      </c>
      <c r="C345">
        <v>15</v>
      </c>
      <c r="D345" t="s">
        <v>134</v>
      </c>
      <c r="E345" t="s">
        <v>109</v>
      </c>
      <c r="F345" t="s">
        <v>95</v>
      </c>
      <c r="G345">
        <v>41</v>
      </c>
      <c r="H345">
        <v>0</v>
      </c>
      <c r="I345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30</v>
      </c>
      <c r="K345" s="5" cm="1">
        <f t="array" ref="K345">IFERROR(AVERAGE(IF((OutputTable[GroupByKey]=OutputTable[[#This Row],[GroupByKey]]),(OutputTable[GroupByKey]=OutputTable[[#This Row],[GroupByKey]])*OutputTable[RecordedValue])),0)</f>
        <v>36.233333333333334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4.775536318198915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345" s="5" cm="1">
        <f t="array" ref="O345">MIN(IF((OutputTable[GroupByKey]=OutputTable[[#This Row],[GroupByKey]]),(OutputTable[GroupByKey]=OutputTable[[#This Row],[GroupByKey]])*OutputTable[RecordedValue]))</f>
        <v>28</v>
      </c>
      <c r="P345" s="5" cm="1">
        <f t="array" ref="P345">MAX(IF((OutputTable[GroupByKey]=OutputTable[[#This Row],[GroupByKey]]),(OutputTable[GroupByKey]=OutputTable[[#This Row],[GroupByKey]])*OutputTable[RecordedValue]))</f>
        <v>48</v>
      </c>
    </row>
    <row r="346" spans="1:16" x14ac:dyDescent="0.3">
      <c r="A346" t="s">
        <v>66</v>
      </c>
      <c r="B346" t="s">
        <v>68</v>
      </c>
      <c r="C346">
        <v>15</v>
      </c>
      <c r="D346" t="s">
        <v>135</v>
      </c>
      <c r="E346" t="s">
        <v>111</v>
      </c>
      <c r="F346" t="s">
        <v>95</v>
      </c>
      <c r="G346">
        <v>0.75085394188093801</v>
      </c>
      <c r="H346">
        <v>0</v>
      </c>
      <c r="I346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30</v>
      </c>
      <c r="K346" s="5" cm="1">
        <f t="array" ref="K346">IFERROR(AVERAGE(IF((OutputTable[GroupByKey]=OutputTable[[#This Row],[GroupByKey]]),(OutputTable[GroupByKey]=OutputTable[[#This Row],[GroupByKey]])*OutputTable[RecordedValue])),0)</f>
        <v>0.88098039877461687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6.9783648638161486E-2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346" s="5" cm="1">
        <f t="array" ref="O346">MIN(IF((OutputTable[GroupByKey]=OutputTable[[#This Row],[GroupByKey]]),(OutputTable[GroupByKey]=OutputTable[[#This Row],[GroupByKey]])*OutputTable[RecordedValue]))</f>
        <v>0.73843386001690303</v>
      </c>
      <c r="P346" s="5" cm="1">
        <f t="array" ref="P346">MAX(IF((OutputTable[GroupByKey]=OutputTable[[#This Row],[GroupByKey]]),(OutputTable[GroupByKey]=OutputTable[[#This Row],[GroupByKey]])*OutputTable[RecordedValue]))</f>
        <v>0.99245161744166299</v>
      </c>
    </row>
    <row r="347" spans="1:16" x14ac:dyDescent="0.3">
      <c r="A347" t="s">
        <v>66</v>
      </c>
      <c r="B347" t="s">
        <v>68</v>
      </c>
      <c r="C347">
        <v>16</v>
      </c>
      <c r="D347" t="s">
        <v>108</v>
      </c>
      <c r="E347" t="s">
        <v>109</v>
      </c>
      <c r="F347" t="s">
        <v>95</v>
      </c>
      <c r="G347">
        <v>39</v>
      </c>
      <c r="H347">
        <v>0</v>
      </c>
      <c r="I347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30</v>
      </c>
      <c r="K347" s="5" cm="1">
        <f t="array" ref="K347">IFERROR(AVERAGE(IF((OutputTable[GroupByKey]=OutputTable[[#This Row],[GroupByKey]]),(OutputTable[GroupByKey]=OutputTable[[#This Row],[GroupByKey]])*OutputTable[RecordedValue])),0)</f>
        <v>34.633333333333333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6.3326375903390151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347" s="5" cm="1">
        <f t="array" ref="O347">MIN(IF((OutputTable[GroupByKey]=OutputTable[[#This Row],[GroupByKey]]),(OutputTable[GroupByKey]=OutputTable[[#This Row],[GroupByKey]])*OutputTable[RecordedValue]))</f>
        <v>24</v>
      </c>
      <c r="P347" s="5" cm="1">
        <f t="array" ref="P347">MAX(IF((OutputTable[GroupByKey]=OutputTable[[#This Row],[GroupByKey]]),(OutputTable[GroupByKey]=OutputTable[[#This Row],[GroupByKey]])*OutputTable[RecordedValue]))</f>
        <v>47</v>
      </c>
    </row>
    <row r="348" spans="1:16" x14ac:dyDescent="0.3">
      <c r="A348" t="s">
        <v>66</v>
      </c>
      <c r="B348" t="s">
        <v>68</v>
      </c>
      <c r="C348">
        <v>16</v>
      </c>
      <c r="D348" t="s">
        <v>110</v>
      </c>
      <c r="E348" t="s">
        <v>111</v>
      </c>
      <c r="F348" t="s">
        <v>95</v>
      </c>
      <c r="G348">
        <v>4.09263044510004E-2</v>
      </c>
      <c r="H348">
        <v>0</v>
      </c>
      <c r="I348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30</v>
      </c>
      <c r="K348" s="5" cm="1">
        <f t="array" ref="K348">IFERROR(AVERAGE(IF((OutputTable[GroupByKey]=OutputTable[[#This Row],[GroupByKey]]),(OutputTable[GroupByKey]=OutputTable[[#This Row],[GroupByKey]])*OutputTable[RecordedValue])),0)</f>
        <v>3.5359789427834361E-2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6.6521615975834569E-3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348" s="5" cm="1">
        <f t="array" ref="O348">MIN(IF((OutputTable[GroupByKey]=OutputTable[[#This Row],[GroupByKey]]),(OutputTable[GroupByKey]=OutputTable[[#This Row],[GroupByKey]])*OutputTable[RecordedValue]))</f>
        <v>2.3718114155243601E-2</v>
      </c>
      <c r="P348" s="5" cm="1">
        <f t="array" ref="P348">MAX(IF((OutputTable[GroupByKey]=OutputTable[[#This Row],[GroupByKey]]),(OutputTable[GroupByKey]=OutputTable[[#This Row],[GroupByKey]])*OutputTable[RecordedValue]))</f>
        <v>4.8583931724403701E-2</v>
      </c>
    </row>
    <row r="349" spans="1:16" x14ac:dyDescent="0.3">
      <c r="A349" t="s">
        <v>66</v>
      </c>
      <c r="B349" t="s">
        <v>68</v>
      </c>
      <c r="C349">
        <v>16</v>
      </c>
      <c r="D349" t="s">
        <v>112</v>
      </c>
      <c r="E349" t="s">
        <v>109</v>
      </c>
      <c r="F349" t="s">
        <v>95</v>
      </c>
      <c r="G349">
        <v>117</v>
      </c>
      <c r="H349">
        <v>0</v>
      </c>
      <c r="I349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30</v>
      </c>
      <c r="K349" s="5" cm="1">
        <f t="array" ref="K349">IFERROR(AVERAGE(IF((OutputTable[GroupByKey]=OutputTable[[#This Row],[GroupByKey]]),(OutputTable[GroupByKey]=OutputTable[[#This Row],[GroupByKey]])*OutputTable[RecordedValue])),0)</f>
        <v>105.13333333333334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9.9020490158675578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349" s="5" cm="1">
        <f t="array" ref="O349">MIN(IF((OutputTable[GroupByKey]=OutputTable[[#This Row],[GroupByKey]]),(OutputTable[GroupByKey]=OutputTable[[#This Row],[GroupByKey]])*OutputTable[RecordedValue]))</f>
        <v>90</v>
      </c>
      <c r="P349" s="5" cm="1">
        <f t="array" ref="P349">MAX(IF((OutputTable[GroupByKey]=OutputTable[[#This Row],[GroupByKey]]),(OutputTable[GroupByKey]=OutputTable[[#This Row],[GroupByKey]])*OutputTable[RecordedValue]))</f>
        <v>120</v>
      </c>
    </row>
    <row r="350" spans="1:16" x14ac:dyDescent="0.3">
      <c r="A350" t="s">
        <v>66</v>
      </c>
      <c r="B350" t="s">
        <v>68</v>
      </c>
      <c r="C350">
        <v>16</v>
      </c>
      <c r="D350" t="s">
        <v>113</v>
      </c>
      <c r="E350" t="s">
        <v>111</v>
      </c>
      <c r="F350" t="s">
        <v>95</v>
      </c>
      <c r="G350">
        <v>0.27570611278698198</v>
      </c>
      <c r="H350">
        <v>0</v>
      </c>
      <c r="I350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30</v>
      </c>
      <c r="K350" s="5" cm="1">
        <f t="array" ref="K350">IFERROR(AVERAGE(IF((OutputTable[GroupByKey]=OutputTable[[#This Row],[GroupByKey]]),(OutputTable[GroupByKey]=OutputTable[[#This Row],[GroupByKey]])*OutputTable[RecordedValue])),0)</f>
        <v>0.24658598119222253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2.3372241503878202E-2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350" s="5" cm="1">
        <f t="array" ref="O350">MIN(IF((OutputTable[GroupByKey]=OutputTable[[#This Row],[GroupByKey]]),(OutputTable[GroupByKey]=OutputTable[[#This Row],[GroupByKey]])*OutputTable[RecordedValue]))</f>
        <v>0.20767736113278101</v>
      </c>
      <c r="P350" s="5" cm="1">
        <f t="array" ref="P350">MAX(IF((OutputTable[GroupByKey]=OutputTable[[#This Row],[GroupByKey]]),(OutputTable[GroupByKey]=OutputTable[[#This Row],[GroupByKey]])*OutputTable[RecordedValue]))</f>
        <v>0.28501162927715601</v>
      </c>
    </row>
    <row r="351" spans="1:16" x14ac:dyDescent="0.3">
      <c r="A351" t="s">
        <v>66</v>
      </c>
      <c r="B351" t="s">
        <v>68</v>
      </c>
      <c r="C351">
        <v>16</v>
      </c>
      <c r="D351" t="s">
        <v>114</v>
      </c>
      <c r="E351" t="s">
        <v>109</v>
      </c>
      <c r="F351" t="s">
        <v>95</v>
      </c>
      <c r="G351">
        <v>140</v>
      </c>
      <c r="H351">
        <v>0</v>
      </c>
      <c r="I351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30</v>
      </c>
      <c r="K351" s="5" cm="1">
        <f t="array" ref="K351">IFERROR(AVERAGE(IF((OutputTable[GroupByKey]=OutputTable[[#This Row],[GroupByKey]]),(OutputTable[GroupByKey]=OutputTable[[#This Row],[GroupByKey]])*OutputTable[RecordedValue])),0)</f>
        <v>130.19999999999999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9.6932255049418501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351" s="5" cm="1">
        <f t="array" ref="O351">MIN(IF((OutputTable[GroupByKey]=OutputTable[[#This Row],[GroupByKey]]),(OutputTable[GroupByKey]=OutputTable[[#This Row],[GroupByKey]])*OutputTable[RecordedValue]))</f>
        <v>112</v>
      </c>
      <c r="P351" s="5" cm="1">
        <f t="array" ref="P351">MAX(IF((OutputTable[GroupByKey]=OutputTable[[#This Row],[GroupByKey]]),(OutputTable[GroupByKey]=OutputTable[[#This Row],[GroupByKey]])*OutputTable[RecordedValue]))</f>
        <v>150</v>
      </c>
    </row>
    <row r="352" spans="1:16" x14ac:dyDescent="0.3">
      <c r="A352" t="s">
        <v>66</v>
      </c>
      <c r="B352" t="s">
        <v>68</v>
      </c>
      <c r="C352">
        <v>16</v>
      </c>
      <c r="D352" t="s">
        <v>115</v>
      </c>
      <c r="E352" t="s">
        <v>111</v>
      </c>
      <c r="F352" t="s">
        <v>95</v>
      </c>
      <c r="G352">
        <v>0.67565522846140402</v>
      </c>
      <c r="H352">
        <v>0</v>
      </c>
      <c r="I352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30</v>
      </c>
      <c r="K352" s="5" cm="1">
        <f t="array" ref="K352">IFERROR(AVERAGE(IF((OutputTable[GroupByKey]=OutputTable[[#This Row],[GroupByKey]]),(OutputTable[GroupByKey]=OutputTable[[#This Row],[GroupByKey]])*OutputTable[RecordedValue])),0)</f>
        <v>0.61071636647106653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4.8363406640152928E-2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352" s="5" cm="1">
        <f t="array" ref="O352">MIN(IF((OutputTable[GroupByKey]=OutputTable[[#This Row],[GroupByKey]]),(OutputTable[GroupByKey]=OutputTable[[#This Row],[GroupByKey]])*OutputTable[RecordedValue]))</f>
        <v>0.517215348442703</v>
      </c>
      <c r="P352" s="5" cm="1">
        <f t="array" ref="P352">MAX(IF((OutputTable[GroupByKey]=OutputTable[[#This Row],[GroupByKey]]),(OutputTable[GroupByKey]=OutputTable[[#This Row],[GroupByKey]])*OutputTable[RecordedValue]))</f>
        <v>0.67770389283754395</v>
      </c>
    </row>
    <row r="353" spans="1:16" x14ac:dyDescent="0.3">
      <c r="A353" t="s">
        <v>66</v>
      </c>
      <c r="B353" t="s">
        <v>68</v>
      </c>
      <c r="C353">
        <v>16</v>
      </c>
      <c r="D353" t="s">
        <v>116</v>
      </c>
      <c r="E353" t="s">
        <v>109</v>
      </c>
      <c r="F353" t="s">
        <v>95</v>
      </c>
      <c r="G353">
        <v>401</v>
      </c>
      <c r="H353">
        <v>0</v>
      </c>
      <c r="I353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30</v>
      </c>
      <c r="K353" s="5" cm="1">
        <f t="array" ref="K353">IFERROR(AVERAGE(IF((OutputTable[GroupByKey]=OutputTable[[#This Row],[GroupByKey]]),(OutputTable[GroupByKey]=OutputTable[[#This Row],[GroupByKey]])*OutputTable[RecordedValue])),0)</f>
        <v>366.5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27.998460548813185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353" s="5" cm="1">
        <f t="array" ref="O353">MIN(IF((OutputTable[GroupByKey]=OutputTable[[#This Row],[GroupByKey]]),(OutputTable[GroupByKey]=OutputTable[[#This Row],[GroupByKey]])*OutputTable[RecordedValue]))</f>
        <v>308</v>
      </c>
      <c r="P353" s="5" cm="1">
        <f t="array" ref="P353">MAX(IF((OutputTable[GroupByKey]=OutputTable[[#This Row],[GroupByKey]]),(OutputTable[GroupByKey]=OutputTable[[#This Row],[GroupByKey]])*OutputTable[RecordedValue]))</f>
        <v>415</v>
      </c>
    </row>
    <row r="354" spans="1:16" x14ac:dyDescent="0.3">
      <c r="A354" t="s">
        <v>66</v>
      </c>
      <c r="B354" t="s">
        <v>68</v>
      </c>
      <c r="C354">
        <v>16</v>
      </c>
      <c r="D354" t="s">
        <v>117</v>
      </c>
      <c r="E354" t="s">
        <v>111</v>
      </c>
      <c r="F354" t="s">
        <v>95</v>
      </c>
      <c r="G354">
        <v>0.184187205555569</v>
      </c>
      <c r="H354">
        <v>0</v>
      </c>
      <c r="I354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30</v>
      </c>
      <c r="K354" s="5" cm="1">
        <f t="array" ref="K354">IFERROR(AVERAGE(IF((OutputTable[GroupByKey]=OutputTable[[#This Row],[GroupByKey]]),(OutputTable[GroupByKey]=OutputTable[[#This Row],[GroupByKey]])*OutputTable[RecordedValue])),0)</f>
        <v>0.17017204824235124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1.331368412630852E-2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354" s="5" cm="1">
        <f t="array" ref="O354">MIN(IF((OutputTable[GroupByKey]=OutputTable[[#This Row],[GroupByKey]]),(OutputTable[GroupByKey]=OutputTable[[#This Row],[GroupByKey]])*OutputTable[RecordedValue]))</f>
        <v>0.14484829778125299</v>
      </c>
      <c r="P354" s="5" cm="1">
        <f t="array" ref="P354">MAX(IF((OutputTable[GroupByKey]=OutputTable[[#This Row],[GroupByKey]]),(OutputTable[GroupByKey]=OutputTable[[#This Row],[GroupByKey]])*OutputTable[RecordedValue]))</f>
        <v>0.19609322315655101</v>
      </c>
    </row>
    <row r="355" spans="1:16" x14ac:dyDescent="0.3">
      <c r="A355" t="s">
        <v>66</v>
      </c>
      <c r="B355" t="s">
        <v>68</v>
      </c>
      <c r="C355">
        <v>16</v>
      </c>
      <c r="D355" t="s">
        <v>118</v>
      </c>
      <c r="E355" t="s">
        <v>109</v>
      </c>
      <c r="F355" t="s">
        <v>95</v>
      </c>
      <c r="G355">
        <v>75</v>
      </c>
      <c r="H355">
        <v>0</v>
      </c>
      <c r="I355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30</v>
      </c>
      <c r="K355" s="5" cm="1">
        <f t="array" ref="K355">IFERROR(AVERAGE(IF((OutputTable[GroupByKey]=OutputTable[[#This Row],[GroupByKey]]),(OutputTable[GroupByKey]=OutputTable[[#This Row],[GroupByKey]])*OutputTable[RecordedValue])),0)</f>
        <v>67.599999999999994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8.2277914244430335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355" s="5" cm="1">
        <f t="array" ref="O355">MIN(IF((OutputTable[GroupByKey]=OutputTable[[#This Row],[GroupByKey]]),(OutputTable[GroupByKey]=OutputTable[[#This Row],[GroupByKey]])*OutputTable[RecordedValue]))</f>
        <v>53</v>
      </c>
      <c r="P355" s="5" cm="1">
        <f t="array" ref="P355">MAX(IF((OutputTable[GroupByKey]=OutputTable[[#This Row],[GroupByKey]]),(OutputTable[GroupByKey]=OutputTable[[#This Row],[GroupByKey]])*OutputTable[RecordedValue]))</f>
        <v>83</v>
      </c>
    </row>
    <row r="356" spans="1:16" x14ac:dyDescent="0.3">
      <c r="A356" t="s">
        <v>66</v>
      </c>
      <c r="B356" t="s">
        <v>68</v>
      </c>
      <c r="C356">
        <v>16</v>
      </c>
      <c r="D356" t="s">
        <v>119</v>
      </c>
      <c r="E356" t="s">
        <v>111</v>
      </c>
      <c r="F356" t="s">
        <v>95</v>
      </c>
      <c r="G356">
        <v>0.10415783013028999</v>
      </c>
      <c r="H356">
        <v>0</v>
      </c>
      <c r="I356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30</v>
      </c>
      <c r="K356" s="5" cm="1">
        <f t="array" ref="K356">IFERROR(AVERAGE(IF((OutputTable[GroupByKey]=OutputTable[[#This Row],[GroupByKey]]),(OutputTable[GroupByKey]=OutputTable[[#This Row],[GroupByKey]])*OutputTable[RecordedValue])),0)</f>
        <v>9.2629789222133899E-2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1.1199993404883948E-2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356" s="5" cm="1">
        <f t="array" ref="O356">MIN(IF((OutputTable[GroupByKey]=OutputTable[[#This Row],[GroupByKey]]),(OutputTable[GroupByKey]=OutputTable[[#This Row],[GroupByKey]])*OutputTable[RecordedValue]))</f>
        <v>7.4778736536586704E-2</v>
      </c>
      <c r="P356" s="5" cm="1">
        <f t="array" ref="P356">MAX(IF((OutputTable[GroupByKey]=OutputTable[[#This Row],[GroupByKey]]),(OutputTable[GroupByKey]=OutputTable[[#This Row],[GroupByKey]])*OutputTable[RecordedValue]))</f>
        <v>0.111025455742452</v>
      </c>
    </row>
    <row r="357" spans="1:16" x14ac:dyDescent="0.3">
      <c r="A357" t="s">
        <v>66</v>
      </c>
      <c r="B357" t="s">
        <v>68</v>
      </c>
      <c r="C357">
        <v>16</v>
      </c>
      <c r="D357" t="s">
        <v>120</v>
      </c>
      <c r="E357" t="s">
        <v>121</v>
      </c>
      <c r="F357" t="s">
        <v>122</v>
      </c>
      <c r="G357">
        <v>145</v>
      </c>
      <c r="H357">
        <v>0</v>
      </c>
      <c r="I357" s="5" t="str">
        <f>OutputTable[[#This Row],[ProjectName]]&amp;OutputTable[[#This Row],[Name]]&amp;OutputTable[[#This Row],[Type]]&amp;OutputTable[[#This Row],[Source]]</f>
        <v>Unnamed ProjectSystem.NumberOutNumber OutSystem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30</v>
      </c>
      <c r="K357" s="5" cm="1">
        <f t="array" ref="K357">IFERROR(AVERAGE(IF((OutputTable[GroupByKey]=OutputTable[[#This Row],[GroupByKey]]),(OutputTable[GroupByKey]=OutputTable[[#This Row],[GroupByKey]])*OutputTable[RecordedValue])),0)</f>
        <v>138.66666666666666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10.59386072484773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357" s="5" cm="1">
        <f t="array" ref="O357">MIN(IF((OutputTable[GroupByKey]=OutputTable[[#This Row],[GroupByKey]]),(OutputTable[GroupByKey]=OutputTable[[#This Row],[GroupByKey]])*OutputTable[RecordedValue]))</f>
        <v>122</v>
      </c>
      <c r="P357" s="5" cm="1">
        <f t="array" ref="P357">MAX(IF((OutputTable[GroupByKey]=OutputTable[[#This Row],[GroupByKey]]),(OutputTable[GroupByKey]=OutputTable[[#This Row],[GroupByKey]])*OutputTable[RecordedValue]))</f>
        <v>158</v>
      </c>
    </row>
    <row r="358" spans="1:16" x14ac:dyDescent="0.3">
      <c r="A358" t="s">
        <v>66</v>
      </c>
      <c r="B358" t="s">
        <v>68</v>
      </c>
      <c r="C358">
        <v>16</v>
      </c>
      <c r="D358" t="s">
        <v>123</v>
      </c>
      <c r="E358" t="s">
        <v>109</v>
      </c>
      <c r="F358" t="s">
        <v>95</v>
      </c>
      <c r="G358">
        <v>351</v>
      </c>
      <c r="H358">
        <v>0</v>
      </c>
      <c r="I358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30</v>
      </c>
      <c r="K358" s="5" cm="1">
        <f t="array" ref="K358">IFERROR(AVERAGE(IF((OutputTable[GroupByKey]=OutputTable[[#This Row],[GroupByKey]]),(OutputTable[GroupByKey]=OutputTable[[#This Row],[GroupByKey]])*OutputTable[RecordedValue])),0)</f>
        <v>324.63333333333333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23.733409208195905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358" s="5" cm="1">
        <f t="array" ref="O358">MIN(IF((OutputTable[GroupByKey]=OutputTable[[#This Row],[GroupByKey]]),(OutputTable[GroupByKey]=OutputTable[[#This Row],[GroupByKey]])*OutputTable[RecordedValue]))</f>
        <v>276</v>
      </c>
      <c r="P358" s="5" cm="1">
        <f t="array" ref="P358">MAX(IF((OutputTable[GroupByKey]=OutputTable[[#This Row],[GroupByKey]]),(OutputTable[GroupByKey]=OutputTable[[#This Row],[GroupByKey]])*OutputTable[RecordedValue]))</f>
        <v>370</v>
      </c>
    </row>
    <row r="359" spans="1:16" x14ac:dyDescent="0.3">
      <c r="A359" t="s">
        <v>66</v>
      </c>
      <c r="B359" t="s">
        <v>68</v>
      </c>
      <c r="C359">
        <v>16</v>
      </c>
      <c r="D359" t="s">
        <v>124</v>
      </c>
      <c r="E359" t="s">
        <v>111</v>
      </c>
      <c r="F359" t="s">
        <v>95</v>
      </c>
      <c r="G359">
        <v>0.86176817757662505</v>
      </c>
      <c r="H359">
        <v>0</v>
      </c>
      <c r="I359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30</v>
      </c>
      <c r="K359" s="5" cm="1">
        <f t="array" ref="K359">IFERROR(AVERAGE(IF((OutputTable[GroupByKey]=OutputTable[[#This Row],[GroupByKey]]),(OutputTable[GroupByKey]=OutputTable[[#This Row],[GroupByKey]])*OutputTable[RecordedValue])),0)</f>
        <v>0.78890367752589419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5.7743599319329868E-2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359" s="5" cm="1">
        <f t="array" ref="O359">MIN(IF((OutputTable[GroupByKey]=OutputTable[[#This Row],[GroupByKey]]),(OutputTable[GroupByKey]=OutputTable[[#This Row],[GroupByKey]])*OutputTable[RecordedValue]))</f>
        <v>0.68630817725209003</v>
      </c>
      <c r="P359" s="5" cm="1">
        <f t="array" ref="P359">MAX(IF((OutputTable[GroupByKey]=OutputTable[[#This Row],[GroupByKey]]),(OutputTable[GroupByKey]=OutputTable[[#This Row],[GroupByKey]])*OutputTable[RecordedValue]))</f>
        <v>0.89844569749382897</v>
      </c>
    </row>
    <row r="360" spans="1:16" x14ac:dyDescent="0.3">
      <c r="A360" t="s">
        <v>66</v>
      </c>
      <c r="B360" t="s">
        <v>68</v>
      </c>
      <c r="C360">
        <v>16</v>
      </c>
      <c r="D360" t="s">
        <v>125</v>
      </c>
      <c r="E360" t="s">
        <v>126</v>
      </c>
      <c r="F360" t="s">
        <v>86</v>
      </c>
      <c r="G360">
        <v>218</v>
      </c>
      <c r="H360">
        <v>0</v>
      </c>
      <c r="I360" s="5" t="str">
        <f>OutputTable[[#This Row],[ProjectName]]&amp;OutputTable[[#This Row],[Name]]&amp;OutputTable[[#This Row],[Type]]&amp;OutputTable[[#This Row],[Source]]</f>
        <v>Unnamed ProjectVisitantes.NumberInNumber InEntity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30</v>
      </c>
      <c r="K360" s="5" cm="1">
        <f t="array" ref="K360">IFERROR(AVERAGE(IF((OutputTable[GroupByKey]=OutputTable[[#This Row],[GroupByKey]]),(OutputTable[GroupByKey]=OutputTable[[#This Row],[GroupByKey]])*OutputTable[RecordedValue])),0)</f>
        <v>194.43333333333334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19.567184586538712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360" s="5" cm="1">
        <f t="array" ref="O360">MIN(IF((OutputTable[GroupByKey]=OutputTable[[#This Row],[GroupByKey]]),(OutputTable[GroupByKey]=OutputTable[[#This Row],[GroupByKey]])*OutputTable[RecordedValue]))</f>
        <v>158</v>
      </c>
      <c r="P360" s="5" cm="1">
        <f t="array" ref="P360">MAX(IF((OutputTable[GroupByKey]=OutputTable[[#This Row],[GroupByKey]]),(OutputTable[GroupByKey]=OutputTable[[#This Row],[GroupByKey]])*OutputTable[RecordedValue]))</f>
        <v>255</v>
      </c>
    </row>
    <row r="361" spans="1:16" x14ac:dyDescent="0.3">
      <c r="A361" t="s">
        <v>66</v>
      </c>
      <c r="B361" t="s">
        <v>68</v>
      </c>
      <c r="C361">
        <v>16</v>
      </c>
      <c r="D361" t="s">
        <v>127</v>
      </c>
      <c r="E361" t="s">
        <v>121</v>
      </c>
      <c r="F361" t="s">
        <v>86</v>
      </c>
      <c r="G361">
        <v>145</v>
      </c>
      <c r="H361">
        <v>0</v>
      </c>
      <c r="I361" s="5" t="str">
        <f>OutputTable[[#This Row],[ProjectName]]&amp;OutputTable[[#This Row],[Name]]&amp;OutputTable[[#This Row],[Type]]&amp;OutputTable[[#This Row],[Source]]</f>
        <v>Unnamed ProjectVisitantes.NumberOutNumber OutEntity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30</v>
      </c>
      <c r="K361" s="5" cm="1">
        <f t="array" ref="K361">IFERROR(AVERAGE(IF((OutputTable[GroupByKey]=OutputTable[[#This Row],[GroupByKey]]),(OutputTable[GroupByKey]=OutputTable[[#This Row],[GroupByKey]])*OutputTable[RecordedValue])),0)</f>
        <v>138.66666666666666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10.59386072484773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361" s="5" cm="1">
        <f t="array" ref="O361">MIN(IF((OutputTable[GroupByKey]=OutputTable[[#This Row],[GroupByKey]]),(OutputTable[GroupByKey]=OutputTable[[#This Row],[GroupByKey]])*OutputTable[RecordedValue]))</f>
        <v>122</v>
      </c>
      <c r="P361" s="5" cm="1">
        <f t="array" ref="P361">MAX(IF((OutputTable[GroupByKey]=OutputTable[[#This Row],[GroupByKey]]),(OutputTable[GroupByKey]=OutputTable[[#This Row],[GroupByKey]])*OutputTable[RecordedValue]))</f>
        <v>158</v>
      </c>
    </row>
    <row r="362" spans="1:16" x14ac:dyDescent="0.3">
      <c r="A362" t="s">
        <v>66</v>
      </c>
      <c r="B362" t="s">
        <v>68</v>
      </c>
      <c r="C362">
        <v>16</v>
      </c>
      <c r="D362" t="s">
        <v>128</v>
      </c>
      <c r="E362" t="s">
        <v>109</v>
      </c>
      <c r="F362" t="s">
        <v>95</v>
      </c>
      <c r="G362">
        <v>0</v>
      </c>
      <c r="H362">
        <v>0</v>
      </c>
      <c r="I362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30</v>
      </c>
      <c r="K362" s="5" cm="1">
        <f t="array" ref="K362">IFERROR(AVERAGE(IF((OutputTable[GroupByKey]=OutputTable[[#This Row],[GroupByKey]]),(OutputTable[GroupByKey]=OutputTable[[#This Row],[GroupByKey]])*OutputTable[RecordedValue])),0)</f>
        <v>0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0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s="5" cm="1">
        <f t="array" ref="O362">MIN(IF((OutputTable[GroupByKey]=OutputTable[[#This Row],[GroupByKey]]),(OutputTable[GroupByKey]=OutputTable[[#This Row],[GroupByKey]])*OutputTable[RecordedValue]))</f>
        <v>0</v>
      </c>
      <c r="P362" s="5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3">
      <c r="A363" t="s">
        <v>66</v>
      </c>
      <c r="B363" t="s">
        <v>68</v>
      </c>
      <c r="C363">
        <v>16</v>
      </c>
      <c r="D363" t="s">
        <v>129</v>
      </c>
      <c r="E363" t="s">
        <v>111</v>
      </c>
      <c r="F363" t="s">
        <v>95</v>
      </c>
      <c r="G363">
        <v>0</v>
      </c>
      <c r="H363">
        <v>0</v>
      </c>
      <c r="I363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30</v>
      </c>
      <c r="K363" s="5" cm="1">
        <f t="array" ref="K363">IFERROR(AVERAGE(IF((OutputTable[GroupByKey]=OutputTable[[#This Row],[GroupByKey]]),(OutputTable[GroupByKey]=OutputTable[[#This Row],[GroupByKey]])*OutputTable[RecordedValue])),0)</f>
        <v>0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0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3" s="5" cm="1">
        <f t="array" ref="O363">MIN(IF((OutputTable[GroupByKey]=OutputTable[[#This Row],[GroupByKey]]),(OutputTable[GroupByKey]=OutputTable[[#This Row],[GroupByKey]])*OutputTable[RecordedValue]))</f>
        <v>0</v>
      </c>
      <c r="P363" s="5" cm="1">
        <f t="array" ref="P363">MAX(IF((OutputTable[GroupByKey]=OutputTable[[#This Row],[GroupByKey]]),(OutputTable[GroupByKey]=OutputTable[[#This Row],[GroupByKey]])*OutputTable[RecordedValue]))</f>
        <v>0</v>
      </c>
    </row>
    <row r="364" spans="1:16" x14ac:dyDescent="0.3">
      <c r="A364" t="s">
        <v>66</v>
      </c>
      <c r="B364" t="s">
        <v>68</v>
      </c>
      <c r="C364">
        <v>16</v>
      </c>
      <c r="D364" t="s">
        <v>130</v>
      </c>
      <c r="E364" t="s">
        <v>109</v>
      </c>
      <c r="F364" t="s">
        <v>95</v>
      </c>
      <c r="G364">
        <v>112</v>
      </c>
      <c r="H364">
        <v>0</v>
      </c>
      <c r="I364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30</v>
      </c>
      <c r="K364" s="5" cm="1">
        <f t="array" ref="K364">IFERROR(AVERAGE(IF((OutputTable[GroupByKey]=OutputTable[[#This Row],[GroupByKey]]),(OutputTable[GroupByKey]=OutputTable[[#This Row],[GroupByKey]])*OutputTable[RecordedValue])),0)</f>
        <v>99.666666666666671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11.021400290698853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364" s="5" cm="1">
        <f t="array" ref="O364">MIN(IF((OutputTable[GroupByKey]=OutputTable[[#This Row],[GroupByKey]]),(OutputTable[GroupByKey]=OutputTable[[#This Row],[GroupByKey]])*OutputTable[RecordedValue]))</f>
        <v>84</v>
      </c>
      <c r="P364" s="5" cm="1">
        <f t="array" ref="P364">MAX(IF((OutputTable[GroupByKey]=OutputTable[[#This Row],[GroupByKey]]),(OutputTable[GroupByKey]=OutputTable[[#This Row],[GroupByKey]])*OutputTable[RecordedValue]))</f>
        <v>133</v>
      </c>
    </row>
    <row r="365" spans="1:16" x14ac:dyDescent="0.3">
      <c r="A365" t="s">
        <v>66</v>
      </c>
      <c r="B365" t="s">
        <v>68</v>
      </c>
      <c r="C365">
        <v>16</v>
      </c>
      <c r="D365" t="s">
        <v>131</v>
      </c>
      <c r="E365" t="s">
        <v>111</v>
      </c>
      <c r="F365" t="s">
        <v>95</v>
      </c>
      <c r="G365">
        <v>0.99383259650362799</v>
      </c>
      <c r="H365">
        <v>0</v>
      </c>
      <c r="I365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30</v>
      </c>
      <c r="K365" s="5" cm="1">
        <f t="array" ref="K365">IFERROR(AVERAGE(IF((OutputTable[GroupByKey]=OutputTable[[#This Row],[GroupByKey]]),(OutputTable[GroupByKey]=OutputTable[[#This Row],[GroupByKey]])*OutputTable[RecordedValue])),0)</f>
        <v>0.81099663999028448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0.1069626954834289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365" s="5" cm="1">
        <f t="array" ref="O365">MIN(IF((OutputTable[GroupByKey]=OutputTable[[#This Row],[GroupByKey]]),(OutputTable[GroupByKey]=OutputTable[[#This Row],[GroupByKey]])*OutputTable[RecordedValue]))</f>
        <v>0.634589476164233</v>
      </c>
      <c r="P365" s="5" cm="1">
        <f t="array" ref="P365">MAX(IF((OutputTable[GroupByKey]=OutputTable[[#This Row],[GroupByKey]]),(OutputTable[GroupByKey]=OutputTable[[#This Row],[GroupByKey]])*OutputTable[RecordedValue]))</f>
        <v>0.99383259650362799</v>
      </c>
    </row>
    <row r="366" spans="1:16" x14ac:dyDescent="0.3">
      <c r="A366" t="s">
        <v>66</v>
      </c>
      <c r="B366" t="s">
        <v>68</v>
      </c>
      <c r="C366">
        <v>16</v>
      </c>
      <c r="D366" t="s">
        <v>132</v>
      </c>
      <c r="E366" t="s">
        <v>109</v>
      </c>
      <c r="F366" t="s">
        <v>95</v>
      </c>
      <c r="G366">
        <v>56</v>
      </c>
      <c r="H366">
        <v>0</v>
      </c>
      <c r="I366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30</v>
      </c>
      <c r="K366" s="5" cm="1">
        <f t="array" ref="K366">IFERROR(AVERAGE(IF((OutputTable[GroupByKey]=OutputTable[[#This Row],[GroupByKey]]),(OutputTable[GroupByKey]=OutputTable[[#This Row],[GroupByKey]])*OutputTable[RecordedValue])),0)</f>
        <v>51.966666666666669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7.0636677653220881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366" s="5" cm="1">
        <f t="array" ref="O366">MIN(IF((OutputTable[GroupByKey]=OutputTable[[#This Row],[GroupByKey]]),(OutputTable[GroupByKey]=OutputTable[[#This Row],[GroupByKey]])*OutputTable[RecordedValue]))</f>
        <v>40</v>
      </c>
      <c r="P366" s="5" cm="1">
        <f t="array" ref="P366">MAX(IF((OutputTable[GroupByKey]=OutputTable[[#This Row],[GroupByKey]]),(OutputTable[GroupByKey]=OutputTable[[#This Row],[GroupByKey]])*OutputTable[RecordedValue]))</f>
        <v>70</v>
      </c>
    </row>
    <row r="367" spans="1:16" x14ac:dyDescent="0.3">
      <c r="A367" t="s">
        <v>66</v>
      </c>
      <c r="B367" t="s">
        <v>68</v>
      </c>
      <c r="C367">
        <v>16</v>
      </c>
      <c r="D367" t="s">
        <v>133</v>
      </c>
      <c r="E367" t="s">
        <v>111</v>
      </c>
      <c r="F367" t="s">
        <v>95</v>
      </c>
      <c r="G367">
        <v>0.99245161744166299</v>
      </c>
      <c r="H367">
        <v>0</v>
      </c>
      <c r="I367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30</v>
      </c>
      <c r="K367" s="5" cm="1">
        <f t="array" ref="K367">IFERROR(AVERAGE(IF((OutputTable[GroupByKey]=OutputTable[[#This Row],[GroupByKey]]),(OutputTable[GroupByKey]=OutputTable[[#This Row],[GroupByKey]])*OutputTable[RecordedValue])),0)</f>
        <v>0.86404173385398308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7.7429091138254261E-2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367" s="5" cm="1">
        <f t="array" ref="O367">MIN(IF((OutputTable[GroupByKey]=OutputTable[[#This Row],[GroupByKey]]),(OutputTable[GroupByKey]=OutputTable[[#This Row],[GroupByKey]])*OutputTable[RecordedValue]))</f>
        <v>0.74061105631083801</v>
      </c>
      <c r="P367" s="5" cm="1">
        <f t="array" ref="P367">MAX(IF((OutputTable[GroupByKey]=OutputTable[[#This Row],[GroupByKey]]),(OutputTable[GroupByKey]=OutputTable[[#This Row],[GroupByKey]])*OutputTable[RecordedValue]))</f>
        <v>0.99245161744166299</v>
      </c>
    </row>
    <row r="368" spans="1:16" x14ac:dyDescent="0.3">
      <c r="A368" t="s">
        <v>66</v>
      </c>
      <c r="B368" t="s">
        <v>68</v>
      </c>
      <c r="C368">
        <v>16</v>
      </c>
      <c r="D368" t="s">
        <v>134</v>
      </c>
      <c r="E368" t="s">
        <v>109</v>
      </c>
      <c r="F368" t="s">
        <v>95</v>
      </c>
      <c r="G368">
        <v>39</v>
      </c>
      <c r="H368">
        <v>0</v>
      </c>
      <c r="I368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30</v>
      </c>
      <c r="K368" s="5" cm="1">
        <f t="array" ref="K368">IFERROR(AVERAGE(IF((OutputTable[GroupByKey]=OutputTable[[#This Row],[GroupByKey]]),(OutputTable[GroupByKey]=OutputTable[[#This Row],[GroupByKey]])*OutputTable[RecordedValue])),0)</f>
        <v>36.233333333333334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4.775536318198915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368" s="5" cm="1">
        <f t="array" ref="O368">MIN(IF((OutputTable[GroupByKey]=OutputTable[[#This Row],[GroupByKey]]),(OutputTable[GroupByKey]=OutputTable[[#This Row],[GroupByKey]])*OutputTable[RecordedValue]))</f>
        <v>28</v>
      </c>
      <c r="P368" s="5" cm="1">
        <f t="array" ref="P368">MAX(IF((OutputTable[GroupByKey]=OutputTable[[#This Row],[GroupByKey]]),(OutputTable[GroupByKey]=OutputTable[[#This Row],[GroupByKey]])*OutputTable[RecordedValue]))</f>
        <v>48</v>
      </c>
    </row>
    <row r="369" spans="1:16" x14ac:dyDescent="0.3">
      <c r="A369" t="s">
        <v>66</v>
      </c>
      <c r="B369" t="s">
        <v>68</v>
      </c>
      <c r="C369">
        <v>16</v>
      </c>
      <c r="D369" t="s">
        <v>135</v>
      </c>
      <c r="E369" t="s">
        <v>111</v>
      </c>
      <c r="F369" t="s">
        <v>95</v>
      </c>
      <c r="G369">
        <v>0.99245161744166299</v>
      </c>
      <c r="H369">
        <v>0</v>
      </c>
      <c r="I369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30</v>
      </c>
      <c r="K369" s="5" cm="1">
        <f t="array" ref="K369">IFERROR(AVERAGE(IF((OutputTable[GroupByKey]=OutputTable[[#This Row],[GroupByKey]]),(OutputTable[GroupByKey]=OutputTable[[#This Row],[GroupByKey]])*OutputTable[RecordedValue])),0)</f>
        <v>0.88098039877461687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6.9783648638161486E-2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369" s="5" cm="1">
        <f t="array" ref="O369">MIN(IF((OutputTable[GroupByKey]=OutputTable[[#This Row],[GroupByKey]]),(OutputTable[GroupByKey]=OutputTable[[#This Row],[GroupByKey]])*OutputTable[RecordedValue]))</f>
        <v>0.73843386001690303</v>
      </c>
      <c r="P369" s="5" cm="1">
        <f t="array" ref="P369">MAX(IF((OutputTable[GroupByKey]=OutputTable[[#This Row],[GroupByKey]]),(OutputTable[GroupByKey]=OutputTable[[#This Row],[GroupByKey]])*OutputTable[RecordedValue]))</f>
        <v>0.99245161744166299</v>
      </c>
    </row>
    <row r="370" spans="1:16" x14ac:dyDescent="0.3">
      <c r="A370" t="s">
        <v>66</v>
      </c>
      <c r="B370" t="s">
        <v>68</v>
      </c>
      <c r="C370">
        <v>17</v>
      </c>
      <c r="D370" t="s">
        <v>108</v>
      </c>
      <c r="E370" t="s">
        <v>109</v>
      </c>
      <c r="F370" t="s">
        <v>95</v>
      </c>
      <c r="G370">
        <v>26</v>
      </c>
      <c r="H370">
        <v>0</v>
      </c>
      <c r="I370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30</v>
      </c>
      <c r="K370" s="5" cm="1">
        <f t="array" ref="K370">IFERROR(AVERAGE(IF((OutputTable[GroupByKey]=OutputTable[[#This Row],[GroupByKey]]),(OutputTable[GroupByKey]=OutputTable[[#This Row],[GroupByKey]])*OutputTable[RecordedValue])),0)</f>
        <v>34.633333333333333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6.3326375903390151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370" s="5" cm="1">
        <f t="array" ref="O370">MIN(IF((OutputTable[GroupByKey]=OutputTable[[#This Row],[GroupByKey]]),(OutputTable[GroupByKey]=OutputTable[[#This Row],[GroupByKey]])*OutputTable[RecordedValue]))</f>
        <v>24</v>
      </c>
      <c r="P370" s="5" cm="1">
        <f t="array" ref="P370">MAX(IF((OutputTable[GroupByKey]=OutputTable[[#This Row],[GroupByKey]]),(OutputTable[GroupByKey]=OutputTable[[#This Row],[GroupByKey]])*OutputTable[RecordedValue]))</f>
        <v>47</v>
      </c>
    </row>
    <row r="371" spans="1:16" x14ac:dyDescent="0.3">
      <c r="A371" t="s">
        <v>66</v>
      </c>
      <c r="B371" t="s">
        <v>68</v>
      </c>
      <c r="C371">
        <v>17</v>
      </c>
      <c r="D371" t="s">
        <v>110</v>
      </c>
      <c r="E371" t="s">
        <v>111</v>
      </c>
      <c r="F371" t="s">
        <v>95</v>
      </c>
      <c r="G371">
        <v>2.5652071136109799E-2</v>
      </c>
      <c r="H371">
        <v>0</v>
      </c>
      <c r="I371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30</v>
      </c>
      <c r="K371" s="5" cm="1">
        <f t="array" ref="K371">IFERROR(AVERAGE(IF((OutputTable[GroupByKey]=OutputTable[[#This Row],[GroupByKey]]),(OutputTable[GroupByKey]=OutputTable[[#This Row],[GroupByKey]])*OutputTable[RecordedValue])),0)</f>
        <v>3.5359789427834361E-2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6.6521615975834569E-3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371" s="5" cm="1">
        <f t="array" ref="O371">MIN(IF((OutputTable[GroupByKey]=OutputTable[[#This Row],[GroupByKey]]),(OutputTable[GroupByKey]=OutputTable[[#This Row],[GroupByKey]])*OutputTable[RecordedValue]))</f>
        <v>2.3718114155243601E-2</v>
      </c>
      <c r="P371" s="5" cm="1">
        <f t="array" ref="P371">MAX(IF((OutputTable[GroupByKey]=OutputTable[[#This Row],[GroupByKey]]),(OutputTable[GroupByKey]=OutputTable[[#This Row],[GroupByKey]])*OutputTable[RecordedValue]))</f>
        <v>4.8583931724403701E-2</v>
      </c>
    </row>
    <row r="372" spans="1:16" x14ac:dyDescent="0.3">
      <c r="A372" t="s">
        <v>66</v>
      </c>
      <c r="B372" t="s">
        <v>68</v>
      </c>
      <c r="C372">
        <v>17</v>
      </c>
      <c r="D372" t="s">
        <v>112</v>
      </c>
      <c r="E372" t="s">
        <v>109</v>
      </c>
      <c r="F372" t="s">
        <v>95</v>
      </c>
      <c r="G372">
        <v>90</v>
      </c>
      <c r="H372">
        <v>0</v>
      </c>
      <c r="I372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30</v>
      </c>
      <c r="K372" s="5" cm="1">
        <f t="array" ref="K372">IFERROR(AVERAGE(IF((OutputTable[GroupByKey]=OutputTable[[#This Row],[GroupByKey]]),(OutputTable[GroupByKey]=OutputTable[[#This Row],[GroupByKey]])*OutputTable[RecordedValue])),0)</f>
        <v>105.13333333333334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9.9020490158675578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372" s="5" cm="1">
        <f t="array" ref="O372">MIN(IF((OutputTable[GroupByKey]=OutputTable[[#This Row],[GroupByKey]]),(OutputTable[GroupByKey]=OutputTable[[#This Row],[GroupByKey]])*OutputTable[RecordedValue]))</f>
        <v>90</v>
      </c>
      <c r="P372" s="5" cm="1">
        <f t="array" ref="P372">MAX(IF((OutputTable[GroupByKey]=OutputTable[[#This Row],[GroupByKey]]),(OutputTable[GroupByKey]=OutputTable[[#This Row],[GroupByKey]])*OutputTable[RecordedValue]))</f>
        <v>120</v>
      </c>
    </row>
    <row r="373" spans="1:16" x14ac:dyDescent="0.3">
      <c r="A373" t="s">
        <v>66</v>
      </c>
      <c r="B373" t="s">
        <v>68</v>
      </c>
      <c r="C373">
        <v>17</v>
      </c>
      <c r="D373" t="s">
        <v>113</v>
      </c>
      <c r="E373" t="s">
        <v>111</v>
      </c>
      <c r="F373" t="s">
        <v>95</v>
      </c>
      <c r="G373">
        <v>0.20767736113278101</v>
      </c>
      <c r="H373">
        <v>0</v>
      </c>
      <c r="I373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30</v>
      </c>
      <c r="K373" s="5" cm="1">
        <f t="array" ref="K373">IFERROR(AVERAGE(IF((OutputTable[GroupByKey]=OutputTable[[#This Row],[GroupByKey]]),(OutputTable[GroupByKey]=OutputTable[[#This Row],[GroupByKey]])*OutputTable[RecordedValue])),0)</f>
        <v>0.24658598119222253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2.3372241503878202E-2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373" s="5" cm="1">
        <f t="array" ref="O373">MIN(IF((OutputTable[GroupByKey]=OutputTable[[#This Row],[GroupByKey]]),(OutputTable[GroupByKey]=OutputTable[[#This Row],[GroupByKey]])*OutputTable[RecordedValue]))</f>
        <v>0.20767736113278101</v>
      </c>
      <c r="P373" s="5" cm="1">
        <f t="array" ref="P373">MAX(IF((OutputTable[GroupByKey]=OutputTable[[#This Row],[GroupByKey]]),(OutputTable[GroupByKey]=OutputTable[[#This Row],[GroupByKey]])*OutputTable[RecordedValue]))</f>
        <v>0.28501162927715601</v>
      </c>
    </row>
    <row r="374" spans="1:16" x14ac:dyDescent="0.3">
      <c r="A374" t="s">
        <v>66</v>
      </c>
      <c r="B374" t="s">
        <v>68</v>
      </c>
      <c r="C374">
        <v>17</v>
      </c>
      <c r="D374" t="s">
        <v>114</v>
      </c>
      <c r="E374" t="s">
        <v>109</v>
      </c>
      <c r="F374" t="s">
        <v>95</v>
      </c>
      <c r="G374">
        <v>126</v>
      </c>
      <c r="H374">
        <v>0</v>
      </c>
      <c r="I374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30</v>
      </c>
      <c r="K374" s="5" cm="1">
        <f t="array" ref="K374">IFERROR(AVERAGE(IF((OutputTable[GroupByKey]=OutputTable[[#This Row],[GroupByKey]]),(OutputTable[GroupByKey]=OutputTable[[#This Row],[GroupByKey]])*OutputTable[RecordedValue])),0)</f>
        <v>130.19999999999999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9.6932255049418501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374" s="5" cm="1">
        <f t="array" ref="O374">MIN(IF((OutputTable[GroupByKey]=OutputTable[[#This Row],[GroupByKey]]),(OutputTable[GroupByKey]=OutputTable[[#This Row],[GroupByKey]])*OutputTable[RecordedValue]))</f>
        <v>112</v>
      </c>
      <c r="P374" s="5" cm="1">
        <f t="array" ref="P374">MAX(IF((OutputTable[GroupByKey]=OutputTable[[#This Row],[GroupByKey]]),(OutputTable[GroupByKey]=OutputTable[[#This Row],[GroupByKey]])*OutputTable[RecordedValue]))</f>
        <v>150</v>
      </c>
    </row>
    <row r="375" spans="1:16" x14ac:dyDescent="0.3">
      <c r="A375" t="s">
        <v>66</v>
      </c>
      <c r="B375" t="s">
        <v>68</v>
      </c>
      <c r="C375">
        <v>17</v>
      </c>
      <c r="D375" t="s">
        <v>115</v>
      </c>
      <c r="E375" t="s">
        <v>111</v>
      </c>
      <c r="F375" t="s">
        <v>95</v>
      </c>
      <c r="G375">
        <v>0.61213580890595098</v>
      </c>
      <c r="H375">
        <v>0</v>
      </c>
      <c r="I375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30</v>
      </c>
      <c r="K375" s="5" cm="1">
        <f t="array" ref="K375">IFERROR(AVERAGE(IF((OutputTable[GroupByKey]=OutputTable[[#This Row],[GroupByKey]]),(OutputTable[GroupByKey]=OutputTable[[#This Row],[GroupByKey]])*OutputTable[RecordedValue])),0)</f>
        <v>0.61071636647106653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4.8363406640152928E-2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375" s="5" cm="1">
        <f t="array" ref="O375">MIN(IF((OutputTable[GroupByKey]=OutputTable[[#This Row],[GroupByKey]]),(OutputTable[GroupByKey]=OutputTable[[#This Row],[GroupByKey]])*OutputTable[RecordedValue]))</f>
        <v>0.517215348442703</v>
      </c>
      <c r="P375" s="5" cm="1">
        <f t="array" ref="P375">MAX(IF((OutputTable[GroupByKey]=OutputTable[[#This Row],[GroupByKey]]),(OutputTable[GroupByKey]=OutputTable[[#This Row],[GroupByKey]])*OutputTable[RecordedValue]))</f>
        <v>0.67770389283754395</v>
      </c>
    </row>
    <row r="376" spans="1:16" x14ac:dyDescent="0.3">
      <c r="A376" t="s">
        <v>66</v>
      </c>
      <c r="B376" t="s">
        <v>68</v>
      </c>
      <c r="C376">
        <v>17</v>
      </c>
      <c r="D376" t="s">
        <v>116</v>
      </c>
      <c r="E376" t="s">
        <v>109</v>
      </c>
      <c r="F376" t="s">
        <v>95</v>
      </c>
      <c r="G376">
        <v>356</v>
      </c>
      <c r="H376">
        <v>0</v>
      </c>
      <c r="I376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30</v>
      </c>
      <c r="K376" s="5" cm="1">
        <f t="array" ref="K376">IFERROR(AVERAGE(IF((OutputTable[GroupByKey]=OutputTable[[#This Row],[GroupByKey]]),(OutputTable[GroupByKey]=OutputTable[[#This Row],[GroupByKey]])*OutputTable[RecordedValue])),0)</f>
        <v>366.5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27.998460548813185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376" s="5" cm="1">
        <f t="array" ref="O376">MIN(IF((OutputTable[GroupByKey]=OutputTable[[#This Row],[GroupByKey]]),(OutputTable[GroupByKey]=OutputTable[[#This Row],[GroupByKey]])*OutputTable[RecordedValue]))</f>
        <v>308</v>
      </c>
      <c r="P376" s="5" cm="1">
        <f t="array" ref="P376">MAX(IF((OutputTable[GroupByKey]=OutputTable[[#This Row],[GroupByKey]]),(OutputTable[GroupByKey]=OutputTable[[#This Row],[GroupByKey]])*OutputTable[RecordedValue]))</f>
        <v>415</v>
      </c>
    </row>
    <row r="377" spans="1:16" x14ac:dyDescent="0.3">
      <c r="A377" t="s">
        <v>66</v>
      </c>
      <c r="B377" t="s">
        <v>68</v>
      </c>
      <c r="C377">
        <v>17</v>
      </c>
      <c r="D377" t="s">
        <v>117</v>
      </c>
      <c r="E377" t="s">
        <v>111</v>
      </c>
      <c r="F377" t="s">
        <v>95</v>
      </c>
      <c r="G377">
        <v>0.16596339133478299</v>
      </c>
      <c r="H377">
        <v>0</v>
      </c>
      <c r="I377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30</v>
      </c>
      <c r="K377" s="5" cm="1">
        <f t="array" ref="K377">IFERROR(AVERAGE(IF((OutputTable[GroupByKey]=OutputTable[[#This Row],[GroupByKey]]),(OutputTable[GroupByKey]=OutputTable[[#This Row],[GroupByKey]])*OutputTable[RecordedValue])),0)</f>
        <v>0.17017204824235124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1.331368412630852E-2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377" s="5" cm="1">
        <f t="array" ref="O377">MIN(IF((OutputTable[GroupByKey]=OutputTable[[#This Row],[GroupByKey]]),(OutputTable[GroupByKey]=OutputTable[[#This Row],[GroupByKey]])*OutputTable[RecordedValue]))</f>
        <v>0.14484829778125299</v>
      </c>
      <c r="P377" s="5" cm="1">
        <f t="array" ref="P377">MAX(IF((OutputTable[GroupByKey]=OutputTable[[#This Row],[GroupByKey]]),(OutputTable[GroupByKey]=OutputTable[[#This Row],[GroupByKey]])*OutputTable[RecordedValue]))</f>
        <v>0.19609322315655101</v>
      </c>
    </row>
    <row r="378" spans="1:16" x14ac:dyDescent="0.3">
      <c r="A378" t="s">
        <v>66</v>
      </c>
      <c r="B378" t="s">
        <v>68</v>
      </c>
      <c r="C378">
        <v>17</v>
      </c>
      <c r="D378" t="s">
        <v>118</v>
      </c>
      <c r="E378" t="s">
        <v>109</v>
      </c>
      <c r="F378" t="s">
        <v>95</v>
      </c>
      <c r="G378">
        <v>68</v>
      </c>
      <c r="H378">
        <v>0</v>
      </c>
      <c r="I378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30</v>
      </c>
      <c r="K378" s="5" cm="1">
        <f t="array" ref="K378">IFERROR(AVERAGE(IF((OutputTable[GroupByKey]=OutputTable[[#This Row],[GroupByKey]]),(OutputTable[GroupByKey]=OutputTable[[#This Row],[GroupByKey]])*OutputTable[RecordedValue])),0)</f>
        <v>67.599999999999994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8.2277914244430335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378" s="5" cm="1">
        <f t="array" ref="O378">MIN(IF((OutputTable[GroupByKey]=OutputTable[[#This Row],[GroupByKey]]),(OutputTable[GroupByKey]=OutputTable[[#This Row],[GroupByKey]])*OutputTable[RecordedValue]))</f>
        <v>53</v>
      </c>
      <c r="P378" s="5" cm="1">
        <f t="array" ref="P378">MAX(IF((OutputTable[GroupByKey]=OutputTable[[#This Row],[GroupByKey]]),(OutputTable[GroupByKey]=OutputTable[[#This Row],[GroupByKey]])*OutputTable[RecordedValue]))</f>
        <v>83</v>
      </c>
    </row>
    <row r="379" spans="1:16" x14ac:dyDescent="0.3">
      <c r="A379" t="s">
        <v>66</v>
      </c>
      <c r="B379" t="s">
        <v>68</v>
      </c>
      <c r="C379">
        <v>17</v>
      </c>
      <c r="D379" t="s">
        <v>119</v>
      </c>
      <c r="E379" t="s">
        <v>111</v>
      </c>
      <c r="F379" t="s">
        <v>95</v>
      </c>
      <c r="G379">
        <v>9.0406323384256804E-2</v>
      </c>
      <c r="H379">
        <v>0</v>
      </c>
      <c r="I379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30</v>
      </c>
      <c r="K379" s="5" cm="1">
        <f t="array" ref="K379">IFERROR(AVERAGE(IF((OutputTable[GroupByKey]=OutputTable[[#This Row],[GroupByKey]]),(OutputTable[GroupByKey]=OutputTable[[#This Row],[GroupByKey]])*OutputTable[RecordedValue])),0)</f>
        <v>9.2629789222133899E-2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1.1199993404883948E-2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379" s="5" cm="1">
        <f t="array" ref="O379">MIN(IF((OutputTable[GroupByKey]=OutputTable[[#This Row],[GroupByKey]]),(OutputTable[GroupByKey]=OutputTable[[#This Row],[GroupByKey]])*OutputTable[RecordedValue]))</f>
        <v>7.4778736536586704E-2</v>
      </c>
      <c r="P379" s="5" cm="1">
        <f t="array" ref="P379">MAX(IF((OutputTable[GroupByKey]=OutputTable[[#This Row],[GroupByKey]]),(OutputTable[GroupByKey]=OutputTable[[#This Row],[GroupByKey]])*OutputTable[RecordedValue]))</f>
        <v>0.111025455742452</v>
      </c>
    </row>
    <row r="380" spans="1:16" x14ac:dyDescent="0.3">
      <c r="A380" t="s">
        <v>66</v>
      </c>
      <c r="B380" t="s">
        <v>68</v>
      </c>
      <c r="C380">
        <v>17</v>
      </c>
      <c r="D380" t="s">
        <v>120</v>
      </c>
      <c r="E380" t="s">
        <v>121</v>
      </c>
      <c r="F380" t="s">
        <v>122</v>
      </c>
      <c r="G380">
        <v>125</v>
      </c>
      <c r="H380">
        <v>0</v>
      </c>
      <c r="I380" s="5" t="str">
        <f>OutputTable[[#This Row],[ProjectName]]&amp;OutputTable[[#This Row],[Name]]&amp;OutputTable[[#This Row],[Type]]&amp;OutputTable[[#This Row],[Source]]</f>
        <v>Unnamed ProjectSystem.NumberOutNumber OutSystem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30</v>
      </c>
      <c r="K380" s="5" cm="1">
        <f t="array" ref="K380">IFERROR(AVERAGE(IF((OutputTable[GroupByKey]=OutputTable[[#This Row],[GroupByKey]]),(OutputTable[GroupByKey]=OutputTable[[#This Row],[GroupByKey]])*OutputTable[RecordedValue])),0)</f>
        <v>138.66666666666666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10.59386072484773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380" s="5" cm="1">
        <f t="array" ref="O380">MIN(IF((OutputTable[GroupByKey]=OutputTable[[#This Row],[GroupByKey]]),(OutputTable[GroupByKey]=OutputTable[[#This Row],[GroupByKey]])*OutputTable[RecordedValue]))</f>
        <v>122</v>
      </c>
      <c r="P380" s="5" cm="1">
        <f t="array" ref="P380">MAX(IF((OutputTable[GroupByKey]=OutputTable[[#This Row],[GroupByKey]]),(OutputTable[GroupByKey]=OutputTable[[#This Row],[GroupByKey]])*OutputTable[RecordedValue]))</f>
        <v>158</v>
      </c>
    </row>
    <row r="381" spans="1:16" x14ac:dyDescent="0.3">
      <c r="A381" t="s">
        <v>66</v>
      </c>
      <c r="B381" t="s">
        <v>68</v>
      </c>
      <c r="C381">
        <v>17</v>
      </c>
      <c r="D381" t="s">
        <v>123</v>
      </c>
      <c r="E381" t="s">
        <v>109</v>
      </c>
      <c r="F381" t="s">
        <v>95</v>
      </c>
      <c r="G381">
        <v>306</v>
      </c>
      <c r="H381">
        <v>0</v>
      </c>
      <c r="I381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30</v>
      </c>
      <c r="K381" s="5" cm="1">
        <f t="array" ref="K381">IFERROR(AVERAGE(IF((OutputTable[GroupByKey]=OutputTable[[#This Row],[GroupByKey]]),(OutputTable[GroupByKey]=OutputTable[[#This Row],[GroupByKey]])*OutputTable[RecordedValue])),0)</f>
        <v>324.63333333333333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23.733409208195905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381" s="5" cm="1">
        <f t="array" ref="O381">MIN(IF((OutputTable[GroupByKey]=OutputTable[[#This Row],[GroupByKey]]),(OutputTable[GroupByKey]=OutputTable[[#This Row],[GroupByKey]])*OutputTable[RecordedValue]))</f>
        <v>276</v>
      </c>
      <c r="P381" s="5" cm="1">
        <f t="array" ref="P381">MAX(IF((OutputTable[GroupByKey]=OutputTable[[#This Row],[GroupByKey]]),(OutputTable[GroupByKey]=OutputTable[[#This Row],[GroupByKey]])*OutputTable[RecordedValue]))</f>
        <v>370</v>
      </c>
    </row>
    <row r="382" spans="1:16" x14ac:dyDescent="0.3">
      <c r="A382" t="s">
        <v>66</v>
      </c>
      <c r="B382" t="s">
        <v>68</v>
      </c>
      <c r="C382">
        <v>17</v>
      </c>
      <c r="D382" t="s">
        <v>124</v>
      </c>
      <c r="E382" t="s">
        <v>111</v>
      </c>
      <c r="F382" t="s">
        <v>95</v>
      </c>
      <c r="G382">
        <v>0.72137670824493205</v>
      </c>
      <c r="H382">
        <v>0</v>
      </c>
      <c r="I382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30</v>
      </c>
      <c r="K382" s="5" cm="1">
        <f t="array" ref="K382">IFERROR(AVERAGE(IF((OutputTable[GroupByKey]=OutputTable[[#This Row],[GroupByKey]]),(OutputTable[GroupByKey]=OutputTable[[#This Row],[GroupByKey]])*OutputTable[RecordedValue])),0)</f>
        <v>0.78890367752589419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5.7743599319329868E-2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382" s="5" cm="1">
        <f t="array" ref="O382">MIN(IF((OutputTable[GroupByKey]=OutputTable[[#This Row],[GroupByKey]]),(OutputTable[GroupByKey]=OutputTable[[#This Row],[GroupByKey]])*OutputTable[RecordedValue]))</f>
        <v>0.68630817725209003</v>
      </c>
      <c r="P382" s="5" cm="1">
        <f t="array" ref="P382">MAX(IF((OutputTable[GroupByKey]=OutputTable[[#This Row],[GroupByKey]]),(OutputTable[GroupByKey]=OutputTable[[#This Row],[GroupByKey]])*OutputTable[RecordedValue]))</f>
        <v>0.89844569749382897</v>
      </c>
    </row>
    <row r="383" spans="1:16" x14ac:dyDescent="0.3">
      <c r="A383" t="s">
        <v>66</v>
      </c>
      <c r="B383" t="s">
        <v>68</v>
      </c>
      <c r="C383">
        <v>17</v>
      </c>
      <c r="D383" t="s">
        <v>125</v>
      </c>
      <c r="E383" t="s">
        <v>126</v>
      </c>
      <c r="F383" t="s">
        <v>86</v>
      </c>
      <c r="G383">
        <v>196</v>
      </c>
      <c r="H383">
        <v>0</v>
      </c>
      <c r="I383" s="5" t="str">
        <f>OutputTable[[#This Row],[ProjectName]]&amp;OutputTable[[#This Row],[Name]]&amp;OutputTable[[#This Row],[Type]]&amp;OutputTable[[#This Row],[Source]]</f>
        <v>Unnamed ProjectVisitantes.NumberInNumber InEntity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30</v>
      </c>
      <c r="K383" s="5" cm="1">
        <f t="array" ref="K383">IFERROR(AVERAGE(IF((OutputTable[GroupByKey]=OutputTable[[#This Row],[GroupByKey]]),(OutputTable[GroupByKey]=OutputTable[[#This Row],[GroupByKey]])*OutputTable[RecordedValue])),0)</f>
        <v>194.43333333333334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19.567184586538712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383" s="5" cm="1">
        <f t="array" ref="O383">MIN(IF((OutputTable[GroupByKey]=OutputTable[[#This Row],[GroupByKey]]),(OutputTable[GroupByKey]=OutputTable[[#This Row],[GroupByKey]])*OutputTable[RecordedValue]))</f>
        <v>158</v>
      </c>
      <c r="P383" s="5" cm="1">
        <f t="array" ref="P383">MAX(IF((OutputTable[GroupByKey]=OutputTable[[#This Row],[GroupByKey]]),(OutputTable[GroupByKey]=OutputTable[[#This Row],[GroupByKey]])*OutputTable[RecordedValue]))</f>
        <v>255</v>
      </c>
    </row>
    <row r="384" spans="1:16" x14ac:dyDescent="0.3">
      <c r="A384" t="s">
        <v>66</v>
      </c>
      <c r="B384" t="s">
        <v>68</v>
      </c>
      <c r="C384">
        <v>17</v>
      </c>
      <c r="D384" t="s">
        <v>127</v>
      </c>
      <c r="E384" t="s">
        <v>121</v>
      </c>
      <c r="F384" t="s">
        <v>86</v>
      </c>
      <c r="G384">
        <v>125</v>
      </c>
      <c r="H384">
        <v>0</v>
      </c>
      <c r="I384" s="5" t="str">
        <f>OutputTable[[#This Row],[ProjectName]]&amp;OutputTable[[#This Row],[Name]]&amp;OutputTable[[#This Row],[Type]]&amp;OutputTable[[#This Row],[Source]]</f>
        <v>Unnamed ProjectVisitantes.NumberOutNumber OutEntity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30</v>
      </c>
      <c r="K384" s="5" cm="1">
        <f t="array" ref="K384">IFERROR(AVERAGE(IF((OutputTable[GroupByKey]=OutputTable[[#This Row],[GroupByKey]]),(OutputTable[GroupByKey]=OutputTable[[#This Row],[GroupByKey]])*OutputTable[RecordedValue])),0)</f>
        <v>138.66666666666666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10.59386072484773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384" s="5" cm="1">
        <f t="array" ref="O384">MIN(IF((OutputTable[GroupByKey]=OutputTable[[#This Row],[GroupByKey]]),(OutputTable[GroupByKey]=OutputTable[[#This Row],[GroupByKey]])*OutputTable[RecordedValue]))</f>
        <v>122</v>
      </c>
      <c r="P384" s="5" cm="1">
        <f t="array" ref="P384">MAX(IF((OutputTable[GroupByKey]=OutputTable[[#This Row],[GroupByKey]]),(OutputTable[GroupByKey]=OutputTable[[#This Row],[GroupByKey]])*OutputTable[RecordedValue]))</f>
        <v>158</v>
      </c>
    </row>
    <row r="385" spans="1:16" x14ac:dyDescent="0.3">
      <c r="A385" t="s">
        <v>66</v>
      </c>
      <c r="B385" t="s">
        <v>68</v>
      </c>
      <c r="C385">
        <v>17</v>
      </c>
      <c r="D385" t="s">
        <v>128</v>
      </c>
      <c r="E385" t="s">
        <v>109</v>
      </c>
      <c r="F385" t="s">
        <v>95</v>
      </c>
      <c r="G385">
        <v>0</v>
      </c>
      <c r="H385">
        <v>0</v>
      </c>
      <c r="I385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30</v>
      </c>
      <c r="K385" s="5" cm="1">
        <f t="array" ref="K385">IFERROR(AVERAGE(IF((OutputTable[GroupByKey]=OutputTable[[#This Row],[GroupByKey]]),(OutputTable[GroupByKey]=OutputTable[[#This Row],[GroupByKey]])*OutputTable[RecordedValue])),0)</f>
        <v>0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0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5" s="5" cm="1">
        <f t="array" ref="O385">MIN(IF((OutputTable[GroupByKey]=OutputTable[[#This Row],[GroupByKey]]),(OutputTable[GroupByKey]=OutputTable[[#This Row],[GroupByKey]])*OutputTable[RecordedValue]))</f>
        <v>0</v>
      </c>
      <c r="P385" s="5" cm="1">
        <f t="array" ref="P385">MAX(IF((OutputTable[GroupByKey]=OutputTable[[#This Row],[GroupByKey]]),(OutputTable[GroupByKey]=OutputTable[[#This Row],[GroupByKey]])*OutputTable[RecordedValue]))</f>
        <v>0</v>
      </c>
    </row>
    <row r="386" spans="1:16" x14ac:dyDescent="0.3">
      <c r="A386" t="s">
        <v>66</v>
      </c>
      <c r="B386" t="s">
        <v>68</v>
      </c>
      <c r="C386">
        <v>17</v>
      </c>
      <c r="D386" t="s">
        <v>129</v>
      </c>
      <c r="E386" t="s">
        <v>111</v>
      </c>
      <c r="F386" t="s">
        <v>95</v>
      </c>
      <c r="G386">
        <v>0</v>
      </c>
      <c r="H386">
        <v>0</v>
      </c>
      <c r="I386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30</v>
      </c>
      <c r="K386" s="5" cm="1">
        <f t="array" ref="K386">IFERROR(AVERAGE(IF((OutputTable[GroupByKey]=OutputTable[[#This Row],[GroupByKey]]),(OutputTable[GroupByKey]=OutputTable[[#This Row],[GroupByKey]])*OutputTable[RecordedValue])),0)</f>
        <v>0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0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6" s="5" cm="1">
        <f t="array" ref="O386">MIN(IF((OutputTable[GroupByKey]=OutputTable[[#This Row],[GroupByKey]]),(OutputTable[GroupByKey]=OutputTable[[#This Row],[GroupByKey]])*OutputTable[RecordedValue]))</f>
        <v>0</v>
      </c>
      <c r="P386" s="5" cm="1">
        <f t="array" ref="P386">MAX(IF((OutputTable[GroupByKey]=OutputTable[[#This Row],[GroupByKey]]),(OutputTable[GroupByKey]=OutputTable[[#This Row],[GroupByKey]])*OutputTable[RecordedValue]))</f>
        <v>0</v>
      </c>
    </row>
    <row r="387" spans="1:16" x14ac:dyDescent="0.3">
      <c r="A387" t="s">
        <v>66</v>
      </c>
      <c r="B387" t="s">
        <v>68</v>
      </c>
      <c r="C387">
        <v>17</v>
      </c>
      <c r="D387" t="s">
        <v>130</v>
      </c>
      <c r="E387" t="s">
        <v>109</v>
      </c>
      <c r="F387" t="s">
        <v>95</v>
      </c>
      <c r="G387">
        <v>102</v>
      </c>
      <c r="H387">
        <v>0</v>
      </c>
      <c r="I387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30</v>
      </c>
      <c r="K387" s="5" cm="1">
        <f t="array" ref="K387">IFERROR(AVERAGE(IF((OutputTable[GroupByKey]=OutputTable[[#This Row],[GroupByKey]]),(OutputTable[GroupByKey]=OutputTable[[#This Row],[GroupByKey]])*OutputTable[RecordedValue])),0)</f>
        <v>99.666666666666671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11.021400290698853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387" s="5" cm="1">
        <f t="array" ref="O387">MIN(IF((OutputTable[GroupByKey]=OutputTable[[#This Row],[GroupByKey]]),(OutputTable[GroupByKey]=OutputTable[[#This Row],[GroupByKey]])*OutputTable[RecordedValue]))</f>
        <v>84</v>
      </c>
      <c r="P387" s="5" cm="1">
        <f t="array" ref="P387">MAX(IF((OutputTable[GroupByKey]=OutputTable[[#This Row],[GroupByKey]]),(OutputTable[GroupByKey]=OutputTable[[#This Row],[GroupByKey]])*OutputTable[RecordedValue]))</f>
        <v>133</v>
      </c>
    </row>
    <row r="388" spans="1:16" x14ac:dyDescent="0.3">
      <c r="A388" t="s">
        <v>66</v>
      </c>
      <c r="B388" t="s">
        <v>68</v>
      </c>
      <c r="C388">
        <v>17</v>
      </c>
      <c r="D388" t="s">
        <v>131</v>
      </c>
      <c r="E388" t="s">
        <v>111</v>
      </c>
      <c r="F388" t="s">
        <v>95</v>
      </c>
      <c r="G388">
        <v>0.87322022190649395</v>
      </c>
      <c r="H388">
        <v>0</v>
      </c>
      <c r="I388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30</v>
      </c>
      <c r="K388" s="5" cm="1">
        <f t="array" ref="K388">IFERROR(AVERAGE(IF((OutputTable[GroupByKey]=OutputTable[[#This Row],[GroupByKey]]),(OutputTable[GroupByKey]=OutputTable[[#This Row],[GroupByKey]])*OutputTable[RecordedValue])),0)</f>
        <v>0.81099663999028448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0.1069626954834289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388" s="5" cm="1">
        <f t="array" ref="O388">MIN(IF((OutputTable[GroupByKey]=OutputTable[[#This Row],[GroupByKey]]),(OutputTable[GroupByKey]=OutputTable[[#This Row],[GroupByKey]])*OutputTable[RecordedValue]))</f>
        <v>0.634589476164233</v>
      </c>
      <c r="P388" s="5" cm="1">
        <f t="array" ref="P388">MAX(IF((OutputTable[GroupByKey]=OutputTable[[#This Row],[GroupByKey]]),(OutputTable[GroupByKey]=OutputTable[[#This Row],[GroupByKey]])*OutputTable[RecordedValue]))</f>
        <v>0.99383259650362799</v>
      </c>
    </row>
    <row r="389" spans="1:16" x14ac:dyDescent="0.3">
      <c r="A389" t="s">
        <v>66</v>
      </c>
      <c r="B389" t="s">
        <v>68</v>
      </c>
      <c r="C389">
        <v>17</v>
      </c>
      <c r="D389" t="s">
        <v>132</v>
      </c>
      <c r="E389" t="s">
        <v>109</v>
      </c>
      <c r="F389" t="s">
        <v>95</v>
      </c>
      <c r="G389">
        <v>46</v>
      </c>
      <c r="H389">
        <v>0</v>
      </c>
      <c r="I389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30</v>
      </c>
      <c r="K389" s="5" cm="1">
        <f t="array" ref="K389">IFERROR(AVERAGE(IF((OutputTable[GroupByKey]=OutputTable[[#This Row],[GroupByKey]]),(OutputTable[GroupByKey]=OutputTable[[#This Row],[GroupByKey]])*OutputTable[RecordedValue])),0)</f>
        <v>51.966666666666669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7.0636677653220881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389" s="5" cm="1">
        <f t="array" ref="O389">MIN(IF((OutputTable[GroupByKey]=OutputTable[[#This Row],[GroupByKey]]),(OutputTable[GroupByKey]=OutputTable[[#This Row],[GroupByKey]])*OutputTable[RecordedValue]))</f>
        <v>40</v>
      </c>
      <c r="P389" s="5" cm="1">
        <f t="array" ref="P389">MAX(IF((OutputTable[GroupByKey]=OutputTable[[#This Row],[GroupByKey]]),(OutputTable[GroupByKey]=OutputTable[[#This Row],[GroupByKey]])*OutputTable[RecordedValue]))</f>
        <v>70</v>
      </c>
    </row>
    <row r="390" spans="1:16" x14ac:dyDescent="0.3">
      <c r="A390" t="s">
        <v>66</v>
      </c>
      <c r="B390" t="s">
        <v>68</v>
      </c>
      <c r="C390">
        <v>17</v>
      </c>
      <c r="D390" t="s">
        <v>133</v>
      </c>
      <c r="E390" t="s">
        <v>111</v>
      </c>
      <c r="F390" t="s">
        <v>95</v>
      </c>
      <c r="G390">
        <v>0.937181093881019</v>
      </c>
      <c r="H390">
        <v>0</v>
      </c>
      <c r="I390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30</v>
      </c>
      <c r="K390" s="5" cm="1">
        <f t="array" ref="K390">IFERROR(AVERAGE(IF((OutputTable[GroupByKey]=OutputTable[[#This Row],[GroupByKey]]),(OutputTable[GroupByKey]=OutputTable[[#This Row],[GroupByKey]])*OutputTable[RecordedValue])),0)</f>
        <v>0.86404173385398308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7.7429091138254261E-2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390" s="5" cm="1">
        <f t="array" ref="O390">MIN(IF((OutputTable[GroupByKey]=OutputTable[[#This Row],[GroupByKey]]),(OutputTable[GroupByKey]=OutputTable[[#This Row],[GroupByKey]])*OutputTable[RecordedValue]))</f>
        <v>0.74061105631083801</v>
      </c>
      <c r="P390" s="5" cm="1">
        <f t="array" ref="P390">MAX(IF((OutputTable[GroupByKey]=OutputTable[[#This Row],[GroupByKey]]),(OutputTable[GroupByKey]=OutputTable[[#This Row],[GroupByKey]])*OutputTable[RecordedValue]))</f>
        <v>0.99245161744166299</v>
      </c>
    </row>
    <row r="391" spans="1:16" x14ac:dyDescent="0.3">
      <c r="A391" t="s">
        <v>66</v>
      </c>
      <c r="B391" t="s">
        <v>68</v>
      </c>
      <c r="C391">
        <v>17</v>
      </c>
      <c r="D391" t="s">
        <v>134</v>
      </c>
      <c r="E391" t="s">
        <v>109</v>
      </c>
      <c r="F391" t="s">
        <v>95</v>
      </c>
      <c r="G391">
        <v>35</v>
      </c>
      <c r="H391">
        <v>0</v>
      </c>
      <c r="I391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30</v>
      </c>
      <c r="K391" s="5" cm="1">
        <f t="array" ref="K391">IFERROR(AVERAGE(IF((OutputTable[GroupByKey]=OutputTable[[#This Row],[GroupByKey]]),(OutputTable[GroupByKey]=OutputTable[[#This Row],[GroupByKey]])*OutputTable[RecordedValue])),0)</f>
        <v>36.233333333333334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4.775536318198915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391" s="5" cm="1">
        <f t="array" ref="O391">MIN(IF((OutputTable[GroupByKey]=OutputTable[[#This Row],[GroupByKey]]),(OutputTable[GroupByKey]=OutputTable[[#This Row],[GroupByKey]])*OutputTable[RecordedValue]))</f>
        <v>28</v>
      </c>
      <c r="P391" s="5" cm="1">
        <f t="array" ref="P391">MAX(IF((OutputTable[GroupByKey]=OutputTable[[#This Row],[GroupByKey]]),(OutputTable[GroupByKey]=OutputTable[[#This Row],[GroupByKey]])*OutputTable[RecordedValue]))</f>
        <v>48</v>
      </c>
    </row>
    <row r="392" spans="1:16" x14ac:dyDescent="0.3">
      <c r="A392" t="s">
        <v>66</v>
      </c>
      <c r="B392" t="s">
        <v>68</v>
      </c>
      <c r="C392">
        <v>17</v>
      </c>
      <c r="D392" t="s">
        <v>135</v>
      </c>
      <c r="E392" t="s">
        <v>111</v>
      </c>
      <c r="F392" t="s">
        <v>95</v>
      </c>
      <c r="G392">
        <v>0.89960924614834004</v>
      </c>
      <c r="H392">
        <v>0</v>
      </c>
      <c r="I392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30</v>
      </c>
      <c r="K392" s="5" cm="1">
        <f t="array" ref="K392">IFERROR(AVERAGE(IF((OutputTable[GroupByKey]=OutputTable[[#This Row],[GroupByKey]]),(OutputTable[GroupByKey]=OutputTable[[#This Row],[GroupByKey]])*OutputTable[RecordedValue])),0)</f>
        <v>0.88098039877461687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6.9783648638161486E-2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392" s="5" cm="1">
        <f t="array" ref="O392">MIN(IF((OutputTable[GroupByKey]=OutputTable[[#This Row],[GroupByKey]]),(OutputTable[GroupByKey]=OutputTable[[#This Row],[GroupByKey]])*OutputTable[RecordedValue]))</f>
        <v>0.73843386001690303</v>
      </c>
      <c r="P392" s="5" cm="1">
        <f t="array" ref="P392">MAX(IF((OutputTable[GroupByKey]=OutputTable[[#This Row],[GroupByKey]]),(OutputTable[GroupByKey]=OutputTable[[#This Row],[GroupByKey]])*OutputTable[RecordedValue]))</f>
        <v>0.99245161744166299</v>
      </c>
    </row>
    <row r="393" spans="1:16" x14ac:dyDescent="0.3">
      <c r="A393" t="s">
        <v>66</v>
      </c>
      <c r="B393" t="s">
        <v>68</v>
      </c>
      <c r="C393">
        <v>18</v>
      </c>
      <c r="D393" t="s">
        <v>108</v>
      </c>
      <c r="E393" t="s">
        <v>109</v>
      </c>
      <c r="F393" t="s">
        <v>95</v>
      </c>
      <c r="G393">
        <v>38</v>
      </c>
      <c r="H393">
        <v>0</v>
      </c>
      <c r="I393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30</v>
      </c>
      <c r="K393" s="5" cm="1">
        <f t="array" ref="K393">IFERROR(AVERAGE(IF((OutputTable[GroupByKey]=OutputTable[[#This Row],[GroupByKey]]),(OutputTable[GroupByKey]=OutputTable[[#This Row],[GroupByKey]])*OutputTable[RecordedValue])),0)</f>
        <v>34.633333333333333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6.3326375903390151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393" s="5" cm="1">
        <f t="array" ref="O393">MIN(IF((OutputTable[GroupByKey]=OutputTable[[#This Row],[GroupByKey]]),(OutputTable[GroupByKey]=OutputTable[[#This Row],[GroupByKey]])*OutputTable[RecordedValue]))</f>
        <v>24</v>
      </c>
      <c r="P393" s="5" cm="1">
        <f t="array" ref="P393">MAX(IF((OutputTable[GroupByKey]=OutputTable[[#This Row],[GroupByKey]]),(OutputTable[GroupByKey]=OutputTable[[#This Row],[GroupByKey]])*OutputTable[RecordedValue]))</f>
        <v>47</v>
      </c>
    </row>
    <row r="394" spans="1:16" x14ac:dyDescent="0.3">
      <c r="A394" t="s">
        <v>66</v>
      </c>
      <c r="B394" t="s">
        <v>68</v>
      </c>
      <c r="C394">
        <v>18</v>
      </c>
      <c r="D394" t="s">
        <v>110</v>
      </c>
      <c r="E394" t="s">
        <v>111</v>
      </c>
      <c r="F394" t="s">
        <v>95</v>
      </c>
      <c r="G394">
        <v>3.9472888791699398E-2</v>
      </c>
      <c r="H394">
        <v>0</v>
      </c>
      <c r="I394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30</v>
      </c>
      <c r="K394" s="5" cm="1">
        <f t="array" ref="K394">IFERROR(AVERAGE(IF((OutputTable[GroupByKey]=OutputTable[[#This Row],[GroupByKey]]),(OutputTable[GroupByKey]=OutputTable[[#This Row],[GroupByKey]])*OutputTable[RecordedValue])),0)</f>
        <v>3.5359789427834361E-2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6.6521615975834569E-3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394" s="5" cm="1">
        <f t="array" ref="O394">MIN(IF((OutputTable[GroupByKey]=OutputTable[[#This Row],[GroupByKey]]),(OutputTable[GroupByKey]=OutputTable[[#This Row],[GroupByKey]])*OutputTable[RecordedValue]))</f>
        <v>2.3718114155243601E-2</v>
      </c>
      <c r="P394" s="5" cm="1">
        <f t="array" ref="P394">MAX(IF((OutputTable[GroupByKey]=OutputTable[[#This Row],[GroupByKey]]),(OutputTable[GroupByKey]=OutputTable[[#This Row],[GroupByKey]])*OutputTable[RecordedValue]))</f>
        <v>4.8583931724403701E-2</v>
      </c>
    </row>
    <row r="395" spans="1:16" x14ac:dyDescent="0.3">
      <c r="A395" t="s">
        <v>66</v>
      </c>
      <c r="B395" t="s">
        <v>68</v>
      </c>
      <c r="C395">
        <v>18</v>
      </c>
      <c r="D395" t="s">
        <v>112</v>
      </c>
      <c r="E395" t="s">
        <v>109</v>
      </c>
      <c r="F395" t="s">
        <v>95</v>
      </c>
      <c r="G395">
        <v>118</v>
      </c>
      <c r="H395">
        <v>0</v>
      </c>
      <c r="I395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30</v>
      </c>
      <c r="K395" s="5" cm="1">
        <f t="array" ref="K395">IFERROR(AVERAGE(IF((OutputTable[GroupByKey]=OutputTable[[#This Row],[GroupByKey]]),(OutputTable[GroupByKey]=OutputTable[[#This Row],[GroupByKey]])*OutputTable[RecordedValue])),0)</f>
        <v>105.13333333333334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9.9020490158675578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395" s="5" cm="1">
        <f t="array" ref="O395">MIN(IF((OutputTable[GroupByKey]=OutputTable[[#This Row],[GroupByKey]]),(OutputTable[GroupByKey]=OutputTable[[#This Row],[GroupByKey]])*OutputTable[RecordedValue]))</f>
        <v>90</v>
      </c>
      <c r="P395" s="5" cm="1">
        <f t="array" ref="P395">MAX(IF((OutputTable[GroupByKey]=OutputTable[[#This Row],[GroupByKey]]),(OutputTable[GroupByKey]=OutputTable[[#This Row],[GroupByKey]])*OutputTable[RecordedValue]))</f>
        <v>120</v>
      </c>
    </row>
    <row r="396" spans="1:16" x14ac:dyDescent="0.3">
      <c r="A396" t="s">
        <v>66</v>
      </c>
      <c r="B396" t="s">
        <v>68</v>
      </c>
      <c r="C396">
        <v>18</v>
      </c>
      <c r="D396" t="s">
        <v>113</v>
      </c>
      <c r="E396" t="s">
        <v>111</v>
      </c>
      <c r="F396" t="s">
        <v>95</v>
      </c>
      <c r="G396">
        <v>0.26676102918900901</v>
      </c>
      <c r="H396">
        <v>0</v>
      </c>
      <c r="I396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30</v>
      </c>
      <c r="K396" s="5" cm="1">
        <f t="array" ref="K396">IFERROR(AVERAGE(IF((OutputTable[GroupByKey]=OutputTable[[#This Row],[GroupByKey]]),(OutputTable[GroupByKey]=OutputTable[[#This Row],[GroupByKey]])*OutputTable[RecordedValue])),0)</f>
        <v>0.24658598119222253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2.3372241503878202E-2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396" s="5" cm="1">
        <f t="array" ref="O396">MIN(IF((OutputTable[GroupByKey]=OutputTable[[#This Row],[GroupByKey]]),(OutputTable[GroupByKey]=OutputTable[[#This Row],[GroupByKey]])*OutputTable[RecordedValue]))</f>
        <v>0.20767736113278101</v>
      </c>
      <c r="P396" s="5" cm="1">
        <f t="array" ref="P396">MAX(IF((OutputTable[GroupByKey]=OutputTable[[#This Row],[GroupByKey]]),(OutputTable[GroupByKey]=OutputTable[[#This Row],[GroupByKey]])*OutputTable[RecordedValue]))</f>
        <v>0.28501162927715601</v>
      </c>
    </row>
    <row r="397" spans="1:16" x14ac:dyDescent="0.3">
      <c r="A397" t="s">
        <v>66</v>
      </c>
      <c r="B397" t="s">
        <v>68</v>
      </c>
      <c r="C397">
        <v>18</v>
      </c>
      <c r="D397" t="s">
        <v>114</v>
      </c>
      <c r="E397" t="s">
        <v>109</v>
      </c>
      <c r="F397" t="s">
        <v>95</v>
      </c>
      <c r="G397">
        <v>133</v>
      </c>
      <c r="H397">
        <v>0</v>
      </c>
      <c r="I397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30</v>
      </c>
      <c r="K397" s="5" cm="1">
        <f t="array" ref="K397">IFERROR(AVERAGE(IF((OutputTable[GroupByKey]=OutputTable[[#This Row],[GroupByKey]]),(OutputTable[GroupByKey]=OutputTable[[#This Row],[GroupByKey]])*OutputTable[RecordedValue])),0)</f>
        <v>130.19999999999999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9.6932255049418501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397" s="5" cm="1">
        <f t="array" ref="O397">MIN(IF((OutputTable[GroupByKey]=OutputTable[[#This Row],[GroupByKey]]),(OutputTable[GroupByKey]=OutputTable[[#This Row],[GroupByKey]])*OutputTable[RecordedValue]))</f>
        <v>112</v>
      </c>
      <c r="P397" s="5" cm="1">
        <f t="array" ref="P397">MAX(IF((OutputTable[GroupByKey]=OutputTable[[#This Row],[GroupByKey]]),(OutputTable[GroupByKey]=OutputTable[[#This Row],[GroupByKey]])*OutputTable[RecordedValue]))</f>
        <v>150</v>
      </c>
    </row>
    <row r="398" spans="1:16" x14ac:dyDescent="0.3">
      <c r="A398" t="s">
        <v>66</v>
      </c>
      <c r="B398" t="s">
        <v>68</v>
      </c>
      <c r="C398">
        <v>18</v>
      </c>
      <c r="D398" t="s">
        <v>115</v>
      </c>
      <c r="E398" t="s">
        <v>111</v>
      </c>
      <c r="F398" t="s">
        <v>95</v>
      </c>
      <c r="G398">
        <v>0.589626278609924</v>
      </c>
      <c r="H398">
        <v>0</v>
      </c>
      <c r="I398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30</v>
      </c>
      <c r="K398" s="5" cm="1">
        <f t="array" ref="K398">IFERROR(AVERAGE(IF((OutputTable[GroupByKey]=OutputTable[[#This Row],[GroupByKey]]),(OutputTable[GroupByKey]=OutputTable[[#This Row],[GroupByKey]])*OutputTable[RecordedValue])),0)</f>
        <v>0.61071636647106653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4.8363406640152928E-2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398" s="5" cm="1">
        <f t="array" ref="O398">MIN(IF((OutputTable[GroupByKey]=OutputTable[[#This Row],[GroupByKey]]),(OutputTable[GroupByKey]=OutputTable[[#This Row],[GroupByKey]])*OutputTable[RecordedValue]))</f>
        <v>0.517215348442703</v>
      </c>
      <c r="P398" s="5" cm="1">
        <f t="array" ref="P398">MAX(IF((OutputTable[GroupByKey]=OutputTable[[#This Row],[GroupByKey]]),(OutputTable[GroupByKey]=OutputTable[[#This Row],[GroupByKey]])*OutputTable[RecordedValue]))</f>
        <v>0.67770389283754395</v>
      </c>
    </row>
    <row r="399" spans="1:16" x14ac:dyDescent="0.3">
      <c r="A399" t="s">
        <v>66</v>
      </c>
      <c r="B399" t="s">
        <v>68</v>
      </c>
      <c r="C399">
        <v>18</v>
      </c>
      <c r="D399" t="s">
        <v>116</v>
      </c>
      <c r="E399" t="s">
        <v>109</v>
      </c>
      <c r="F399" t="s">
        <v>95</v>
      </c>
      <c r="G399">
        <v>389</v>
      </c>
      <c r="H399">
        <v>0</v>
      </c>
      <c r="I399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30</v>
      </c>
      <c r="K399" s="5" cm="1">
        <f t="array" ref="K399">IFERROR(AVERAGE(IF((OutputTable[GroupByKey]=OutputTable[[#This Row],[GroupByKey]]),(OutputTable[GroupByKey]=OutputTable[[#This Row],[GroupByKey]])*OutputTable[RecordedValue])),0)</f>
        <v>366.5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27.998460548813185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399" s="5" cm="1">
        <f t="array" ref="O399">MIN(IF((OutputTable[GroupByKey]=OutputTable[[#This Row],[GroupByKey]]),(OutputTable[GroupByKey]=OutputTable[[#This Row],[GroupByKey]])*OutputTable[RecordedValue]))</f>
        <v>308</v>
      </c>
      <c r="P399" s="5" cm="1">
        <f t="array" ref="P399">MAX(IF((OutputTable[GroupByKey]=OutputTable[[#This Row],[GroupByKey]]),(OutputTable[GroupByKey]=OutputTable[[#This Row],[GroupByKey]])*OutputTable[RecordedValue]))</f>
        <v>415</v>
      </c>
    </row>
    <row r="400" spans="1:16" x14ac:dyDescent="0.3">
      <c r="A400" t="s">
        <v>66</v>
      </c>
      <c r="B400" t="s">
        <v>68</v>
      </c>
      <c r="C400">
        <v>18</v>
      </c>
      <c r="D400" t="s">
        <v>117</v>
      </c>
      <c r="E400" t="s">
        <v>111</v>
      </c>
      <c r="F400" t="s">
        <v>95</v>
      </c>
      <c r="G400">
        <v>0.182841433157056</v>
      </c>
      <c r="H400">
        <v>0</v>
      </c>
      <c r="I400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30</v>
      </c>
      <c r="K400" s="5" cm="1">
        <f t="array" ref="K400">IFERROR(AVERAGE(IF((OutputTable[GroupByKey]=OutputTable[[#This Row],[GroupByKey]]),(OutputTable[GroupByKey]=OutputTable[[#This Row],[GroupByKey]])*OutputTable[RecordedValue])),0)</f>
        <v>0.17017204824235124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1.331368412630852E-2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400" s="5" cm="1">
        <f t="array" ref="O400">MIN(IF((OutputTable[GroupByKey]=OutputTable[[#This Row],[GroupByKey]]),(OutputTable[GroupByKey]=OutputTable[[#This Row],[GroupByKey]])*OutputTable[RecordedValue]))</f>
        <v>0.14484829778125299</v>
      </c>
      <c r="P400" s="5" cm="1">
        <f t="array" ref="P400">MAX(IF((OutputTable[GroupByKey]=OutputTable[[#This Row],[GroupByKey]]),(OutputTable[GroupByKey]=OutputTable[[#This Row],[GroupByKey]])*OutputTable[RecordedValue]))</f>
        <v>0.19609322315655101</v>
      </c>
    </row>
    <row r="401" spans="1:16" x14ac:dyDescent="0.3">
      <c r="A401" t="s">
        <v>66</v>
      </c>
      <c r="B401" t="s">
        <v>68</v>
      </c>
      <c r="C401">
        <v>18</v>
      </c>
      <c r="D401" t="s">
        <v>118</v>
      </c>
      <c r="E401" t="s">
        <v>109</v>
      </c>
      <c r="F401" t="s">
        <v>95</v>
      </c>
      <c r="G401">
        <v>69</v>
      </c>
      <c r="H401">
        <v>0</v>
      </c>
      <c r="I401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30</v>
      </c>
      <c r="K401" s="5" cm="1">
        <f t="array" ref="K401">IFERROR(AVERAGE(IF((OutputTable[GroupByKey]=OutputTable[[#This Row],[GroupByKey]]),(OutputTable[GroupByKey]=OutputTable[[#This Row],[GroupByKey]])*OutputTable[RecordedValue])),0)</f>
        <v>67.599999999999994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8.2277914244430335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401" s="5" cm="1">
        <f t="array" ref="O401">MIN(IF((OutputTable[GroupByKey]=OutputTable[[#This Row],[GroupByKey]]),(OutputTable[GroupByKey]=OutputTable[[#This Row],[GroupByKey]])*OutputTable[RecordedValue]))</f>
        <v>53</v>
      </c>
      <c r="P401" s="5" cm="1">
        <f t="array" ref="P401">MAX(IF((OutputTable[GroupByKey]=OutputTable[[#This Row],[GroupByKey]]),(OutputTable[GroupByKey]=OutputTable[[#This Row],[GroupByKey]])*OutputTable[RecordedValue]))</f>
        <v>83</v>
      </c>
    </row>
    <row r="402" spans="1:16" x14ac:dyDescent="0.3">
      <c r="A402" t="s">
        <v>66</v>
      </c>
      <c r="B402" t="s">
        <v>68</v>
      </c>
      <c r="C402">
        <v>18</v>
      </c>
      <c r="D402" t="s">
        <v>119</v>
      </c>
      <c r="E402" t="s">
        <v>111</v>
      </c>
      <c r="F402" t="s">
        <v>95</v>
      </c>
      <c r="G402">
        <v>9.6424634621743902E-2</v>
      </c>
      <c r="H402">
        <v>0</v>
      </c>
      <c r="I402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30</v>
      </c>
      <c r="K402" s="5" cm="1">
        <f t="array" ref="K402">IFERROR(AVERAGE(IF((OutputTable[GroupByKey]=OutputTable[[#This Row],[GroupByKey]]),(OutputTable[GroupByKey]=OutputTable[[#This Row],[GroupByKey]])*OutputTable[RecordedValue])),0)</f>
        <v>9.2629789222133899E-2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1.1199993404883948E-2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402" s="5" cm="1">
        <f t="array" ref="O402">MIN(IF((OutputTable[GroupByKey]=OutputTable[[#This Row],[GroupByKey]]),(OutputTable[GroupByKey]=OutputTable[[#This Row],[GroupByKey]])*OutputTable[RecordedValue]))</f>
        <v>7.4778736536586704E-2</v>
      </c>
      <c r="P402" s="5" cm="1">
        <f t="array" ref="P402">MAX(IF((OutputTable[GroupByKey]=OutputTable[[#This Row],[GroupByKey]]),(OutputTable[GroupByKey]=OutputTable[[#This Row],[GroupByKey]])*OutputTable[RecordedValue]))</f>
        <v>0.111025455742452</v>
      </c>
    </row>
    <row r="403" spans="1:16" x14ac:dyDescent="0.3">
      <c r="A403" t="s">
        <v>66</v>
      </c>
      <c r="B403" t="s">
        <v>68</v>
      </c>
      <c r="C403">
        <v>18</v>
      </c>
      <c r="D403" t="s">
        <v>120</v>
      </c>
      <c r="E403" t="s">
        <v>121</v>
      </c>
      <c r="F403" t="s">
        <v>122</v>
      </c>
      <c r="G403">
        <v>140</v>
      </c>
      <c r="H403">
        <v>0</v>
      </c>
      <c r="I403" s="5" t="str">
        <f>OutputTable[[#This Row],[ProjectName]]&amp;OutputTable[[#This Row],[Name]]&amp;OutputTable[[#This Row],[Type]]&amp;OutputTable[[#This Row],[Source]]</f>
        <v>Unnamed ProjectSystem.NumberOutNumber OutSystem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30</v>
      </c>
      <c r="K403" s="5" cm="1">
        <f t="array" ref="K403">IFERROR(AVERAGE(IF((OutputTable[GroupByKey]=OutputTable[[#This Row],[GroupByKey]]),(OutputTable[GroupByKey]=OutputTable[[#This Row],[GroupByKey]])*OutputTable[RecordedValue])),0)</f>
        <v>138.66666666666666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10.59386072484773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403" s="5" cm="1">
        <f t="array" ref="O403">MIN(IF((OutputTable[GroupByKey]=OutputTable[[#This Row],[GroupByKey]]),(OutputTable[GroupByKey]=OutputTable[[#This Row],[GroupByKey]])*OutputTable[RecordedValue]))</f>
        <v>122</v>
      </c>
      <c r="P403" s="5" cm="1">
        <f t="array" ref="P403">MAX(IF((OutputTable[GroupByKey]=OutputTable[[#This Row],[GroupByKey]]),(OutputTable[GroupByKey]=OutputTable[[#This Row],[GroupByKey]])*OutputTable[RecordedValue]))</f>
        <v>158</v>
      </c>
    </row>
    <row r="404" spans="1:16" x14ac:dyDescent="0.3">
      <c r="A404" t="s">
        <v>66</v>
      </c>
      <c r="B404" t="s">
        <v>68</v>
      </c>
      <c r="C404">
        <v>18</v>
      </c>
      <c r="D404" t="s">
        <v>123</v>
      </c>
      <c r="E404" t="s">
        <v>109</v>
      </c>
      <c r="F404" t="s">
        <v>95</v>
      </c>
      <c r="G404">
        <v>345</v>
      </c>
      <c r="H404">
        <v>0</v>
      </c>
      <c r="I404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30</v>
      </c>
      <c r="K404" s="5" cm="1">
        <f t="array" ref="K404">IFERROR(AVERAGE(IF((OutputTable[GroupByKey]=OutputTable[[#This Row],[GroupByKey]]),(OutputTable[GroupByKey]=OutputTable[[#This Row],[GroupByKey]])*OutputTable[RecordedValue])),0)</f>
        <v>324.63333333333333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23.733409208195905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404" s="5" cm="1">
        <f t="array" ref="O404">MIN(IF((OutputTable[GroupByKey]=OutputTable[[#This Row],[GroupByKey]]),(OutputTable[GroupByKey]=OutputTable[[#This Row],[GroupByKey]])*OutputTable[RecordedValue]))</f>
        <v>276</v>
      </c>
      <c r="P404" s="5" cm="1">
        <f t="array" ref="P404">MAX(IF((OutputTable[GroupByKey]=OutputTable[[#This Row],[GroupByKey]]),(OutputTable[GroupByKey]=OutputTable[[#This Row],[GroupByKey]])*OutputTable[RecordedValue]))</f>
        <v>370</v>
      </c>
    </row>
    <row r="405" spans="1:16" x14ac:dyDescent="0.3">
      <c r="A405" t="s">
        <v>66</v>
      </c>
      <c r="B405" t="s">
        <v>68</v>
      </c>
      <c r="C405">
        <v>18</v>
      </c>
      <c r="D405" t="s">
        <v>124</v>
      </c>
      <c r="E405" t="s">
        <v>111</v>
      </c>
      <c r="F405" t="s">
        <v>95</v>
      </c>
      <c r="G405">
        <v>0.84828617254731398</v>
      </c>
      <c r="H405">
        <v>0</v>
      </c>
      <c r="I405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30</v>
      </c>
      <c r="K405" s="5" cm="1">
        <f t="array" ref="K405">IFERROR(AVERAGE(IF((OutputTable[GroupByKey]=OutputTable[[#This Row],[GroupByKey]]),(OutputTable[GroupByKey]=OutputTable[[#This Row],[GroupByKey]])*OutputTable[RecordedValue])),0)</f>
        <v>0.78890367752589419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5.7743599319329868E-2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405" s="5" cm="1">
        <f t="array" ref="O405">MIN(IF((OutputTable[GroupByKey]=OutputTable[[#This Row],[GroupByKey]]),(OutputTable[GroupByKey]=OutputTable[[#This Row],[GroupByKey]])*OutputTable[RecordedValue]))</f>
        <v>0.68630817725209003</v>
      </c>
      <c r="P405" s="5" cm="1">
        <f t="array" ref="P405">MAX(IF((OutputTable[GroupByKey]=OutputTable[[#This Row],[GroupByKey]]),(OutputTable[GroupByKey]=OutputTable[[#This Row],[GroupByKey]])*OutputTable[RecordedValue]))</f>
        <v>0.89844569749382897</v>
      </c>
    </row>
    <row r="406" spans="1:16" x14ac:dyDescent="0.3">
      <c r="A406" t="s">
        <v>66</v>
      </c>
      <c r="B406" t="s">
        <v>68</v>
      </c>
      <c r="C406">
        <v>18</v>
      </c>
      <c r="D406" t="s">
        <v>125</v>
      </c>
      <c r="E406" t="s">
        <v>126</v>
      </c>
      <c r="F406" t="s">
        <v>86</v>
      </c>
      <c r="G406">
        <v>206</v>
      </c>
      <c r="H406">
        <v>0</v>
      </c>
      <c r="I406" s="5" t="str">
        <f>OutputTable[[#This Row],[ProjectName]]&amp;OutputTable[[#This Row],[Name]]&amp;OutputTable[[#This Row],[Type]]&amp;OutputTable[[#This Row],[Source]]</f>
        <v>Unnamed ProjectVisitantes.NumberInNumber InEntity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30</v>
      </c>
      <c r="K406" s="5" cm="1">
        <f t="array" ref="K406">IFERROR(AVERAGE(IF((OutputTable[GroupByKey]=OutputTable[[#This Row],[GroupByKey]]),(OutputTable[GroupByKey]=OutputTable[[#This Row],[GroupByKey]])*OutputTable[RecordedValue])),0)</f>
        <v>194.43333333333334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19.567184586538712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406" s="5" cm="1">
        <f t="array" ref="O406">MIN(IF((OutputTable[GroupByKey]=OutputTable[[#This Row],[GroupByKey]]),(OutputTable[GroupByKey]=OutputTable[[#This Row],[GroupByKey]])*OutputTable[RecordedValue]))</f>
        <v>158</v>
      </c>
      <c r="P406" s="5" cm="1">
        <f t="array" ref="P406">MAX(IF((OutputTable[GroupByKey]=OutputTable[[#This Row],[GroupByKey]]),(OutputTable[GroupByKey]=OutputTable[[#This Row],[GroupByKey]])*OutputTable[RecordedValue]))</f>
        <v>255</v>
      </c>
    </row>
    <row r="407" spans="1:16" x14ac:dyDescent="0.3">
      <c r="A407" t="s">
        <v>66</v>
      </c>
      <c r="B407" t="s">
        <v>68</v>
      </c>
      <c r="C407">
        <v>18</v>
      </c>
      <c r="D407" t="s">
        <v>127</v>
      </c>
      <c r="E407" t="s">
        <v>121</v>
      </c>
      <c r="F407" t="s">
        <v>86</v>
      </c>
      <c r="G407">
        <v>140</v>
      </c>
      <c r="H407">
        <v>0</v>
      </c>
      <c r="I407" s="5" t="str">
        <f>OutputTable[[#This Row],[ProjectName]]&amp;OutputTable[[#This Row],[Name]]&amp;OutputTable[[#This Row],[Type]]&amp;OutputTable[[#This Row],[Source]]</f>
        <v>Unnamed ProjectVisitantes.NumberOutNumber OutEntity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30</v>
      </c>
      <c r="K407" s="5" cm="1">
        <f t="array" ref="K407">IFERROR(AVERAGE(IF((OutputTable[GroupByKey]=OutputTable[[#This Row],[GroupByKey]]),(OutputTable[GroupByKey]=OutputTable[[#This Row],[GroupByKey]])*OutputTable[RecordedValue])),0)</f>
        <v>138.66666666666666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10.59386072484773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407" s="5" cm="1">
        <f t="array" ref="O407">MIN(IF((OutputTable[GroupByKey]=OutputTable[[#This Row],[GroupByKey]]),(OutputTable[GroupByKey]=OutputTable[[#This Row],[GroupByKey]])*OutputTable[RecordedValue]))</f>
        <v>122</v>
      </c>
      <c r="P407" s="5" cm="1">
        <f t="array" ref="P407">MAX(IF((OutputTable[GroupByKey]=OutputTable[[#This Row],[GroupByKey]]),(OutputTable[GroupByKey]=OutputTable[[#This Row],[GroupByKey]])*OutputTable[RecordedValue]))</f>
        <v>158</v>
      </c>
    </row>
    <row r="408" spans="1:16" x14ac:dyDescent="0.3">
      <c r="A408" t="s">
        <v>66</v>
      </c>
      <c r="B408" t="s">
        <v>68</v>
      </c>
      <c r="C408">
        <v>18</v>
      </c>
      <c r="D408" t="s">
        <v>128</v>
      </c>
      <c r="E408" t="s">
        <v>109</v>
      </c>
      <c r="F408" t="s">
        <v>95</v>
      </c>
      <c r="G408">
        <v>0</v>
      </c>
      <c r="H408">
        <v>0</v>
      </c>
      <c r="I408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30</v>
      </c>
      <c r="K408" s="5" cm="1">
        <f t="array" ref="K408">IFERROR(AVERAGE(IF((OutputTable[GroupByKey]=OutputTable[[#This Row],[GroupByKey]]),(OutputTable[GroupByKey]=OutputTable[[#This Row],[GroupByKey]])*OutputTable[RecordedValue])),0)</f>
        <v>0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0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8" s="5" cm="1">
        <f t="array" ref="O408">MIN(IF((OutputTable[GroupByKey]=OutputTable[[#This Row],[GroupByKey]]),(OutputTable[GroupByKey]=OutputTable[[#This Row],[GroupByKey]])*OutputTable[RecordedValue]))</f>
        <v>0</v>
      </c>
      <c r="P408" s="5" cm="1">
        <f t="array" ref="P408">MAX(IF((OutputTable[GroupByKey]=OutputTable[[#This Row],[GroupByKey]]),(OutputTable[GroupByKey]=OutputTable[[#This Row],[GroupByKey]])*OutputTable[RecordedValue]))</f>
        <v>0</v>
      </c>
    </row>
    <row r="409" spans="1:16" x14ac:dyDescent="0.3">
      <c r="A409" t="s">
        <v>66</v>
      </c>
      <c r="B409" t="s">
        <v>68</v>
      </c>
      <c r="C409">
        <v>18</v>
      </c>
      <c r="D409" t="s">
        <v>129</v>
      </c>
      <c r="E409" t="s">
        <v>111</v>
      </c>
      <c r="F409" t="s">
        <v>95</v>
      </c>
      <c r="G409">
        <v>0</v>
      </c>
      <c r="H409">
        <v>0</v>
      </c>
      <c r="I409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30</v>
      </c>
      <c r="K409" s="5" cm="1">
        <f t="array" ref="K409">IFERROR(AVERAGE(IF((OutputTable[GroupByKey]=OutputTable[[#This Row],[GroupByKey]]),(OutputTable[GroupByKey]=OutputTable[[#This Row],[GroupByKey]])*OutputTable[RecordedValue])),0)</f>
        <v>0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0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9" s="5" cm="1">
        <f t="array" ref="O409">MIN(IF((OutputTable[GroupByKey]=OutputTable[[#This Row],[GroupByKey]]),(OutputTable[GroupByKey]=OutputTable[[#This Row],[GroupByKey]])*OutputTable[RecordedValue]))</f>
        <v>0</v>
      </c>
      <c r="P409" s="5" cm="1">
        <f t="array" ref="P409">MAX(IF((OutputTable[GroupByKey]=OutputTable[[#This Row],[GroupByKey]]),(OutputTable[GroupByKey]=OutputTable[[#This Row],[GroupByKey]])*OutputTable[RecordedValue]))</f>
        <v>0</v>
      </c>
    </row>
    <row r="410" spans="1:16" x14ac:dyDescent="0.3">
      <c r="A410" t="s">
        <v>66</v>
      </c>
      <c r="B410" t="s">
        <v>68</v>
      </c>
      <c r="C410">
        <v>18</v>
      </c>
      <c r="D410" t="s">
        <v>130</v>
      </c>
      <c r="E410" t="s">
        <v>109</v>
      </c>
      <c r="F410" t="s">
        <v>95</v>
      </c>
      <c r="G410">
        <v>97</v>
      </c>
      <c r="H410">
        <v>0</v>
      </c>
      <c r="I410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30</v>
      </c>
      <c r="K410" s="5" cm="1">
        <f t="array" ref="K410">IFERROR(AVERAGE(IF((OutputTable[GroupByKey]=OutputTable[[#This Row],[GroupByKey]]),(OutputTable[GroupByKey]=OutputTable[[#This Row],[GroupByKey]])*OutputTable[RecordedValue])),0)</f>
        <v>99.666666666666671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11.021400290698853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410" s="5" cm="1">
        <f t="array" ref="O410">MIN(IF((OutputTable[GroupByKey]=OutputTable[[#This Row],[GroupByKey]]),(OutputTable[GroupByKey]=OutputTable[[#This Row],[GroupByKey]])*OutputTable[RecordedValue]))</f>
        <v>84</v>
      </c>
      <c r="P410" s="5" cm="1">
        <f t="array" ref="P410">MAX(IF((OutputTable[GroupByKey]=OutputTable[[#This Row],[GroupByKey]]),(OutputTable[GroupByKey]=OutputTable[[#This Row],[GroupByKey]])*OutputTable[RecordedValue]))</f>
        <v>133</v>
      </c>
    </row>
    <row r="411" spans="1:16" x14ac:dyDescent="0.3">
      <c r="A411" t="s">
        <v>66</v>
      </c>
      <c r="B411" t="s">
        <v>68</v>
      </c>
      <c r="C411">
        <v>18</v>
      </c>
      <c r="D411" t="s">
        <v>131</v>
      </c>
      <c r="E411" t="s">
        <v>111</v>
      </c>
      <c r="F411" t="s">
        <v>95</v>
      </c>
      <c r="G411">
        <v>0.90438981604937696</v>
      </c>
      <c r="H411">
        <v>0</v>
      </c>
      <c r="I411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30</v>
      </c>
      <c r="K411" s="5" cm="1">
        <f t="array" ref="K411">IFERROR(AVERAGE(IF((OutputTable[GroupByKey]=OutputTable[[#This Row],[GroupByKey]]),(OutputTable[GroupByKey]=OutputTable[[#This Row],[GroupByKey]])*OutputTable[RecordedValue])),0)</f>
        <v>0.81099663999028448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0.1069626954834289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411" s="5" cm="1">
        <f t="array" ref="O411">MIN(IF((OutputTable[GroupByKey]=OutputTable[[#This Row],[GroupByKey]]),(OutputTable[GroupByKey]=OutputTable[[#This Row],[GroupByKey]])*OutputTable[RecordedValue]))</f>
        <v>0.634589476164233</v>
      </c>
      <c r="P411" s="5" cm="1">
        <f t="array" ref="P411">MAX(IF((OutputTable[GroupByKey]=OutputTable[[#This Row],[GroupByKey]]),(OutputTable[GroupByKey]=OutputTable[[#This Row],[GroupByKey]])*OutputTable[RecordedValue]))</f>
        <v>0.99383259650362799</v>
      </c>
    </row>
    <row r="412" spans="1:16" x14ac:dyDescent="0.3">
      <c r="A412" t="s">
        <v>66</v>
      </c>
      <c r="B412" t="s">
        <v>68</v>
      </c>
      <c r="C412">
        <v>18</v>
      </c>
      <c r="D412" t="s">
        <v>132</v>
      </c>
      <c r="E412" t="s">
        <v>109</v>
      </c>
      <c r="F412" t="s">
        <v>95</v>
      </c>
      <c r="G412">
        <v>70</v>
      </c>
      <c r="H412">
        <v>0</v>
      </c>
      <c r="I412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30</v>
      </c>
      <c r="K412" s="5" cm="1">
        <f t="array" ref="K412">IFERROR(AVERAGE(IF((OutputTable[GroupByKey]=OutputTable[[#This Row],[GroupByKey]]),(OutputTable[GroupByKey]=OutputTable[[#This Row],[GroupByKey]])*OutputTable[RecordedValue])),0)</f>
        <v>51.966666666666669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7.0636677653220881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412" s="5" cm="1">
        <f t="array" ref="O412">MIN(IF((OutputTable[GroupByKey]=OutputTable[[#This Row],[GroupByKey]]),(OutputTable[GroupByKey]=OutputTable[[#This Row],[GroupByKey]])*OutputTable[RecordedValue]))</f>
        <v>40</v>
      </c>
      <c r="P412" s="5" cm="1">
        <f t="array" ref="P412">MAX(IF((OutputTable[GroupByKey]=OutputTable[[#This Row],[GroupByKey]]),(OutputTable[GroupByKey]=OutputTable[[#This Row],[GroupByKey]])*OutputTable[RecordedValue]))</f>
        <v>70</v>
      </c>
    </row>
    <row r="413" spans="1:16" x14ac:dyDescent="0.3">
      <c r="A413" t="s">
        <v>66</v>
      </c>
      <c r="B413" t="s">
        <v>68</v>
      </c>
      <c r="C413">
        <v>18</v>
      </c>
      <c r="D413" t="s">
        <v>133</v>
      </c>
      <c r="E413" t="s">
        <v>111</v>
      </c>
      <c r="F413" t="s">
        <v>95</v>
      </c>
      <c r="G413">
        <v>0.91226802298649101</v>
      </c>
      <c r="H413">
        <v>0</v>
      </c>
      <c r="I413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30</v>
      </c>
      <c r="K413" s="5" cm="1">
        <f t="array" ref="K413">IFERROR(AVERAGE(IF((OutputTable[GroupByKey]=OutputTable[[#This Row],[GroupByKey]]),(OutputTable[GroupByKey]=OutputTable[[#This Row],[GroupByKey]])*OutputTable[RecordedValue])),0)</f>
        <v>0.86404173385398308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7.7429091138254261E-2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413" s="5" cm="1">
        <f t="array" ref="O413">MIN(IF((OutputTable[GroupByKey]=OutputTable[[#This Row],[GroupByKey]]),(OutputTable[GroupByKey]=OutputTable[[#This Row],[GroupByKey]])*OutputTable[RecordedValue]))</f>
        <v>0.74061105631083801</v>
      </c>
      <c r="P413" s="5" cm="1">
        <f t="array" ref="P413">MAX(IF((OutputTable[GroupByKey]=OutputTable[[#This Row],[GroupByKey]]),(OutputTable[GroupByKey]=OutputTable[[#This Row],[GroupByKey]])*OutputTable[RecordedValue]))</f>
        <v>0.99245161744166299</v>
      </c>
    </row>
    <row r="414" spans="1:16" x14ac:dyDescent="0.3">
      <c r="A414" t="s">
        <v>66</v>
      </c>
      <c r="B414" t="s">
        <v>68</v>
      </c>
      <c r="C414">
        <v>18</v>
      </c>
      <c r="D414" t="s">
        <v>134</v>
      </c>
      <c r="E414" t="s">
        <v>109</v>
      </c>
      <c r="F414" t="s">
        <v>95</v>
      </c>
      <c r="G414">
        <v>39</v>
      </c>
      <c r="H414">
        <v>0</v>
      </c>
      <c r="I414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30</v>
      </c>
      <c r="K414" s="5" cm="1">
        <f t="array" ref="K414">IFERROR(AVERAGE(IF((OutputTable[GroupByKey]=OutputTable[[#This Row],[GroupByKey]]),(OutputTable[GroupByKey]=OutputTable[[#This Row],[GroupByKey]])*OutputTable[RecordedValue])),0)</f>
        <v>36.233333333333334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4.775536318198915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414" s="5" cm="1">
        <f t="array" ref="O414">MIN(IF((OutputTable[GroupByKey]=OutputTable[[#This Row],[GroupByKey]]),(OutputTable[GroupByKey]=OutputTable[[#This Row],[GroupByKey]])*OutputTable[RecordedValue]))</f>
        <v>28</v>
      </c>
      <c r="P414" s="5" cm="1">
        <f t="array" ref="P414">MAX(IF((OutputTable[GroupByKey]=OutputTable[[#This Row],[GroupByKey]]),(OutputTable[GroupByKey]=OutputTable[[#This Row],[GroupByKey]])*OutputTable[RecordedValue]))</f>
        <v>48</v>
      </c>
    </row>
    <row r="415" spans="1:16" x14ac:dyDescent="0.3">
      <c r="A415" t="s">
        <v>66</v>
      </c>
      <c r="B415" t="s">
        <v>68</v>
      </c>
      <c r="C415">
        <v>18</v>
      </c>
      <c r="D415" t="s">
        <v>135</v>
      </c>
      <c r="E415" t="s">
        <v>111</v>
      </c>
      <c r="F415" t="s">
        <v>95</v>
      </c>
      <c r="G415">
        <v>0.913895490507594</v>
      </c>
      <c r="H415">
        <v>0</v>
      </c>
      <c r="I415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30</v>
      </c>
      <c r="K415" s="5" cm="1">
        <f t="array" ref="K415">IFERROR(AVERAGE(IF((OutputTable[GroupByKey]=OutputTable[[#This Row],[GroupByKey]]),(OutputTable[GroupByKey]=OutputTable[[#This Row],[GroupByKey]])*OutputTable[RecordedValue])),0)</f>
        <v>0.88098039877461687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6.9783648638161486E-2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415" s="5" cm="1">
        <f t="array" ref="O415">MIN(IF((OutputTable[GroupByKey]=OutputTable[[#This Row],[GroupByKey]]),(OutputTable[GroupByKey]=OutputTable[[#This Row],[GroupByKey]])*OutputTable[RecordedValue]))</f>
        <v>0.73843386001690303</v>
      </c>
      <c r="P415" s="5" cm="1">
        <f t="array" ref="P415">MAX(IF((OutputTable[GroupByKey]=OutputTable[[#This Row],[GroupByKey]]),(OutputTable[GroupByKey]=OutputTable[[#This Row],[GroupByKey]])*OutputTable[RecordedValue]))</f>
        <v>0.99245161744166299</v>
      </c>
    </row>
    <row r="416" spans="1:16" x14ac:dyDescent="0.3">
      <c r="A416" t="s">
        <v>66</v>
      </c>
      <c r="B416" t="s">
        <v>68</v>
      </c>
      <c r="C416">
        <v>19</v>
      </c>
      <c r="D416" t="s">
        <v>108</v>
      </c>
      <c r="E416" t="s">
        <v>109</v>
      </c>
      <c r="F416" t="s">
        <v>95</v>
      </c>
      <c r="G416">
        <v>35</v>
      </c>
      <c r="H416">
        <v>0</v>
      </c>
      <c r="I416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30</v>
      </c>
      <c r="K416" s="5" cm="1">
        <f t="array" ref="K416">IFERROR(AVERAGE(IF((OutputTable[GroupByKey]=OutputTable[[#This Row],[GroupByKey]]),(OutputTable[GroupByKey]=OutputTable[[#This Row],[GroupByKey]])*OutputTable[RecordedValue])),0)</f>
        <v>34.633333333333333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6.3326375903390151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416" s="5" cm="1">
        <f t="array" ref="O416">MIN(IF((OutputTable[GroupByKey]=OutputTable[[#This Row],[GroupByKey]]),(OutputTable[GroupByKey]=OutputTable[[#This Row],[GroupByKey]])*OutputTable[RecordedValue]))</f>
        <v>24</v>
      </c>
      <c r="P416" s="5" cm="1">
        <f t="array" ref="P416">MAX(IF((OutputTable[GroupByKey]=OutputTable[[#This Row],[GroupByKey]]),(OutputTable[GroupByKey]=OutputTable[[#This Row],[GroupByKey]])*OutputTable[RecordedValue]))</f>
        <v>47</v>
      </c>
    </row>
    <row r="417" spans="1:16" x14ac:dyDescent="0.3">
      <c r="A417" t="s">
        <v>66</v>
      </c>
      <c r="B417" t="s">
        <v>68</v>
      </c>
      <c r="C417">
        <v>19</v>
      </c>
      <c r="D417" t="s">
        <v>110</v>
      </c>
      <c r="E417" t="s">
        <v>111</v>
      </c>
      <c r="F417" t="s">
        <v>95</v>
      </c>
      <c r="G417">
        <v>3.5552247824865102E-2</v>
      </c>
      <c r="H417">
        <v>0</v>
      </c>
      <c r="I417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30</v>
      </c>
      <c r="K417" s="5" cm="1">
        <f t="array" ref="K417">IFERROR(AVERAGE(IF((OutputTable[GroupByKey]=OutputTable[[#This Row],[GroupByKey]]),(OutputTable[GroupByKey]=OutputTable[[#This Row],[GroupByKey]])*OutputTable[RecordedValue])),0)</f>
        <v>3.5359789427834361E-2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6.6521615975834569E-3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417" s="5" cm="1">
        <f t="array" ref="O417">MIN(IF((OutputTable[GroupByKey]=OutputTable[[#This Row],[GroupByKey]]),(OutputTable[GroupByKey]=OutputTable[[#This Row],[GroupByKey]])*OutputTable[RecordedValue]))</f>
        <v>2.3718114155243601E-2</v>
      </c>
      <c r="P417" s="5" cm="1">
        <f t="array" ref="P417">MAX(IF((OutputTable[GroupByKey]=OutputTable[[#This Row],[GroupByKey]]),(OutputTable[GroupByKey]=OutputTable[[#This Row],[GroupByKey]])*OutputTable[RecordedValue]))</f>
        <v>4.8583931724403701E-2</v>
      </c>
    </row>
    <row r="418" spans="1:16" x14ac:dyDescent="0.3">
      <c r="A418" t="s">
        <v>66</v>
      </c>
      <c r="B418" t="s">
        <v>68</v>
      </c>
      <c r="C418">
        <v>19</v>
      </c>
      <c r="D418" t="s">
        <v>112</v>
      </c>
      <c r="E418" t="s">
        <v>109</v>
      </c>
      <c r="F418" t="s">
        <v>95</v>
      </c>
      <c r="G418">
        <v>96</v>
      </c>
      <c r="H418">
        <v>0</v>
      </c>
      <c r="I418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30</v>
      </c>
      <c r="K418" s="5" cm="1">
        <f t="array" ref="K418">IFERROR(AVERAGE(IF((OutputTable[GroupByKey]=OutputTable[[#This Row],[GroupByKey]]),(OutputTable[GroupByKey]=OutputTable[[#This Row],[GroupByKey]])*OutputTable[RecordedValue])),0)</f>
        <v>105.13333333333334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9.9020490158675578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418" s="5" cm="1">
        <f t="array" ref="O418">MIN(IF((OutputTable[GroupByKey]=OutputTable[[#This Row],[GroupByKey]]),(OutputTable[GroupByKey]=OutputTable[[#This Row],[GroupByKey]])*OutputTable[RecordedValue]))</f>
        <v>90</v>
      </c>
      <c r="P418" s="5" cm="1">
        <f t="array" ref="P418">MAX(IF((OutputTable[GroupByKey]=OutputTable[[#This Row],[GroupByKey]]),(OutputTable[GroupByKey]=OutputTable[[#This Row],[GroupByKey]])*OutputTable[RecordedValue]))</f>
        <v>120</v>
      </c>
    </row>
    <row r="419" spans="1:16" x14ac:dyDescent="0.3">
      <c r="A419" t="s">
        <v>66</v>
      </c>
      <c r="B419" t="s">
        <v>68</v>
      </c>
      <c r="C419">
        <v>19</v>
      </c>
      <c r="D419" t="s">
        <v>113</v>
      </c>
      <c r="E419" t="s">
        <v>111</v>
      </c>
      <c r="F419" t="s">
        <v>95</v>
      </c>
      <c r="G419">
        <v>0.220856071251576</v>
      </c>
      <c r="H419">
        <v>0</v>
      </c>
      <c r="I419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30</v>
      </c>
      <c r="K419" s="5" cm="1">
        <f t="array" ref="K419">IFERROR(AVERAGE(IF((OutputTable[GroupByKey]=OutputTable[[#This Row],[GroupByKey]]),(OutputTable[GroupByKey]=OutputTable[[#This Row],[GroupByKey]])*OutputTable[RecordedValue])),0)</f>
        <v>0.24658598119222253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2.3372241503878202E-2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419" s="5" cm="1">
        <f t="array" ref="O419">MIN(IF((OutputTable[GroupByKey]=OutputTable[[#This Row],[GroupByKey]]),(OutputTable[GroupByKey]=OutputTable[[#This Row],[GroupByKey]])*OutputTable[RecordedValue]))</f>
        <v>0.20767736113278101</v>
      </c>
      <c r="P419" s="5" cm="1">
        <f t="array" ref="P419">MAX(IF((OutputTable[GroupByKey]=OutputTable[[#This Row],[GroupByKey]]),(OutputTable[GroupByKey]=OutputTable[[#This Row],[GroupByKey]])*OutputTable[RecordedValue]))</f>
        <v>0.28501162927715601</v>
      </c>
    </row>
    <row r="420" spans="1:16" x14ac:dyDescent="0.3">
      <c r="A420" t="s">
        <v>66</v>
      </c>
      <c r="B420" t="s">
        <v>68</v>
      </c>
      <c r="C420">
        <v>19</v>
      </c>
      <c r="D420" t="s">
        <v>114</v>
      </c>
      <c r="E420" t="s">
        <v>109</v>
      </c>
      <c r="F420" t="s">
        <v>95</v>
      </c>
      <c r="G420">
        <v>132</v>
      </c>
      <c r="H420">
        <v>0</v>
      </c>
      <c r="I420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30</v>
      </c>
      <c r="K420" s="5" cm="1">
        <f t="array" ref="K420">IFERROR(AVERAGE(IF((OutputTable[GroupByKey]=OutputTable[[#This Row],[GroupByKey]]),(OutputTable[GroupByKey]=OutputTable[[#This Row],[GroupByKey]])*OutputTable[RecordedValue])),0)</f>
        <v>130.19999999999999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9.6932255049418501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420" s="5" cm="1">
        <f t="array" ref="O420">MIN(IF((OutputTable[GroupByKey]=OutputTable[[#This Row],[GroupByKey]]),(OutputTable[GroupByKey]=OutputTable[[#This Row],[GroupByKey]])*OutputTable[RecordedValue]))</f>
        <v>112</v>
      </c>
      <c r="P420" s="5" cm="1">
        <f t="array" ref="P420">MAX(IF((OutputTable[GroupByKey]=OutputTable[[#This Row],[GroupByKey]]),(OutputTable[GroupByKey]=OutputTable[[#This Row],[GroupByKey]])*OutputTable[RecordedValue]))</f>
        <v>150</v>
      </c>
    </row>
    <row r="421" spans="1:16" x14ac:dyDescent="0.3">
      <c r="A421" t="s">
        <v>66</v>
      </c>
      <c r="B421" t="s">
        <v>68</v>
      </c>
      <c r="C421">
        <v>19</v>
      </c>
      <c r="D421" t="s">
        <v>115</v>
      </c>
      <c r="E421" t="s">
        <v>111</v>
      </c>
      <c r="F421" t="s">
        <v>95</v>
      </c>
      <c r="G421">
        <v>0.62420848062589396</v>
      </c>
      <c r="H421">
        <v>0</v>
      </c>
      <c r="I421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30</v>
      </c>
      <c r="K421" s="5" cm="1">
        <f t="array" ref="K421">IFERROR(AVERAGE(IF((OutputTable[GroupByKey]=OutputTable[[#This Row],[GroupByKey]]),(OutputTable[GroupByKey]=OutputTable[[#This Row],[GroupByKey]])*OutputTable[RecordedValue])),0)</f>
        <v>0.61071636647106653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4.8363406640152928E-2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421" s="5" cm="1">
        <f t="array" ref="O421">MIN(IF((OutputTable[GroupByKey]=OutputTable[[#This Row],[GroupByKey]]),(OutputTable[GroupByKey]=OutputTable[[#This Row],[GroupByKey]])*OutputTable[RecordedValue]))</f>
        <v>0.517215348442703</v>
      </c>
      <c r="P421" s="5" cm="1">
        <f t="array" ref="P421">MAX(IF((OutputTable[GroupByKey]=OutputTable[[#This Row],[GroupByKey]]),(OutputTable[GroupByKey]=OutputTable[[#This Row],[GroupByKey]])*OutputTable[RecordedValue]))</f>
        <v>0.67770389283754395</v>
      </c>
    </row>
    <row r="422" spans="1:16" x14ac:dyDescent="0.3">
      <c r="A422" t="s">
        <v>66</v>
      </c>
      <c r="B422" t="s">
        <v>68</v>
      </c>
      <c r="C422">
        <v>19</v>
      </c>
      <c r="D422" t="s">
        <v>116</v>
      </c>
      <c r="E422" t="s">
        <v>109</v>
      </c>
      <c r="F422" t="s">
        <v>95</v>
      </c>
      <c r="G422">
        <v>388</v>
      </c>
      <c r="H422">
        <v>0</v>
      </c>
      <c r="I422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30</v>
      </c>
      <c r="K422" s="5" cm="1">
        <f t="array" ref="K422">IFERROR(AVERAGE(IF((OutputTable[GroupByKey]=OutputTable[[#This Row],[GroupByKey]]),(OutputTable[GroupByKey]=OutputTable[[#This Row],[GroupByKey]])*OutputTable[RecordedValue])),0)</f>
        <v>366.5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27.998460548813185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422" s="5" cm="1">
        <f t="array" ref="O422">MIN(IF((OutputTable[GroupByKey]=OutputTable[[#This Row],[GroupByKey]]),(OutputTable[GroupByKey]=OutputTable[[#This Row],[GroupByKey]])*OutputTable[RecordedValue]))</f>
        <v>308</v>
      </c>
      <c r="P422" s="5" cm="1">
        <f t="array" ref="P422">MAX(IF((OutputTable[GroupByKey]=OutputTable[[#This Row],[GroupByKey]]),(OutputTable[GroupByKey]=OutputTable[[#This Row],[GroupByKey]])*OutputTable[RecordedValue]))</f>
        <v>415</v>
      </c>
    </row>
    <row r="423" spans="1:16" x14ac:dyDescent="0.3">
      <c r="A423" t="s">
        <v>66</v>
      </c>
      <c r="B423" t="s">
        <v>68</v>
      </c>
      <c r="C423">
        <v>19</v>
      </c>
      <c r="D423" t="s">
        <v>117</v>
      </c>
      <c r="E423" t="s">
        <v>111</v>
      </c>
      <c r="F423" t="s">
        <v>95</v>
      </c>
      <c r="G423">
        <v>0.181158017537523</v>
      </c>
      <c r="H423">
        <v>0</v>
      </c>
      <c r="I423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30</v>
      </c>
      <c r="K423" s="5" cm="1">
        <f t="array" ref="K423">IFERROR(AVERAGE(IF((OutputTable[GroupByKey]=OutputTable[[#This Row],[GroupByKey]]),(OutputTable[GroupByKey]=OutputTable[[#This Row],[GroupByKey]])*OutputTable[RecordedValue])),0)</f>
        <v>0.17017204824235124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1.331368412630852E-2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423" s="5" cm="1">
        <f t="array" ref="O423">MIN(IF((OutputTable[GroupByKey]=OutputTable[[#This Row],[GroupByKey]]),(OutputTable[GroupByKey]=OutputTable[[#This Row],[GroupByKey]])*OutputTable[RecordedValue]))</f>
        <v>0.14484829778125299</v>
      </c>
      <c r="P423" s="5" cm="1">
        <f t="array" ref="P423">MAX(IF((OutputTable[GroupByKey]=OutputTable[[#This Row],[GroupByKey]]),(OutputTable[GroupByKey]=OutputTable[[#This Row],[GroupByKey]])*OutputTable[RecordedValue]))</f>
        <v>0.19609322315655101</v>
      </c>
    </row>
    <row r="424" spans="1:16" x14ac:dyDescent="0.3">
      <c r="A424" t="s">
        <v>66</v>
      </c>
      <c r="B424" t="s">
        <v>68</v>
      </c>
      <c r="C424">
        <v>19</v>
      </c>
      <c r="D424" t="s">
        <v>118</v>
      </c>
      <c r="E424" t="s">
        <v>109</v>
      </c>
      <c r="F424" t="s">
        <v>95</v>
      </c>
      <c r="G424">
        <v>83</v>
      </c>
      <c r="H424">
        <v>0</v>
      </c>
      <c r="I424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30</v>
      </c>
      <c r="K424" s="5" cm="1">
        <f t="array" ref="K424">IFERROR(AVERAGE(IF((OutputTable[GroupByKey]=OutputTable[[#This Row],[GroupByKey]]),(OutputTable[GroupByKey]=OutputTable[[#This Row],[GroupByKey]])*OutputTable[RecordedValue])),0)</f>
        <v>67.599999999999994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8.2277914244430335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424" s="5" cm="1">
        <f t="array" ref="O424">MIN(IF((OutputTable[GroupByKey]=OutputTable[[#This Row],[GroupByKey]]),(OutputTable[GroupByKey]=OutputTable[[#This Row],[GroupByKey]])*OutputTable[RecordedValue]))</f>
        <v>53</v>
      </c>
      <c r="P424" s="5" cm="1">
        <f t="array" ref="P424">MAX(IF((OutputTable[GroupByKey]=OutputTable[[#This Row],[GroupByKey]]),(OutputTable[GroupByKey]=OutputTable[[#This Row],[GroupByKey]])*OutputTable[RecordedValue]))</f>
        <v>83</v>
      </c>
    </row>
    <row r="425" spans="1:16" x14ac:dyDescent="0.3">
      <c r="A425" t="s">
        <v>66</v>
      </c>
      <c r="B425" t="s">
        <v>68</v>
      </c>
      <c r="C425">
        <v>19</v>
      </c>
      <c r="D425" t="s">
        <v>119</v>
      </c>
      <c r="E425" t="s">
        <v>111</v>
      </c>
      <c r="F425" t="s">
        <v>95</v>
      </c>
      <c r="G425">
        <v>0.108791637869777</v>
      </c>
      <c r="H425">
        <v>0</v>
      </c>
      <c r="I425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30</v>
      </c>
      <c r="K425" s="5" cm="1">
        <f t="array" ref="K425">IFERROR(AVERAGE(IF((OutputTable[GroupByKey]=OutputTable[[#This Row],[GroupByKey]]),(OutputTable[GroupByKey]=OutputTable[[#This Row],[GroupByKey]])*OutputTable[RecordedValue])),0)</f>
        <v>9.2629789222133899E-2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1.1199993404883948E-2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425" s="5" cm="1">
        <f t="array" ref="O425">MIN(IF((OutputTable[GroupByKey]=OutputTable[[#This Row],[GroupByKey]]),(OutputTable[GroupByKey]=OutputTable[[#This Row],[GroupByKey]])*OutputTable[RecordedValue]))</f>
        <v>7.4778736536586704E-2</v>
      </c>
      <c r="P425" s="5" cm="1">
        <f t="array" ref="P425">MAX(IF((OutputTable[GroupByKey]=OutputTable[[#This Row],[GroupByKey]]),(OutputTable[GroupByKey]=OutputTable[[#This Row],[GroupByKey]])*OutputTable[RecordedValue]))</f>
        <v>0.111025455742452</v>
      </c>
    </row>
    <row r="426" spans="1:16" x14ac:dyDescent="0.3">
      <c r="A426" t="s">
        <v>66</v>
      </c>
      <c r="B426" t="s">
        <v>68</v>
      </c>
      <c r="C426">
        <v>19</v>
      </c>
      <c r="D426" t="s">
        <v>120</v>
      </c>
      <c r="E426" t="s">
        <v>121</v>
      </c>
      <c r="F426" t="s">
        <v>122</v>
      </c>
      <c r="G426">
        <v>140</v>
      </c>
      <c r="H426">
        <v>0</v>
      </c>
      <c r="I426" s="5" t="str">
        <f>OutputTable[[#This Row],[ProjectName]]&amp;OutputTable[[#This Row],[Name]]&amp;OutputTable[[#This Row],[Type]]&amp;OutputTable[[#This Row],[Source]]</f>
        <v>Unnamed ProjectSystem.NumberOutNumber OutSystem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30</v>
      </c>
      <c r="K426" s="5" cm="1">
        <f t="array" ref="K426">IFERROR(AVERAGE(IF((OutputTable[GroupByKey]=OutputTable[[#This Row],[GroupByKey]]),(OutputTable[GroupByKey]=OutputTable[[#This Row],[GroupByKey]])*OutputTable[RecordedValue])),0)</f>
        <v>138.66666666666666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10.59386072484773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426" s="5" cm="1">
        <f t="array" ref="O426">MIN(IF((OutputTable[GroupByKey]=OutputTable[[#This Row],[GroupByKey]]),(OutputTable[GroupByKey]=OutputTable[[#This Row],[GroupByKey]])*OutputTable[RecordedValue]))</f>
        <v>122</v>
      </c>
      <c r="P426" s="5" cm="1">
        <f t="array" ref="P426">MAX(IF((OutputTable[GroupByKey]=OutputTable[[#This Row],[GroupByKey]]),(OutputTable[GroupByKey]=OutputTable[[#This Row],[GroupByKey]])*OutputTable[RecordedValue]))</f>
        <v>158</v>
      </c>
    </row>
    <row r="427" spans="1:16" x14ac:dyDescent="0.3">
      <c r="A427" t="s">
        <v>66</v>
      </c>
      <c r="B427" t="s">
        <v>68</v>
      </c>
      <c r="C427">
        <v>19</v>
      </c>
      <c r="D427" t="s">
        <v>123</v>
      </c>
      <c r="E427" t="s">
        <v>109</v>
      </c>
      <c r="F427" t="s">
        <v>95</v>
      </c>
      <c r="G427">
        <v>331</v>
      </c>
      <c r="H427">
        <v>0</v>
      </c>
      <c r="I427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30</v>
      </c>
      <c r="K427" s="5" cm="1">
        <f t="array" ref="K427">IFERROR(AVERAGE(IF((OutputTable[GroupByKey]=OutputTable[[#This Row],[GroupByKey]]),(OutputTable[GroupByKey]=OutputTable[[#This Row],[GroupByKey]])*OutputTable[RecordedValue])),0)</f>
        <v>324.63333333333333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23.733409208195905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427" s="5" cm="1">
        <f t="array" ref="O427">MIN(IF((OutputTable[GroupByKey]=OutputTable[[#This Row],[GroupByKey]]),(OutputTable[GroupByKey]=OutputTable[[#This Row],[GroupByKey]])*OutputTable[RecordedValue]))</f>
        <v>276</v>
      </c>
      <c r="P427" s="5" cm="1">
        <f t="array" ref="P427">MAX(IF((OutputTable[GroupByKey]=OutputTable[[#This Row],[GroupByKey]]),(OutputTable[GroupByKey]=OutputTable[[#This Row],[GroupByKey]])*OutputTable[RecordedValue]))</f>
        <v>370</v>
      </c>
    </row>
    <row r="428" spans="1:16" x14ac:dyDescent="0.3">
      <c r="A428" t="s">
        <v>66</v>
      </c>
      <c r="B428" t="s">
        <v>68</v>
      </c>
      <c r="C428">
        <v>19</v>
      </c>
      <c r="D428" t="s">
        <v>124</v>
      </c>
      <c r="E428" t="s">
        <v>111</v>
      </c>
      <c r="F428" t="s">
        <v>95</v>
      </c>
      <c r="G428">
        <v>0.80040911286371497</v>
      </c>
      <c r="H428">
        <v>0</v>
      </c>
      <c r="I428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30</v>
      </c>
      <c r="K428" s="5" cm="1">
        <f t="array" ref="K428">IFERROR(AVERAGE(IF((OutputTable[GroupByKey]=OutputTable[[#This Row],[GroupByKey]]),(OutputTable[GroupByKey]=OutputTable[[#This Row],[GroupByKey]])*OutputTable[RecordedValue])),0)</f>
        <v>0.78890367752589419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5.7743599319329868E-2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428" s="5" cm="1">
        <f t="array" ref="O428">MIN(IF((OutputTable[GroupByKey]=OutputTable[[#This Row],[GroupByKey]]),(OutputTable[GroupByKey]=OutputTable[[#This Row],[GroupByKey]])*OutputTable[RecordedValue]))</f>
        <v>0.68630817725209003</v>
      </c>
      <c r="P428" s="5" cm="1">
        <f t="array" ref="P428">MAX(IF((OutputTable[GroupByKey]=OutputTable[[#This Row],[GroupByKey]]),(OutputTable[GroupByKey]=OutputTable[[#This Row],[GroupByKey]])*OutputTable[RecordedValue]))</f>
        <v>0.89844569749382897</v>
      </c>
    </row>
    <row r="429" spans="1:16" x14ac:dyDescent="0.3">
      <c r="A429" t="s">
        <v>66</v>
      </c>
      <c r="B429" t="s">
        <v>68</v>
      </c>
      <c r="C429">
        <v>19</v>
      </c>
      <c r="D429" t="s">
        <v>125</v>
      </c>
      <c r="E429" t="s">
        <v>126</v>
      </c>
      <c r="F429" t="s">
        <v>86</v>
      </c>
      <c r="G429">
        <v>198</v>
      </c>
      <c r="H429">
        <v>0</v>
      </c>
      <c r="I429" s="5" t="str">
        <f>OutputTable[[#This Row],[ProjectName]]&amp;OutputTable[[#This Row],[Name]]&amp;OutputTable[[#This Row],[Type]]&amp;OutputTable[[#This Row],[Source]]</f>
        <v>Unnamed ProjectVisitantes.NumberInNumber InEntity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30</v>
      </c>
      <c r="K429" s="5" cm="1">
        <f t="array" ref="K429">IFERROR(AVERAGE(IF((OutputTable[GroupByKey]=OutputTable[[#This Row],[GroupByKey]]),(OutputTable[GroupByKey]=OutputTable[[#This Row],[GroupByKey]])*OutputTable[RecordedValue])),0)</f>
        <v>194.43333333333334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19.567184586538712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429" s="5" cm="1">
        <f t="array" ref="O429">MIN(IF((OutputTable[GroupByKey]=OutputTable[[#This Row],[GroupByKey]]),(OutputTable[GroupByKey]=OutputTable[[#This Row],[GroupByKey]])*OutputTable[RecordedValue]))</f>
        <v>158</v>
      </c>
      <c r="P429" s="5" cm="1">
        <f t="array" ref="P429">MAX(IF((OutputTable[GroupByKey]=OutputTable[[#This Row],[GroupByKey]]),(OutputTable[GroupByKey]=OutputTable[[#This Row],[GroupByKey]])*OutputTable[RecordedValue]))</f>
        <v>255</v>
      </c>
    </row>
    <row r="430" spans="1:16" x14ac:dyDescent="0.3">
      <c r="A430" t="s">
        <v>66</v>
      </c>
      <c r="B430" t="s">
        <v>68</v>
      </c>
      <c r="C430">
        <v>19</v>
      </c>
      <c r="D430" t="s">
        <v>127</v>
      </c>
      <c r="E430" t="s">
        <v>121</v>
      </c>
      <c r="F430" t="s">
        <v>86</v>
      </c>
      <c r="G430">
        <v>140</v>
      </c>
      <c r="H430">
        <v>0</v>
      </c>
      <c r="I430" s="5" t="str">
        <f>OutputTable[[#This Row],[ProjectName]]&amp;OutputTable[[#This Row],[Name]]&amp;OutputTable[[#This Row],[Type]]&amp;OutputTable[[#This Row],[Source]]</f>
        <v>Unnamed ProjectVisitantes.NumberOutNumber OutEntity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30</v>
      </c>
      <c r="K430" s="5" cm="1">
        <f t="array" ref="K430">IFERROR(AVERAGE(IF((OutputTable[GroupByKey]=OutputTable[[#This Row],[GroupByKey]]),(OutputTable[GroupByKey]=OutputTable[[#This Row],[GroupByKey]])*OutputTable[RecordedValue])),0)</f>
        <v>138.66666666666666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10.59386072484773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430" s="5" cm="1">
        <f t="array" ref="O430">MIN(IF((OutputTable[GroupByKey]=OutputTable[[#This Row],[GroupByKey]]),(OutputTable[GroupByKey]=OutputTable[[#This Row],[GroupByKey]])*OutputTable[RecordedValue]))</f>
        <v>122</v>
      </c>
      <c r="P430" s="5" cm="1">
        <f t="array" ref="P430">MAX(IF((OutputTable[GroupByKey]=OutputTable[[#This Row],[GroupByKey]]),(OutputTable[GroupByKey]=OutputTable[[#This Row],[GroupByKey]])*OutputTable[RecordedValue]))</f>
        <v>158</v>
      </c>
    </row>
    <row r="431" spans="1:16" x14ac:dyDescent="0.3">
      <c r="A431" t="s">
        <v>66</v>
      </c>
      <c r="B431" t="s">
        <v>68</v>
      </c>
      <c r="C431">
        <v>19</v>
      </c>
      <c r="D431" t="s">
        <v>128</v>
      </c>
      <c r="E431" t="s">
        <v>109</v>
      </c>
      <c r="F431" t="s">
        <v>95</v>
      </c>
      <c r="G431">
        <v>0</v>
      </c>
      <c r="H431">
        <v>0</v>
      </c>
      <c r="I431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30</v>
      </c>
      <c r="K431" s="5" cm="1">
        <f t="array" ref="K431">IFERROR(AVERAGE(IF((OutputTable[GroupByKey]=OutputTable[[#This Row],[GroupByKey]]),(OutputTable[GroupByKey]=OutputTable[[#This Row],[GroupByKey]])*OutputTable[RecordedValue])),0)</f>
        <v>0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0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1" s="5" cm="1">
        <f t="array" ref="O431">MIN(IF((OutputTable[GroupByKey]=OutputTable[[#This Row],[GroupByKey]]),(OutputTable[GroupByKey]=OutputTable[[#This Row],[GroupByKey]])*OutputTable[RecordedValue]))</f>
        <v>0</v>
      </c>
      <c r="P431" s="5" cm="1">
        <f t="array" ref="P431">MAX(IF((OutputTable[GroupByKey]=OutputTable[[#This Row],[GroupByKey]]),(OutputTable[GroupByKey]=OutputTable[[#This Row],[GroupByKey]])*OutputTable[RecordedValue]))</f>
        <v>0</v>
      </c>
    </row>
    <row r="432" spans="1:16" x14ac:dyDescent="0.3">
      <c r="A432" t="s">
        <v>66</v>
      </c>
      <c r="B432" t="s">
        <v>68</v>
      </c>
      <c r="C432">
        <v>19</v>
      </c>
      <c r="D432" t="s">
        <v>129</v>
      </c>
      <c r="E432" t="s">
        <v>111</v>
      </c>
      <c r="F432" t="s">
        <v>95</v>
      </c>
      <c r="G432">
        <v>0</v>
      </c>
      <c r="H432">
        <v>0</v>
      </c>
      <c r="I432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30</v>
      </c>
      <c r="K432" s="5" cm="1">
        <f t="array" ref="K432">IFERROR(AVERAGE(IF((OutputTable[GroupByKey]=OutputTable[[#This Row],[GroupByKey]]),(OutputTable[GroupByKey]=OutputTable[[#This Row],[GroupByKey]])*OutputTable[RecordedValue])),0)</f>
        <v>0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0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2" s="5" cm="1">
        <f t="array" ref="O432">MIN(IF((OutputTable[GroupByKey]=OutputTable[[#This Row],[GroupByKey]]),(OutputTable[GroupByKey]=OutputTable[[#This Row],[GroupByKey]])*OutputTable[RecordedValue]))</f>
        <v>0</v>
      </c>
      <c r="P432" s="5" cm="1">
        <f t="array" ref="P432">MAX(IF((OutputTable[GroupByKey]=OutputTable[[#This Row],[GroupByKey]]),(OutputTable[GroupByKey]=OutputTable[[#This Row],[GroupByKey]])*OutputTable[RecordedValue]))</f>
        <v>0</v>
      </c>
    </row>
    <row r="433" spans="1:16" x14ac:dyDescent="0.3">
      <c r="A433" t="s">
        <v>66</v>
      </c>
      <c r="B433" t="s">
        <v>68</v>
      </c>
      <c r="C433">
        <v>19</v>
      </c>
      <c r="D433" t="s">
        <v>130</v>
      </c>
      <c r="E433" t="s">
        <v>109</v>
      </c>
      <c r="F433" t="s">
        <v>95</v>
      </c>
      <c r="G433">
        <v>97</v>
      </c>
      <c r="H433">
        <v>0</v>
      </c>
      <c r="I433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30</v>
      </c>
      <c r="K433" s="5" cm="1">
        <f t="array" ref="K433">IFERROR(AVERAGE(IF((OutputTable[GroupByKey]=OutputTable[[#This Row],[GroupByKey]]),(OutputTable[GroupByKey]=OutputTable[[#This Row],[GroupByKey]])*OutputTable[RecordedValue])),0)</f>
        <v>99.666666666666671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11.021400290698853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433" s="5" cm="1">
        <f t="array" ref="O433">MIN(IF((OutputTable[GroupByKey]=OutputTable[[#This Row],[GroupByKey]]),(OutputTable[GroupByKey]=OutputTable[[#This Row],[GroupByKey]])*OutputTable[RecordedValue]))</f>
        <v>84</v>
      </c>
      <c r="P433" s="5" cm="1">
        <f t="array" ref="P433">MAX(IF((OutputTable[GroupByKey]=OutputTable[[#This Row],[GroupByKey]]),(OutputTable[GroupByKey]=OutputTable[[#This Row],[GroupByKey]])*OutputTable[RecordedValue]))</f>
        <v>133</v>
      </c>
    </row>
    <row r="434" spans="1:16" x14ac:dyDescent="0.3">
      <c r="A434" t="s">
        <v>66</v>
      </c>
      <c r="B434" t="s">
        <v>68</v>
      </c>
      <c r="C434">
        <v>19</v>
      </c>
      <c r="D434" t="s">
        <v>131</v>
      </c>
      <c r="E434" t="s">
        <v>111</v>
      </c>
      <c r="F434" t="s">
        <v>95</v>
      </c>
      <c r="G434">
        <v>0.82661481805995896</v>
      </c>
      <c r="H434">
        <v>0</v>
      </c>
      <c r="I434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30</v>
      </c>
      <c r="K434" s="5" cm="1">
        <f t="array" ref="K434">IFERROR(AVERAGE(IF((OutputTable[GroupByKey]=OutputTable[[#This Row],[GroupByKey]]),(OutputTable[GroupByKey]=OutputTable[[#This Row],[GroupByKey]])*OutputTable[RecordedValue])),0)</f>
        <v>0.81099663999028448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0.1069626954834289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434" s="5" cm="1">
        <f t="array" ref="O434">MIN(IF((OutputTable[GroupByKey]=OutputTable[[#This Row],[GroupByKey]]),(OutputTable[GroupByKey]=OutputTable[[#This Row],[GroupByKey]])*OutputTable[RecordedValue]))</f>
        <v>0.634589476164233</v>
      </c>
      <c r="P434" s="5" cm="1">
        <f t="array" ref="P434">MAX(IF((OutputTable[GroupByKey]=OutputTable[[#This Row],[GroupByKey]]),(OutputTable[GroupByKey]=OutputTable[[#This Row],[GroupByKey]])*OutputTable[RecordedValue]))</f>
        <v>0.99383259650362799</v>
      </c>
    </row>
    <row r="435" spans="1:16" x14ac:dyDescent="0.3">
      <c r="A435" t="s">
        <v>66</v>
      </c>
      <c r="B435" t="s">
        <v>68</v>
      </c>
      <c r="C435">
        <v>19</v>
      </c>
      <c r="D435" t="s">
        <v>132</v>
      </c>
      <c r="E435" t="s">
        <v>109</v>
      </c>
      <c r="F435" t="s">
        <v>95</v>
      </c>
      <c r="G435">
        <v>62</v>
      </c>
      <c r="H435">
        <v>0</v>
      </c>
      <c r="I435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30</v>
      </c>
      <c r="K435" s="5" cm="1">
        <f t="array" ref="K435">IFERROR(AVERAGE(IF((OutputTable[GroupByKey]=OutputTable[[#This Row],[GroupByKey]]),(OutputTable[GroupByKey]=OutputTable[[#This Row],[GroupByKey]])*OutputTable[RecordedValue])),0)</f>
        <v>51.966666666666669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7.0636677653220881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435" s="5" cm="1">
        <f t="array" ref="O435">MIN(IF((OutputTable[GroupByKey]=OutputTable[[#This Row],[GroupByKey]]),(OutputTable[GroupByKey]=OutputTable[[#This Row],[GroupByKey]])*OutputTable[RecordedValue]))</f>
        <v>40</v>
      </c>
      <c r="P435" s="5" cm="1">
        <f t="array" ref="P435">MAX(IF((OutputTable[GroupByKey]=OutputTable[[#This Row],[GroupByKey]]),(OutputTable[GroupByKey]=OutputTable[[#This Row],[GroupByKey]])*OutputTable[RecordedValue]))</f>
        <v>70</v>
      </c>
    </row>
    <row r="436" spans="1:16" x14ac:dyDescent="0.3">
      <c r="A436" t="s">
        <v>66</v>
      </c>
      <c r="B436" t="s">
        <v>68</v>
      </c>
      <c r="C436">
        <v>19</v>
      </c>
      <c r="D436" t="s">
        <v>133</v>
      </c>
      <c r="E436" t="s">
        <v>111</v>
      </c>
      <c r="F436" t="s">
        <v>95</v>
      </c>
      <c r="G436">
        <v>0.83593383929965304</v>
      </c>
      <c r="H436">
        <v>0</v>
      </c>
      <c r="I436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30</v>
      </c>
      <c r="K436" s="5" cm="1">
        <f t="array" ref="K436">IFERROR(AVERAGE(IF((OutputTable[GroupByKey]=OutputTable[[#This Row],[GroupByKey]]),(OutputTable[GroupByKey]=OutputTable[[#This Row],[GroupByKey]])*OutputTable[RecordedValue])),0)</f>
        <v>0.86404173385398308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7.7429091138254261E-2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436" s="5" cm="1">
        <f t="array" ref="O436">MIN(IF((OutputTable[GroupByKey]=OutputTable[[#This Row],[GroupByKey]]),(OutputTable[GroupByKey]=OutputTable[[#This Row],[GroupByKey]])*OutputTable[RecordedValue]))</f>
        <v>0.74061105631083801</v>
      </c>
      <c r="P436" s="5" cm="1">
        <f t="array" ref="P436">MAX(IF((OutputTable[GroupByKey]=OutputTable[[#This Row],[GroupByKey]]),(OutputTable[GroupByKey]=OutputTable[[#This Row],[GroupByKey]])*OutputTable[RecordedValue]))</f>
        <v>0.99245161744166299</v>
      </c>
    </row>
    <row r="437" spans="1:16" x14ac:dyDescent="0.3">
      <c r="A437" t="s">
        <v>66</v>
      </c>
      <c r="B437" t="s">
        <v>68</v>
      </c>
      <c r="C437">
        <v>19</v>
      </c>
      <c r="D437" t="s">
        <v>134</v>
      </c>
      <c r="E437" t="s">
        <v>109</v>
      </c>
      <c r="F437" t="s">
        <v>95</v>
      </c>
      <c r="G437">
        <v>34</v>
      </c>
      <c r="H437">
        <v>0</v>
      </c>
      <c r="I437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30</v>
      </c>
      <c r="K437" s="5" cm="1">
        <f t="array" ref="K437">IFERROR(AVERAGE(IF((OutputTable[GroupByKey]=OutputTable[[#This Row],[GroupByKey]]),(OutputTable[GroupByKey]=OutputTable[[#This Row],[GroupByKey]])*OutputTable[RecordedValue])),0)</f>
        <v>36.233333333333334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4.775536318198915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437" s="5" cm="1">
        <f t="array" ref="O437">MIN(IF((OutputTable[GroupByKey]=OutputTable[[#This Row],[GroupByKey]]),(OutputTable[GroupByKey]=OutputTable[[#This Row],[GroupByKey]])*OutputTable[RecordedValue]))</f>
        <v>28</v>
      </c>
      <c r="P437" s="5" cm="1">
        <f t="array" ref="P437">MAX(IF((OutputTable[GroupByKey]=OutputTable[[#This Row],[GroupByKey]]),(OutputTable[GroupByKey]=OutputTable[[#This Row],[GroupByKey]])*OutputTable[RecordedValue]))</f>
        <v>48</v>
      </c>
    </row>
    <row r="438" spans="1:16" x14ac:dyDescent="0.3">
      <c r="A438" t="s">
        <v>66</v>
      </c>
      <c r="B438" t="s">
        <v>68</v>
      </c>
      <c r="C438">
        <v>19</v>
      </c>
      <c r="D438" t="s">
        <v>135</v>
      </c>
      <c r="E438" t="s">
        <v>111</v>
      </c>
      <c r="F438" t="s">
        <v>95</v>
      </c>
      <c r="G438">
        <v>0.89578446286764302</v>
      </c>
      <c r="H438">
        <v>0</v>
      </c>
      <c r="I438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30</v>
      </c>
      <c r="K438" s="5" cm="1">
        <f t="array" ref="K438">IFERROR(AVERAGE(IF((OutputTable[GroupByKey]=OutputTable[[#This Row],[GroupByKey]]),(OutputTable[GroupByKey]=OutputTable[[#This Row],[GroupByKey]])*OutputTable[RecordedValue])),0)</f>
        <v>0.88098039877461687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6.9783648638161486E-2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438" s="5" cm="1">
        <f t="array" ref="O438">MIN(IF((OutputTable[GroupByKey]=OutputTable[[#This Row],[GroupByKey]]),(OutputTable[GroupByKey]=OutputTable[[#This Row],[GroupByKey]])*OutputTable[RecordedValue]))</f>
        <v>0.73843386001690303</v>
      </c>
      <c r="P438" s="5" cm="1">
        <f t="array" ref="P438">MAX(IF((OutputTable[GroupByKey]=OutputTable[[#This Row],[GroupByKey]]),(OutputTable[GroupByKey]=OutputTable[[#This Row],[GroupByKey]])*OutputTable[RecordedValue]))</f>
        <v>0.99245161744166299</v>
      </c>
    </row>
    <row r="439" spans="1:16" x14ac:dyDescent="0.3">
      <c r="A439" t="s">
        <v>66</v>
      </c>
      <c r="B439" t="s">
        <v>68</v>
      </c>
      <c r="C439">
        <v>20</v>
      </c>
      <c r="D439" t="s">
        <v>108</v>
      </c>
      <c r="E439" t="s">
        <v>109</v>
      </c>
      <c r="F439" t="s">
        <v>95</v>
      </c>
      <c r="G439">
        <v>43</v>
      </c>
      <c r="H439">
        <v>0</v>
      </c>
      <c r="I439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30</v>
      </c>
      <c r="K439" s="5" cm="1">
        <f t="array" ref="K439">IFERROR(AVERAGE(IF((OutputTable[GroupByKey]=OutputTable[[#This Row],[GroupByKey]]),(OutputTable[GroupByKey]=OutputTable[[#This Row],[GroupByKey]])*OutputTable[RecordedValue])),0)</f>
        <v>34.633333333333333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6.3326375903390151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439" s="5" cm="1">
        <f t="array" ref="O439">MIN(IF((OutputTable[GroupByKey]=OutputTable[[#This Row],[GroupByKey]]),(OutputTable[GroupByKey]=OutputTable[[#This Row],[GroupByKey]])*OutputTable[RecordedValue]))</f>
        <v>24</v>
      </c>
      <c r="P439" s="5" cm="1">
        <f t="array" ref="P439">MAX(IF((OutputTable[GroupByKey]=OutputTable[[#This Row],[GroupByKey]]),(OutputTable[GroupByKey]=OutputTable[[#This Row],[GroupByKey]])*OutputTable[RecordedValue]))</f>
        <v>47</v>
      </c>
    </row>
    <row r="440" spans="1:16" x14ac:dyDescent="0.3">
      <c r="A440" t="s">
        <v>66</v>
      </c>
      <c r="B440" t="s">
        <v>68</v>
      </c>
      <c r="C440">
        <v>20</v>
      </c>
      <c r="D440" t="s">
        <v>110</v>
      </c>
      <c r="E440" t="s">
        <v>111</v>
      </c>
      <c r="F440" t="s">
        <v>95</v>
      </c>
      <c r="G440">
        <v>4.4659738635868598E-2</v>
      </c>
      <c r="H440">
        <v>0</v>
      </c>
      <c r="I440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30</v>
      </c>
      <c r="K440" s="5" cm="1">
        <f t="array" ref="K440">IFERROR(AVERAGE(IF((OutputTable[GroupByKey]=OutputTable[[#This Row],[GroupByKey]]),(OutputTable[GroupByKey]=OutputTable[[#This Row],[GroupByKey]])*OutputTable[RecordedValue])),0)</f>
        <v>3.5359789427834361E-2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6.6521615975834569E-3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440" s="5" cm="1">
        <f t="array" ref="O440">MIN(IF((OutputTable[GroupByKey]=OutputTable[[#This Row],[GroupByKey]]),(OutputTable[GroupByKey]=OutputTable[[#This Row],[GroupByKey]])*OutputTable[RecordedValue]))</f>
        <v>2.3718114155243601E-2</v>
      </c>
      <c r="P440" s="5" cm="1">
        <f t="array" ref="P440">MAX(IF((OutputTable[GroupByKey]=OutputTable[[#This Row],[GroupByKey]]),(OutputTable[GroupByKey]=OutputTable[[#This Row],[GroupByKey]])*OutputTable[RecordedValue]))</f>
        <v>4.8583931724403701E-2</v>
      </c>
    </row>
    <row r="441" spans="1:16" x14ac:dyDescent="0.3">
      <c r="A441" t="s">
        <v>66</v>
      </c>
      <c r="B441" t="s">
        <v>68</v>
      </c>
      <c r="C441">
        <v>20</v>
      </c>
      <c r="D441" t="s">
        <v>112</v>
      </c>
      <c r="E441" t="s">
        <v>109</v>
      </c>
      <c r="F441" t="s">
        <v>95</v>
      </c>
      <c r="G441">
        <v>119</v>
      </c>
      <c r="H441">
        <v>0</v>
      </c>
      <c r="I441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30</v>
      </c>
      <c r="K441" s="5" cm="1">
        <f t="array" ref="K441">IFERROR(AVERAGE(IF((OutputTable[GroupByKey]=OutputTable[[#This Row],[GroupByKey]]),(OutputTable[GroupByKey]=OutputTable[[#This Row],[GroupByKey]])*OutputTable[RecordedValue])),0)</f>
        <v>105.13333333333334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9.9020490158675578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441" s="5" cm="1">
        <f t="array" ref="O441">MIN(IF((OutputTable[GroupByKey]=OutputTable[[#This Row],[GroupByKey]]),(OutputTable[GroupByKey]=OutputTable[[#This Row],[GroupByKey]])*OutputTable[RecordedValue]))</f>
        <v>90</v>
      </c>
      <c r="P441" s="5" cm="1">
        <f t="array" ref="P441">MAX(IF((OutputTable[GroupByKey]=OutputTable[[#This Row],[GroupByKey]]),(OutputTable[GroupByKey]=OutputTable[[#This Row],[GroupByKey]])*OutputTable[RecordedValue]))</f>
        <v>120</v>
      </c>
    </row>
    <row r="442" spans="1:16" x14ac:dyDescent="0.3">
      <c r="A442" t="s">
        <v>66</v>
      </c>
      <c r="B442" t="s">
        <v>68</v>
      </c>
      <c r="C442">
        <v>20</v>
      </c>
      <c r="D442" t="s">
        <v>113</v>
      </c>
      <c r="E442" t="s">
        <v>111</v>
      </c>
      <c r="F442" t="s">
        <v>95</v>
      </c>
      <c r="G442">
        <v>0.283824198675041</v>
      </c>
      <c r="H442">
        <v>0</v>
      </c>
      <c r="I442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30</v>
      </c>
      <c r="K442" s="5" cm="1">
        <f t="array" ref="K442">IFERROR(AVERAGE(IF((OutputTable[GroupByKey]=OutputTable[[#This Row],[GroupByKey]]),(OutputTable[GroupByKey]=OutputTable[[#This Row],[GroupByKey]])*OutputTable[RecordedValue])),0)</f>
        <v>0.24658598119222253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2.3372241503878202E-2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442" s="5" cm="1">
        <f t="array" ref="O442">MIN(IF((OutputTable[GroupByKey]=OutputTable[[#This Row],[GroupByKey]]),(OutputTable[GroupByKey]=OutputTable[[#This Row],[GroupByKey]])*OutputTable[RecordedValue]))</f>
        <v>0.20767736113278101</v>
      </c>
      <c r="P442" s="5" cm="1">
        <f t="array" ref="P442">MAX(IF((OutputTable[GroupByKey]=OutputTable[[#This Row],[GroupByKey]]),(OutputTable[GroupByKey]=OutputTable[[#This Row],[GroupByKey]])*OutputTable[RecordedValue]))</f>
        <v>0.28501162927715601</v>
      </c>
    </row>
    <row r="443" spans="1:16" x14ac:dyDescent="0.3">
      <c r="A443" t="s">
        <v>66</v>
      </c>
      <c r="B443" t="s">
        <v>68</v>
      </c>
      <c r="C443">
        <v>20</v>
      </c>
      <c r="D443" t="s">
        <v>114</v>
      </c>
      <c r="E443" t="s">
        <v>109</v>
      </c>
      <c r="F443" t="s">
        <v>95</v>
      </c>
      <c r="G443">
        <v>142</v>
      </c>
      <c r="H443">
        <v>0</v>
      </c>
      <c r="I443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30</v>
      </c>
      <c r="K443" s="5" cm="1">
        <f t="array" ref="K443">IFERROR(AVERAGE(IF((OutputTable[GroupByKey]=OutputTable[[#This Row],[GroupByKey]]),(OutputTable[GroupByKey]=OutputTable[[#This Row],[GroupByKey]])*OutputTable[RecordedValue])),0)</f>
        <v>130.19999999999999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9.6932255049418501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443" s="5" cm="1">
        <f t="array" ref="O443">MIN(IF((OutputTable[GroupByKey]=OutputTable[[#This Row],[GroupByKey]]),(OutputTable[GroupByKey]=OutputTable[[#This Row],[GroupByKey]])*OutputTable[RecordedValue]))</f>
        <v>112</v>
      </c>
      <c r="P443" s="5" cm="1">
        <f t="array" ref="P443">MAX(IF((OutputTable[GroupByKey]=OutputTable[[#This Row],[GroupByKey]]),(OutputTable[GroupByKey]=OutputTable[[#This Row],[GroupByKey]])*OutputTable[RecordedValue]))</f>
        <v>150</v>
      </c>
    </row>
    <row r="444" spans="1:16" x14ac:dyDescent="0.3">
      <c r="A444" t="s">
        <v>66</v>
      </c>
      <c r="B444" t="s">
        <v>68</v>
      </c>
      <c r="C444">
        <v>20</v>
      </c>
      <c r="D444" t="s">
        <v>115</v>
      </c>
      <c r="E444" t="s">
        <v>111</v>
      </c>
      <c r="F444" t="s">
        <v>95</v>
      </c>
      <c r="G444">
        <v>0.65467684903063195</v>
      </c>
      <c r="H444">
        <v>0</v>
      </c>
      <c r="I444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30</v>
      </c>
      <c r="K444" s="5" cm="1">
        <f t="array" ref="K444">IFERROR(AVERAGE(IF((OutputTable[GroupByKey]=OutputTable[[#This Row],[GroupByKey]]),(OutputTable[GroupByKey]=OutputTable[[#This Row],[GroupByKey]])*OutputTable[RecordedValue])),0)</f>
        <v>0.61071636647106653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4.8363406640152928E-2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444" s="5" cm="1">
        <f t="array" ref="O444">MIN(IF((OutputTable[GroupByKey]=OutputTable[[#This Row],[GroupByKey]]),(OutputTable[GroupByKey]=OutputTable[[#This Row],[GroupByKey]])*OutputTable[RecordedValue]))</f>
        <v>0.517215348442703</v>
      </c>
      <c r="P444" s="5" cm="1">
        <f t="array" ref="P444">MAX(IF((OutputTable[GroupByKey]=OutputTable[[#This Row],[GroupByKey]]),(OutputTable[GroupByKey]=OutputTable[[#This Row],[GroupByKey]])*OutputTable[RecordedValue]))</f>
        <v>0.67770389283754395</v>
      </c>
    </row>
    <row r="445" spans="1:16" x14ac:dyDescent="0.3">
      <c r="A445" t="s">
        <v>66</v>
      </c>
      <c r="B445" t="s">
        <v>68</v>
      </c>
      <c r="C445">
        <v>20</v>
      </c>
      <c r="D445" t="s">
        <v>116</v>
      </c>
      <c r="E445" t="s">
        <v>109</v>
      </c>
      <c r="F445" t="s">
        <v>95</v>
      </c>
      <c r="G445">
        <v>403</v>
      </c>
      <c r="H445">
        <v>0</v>
      </c>
      <c r="I445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30</v>
      </c>
      <c r="K445" s="5" cm="1">
        <f t="array" ref="K445">IFERROR(AVERAGE(IF((OutputTable[GroupByKey]=OutputTable[[#This Row],[GroupByKey]]),(OutputTable[GroupByKey]=OutputTable[[#This Row],[GroupByKey]])*OutputTable[RecordedValue])),0)</f>
        <v>366.5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27.998460548813185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445" s="5" cm="1">
        <f t="array" ref="O445">MIN(IF((OutputTable[GroupByKey]=OutputTable[[#This Row],[GroupByKey]]),(OutputTable[GroupByKey]=OutputTable[[#This Row],[GroupByKey]])*OutputTable[RecordedValue]))</f>
        <v>308</v>
      </c>
      <c r="P445" s="5" cm="1">
        <f t="array" ref="P445">MAX(IF((OutputTable[GroupByKey]=OutputTable[[#This Row],[GroupByKey]]),(OutputTable[GroupByKey]=OutputTable[[#This Row],[GroupByKey]])*OutputTable[RecordedValue]))</f>
        <v>415</v>
      </c>
    </row>
    <row r="446" spans="1:16" x14ac:dyDescent="0.3">
      <c r="A446" t="s">
        <v>66</v>
      </c>
      <c r="B446" t="s">
        <v>68</v>
      </c>
      <c r="C446">
        <v>20</v>
      </c>
      <c r="D446" t="s">
        <v>117</v>
      </c>
      <c r="E446" t="s">
        <v>111</v>
      </c>
      <c r="F446" t="s">
        <v>95</v>
      </c>
      <c r="G446">
        <v>0.18742276074689301</v>
      </c>
      <c r="H446">
        <v>0</v>
      </c>
      <c r="I446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30</v>
      </c>
      <c r="K446" s="5" cm="1">
        <f t="array" ref="K446">IFERROR(AVERAGE(IF((OutputTable[GroupByKey]=OutputTable[[#This Row],[GroupByKey]]),(OutputTable[GroupByKey]=OutputTable[[#This Row],[GroupByKey]])*OutputTable[RecordedValue])),0)</f>
        <v>0.17017204824235124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1.331368412630852E-2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446" s="5" cm="1">
        <f t="array" ref="O446">MIN(IF((OutputTable[GroupByKey]=OutputTable[[#This Row],[GroupByKey]]),(OutputTable[GroupByKey]=OutputTable[[#This Row],[GroupByKey]])*OutputTable[RecordedValue]))</f>
        <v>0.14484829778125299</v>
      </c>
      <c r="P446" s="5" cm="1">
        <f t="array" ref="P446">MAX(IF((OutputTable[GroupByKey]=OutputTable[[#This Row],[GroupByKey]]),(OutputTable[GroupByKey]=OutputTable[[#This Row],[GroupByKey]])*OutputTable[RecordedValue]))</f>
        <v>0.19609322315655101</v>
      </c>
    </row>
    <row r="447" spans="1:16" x14ac:dyDescent="0.3">
      <c r="A447" t="s">
        <v>66</v>
      </c>
      <c r="B447" t="s">
        <v>68</v>
      </c>
      <c r="C447">
        <v>20</v>
      </c>
      <c r="D447" t="s">
        <v>118</v>
      </c>
      <c r="E447" t="s">
        <v>109</v>
      </c>
      <c r="F447" t="s">
        <v>95</v>
      </c>
      <c r="G447">
        <v>76</v>
      </c>
      <c r="H447">
        <v>0</v>
      </c>
      <c r="I447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30</v>
      </c>
      <c r="K447" s="5" cm="1">
        <f t="array" ref="K447">IFERROR(AVERAGE(IF((OutputTable[GroupByKey]=OutputTable[[#This Row],[GroupByKey]]),(OutputTable[GroupByKey]=OutputTable[[#This Row],[GroupByKey]])*OutputTable[RecordedValue])),0)</f>
        <v>67.599999999999994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8.2277914244430335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447" s="5" cm="1">
        <f t="array" ref="O447">MIN(IF((OutputTable[GroupByKey]=OutputTable[[#This Row],[GroupByKey]]),(OutputTable[GroupByKey]=OutputTable[[#This Row],[GroupByKey]])*OutputTable[RecordedValue]))</f>
        <v>53</v>
      </c>
      <c r="P447" s="5" cm="1">
        <f t="array" ref="P447">MAX(IF((OutputTable[GroupByKey]=OutputTable[[#This Row],[GroupByKey]]),(OutputTable[GroupByKey]=OutputTable[[#This Row],[GroupByKey]])*OutputTable[RecordedValue]))</f>
        <v>83</v>
      </c>
    </row>
    <row r="448" spans="1:16" x14ac:dyDescent="0.3">
      <c r="A448" t="s">
        <v>66</v>
      </c>
      <c r="B448" t="s">
        <v>68</v>
      </c>
      <c r="C448">
        <v>20</v>
      </c>
      <c r="D448" t="s">
        <v>119</v>
      </c>
      <c r="E448" t="s">
        <v>111</v>
      </c>
      <c r="F448" t="s">
        <v>95</v>
      </c>
      <c r="G448">
        <v>0.10618494100836499</v>
      </c>
      <c r="H448">
        <v>0</v>
      </c>
      <c r="I448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30</v>
      </c>
      <c r="K448" s="5" cm="1">
        <f t="array" ref="K448">IFERROR(AVERAGE(IF((OutputTable[GroupByKey]=OutputTable[[#This Row],[GroupByKey]]),(OutputTable[GroupByKey]=OutputTable[[#This Row],[GroupByKey]])*OutputTable[RecordedValue])),0)</f>
        <v>9.2629789222133899E-2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1.1199993404883948E-2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448" s="5" cm="1">
        <f t="array" ref="O448">MIN(IF((OutputTable[GroupByKey]=OutputTable[[#This Row],[GroupByKey]]),(OutputTable[GroupByKey]=OutputTable[[#This Row],[GroupByKey]])*OutputTable[RecordedValue]))</f>
        <v>7.4778736536586704E-2</v>
      </c>
      <c r="P448" s="5" cm="1">
        <f t="array" ref="P448">MAX(IF((OutputTable[GroupByKey]=OutputTable[[#This Row],[GroupByKey]]),(OutputTable[GroupByKey]=OutputTable[[#This Row],[GroupByKey]])*OutputTable[RecordedValue]))</f>
        <v>0.111025455742452</v>
      </c>
    </row>
    <row r="449" spans="1:16" x14ac:dyDescent="0.3">
      <c r="A449" t="s">
        <v>66</v>
      </c>
      <c r="B449" t="s">
        <v>68</v>
      </c>
      <c r="C449">
        <v>20</v>
      </c>
      <c r="D449" t="s">
        <v>120</v>
      </c>
      <c r="E449" t="s">
        <v>121</v>
      </c>
      <c r="F449" t="s">
        <v>122</v>
      </c>
      <c r="G449">
        <v>157</v>
      </c>
      <c r="H449">
        <v>0</v>
      </c>
      <c r="I449" s="5" t="str">
        <f>OutputTable[[#This Row],[ProjectName]]&amp;OutputTable[[#This Row],[Name]]&amp;OutputTable[[#This Row],[Type]]&amp;OutputTable[[#This Row],[Source]]</f>
        <v>Unnamed ProjectSystem.NumberOutNumber OutSystem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30</v>
      </c>
      <c r="K449" s="5" cm="1">
        <f t="array" ref="K449">IFERROR(AVERAGE(IF((OutputTable[GroupByKey]=OutputTable[[#This Row],[GroupByKey]]),(OutputTable[GroupByKey]=OutputTable[[#This Row],[GroupByKey]])*OutputTable[RecordedValue])),0)</f>
        <v>138.66666666666666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10.59386072484773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449" s="5" cm="1">
        <f t="array" ref="O449">MIN(IF((OutputTable[GroupByKey]=OutputTable[[#This Row],[GroupByKey]]),(OutputTable[GroupByKey]=OutputTable[[#This Row],[GroupByKey]])*OutputTable[RecordedValue]))</f>
        <v>122</v>
      </c>
      <c r="P449" s="5" cm="1">
        <f t="array" ref="P449">MAX(IF((OutputTable[GroupByKey]=OutputTable[[#This Row],[GroupByKey]]),(OutputTable[GroupByKey]=OutputTable[[#This Row],[GroupByKey]])*OutputTable[RecordedValue]))</f>
        <v>158</v>
      </c>
    </row>
    <row r="450" spans="1:16" x14ac:dyDescent="0.3">
      <c r="A450" t="s">
        <v>66</v>
      </c>
      <c r="B450" t="s">
        <v>68</v>
      </c>
      <c r="C450">
        <v>20</v>
      </c>
      <c r="D450" t="s">
        <v>123</v>
      </c>
      <c r="E450" t="s">
        <v>109</v>
      </c>
      <c r="F450" t="s">
        <v>95</v>
      </c>
      <c r="G450">
        <v>360</v>
      </c>
      <c r="H450">
        <v>0</v>
      </c>
      <c r="I450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30</v>
      </c>
      <c r="K450" s="5" cm="1">
        <f t="array" ref="K450">IFERROR(AVERAGE(IF((OutputTable[GroupByKey]=OutputTable[[#This Row],[GroupByKey]]),(OutputTable[GroupByKey]=OutputTable[[#This Row],[GroupByKey]])*OutputTable[RecordedValue])),0)</f>
        <v>324.63333333333333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23.733409208195905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450" s="5" cm="1">
        <f t="array" ref="O450">MIN(IF((OutputTable[GroupByKey]=OutputTable[[#This Row],[GroupByKey]]),(OutputTable[GroupByKey]=OutputTable[[#This Row],[GroupByKey]])*OutputTable[RecordedValue]))</f>
        <v>276</v>
      </c>
      <c r="P450" s="5" cm="1">
        <f t="array" ref="P450">MAX(IF((OutputTable[GroupByKey]=OutputTable[[#This Row],[GroupByKey]]),(OutputTable[GroupByKey]=OutputTable[[#This Row],[GroupByKey]])*OutputTable[RecordedValue]))</f>
        <v>370</v>
      </c>
    </row>
    <row r="451" spans="1:16" x14ac:dyDescent="0.3">
      <c r="A451" t="s">
        <v>66</v>
      </c>
      <c r="B451" t="s">
        <v>68</v>
      </c>
      <c r="C451">
        <v>20</v>
      </c>
      <c r="D451" t="s">
        <v>124</v>
      </c>
      <c r="E451" t="s">
        <v>111</v>
      </c>
      <c r="F451" t="s">
        <v>95</v>
      </c>
      <c r="G451">
        <v>0.88207633363799198</v>
      </c>
      <c r="H451">
        <v>0</v>
      </c>
      <c r="I451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30</v>
      </c>
      <c r="K451" s="5" cm="1">
        <f t="array" ref="K451">IFERROR(AVERAGE(IF((OutputTable[GroupByKey]=OutputTable[[#This Row],[GroupByKey]]),(OutputTable[GroupByKey]=OutputTable[[#This Row],[GroupByKey]])*OutputTable[RecordedValue])),0)</f>
        <v>0.78890367752589419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5.7743599319329868E-2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451" s="5" cm="1">
        <f t="array" ref="O451">MIN(IF((OutputTable[GroupByKey]=OutputTable[[#This Row],[GroupByKey]]),(OutputTable[GroupByKey]=OutputTable[[#This Row],[GroupByKey]])*OutputTable[RecordedValue]))</f>
        <v>0.68630817725209003</v>
      </c>
      <c r="P451" s="5" cm="1">
        <f t="array" ref="P451">MAX(IF((OutputTable[GroupByKey]=OutputTable[[#This Row],[GroupByKey]]),(OutputTable[GroupByKey]=OutputTable[[#This Row],[GroupByKey]])*OutputTable[RecordedValue]))</f>
        <v>0.89844569749382897</v>
      </c>
    </row>
    <row r="452" spans="1:16" x14ac:dyDescent="0.3">
      <c r="A452" t="s">
        <v>66</v>
      </c>
      <c r="B452" t="s">
        <v>68</v>
      </c>
      <c r="C452">
        <v>20</v>
      </c>
      <c r="D452" t="s">
        <v>125</v>
      </c>
      <c r="E452" t="s">
        <v>126</v>
      </c>
      <c r="F452" t="s">
        <v>86</v>
      </c>
      <c r="G452">
        <v>222</v>
      </c>
      <c r="H452">
        <v>0</v>
      </c>
      <c r="I452" s="5" t="str">
        <f>OutputTable[[#This Row],[ProjectName]]&amp;OutputTable[[#This Row],[Name]]&amp;OutputTable[[#This Row],[Type]]&amp;OutputTable[[#This Row],[Source]]</f>
        <v>Unnamed ProjectVisitantes.NumberInNumber InEntity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30</v>
      </c>
      <c r="K452" s="5" cm="1">
        <f t="array" ref="K452">IFERROR(AVERAGE(IF((OutputTable[GroupByKey]=OutputTable[[#This Row],[GroupByKey]]),(OutputTable[GroupByKey]=OutputTable[[#This Row],[GroupByKey]])*OutputTable[RecordedValue])),0)</f>
        <v>194.43333333333334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19.567184586538712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452" s="5" cm="1">
        <f t="array" ref="O452">MIN(IF((OutputTable[GroupByKey]=OutputTable[[#This Row],[GroupByKey]]),(OutputTable[GroupByKey]=OutputTable[[#This Row],[GroupByKey]])*OutputTable[RecordedValue]))</f>
        <v>158</v>
      </c>
      <c r="P452" s="5" cm="1">
        <f t="array" ref="P452">MAX(IF((OutputTable[GroupByKey]=OutputTable[[#This Row],[GroupByKey]]),(OutputTable[GroupByKey]=OutputTable[[#This Row],[GroupByKey]])*OutputTable[RecordedValue]))</f>
        <v>255</v>
      </c>
    </row>
    <row r="453" spans="1:16" x14ac:dyDescent="0.3">
      <c r="A453" t="s">
        <v>66</v>
      </c>
      <c r="B453" t="s">
        <v>68</v>
      </c>
      <c r="C453">
        <v>20</v>
      </c>
      <c r="D453" t="s">
        <v>127</v>
      </c>
      <c r="E453" t="s">
        <v>121</v>
      </c>
      <c r="F453" t="s">
        <v>86</v>
      </c>
      <c r="G453">
        <v>157</v>
      </c>
      <c r="H453">
        <v>0</v>
      </c>
      <c r="I453" s="5" t="str">
        <f>OutputTable[[#This Row],[ProjectName]]&amp;OutputTable[[#This Row],[Name]]&amp;OutputTable[[#This Row],[Type]]&amp;OutputTable[[#This Row],[Source]]</f>
        <v>Unnamed ProjectVisitantes.NumberOutNumber OutEntity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30</v>
      </c>
      <c r="K453" s="5" cm="1">
        <f t="array" ref="K453">IFERROR(AVERAGE(IF((OutputTable[GroupByKey]=OutputTable[[#This Row],[GroupByKey]]),(OutputTable[GroupByKey]=OutputTable[[#This Row],[GroupByKey]])*OutputTable[RecordedValue])),0)</f>
        <v>138.66666666666666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10.59386072484773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453" s="5" cm="1">
        <f t="array" ref="O453">MIN(IF((OutputTable[GroupByKey]=OutputTable[[#This Row],[GroupByKey]]),(OutputTable[GroupByKey]=OutputTable[[#This Row],[GroupByKey]])*OutputTable[RecordedValue]))</f>
        <v>122</v>
      </c>
      <c r="P453" s="5" cm="1">
        <f t="array" ref="P453">MAX(IF((OutputTable[GroupByKey]=OutputTable[[#This Row],[GroupByKey]]),(OutputTable[GroupByKey]=OutputTable[[#This Row],[GroupByKey]])*OutputTable[RecordedValue]))</f>
        <v>158</v>
      </c>
    </row>
    <row r="454" spans="1:16" x14ac:dyDescent="0.3">
      <c r="A454" t="s">
        <v>66</v>
      </c>
      <c r="B454" t="s">
        <v>68</v>
      </c>
      <c r="C454">
        <v>20</v>
      </c>
      <c r="D454" t="s">
        <v>128</v>
      </c>
      <c r="E454" t="s">
        <v>109</v>
      </c>
      <c r="F454" t="s">
        <v>95</v>
      </c>
      <c r="G454">
        <v>0</v>
      </c>
      <c r="H454">
        <v>0</v>
      </c>
      <c r="I454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30</v>
      </c>
      <c r="K454" s="5" cm="1">
        <f t="array" ref="K454">IFERROR(AVERAGE(IF((OutputTable[GroupByKey]=OutputTable[[#This Row],[GroupByKey]]),(OutputTable[GroupByKey]=OutputTable[[#This Row],[GroupByKey]])*OutputTable[RecordedValue])),0)</f>
        <v>0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0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4" s="5" cm="1">
        <f t="array" ref="O454">MIN(IF((OutputTable[GroupByKey]=OutputTable[[#This Row],[GroupByKey]]),(OutputTable[GroupByKey]=OutputTable[[#This Row],[GroupByKey]])*OutputTable[RecordedValue]))</f>
        <v>0</v>
      </c>
      <c r="P454" s="5" cm="1">
        <f t="array" ref="P454">MAX(IF((OutputTable[GroupByKey]=OutputTable[[#This Row],[GroupByKey]]),(OutputTable[GroupByKey]=OutputTable[[#This Row],[GroupByKey]])*OutputTable[RecordedValue]))</f>
        <v>0</v>
      </c>
    </row>
    <row r="455" spans="1:16" x14ac:dyDescent="0.3">
      <c r="A455" t="s">
        <v>66</v>
      </c>
      <c r="B455" t="s">
        <v>68</v>
      </c>
      <c r="C455">
        <v>20</v>
      </c>
      <c r="D455" t="s">
        <v>129</v>
      </c>
      <c r="E455" t="s">
        <v>111</v>
      </c>
      <c r="F455" t="s">
        <v>95</v>
      </c>
      <c r="G455">
        <v>0</v>
      </c>
      <c r="H455">
        <v>0</v>
      </c>
      <c r="I455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30</v>
      </c>
      <c r="K455" s="5" cm="1">
        <f t="array" ref="K455">IFERROR(AVERAGE(IF((OutputTable[GroupByKey]=OutputTable[[#This Row],[GroupByKey]]),(OutputTable[GroupByKey]=OutputTable[[#This Row],[GroupByKey]])*OutputTable[RecordedValue])),0)</f>
        <v>0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s="5" cm="1">
        <f t="array" ref="O455">MIN(IF((OutputTable[GroupByKey]=OutputTable[[#This Row],[GroupByKey]]),(OutputTable[GroupByKey]=OutputTable[[#This Row],[GroupByKey]])*OutputTable[RecordedValue]))</f>
        <v>0</v>
      </c>
      <c r="P455" s="5" cm="1">
        <f t="array" ref="P455">MAX(IF((OutputTable[GroupByKey]=OutputTable[[#This Row],[GroupByKey]]),(OutputTable[GroupByKey]=OutputTable[[#This Row],[GroupByKey]])*OutputTable[RecordedValue]))</f>
        <v>0</v>
      </c>
    </row>
    <row r="456" spans="1:16" x14ac:dyDescent="0.3">
      <c r="A456" t="s">
        <v>66</v>
      </c>
      <c r="B456" t="s">
        <v>68</v>
      </c>
      <c r="C456">
        <v>20</v>
      </c>
      <c r="D456" t="s">
        <v>130</v>
      </c>
      <c r="E456" t="s">
        <v>109</v>
      </c>
      <c r="F456" t="s">
        <v>95</v>
      </c>
      <c r="G456">
        <v>110</v>
      </c>
      <c r="H456">
        <v>0</v>
      </c>
      <c r="I456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30</v>
      </c>
      <c r="K456" s="5" cm="1">
        <f t="array" ref="K456">IFERROR(AVERAGE(IF((OutputTable[GroupByKey]=OutputTable[[#This Row],[GroupByKey]]),(OutputTable[GroupByKey]=OutputTable[[#This Row],[GroupByKey]])*OutputTable[RecordedValue])),0)</f>
        <v>99.666666666666671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11.021400290698853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456" s="5" cm="1">
        <f t="array" ref="O456">MIN(IF((OutputTable[GroupByKey]=OutputTable[[#This Row],[GroupByKey]]),(OutputTable[GroupByKey]=OutputTable[[#This Row],[GroupByKey]])*OutputTable[RecordedValue]))</f>
        <v>84</v>
      </c>
      <c r="P456" s="5" cm="1">
        <f t="array" ref="P456">MAX(IF((OutputTable[GroupByKey]=OutputTable[[#This Row],[GroupByKey]]),(OutputTable[GroupByKey]=OutputTable[[#This Row],[GroupByKey]])*OutputTable[RecordedValue]))</f>
        <v>133</v>
      </c>
    </row>
    <row r="457" spans="1:16" x14ac:dyDescent="0.3">
      <c r="A457" t="s">
        <v>66</v>
      </c>
      <c r="B457" t="s">
        <v>68</v>
      </c>
      <c r="C457">
        <v>20</v>
      </c>
      <c r="D457" t="s">
        <v>131</v>
      </c>
      <c r="E457" t="s">
        <v>111</v>
      </c>
      <c r="F457" t="s">
        <v>95</v>
      </c>
      <c r="G457">
        <v>0.97148290656343195</v>
      </c>
      <c r="H457">
        <v>0</v>
      </c>
      <c r="I457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30</v>
      </c>
      <c r="K457" s="5" cm="1">
        <f t="array" ref="K457">IFERROR(AVERAGE(IF((OutputTable[GroupByKey]=OutputTable[[#This Row],[GroupByKey]]),(OutputTable[GroupByKey]=OutputTable[[#This Row],[GroupByKey]])*OutputTable[RecordedValue])),0)</f>
        <v>0.81099663999028448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0.1069626954834289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457" s="5" cm="1">
        <f t="array" ref="O457">MIN(IF((OutputTable[GroupByKey]=OutputTable[[#This Row],[GroupByKey]]),(OutputTable[GroupByKey]=OutputTable[[#This Row],[GroupByKey]])*OutputTable[RecordedValue]))</f>
        <v>0.634589476164233</v>
      </c>
      <c r="P457" s="5" cm="1">
        <f t="array" ref="P457">MAX(IF((OutputTable[GroupByKey]=OutputTable[[#This Row],[GroupByKey]]),(OutputTable[GroupByKey]=OutputTable[[#This Row],[GroupByKey]])*OutputTable[RecordedValue]))</f>
        <v>0.99383259650362799</v>
      </c>
    </row>
    <row r="458" spans="1:16" x14ac:dyDescent="0.3">
      <c r="A458" t="s">
        <v>66</v>
      </c>
      <c r="B458" t="s">
        <v>68</v>
      </c>
      <c r="C458">
        <v>20</v>
      </c>
      <c r="D458" t="s">
        <v>132</v>
      </c>
      <c r="E458" t="s">
        <v>109</v>
      </c>
      <c r="F458" t="s">
        <v>95</v>
      </c>
      <c r="G458">
        <v>51</v>
      </c>
      <c r="H458">
        <v>0</v>
      </c>
      <c r="I458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30</v>
      </c>
      <c r="K458" s="5" cm="1">
        <f t="array" ref="K458">IFERROR(AVERAGE(IF((OutputTable[GroupByKey]=OutputTable[[#This Row],[GroupByKey]]),(OutputTable[GroupByKey]=OutputTable[[#This Row],[GroupByKey]])*OutputTable[RecordedValue])),0)</f>
        <v>51.966666666666669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7.0636677653220881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458" s="5" cm="1">
        <f t="array" ref="O458">MIN(IF((OutputTable[GroupByKey]=OutputTable[[#This Row],[GroupByKey]]),(OutputTable[GroupByKey]=OutputTable[[#This Row],[GroupByKey]])*OutputTable[RecordedValue]))</f>
        <v>40</v>
      </c>
      <c r="P458" s="5" cm="1">
        <f t="array" ref="P458">MAX(IF((OutputTable[GroupByKey]=OutputTable[[#This Row],[GroupByKey]]),(OutputTable[GroupByKey]=OutputTable[[#This Row],[GroupByKey]])*OutputTable[RecordedValue]))</f>
        <v>70</v>
      </c>
    </row>
    <row r="459" spans="1:16" x14ac:dyDescent="0.3">
      <c r="A459" t="s">
        <v>66</v>
      </c>
      <c r="B459" t="s">
        <v>68</v>
      </c>
      <c r="C459">
        <v>20</v>
      </c>
      <c r="D459" t="s">
        <v>133</v>
      </c>
      <c r="E459" t="s">
        <v>111</v>
      </c>
      <c r="F459" t="s">
        <v>95</v>
      </c>
      <c r="G459">
        <v>0.97759293220517096</v>
      </c>
      <c r="H459">
        <v>0</v>
      </c>
      <c r="I459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30</v>
      </c>
      <c r="K459" s="5" cm="1">
        <f t="array" ref="K459">IFERROR(AVERAGE(IF((OutputTable[GroupByKey]=OutputTable[[#This Row],[GroupByKey]]),(OutputTable[GroupByKey]=OutputTable[[#This Row],[GroupByKey]])*OutputTable[RecordedValue])),0)</f>
        <v>0.86404173385398308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7.7429091138254261E-2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459" s="5" cm="1">
        <f t="array" ref="O459">MIN(IF((OutputTable[GroupByKey]=OutputTable[[#This Row],[GroupByKey]]),(OutputTable[GroupByKey]=OutputTable[[#This Row],[GroupByKey]])*OutputTable[RecordedValue]))</f>
        <v>0.74061105631083801</v>
      </c>
      <c r="P459" s="5" cm="1">
        <f t="array" ref="P459">MAX(IF((OutputTable[GroupByKey]=OutputTable[[#This Row],[GroupByKey]]),(OutputTable[GroupByKey]=OutputTable[[#This Row],[GroupByKey]])*OutputTable[RecordedValue]))</f>
        <v>0.99245161744166299</v>
      </c>
    </row>
    <row r="460" spans="1:16" x14ac:dyDescent="0.3">
      <c r="A460" t="s">
        <v>66</v>
      </c>
      <c r="B460" t="s">
        <v>68</v>
      </c>
      <c r="C460">
        <v>20</v>
      </c>
      <c r="D460" t="s">
        <v>134</v>
      </c>
      <c r="E460" t="s">
        <v>109</v>
      </c>
      <c r="F460" t="s">
        <v>95</v>
      </c>
      <c r="G460">
        <v>44</v>
      </c>
      <c r="H460">
        <v>0</v>
      </c>
      <c r="I460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30</v>
      </c>
      <c r="K460" s="5" cm="1">
        <f t="array" ref="K460">IFERROR(AVERAGE(IF((OutputTable[GroupByKey]=OutputTable[[#This Row],[GroupByKey]]),(OutputTable[GroupByKey]=OutputTable[[#This Row],[GroupByKey]])*OutputTable[RecordedValue])),0)</f>
        <v>36.233333333333334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4.775536318198915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460" s="5" cm="1">
        <f t="array" ref="O460">MIN(IF((OutputTable[GroupByKey]=OutputTable[[#This Row],[GroupByKey]]),(OutputTable[GroupByKey]=OutputTable[[#This Row],[GroupByKey]])*OutputTable[RecordedValue]))</f>
        <v>28</v>
      </c>
      <c r="P460" s="5" cm="1">
        <f t="array" ref="P460">MAX(IF((OutputTable[GroupByKey]=OutputTable[[#This Row],[GroupByKey]]),(OutputTable[GroupByKey]=OutputTable[[#This Row],[GroupByKey]])*OutputTable[RecordedValue]))</f>
        <v>48</v>
      </c>
    </row>
    <row r="461" spans="1:16" x14ac:dyDescent="0.3">
      <c r="A461" t="s">
        <v>66</v>
      </c>
      <c r="B461" t="s">
        <v>68</v>
      </c>
      <c r="C461">
        <v>20</v>
      </c>
      <c r="D461" t="s">
        <v>135</v>
      </c>
      <c r="E461" t="s">
        <v>111</v>
      </c>
      <c r="F461" t="s">
        <v>95</v>
      </c>
      <c r="G461">
        <v>0.96346898910953505</v>
      </c>
      <c r="H461">
        <v>0</v>
      </c>
      <c r="I461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30</v>
      </c>
      <c r="K461" s="5" cm="1">
        <f t="array" ref="K461">IFERROR(AVERAGE(IF((OutputTable[GroupByKey]=OutputTable[[#This Row],[GroupByKey]]),(OutputTable[GroupByKey]=OutputTable[[#This Row],[GroupByKey]])*OutputTable[RecordedValue])),0)</f>
        <v>0.88098039877461687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6.9783648638161486E-2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461" s="5" cm="1">
        <f t="array" ref="O461">MIN(IF((OutputTable[GroupByKey]=OutputTable[[#This Row],[GroupByKey]]),(OutputTable[GroupByKey]=OutputTable[[#This Row],[GroupByKey]])*OutputTable[RecordedValue]))</f>
        <v>0.73843386001690303</v>
      </c>
      <c r="P461" s="5" cm="1">
        <f t="array" ref="P461">MAX(IF((OutputTable[GroupByKey]=OutputTable[[#This Row],[GroupByKey]]),(OutputTable[GroupByKey]=OutputTable[[#This Row],[GroupByKey]])*OutputTable[RecordedValue]))</f>
        <v>0.99245161744166299</v>
      </c>
    </row>
    <row r="462" spans="1:16" x14ac:dyDescent="0.3">
      <c r="A462" t="s">
        <v>66</v>
      </c>
      <c r="B462" t="s">
        <v>68</v>
      </c>
      <c r="C462">
        <v>21</v>
      </c>
      <c r="D462" t="s">
        <v>108</v>
      </c>
      <c r="E462" t="s">
        <v>109</v>
      </c>
      <c r="F462" t="s">
        <v>95</v>
      </c>
      <c r="G462">
        <v>39</v>
      </c>
      <c r="H462">
        <v>0</v>
      </c>
      <c r="I462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30</v>
      </c>
      <c r="K462" s="5" cm="1">
        <f t="array" ref="K462">IFERROR(AVERAGE(IF((OutputTable[GroupByKey]=OutputTable[[#This Row],[GroupByKey]]),(OutputTable[GroupByKey]=OutputTable[[#This Row],[GroupByKey]])*OutputTable[RecordedValue])),0)</f>
        <v>34.633333333333333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6.3326375903390151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462" s="5" cm="1">
        <f t="array" ref="O462">MIN(IF((OutputTable[GroupByKey]=OutputTable[[#This Row],[GroupByKey]]),(OutputTable[GroupByKey]=OutputTable[[#This Row],[GroupByKey]])*OutputTable[RecordedValue]))</f>
        <v>24</v>
      </c>
      <c r="P462" s="5" cm="1">
        <f t="array" ref="P462">MAX(IF((OutputTable[GroupByKey]=OutputTable[[#This Row],[GroupByKey]]),(OutputTable[GroupByKey]=OutputTable[[#This Row],[GroupByKey]])*OutputTable[RecordedValue]))</f>
        <v>47</v>
      </c>
    </row>
    <row r="463" spans="1:16" x14ac:dyDescent="0.3">
      <c r="A463" t="s">
        <v>66</v>
      </c>
      <c r="B463" t="s">
        <v>68</v>
      </c>
      <c r="C463">
        <v>21</v>
      </c>
      <c r="D463" t="s">
        <v>110</v>
      </c>
      <c r="E463" t="s">
        <v>111</v>
      </c>
      <c r="F463" t="s">
        <v>95</v>
      </c>
      <c r="G463">
        <v>3.9989315384590898E-2</v>
      </c>
      <c r="H463">
        <v>0</v>
      </c>
      <c r="I463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30</v>
      </c>
      <c r="K463" s="5" cm="1">
        <f t="array" ref="K463">IFERROR(AVERAGE(IF((OutputTable[GroupByKey]=OutputTable[[#This Row],[GroupByKey]]),(OutputTable[GroupByKey]=OutputTable[[#This Row],[GroupByKey]])*OutputTable[RecordedValue])),0)</f>
        <v>3.5359789427834361E-2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6.6521615975834569E-3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463" s="5" cm="1">
        <f t="array" ref="O463">MIN(IF((OutputTable[GroupByKey]=OutputTable[[#This Row],[GroupByKey]]),(OutputTable[GroupByKey]=OutputTable[[#This Row],[GroupByKey]])*OutputTable[RecordedValue]))</f>
        <v>2.3718114155243601E-2</v>
      </c>
      <c r="P463" s="5" cm="1">
        <f t="array" ref="P463">MAX(IF((OutputTable[GroupByKey]=OutputTable[[#This Row],[GroupByKey]]),(OutputTable[GroupByKey]=OutputTable[[#This Row],[GroupByKey]])*OutputTable[RecordedValue]))</f>
        <v>4.8583931724403701E-2</v>
      </c>
    </row>
    <row r="464" spans="1:16" x14ac:dyDescent="0.3">
      <c r="A464" t="s">
        <v>66</v>
      </c>
      <c r="B464" t="s">
        <v>68</v>
      </c>
      <c r="C464">
        <v>21</v>
      </c>
      <c r="D464" t="s">
        <v>112</v>
      </c>
      <c r="E464" t="s">
        <v>109</v>
      </c>
      <c r="F464" t="s">
        <v>95</v>
      </c>
      <c r="G464">
        <v>105</v>
      </c>
      <c r="H464">
        <v>0</v>
      </c>
      <c r="I464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30</v>
      </c>
      <c r="K464" s="5" cm="1">
        <f t="array" ref="K464">IFERROR(AVERAGE(IF((OutputTable[GroupByKey]=OutputTable[[#This Row],[GroupByKey]]),(OutputTable[GroupByKey]=OutputTable[[#This Row],[GroupByKey]])*OutputTable[RecordedValue])),0)</f>
        <v>105.13333333333334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9.9020490158675578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464" s="5" cm="1">
        <f t="array" ref="O464">MIN(IF((OutputTable[GroupByKey]=OutputTable[[#This Row],[GroupByKey]]),(OutputTable[GroupByKey]=OutputTable[[#This Row],[GroupByKey]])*OutputTable[RecordedValue]))</f>
        <v>90</v>
      </c>
      <c r="P464" s="5" cm="1">
        <f t="array" ref="P464">MAX(IF((OutputTable[GroupByKey]=OutputTable[[#This Row],[GroupByKey]]),(OutputTable[GroupByKey]=OutputTable[[#This Row],[GroupByKey]])*OutputTable[RecordedValue]))</f>
        <v>120</v>
      </c>
    </row>
    <row r="465" spans="1:16" x14ac:dyDescent="0.3">
      <c r="A465" t="s">
        <v>66</v>
      </c>
      <c r="B465" t="s">
        <v>68</v>
      </c>
      <c r="C465">
        <v>21</v>
      </c>
      <c r="D465" t="s">
        <v>113</v>
      </c>
      <c r="E465" t="s">
        <v>111</v>
      </c>
      <c r="F465" t="s">
        <v>95</v>
      </c>
      <c r="G465">
        <v>0.24792793572589999</v>
      </c>
      <c r="H465">
        <v>0</v>
      </c>
      <c r="I465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30</v>
      </c>
      <c r="K465" s="5" cm="1">
        <f t="array" ref="K465">IFERROR(AVERAGE(IF((OutputTable[GroupByKey]=OutputTable[[#This Row],[GroupByKey]]),(OutputTable[GroupByKey]=OutputTable[[#This Row],[GroupByKey]])*OutputTable[RecordedValue])),0)</f>
        <v>0.24658598119222253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2.3372241503878202E-2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465" s="5" cm="1">
        <f t="array" ref="O465">MIN(IF((OutputTable[GroupByKey]=OutputTable[[#This Row],[GroupByKey]]),(OutputTable[GroupByKey]=OutputTable[[#This Row],[GroupByKey]])*OutputTable[RecordedValue]))</f>
        <v>0.20767736113278101</v>
      </c>
      <c r="P465" s="5" cm="1">
        <f t="array" ref="P465">MAX(IF((OutputTable[GroupByKey]=OutputTable[[#This Row],[GroupByKey]]),(OutputTable[GroupByKey]=OutputTable[[#This Row],[GroupByKey]])*OutputTable[RecordedValue]))</f>
        <v>0.28501162927715601</v>
      </c>
    </row>
    <row r="466" spans="1:16" x14ac:dyDescent="0.3">
      <c r="A466" t="s">
        <v>66</v>
      </c>
      <c r="B466" t="s">
        <v>68</v>
      </c>
      <c r="C466">
        <v>21</v>
      </c>
      <c r="D466" t="s">
        <v>114</v>
      </c>
      <c r="E466" t="s">
        <v>109</v>
      </c>
      <c r="F466" t="s">
        <v>95</v>
      </c>
      <c r="G466">
        <v>136</v>
      </c>
      <c r="H466">
        <v>0</v>
      </c>
      <c r="I466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30</v>
      </c>
      <c r="K466" s="5" cm="1">
        <f t="array" ref="K466">IFERROR(AVERAGE(IF((OutputTable[GroupByKey]=OutputTable[[#This Row],[GroupByKey]]),(OutputTable[GroupByKey]=OutputTable[[#This Row],[GroupByKey]])*OutputTable[RecordedValue])),0)</f>
        <v>130.19999999999999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9.6932255049418501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466" s="5" cm="1">
        <f t="array" ref="O466">MIN(IF((OutputTable[GroupByKey]=OutputTable[[#This Row],[GroupByKey]]),(OutputTable[GroupByKey]=OutputTable[[#This Row],[GroupByKey]])*OutputTable[RecordedValue]))</f>
        <v>112</v>
      </c>
      <c r="P466" s="5" cm="1">
        <f t="array" ref="P466">MAX(IF((OutputTable[GroupByKey]=OutputTable[[#This Row],[GroupByKey]]),(OutputTable[GroupByKey]=OutputTable[[#This Row],[GroupByKey]])*OutputTable[RecordedValue]))</f>
        <v>150</v>
      </c>
    </row>
    <row r="467" spans="1:16" x14ac:dyDescent="0.3">
      <c r="A467" t="s">
        <v>66</v>
      </c>
      <c r="B467" t="s">
        <v>68</v>
      </c>
      <c r="C467">
        <v>21</v>
      </c>
      <c r="D467" t="s">
        <v>115</v>
      </c>
      <c r="E467" t="s">
        <v>111</v>
      </c>
      <c r="F467" t="s">
        <v>95</v>
      </c>
      <c r="G467">
        <v>0.64554233462511901</v>
      </c>
      <c r="H467">
        <v>0</v>
      </c>
      <c r="I467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30</v>
      </c>
      <c r="K467" s="5" cm="1">
        <f t="array" ref="K467">IFERROR(AVERAGE(IF((OutputTable[GroupByKey]=OutputTable[[#This Row],[GroupByKey]]),(OutputTable[GroupByKey]=OutputTable[[#This Row],[GroupByKey]])*OutputTable[RecordedValue])),0)</f>
        <v>0.61071636647106653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4.8363406640152928E-2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467" s="5" cm="1">
        <f t="array" ref="O467">MIN(IF((OutputTable[GroupByKey]=OutputTable[[#This Row],[GroupByKey]]),(OutputTable[GroupByKey]=OutputTable[[#This Row],[GroupByKey]])*OutputTable[RecordedValue]))</f>
        <v>0.517215348442703</v>
      </c>
      <c r="P467" s="5" cm="1">
        <f t="array" ref="P467">MAX(IF((OutputTable[GroupByKey]=OutputTable[[#This Row],[GroupByKey]]),(OutputTable[GroupByKey]=OutputTable[[#This Row],[GroupByKey]])*OutputTable[RecordedValue]))</f>
        <v>0.67770389283754395</v>
      </c>
    </row>
    <row r="468" spans="1:16" x14ac:dyDescent="0.3">
      <c r="A468" t="s">
        <v>66</v>
      </c>
      <c r="B468" t="s">
        <v>68</v>
      </c>
      <c r="C468">
        <v>21</v>
      </c>
      <c r="D468" t="s">
        <v>116</v>
      </c>
      <c r="E468" t="s">
        <v>109</v>
      </c>
      <c r="F468" t="s">
        <v>95</v>
      </c>
      <c r="G468">
        <v>402</v>
      </c>
      <c r="H468">
        <v>0</v>
      </c>
      <c r="I468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30</v>
      </c>
      <c r="K468" s="5" cm="1">
        <f t="array" ref="K468">IFERROR(AVERAGE(IF((OutputTable[GroupByKey]=OutputTable[[#This Row],[GroupByKey]]),(OutputTable[GroupByKey]=OutputTable[[#This Row],[GroupByKey]])*OutputTable[RecordedValue])),0)</f>
        <v>366.5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27.998460548813185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468" s="5" cm="1">
        <f t="array" ref="O468">MIN(IF((OutputTable[GroupByKey]=OutputTable[[#This Row],[GroupByKey]]),(OutputTable[GroupByKey]=OutputTable[[#This Row],[GroupByKey]])*OutputTable[RecordedValue]))</f>
        <v>308</v>
      </c>
      <c r="P468" s="5" cm="1">
        <f t="array" ref="P468">MAX(IF((OutputTable[GroupByKey]=OutputTable[[#This Row],[GroupByKey]]),(OutputTable[GroupByKey]=OutputTable[[#This Row],[GroupByKey]])*OutputTable[RecordedValue]))</f>
        <v>415</v>
      </c>
    </row>
    <row r="469" spans="1:16" x14ac:dyDescent="0.3">
      <c r="A469" t="s">
        <v>66</v>
      </c>
      <c r="B469" t="s">
        <v>68</v>
      </c>
      <c r="C469">
        <v>21</v>
      </c>
      <c r="D469" t="s">
        <v>117</v>
      </c>
      <c r="E469" t="s">
        <v>111</v>
      </c>
      <c r="F469" t="s">
        <v>95</v>
      </c>
      <c r="G469">
        <v>0.18740662422347301</v>
      </c>
      <c r="H469">
        <v>0</v>
      </c>
      <c r="I469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30</v>
      </c>
      <c r="K469" s="5" cm="1">
        <f t="array" ref="K469">IFERROR(AVERAGE(IF((OutputTable[GroupByKey]=OutputTable[[#This Row],[GroupByKey]]),(OutputTable[GroupByKey]=OutputTable[[#This Row],[GroupByKey]])*OutputTable[RecordedValue])),0)</f>
        <v>0.17017204824235124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1.331368412630852E-2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469" s="5" cm="1">
        <f t="array" ref="O469">MIN(IF((OutputTable[GroupByKey]=OutputTable[[#This Row],[GroupByKey]]),(OutputTable[GroupByKey]=OutputTable[[#This Row],[GroupByKey]])*OutputTable[RecordedValue]))</f>
        <v>0.14484829778125299</v>
      </c>
      <c r="P469" s="5" cm="1">
        <f t="array" ref="P469">MAX(IF((OutputTable[GroupByKey]=OutputTable[[#This Row],[GroupByKey]]),(OutputTable[GroupByKey]=OutputTable[[#This Row],[GroupByKey]])*OutputTable[RecordedValue]))</f>
        <v>0.19609322315655101</v>
      </c>
    </row>
    <row r="470" spans="1:16" x14ac:dyDescent="0.3">
      <c r="A470" t="s">
        <v>66</v>
      </c>
      <c r="B470" t="s">
        <v>68</v>
      </c>
      <c r="C470">
        <v>21</v>
      </c>
      <c r="D470" t="s">
        <v>118</v>
      </c>
      <c r="E470" t="s">
        <v>109</v>
      </c>
      <c r="F470" t="s">
        <v>95</v>
      </c>
      <c r="G470">
        <v>78</v>
      </c>
      <c r="H470">
        <v>0</v>
      </c>
      <c r="I470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30</v>
      </c>
      <c r="K470" s="5" cm="1">
        <f t="array" ref="K470">IFERROR(AVERAGE(IF((OutputTable[GroupByKey]=OutputTable[[#This Row],[GroupByKey]]),(OutputTable[GroupByKey]=OutputTable[[#This Row],[GroupByKey]])*OutputTable[RecordedValue])),0)</f>
        <v>67.599999999999994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8.2277914244430335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470" s="5" cm="1">
        <f t="array" ref="O470">MIN(IF((OutputTable[GroupByKey]=OutputTable[[#This Row],[GroupByKey]]),(OutputTable[GroupByKey]=OutputTable[[#This Row],[GroupByKey]])*OutputTable[RecordedValue]))</f>
        <v>53</v>
      </c>
      <c r="P470" s="5" cm="1">
        <f t="array" ref="P470">MAX(IF((OutputTable[GroupByKey]=OutputTable[[#This Row],[GroupByKey]]),(OutputTable[GroupByKey]=OutputTable[[#This Row],[GroupByKey]])*OutputTable[RecordedValue]))</f>
        <v>83</v>
      </c>
    </row>
    <row r="471" spans="1:16" x14ac:dyDescent="0.3">
      <c r="A471" t="s">
        <v>66</v>
      </c>
      <c r="B471" t="s">
        <v>68</v>
      </c>
      <c r="C471">
        <v>21</v>
      </c>
      <c r="D471" t="s">
        <v>119</v>
      </c>
      <c r="E471" t="s">
        <v>111</v>
      </c>
      <c r="F471" t="s">
        <v>95</v>
      </c>
      <c r="G471">
        <v>0.10701158519601001</v>
      </c>
      <c r="H471">
        <v>0</v>
      </c>
      <c r="I471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30</v>
      </c>
      <c r="K471" s="5" cm="1">
        <f t="array" ref="K471">IFERROR(AVERAGE(IF((OutputTable[GroupByKey]=OutputTable[[#This Row],[GroupByKey]]),(OutputTable[GroupByKey]=OutputTable[[#This Row],[GroupByKey]])*OutputTable[RecordedValue])),0)</f>
        <v>9.2629789222133899E-2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1.1199993404883948E-2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471" s="5" cm="1">
        <f t="array" ref="O471">MIN(IF((OutputTable[GroupByKey]=OutputTable[[#This Row],[GroupByKey]]),(OutputTable[GroupByKey]=OutputTable[[#This Row],[GroupByKey]])*OutputTable[RecordedValue]))</f>
        <v>7.4778736536586704E-2</v>
      </c>
      <c r="P471" s="5" cm="1">
        <f t="array" ref="P471">MAX(IF((OutputTable[GroupByKey]=OutputTable[[#This Row],[GroupByKey]]),(OutputTable[GroupByKey]=OutputTable[[#This Row],[GroupByKey]])*OutputTable[RecordedValue]))</f>
        <v>0.111025455742452</v>
      </c>
    </row>
    <row r="472" spans="1:16" x14ac:dyDescent="0.3">
      <c r="A472" t="s">
        <v>66</v>
      </c>
      <c r="B472" t="s">
        <v>68</v>
      </c>
      <c r="C472">
        <v>21</v>
      </c>
      <c r="D472" t="s">
        <v>120</v>
      </c>
      <c r="E472" t="s">
        <v>121</v>
      </c>
      <c r="F472" t="s">
        <v>122</v>
      </c>
      <c r="G472">
        <v>158</v>
      </c>
      <c r="H472">
        <v>0</v>
      </c>
      <c r="I472" s="5" t="str">
        <f>OutputTable[[#This Row],[ProjectName]]&amp;OutputTable[[#This Row],[Name]]&amp;OutputTable[[#This Row],[Type]]&amp;OutputTable[[#This Row],[Source]]</f>
        <v>Unnamed ProjectSystem.NumberOutNumber OutSystem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30</v>
      </c>
      <c r="K472" s="5" cm="1">
        <f t="array" ref="K472">IFERROR(AVERAGE(IF((OutputTable[GroupByKey]=OutputTable[[#This Row],[GroupByKey]]),(OutputTable[GroupByKey]=OutputTable[[#This Row],[GroupByKey]])*OutputTable[RecordedValue])),0)</f>
        <v>138.66666666666666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10.59386072484773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472" s="5" cm="1">
        <f t="array" ref="O472">MIN(IF((OutputTable[GroupByKey]=OutputTable[[#This Row],[GroupByKey]]),(OutputTable[GroupByKey]=OutputTable[[#This Row],[GroupByKey]])*OutputTable[RecordedValue]))</f>
        <v>122</v>
      </c>
      <c r="P472" s="5" cm="1">
        <f t="array" ref="P472">MAX(IF((OutputTable[GroupByKey]=OutputTable[[#This Row],[GroupByKey]]),(OutputTable[GroupByKey]=OutputTable[[#This Row],[GroupByKey]])*OutputTable[RecordedValue]))</f>
        <v>158</v>
      </c>
    </row>
    <row r="473" spans="1:16" x14ac:dyDescent="0.3">
      <c r="A473" t="s">
        <v>66</v>
      </c>
      <c r="B473" t="s">
        <v>68</v>
      </c>
      <c r="C473">
        <v>21</v>
      </c>
      <c r="D473" t="s">
        <v>123</v>
      </c>
      <c r="E473" t="s">
        <v>109</v>
      </c>
      <c r="F473" t="s">
        <v>95</v>
      </c>
      <c r="G473">
        <v>357</v>
      </c>
      <c r="H473">
        <v>0</v>
      </c>
      <c r="I473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30</v>
      </c>
      <c r="K473" s="5" cm="1">
        <f t="array" ref="K473">IFERROR(AVERAGE(IF((OutputTable[GroupByKey]=OutputTable[[#This Row],[GroupByKey]]),(OutputTable[GroupByKey]=OutputTable[[#This Row],[GroupByKey]])*OutputTable[RecordedValue])),0)</f>
        <v>324.63333333333333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23.733409208195905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473" s="5" cm="1">
        <f t="array" ref="O473">MIN(IF((OutputTable[GroupByKey]=OutputTable[[#This Row],[GroupByKey]]),(OutputTable[GroupByKey]=OutputTable[[#This Row],[GroupByKey]])*OutputTable[RecordedValue]))</f>
        <v>276</v>
      </c>
      <c r="P473" s="5" cm="1">
        <f t="array" ref="P473">MAX(IF((OutputTable[GroupByKey]=OutputTable[[#This Row],[GroupByKey]]),(OutputTable[GroupByKey]=OutputTable[[#This Row],[GroupByKey]])*OutputTable[RecordedValue]))</f>
        <v>370</v>
      </c>
    </row>
    <row r="474" spans="1:16" x14ac:dyDescent="0.3">
      <c r="A474" t="s">
        <v>66</v>
      </c>
      <c r="B474" t="s">
        <v>68</v>
      </c>
      <c r="C474">
        <v>21</v>
      </c>
      <c r="D474" t="s">
        <v>124</v>
      </c>
      <c r="E474" t="s">
        <v>111</v>
      </c>
      <c r="F474" t="s">
        <v>95</v>
      </c>
      <c r="G474">
        <v>0.874705911167594</v>
      </c>
      <c r="H474">
        <v>0</v>
      </c>
      <c r="I474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30</v>
      </c>
      <c r="K474" s="5" cm="1">
        <f t="array" ref="K474">IFERROR(AVERAGE(IF((OutputTable[GroupByKey]=OutputTable[[#This Row],[GroupByKey]]),(OutputTable[GroupByKey]=OutputTable[[#This Row],[GroupByKey]])*OutputTable[RecordedValue])),0)</f>
        <v>0.78890367752589419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5.7743599319329868E-2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474" s="5" cm="1">
        <f t="array" ref="O474">MIN(IF((OutputTable[GroupByKey]=OutputTable[[#This Row],[GroupByKey]]),(OutputTable[GroupByKey]=OutputTable[[#This Row],[GroupByKey]])*OutputTable[RecordedValue]))</f>
        <v>0.68630817725209003</v>
      </c>
      <c r="P474" s="5" cm="1">
        <f t="array" ref="P474">MAX(IF((OutputTable[GroupByKey]=OutputTable[[#This Row],[GroupByKey]]),(OutputTable[GroupByKey]=OutputTable[[#This Row],[GroupByKey]])*OutputTable[RecordedValue]))</f>
        <v>0.89844569749382897</v>
      </c>
    </row>
    <row r="475" spans="1:16" x14ac:dyDescent="0.3">
      <c r="A475" t="s">
        <v>66</v>
      </c>
      <c r="B475" t="s">
        <v>68</v>
      </c>
      <c r="C475">
        <v>21</v>
      </c>
      <c r="D475" t="s">
        <v>125</v>
      </c>
      <c r="E475" t="s">
        <v>126</v>
      </c>
      <c r="F475" t="s">
        <v>86</v>
      </c>
      <c r="G475">
        <v>208</v>
      </c>
      <c r="H475">
        <v>0</v>
      </c>
      <c r="I475" s="5" t="str">
        <f>OutputTable[[#This Row],[ProjectName]]&amp;OutputTable[[#This Row],[Name]]&amp;OutputTable[[#This Row],[Type]]&amp;OutputTable[[#This Row],[Source]]</f>
        <v>Unnamed ProjectVisitantes.NumberInNumber InEntity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30</v>
      </c>
      <c r="K475" s="5" cm="1">
        <f t="array" ref="K475">IFERROR(AVERAGE(IF((OutputTable[GroupByKey]=OutputTable[[#This Row],[GroupByKey]]),(OutputTable[GroupByKey]=OutputTable[[#This Row],[GroupByKey]])*OutputTable[RecordedValue])),0)</f>
        <v>194.43333333333334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19.567184586538712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475" s="5" cm="1">
        <f t="array" ref="O475">MIN(IF((OutputTable[GroupByKey]=OutputTable[[#This Row],[GroupByKey]]),(OutputTable[GroupByKey]=OutputTable[[#This Row],[GroupByKey]])*OutputTable[RecordedValue]))</f>
        <v>158</v>
      </c>
      <c r="P475" s="5" cm="1">
        <f t="array" ref="P475">MAX(IF((OutputTable[GroupByKey]=OutputTable[[#This Row],[GroupByKey]]),(OutputTable[GroupByKey]=OutputTable[[#This Row],[GroupByKey]])*OutputTable[RecordedValue]))</f>
        <v>255</v>
      </c>
    </row>
    <row r="476" spans="1:16" x14ac:dyDescent="0.3">
      <c r="A476" t="s">
        <v>66</v>
      </c>
      <c r="B476" t="s">
        <v>68</v>
      </c>
      <c r="C476">
        <v>21</v>
      </c>
      <c r="D476" t="s">
        <v>127</v>
      </c>
      <c r="E476" t="s">
        <v>121</v>
      </c>
      <c r="F476" t="s">
        <v>86</v>
      </c>
      <c r="G476">
        <v>158</v>
      </c>
      <c r="H476">
        <v>0</v>
      </c>
      <c r="I476" s="5" t="str">
        <f>OutputTable[[#This Row],[ProjectName]]&amp;OutputTable[[#This Row],[Name]]&amp;OutputTable[[#This Row],[Type]]&amp;OutputTable[[#This Row],[Source]]</f>
        <v>Unnamed ProjectVisitantes.NumberOutNumber OutEntity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30</v>
      </c>
      <c r="K476" s="5" cm="1">
        <f t="array" ref="K476">IFERROR(AVERAGE(IF((OutputTable[GroupByKey]=OutputTable[[#This Row],[GroupByKey]]),(OutputTable[GroupByKey]=OutputTable[[#This Row],[GroupByKey]])*OutputTable[RecordedValue])),0)</f>
        <v>138.66666666666666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10.59386072484773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476" s="5" cm="1">
        <f t="array" ref="O476">MIN(IF((OutputTable[GroupByKey]=OutputTable[[#This Row],[GroupByKey]]),(OutputTable[GroupByKey]=OutputTable[[#This Row],[GroupByKey]])*OutputTable[RecordedValue]))</f>
        <v>122</v>
      </c>
      <c r="P476" s="5" cm="1">
        <f t="array" ref="P476">MAX(IF((OutputTable[GroupByKey]=OutputTable[[#This Row],[GroupByKey]]),(OutputTable[GroupByKey]=OutputTable[[#This Row],[GroupByKey]])*OutputTable[RecordedValue]))</f>
        <v>158</v>
      </c>
    </row>
    <row r="477" spans="1:16" x14ac:dyDescent="0.3">
      <c r="A477" t="s">
        <v>66</v>
      </c>
      <c r="B477" t="s">
        <v>68</v>
      </c>
      <c r="C477">
        <v>21</v>
      </c>
      <c r="D477" t="s">
        <v>128</v>
      </c>
      <c r="E477" t="s">
        <v>109</v>
      </c>
      <c r="F477" t="s">
        <v>95</v>
      </c>
      <c r="G477">
        <v>0</v>
      </c>
      <c r="H477">
        <v>0</v>
      </c>
      <c r="I477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30</v>
      </c>
      <c r="K477" s="5" cm="1">
        <f t="array" ref="K477">IFERROR(AVERAGE(IF((OutputTable[GroupByKey]=OutputTable[[#This Row],[GroupByKey]]),(OutputTable[GroupByKey]=OutputTable[[#This Row],[GroupByKey]])*OutputTable[RecordedValue])),0)</f>
        <v>0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0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7" s="5" cm="1">
        <f t="array" ref="O477">MIN(IF((OutputTable[GroupByKey]=OutputTable[[#This Row],[GroupByKey]]),(OutputTable[GroupByKey]=OutputTable[[#This Row],[GroupByKey]])*OutputTable[RecordedValue]))</f>
        <v>0</v>
      </c>
      <c r="P477" s="5" cm="1">
        <f t="array" ref="P477">MAX(IF((OutputTable[GroupByKey]=OutputTable[[#This Row],[GroupByKey]]),(OutputTable[GroupByKey]=OutputTable[[#This Row],[GroupByKey]])*OutputTable[RecordedValue]))</f>
        <v>0</v>
      </c>
    </row>
    <row r="478" spans="1:16" x14ac:dyDescent="0.3">
      <c r="A478" t="s">
        <v>66</v>
      </c>
      <c r="B478" t="s">
        <v>68</v>
      </c>
      <c r="C478">
        <v>21</v>
      </c>
      <c r="D478" t="s">
        <v>129</v>
      </c>
      <c r="E478" t="s">
        <v>111</v>
      </c>
      <c r="F478" t="s">
        <v>95</v>
      </c>
      <c r="G478">
        <v>0</v>
      </c>
      <c r="H478">
        <v>0</v>
      </c>
      <c r="I478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30</v>
      </c>
      <c r="K478" s="5" cm="1">
        <f t="array" ref="K478">IFERROR(AVERAGE(IF((OutputTable[GroupByKey]=OutputTable[[#This Row],[GroupByKey]]),(OutputTable[GroupByKey]=OutputTable[[#This Row],[GroupByKey]])*OutputTable[RecordedValue])),0)</f>
        <v>0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0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s="5" cm="1">
        <f t="array" ref="O478">MIN(IF((OutputTable[GroupByKey]=OutputTable[[#This Row],[GroupByKey]]),(OutputTable[GroupByKey]=OutputTable[[#This Row],[GroupByKey]])*OutputTable[RecordedValue]))</f>
        <v>0</v>
      </c>
      <c r="P478" s="5" cm="1">
        <f t="array" ref="P478">MAX(IF((OutputTable[GroupByKey]=OutputTable[[#This Row],[GroupByKey]]),(OutputTable[GroupByKey]=OutputTable[[#This Row],[GroupByKey]])*OutputTable[RecordedValue]))</f>
        <v>0</v>
      </c>
    </row>
    <row r="479" spans="1:16" x14ac:dyDescent="0.3">
      <c r="A479" t="s">
        <v>66</v>
      </c>
      <c r="B479" t="s">
        <v>68</v>
      </c>
      <c r="C479">
        <v>21</v>
      </c>
      <c r="D479" t="s">
        <v>130</v>
      </c>
      <c r="E479" t="s">
        <v>109</v>
      </c>
      <c r="F479" t="s">
        <v>95</v>
      </c>
      <c r="G479">
        <v>102</v>
      </c>
      <c r="H479">
        <v>0</v>
      </c>
      <c r="I479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30</v>
      </c>
      <c r="K479" s="5" cm="1">
        <f t="array" ref="K479">IFERROR(AVERAGE(IF((OutputTable[GroupByKey]=OutputTable[[#This Row],[GroupByKey]]),(OutputTable[GroupByKey]=OutputTable[[#This Row],[GroupByKey]])*OutputTable[RecordedValue])),0)</f>
        <v>99.666666666666671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11.021400290698853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479" s="5" cm="1">
        <f t="array" ref="O479">MIN(IF((OutputTable[GroupByKey]=OutputTable[[#This Row],[GroupByKey]]),(OutputTable[GroupByKey]=OutputTable[[#This Row],[GroupByKey]])*OutputTable[RecordedValue]))</f>
        <v>84</v>
      </c>
      <c r="P479" s="5" cm="1">
        <f t="array" ref="P479">MAX(IF((OutputTable[GroupByKey]=OutputTable[[#This Row],[GroupByKey]]),(OutputTable[GroupByKey]=OutputTable[[#This Row],[GroupByKey]])*OutputTable[RecordedValue]))</f>
        <v>133</v>
      </c>
    </row>
    <row r="480" spans="1:16" x14ac:dyDescent="0.3">
      <c r="A480" t="s">
        <v>66</v>
      </c>
      <c r="B480" t="s">
        <v>68</v>
      </c>
      <c r="C480">
        <v>21</v>
      </c>
      <c r="D480" t="s">
        <v>131</v>
      </c>
      <c r="E480" t="s">
        <v>111</v>
      </c>
      <c r="F480" t="s">
        <v>95</v>
      </c>
      <c r="G480">
        <v>0.916463621510891</v>
      </c>
      <c r="H480">
        <v>0</v>
      </c>
      <c r="I480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30</v>
      </c>
      <c r="K480" s="5" cm="1">
        <f t="array" ref="K480">IFERROR(AVERAGE(IF((OutputTable[GroupByKey]=OutputTable[[#This Row],[GroupByKey]]),(OutputTable[GroupByKey]=OutputTable[[#This Row],[GroupByKey]])*OutputTable[RecordedValue])),0)</f>
        <v>0.81099663999028448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0.1069626954834289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480" s="5" cm="1">
        <f t="array" ref="O480">MIN(IF((OutputTable[GroupByKey]=OutputTable[[#This Row],[GroupByKey]]),(OutputTable[GroupByKey]=OutputTable[[#This Row],[GroupByKey]])*OutputTable[RecordedValue]))</f>
        <v>0.634589476164233</v>
      </c>
      <c r="P480" s="5" cm="1">
        <f t="array" ref="P480">MAX(IF((OutputTable[GroupByKey]=OutputTable[[#This Row],[GroupByKey]]),(OutputTable[GroupByKey]=OutputTable[[#This Row],[GroupByKey]])*OutputTable[RecordedValue]))</f>
        <v>0.99383259650362799</v>
      </c>
    </row>
    <row r="481" spans="1:16" x14ac:dyDescent="0.3">
      <c r="A481" t="s">
        <v>66</v>
      </c>
      <c r="B481" t="s">
        <v>68</v>
      </c>
      <c r="C481">
        <v>21</v>
      </c>
      <c r="D481" t="s">
        <v>132</v>
      </c>
      <c r="E481" t="s">
        <v>109</v>
      </c>
      <c r="F481" t="s">
        <v>95</v>
      </c>
      <c r="G481">
        <v>59</v>
      </c>
      <c r="H481">
        <v>0</v>
      </c>
      <c r="I481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30</v>
      </c>
      <c r="K481" s="5" cm="1">
        <f t="array" ref="K481">IFERROR(AVERAGE(IF((OutputTable[GroupByKey]=OutputTable[[#This Row],[GroupByKey]]),(OutputTable[GroupByKey]=OutputTable[[#This Row],[GroupByKey]])*OutputTable[RecordedValue])),0)</f>
        <v>51.966666666666669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7.0636677653220881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481" s="5" cm="1">
        <f t="array" ref="O481">MIN(IF((OutputTable[GroupByKey]=OutputTable[[#This Row],[GroupByKey]]),(OutputTable[GroupByKey]=OutputTable[[#This Row],[GroupByKey]])*OutputTable[RecordedValue]))</f>
        <v>40</v>
      </c>
      <c r="P481" s="5" cm="1">
        <f t="array" ref="P481">MAX(IF((OutputTable[GroupByKey]=OutputTable[[#This Row],[GroupByKey]]),(OutputTable[GroupByKey]=OutputTable[[#This Row],[GroupByKey]])*OutputTable[RecordedValue]))</f>
        <v>70</v>
      </c>
    </row>
    <row r="482" spans="1:16" x14ac:dyDescent="0.3">
      <c r="A482" t="s">
        <v>66</v>
      </c>
      <c r="B482" t="s">
        <v>68</v>
      </c>
      <c r="C482">
        <v>21</v>
      </c>
      <c r="D482" t="s">
        <v>133</v>
      </c>
      <c r="E482" t="s">
        <v>111</v>
      </c>
      <c r="F482" t="s">
        <v>95</v>
      </c>
      <c r="G482">
        <v>0.92905906561244</v>
      </c>
      <c r="H482">
        <v>0</v>
      </c>
      <c r="I482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30</v>
      </c>
      <c r="K482" s="5" cm="1">
        <f t="array" ref="K482">IFERROR(AVERAGE(IF((OutputTable[GroupByKey]=OutputTable[[#This Row],[GroupByKey]]),(OutputTable[GroupByKey]=OutputTable[[#This Row],[GroupByKey]])*OutputTable[RecordedValue])),0)</f>
        <v>0.86404173385398308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7.7429091138254261E-2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482" s="5" cm="1">
        <f t="array" ref="O482">MIN(IF((OutputTable[GroupByKey]=OutputTable[[#This Row],[GroupByKey]]),(OutputTable[GroupByKey]=OutputTable[[#This Row],[GroupByKey]])*OutputTable[RecordedValue]))</f>
        <v>0.74061105631083801</v>
      </c>
      <c r="P482" s="5" cm="1">
        <f t="array" ref="P482">MAX(IF((OutputTable[GroupByKey]=OutputTable[[#This Row],[GroupByKey]]),(OutputTable[GroupByKey]=OutputTable[[#This Row],[GroupByKey]])*OutputTable[RecordedValue]))</f>
        <v>0.99245161744166299</v>
      </c>
    </row>
    <row r="483" spans="1:16" x14ac:dyDescent="0.3">
      <c r="A483" t="s">
        <v>66</v>
      </c>
      <c r="B483" t="s">
        <v>68</v>
      </c>
      <c r="C483">
        <v>21</v>
      </c>
      <c r="D483" t="s">
        <v>134</v>
      </c>
      <c r="E483" t="s">
        <v>109</v>
      </c>
      <c r="F483" t="s">
        <v>95</v>
      </c>
      <c r="G483">
        <v>41</v>
      </c>
      <c r="H483">
        <v>0</v>
      </c>
      <c r="I483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30</v>
      </c>
      <c r="K483" s="5" cm="1">
        <f t="array" ref="K483">IFERROR(AVERAGE(IF((OutputTable[GroupByKey]=OutputTable[[#This Row],[GroupByKey]]),(OutputTable[GroupByKey]=OutputTable[[#This Row],[GroupByKey]])*OutputTable[RecordedValue])),0)</f>
        <v>36.233333333333334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4.775536318198915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483" s="5" cm="1">
        <f t="array" ref="O483">MIN(IF((OutputTable[GroupByKey]=OutputTable[[#This Row],[GroupByKey]]),(OutputTable[GroupByKey]=OutputTable[[#This Row],[GroupByKey]])*OutputTable[RecordedValue]))</f>
        <v>28</v>
      </c>
      <c r="P483" s="5" cm="1">
        <f t="array" ref="P483">MAX(IF((OutputTable[GroupByKey]=OutputTable[[#This Row],[GroupByKey]]),(OutputTable[GroupByKey]=OutputTable[[#This Row],[GroupByKey]])*OutputTable[RecordedValue]))</f>
        <v>48</v>
      </c>
    </row>
    <row r="484" spans="1:16" x14ac:dyDescent="0.3">
      <c r="A484" t="s">
        <v>66</v>
      </c>
      <c r="B484" t="s">
        <v>68</v>
      </c>
      <c r="C484">
        <v>21</v>
      </c>
      <c r="D484" t="s">
        <v>135</v>
      </c>
      <c r="E484" t="s">
        <v>111</v>
      </c>
      <c r="F484" t="s">
        <v>95</v>
      </c>
      <c r="G484">
        <v>0.91741321983720503</v>
      </c>
      <c r="H484">
        <v>0</v>
      </c>
      <c r="I484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30</v>
      </c>
      <c r="K484" s="5" cm="1">
        <f t="array" ref="K484">IFERROR(AVERAGE(IF((OutputTable[GroupByKey]=OutputTable[[#This Row],[GroupByKey]]),(OutputTable[GroupByKey]=OutputTable[[#This Row],[GroupByKey]])*OutputTable[RecordedValue])),0)</f>
        <v>0.88098039877461687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6.9783648638161486E-2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484" s="5" cm="1">
        <f t="array" ref="O484">MIN(IF((OutputTable[GroupByKey]=OutputTable[[#This Row],[GroupByKey]]),(OutputTable[GroupByKey]=OutputTable[[#This Row],[GroupByKey]])*OutputTable[RecordedValue]))</f>
        <v>0.73843386001690303</v>
      </c>
      <c r="P484" s="5" cm="1">
        <f t="array" ref="P484">MAX(IF((OutputTable[GroupByKey]=OutputTable[[#This Row],[GroupByKey]]),(OutputTable[GroupByKey]=OutputTable[[#This Row],[GroupByKey]])*OutputTable[RecordedValue]))</f>
        <v>0.99245161744166299</v>
      </c>
    </row>
    <row r="485" spans="1:16" x14ac:dyDescent="0.3">
      <c r="A485" t="s">
        <v>66</v>
      </c>
      <c r="B485" t="s">
        <v>68</v>
      </c>
      <c r="C485">
        <v>22</v>
      </c>
      <c r="D485" t="s">
        <v>108</v>
      </c>
      <c r="E485" t="s">
        <v>109</v>
      </c>
      <c r="F485" t="s">
        <v>95</v>
      </c>
      <c r="G485">
        <v>31</v>
      </c>
      <c r="H485">
        <v>0</v>
      </c>
      <c r="I485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30</v>
      </c>
      <c r="K485" s="5" cm="1">
        <f t="array" ref="K485">IFERROR(AVERAGE(IF((OutputTable[GroupByKey]=OutputTable[[#This Row],[GroupByKey]]),(OutputTable[GroupByKey]=OutputTable[[#This Row],[GroupByKey]])*OutputTable[RecordedValue])),0)</f>
        <v>34.633333333333333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6.3326375903390151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485" s="5" cm="1">
        <f t="array" ref="O485">MIN(IF((OutputTable[GroupByKey]=OutputTable[[#This Row],[GroupByKey]]),(OutputTable[GroupByKey]=OutputTable[[#This Row],[GroupByKey]])*OutputTable[RecordedValue]))</f>
        <v>24</v>
      </c>
      <c r="P485" s="5" cm="1">
        <f t="array" ref="P485">MAX(IF((OutputTable[GroupByKey]=OutputTable[[#This Row],[GroupByKey]]),(OutputTable[GroupByKey]=OutputTable[[#This Row],[GroupByKey]])*OutputTable[RecordedValue]))</f>
        <v>47</v>
      </c>
    </row>
    <row r="486" spans="1:16" x14ac:dyDescent="0.3">
      <c r="A486" t="s">
        <v>66</v>
      </c>
      <c r="B486" t="s">
        <v>68</v>
      </c>
      <c r="C486">
        <v>22</v>
      </c>
      <c r="D486" t="s">
        <v>110</v>
      </c>
      <c r="E486" t="s">
        <v>111</v>
      </c>
      <c r="F486" t="s">
        <v>95</v>
      </c>
      <c r="G486">
        <v>3.3227469149237902E-2</v>
      </c>
      <c r="H486">
        <v>0</v>
      </c>
      <c r="I486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30</v>
      </c>
      <c r="K486" s="5" cm="1">
        <f t="array" ref="K486">IFERROR(AVERAGE(IF((OutputTable[GroupByKey]=OutputTable[[#This Row],[GroupByKey]]),(OutputTable[GroupByKey]=OutputTable[[#This Row],[GroupByKey]])*OutputTable[RecordedValue])),0)</f>
        <v>3.5359789427834361E-2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6.6521615975834569E-3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486" s="5" cm="1">
        <f t="array" ref="O486">MIN(IF((OutputTable[GroupByKey]=OutputTable[[#This Row],[GroupByKey]]),(OutputTable[GroupByKey]=OutputTable[[#This Row],[GroupByKey]])*OutputTable[RecordedValue]))</f>
        <v>2.3718114155243601E-2</v>
      </c>
      <c r="P486" s="5" cm="1">
        <f t="array" ref="P486">MAX(IF((OutputTable[GroupByKey]=OutputTable[[#This Row],[GroupByKey]]),(OutputTable[GroupByKey]=OutputTable[[#This Row],[GroupByKey]])*OutputTable[RecordedValue]))</f>
        <v>4.8583931724403701E-2</v>
      </c>
    </row>
    <row r="487" spans="1:16" x14ac:dyDescent="0.3">
      <c r="A487" t="s">
        <v>66</v>
      </c>
      <c r="B487" t="s">
        <v>68</v>
      </c>
      <c r="C487">
        <v>22</v>
      </c>
      <c r="D487" t="s">
        <v>112</v>
      </c>
      <c r="E487" t="s">
        <v>109</v>
      </c>
      <c r="F487" t="s">
        <v>95</v>
      </c>
      <c r="G487">
        <v>95</v>
      </c>
      <c r="H487">
        <v>0</v>
      </c>
      <c r="I487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30</v>
      </c>
      <c r="K487" s="5" cm="1">
        <f t="array" ref="K487">IFERROR(AVERAGE(IF((OutputTable[GroupByKey]=OutputTable[[#This Row],[GroupByKey]]),(OutputTable[GroupByKey]=OutputTable[[#This Row],[GroupByKey]])*OutputTable[RecordedValue])),0)</f>
        <v>105.13333333333334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9.9020490158675578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487" s="5" cm="1">
        <f t="array" ref="O487">MIN(IF((OutputTable[GroupByKey]=OutputTable[[#This Row],[GroupByKey]]),(OutputTable[GroupByKey]=OutputTable[[#This Row],[GroupByKey]])*OutputTable[RecordedValue]))</f>
        <v>90</v>
      </c>
      <c r="P487" s="5" cm="1">
        <f t="array" ref="P487">MAX(IF((OutputTable[GroupByKey]=OutputTable[[#This Row],[GroupByKey]]),(OutputTable[GroupByKey]=OutputTable[[#This Row],[GroupByKey]])*OutputTable[RecordedValue]))</f>
        <v>120</v>
      </c>
    </row>
    <row r="488" spans="1:16" x14ac:dyDescent="0.3">
      <c r="A488" t="s">
        <v>66</v>
      </c>
      <c r="B488" t="s">
        <v>68</v>
      </c>
      <c r="C488">
        <v>22</v>
      </c>
      <c r="D488" t="s">
        <v>113</v>
      </c>
      <c r="E488" t="s">
        <v>111</v>
      </c>
      <c r="F488" t="s">
        <v>95</v>
      </c>
      <c r="G488">
        <v>0.23102303195412999</v>
      </c>
      <c r="H488">
        <v>0</v>
      </c>
      <c r="I488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30</v>
      </c>
      <c r="K488" s="5" cm="1">
        <f t="array" ref="K488">IFERROR(AVERAGE(IF((OutputTable[GroupByKey]=OutputTable[[#This Row],[GroupByKey]]),(OutputTable[GroupByKey]=OutputTable[[#This Row],[GroupByKey]])*OutputTable[RecordedValue])),0)</f>
        <v>0.24658598119222253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2.3372241503878202E-2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488" s="5" cm="1">
        <f t="array" ref="O488">MIN(IF((OutputTable[GroupByKey]=OutputTable[[#This Row],[GroupByKey]]),(OutputTable[GroupByKey]=OutputTable[[#This Row],[GroupByKey]])*OutputTable[RecordedValue]))</f>
        <v>0.20767736113278101</v>
      </c>
      <c r="P488" s="5" cm="1">
        <f t="array" ref="P488">MAX(IF((OutputTable[GroupByKey]=OutputTable[[#This Row],[GroupByKey]]),(OutputTable[GroupByKey]=OutputTable[[#This Row],[GroupByKey]])*OutputTable[RecordedValue]))</f>
        <v>0.28501162927715601</v>
      </c>
    </row>
    <row r="489" spans="1:16" x14ac:dyDescent="0.3">
      <c r="A489" t="s">
        <v>66</v>
      </c>
      <c r="B489" t="s">
        <v>68</v>
      </c>
      <c r="C489">
        <v>22</v>
      </c>
      <c r="D489" t="s">
        <v>114</v>
      </c>
      <c r="E489" t="s">
        <v>109</v>
      </c>
      <c r="F489" t="s">
        <v>95</v>
      </c>
      <c r="G489">
        <v>125</v>
      </c>
      <c r="H489">
        <v>0</v>
      </c>
      <c r="I489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30</v>
      </c>
      <c r="K489" s="5" cm="1">
        <f t="array" ref="K489">IFERROR(AVERAGE(IF((OutputTable[GroupByKey]=OutputTable[[#This Row],[GroupByKey]]),(OutputTable[GroupByKey]=OutputTable[[#This Row],[GroupByKey]])*OutputTable[RecordedValue])),0)</f>
        <v>130.19999999999999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9.6932255049418501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489" s="5" cm="1">
        <f t="array" ref="O489">MIN(IF((OutputTable[GroupByKey]=OutputTable[[#This Row],[GroupByKey]]),(OutputTable[GroupByKey]=OutputTable[[#This Row],[GroupByKey]])*OutputTable[RecordedValue]))</f>
        <v>112</v>
      </c>
      <c r="P489" s="5" cm="1">
        <f t="array" ref="P489">MAX(IF((OutputTable[GroupByKey]=OutputTable[[#This Row],[GroupByKey]]),(OutputTable[GroupByKey]=OutputTable[[#This Row],[GroupByKey]])*OutputTable[RecordedValue]))</f>
        <v>150</v>
      </c>
    </row>
    <row r="490" spans="1:16" x14ac:dyDescent="0.3">
      <c r="A490" t="s">
        <v>66</v>
      </c>
      <c r="B490" t="s">
        <v>68</v>
      </c>
      <c r="C490">
        <v>22</v>
      </c>
      <c r="D490" t="s">
        <v>115</v>
      </c>
      <c r="E490" t="s">
        <v>111</v>
      </c>
      <c r="F490" t="s">
        <v>95</v>
      </c>
      <c r="G490">
        <v>0.56346421215110698</v>
      </c>
      <c r="H490">
        <v>0</v>
      </c>
      <c r="I490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30</v>
      </c>
      <c r="K490" s="5" cm="1">
        <f t="array" ref="K490">IFERROR(AVERAGE(IF((OutputTable[GroupByKey]=OutputTable[[#This Row],[GroupByKey]]),(OutputTable[GroupByKey]=OutputTable[[#This Row],[GroupByKey]])*OutputTable[RecordedValue])),0)</f>
        <v>0.61071636647106653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4.8363406640152928E-2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490" s="5" cm="1">
        <f t="array" ref="O490">MIN(IF((OutputTable[GroupByKey]=OutputTable[[#This Row],[GroupByKey]]),(OutputTable[GroupByKey]=OutputTable[[#This Row],[GroupByKey]])*OutputTable[RecordedValue]))</f>
        <v>0.517215348442703</v>
      </c>
      <c r="P490" s="5" cm="1">
        <f t="array" ref="P490">MAX(IF((OutputTable[GroupByKey]=OutputTable[[#This Row],[GroupByKey]]),(OutputTable[GroupByKey]=OutputTable[[#This Row],[GroupByKey]])*OutputTable[RecordedValue]))</f>
        <v>0.67770389283754395</v>
      </c>
    </row>
    <row r="491" spans="1:16" x14ac:dyDescent="0.3">
      <c r="A491" t="s">
        <v>66</v>
      </c>
      <c r="B491" t="s">
        <v>68</v>
      </c>
      <c r="C491">
        <v>22</v>
      </c>
      <c r="D491" t="s">
        <v>116</v>
      </c>
      <c r="E491" t="s">
        <v>109</v>
      </c>
      <c r="F491" t="s">
        <v>95</v>
      </c>
      <c r="G491">
        <v>342</v>
      </c>
      <c r="H491">
        <v>0</v>
      </c>
      <c r="I491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30</v>
      </c>
      <c r="K491" s="5" cm="1">
        <f t="array" ref="K491">IFERROR(AVERAGE(IF((OutputTable[GroupByKey]=OutputTable[[#This Row],[GroupByKey]]),(OutputTable[GroupByKey]=OutputTable[[#This Row],[GroupByKey]])*OutputTable[RecordedValue])),0)</f>
        <v>366.5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27.998460548813185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491" s="5" cm="1">
        <f t="array" ref="O491">MIN(IF((OutputTable[GroupByKey]=OutputTable[[#This Row],[GroupByKey]]),(OutputTable[GroupByKey]=OutputTable[[#This Row],[GroupByKey]])*OutputTable[RecordedValue]))</f>
        <v>308</v>
      </c>
      <c r="P491" s="5" cm="1">
        <f t="array" ref="P491">MAX(IF((OutputTable[GroupByKey]=OutputTable[[#This Row],[GroupByKey]]),(OutputTable[GroupByKey]=OutputTable[[#This Row],[GroupByKey]])*OutputTable[RecordedValue]))</f>
        <v>415</v>
      </c>
    </row>
    <row r="492" spans="1:16" x14ac:dyDescent="0.3">
      <c r="A492" t="s">
        <v>66</v>
      </c>
      <c r="B492" t="s">
        <v>68</v>
      </c>
      <c r="C492">
        <v>22</v>
      </c>
      <c r="D492" t="s">
        <v>117</v>
      </c>
      <c r="E492" t="s">
        <v>111</v>
      </c>
      <c r="F492" t="s">
        <v>95</v>
      </c>
      <c r="G492">
        <v>0.15878629061452401</v>
      </c>
      <c r="H492">
        <v>0</v>
      </c>
      <c r="I492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30</v>
      </c>
      <c r="K492" s="5" cm="1">
        <f t="array" ref="K492">IFERROR(AVERAGE(IF((OutputTable[GroupByKey]=OutputTable[[#This Row],[GroupByKey]]),(OutputTable[GroupByKey]=OutputTable[[#This Row],[GroupByKey]])*OutputTable[RecordedValue])),0)</f>
        <v>0.17017204824235124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1.331368412630852E-2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492" s="5" cm="1">
        <f t="array" ref="O492">MIN(IF((OutputTable[GroupByKey]=OutputTable[[#This Row],[GroupByKey]]),(OutputTable[GroupByKey]=OutputTable[[#This Row],[GroupByKey]])*OutputTable[RecordedValue]))</f>
        <v>0.14484829778125299</v>
      </c>
      <c r="P492" s="5" cm="1">
        <f t="array" ref="P492">MAX(IF((OutputTable[GroupByKey]=OutputTable[[#This Row],[GroupByKey]]),(OutputTable[GroupByKey]=OutputTable[[#This Row],[GroupByKey]])*OutputTable[RecordedValue]))</f>
        <v>0.19609322315655101</v>
      </c>
    </row>
    <row r="493" spans="1:16" x14ac:dyDescent="0.3">
      <c r="A493" t="s">
        <v>66</v>
      </c>
      <c r="B493" t="s">
        <v>68</v>
      </c>
      <c r="C493">
        <v>22</v>
      </c>
      <c r="D493" t="s">
        <v>118</v>
      </c>
      <c r="E493" t="s">
        <v>109</v>
      </c>
      <c r="F493" t="s">
        <v>95</v>
      </c>
      <c r="G493">
        <v>63</v>
      </c>
      <c r="H493">
        <v>0</v>
      </c>
      <c r="I493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30</v>
      </c>
      <c r="K493" s="5" cm="1">
        <f t="array" ref="K493">IFERROR(AVERAGE(IF((OutputTable[GroupByKey]=OutputTable[[#This Row],[GroupByKey]]),(OutputTable[GroupByKey]=OutputTable[[#This Row],[GroupByKey]])*OutputTable[RecordedValue])),0)</f>
        <v>67.599999999999994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8.2277914244430335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493" s="5" cm="1">
        <f t="array" ref="O493">MIN(IF((OutputTable[GroupByKey]=OutputTable[[#This Row],[GroupByKey]]),(OutputTable[GroupByKey]=OutputTable[[#This Row],[GroupByKey]])*OutputTable[RecordedValue]))</f>
        <v>53</v>
      </c>
      <c r="P493" s="5" cm="1">
        <f t="array" ref="P493">MAX(IF((OutputTable[GroupByKey]=OutputTable[[#This Row],[GroupByKey]]),(OutputTable[GroupByKey]=OutputTable[[#This Row],[GroupByKey]])*OutputTable[RecordedValue]))</f>
        <v>83</v>
      </c>
    </row>
    <row r="494" spans="1:16" x14ac:dyDescent="0.3">
      <c r="A494" t="s">
        <v>66</v>
      </c>
      <c r="B494" t="s">
        <v>68</v>
      </c>
      <c r="C494">
        <v>22</v>
      </c>
      <c r="D494" t="s">
        <v>119</v>
      </c>
      <c r="E494" t="s">
        <v>111</v>
      </c>
      <c r="F494" t="s">
        <v>95</v>
      </c>
      <c r="G494">
        <v>8.1293560247452407E-2</v>
      </c>
      <c r="H494">
        <v>0</v>
      </c>
      <c r="I494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30</v>
      </c>
      <c r="K494" s="5" cm="1">
        <f t="array" ref="K494">IFERROR(AVERAGE(IF((OutputTable[GroupByKey]=OutputTable[[#This Row],[GroupByKey]]),(OutputTable[GroupByKey]=OutputTable[[#This Row],[GroupByKey]])*OutputTable[RecordedValue])),0)</f>
        <v>9.2629789222133899E-2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1.1199993404883948E-2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494" s="5" cm="1">
        <f t="array" ref="O494">MIN(IF((OutputTable[GroupByKey]=OutputTable[[#This Row],[GroupByKey]]),(OutputTable[GroupByKey]=OutputTable[[#This Row],[GroupByKey]])*OutputTable[RecordedValue]))</f>
        <v>7.4778736536586704E-2</v>
      </c>
      <c r="P494" s="5" cm="1">
        <f t="array" ref="P494">MAX(IF((OutputTable[GroupByKey]=OutputTable[[#This Row],[GroupByKey]]),(OutputTable[GroupByKey]=OutputTable[[#This Row],[GroupByKey]])*OutputTable[RecordedValue]))</f>
        <v>0.111025455742452</v>
      </c>
    </row>
    <row r="495" spans="1:16" x14ac:dyDescent="0.3">
      <c r="A495" t="s">
        <v>66</v>
      </c>
      <c r="B495" t="s">
        <v>68</v>
      </c>
      <c r="C495">
        <v>22</v>
      </c>
      <c r="D495" t="s">
        <v>120</v>
      </c>
      <c r="E495" t="s">
        <v>121</v>
      </c>
      <c r="F495" t="s">
        <v>122</v>
      </c>
      <c r="G495">
        <v>132</v>
      </c>
      <c r="H495">
        <v>0</v>
      </c>
      <c r="I495" s="5" t="str">
        <f>OutputTable[[#This Row],[ProjectName]]&amp;OutputTable[[#This Row],[Name]]&amp;OutputTable[[#This Row],[Type]]&amp;OutputTable[[#This Row],[Source]]</f>
        <v>Unnamed ProjectSystem.NumberOutNumber OutSystem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30</v>
      </c>
      <c r="K495" s="5" cm="1">
        <f t="array" ref="K495">IFERROR(AVERAGE(IF((OutputTable[GroupByKey]=OutputTable[[#This Row],[GroupByKey]]),(OutputTable[GroupByKey]=OutputTable[[#This Row],[GroupByKey]])*OutputTable[RecordedValue])),0)</f>
        <v>138.66666666666666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10.59386072484773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495" s="5" cm="1">
        <f t="array" ref="O495">MIN(IF((OutputTable[GroupByKey]=OutputTable[[#This Row],[GroupByKey]]),(OutputTable[GroupByKey]=OutputTable[[#This Row],[GroupByKey]])*OutputTable[RecordedValue]))</f>
        <v>122</v>
      </c>
      <c r="P495" s="5" cm="1">
        <f t="array" ref="P495">MAX(IF((OutputTable[GroupByKey]=OutputTable[[#This Row],[GroupByKey]]),(OutputTable[GroupByKey]=OutputTable[[#This Row],[GroupByKey]])*OutputTable[RecordedValue]))</f>
        <v>158</v>
      </c>
    </row>
    <row r="496" spans="1:16" x14ac:dyDescent="0.3">
      <c r="A496" t="s">
        <v>66</v>
      </c>
      <c r="B496" t="s">
        <v>68</v>
      </c>
      <c r="C496">
        <v>22</v>
      </c>
      <c r="D496" t="s">
        <v>123</v>
      </c>
      <c r="E496" t="s">
        <v>109</v>
      </c>
      <c r="F496" t="s">
        <v>95</v>
      </c>
      <c r="G496">
        <v>305</v>
      </c>
      <c r="H496">
        <v>0</v>
      </c>
      <c r="I496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30</v>
      </c>
      <c r="K496" s="5" cm="1">
        <f t="array" ref="K496">IFERROR(AVERAGE(IF((OutputTable[GroupByKey]=OutputTable[[#This Row],[GroupByKey]]),(OutputTable[GroupByKey]=OutputTable[[#This Row],[GroupByKey]])*OutputTable[RecordedValue])),0)</f>
        <v>324.63333333333333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23.733409208195905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496" s="5" cm="1">
        <f t="array" ref="O496">MIN(IF((OutputTable[GroupByKey]=OutputTable[[#This Row],[GroupByKey]]),(OutputTable[GroupByKey]=OutputTable[[#This Row],[GroupByKey]])*OutputTable[RecordedValue]))</f>
        <v>276</v>
      </c>
      <c r="P496" s="5" cm="1">
        <f t="array" ref="P496">MAX(IF((OutputTable[GroupByKey]=OutputTable[[#This Row],[GroupByKey]]),(OutputTable[GroupByKey]=OutputTable[[#This Row],[GroupByKey]])*OutputTable[RecordedValue]))</f>
        <v>370</v>
      </c>
    </row>
    <row r="497" spans="1:16" x14ac:dyDescent="0.3">
      <c r="A497" t="s">
        <v>66</v>
      </c>
      <c r="B497" t="s">
        <v>68</v>
      </c>
      <c r="C497">
        <v>22</v>
      </c>
      <c r="D497" t="s">
        <v>124</v>
      </c>
      <c r="E497" t="s">
        <v>111</v>
      </c>
      <c r="F497" t="s">
        <v>95</v>
      </c>
      <c r="G497">
        <v>0.74051023214309397</v>
      </c>
      <c r="H497">
        <v>0</v>
      </c>
      <c r="I497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30</v>
      </c>
      <c r="K497" s="5" cm="1">
        <f t="array" ref="K497">IFERROR(AVERAGE(IF((OutputTable[GroupByKey]=OutputTable[[#This Row],[GroupByKey]]),(OutputTable[GroupByKey]=OutputTable[[#This Row],[GroupByKey]])*OutputTable[RecordedValue])),0)</f>
        <v>0.78890367752589419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5.7743599319329868E-2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497" s="5" cm="1">
        <f t="array" ref="O497">MIN(IF((OutputTable[GroupByKey]=OutputTable[[#This Row],[GroupByKey]]),(OutputTable[GroupByKey]=OutputTable[[#This Row],[GroupByKey]])*OutputTable[RecordedValue]))</f>
        <v>0.68630817725209003</v>
      </c>
      <c r="P497" s="5" cm="1">
        <f t="array" ref="P497">MAX(IF((OutputTable[GroupByKey]=OutputTable[[#This Row],[GroupByKey]]),(OutputTable[GroupByKey]=OutputTable[[#This Row],[GroupByKey]])*OutputTable[RecordedValue]))</f>
        <v>0.89844569749382897</v>
      </c>
    </row>
    <row r="498" spans="1:16" x14ac:dyDescent="0.3">
      <c r="A498" t="s">
        <v>66</v>
      </c>
      <c r="B498" t="s">
        <v>68</v>
      </c>
      <c r="C498">
        <v>22</v>
      </c>
      <c r="D498" t="s">
        <v>125</v>
      </c>
      <c r="E498" t="s">
        <v>126</v>
      </c>
      <c r="F498" t="s">
        <v>86</v>
      </c>
      <c r="G498">
        <v>181</v>
      </c>
      <c r="H498">
        <v>0</v>
      </c>
      <c r="I498" s="5" t="str">
        <f>OutputTable[[#This Row],[ProjectName]]&amp;OutputTable[[#This Row],[Name]]&amp;OutputTable[[#This Row],[Type]]&amp;OutputTable[[#This Row],[Source]]</f>
        <v>Unnamed ProjectVisitantes.NumberInNumber InEntity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30</v>
      </c>
      <c r="K498" s="5" cm="1">
        <f t="array" ref="K498">IFERROR(AVERAGE(IF((OutputTable[GroupByKey]=OutputTable[[#This Row],[GroupByKey]]),(OutputTable[GroupByKey]=OutputTable[[#This Row],[GroupByKey]])*OutputTable[RecordedValue])),0)</f>
        <v>194.43333333333334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19.567184586538712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498" s="5" cm="1">
        <f t="array" ref="O498">MIN(IF((OutputTable[GroupByKey]=OutputTable[[#This Row],[GroupByKey]]),(OutputTable[GroupByKey]=OutputTable[[#This Row],[GroupByKey]])*OutputTable[RecordedValue]))</f>
        <v>158</v>
      </c>
      <c r="P498" s="5" cm="1">
        <f t="array" ref="P498">MAX(IF((OutputTable[GroupByKey]=OutputTable[[#This Row],[GroupByKey]]),(OutputTable[GroupByKey]=OutputTable[[#This Row],[GroupByKey]])*OutputTable[RecordedValue]))</f>
        <v>255</v>
      </c>
    </row>
    <row r="499" spans="1:16" x14ac:dyDescent="0.3">
      <c r="A499" t="s">
        <v>66</v>
      </c>
      <c r="B499" t="s">
        <v>68</v>
      </c>
      <c r="C499">
        <v>22</v>
      </c>
      <c r="D499" t="s">
        <v>127</v>
      </c>
      <c r="E499" t="s">
        <v>121</v>
      </c>
      <c r="F499" t="s">
        <v>86</v>
      </c>
      <c r="G499">
        <v>132</v>
      </c>
      <c r="H499">
        <v>0</v>
      </c>
      <c r="I499" s="5" t="str">
        <f>OutputTable[[#This Row],[ProjectName]]&amp;OutputTable[[#This Row],[Name]]&amp;OutputTable[[#This Row],[Type]]&amp;OutputTable[[#This Row],[Source]]</f>
        <v>Unnamed ProjectVisitantes.NumberOutNumber OutEntity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30</v>
      </c>
      <c r="K499" s="5" cm="1">
        <f t="array" ref="K499">IFERROR(AVERAGE(IF((OutputTable[GroupByKey]=OutputTable[[#This Row],[GroupByKey]]),(OutputTable[GroupByKey]=OutputTable[[#This Row],[GroupByKey]])*OutputTable[RecordedValue])),0)</f>
        <v>138.66666666666666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10.59386072484773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499" s="5" cm="1">
        <f t="array" ref="O499">MIN(IF((OutputTable[GroupByKey]=OutputTable[[#This Row],[GroupByKey]]),(OutputTable[GroupByKey]=OutputTable[[#This Row],[GroupByKey]])*OutputTable[RecordedValue]))</f>
        <v>122</v>
      </c>
      <c r="P499" s="5" cm="1">
        <f t="array" ref="P499">MAX(IF((OutputTable[GroupByKey]=OutputTable[[#This Row],[GroupByKey]]),(OutputTable[GroupByKey]=OutputTable[[#This Row],[GroupByKey]])*OutputTable[RecordedValue]))</f>
        <v>158</v>
      </c>
    </row>
    <row r="500" spans="1:16" x14ac:dyDescent="0.3">
      <c r="A500" t="s">
        <v>66</v>
      </c>
      <c r="B500" t="s">
        <v>68</v>
      </c>
      <c r="C500">
        <v>22</v>
      </c>
      <c r="D500" t="s">
        <v>128</v>
      </c>
      <c r="E500" t="s">
        <v>109</v>
      </c>
      <c r="F500" t="s">
        <v>95</v>
      </c>
      <c r="G500">
        <v>0</v>
      </c>
      <c r="H500">
        <v>0</v>
      </c>
      <c r="I500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30</v>
      </c>
      <c r="K500" s="5" cm="1">
        <f t="array" ref="K500">IFERROR(AVERAGE(IF((OutputTable[GroupByKey]=OutputTable[[#This Row],[GroupByKey]]),(OutputTable[GroupByKey]=OutputTable[[#This Row],[GroupByKey]])*OutputTable[RecordedValue])),0)</f>
        <v>0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0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0" s="5" cm="1">
        <f t="array" ref="O500">MIN(IF((OutputTable[GroupByKey]=OutputTable[[#This Row],[GroupByKey]]),(OutputTable[GroupByKey]=OutputTable[[#This Row],[GroupByKey]])*OutputTable[RecordedValue]))</f>
        <v>0</v>
      </c>
      <c r="P500" s="5" cm="1">
        <f t="array" ref="P500">MAX(IF((OutputTable[GroupByKey]=OutputTable[[#This Row],[GroupByKey]]),(OutputTable[GroupByKey]=OutputTable[[#This Row],[GroupByKey]])*OutputTable[RecordedValue]))</f>
        <v>0</v>
      </c>
    </row>
    <row r="501" spans="1:16" x14ac:dyDescent="0.3">
      <c r="A501" t="s">
        <v>66</v>
      </c>
      <c r="B501" t="s">
        <v>68</v>
      </c>
      <c r="C501">
        <v>22</v>
      </c>
      <c r="D501" t="s">
        <v>129</v>
      </c>
      <c r="E501" t="s">
        <v>111</v>
      </c>
      <c r="F501" t="s">
        <v>95</v>
      </c>
      <c r="G501">
        <v>0</v>
      </c>
      <c r="H501">
        <v>0</v>
      </c>
      <c r="I501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30</v>
      </c>
      <c r="K501" s="5" cm="1">
        <f t="array" ref="K501">IFERROR(AVERAGE(IF((OutputTable[GroupByKey]=OutputTable[[#This Row],[GroupByKey]]),(OutputTable[GroupByKey]=OutputTable[[#This Row],[GroupByKey]])*OutputTable[RecordedValue])),0)</f>
        <v>0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0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1" s="5" cm="1">
        <f t="array" ref="O501">MIN(IF((OutputTable[GroupByKey]=OutputTable[[#This Row],[GroupByKey]]),(OutputTable[GroupByKey]=OutputTable[[#This Row],[GroupByKey]])*OutputTable[RecordedValue]))</f>
        <v>0</v>
      </c>
      <c r="P501" s="5" cm="1">
        <f t="array" ref="P501">MAX(IF((OutputTable[GroupByKey]=OutputTable[[#This Row],[GroupByKey]]),(OutputTable[GroupByKey]=OutputTable[[#This Row],[GroupByKey]])*OutputTable[RecordedValue]))</f>
        <v>0</v>
      </c>
    </row>
    <row r="502" spans="1:16" x14ac:dyDescent="0.3">
      <c r="A502" t="s">
        <v>66</v>
      </c>
      <c r="B502" t="s">
        <v>68</v>
      </c>
      <c r="C502">
        <v>22</v>
      </c>
      <c r="D502" t="s">
        <v>130</v>
      </c>
      <c r="E502" t="s">
        <v>109</v>
      </c>
      <c r="F502" t="s">
        <v>95</v>
      </c>
      <c r="G502">
        <v>88</v>
      </c>
      <c r="H502">
        <v>0</v>
      </c>
      <c r="I502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30</v>
      </c>
      <c r="K502" s="5" cm="1">
        <f t="array" ref="K502">IFERROR(AVERAGE(IF((OutputTable[GroupByKey]=OutputTable[[#This Row],[GroupByKey]]),(OutputTable[GroupByKey]=OutputTable[[#This Row],[GroupByKey]])*OutputTable[RecordedValue])),0)</f>
        <v>99.666666666666671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11.021400290698853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502" s="5" cm="1">
        <f t="array" ref="O502">MIN(IF((OutputTable[GroupByKey]=OutputTable[[#This Row],[GroupByKey]]),(OutputTable[GroupByKey]=OutputTable[[#This Row],[GroupByKey]])*OutputTable[RecordedValue]))</f>
        <v>84</v>
      </c>
      <c r="P502" s="5" cm="1">
        <f t="array" ref="P502">MAX(IF((OutputTable[GroupByKey]=OutputTable[[#This Row],[GroupByKey]]),(OutputTable[GroupByKey]=OutputTable[[#This Row],[GroupByKey]])*OutputTable[RecordedValue]))</f>
        <v>133</v>
      </c>
    </row>
    <row r="503" spans="1:16" x14ac:dyDescent="0.3">
      <c r="A503" t="s">
        <v>66</v>
      </c>
      <c r="B503" t="s">
        <v>68</v>
      </c>
      <c r="C503">
        <v>22</v>
      </c>
      <c r="D503" t="s">
        <v>131</v>
      </c>
      <c r="E503" t="s">
        <v>111</v>
      </c>
      <c r="F503" t="s">
        <v>95</v>
      </c>
      <c r="G503">
        <v>0.720732463961128</v>
      </c>
      <c r="H503">
        <v>0</v>
      </c>
      <c r="I503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30</v>
      </c>
      <c r="K503" s="5" cm="1">
        <f t="array" ref="K503">IFERROR(AVERAGE(IF((OutputTable[GroupByKey]=OutputTable[[#This Row],[GroupByKey]]),(OutputTable[GroupByKey]=OutputTable[[#This Row],[GroupByKey]])*OutputTable[RecordedValue])),0)</f>
        <v>0.81099663999028448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0.1069626954834289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503" s="5" cm="1">
        <f t="array" ref="O503">MIN(IF((OutputTable[GroupByKey]=OutputTable[[#This Row],[GroupByKey]]),(OutputTable[GroupByKey]=OutputTable[[#This Row],[GroupByKey]])*OutputTable[RecordedValue]))</f>
        <v>0.634589476164233</v>
      </c>
      <c r="P503" s="5" cm="1">
        <f t="array" ref="P503">MAX(IF((OutputTable[GroupByKey]=OutputTable[[#This Row],[GroupByKey]]),(OutputTable[GroupByKey]=OutputTable[[#This Row],[GroupByKey]])*OutputTable[RecordedValue]))</f>
        <v>0.99383259650362799</v>
      </c>
    </row>
    <row r="504" spans="1:16" x14ac:dyDescent="0.3">
      <c r="A504" t="s">
        <v>66</v>
      </c>
      <c r="B504" t="s">
        <v>68</v>
      </c>
      <c r="C504">
        <v>22</v>
      </c>
      <c r="D504" t="s">
        <v>132</v>
      </c>
      <c r="E504" t="s">
        <v>109</v>
      </c>
      <c r="F504" t="s">
        <v>95</v>
      </c>
      <c r="G504">
        <v>51</v>
      </c>
      <c r="H504">
        <v>0</v>
      </c>
      <c r="I504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30</v>
      </c>
      <c r="K504" s="5" cm="1">
        <f t="array" ref="K504">IFERROR(AVERAGE(IF((OutputTable[GroupByKey]=OutputTable[[#This Row],[GroupByKey]]),(OutputTable[GroupByKey]=OutputTable[[#This Row],[GroupByKey]])*OutputTable[RecordedValue])),0)</f>
        <v>51.966666666666669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7.0636677653220881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504" s="5" cm="1">
        <f t="array" ref="O504">MIN(IF((OutputTable[GroupByKey]=OutputTable[[#This Row],[GroupByKey]]),(OutputTable[GroupByKey]=OutputTable[[#This Row],[GroupByKey]])*OutputTable[RecordedValue]))</f>
        <v>40</v>
      </c>
      <c r="P504" s="5" cm="1">
        <f t="array" ref="P504">MAX(IF((OutputTable[GroupByKey]=OutputTable[[#This Row],[GroupByKey]]),(OutputTable[GroupByKey]=OutputTable[[#This Row],[GroupByKey]])*OutputTable[RecordedValue]))</f>
        <v>70</v>
      </c>
    </row>
    <row r="505" spans="1:16" x14ac:dyDescent="0.3">
      <c r="A505" t="s">
        <v>66</v>
      </c>
      <c r="B505" t="s">
        <v>68</v>
      </c>
      <c r="C505">
        <v>22</v>
      </c>
      <c r="D505" t="s">
        <v>133</v>
      </c>
      <c r="E505" t="s">
        <v>111</v>
      </c>
      <c r="F505" t="s">
        <v>95</v>
      </c>
      <c r="G505">
        <v>0.76175647530327495</v>
      </c>
      <c r="H505">
        <v>0</v>
      </c>
      <c r="I505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30</v>
      </c>
      <c r="K505" s="5" cm="1">
        <f t="array" ref="K505">IFERROR(AVERAGE(IF((OutputTable[GroupByKey]=OutputTable[[#This Row],[GroupByKey]]),(OutputTable[GroupByKey]=OutputTable[[#This Row],[GroupByKey]])*OutputTable[RecordedValue])),0)</f>
        <v>0.86404173385398308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7.7429091138254261E-2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505" s="5" cm="1">
        <f t="array" ref="O505">MIN(IF((OutputTable[GroupByKey]=OutputTable[[#This Row],[GroupByKey]]),(OutputTable[GroupByKey]=OutputTable[[#This Row],[GroupByKey]])*OutputTable[RecordedValue]))</f>
        <v>0.74061105631083801</v>
      </c>
      <c r="P505" s="5" cm="1">
        <f t="array" ref="P505">MAX(IF((OutputTable[GroupByKey]=OutputTable[[#This Row],[GroupByKey]]),(OutputTable[GroupByKey]=OutputTable[[#This Row],[GroupByKey]])*OutputTable[RecordedValue]))</f>
        <v>0.99245161744166299</v>
      </c>
    </row>
    <row r="506" spans="1:16" x14ac:dyDescent="0.3">
      <c r="A506" t="s">
        <v>66</v>
      </c>
      <c r="B506" t="s">
        <v>68</v>
      </c>
      <c r="C506">
        <v>22</v>
      </c>
      <c r="D506" t="s">
        <v>134</v>
      </c>
      <c r="E506" t="s">
        <v>109</v>
      </c>
      <c r="F506" t="s">
        <v>95</v>
      </c>
      <c r="G506">
        <v>36</v>
      </c>
      <c r="H506">
        <v>0</v>
      </c>
      <c r="I506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30</v>
      </c>
      <c r="K506" s="5" cm="1">
        <f t="array" ref="K506">IFERROR(AVERAGE(IF((OutputTable[GroupByKey]=OutputTable[[#This Row],[GroupByKey]]),(OutputTable[GroupByKey]=OutputTable[[#This Row],[GroupByKey]])*OutputTable[RecordedValue])),0)</f>
        <v>36.233333333333334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4.775536318198915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506" s="5" cm="1">
        <f t="array" ref="O506">MIN(IF((OutputTable[GroupByKey]=OutputTable[[#This Row],[GroupByKey]]),(OutputTable[GroupByKey]=OutputTable[[#This Row],[GroupByKey]])*OutputTable[RecordedValue]))</f>
        <v>28</v>
      </c>
      <c r="P506" s="5" cm="1">
        <f t="array" ref="P506">MAX(IF((OutputTable[GroupByKey]=OutputTable[[#This Row],[GroupByKey]]),(OutputTable[GroupByKey]=OutputTable[[#This Row],[GroupByKey]])*OutputTable[RecordedValue]))</f>
        <v>48</v>
      </c>
    </row>
    <row r="507" spans="1:16" x14ac:dyDescent="0.3">
      <c r="A507" t="s">
        <v>66</v>
      </c>
      <c r="B507" t="s">
        <v>68</v>
      </c>
      <c r="C507">
        <v>22</v>
      </c>
      <c r="D507" t="s">
        <v>135</v>
      </c>
      <c r="E507" t="s">
        <v>111</v>
      </c>
      <c r="F507" t="s">
        <v>95</v>
      </c>
      <c r="G507">
        <v>0.86406011243746295</v>
      </c>
      <c r="H507">
        <v>0</v>
      </c>
      <c r="I507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30</v>
      </c>
      <c r="K507" s="5" cm="1">
        <f t="array" ref="K507">IFERROR(AVERAGE(IF((OutputTable[GroupByKey]=OutputTable[[#This Row],[GroupByKey]]),(OutputTable[GroupByKey]=OutputTable[[#This Row],[GroupByKey]])*OutputTable[RecordedValue])),0)</f>
        <v>0.88098039877461687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6.9783648638161486E-2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507" s="5" cm="1">
        <f t="array" ref="O507">MIN(IF((OutputTable[GroupByKey]=OutputTable[[#This Row],[GroupByKey]]),(OutputTable[GroupByKey]=OutputTable[[#This Row],[GroupByKey]])*OutputTable[RecordedValue]))</f>
        <v>0.73843386001690303</v>
      </c>
      <c r="P507" s="5" cm="1">
        <f t="array" ref="P507">MAX(IF((OutputTable[GroupByKey]=OutputTable[[#This Row],[GroupByKey]]),(OutputTable[GroupByKey]=OutputTable[[#This Row],[GroupByKey]])*OutputTable[RecordedValue]))</f>
        <v>0.99245161744166299</v>
      </c>
    </row>
    <row r="508" spans="1:16" x14ac:dyDescent="0.3">
      <c r="A508" t="s">
        <v>66</v>
      </c>
      <c r="B508" t="s">
        <v>68</v>
      </c>
      <c r="C508">
        <v>23</v>
      </c>
      <c r="D508" t="s">
        <v>108</v>
      </c>
      <c r="E508" t="s">
        <v>109</v>
      </c>
      <c r="F508" t="s">
        <v>95</v>
      </c>
      <c r="G508">
        <v>29</v>
      </c>
      <c r="H508">
        <v>0</v>
      </c>
      <c r="I508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30</v>
      </c>
      <c r="K508" s="5" cm="1">
        <f t="array" ref="K508">IFERROR(AVERAGE(IF((OutputTable[GroupByKey]=OutputTable[[#This Row],[GroupByKey]]),(OutputTable[GroupByKey]=OutputTable[[#This Row],[GroupByKey]])*OutputTable[RecordedValue])),0)</f>
        <v>34.633333333333333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6.3326375903390151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508" s="5" cm="1">
        <f t="array" ref="O508">MIN(IF((OutputTable[GroupByKey]=OutputTable[[#This Row],[GroupByKey]]),(OutputTable[GroupByKey]=OutputTable[[#This Row],[GroupByKey]])*OutputTable[RecordedValue]))</f>
        <v>24</v>
      </c>
      <c r="P508" s="5" cm="1">
        <f t="array" ref="P508">MAX(IF((OutputTable[GroupByKey]=OutputTable[[#This Row],[GroupByKey]]),(OutputTable[GroupByKey]=OutputTable[[#This Row],[GroupByKey]])*OutputTable[RecordedValue]))</f>
        <v>47</v>
      </c>
    </row>
    <row r="509" spans="1:16" x14ac:dyDescent="0.3">
      <c r="A509" t="s">
        <v>66</v>
      </c>
      <c r="B509" t="s">
        <v>68</v>
      </c>
      <c r="C509">
        <v>23</v>
      </c>
      <c r="D509" t="s">
        <v>110</v>
      </c>
      <c r="E509" t="s">
        <v>111</v>
      </c>
      <c r="F509" t="s">
        <v>95</v>
      </c>
      <c r="G509">
        <v>3.0451088583282802E-2</v>
      </c>
      <c r="H509">
        <v>0</v>
      </c>
      <c r="I509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30</v>
      </c>
      <c r="K509" s="5" cm="1">
        <f t="array" ref="K509">IFERROR(AVERAGE(IF((OutputTable[GroupByKey]=OutputTable[[#This Row],[GroupByKey]]),(OutputTable[GroupByKey]=OutputTable[[#This Row],[GroupByKey]])*OutputTable[RecordedValue])),0)</f>
        <v>3.5359789427834361E-2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6.6521615975834569E-3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509" s="5" cm="1">
        <f t="array" ref="O509">MIN(IF((OutputTable[GroupByKey]=OutputTable[[#This Row],[GroupByKey]]),(OutputTable[GroupByKey]=OutputTable[[#This Row],[GroupByKey]])*OutputTable[RecordedValue]))</f>
        <v>2.3718114155243601E-2</v>
      </c>
      <c r="P509" s="5" cm="1">
        <f t="array" ref="P509">MAX(IF((OutputTable[GroupByKey]=OutputTable[[#This Row],[GroupByKey]]),(OutputTable[GroupByKey]=OutputTable[[#This Row],[GroupByKey]])*OutputTable[RecordedValue]))</f>
        <v>4.8583931724403701E-2</v>
      </c>
    </row>
    <row r="510" spans="1:16" x14ac:dyDescent="0.3">
      <c r="A510" t="s">
        <v>66</v>
      </c>
      <c r="B510" t="s">
        <v>68</v>
      </c>
      <c r="C510">
        <v>23</v>
      </c>
      <c r="D510" t="s">
        <v>112</v>
      </c>
      <c r="E510" t="s">
        <v>109</v>
      </c>
      <c r="F510" t="s">
        <v>95</v>
      </c>
      <c r="G510">
        <v>91</v>
      </c>
      <c r="H510">
        <v>0</v>
      </c>
      <c r="I510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30</v>
      </c>
      <c r="K510" s="5" cm="1">
        <f t="array" ref="K510">IFERROR(AVERAGE(IF((OutputTable[GroupByKey]=OutputTable[[#This Row],[GroupByKey]]),(OutputTable[GroupByKey]=OutputTable[[#This Row],[GroupByKey]])*OutputTable[RecordedValue])),0)</f>
        <v>105.13333333333334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9.9020490158675578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510" s="5" cm="1">
        <f t="array" ref="O510">MIN(IF((OutputTable[GroupByKey]=OutputTable[[#This Row],[GroupByKey]]),(OutputTable[GroupByKey]=OutputTable[[#This Row],[GroupByKey]])*OutputTable[RecordedValue]))</f>
        <v>90</v>
      </c>
      <c r="P510" s="5" cm="1">
        <f t="array" ref="P510">MAX(IF((OutputTable[GroupByKey]=OutputTable[[#This Row],[GroupByKey]]),(OutputTable[GroupByKey]=OutputTable[[#This Row],[GroupByKey]])*OutputTable[RecordedValue]))</f>
        <v>120</v>
      </c>
    </row>
    <row r="511" spans="1:16" x14ac:dyDescent="0.3">
      <c r="A511" t="s">
        <v>66</v>
      </c>
      <c r="B511" t="s">
        <v>68</v>
      </c>
      <c r="C511">
        <v>23</v>
      </c>
      <c r="D511" t="s">
        <v>113</v>
      </c>
      <c r="E511" t="s">
        <v>111</v>
      </c>
      <c r="F511" t="s">
        <v>95</v>
      </c>
      <c r="G511">
        <v>0.21763471517820801</v>
      </c>
      <c r="H511">
        <v>0</v>
      </c>
      <c r="I511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30</v>
      </c>
      <c r="K511" s="5" cm="1">
        <f t="array" ref="K511">IFERROR(AVERAGE(IF((OutputTable[GroupByKey]=OutputTable[[#This Row],[GroupByKey]]),(OutputTable[GroupByKey]=OutputTable[[#This Row],[GroupByKey]])*OutputTable[RecordedValue])),0)</f>
        <v>0.24658598119222253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2.3372241503878202E-2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511" s="5" cm="1">
        <f t="array" ref="O511">MIN(IF((OutputTable[GroupByKey]=OutputTable[[#This Row],[GroupByKey]]),(OutputTable[GroupByKey]=OutputTable[[#This Row],[GroupByKey]])*OutputTable[RecordedValue]))</f>
        <v>0.20767736113278101</v>
      </c>
      <c r="P511" s="5" cm="1">
        <f t="array" ref="P511">MAX(IF((OutputTable[GroupByKey]=OutputTable[[#This Row],[GroupByKey]]),(OutputTable[GroupByKey]=OutputTable[[#This Row],[GroupByKey]])*OutputTable[RecordedValue]))</f>
        <v>0.28501162927715601</v>
      </c>
    </row>
    <row r="512" spans="1:16" x14ac:dyDescent="0.3">
      <c r="A512" t="s">
        <v>66</v>
      </c>
      <c r="B512" t="s">
        <v>68</v>
      </c>
      <c r="C512">
        <v>23</v>
      </c>
      <c r="D512" t="s">
        <v>114</v>
      </c>
      <c r="E512" t="s">
        <v>109</v>
      </c>
      <c r="F512" t="s">
        <v>95</v>
      </c>
      <c r="G512">
        <v>114</v>
      </c>
      <c r="H512">
        <v>0</v>
      </c>
      <c r="I512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30</v>
      </c>
      <c r="K512" s="5" cm="1">
        <f t="array" ref="K512">IFERROR(AVERAGE(IF((OutputTable[GroupByKey]=OutputTable[[#This Row],[GroupByKey]]),(OutputTable[GroupByKey]=OutputTable[[#This Row],[GroupByKey]])*OutputTable[RecordedValue])),0)</f>
        <v>130.19999999999999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9.6932255049418501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512" s="5" cm="1">
        <f t="array" ref="O512">MIN(IF((OutputTable[GroupByKey]=OutputTable[[#This Row],[GroupByKey]]),(OutputTable[GroupByKey]=OutputTable[[#This Row],[GroupByKey]])*OutputTable[RecordedValue]))</f>
        <v>112</v>
      </c>
      <c r="P512" s="5" cm="1">
        <f t="array" ref="P512">MAX(IF((OutputTable[GroupByKey]=OutputTable[[#This Row],[GroupByKey]]),(OutputTable[GroupByKey]=OutputTable[[#This Row],[GroupByKey]])*OutputTable[RecordedValue]))</f>
        <v>150</v>
      </c>
    </row>
    <row r="513" spans="1:16" x14ac:dyDescent="0.3">
      <c r="A513" t="s">
        <v>66</v>
      </c>
      <c r="B513" t="s">
        <v>68</v>
      </c>
      <c r="C513">
        <v>23</v>
      </c>
      <c r="D513" t="s">
        <v>115</v>
      </c>
      <c r="E513" t="s">
        <v>111</v>
      </c>
      <c r="F513" t="s">
        <v>95</v>
      </c>
      <c r="G513">
        <v>0.53156390183434898</v>
      </c>
      <c r="H513">
        <v>0</v>
      </c>
      <c r="I513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30</v>
      </c>
      <c r="K513" s="5" cm="1">
        <f t="array" ref="K513">IFERROR(AVERAGE(IF((OutputTable[GroupByKey]=OutputTable[[#This Row],[GroupByKey]]),(OutputTable[GroupByKey]=OutputTable[[#This Row],[GroupByKey]])*OutputTable[RecordedValue])),0)</f>
        <v>0.61071636647106653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4.8363406640152928E-2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513" s="5" cm="1">
        <f t="array" ref="O513">MIN(IF((OutputTable[GroupByKey]=OutputTable[[#This Row],[GroupByKey]]),(OutputTable[GroupByKey]=OutputTable[[#This Row],[GroupByKey]])*OutputTable[RecordedValue]))</f>
        <v>0.517215348442703</v>
      </c>
      <c r="P513" s="5" cm="1">
        <f t="array" ref="P513">MAX(IF((OutputTable[GroupByKey]=OutputTable[[#This Row],[GroupByKey]]),(OutputTable[GroupByKey]=OutputTable[[#This Row],[GroupByKey]])*OutputTable[RecordedValue]))</f>
        <v>0.67770389283754395</v>
      </c>
    </row>
    <row r="514" spans="1:16" x14ac:dyDescent="0.3">
      <c r="A514" t="s">
        <v>66</v>
      </c>
      <c r="B514" t="s">
        <v>68</v>
      </c>
      <c r="C514">
        <v>23</v>
      </c>
      <c r="D514" t="s">
        <v>116</v>
      </c>
      <c r="E514" t="s">
        <v>109</v>
      </c>
      <c r="F514" t="s">
        <v>95</v>
      </c>
      <c r="G514">
        <v>308</v>
      </c>
      <c r="H514">
        <v>0</v>
      </c>
      <c r="I514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30</v>
      </c>
      <c r="K514" s="5" cm="1">
        <f t="array" ref="K514">IFERROR(AVERAGE(IF((OutputTable[GroupByKey]=OutputTable[[#This Row],[GroupByKey]]),(OutputTable[GroupByKey]=OutputTable[[#This Row],[GroupByKey]])*OutputTable[RecordedValue])),0)</f>
        <v>366.5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27.998460548813185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514" s="5" cm="1">
        <f t="array" ref="O514">MIN(IF((OutputTable[GroupByKey]=OutputTable[[#This Row],[GroupByKey]]),(OutputTable[GroupByKey]=OutputTable[[#This Row],[GroupByKey]])*OutputTable[RecordedValue]))</f>
        <v>308</v>
      </c>
      <c r="P514" s="5" cm="1">
        <f t="array" ref="P514">MAX(IF((OutputTable[GroupByKey]=OutputTable[[#This Row],[GroupByKey]]),(OutputTable[GroupByKey]=OutputTable[[#This Row],[GroupByKey]])*OutputTable[RecordedValue]))</f>
        <v>415</v>
      </c>
    </row>
    <row r="515" spans="1:16" x14ac:dyDescent="0.3">
      <c r="A515" t="s">
        <v>66</v>
      </c>
      <c r="B515" t="s">
        <v>68</v>
      </c>
      <c r="C515">
        <v>23</v>
      </c>
      <c r="D515" t="s">
        <v>117</v>
      </c>
      <c r="E515" t="s">
        <v>111</v>
      </c>
      <c r="F515" t="s">
        <v>95</v>
      </c>
      <c r="G515">
        <v>0.14484829778125299</v>
      </c>
      <c r="H515">
        <v>0</v>
      </c>
      <c r="I515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30</v>
      </c>
      <c r="K515" s="5" cm="1">
        <f t="array" ref="K515">IFERROR(AVERAGE(IF((OutputTable[GroupByKey]=OutputTable[[#This Row],[GroupByKey]]),(OutputTable[GroupByKey]=OutputTable[[#This Row],[GroupByKey]])*OutputTable[RecordedValue])),0)</f>
        <v>0.17017204824235124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1.331368412630852E-2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515" s="5" cm="1">
        <f t="array" ref="O515">MIN(IF((OutputTable[GroupByKey]=OutputTable[[#This Row],[GroupByKey]]),(OutputTable[GroupByKey]=OutputTable[[#This Row],[GroupByKey]])*OutputTable[RecordedValue]))</f>
        <v>0.14484829778125299</v>
      </c>
      <c r="P515" s="5" cm="1">
        <f t="array" ref="P515">MAX(IF((OutputTable[GroupByKey]=OutputTable[[#This Row],[GroupByKey]]),(OutputTable[GroupByKey]=OutputTable[[#This Row],[GroupByKey]])*OutputTable[RecordedValue]))</f>
        <v>0.19609322315655101</v>
      </c>
    </row>
    <row r="516" spans="1:16" x14ac:dyDescent="0.3">
      <c r="A516" t="s">
        <v>66</v>
      </c>
      <c r="B516" t="s">
        <v>68</v>
      </c>
      <c r="C516">
        <v>23</v>
      </c>
      <c r="D516" t="s">
        <v>118</v>
      </c>
      <c r="E516" t="s">
        <v>109</v>
      </c>
      <c r="F516" t="s">
        <v>95</v>
      </c>
      <c r="G516">
        <v>55</v>
      </c>
      <c r="H516">
        <v>0</v>
      </c>
      <c r="I516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30</v>
      </c>
      <c r="K516" s="5" cm="1">
        <f t="array" ref="K516">IFERROR(AVERAGE(IF((OutputTable[GroupByKey]=OutputTable[[#This Row],[GroupByKey]]),(OutputTable[GroupByKey]=OutputTable[[#This Row],[GroupByKey]])*OutputTable[RecordedValue])),0)</f>
        <v>67.599999999999994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8.2277914244430335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516" s="5" cm="1">
        <f t="array" ref="O516">MIN(IF((OutputTable[GroupByKey]=OutputTable[[#This Row],[GroupByKey]]),(OutputTable[GroupByKey]=OutputTable[[#This Row],[GroupByKey]])*OutputTable[RecordedValue]))</f>
        <v>53</v>
      </c>
      <c r="P516" s="5" cm="1">
        <f t="array" ref="P516">MAX(IF((OutputTable[GroupByKey]=OutputTable[[#This Row],[GroupByKey]]),(OutputTable[GroupByKey]=OutputTable[[#This Row],[GroupByKey]])*OutputTable[RecordedValue]))</f>
        <v>83</v>
      </c>
    </row>
    <row r="517" spans="1:16" x14ac:dyDescent="0.3">
      <c r="A517" t="s">
        <v>66</v>
      </c>
      <c r="B517" t="s">
        <v>68</v>
      </c>
      <c r="C517">
        <v>23</v>
      </c>
      <c r="D517" t="s">
        <v>119</v>
      </c>
      <c r="E517" t="s">
        <v>111</v>
      </c>
      <c r="F517" t="s">
        <v>95</v>
      </c>
      <c r="G517">
        <v>7.7329206101059894E-2</v>
      </c>
      <c r="H517">
        <v>0</v>
      </c>
      <c r="I517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30</v>
      </c>
      <c r="K517" s="5" cm="1">
        <f t="array" ref="K517">IFERROR(AVERAGE(IF((OutputTable[GroupByKey]=OutputTable[[#This Row],[GroupByKey]]),(OutputTable[GroupByKey]=OutputTable[[#This Row],[GroupByKey]])*OutputTable[RecordedValue])),0)</f>
        <v>9.2629789222133899E-2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1.1199993404883948E-2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517" s="5" cm="1">
        <f t="array" ref="O517">MIN(IF((OutputTable[GroupByKey]=OutputTable[[#This Row],[GroupByKey]]),(OutputTable[GroupByKey]=OutputTable[[#This Row],[GroupByKey]])*OutputTable[RecordedValue]))</f>
        <v>7.4778736536586704E-2</v>
      </c>
      <c r="P517" s="5" cm="1">
        <f t="array" ref="P517">MAX(IF((OutputTable[GroupByKey]=OutputTable[[#This Row],[GroupByKey]]),(OutputTable[GroupByKey]=OutputTable[[#This Row],[GroupByKey]])*OutputTable[RecordedValue]))</f>
        <v>0.111025455742452</v>
      </c>
    </row>
    <row r="518" spans="1:16" x14ac:dyDescent="0.3">
      <c r="A518" t="s">
        <v>66</v>
      </c>
      <c r="B518" t="s">
        <v>68</v>
      </c>
      <c r="C518">
        <v>23</v>
      </c>
      <c r="D518" t="s">
        <v>120</v>
      </c>
      <c r="E518" t="s">
        <v>121</v>
      </c>
      <c r="F518" t="s">
        <v>122</v>
      </c>
      <c r="G518">
        <v>122</v>
      </c>
      <c r="H518">
        <v>0</v>
      </c>
      <c r="I518" s="5" t="str">
        <f>OutputTable[[#This Row],[ProjectName]]&amp;OutputTable[[#This Row],[Name]]&amp;OutputTable[[#This Row],[Type]]&amp;OutputTable[[#This Row],[Source]]</f>
        <v>Unnamed ProjectSystem.NumberOutNumber OutSystem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30</v>
      </c>
      <c r="K518" s="5" cm="1">
        <f t="array" ref="K518">IFERROR(AVERAGE(IF((OutputTable[GroupByKey]=OutputTable[[#This Row],[GroupByKey]]),(OutputTable[GroupByKey]=OutputTable[[#This Row],[GroupByKey]])*OutputTable[RecordedValue])),0)</f>
        <v>138.66666666666666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10.59386072484773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518" s="5" cm="1">
        <f t="array" ref="O518">MIN(IF((OutputTable[GroupByKey]=OutputTable[[#This Row],[GroupByKey]]),(OutputTable[GroupByKey]=OutputTable[[#This Row],[GroupByKey]])*OutputTable[RecordedValue]))</f>
        <v>122</v>
      </c>
      <c r="P518" s="5" cm="1">
        <f t="array" ref="P518">MAX(IF((OutputTable[GroupByKey]=OutputTable[[#This Row],[GroupByKey]]),(OutputTable[GroupByKey]=OutputTable[[#This Row],[GroupByKey]])*OutputTable[RecordedValue]))</f>
        <v>158</v>
      </c>
    </row>
    <row r="519" spans="1:16" x14ac:dyDescent="0.3">
      <c r="A519" t="s">
        <v>66</v>
      </c>
      <c r="B519" t="s">
        <v>68</v>
      </c>
      <c r="C519">
        <v>23</v>
      </c>
      <c r="D519" t="s">
        <v>123</v>
      </c>
      <c r="E519" t="s">
        <v>109</v>
      </c>
      <c r="F519" t="s">
        <v>95</v>
      </c>
      <c r="G519">
        <v>276</v>
      </c>
      <c r="H519">
        <v>0</v>
      </c>
      <c r="I519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30</v>
      </c>
      <c r="K519" s="5" cm="1">
        <f t="array" ref="K519">IFERROR(AVERAGE(IF((OutputTable[GroupByKey]=OutputTable[[#This Row],[GroupByKey]]),(OutputTable[GroupByKey]=OutputTable[[#This Row],[GroupByKey]])*OutputTable[RecordedValue])),0)</f>
        <v>324.63333333333333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23.733409208195905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519" s="5" cm="1">
        <f t="array" ref="O519">MIN(IF((OutputTable[GroupByKey]=OutputTable[[#This Row],[GroupByKey]]),(OutputTable[GroupByKey]=OutputTable[[#This Row],[GroupByKey]])*OutputTable[RecordedValue]))</f>
        <v>276</v>
      </c>
      <c r="P519" s="5" cm="1">
        <f t="array" ref="P519">MAX(IF((OutputTable[GroupByKey]=OutputTable[[#This Row],[GroupByKey]]),(OutputTable[GroupByKey]=OutputTable[[#This Row],[GroupByKey]])*OutputTable[RecordedValue]))</f>
        <v>370</v>
      </c>
    </row>
    <row r="520" spans="1:16" x14ac:dyDescent="0.3">
      <c r="A520" t="s">
        <v>66</v>
      </c>
      <c r="B520" t="s">
        <v>68</v>
      </c>
      <c r="C520">
        <v>23</v>
      </c>
      <c r="D520" t="s">
        <v>124</v>
      </c>
      <c r="E520" t="s">
        <v>111</v>
      </c>
      <c r="F520" t="s">
        <v>95</v>
      </c>
      <c r="G520">
        <v>0.68630817725209003</v>
      </c>
      <c r="H520">
        <v>0</v>
      </c>
      <c r="I520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30</v>
      </c>
      <c r="K520" s="5" cm="1">
        <f t="array" ref="K520">IFERROR(AVERAGE(IF((OutputTable[GroupByKey]=OutputTable[[#This Row],[GroupByKey]]),(OutputTable[GroupByKey]=OutputTable[[#This Row],[GroupByKey]])*OutputTable[RecordedValue])),0)</f>
        <v>0.78890367752589419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5.7743599319329868E-2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520" s="5" cm="1">
        <f t="array" ref="O520">MIN(IF((OutputTable[GroupByKey]=OutputTable[[#This Row],[GroupByKey]]),(OutputTable[GroupByKey]=OutputTable[[#This Row],[GroupByKey]])*OutputTable[RecordedValue]))</f>
        <v>0.68630817725209003</v>
      </c>
      <c r="P520" s="5" cm="1">
        <f t="array" ref="P520">MAX(IF((OutputTable[GroupByKey]=OutputTable[[#This Row],[GroupByKey]]),(OutputTable[GroupByKey]=OutputTable[[#This Row],[GroupByKey]])*OutputTable[RecordedValue]))</f>
        <v>0.89844569749382897</v>
      </c>
    </row>
    <row r="521" spans="1:16" x14ac:dyDescent="0.3">
      <c r="A521" t="s">
        <v>66</v>
      </c>
      <c r="B521" t="s">
        <v>68</v>
      </c>
      <c r="C521">
        <v>23</v>
      </c>
      <c r="D521" t="s">
        <v>125</v>
      </c>
      <c r="E521" t="s">
        <v>126</v>
      </c>
      <c r="F521" t="s">
        <v>86</v>
      </c>
      <c r="G521">
        <v>158</v>
      </c>
      <c r="H521">
        <v>0</v>
      </c>
      <c r="I521" s="5" t="str">
        <f>OutputTable[[#This Row],[ProjectName]]&amp;OutputTable[[#This Row],[Name]]&amp;OutputTable[[#This Row],[Type]]&amp;OutputTable[[#This Row],[Source]]</f>
        <v>Unnamed ProjectVisitantes.NumberInNumber InEntity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30</v>
      </c>
      <c r="K521" s="5" cm="1">
        <f t="array" ref="K521">IFERROR(AVERAGE(IF((OutputTable[GroupByKey]=OutputTable[[#This Row],[GroupByKey]]),(OutputTable[GroupByKey]=OutputTable[[#This Row],[GroupByKey]])*OutputTable[RecordedValue])),0)</f>
        <v>194.43333333333334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19.567184586538712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521" s="5" cm="1">
        <f t="array" ref="O521">MIN(IF((OutputTable[GroupByKey]=OutputTable[[#This Row],[GroupByKey]]),(OutputTable[GroupByKey]=OutputTable[[#This Row],[GroupByKey]])*OutputTable[RecordedValue]))</f>
        <v>158</v>
      </c>
      <c r="P521" s="5" cm="1">
        <f t="array" ref="P521">MAX(IF((OutputTable[GroupByKey]=OutputTable[[#This Row],[GroupByKey]]),(OutputTable[GroupByKey]=OutputTable[[#This Row],[GroupByKey]])*OutputTable[RecordedValue]))</f>
        <v>255</v>
      </c>
    </row>
    <row r="522" spans="1:16" x14ac:dyDescent="0.3">
      <c r="A522" t="s">
        <v>66</v>
      </c>
      <c r="B522" t="s">
        <v>68</v>
      </c>
      <c r="C522">
        <v>23</v>
      </c>
      <c r="D522" t="s">
        <v>127</v>
      </c>
      <c r="E522" t="s">
        <v>121</v>
      </c>
      <c r="F522" t="s">
        <v>86</v>
      </c>
      <c r="G522">
        <v>122</v>
      </c>
      <c r="H522">
        <v>0</v>
      </c>
      <c r="I522" s="5" t="str">
        <f>OutputTable[[#This Row],[ProjectName]]&amp;OutputTable[[#This Row],[Name]]&amp;OutputTable[[#This Row],[Type]]&amp;OutputTable[[#This Row],[Source]]</f>
        <v>Unnamed ProjectVisitantes.NumberOutNumber OutEntity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30</v>
      </c>
      <c r="K522" s="5" cm="1">
        <f t="array" ref="K522">IFERROR(AVERAGE(IF((OutputTable[GroupByKey]=OutputTable[[#This Row],[GroupByKey]]),(OutputTable[GroupByKey]=OutputTable[[#This Row],[GroupByKey]])*OutputTable[RecordedValue])),0)</f>
        <v>138.66666666666666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10.59386072484773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522" s="5" cm="1">
        <f t="array" ref="O522">MIN(IF((OutputTable[GroupByKey]=OutputTable[[#This Row],[GroupByKey]]),(OutputTable[GroupByKey]=OutputTable[[#This Row],[GroupByKey]])*OutputTable[RecordedValue]))</f>
        <v>122</v>
      </c>
      <c r="P522" s="5" cm="1">
        <f t="array" ref="P522">MAX(IF((OutputTable[GroupByKey]=OutputTable[[#This Row],[GroupByKey]]),(OutputTable[GroupByKey]=OutputTable[[#This Row],[GroupByKey]])*OutputTable[RecordedValue]))</f>
        <v>158</v>
      </c>
    </row>
    <row r="523" spans="1:16" x14ac:dyDescent="0.3">
      <c r="A523" t="s">
        <v>66</v>
      </c>
      <c r="B523" t="s">
        <v>68</v>
      </c>
      <c r="C523">
        <v>23</v>
      </c>
      <c r="D523" t="s">
        <v>128</v>
      </c>
      <c r="E523" t="s">
        <v>109</v>
      </c>
      <c r="F523" t="s">
        <v>95</v>
      </c>
      <c r="G523">
        <v>0</v>
      </c>
      <c r="H523">
        <v>0</v>
      </c>
      <c r="I523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30</v>
      </c>
      <c r="K523" s="5" cm="1">
        <f t="array" ref="K523">IFERROR(AVERAGE(IF((OutputTable[GroupByKey]=OutputTable[[#This Row],[GroupByKey]]),(OutputTable[GroupByKey]=OutputTable[[#This Row],[GroupByKey]])*OutputTable[RecordedValue])),0)</f>
        <v>0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0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3" s="5" cm="1">
        <f t="array" ref="O523">MIN(IF((OutputTable[GroupByKey]=OutputTable[[#This Row],[GroupByKey]]),(OutputTable[GroupByKey]=OutputTable[[#This Row],[GroupByKey]])*OutputTable[RecordedValue]))</f>
        <v>0</v>
      </c>
      <c r="P523" s="5" cm="1">
        <f t="array" ref="P523">MAX(IF((OutputTable[GroupByKey]=OutputTable[[#This Row],[GroupByKey]]),(OutputTable[GroupByKey]=OutputTable[[#This Row],[GroupByKey]])*OutputTable[RecordedValue]))</f>
        <v>0</v>
      </c>
    </row>
    <row r="524" spans="1:16" x14ac:dyDescent="0.3">
      <c r="A524" t="s">
        <v>66</v>
      </c>
      <c r="B524" t="s">
        <v>68</v>
      </c>
      <c r="C524">
        <v>23</v>
      </c>
      <c r="D524" t="s">
        <v>129</v>
      </c>
      <c r="E524" t="s">
        <v>111</v>
      </c>
      <c r="F524" t="s">
        <v>95</v>
      </c>
      <c r="G524">
        <v>0</v>
      </c>
      <c r="H524">
        <v>0</v>
      </c>
      <c r="I524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30</v>
      </c>
      <c r="K524" s="5" cm="1">
        <f t="array" ref="K524">IFERROR(AVERAGE(IF((OutputTable[GroupByKey]=OutputTable[[#This Row],[GroupByKey]]),(OutputTable[GroupByKey]=OutputTable[[#This Row],[GroupByKey]])*OutputTable[RecordedValue])),0)</f>
        <v>0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0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4" s="5" cm="1">
        <f t="array" ref="O524">MIN(IF((OutputTable[GroupByKey]=OutputTable[[#This Row],[GroupByKey]]),(OutputTable[GroupByKey]=OutputTable[[#This Row],[GroupByKey]])*OutputTable[RecordedValue]))</f>
        <v>0</v>
      </c>
      <c r="P524" s="5" cm="1">
        <f t="array" ref="P524">MAX(IF((OutputTable[GroupByKey]=OutputTable[[#This Row],[GroupByKey]]),(OutputTable[GroupByKey]=OutputTable[[#This Row],[GroupByKey]])*OutputTable[RecordedValue]))</f>
        <v>0</v>
      </c>
    </row>
    <row r="525" spans="1:16" x14ac:dyDescent="0.3">
      <c r="A525" t="s">
        <v>66</v>
      </c>
      <c r="B525" t="s">
        <v>68</v>
      </c>
      <c r="C525">
        <v>23</v>
      </c>
      <c r="D525" t="s">
        <v>130</v>
      </c>
      <c r="E525" t="s">
        <v>109</v>
      </c>
      <c r="F525" t="s">
        <v>95</v>
      </c>
      <c r="G525">
        <v>86</v>
      </c>
      <c r="H525">
        <v>0</v>
      </c>
      <c r="I525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30</v>
      </c>
      <c r="K525" s="5" cm="1">
        <f t="array" ref="K525">IFERROR(AVERAGE(IF((OutputTable[GroupByKey]=OutputTable[[#This Row],[GroupByKey]]),(OutputTable[GroupByKey]=OutputTable[[#This Row],[GroupByKey]])*OutputTable[RecordedValue])),0)</f>
        <v>99.666666666666671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11.021400290698853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525" s="5" cm="1">
        <f t="array" ref="O525">MIN(IF((OutputTable[GroupByKey]=OutputTable[[#This Row],[GroupByKey]]),(OutputTable[GroupByKey]=OutputTable[[#This Row],[GroupByKey]])*OutputTable[RecordedValue]))</f>
        <v>84</v>
      </c>
      <c r="P525" s="5" cm="1">
        <f t="array" ref="P525">MAX(IF((OutputTable[GroupByKey]=OutputTable[[#This Row],[GroupByKey]]),(OutputTable[GroupByKey]=OutputTable[[#This Row],[GroupByKey]])*OutputTable[RecordedValue]))</f>
        <v>133</v>
      </c>
    </row>
    <row r="526" spans="1:16" x14ac:dyDescent="0.3">
      <c r="A526" t="s">
        <v>66</v>
      </c>
      <c r="B526" t="s">
        <v>68</v>
      </c>
      <c r="C526">
        <v>23</v>
      </c>
      <c r="D526" t="s">
        <v>131</v>
      </c>
      <c r="E526" t="s">
        <v>111</v>
      </c>
      <c r="F526" t="s">
        <v>95</v>
      </c>
      <c r="G526">
        <v>0.68623908393770205</v>
      </c>
      <c r="H526">
        <v>0</v>
      </c>
      <c r="I526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30</v>
      </c>
      <c r="K526" s="5" cm="1">
        <f t="array" ref="K526">IFERROR(AVERAGE(IF((OutputTable[GroupByKey]=OutputTable[[#This Row],[GroupByKey]]),(OutputTable[GroupByKey]=OutputTable[[#This Row],[GroupByKey]])*OutputTable[RecordedValue])),0)</f>
        <v>0.81099663999028448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0.1069626954834289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526" s="5" cm="1">
        <f t="array" ref="O526">MIN(IF((OutputTable[GroupByKey]=OutputTable[[#This Row],[GroupByKey]]),(OutputTable[GroupByKey]=OutputTable[[#This Row],[GroupByKey]])*OutputTable[RecordedValue]))</f>
        <v>0.634589476164233</v>
      </c>
      <c r="P526" s="5" cm="1">
        <f t="array" ref="P526">MAX(IF((OutputTable[GroupByKey]=OutputTable[[#This Row],[GroupByKey]]),(OutputTable[GroupByKey]=OutputTable[[#This Row],[GroupByKey]])*OutputTable[RecordedValue]))</f>
        <v>0.99383259650362799</v>
      </c>
    </row>
    <row r="527" spans="1:16" x14ac:dyDescent="0.3">
      <c r="A527" t="s">
        <v>66</v>
      </c>
      <c r="B527" t="s">
        <v>68</v>
      </c>
      <c r="C527">
        <v>23</v>
      </c>
      <c r="D527" t="s">
        <v>132</v>
      </c>
      <c r="E527" t="s">
        <v>109</v>
      </c>
      <c r="F527" t="s">
        <v>95</v>
      </c>
      <c r="G527">
        <v>43</v>
      </c>
      <c r="H527">
        <v>0</v>
      </c>
      <c r="I527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30</v>
      </c>
      <c r="K527" s="5" cm="1">
        <f t="array" ref="K527">IFERROR(AVERAGE(IF((OutputTable[GroupByKey]=OutputTable[[#This Row],[GroupByKey]]),(OutputTable[GroupByKey]=OutputTable[[#This Row],[GroupByKey]])*OutputTable[RecordedValue])),0)</f>
        <v>51.966666666666669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7.0636677653220881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527" s="5" cm="1">
        <f t="array" ref="O527">MIN(IF((OutputTable[GroupByKey]=OutputTable[[#This Row],[GroupByKey]]),(OutputTable[GroupByKey]=OutputTable[[#This Row],[GroupByKey]])*OutputTable[RecordedValue]))</f>
        <v>40</v>
      </c>
      <c r="P527" s="5" cm="1">
        <f t="array" ref="P527">MAX(IF((OutputTable[GroupByKey]=OutputTable[[#This Row],[GroupByKey]]),(OutputTable[GroupByKey]=OutputTable[[#This Row],[GroupByKey]])*OutputTable[RecordedValue]))</f>
        <v>70</v>
      </c>
    </row>
    <row r="528" spans="1:16" x14ac:dyDescent="0.3">
      <c r="A528" t="s">
        <v>66</v>
      </c>
      <c r="B528" t="s">
        <v>68</v>
      </c>
      <c r="C528">
        <v>23</v>
      </c>
      <c r="D528" t="s">
        <v>133</v>
      </c>
      <c r="E528" t="s">
        <v>111</v>
      </c>
      <c r="F528" t="s">
        <v>95</v>
      </c>
      <c r="G528">
        <v>0.765483147292917</v>
      </c>
      <c r="H528">
        <v>0</v>
      </c>
      <c r="I528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30</v>
      </c>
      <c r="K528" s="5" cm="1">
        <f t="array" ref="K528">IFERROR(AVERAGE(IF((OutputTable[GroupByKey]=OutputTable[[#This Row],[GroupByKey]]),(OutputTable[GroupByKey]=OutputTable[[#This Row],[GroupByKey]])*OutputTable[RecordedValue])),0)</f>
        <v>0.86404173385398308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7.7429091138254261E-2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528" s="5" cm="1">
        <f t="array" ref="O528">MIN(IF((OutputTable[GroupByKey]=OutputTable[[#This Row],[GroupByKey]]),(OutputTable[GroupByKey]=OutputTable[[#This Row],[GroupByKey]])*OutputTable[RecordedValue]))</f>
        <v>0.74061105631083801</v>
      </c>
      <c r="P528" s="5" cm="1">
        <f t="array" ref="P528">MAX(IF((OutputTable[GroupByKey]=OutputTable[[#This Row],[GroupByKey]]),(OutputTable[GroupByKey]=OutputTable[[#This Row],[GroupByKey]])*OutputTable[RecordedValue]))</f>
        <v>0.99245161744166299</v>
      </c>
    </row>
    <row r="529" spans="1:16" x14ac:dyDescent="0.3">
      <c r="A529" t="s">
        <v>66</v>
      </c>
      <c r="B529" t="s">
        <v>68</v>
      </c>
      <c r="C529">
        <v>23</v>
      </c>
      <c r="D529" t="s">
        <v>134</v>
      </c>
      <c r="E529" t="s">
        <v>109</v>
      </c>
      <c r="F529" t="s">
        <v>95</v>
      </c>
      <c r="G529">
        <v>28</v>
      </c>
      <c r="H529">
        <v>0</v>
      </c>
      <c r="I529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30</v>
      </c>
      <c r="K529" s="5" cm="1">
        <f t="array" ref="K529">IFERROR(AVERAGE(IF((OutputTable[GroupByKey]=OutputTable[[#This Row],[GroupByKey]]),(OutputTable[GroupByKey]=OutputTable[[#This Row],[GroupByKey]])*OutputTable[RecordedValue])),0)</f>
        <v>36.233333333333334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4.775536318198915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529" s="5" cm="1">
        <f t="array" ref="O529">MIN(IF((OutputTable[GroupByKey]=OutputTable[[#This Row],[GroupByKey]]),(OutputTable[GroupByKey]=OutputTable[[#This Row],[GroupByKey]])*OutputTable[RecordedValue]))</f>
        <v>28</v>
      </c>
      <c r="P529" s="5" cm="1">
        <f t="array" ref="P529">MAX(IF((OutputTable[GroupByKey]=OutputTable[[#This Row],[GroupByKey]]),(OutputTable[GroupByKey]=OutputTable[[#This Row],[GroupByKey]])*OutputTable[RecordedValue]))</f>
        <v>48</v>
      </c>
    </row>
    <row r="530" spans="1:16" x14ac:dyDescent="0.3">
      <c r="A530" t="s">
        <v>66</v>
      </c>
      <c r="B530" t="s">
        <v>68</v>
      </c>
      <c r="C530">
        <v>23</v>
      </c>
      <c r="D530" t="s">
        <v>135</v>
      </c>
      <c r="E530" t="s">
        <v>111</v>
      </c>
      <c r="F530" t="s">
        <v>95</v>
      </c>
      <c r="G530">
        <v>0.75560671418055303</v>
      </c>
      <c r="H530">
        <v>0</v>
      </c>
      <c r="I530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30</v>
      </c>
      <c r="K530" s="5" cm="1">
        <f t="array" ref="K530">IFERROR(AVERAGE(IF((OutputTable[GroupByKey]=OutputTable[[#This Row],[GroupByKey]]),(OutputTable[GroupByKey]=OutputTable[[#This Row],[GroupByKey]])*OutputTable[RecordedValue])),0)</f>
        <v>0.88098039877461687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6.9783648638161486E-2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530" s="5" cm="1">
        <f t="array" ref="O530">MIN(IF((OutputTable[GroupByKey]=OutputTable[[#This Row],[GroupByKey]]),(OutputTable[GroupByKey]=OutputTable[[#This Row],[GroupByKey]])*OutputTable[RecordedValue]))</f>
        <v>0.73843386001690303</v>
      </c>
      <c r="P530" s="5" cm="1">
        <f t="array" ref="P530">MAX(IF((OutputTable[GroupByKey]=OutputTable[[#This Row],[GroupByKey]]),(OutputTable[GroupByKey]=OutputTable[[#This Row],[GroupByKey]])*OutputTable[RecordedValue]))</f>
        <v>0.99245161744166299</v>
      </c>
    </row>
    <row r="531" spans="1:16" x14ac:dyDescent="0.3">
      <c r="A531" t="s">
        <v>66</v>
      </c>
      <c r="B531" t="s">
        <v>68</v>
      </c>
      <c r="C531">
        <v>24</v>
      </c>
      <c r="D531" t="s">
        <v>108</v>
      </c>
      <c r="E531" t="s">
        <v>109</v>
      </c>
      <c r="F531" t="s">
        <v>95</v>
      </c>
      <c r="G531">
        <v>24</v>
      </c>
      <c r="H531">
        <v>0</v>
      </c>
      <c r="I531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30</v>
      </c>
      <c r="K531" s="5" cm="1">
        <f t="array" ref="K531">IFERROR(AVERAGE(IF((OutputTable[GroupByKey]=OutputTable[[#This Row],[GroupByKey]]),(OutputTable[GroupByKey]=OutputTable[[#This Row],[GroupByKey]])*OutputTable[RecordedValue])),0)</f>
        <v>34.633333333333333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6.3326375903390151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531" s="5" cm="1">
        <f t="array" ref="O531">MIN(IF((OutputTable[GroupByKey]=OutputTable[[#This Row],[GroupByKey]]),(OutputTable[GroupByKey]=OutputTable[[#This Row],[GroupByKey]])*OutputTable[RecordedValue]))</f>
        <v>24</v>
      </c>
      <c r="P531" s="5" cm="1">
        <f t="array" ref="P531">MAX(IF((OutputTable[GroupByKey]=OutputTable[[#This Row],[GroupByKey]]),(OutputTable[GroupByKey]=OutputTable[[#This Row],[GroupByKey]])*OutputTable[RecordedValue]))</f>
        <v>47</v>
      </c>
    </row>
    <row r="532" spans="1:16" x14ac:dyDescent="0.3">
      <c r="A532" t="s">
        <v>66</v>
      </c>
      <c r="B532" t="s">
        <v>68</v>
      </c>
      <c r="C532">
        <v>24</v>
      </c>
      <c r="D532" t="s">
        <v>110</v>
      </c>
      <c r="E532" t="s">
        <v>111</v>
      </c>
      <c r="F532" t="s">
        <v>95</v>
      </c>
      <c r="G532">
        <v>2.3718114155243601E-2</v>
      </c>
      <c r="H532">
        <v>0</v>
      </c>
      <c r="I532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30</v>
      </c>
      <c r="K532" s="5" cm="1">
        <f t="array" ref="K532">IFERROR(AVERAGE(IF((OutputTable[GroupByKey]=OutputTable[[#This Row],[GroupByKey]]),(OutputTable[GroupByKey]=OutputTable[[#This Row],[GroupByKey]])*OutputTable[RecordedValue])),0)</f>
        <v>3.5359789427834361E-2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6.6521615975834569E-3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532" s="5" cm="1">
        <f t="array" ref="O532">MIN(IF((OutputTable[GroupByKey]=OutputTable[[#This Row],[GroupByKey]]),(OutputTable[GroupByKey]=OutputTable[[#This Row],[GroupByKey]])*OutputTable[RecordedValue]))</f>
        <v>2.3718114155243601E-2</v>
      </c>
      <c r="P532" s="5" cm="1">
        <f t="array" ref="P532">MAX(IF((OutputTable[GroupByKey]=OutputTable[[#This Row],[GroupByKey]]),(OutputTable[GroupByKey]=OutputTable[[#This Row],[GroupByKey]])*OutputTable[RecordedValue]))</f>
        <v>4.8583931724403701E-2</v>
      </c>
    </row>
    <row r="533" spans="1:16" x14ac:dyDescent="0.3">
      <c r="A533" t="s">
        <v>66</v>
      </c>
      <c r="B533" t="s">
        <v>68</v>
      </c>
      <c r="C533">
        <v>24</v>
      </c>
      <c r="D533" t="s">
        <v>112</v>
      </c>
      <c r="E533" t="s">
        <v>109</v>
      </c>
      <c r="F533" t="s">
        <v>95</v>
      </c>
      <c r="G533">
        <v>96</v>
      </c>
      <c r="H533">
        <v>0</v>
      </c>
      <c r="I533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30</v>
      </c>
      <c r="K533" s="5" cm="1">
        <f t="array" ref="K533">IFERROR(AVERAGE(IF((OutputTable[GroupByKey]=OutputTable[[#This Row],[GroupByKey]]),(OutputTable[GroupByKey]=OutputTable[[#This Row],[GroupByKey]])*OutputTable[RecordedValue])),0)</f>
        <v>105.13333333333334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9.9020490158675578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533" s="5" cm="1">
        <f t="array" ref="O533">MIN(IF((OutputTable[GroupByKey]=OutputTable[[#This Row],[GroupByKey]]),(OutputTable[GroupByKey]=OutputTable[[#This Row],[GroupByKey]])*OutputTable[RecordedValue]))</f>
        <v>90</v>
      </c>
      <c r="P533" s="5" cm="1">
        <f t="array" ref="P533">MAX(IF((OutputTable[GroupByKey]=OutputTable[[#This Row],[GroupByKey]]),(OutputTable[GroupByKey]=OutputTable[[#This Row],[GroupByKey]])*OutputTable[RecordedValue]))</f>
        <v>120</v>
      </c>
    </row>
    <row r="534" spans="1:16" x14ac:dyDescent="0.3">
      <c r="A534" t="s">
        <v>66</v>
      </c>
      <c r="B534" t="s">
        <v>68</v>
      </c>
      <c r="C534">
        <v>24</v>
      </c>
      <c r="D534" t="s">
        <v>113</v>
      </c>
      <c r="E534" t="s">
        <v>111</v>
      </c>
      <c r="F534" t="s">
        <v>95</v>
      </c>
      <c r="G534">
        <v>0.22562670141869701</v>
      </c>
      <c r="H534">
        <v>0</v>
      </c>
      <c r="I534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30</v>
      </c>
      <c r="K534" s="5" cm="1">
        <f t="array" ref="K534">IFERROR(AVERAGE(IF((OutputTable[GroupByKey]=OutputTable[[#This Row],[GroupByKey]]),(OutputTable[GroupByKey]=OutputTable[[#This Row],[GroupByKey]])*OutputTable[RecordedValue])),0)</f>
        <v>0.24658598119222253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2.3372241503878202E-2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534" s="5" cm="1">
        <f t="array" ref="O534">MIN(IF((OutputTable[GroupByKey]=OutputTable[[#This Row],[GroupByKey]]),(OutputTable[GroupByKey]=OutputTable[[#This Row],[GroupByKey]])*OutputTable[RecordedValue]))</f>
        <v>0.20767736113278101</v>
      </c>
      <c r="P534" s="5" cm="1">
        <f t="array" ref="P534">MAX(IF((OutputTable[GroupByKey]=OutputTable[[#This Row],[GroupByKey]]),(OutputTable[GroupByKey]=OutputTable[[#This Row],[GroupByKey]])*OutputTable[RecordedValue]))</f>
        <v>0.28501162927715601</v>
      </c>
    </row>
    <row r="535" spans="1:16" x14ac:dyDescent="0.3">
      <c r="A535" t="s">
        <v>66</v>
      </c>
      <c r="B535" t="s">
        <v>68</v>
      </c>
      <c r="C535">
        <v>24</v>
      </c>
      <c r="D535" t="s">
        <v>114</v>
      </c>
      <c r="E535" t="s">
        <v>109</v>
      </c>
      <c r="F535" t="s">
        <v>95</v>
      </c>
      <c r="G535">
        <v>126</v>
      </c>
      <c r="H535">
        <v>0</v>
      </c>
      <c r="I535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30</v>
      </c>
      <c r="K535" s="5" cm="1">
        <f t="array" ref="K535">IFERROR(AVERAGE(IF((OutputTable[GroupByKey]=OutputTable[[#This Row],[GroupByKey]]),(OutputTable[GroupByKey]=OutputTable[[#This Row],[GroupByKey]])*OutputTable[RecordedValue])),0)</f>
        <v>130.19999999999999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9.6932255049418501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535" s="5" cm="1">
        <f t="array" ref="O535">MIN(IF((OutputTable[GroupByKey]=OutputTable[[#This Row],[GroupByKey]]),(OutputTable[GroupByKey]=OutputTable[[#This Row],[GroupByKey]])*OutputTable[RecordedValue]))</f>
        <v>112</v>
      </c>
      <c r="P535" s="5" cm="1">
        <f t="array" ref="P535">MAX(IF((OutputTable[GroupByKey]=OutputTable[[#This Row],[GroupByKey]]),(OutputTable[GroupByKey]=OutputTable[[#This Row],[GroupByKey]])*OutputTable[RecordedValue]))</f>
        <v>150</v>
      </c>
    </row>
    <row r="536" spans="1:16" x14ac:dyDescent="0.3">
      <c r="A536" t="s">
        <v>66</v>
      </c>
      <c r="B536" t="s">
        <v>68</v>
      </c>
      <c r="C536">
        <v>24</v>
      </c>
      <c r="D536" t="s">
        <v>115</v>
      </c>
      <c r="E536" t="s">
        <v>111</v>
      </c>
      <c r="F536" t="s">
        <v>95</v>
      </c>
      <c r="G536">
        <v>0.59696568518832804</v>
      </c>
      <c r="H536">
        <v>0</v>
      </c>
      <c r="I536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30</v>
      </c>
      <c r="K536" s="5" cm="1">
        <f t="array" ref="K536">IFERROR(AVERAGE(IF((OutputTable[GroupByKey]=OutputTable[[#This Row],[GroupByKey]]),(OutputTable[GroupByKey]=OutputTable[[#This Row],[GroupByKey]])*OutputTable[RecordedValue])),0)</f>
        <v>0.61071636647106653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4.8363406640152928E-2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536" s="5" cm="1">
        <f t="array" ref="O536">MIN(IF((OutputTable[GroupByKey]=OutputTable[[#This Row],[GroupByKey]]),(OutputTable[GroupByKey]=OutputTable[[#This Row],[GroupByKey]])*OutputTable[RecordedValue]))</f>
        <v>0.517215348442703</v>
      </c>
      <c r="P536" s="5" cm="1">
        <f t="array" ref="P536">MAX(IF((OutputTable[GroupByKey]=OutputTable[[#This Row],[GroupByKey]]),(OutputTable[GroupByKey]=OutputTable[[#This Row],[GroupByKey]])*OutputTable[RecordedValue]))</f>
        <v>0.67770389283754395</v>
      </c>
    </row>
    <row r="537" spans="1:16" x14ac:dyDescent="0.3">
      <c r="A537" t="s">
        <v>66</v>
      </c>
      <c r="B537" t="s">
        <v>68</v>
      </c>
      <c r="C537">
        <v>24</v>
      </c>
      <c r="D537" t="s">
        <v>116</v>
      </c>
      <c r="E537" t="s">
        <v>109</v>
      </c>
      <c r="F537" t="s">
        <v>95</v>
      </c>
      <c r="G537">
        <v>342</v>
      </c>
      <c r="H537">
        <v>0</v>
      </c>
      <c r="I537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30</v>
      </c>
      <c r="K537" s="5" cm="1">
        <f t="array" ref="K537">IFERROR(AVERAGE(IF((OutputTable[GroupByKey]=OutputTable[[#This Row],[GroupByKey]]),(OutputTable[GroupByKey]=OutputTable[[#This Row],[GroupByKey]])*OutputTable[RecordedValue])),0)</f>
        <v>366.5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27.998460548813185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537" s="5" cm="1">
        <f t="array" ref="O537">MIN(IF((OutputTable[GroupByKey]=OutputTable[[#This Row],[GroupByKey]]),(OutputTable[GroupByKey]=OutputTable[[#This Row],[GroupByKey]])*OutputTable[RecordedValue]))</f>
        <v>308</v>
      </c>
      <c r="P537" s="5" cm="1">
        <f t="array" ref="P537">MAX(IF((OutputTable[GroupByKey]=OutputTable[[#This Row],[GroupByKey]]),(OutputTable[GroupByKey]=OutputTable[[#This Row],[GroupByKey]])*OutputTable[RecordedValue]))</f>
        <v>415</v>
      </c>
    </row>
    <row r="538" spans="1:16" x14ac:dyDescent="0.3">
      <c r="A538" t="s">
        <v>66</v>
      </c>
      <c r="B538" t="s">
        <v>68</v>
      </c>
      <c r="C538">
        <v>24</v>
      </c>
      <c r="D538" t="s">
        <v>117</v>
      </c>
      <c r="E538" t="s">
        <v>111</v>
      </c>
      <c r="F538" t="s">
        <v>95</v>
      </c>
      <c r="G538">
        <v>0.160142422616219</v>
      </c>
      <c r="H538">
        <v>0</v>
      </c>
      <c r="I538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30</v>
      </c>
      <c r="K538" s="5" cm="1">
        <f t="array" ref="K538">IFERROR(AVERAGE(IF((OutputTable[GroupByKey]=OutputTable[[#This Row],[GroupByKey]]),(OutputTable[GroupByKey]=OutputTable[[#This Row],[GroupByKey]])*OutputTable[RecordedValue])),0)</f>
        <v>0.17017204824235124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1.331368412630852E-2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538" s="5" cm="1">
        <f t="array" ref="O538">MIN(IF((OutputTable[GroupByKey]=OutputTable[[#This Row],[GroupByKey]]),(OutputTable[GroupByKey]=OutputTable[[#This Row],[GroupByKey]])*OutputTable[RecordedValue]))</f>
        <v>0.14484829778125299</v>
      </c>
      <c r="P538" s="5" cm="1">
        <f t="array" ref="P538">MAX(IF((OutputTable[GroupByKey]=OutputTable[[#This Row],[GroupByKey]]),(OutputTable[GroupByKey]=OutputTable[[#This Row],[GroupByKey]])*OutputTable[RecordedValue]))</f>
        <v>0.19609322315655101</v>
      </c>
    </row>
    <row r="539" spans="1:16" x14ac:dyDescent="0.3">
      <c r="A539" t="s">
        <v>66</v>
      </c>
      <c r="B539" t="s">
        <v>68</v>
      </c>
      <c r="C539">
        <v>24</v>
      </c>
      <c r="D539" t="s">
        <v>118</v>
      </c>
      <c r="E539" t="s">
        <v>109</v>
      </c>
      <c r="F539" t="s">
        <v>95</v>
      </c>
      <c r="G539">
        <v>61</v>
      </c>
      <c r="H539">
        <v>0</v>
      </c>
      <c r="I539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30</v>
      </c>
      <c r="K539" s="5" cm="1">
        <f t="array" ref="K539">IFERROR(AVERAGE(IF((OutputTable[GroupByKey]=OutputTable[[#This Row],[GroupByKey]]),(OutputTable[GroupByKey]=OutputTable[[#This Row],[GroupByKey]])*OutputTable[RecordedValue])),0)</f>
        <v>67.599999999999994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8.2277914244430335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539" s="5" cm="1">
        <f t="array" ref="O539">MIN(IF((OutputTable[GroupByKey]=OutputTable[[#This Row],[GroupByKey]]),(OutputTable[GroupByKey]=OutputTable[[#This Row],[GroupByKey]])*OutputTable[RecordedValue]))</f>
        <v>53</v>
      </c>
      <c r="P539" s="5" cm="1">
        <f t="array" ref="P539">MAX(IF((OutputTable[GroupByKey]=OutputTable[[#This Row],[GroupByKey]]),(OutputTable[GroupByKey]=OutputTable[[#This Row],[GroupByKey]])*OutputTable[RecordedValue]))</f>
        <v>83</v>
      </c>
    </row>
    <row r="540" spans="1:16" x14ac:dyDescent="0.3">
      <c r="A540" t="s">
        <v>66</v>
      </c>
      <c r="B540" t="s">
        <v>68</v>
      </c>
      <c r="C540">
        <v>24</v>
      </c>
      <c r="D540" t="s">
        <v>119</v>
      </c>
      <c r="E540" t="s">
        <v>111</v>
      </c>
      <c r="F540" t="s">
        <v>95</v>
      </c>
      <c r="G540">
        <v>8.1143797382031299E-2</v>
      </c>
      <c r="H540">
        <v>0</v>
      </c>
      <c r="I540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30</v>
      </c>
      <c r="K540" s="5" cm="1">
        <f t="array" ref="K540">IFERROR(AVERAGE(IF((OutputTable[GroupByKey]=OutputTable[[#This Row],[GroupByKey]]),(OutputTable[GroupByKey]=OutputTable[[#This Row],[GroupByKey]])*OutputTable[RecordedValue])),0)</f>
        <v>9.2629789222133899E-2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1.1199993404883948E-2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540" s="5" cm="1">
        <f t="array" ref="O540">MIN(IF((OutputTable[GroupByKey]=OutputTable[[#This Row],[GroupByKey]]),(OutputTable[GroupByKey]=OutputTable[[#This Row],[GroupByKey]])*OutputTable[RecordedValue]))</f>
        <v>7.4778736536586704E-2</v>
      </c>
      <c r="P540" s="5" cm="1">
        <f t="array" ref="P540">MAX(IF((OutputTable[GroupByKey]=OutputTable[[#This Row],[GroupByKey]]),(OutputTable[GroupByKey]=OutputTable[[#This Row],[GroupByKey]])*OutputTable[RecordedValue]))</f>
        <v>0.111025455742452</v>
      </c>
    </row>
    <row r="541" spans="1:16" x14ac:dyDescent="0.3">
      <c r="A541" t="s">
        <v>66</v>
      </c>
      <c r="B541" t="s">
        <v>68</v>
      </c>
      <c r="C541">
        <v>24</v>
      </c>
      <c r="D541" t="s">
        <v>120</v>
      </c>
      <c r="E541" t="s">
        <v>121</v>
      </c>
      <c r="F541" t="s">
        <v>122</v>
      </c>
      <c r="G541">
        <v>125</v>
      </c>
      <c r="H541">
        <v>0</v>
      </c>
      <c r="I541" s="5" t="str">
        <f>OutputTable[[#This Row],[ProjectName]]&amp;OutputTable[[#This Row],[Name]]&amp;OutputTable[[#This Row],[Type]]&amp;OutputTable[[#This Row],[Source]]</f>
        <v>Unnamed ProjectSystem.NumberOutNumber OutSystem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30</v>
      </c>
      <c r="K541" s="5" cm="1">
        <f t="array" ref="K541">IFERROR(AVERAGE(IF((OutputTable[GroupByKey]=OutputTable[[#This Row],[GroupByKey]]),(OutputTable[GroupByKey]=OutputTable[[#This Row],[GroupByKey]])*OutputTable[RecordedValue])),0)</f>
        <v>138.66666666666666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10.59386072484773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541" s="5" cm="1">
        <f t="array" ref="O541">MIN(IF((OutputTable[GroupByKey]=OutputTable[[#This Row],[GroupByKey]]),(OutputTable[GroupByKey]=OutputTable[[#This Row],[GroupByKey]])*OutputTable[RecordedValue]))</f>
        <v>122</v>
      </c>
      <c r="P541" s="5" cm="1">
        <f t="array" ref="P541">MAX(IF((OutputTable[GroupByKey]=OutputTable[[#This Row],[GroupByKey]]),(OutputTable[GroupByKey]=OutputTable[[#This Row],[GroupByKey]])*OutputTable[RecordedValue]))</f>
        <v>158</v>
      </c>
    </row>
    <row r="542" spans="1:16" x14ac:dyDescent="0.3">
      <c r="A542" t="s">
        <v>66</v>
      </c>
      <c r="B542" t="s">
        <v>68</v>
      </c>
      <c r="C542">
        <v>24</v>
      </c>
      <c r="D542" t="s">
        <v>123</v>
      </c>
      <c r="E542" t="s">
        <v>109</v>
      </c>
      <c r="F542" t="s">
        <v>95</v>
      </c>
      <c r="G542">
        <v>300</v>
      </c>
      <c r="H542">
        <v>0</v>
      </c>
      <c r="I542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30</v>
      </c>
      <c r="K542" s="5" cm="1">
        <f t="array" ref="K542">IFERROR(AVERAGE(IF((OutputTable[GroupByKey]=OutputTable[[#This Row],[GroupByKey]]),(OutputTable[GroupByKey]=OutputTable[[#This Row],[GroupByKey]])*OutputTable[RecordedValue])),0)</f>
        <v>324.63333333333333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23.733409208195905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542" s="5" cm="1">
        <f t="array" ref="O542">MIN(IF((OutputTable[GroupByKey]=OutputTable[[#This Row],[GroupByKey]]),(OutputTable[GroupByKey]=OutputTable[[#This Row],[GroupByKey]])*OutputTable[RecordedValue]))</f>
        <v>276</v>
      </c>
      <c r="P542" s="5" cm="1">
        <f t="array" ref="P542">MAX(IF((OutputTable[GroupByKey]=OutputTable[[#This Row],[GroupByKey]]),(OutputTable[GroupByKey]=OutputTable[[#This Row],[GroupByKey]])*OutputTable[RecordedValue]))</f>
        <v>370</v>
      </c>
    </row>
    <row r="543" spans="1:16" x14ac:dyDescent="0.3">
      <c r="A543" t="s">
        <v>66</v>
      </c>
      <c r="B543" t="s">
        <v>68</v>
      </c>
      <c r="C543">
        <v>24</v>
      </c>
      <c r="D543" t="s">
        <v>124</v>
      </c>
      <c r="E543" t="s">
        <v>111</v>
      </c>
      <c r="F543" t="s">
        <v>95</v>
      </c>
      <c r="G543">
        <v>0.73543134418887102</v>
      </c>
      <c r="H543">
        <v>0</v>
      </c>
      <c r="I543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30</v>
      </c>
      <c r="K543" s="5" cm="1">
        <f t="array" ref="K543">IFERROR(AVERAGE(IF((OutputTable[GroupByKey]=OutputTable[[#This Row],[GroupByKey]]),(OutputTable[GroupByKey]=OutputTable[[#This Row],[GroupByKey]])*OutputTable[RecordedValue])),0)</f>
        <v>0.78890367752589419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5.7743599319329868E-2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543" s="5" cm="1">
        <f t="array" ref="O543">MIN(IF((OutputTable[GroupByKey]=OutputTable[[#This Row],[GroupByKey]]),(OutputTable[GroupByKey]=OutputTable[[#This Row],[GroupByKey]])*OutputTable[RecordedValue]))</f>
        <v>0.68630817725209003</v>
      </c>
      <c r="P543" s="5" cm="1">
        <f t="array" ref="P543">MAX(IF((OutputTable[GroupByKey]=OutputTable[[#This Row],[GroupByKey]]),(OutputTable[GroupByKey]=OutputTable[[#This Row],[GroupByKey]])*OutputTable[RecordedValue]))</f>
        <v>0.89844569749382897</v>
      </c>
    </row>
    <row r="544" spans="1:16" x14ac:dyDescent="0.3">
      <c r="A544" t="s">
        <v>66</v>
      </c>
      <c r="B544" t="s">
        <v>68</v>
      </c>
      <c r="C544">
        <v>24</v>
      </c>
      <c r="D544" t="s">
        <v>125</v>
      </c>
      <c r="E544" t="s">
        <v>126</v>
      </c>
      <c r="F544" t="s">
        <v>86</v>
      </c>
      <c r="G544">
        <v>201</v>
      </c>
      <c r="H544">
        <v>0</v>
      </c>
      <c r="I544" s="5" t="str">
        <f>OutputTable[[#This Row],[ProjectName]]&amp;OutputTable[[#This Row],[Name]]&amp;OutputTable[[#This Row],[Type]]&amp;OutputTable[[#This Row],[Source]]</f>
        <v>Unnamed ProjectVisitantes.NumberInNumber InEntity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30</v>
      </c>
      <c r="K544" s="5" cm="1">
        <f t="array" ref="K544">IFERROR(AVERAGE(IF((OutputTable[GroupByKey]=OutputTable[[#This Row],[GroupByKey]]),(OutputTable[GroupByKey]=OutputTable[[#This Row],[GroupByKey]])*OutputTable[RecordedValue])),0)</f>
        <v>194.43333333333334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19.567184586538712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544" s="5" cm="1">
        <f t="array" ref="O544">MIN(IF((OutputTable[GroupByKey]=OutputTable[[#This Row],[GroupByKey]]),(OutputTable[GroupByKey]=OutputTable[[#This Row],[GroupByKey]])*OutputTable[RecordedValue]))</f>
        <v>158</v>
      </c>
      <c r="P544" s="5" cm="1">
        <f t="array" ref="P544">MAX(IF((OutputTable[GroupByKey]=OutputTable[[#This Row],[GroupByKey]]),(OutputTable[GroupByKey]=OutputTable[[#This Row],[GroupByKey]])*OutputTable[RecordedValue]))</f>
        <v>255</v>
      </c>
    </row>
    <row r="545" spans="1:16" x14ac:dyDescent="0.3">
      <c r="A545" t="s">
        <v>66</v>
      </c>
      <c r="B545" t="s">
        <v>68</v>
      </c>
      <c r="C545">
        <v>24</v>
      </c>
      <c r="D545" t="s">
        <v>127</v>
      </c>
      <c r="E545" t="s">
        <v>121</v>
      </c>
      <c r="F545" t="s">
        <v>86</v>
      </c>
      <c r="G545">
        <v>125</v>
      </c>
      <c r="H545">
        <v>0</v>
      </c>
      <c r="I545" s="5" t="str">
        <f>OutputTable[[#This Row],[ProjectName]]&amp;OutputTable[[#This Row],[Name]]&amp;OutputTable[[#This Row],[Type]]&amp;OutputTable[[#This Row],[Source]]</f>
        <v>Unnamed ProjectVisitantes.NumberOutNumber OutEntity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30</v>
      </c>
      <c r="K545" s="5" cm="1">
        <f t="array" ref="K545">IFERROR(AVERAGE(IF((OutputTable[GroupByKey]=OutputTable[[#This Row],[GroupByKey]]),(OutputTable[GroupByKey]=OutputTable[[#This Row],[GroupByKey]])*OutputTable[RecordedValue])),0)</f>
        <v>138.66666666666666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10.59386072484773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545" s="5" cm="1">
        <f t="array" ref="O545">MIN(IF((OutputTable[GroupByKey]=OutputTable[[#This Row],[GroupByKey]]),(OutputTable[GroupByKey]=OutputTable[[#This Row],[GroupByKey]])*OutputTable[RecordedValue]))</f>
        <v>122</v>
      </c>
      <c r="P545" s="5" cm="1">
        <f t="array" ref="P545">MAX(IF((OutputTable[GroupByKey]=OutputTable[[#This Row],[GroupByKey]]),(OutputTable[GroupByKey]=OutputTable[[#This Row],[GroupByKey]])*OutputTable[RecordedValue]))</f>
        <v>158</v>
      </c>
    </row>
    <row r="546" spans="1:16" x14ac:dyDescent="0.3">
      <c r="A546" t="s">
        <v>66</v>
      </c>
      <c r="B546" t="s">
        <v>68</v>
      </c>
      <c r="C546">
        <v>24</v>
      </c>
      <c r="D546" t="s">
        <v>128</v>
      </c>
      <c r="E546" t="s">
        <v>109</v>
      </c>
      <c r="F546" t="s">
        <v>95</v>
      </c>
      <c r="G546">
        <v>0</v>
      </c>
      <c r="H546">
        <v>0</v>
      </c>
      <c r="I546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30</v>
      </c>
      <c r="K546" s="5" cm="1">
        <f t="array" ref="K546">IFERROR(AVERAGE(IF((OutputTable[GroupByKey]=OutputTable[[#This Row],[GroupByKey]]),(OutputTable[GroupByKey]=OutputTable[[#This Row],[GroupByKey]])*OutputTable[RecordedValue])),0)</f>
        <v>0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0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6" s="5" cm="1">
        <f t="array" ref="O546">MIN(IF((OutputTable[GroupByKey]=OutputTable[[#This Row],[GroupByKey]]),(OutputTable[GroupByKey]=OutputTable[[#This Row],[GroupByKey]])*OutputTable[RecordedValue]))</f>
        <v>0</v>
      </c>
      <c r="P546" s="5" cm="1">
        <f t="array" ref="P546">MAX(IF((OutputTable[GroupByKey]=OutputTable[[#This Row],[GroupByKey]]),(OutputTable[GroupByKey]=OutputTable[[#This Row],[GroupByKey]])*OutputTable[RecordedValue]))</f>
        <v>0</v>
      </c>
    </row>
    <row r="547" spans="1:16" x14ac:dyDescent="0.3">
      <c r="A547" t="s">
        <v>66</v>
      </c>
      <c r="B547" t="s">
        <v>68</v>
      </c>
      <c r="C547">
        <v>24</v>
      </c>
      <c r="D547" t="s">
        <v>129</v>
      </c>
      <c r="E547" t="s">
        <v>111</v>
      </c>
      <c r="F547" t="s">
        <v>95</v>
      </c>
      <c r="G547">
        <v>0</v>
      </c>
      <c r="H547">
        <v>0</v>
      </c>
      <c r="I547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30</v>
      </c>
      <c r="K547" s="5" cm="1">
        <f t="array" ref="K547">IFERROR(AVERAGE(IF((OutputTable[GroupByKey]=OutputTable[[#This Row],[GroupByKey]]),(OutputTable[GroupByKey]=OutputTable[[#This Row],[GroupByKey]])*OutputTable[RecordedValue])),0)</f>
        <v>0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0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7" s="5" cm="1">
        <f t="array" ref="O547">MIN(IF((OutputTable[GroupByKey]=OutputTable[[#This Row],[GroupByKey]]),(OutputTable[GroupByKey]=OutputTable[[#This Row],[GroupByKey]])*OutputTable[RecordedValue]))</f>
        <v>0</v>
      </c>
      <c r="P547" s="5" cm="1">
        <f t="array" ref="P547">MAX(IF((OutputTable[GroupByKey]=OutputTable[[#This Row],[GroupByKey]]),(OutputTable[GroupByKey]=OutputTable[[#This Row],[GroupByKey]])*OutputTable[RecordedValue]))</f>
        <v>0</v>
      </c>
    </row>
    <row r="548" spans="1:16" x14ac:dyDescent="0.3">
      <c r="A548" t="s">
        <v>66</v>
      </c>
      <c r="B548" t="s">
        <v>68</v>
      </c>
      <c r="C548">
        <v>24</v>
      </c>
      <c r="D548" t="s">
        <v>130</v>
      </c>
      <c r="E548" t="s">
        <v>109</v>
      </c>
      <c r="F548" t="s">
        <v>95</v>
      </c>
      <c r="G548">
        <v>97</v>
      </c>
      <c r="H548">
        <v>0</v>
      </c>
      <c r="I548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30</v>
      </c>
      <c r="K548" s="5" cm="1">
        <f t="array" ref="K548">IFERROR(AVERAGE(IF((OutputTable[GroupByKey]=OutputTable[[#This Row],[GroupByKey]]),(OutputTable[GroupByKey]=OutputTable[[#This Row],[GroupByKey]])*OutputTable[RecordedValue])),0)</f>
        <v>99.666666666666671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11.021400290698853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548" s="5" cm="1">
        <f t="array" ref="O548">MIN(IF((OutputTable[GroupByKey]=OutputTable[[#This Row],[GroupByKey]]),(OutputTable[GroupByKey]=OutputTable[[#This Row],[GroupByKey]])*OutputTable[RecordedValue]))</f>
        <v>84</v>
      </c>
      <c r="P548" s="5" cm="1">
        <f t="array" ref="P548">MAX(IF((OutputTable[GroupByKey]=OutputTable[[#This Row],[GroupByKey]]),(OutputTable[GroupByKey]=OutputTable[[#This Row],[GroupByKey]])*OutputTable[RecordedValue]))</f>
        <v>133</v>
      </c>
    </row>
    <row r="549" spans="1:16" x14ac:dyDescent="0.3">
      <c r="A549" t="s">
        <v>66</v>
      </c>
      <c r="B549" t="s">
        <v>68</v>
      </c>
      <c r="C549">
        <v>24</v>
      </c>
      <c r="D549" t="s">
        <v>131</v>
      </c>
      <c r="E549" t="s">
        <v>111</v>
      </c>
      <c r="F549" t="s">
        <v>95</v>
      </c>
      <c r="G549">
        <v>0.911001933301818</v>
      </c>
      <c r="H549">
        <v>0</v>
      </c>
      <c r="I549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30</v>
      </c>
      <c r="K549" s="5" cm="1">
        <f t="array" ref="K549">IFERROR(AVERAGE(IF((OutputTable[GroupByKey]=OutputTable[[#This Row],[GroupByKey]]),(OutputTable[GroupByKey]=OutputTable[[#This Row],[GroupByKey]])*OutputTable[RecordedValue])),0)</f>
        <v>0.81099663999028448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0.1069626954834289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549" s="5" cm="1">
        <f t="array" ref="O549">MIN(IF((OutputTable[GroupByKey]=OutputTable[[#This Row],[GroupByKey]]),(OutputTable[GroupByKey]=OutputTable[[#This Row],[GroupByKey]])*OutputTable[RecordedValue]))</f>
        <v>0.634589476164233</v>
      </c>
      <c r="P549" s="5" cm="1">
        <f t="array" ref="P549">MAX(IF((OutputTable[GroupByKey]=OutputTable[[#This Row],[GroupByKey]]),(OutputTable[GroupByKey]=OutputTable[[#This Row],[GroupByKey]])*OutputTable[RecordedValue]))</f>
        <v>0.99383259650362799</v>
      </c>
    </row>
    <row r="550" spans="1:16" x14ac:dyDescent="0.3">
      <c r="A550" t="s">
        <v>66</v>
      </c>
      <c r="B550" t="s">
        <v>68</v>
      </c>
      <c r="C550">
        <v>24</v>
      </c>
      <c r="D550" t="s">
        <v>132</v>
      </c>
      <c r="E550" t="s">
        <v>109</v>
      </c>
      <c r="F550" t="s">
        <v>95</v>
      </c>
      <c r="G550">
        <v>45</v>
      </c>
      <c r="H550">
        <v>0</v>
      </c>
      <c r="I550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30</v>
      </c>
      <c r="K550" s="5" cm="1">
        <f t="array" ref="K550">IFERROR(AVERAGE(IF((OutputTable[GroupByKey]=OutputTable[[#This Row],[GroupByKey]]),(OutputTable[GroupByKey]=OutputTable[[#This Row],[GroupByKey]])*OutputTable[RecordedValue])),0)</f>
        <v>51.966666666666669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7.0636677653220881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550" s="5" cm="1">
        <f t="array" ref="O550">MIN(IF((OutputTable[GroupByKey]=OutputTable[[#This Row],[GroupByKey]]),(OutputTable[GroupByKey]=OutputTable[[#This Row],[GroupByKey]])*OutputTable[RecordedValue]))</f>
        <v>40</v>
      </c>
      <c r="P550" s="5" cm="1">
        <f t="array" ref="P550">MAX(IF((OutputTable[GroupByKey]=OutputTable[[#This Row],[GroupByKey]]),(OutputTable[GroupByKey]=OutputTable[[#This Row],[GroupByKey]])*OutputTable[RecordedValue]))</f>
        <v>70</v>
      </c>
    </row>
    <row r="551" spans="1:16" x14ac:dyDescent="0.3">
      <c r="A551" t="s">
        <v>66</v>
      </c>
      <c r="B551" t="s">
        <v>68</v>
      </c>
      <c r="C551">
        <v>24</v>
      </c>
      <c r="D551" t="s">
        <v>133</v>
      </c>
      <c r="E551" t="s">
        <v>111</v>
      </c>
      <c r="F551" t="s">
        <v>95</v>
      </c>
      <c r="G551">
        <v>0.95890374566069803</v>
      </c>
      <c r="H551">
        <v>0</v>
      </c>
      <c r="I551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30</v>
      </c>
      <c r="K551" s="5" cm="1">
        <f t="array" ref="K551">IFERROR(AVERAGE(IF((OutputTable[GroupByKey]=OutputTable[[#This Row],[GroupByKey]]),(OutputTable[GroupByKey]=OutputTable[[#This Row],[GroupByKey]])*OutputTable[RecordedValue])),0)</f>
        <v>0.86404173385398308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7.7429091138254261E-2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551" s="5" cm="1">
        <f t="array" ref="O551">MIN(IF((OutputTable[GroupByKey]=OutputTable[[#This Row],[GroupByKey]]),(OutputTable[GroupByKey]=OutputTable[[#This Row],[GroupByKey]])*OutputTable[RecordedValue]))</f>
        <v>0.74061105631083801</v>
      </c>
      <c r="P551" s="5" cm="1">
        <f t="array" ref="P551">MAX(IF((OutputTable[GroupByKey]=OutputTable[[#This Row],[GroupByKey]]),(OutputTable[GroupByKey]=OutputTable[[#This Row],[GroupByKey]])*OutputTable[RecordedValue]))</f>
        <v>0.99245161744166299</v>
      </c>
    </row>
    <row r="552" spans="1:16" x14ac:dyDescent="0.3">
      <c r="A552" t="s">
        <v>66</v>
      </c>
      <c r="B552" t="s">
        <v>68</v>
      </c>
      <c r="C552">
        <v>24</v>
      </c>
      <c r="D552" t="s">
        <v>134</v>
      </c>
      <c r="E552" t="s">
        <v>109</v>
      </c>
      <c r="F552" t="s">
        <v>95</v>
      </c>
      <c r="G552">
        <v>36</v>
      </c>
      <c r="H552">
        <v>0</v>
      </c>
      <c r="I552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30</v>
      </c>
      <c r="K552" s="5" cm="1">
        <f t="array" ref="K552">IFERROR(AVERAGE(IF((OutputTable[GroupByKey]=OutputTable[[#This Row],[GroupByKey]]),(OutputTable[GroupByKey]=OutputTable[[#This Row],[GroupByKey]])*OutputTable[RecordedValue])),0)</f>
        <v>36.233333333333334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4.775536318198915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552" s="5" cm="1">
        <f t="array" ref="O552">MIN(IF((OutputTable[GroupByKey]=OutputTable[[#This Row],[GroupByKey]]),(OutputTable[GroupByKey]=OutputTable[[#This Row],[GroupByKey]])*OutputTable[RecordedValue]))</f>
        <v>28</v>
      </c>
      <c r="P552" s="5" cm="1">
        <f t="array" ref="P552">MAX(IF((OutputTable[GroupByKey]=OutputTable[[#This Row],[GroupByKey]]),(OutputTable[GroupByKey]=OutputTable[[#This Row],[GroupByKey]])*OutputTable[RecordedValue]))</f>
        <v>48</v>
      </c>
    </row>
    <row r="553" spans="1:16" x14ac:dyDescent="0.3">
      <c r="A553" t="s">
        <v>66</v>
      </c>
      <c r="B553" t="s">
        <v>68</v>
      </c>
      <c r="C553">
        <v>24</v>
      </c>
      <c r="D553" t="s">
        <v>135</v>
      </c>
      <c r="E553" t="s">
        <v>111</v>
      </c>
      <c r="F553" t="s">
        <v>95</v>
      </c>
      <c r="G553">
        <v>0.92569165943714105</v>
      </c>
      <c r="H553">
        <v>0</v>
      </c>
      <c r="I553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30</v>
      </c>
      <c r="K553" s="5" cm="1">
        <f t="array" ref="K553">IFERROR(AVERAGE(IF((OutputTable[GroupByKey]=OutputTable[[#This Row],[GroupByKey]]),(OutputTable[GroupByKey]=OutputTable[[#This Row],[GroupByKey]])*OutputTable[RecordedValue])),0)</f>
        <v>0.88098039877461687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6.9783648638161486E-2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553" s="5" cm="1">
        <f t="array" ref="O553">MIN(IF((OutputTable[GroupByKey]=OutputTable[[#This Row],[GroupByKey]]),(OutputTable[GroupByKey]=OutputTable[[#This Row],[GroupByKey]])*OutputTable[RecordedValue]))</f>
        <v>0.73843386001690303</v>
      </c>
      <c r="P553" s="5" cm="1">
        <f t="array" ref="P553">MAX(IF((OutputTable[GroupByKey]=OutputTable[[#This Row],[GroupByKey]]),(OutputTable[GroupByKey]=OutputTable[[#This Row],[GroupByKey]])*OutputTable[RecordedValue]))</f>
        <v>0.99245161744166299</v>
      </c>
    </row>
    <row r="554" spans="1:16" x14ac:dyDescent="0.3">
      <c r="A554" t="s">
        <v>66</v>
      </c>
      <c r="B554" t="s">
        <v>68</v>
      </c>
      <c r="C554">
        <v>25</v>
      </c>
      <c r="D554" t="s">
        <v>108</v>
      </c>
      <c r="E554" t="s">
        <v>109</v>
      </c>
      <c r="F554" t="s">
        <v>95</v>
      </c>
      <c r="G554">
        <v>37</v>
      </c>
      <c r="H554">
        <v>0</v>
      </c>
      <c r="I554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30</v>
      </c>
      <c r="K554" s="5" cm="1">
        <f t="array" ref="K554">IFERROR(AVERAGE(IF((OutputTable[GroupByKey]=OutputTable[[#This Row],[GroupByKey]]),(OutputTable[GroupByKey]=OutputTable[[#This Row],[GroupByKey]])*OutputTable[RecordedValue])),0)</f>
        <v>34.633333333333333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6.3326375903390151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554" s="5" cm="1">
        <f t="array" ref="O554">MIN(IF((OutputTable[GroupByKey]=OutputTable[[#This Row],[GroupByKey]]),(OutputTable[GroupByKey]=OutputTable[[#This Row],[GroupByKey]])*OutputTable[RecordedValue]))</f>
        <v>24</v>
      </c>
      <c r="P554" s="5" cm="1">
        <f t="array" ref="P554">MAX(IF((OutputTable[GroupByKey]=OutputTable[[#This Row],[GroupByKey]]),(OutputTable[GroupByKey]=OutputTable[[#This Row],[GroupByKey]])*OutputTable[RecordedValue]))</f>
        <v>47</v>
      </c>
    </row>
    <row r="555" spans="1:16" x14ac:dyDescent="0.3">
      <c r="A555" t="s">
        <v>66</v>
      </c>
      <c r="B555" t="s">
        <v>68</v>
      </c>
      <c r="C555">
        <v>25</v>
      </c>
      <c r="D555" t="s">
        <v>110</v>
      </c>
      <c r="E555" t="s">
        <v>111</v>
      </c>
      <c r="F555" t="s">
        <v>95</v>
      </c>
      <c r="G555">
        <v>3.7359407874086301E-2</v>
      </c>
      <c r="H555">
        <v>0</v>
      </c>
      <c r="I555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30</v>
      </c>
      <c r="K555" s="5" cm="1">
        <f t="array" ref="K555">IFERROR(AVERAGE(IF((OutputTable[GroupByKey]=OutputTable[[#This Row],[GroupByKey]]),(OutputTable[GroupByKey]=OutputTable[[#This Row],[GroupByKey]])*OutputTable[RecordedValue])),0)</f>
        <v>3.5359789427834361E-2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6.6521615975834569E-3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555" s="5" cm="1">
        <f t="array" ref="O555">MIN(IF((OutputTable[GroupByKey]=OutputTable[[#This Row],[GroupByKey]]),(OutputTable[GroupByKey]=OutputTable[[#This Row],[GroupByKey]])*OutputTable[RecordedValue]))</f>
        <v>2.3718114155243601E-2</v>
      </c>
      <c r="P555" s="5" cm="1">
        <f t="array" ref="P555">MAX(IF((OutputTable[GroupByKey]=OutputTable[[#This Row],[GroupByKey]]),(OutputTable[GroupByKey]=OutputTable[[#This Row],[GroupByKey]])*OutputTable[RecordedValue]))</f>
        <v>4.8583931724403701E-2</v>
      </c>
    </row>
    <row r="556" spans="1:16" x14ac:dyDescent="0.3">
      <c r="A556" t="s">
        <v>66</v>
      </c>
      <c r="B556" t="s">
        <v>68</v>
      </c>
      <c r="C556">
        <v>25</v>
      </c>
      <c r="D556" t="s">
        <v>112</v>
      </c>
      <c r="E556" t="s">
        <v>109</v>
      </c>
      <c r="F556" t="s">
        <v>95</v>
      </c>
      <c r="G556">
        <v>111</v>
      </c>
      <c r="H556">
        <v>0</v>
      </c>
      <c r="I556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30</v>
      </c>
      <c r="K556" s="5" cm="1">
        <f t="array" ref="K556">IFERROR(AVERAGE(IF((OutputTable[GroupByKey]=OutputTable[[#This Row],[GroupByKey]]),(OutputTable[GroupByKey]=OutputTable[[#This Row],[GroupByKey]])*OutputTable[RecordedValue])),0)</f>
        <v>105.13333333333334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9.9020490158675578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556" s="5" cm="1">
        <f t="array" ref="O556">MIN(IF((OutputTable[GroupByKey]=OutputTable[[#This Row],[GroupByKey]]),(OutputTable[GroupByKey]=OutputTable[[#This Row],[GroupByKey]])*OutputTable[RecordedValue]))</f>
        <v>90</v>
      </c>
      <c r="P556" s="5" cm="1">
        <f t="array" ref="P556">MAX(IF((OutputTable[GroupByKey]=OutputTable[[#This Row],[GroupByKey]]),(OutputTable[GroupByKey]=OutputTable[[#This Row],[GroupByKey]])*OutputTable[RecordedValue]))</f>
        <v>120</v>
      </c>
    </row>
    <row r="557" spans="1:16" x14ac:dyDescent="0.3">
      <c r="A557" t="s">
        <v>66</v>
      </c>
      <c r="B557" t="s">
        <v>68</v>
      </c>
      <c r="C557">
        <v>25</v>
      </c>
      <c r="D557" t="s">
        <v>113</v>
      </c>
      <c r="E557" t="s">
        <v>111</v>
      </c>
      <c r="F557" t="s">
        <v>95</v>
      </c>
      <c r="G557">
        <v>0.23177057137797399</v>
      </c>
      <c r="H557">
        <v>0</v>
      </c>
      <c r="I557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30</v>
      </c>
      <c r="K557" s="5" cm="1">
        <f t="array" ref="K557">IFERROR(AVERAGE(IF((OutputTable[GroupByKey]=OutputTable[[#This Row],[GroupByKey]]),(OutputTable[GroupByKey]=OutputTable[[#This Row],[GroupByKey]])*OutputTable[RecordedValue])),0)</f>
        <v>0.24658598119222253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2.3372241503878202E-2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557" s="5" cm="1">
        <f t="array" ref="O557">MIN(IF((OutputTable[GroupByKey]=OutputTable[[#This Row],[GroupByKey]]),(OutputTable[GroupByKey]=OutputTable[[#This Row],[GroupByKey]])*OutputTable[RecordedValue]))</f>
        <v>0.20767736113278101</v>
      </c>
      <c r="P557" s="5" cm="1">
        <f t="array" ref="P557">MAX(IF((OutputTable[GroupByKey]=OutputTable[[#This Row],[GroupByKey]]),(OutputTable[GroupByKey]=OutputTable[[#This Row],[GroupByKey]])*OutputTable[RecordedValue]))</f>
        <v>0.28501162927715601</v>
      </c>
    </row>
    <row r="558" spans="1:16" x14ac:dyDescent="0.3">
      <c r="A558" t="s">
        <v>66</v>
      </c>
      <c r="B558" t="s">
        <v>68</v>
      </c>
      <c r="C558">
        <v>25</v>
      </c>
      <c r="D558" t="s">
        <v>114</v>
      </c>
      <c r="E558" t="s">
        <v>109</v>
      </c>
      <c r="F558" t="s">
        <v>95</v>
      </c>
      <c r="G558">
        <v>130</v>
      </c>
      <c r="H558">
        <v>0</v>
      </c>
      <c r="I558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30</v>
      </c>
      <c r="K558" s="5" cm="1">
        <f t="array" ref="K558">IFERROR(AVERAGE(IF((OutputTable[GroupByKey]=OutputTable[[#This Row],[GroupByKey]]),(OutputTable[GroupByKey]=OutputTable[[#This Row],[GroupByKey]])*OutputTable[RecordedValue])),0)</f>
        <v>130.19999999999999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9.6932255049418501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558" s="5" cm="1">
        <f t="array" ref="O558">MIN(IF((OutputTable[GroupByKey]=OutputTable[[#This Row],[GroupByKey]]),(OutputTable[GroupByKey]=OutputTable[[#This Row],[GroupByKey]])*OutputTable[RecordedValue]))</f>
        <v>112</v>
      </c>
      <c r="P558" s="5" cm="1">
        <f t="array" ref="P558">MAX(IF((OutputTable[GroupByKey]=OutputTable[[#This Row],[GroupByKey]]),(OutputTable[GroupByKey]=OutputTable[[#This Row],[GroupByKey]])*OutputTable[RecordedValue]))</f>
        <v>150</v>
      </c>
    </row>
    <row r="559" spans="1:16" x14ac:dyDescent="0.3">
      <c r="A559" t="s">
        <v>66</v>
      </c>
      <c r="B559" t="s">
        <v>68</v>
      </c>
      <c r="C559">
        <v>25</v>
      </c>
      <c r="D559" t="s">
        <v>115</v>
      </c>
      <c r="E559" t="s">
        <v>111</v>
      </c>
      <c r="F559" t="s">
        <v>95</v>
      </c>
      <c r="G559">
        <v>0.61200575653800104</v>
      </c>
      <c r="H559">
        <v>0</v>
      </c>
      <c r="I559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30</v>
      </c>
      <c r="K559" s="5" cm="1">
        <f t="array" ref="K559">IFERROR(AVERAGE(IF((OutputTable[GroupByKey]=OutputTable[[#This Row],[GroupByKey]]),(OutputTable[GroupByKey]=OutputTable[[#This Row],[GroupByKey]])*OutputTable[RecordedValue])),0)</f>
        <v>0.61071636647106653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4.8363406640152928E-2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559" s="5" cm="1">
        <f t="array" ref="O559">MIN(IF((OutputTable[GroupByKey]=OutputTable[[#This Row],[GroupByKey]]),(OutputTable[GroupByKey]=OutputTable[[#This Row],[GroupByKey]])*OutputTable[RecordedValue]))</f>
        <v>0.517215348442703</v>
      </c>
      <c r="P559" s="5" cm="1">
        <f t="array" ref="P559">MAX(IF((OutputTable[GroupByKey]=OutputTable[[#This Row],[GroupByKey]]),(OutputTable[GroupByKey]=OutputTable[[#This Row],[GroupByKey]])*OutputTable[RecordedValue]))</f>
        <v>0.67770389283754395</v>
      </c>
    </row>
    <row r="560" spans="1:16" x14ac:dyDescent="0.3">
      <c r="A560" t="s">
        <v>66</v>
      </c>
      <c r="B560" t="s">
        <v>68</v>
      </c>
      <c r="C560">
        <v>25</v>
      </c>
      <c r="D560" t="s">
        <v>116</v>
      </c>
      <c r="E560" t="s">
        <v>109</v>
      </c>
      <c r="F560" t="s">
        <v>95</v>
      </c>
      <c r="G560">
        <v>359</v>
      </c>
      <c r="H560">
        <v>0</v>
      </c>
      <c r="I560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30</v>
      </c>
      <c r="K560" s="5" cm="1">
        <f t="array" ref="K560">IFERROR(AVERAGE(IF((OutputTable[GroupByKey]=OutputTable[[#This Row],[GroupByKey]]),(OutputTable[GroupByKey]=OutputTable[[#This Row],[GroupByKey]])*OutputTable[RecordedValue])),0)</f>
        <v>366.5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27.998460548813185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560" s="5" cm="1">
        <f t="array" ref="O560">MIN(IF((OutputTable[GroupByKey]=OutputTable[[#This Row],[GroupByKey]]),(OutputTable[GroupByKey]=OutputTable[[#This Row],[GroupByKey]])*OutputTable[RecordedValue]))</f>
        <v>308</v>
      </c>
      <c r="P560" s="5" cm="1">
        <f t="array" ref="P560">MAX(IF((OutputTable[GroupByKey]=OutputTable[[#This Row],[GroupByKey]]),(OutputTable[GroupByKey]=OutputTable[[#This Row],[GroupByKey]])*OutputTable[RecordedValue]))</f>
        <v>415</v>
      </c>
    </row>
    <row r="561" spans="1:16" x14ac:dyDescent="0.3">
      <c r="A561" t="s">
        <v>66</v>
      </c>
      <c r="B561" t="s">
        <v>68</v>
      </c>
      <c r="C561">
        <v>25</v>
      </c>
      <c r="D561" t="s">
        <v>117</v>
      </c>
      <c r="E561" t="s">
        <v>111</v>
      </c>
      <c r="F561" t="s">
        <v>95</v>
      </c>
      <c r="G561">
        <v>0.160911278179313</v>
      </c>
      <c r="H561">
        <v>0</v>
      </c>
      <c r="I561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30</v>
      </c>
      <c r="K561" s="5" cm="1">
        <f t="array" ref="K561">IFERROR(AVERAGE(IF((OutputTable[GroupByKey]=OutputTable[[#This Row],[GroupByKey]]),(OutputTable[GroupByKey]=OutputTable[[#This Row],[GroupByKey]])*OutputTable[RecordedValue])),0)</f>
        <v>0.17017204824235124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1.331368412630852E-2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561" s="5" cm="1">
        <f t="array" ref="O561">MIN(IF((OutputTable[GroupByKey]=OutputTable[[#This Row],[GroupByKey]]),(OutputTable[GroupByKey]=OutputTable[[#This Row],[GroupByKey]])*OutputTable[RecordedValue]))</f>
        <v>0.14484829778125299</v>
      </c>
      <c r="P561" s="5" cm="1">
        <f t="array" ref="P561">MAX(IF((OutputTable[GroupByKey]=OutputTable[[#This Row],[GroupByKey]]),(OutputTable[GroupByKey]=OutputTable[[#This Row],[GroupByKey]])*OutputTable[RecordedValue]))</f>
        <v>0.19609322315655101</v>
      </c>
    </row>
    <row r="562" spans="1:16" x14ac:dyDescent="0.3">
      <c r="A562" t="s">
        <v>66</v>
      </c>
      <c r="B562" t="s">
        <v>68</v>
      </c>
      <c r="C562">
        <v>25</v>
      </c>
      <c r="D562" t="s">
        <v>118</v>
      </c>
      <c r="E562" t="s">
        <v>109</v>
      </c>
      <c r="F562" t="s">
        <v>95</v>
      </c>
      <c r="G562">
        <v>61</v>
      </c>
      <c r="H562">
        <v>0</v>
      </c>
      <c r="I562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30</v>
      </c>
      <c r="K562" s="5" cm="1">
        <f t="array" ref="K562">IFERROR(AVERAGE(IF((OutputTable[GroupByKey]=OutputTable[[#This Row],[GroupByKey]]),(OutputTable[GroupByKey]=OutputTable[[#This Row],[GroupByKey]])*OutputTable[RecordedValue])),0)</f>
        <v>67.599999999999994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8.2277914244430335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562" s="5" cm="1">
        <f t="array" ref="O562">MIN(IF((OutputTable[GroupByKey]=OutputTable[[#This Row],[GroupByKey]]),(OutputTable[GroupByKey]=OutputTable[[#This Row],[GroupByKey]])*OutputTable[RecordedValue]))</f>
        <v>53</v>
      </c>
      <c r="P562" s="5" cm="1">
        <f t="array" ref="P562">MAX(IF((OutputTable[GroupByKey]=OutputTable[[#This Row],[GroupByKey]]),(OutputTable[GroupByKey]=OutputTable[[#This Row],[GroupByKey]])*OutputTable[RecordedValue]))</f>
        <v>83</v>
      </c>
    </row>
    <row r="563" spans="1:16" x14ac:dyDescent="0.3">
      <c r="A563" t="s">
        <v>66</v>
      </c>
      <c r="B563" t="s">
        <v>68</v>
      </c>
      <c r="C563">
        <v>25</v>
      </c>
      <c r="D563" t="s">
        <v>119</v>
      </c>
      <c r="E563" t="s">
        <v>111</v>
      </c>
      <c r="F563" t="s">
        <v>95</v>
      </c>
      <c r="G563">
        <v>8.6095066958714106E-2</v>
      </c>
      <c r="H563">
        <v>0</v>
      </c>
      <c r="I563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30</v>
      </c>
      <c r="K563" s="5" cm="1">
        <f t="array" ref="K563">IFERROR(AVERAGE(IF((OutputTable[GroupByKey]=OutputTable[[#This Row],[GroupByKey]]),(OutputTable[GroupByKey]=OutputTable[[#This Row],[GroupByKey]])*OutputTable[RecordedValue])),0)</f>
        <v>9.2629789222133899E-2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1.1199993404883948E-2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563" s="5" cm="1">
        <f t="array" ref="O563">MIN(IF((OutputTable[GroupByKey]=OutputTable[[#This Row],[GroupByKey]]),(OutputTable[GroupByKey]=OutputTable[[#This Row],[GroupByKey]])*OutputTable[RecordedValue]))</f>
        <v>7.4778736536586704E-2</v>
      </c>
      <c r="P563" s="5" cm="1">
        <f t="array" ref="P563">MAX(IF((OutputTable[GroupByKey]=OutputTable[[#This Row],[GroupByKey]]),(OutputTable[GroupByKey]=OutputTable[[#This Row],[GroupByKey]])*OutputTable[RecordedValue]))</f>
        <v>0.111025455742452</v>
      </c>
    </row>
    <row r="564" spans="1:16" x14ac:dyDescent="0.3">
      <c r="A564" t="s">
        <v>66</v>
      </c>
      <c r="B564" t="s">
        <v>68</v>
      </c>
      <c r="C564">
        <v>25</v>
      </c>
      <c r="D564" t="s">
        <v>120</v>
      </c>
      <c r="E564" t="s">
        <v>121</v>
      </c>
      <c r="F564" t="s">
        <v>122</v>
      </c>
      <c r="G564">
        <v>135</v>
      </c>
      <c r="H564">
        <v>0</v>
      </c>
      <c r="I564" s="5" t="str">
        <f>OutputTable[[#This Row],[ProjectName]]&amp;OutputTable[[#This Row],[Name]]&amp;OutputTable[[#This Row],[Type]]&amp;OutputTable[[#This Row],[Source]]</f>
        <v>Unnamed ProjectSystem.NumberOutNumber OutSystem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30</v>
      </c>
      <c r="K564" s="5" cm="1">
        <f t="array" ref="K564">IFERROR(AVERAGE(IF((OutputTable[GroupByKey]=OutputTable[[#This Row],[GroupByKey]]),(OutputTable[GroupByKey]=OutputTable[[#This Row],[GroupByKey]])*OutputTable[RecordedValue])),0)</f>
        <v>138.66666666666666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10.59386072484773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564" s="5" cm="1">
        <f t="array" ref="O564">MIN(IF((OutputTable[GroupByKey]=OutputTable[[#This Row],[GroupByKey]]),(OutputTable[GroupByKey]=OutputTable[[#This Row],[GroupByKey]])*OutputTable[RecordedValue]))</f>
        <v>122</v>
      </c>
      <c r="P564" s="5" cm="1">
        <f t="array" ref="P564">MAX(IF((OutputTable[GroupByKey]=OutputTable[[#This Row],[GroupByKey]]),(OutputTable[GroupByKey]=OutputTable[[#This Row],[GroupByKey]])*OutputTable[RecordedValue]))</f>
        <v>158</v>
      </c>
    </row>
    <row r="565" spans="1:16" x14ac:dyDescent="0.3">
      <c r="A565" t="s">
        <v>66</v>
      </c>
      <c r="B565" t="s">
        <v>68</v>
      </c>
      <c r="C565">
        <v>25</v>
      </c>
      <c r="D565" t="s">
        <v>123</v>
      </c>
      <c r="E565" t="s">
        <v>109</v>
      </c>
      <c r="F565" t="s">
        <v>95</v>
      </c>
      <c r="G565">
        <v>323</v>
      </c>
      <c r="H565">
        <v>0</v>
      </c>
      <c r="I565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30</v>
      </c>
      <c r="K565" s="5" cm="1">
        <f t="array" ref="K565">IFERROR(AVERAGE(IF((OutputTable[GroupByKey]=OutputTable[[#This Row],[GroupByKey]]),(OutputTable[GroupByKey]=OutputTable[[#This Row],[GroupByKey]])*OutputTable[RecordedValue])),0)</f>
        <v>324.63333333333333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23.733409208195905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565" s="5" cm="1">
        <f t="array" ref="O565">MIN(IF((OutputTable[GroupByKey]=OutputTable[[#This Row],[GroupByKey]]),(OutputTable[GroupByKey]=OutputTable[[#This Row],[GroupByKey]])*OutputTable[RecordedValue]))</f>
        <v>276</v>
      </c>
      <c r="P565" s="5" cm="1">
        <f t="array" ref="P565">MAX(IF((OutputTable[GroupByKey]=OutputTable[[#This Row],[GroupByKey]]),(OutputTable[GroupByKey]=OutputTable[[#This Row],[GroupByKey]])*OutputTable[RecordedValue]))</f>
        <v>370</v>
      </c>
    </row>
    <row r="566" spans="1:16" x14ac:dyDescent="0.3">
      <c r="A566" t="s">
        <v>66</v>
      </c>
      <c r="B566" t="s">
        <v>68</v>
      </c>
      <c r="C566">
        <v>25</v>
      </c>
      <c r="D566" t="s">
        <v>124</v>
      </c>
      <c r="E566" t="s">
        <v>111</v>
      </c>
      <c r="F566" t="s">
        <v>95</v>
      </c>
      <c r="G566">
        <v>0.76041097186628603</v>
      </c>
      <c r="H566">
        <v>0</v>
      </c>
      <c r="I566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30</v>
      </c>
      <c r="K566" s="5" cm="1">
        <f t="array" ref="K566">IFERROR(AVERAGE(IF((OutputTable[GroupByKey]=OutputTable[[#This Row],[GroupByKey]]),(OutputTable[GroupByKey]=OutputTable[[#This Row],[GroupByKey]])*OutputTable[RecordedValue])),0)</f>
        <v>0.78890367752589419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5.7743599319329868E-2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566" s="5" cm="1">
        <f t="array" ref="O566">MIN(IF((OutputTable[GroupByKey]=OutputTable[[#This Row],[GroupByKey]]),(OutputTable[GroupByKey]=OutputTable[[#This Row],[GroupByKey]])*OutputTable[RecordedValue]))</f>
        <v>0.68630817725209003</v>
      </c>
      <c r="P566" s="5" cm="1">
        <f t="array" ref="P566">MAX(IF((OutputTable[GroupByKey]=OutputTable[[#This Row],[GroupByKey]]),(OutputTable[GroupByKey]=OutputTable[[#This Row],[GroupByKey]])*OutputTable[RecordedValue]))</f>
        <v>0.89844569749382897</v>
      </c>
    </row>
    <row r="567" spans="1:16" x14ac:dyDescent="0.3">
      <c r="A567" t="s">
        <v>66</v>
      </c>
      <c r="B567" t="s">
        <v>68</v>
      </c>
      <c r="C567">
        <v>25</v>
      </c>
      <c r="D567" t="s">
        <v>125</v>
      </c>
      <c r="E567" t="s">
        <v>126</v>
      </c>
      <c r="F567" t="s">
        <v>86</v>
      </c>
      <c r="G567">
        <v>187</v>
      </c>
      <c r="H567">
        <v>0</v>
      </c>
      <c r="I567" s="5" t="str">
        <f>OutputTable[[#This Row],[ProjectName]]&amp;OutputTable[[#This Row],[Name]]&amp;OutputTable[[#This Row],[Type]]&amp;OutputTable[[#This Row],[Source]]</f>
        <v>Unnamed ProjectVisitantes.NumberInNumber InEntity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30</v>
      </c>
      <c r="K567" s="5" cm="1">
        <f t="array" ref="K567">IFERROR(AVERAGE(IF((OutputTable[GroupByKey]=OutputTable[[#This Row],[GroupByKey]]),(OutputTable[GroupByKey]=OutputTable[[#This Row],[GroupByKey]])*OutputTable[RecordedValue])),0)</f>
        <v>194.43333333333334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19.567184586538712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567" s="5" cm="1">
        <f t="array" ref="O567">MIN(IF((OutputTable[GroupByKey]=OutputTable[[#This Row],[GroupByKey]]),(OutputTable[GroupByKey]=OutputTable[[#This Row],[GroupByKey]])*OutputTable[RecordedValue]))</f>
        <v>158</v>
      </c>
      <c r="P567" s="5" cm="1">
        <f t="array" ref="P567">MAX(IF((OutputTable[GroupByKey]=OutputTable[[#This Row],[GroupByKey]]),(OutputTable[GroupByKey]=OutputTable[[#This Row],[GroupByKey]])*OutputTable[RecordedValue]))</f>
        <v>255</v>
      </c>
    </row>
    <row r="568" spans="1:16" x14ac:dyDescent="0.3">
      <c r="A568" t="s">
        <v>66</v>
      </c>
      <c r="B568" t="s">
        <v>68</v>
      </c>
      <c r="C568">
        <v>25</v>
      </c>
      <c r="D568" t="s">
        <v>127</v>
      </c>
      <c r="E568" t="s">
        <v>121</v>
      </c>
      <c r="F568" t="s">
        <v>86</v>
      </c>
      <c r="G568">
        <v>135</v>
      </c>
      <c r="H568">
        <v>0</v>
      </c>
      <c r="I568" s="5" t="str">
        <f>OutputTable[[#This Row],[ProjectName]]&amp;OutputTable[[#This Row],[Name]]&amp;OutputTable[[#This Row],[Type]]&amp;OutputTable[[#This Row],[Source]]</f>
        <v>Unnamed ProjectVisitantes.NumberOutNumber OutEntity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30</v>
      </c>
      <c r="K568" s="5" cm="1">
        <f t="array" ref="K568">IFERROR(AVERAGE(IF((OutputTable[GroupByKey]=OutputTable[[#This Row],[GroupByKey]]),(OutputTable[GroupByKey]=OutputTable[[#This Row],[GroupByKey]])*OutputTable[RecordedValue])),0)</f>
        <v>138.66666666666666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10.59386072484773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568" s="5" cm="1">
        <f t="array" ref="O568">MIN(IF((OutputTable[GroupByKey]=OutputTable[[#This Row],[GroupByKey]]),(OutputTable[GroupByKey]=OutputTable[[#This Row],[GroupByKey]])*OutputTable[RecordedValue]))</f>
        <v>122</v>
      </c>
      <c r="P568" s="5" cm="1">
        <f t="array" ref="P568">MAX(IF((OutputTable[GroupByKey]=OutputTable[[#This Row],[GroupByKey]]),(OutputTable[GroupByKey]=OutputTable[[#This Row],[GroupByKey]])*OutputTable[RecordedValue]))</f>
        <v>158</v>
      </c>
    </row>
    <row r="569" spans="1:16" x14ac:dyDescent="0.3">
      <c r="A569" t="s">
        <v>66</v>
      </c>
      <c r="B569" t="s">
        <v>68</v>
      </c>
      <c r="C569">
        <v>25</v>
      </c>
      <c r="D569" t="s">
        <v>128</v>
      </c>
      <c r="E569" t="s">
        <v>109</v>
      </c>
      <c r="F569" t="s">
        <v>95</v>
      </c>
      <c r="G569">
        <v>0</v>
      </c>
      <c r="H569">
        <v>0</v>
      </c>
      <c r="I569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30</v>
      </c>
      <c r="K569" s="5" cm="1">
        <f t="array" ref="K569">IFERROR(AVERAGE(IF((OutputTable[GroupByKey]=OutputTable[[#This Row],[GroupByKey]]),(OutputTable[GroupByKey]=OutputTable[[#This Row],[GroupByKey]])*OutputTable[RecordedValue])),0)</f>
        <v>0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0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9" s="5" cm="1">
        <f t="array" ref="O569">MIN(IF((OutputTable[GroupByKey]=OutputTable[[#This Row],[GroupByKey]]),(OutputTable[GroupByKey]=OutputTable[[#This Row],[GroupByKey]])*OutputTable[RecordedValue]))</f>
        <v>0</v>
      </c>
      <c r="P569" s="5" cm="1">
        <f t="array" ref="P569">MAX(IF((OutputTable[GroupByKey]=OutputTable[[#This Row],[GroupByKey]]),(OutputTable[GroupByKey]=OutputTable[[#This Row],[GroupByKey]])*OutputTable[RecordedValue]))</f>
        <v>0</v>
      </c>
    </row>
    <row r="570" spans="1:16" x14ac:dyDescent="0.3">
      <c r="A570" t="s">
        <v>66</v>
      </c>
      <c r="B570" t="s">
        <v>68</v>
      </c>
      <c r="C570">
        <v>25</v>
      </c>
      <c r="D570" t="s">
        <v>129</v>
      </c>
      <c r="E570" t="s">
        <v>111</v>
      </c>
      <c r="F570" t="s">
        <v>95</v>
      </c>
      <c r="G570">
        <v>0</v>
      </c>
      <c r="H570">
        <v>0</v>
      </c>
      <c r="I570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30</v>
      </c>
      <c r="K570" s="5" cm="1">
        <f t="array" ref="K570">IFERROR(AVERAGE(IF((OutputTable[GroupByKey]=OutputTable[[#This Row],[GroupByKey]]),(OutputTable[GroupByKey]=OutputTable[[#This Row],[GroupByKey]])*OutputTable[RecordedValue])),0)</f>
        <v>0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0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0" s="5" cm="1">
        <f t="array" ref="O570">MIN(IF((OutputTable[GroupByKey]=OutputTable[[#This Row],[GroupByKey]]),(OutputTable[GroupByKey]=OutputTable[[#This Row],[GroupByKey]])*OutputTable[RecordedValue]))</f>
        <v>0</v>
      </c>
      <c r="P570" s="5" cm="1">
        <f t="array" ref="P570">MAX(IF((OutputTable[GroupByKey]=OutputTable[[#This Row],[GroupByKey]]),(OutputTable[GroupByKey]=OutputTable[[#This Row],[GroupByKey]])*OutputTable[RecordedValue]))</f>
        <v>0</v>
      </c>
    </row>
    <row r="571" spans="1:16" x14ac:dyDescent="0.3">
      <c r="A571" t="s">
        <v>66</v>
      </c>
      <c r="B571" t="s">
        <v>68</v>
      </c>
      <c r="C571">
        <v>25</v>
      </c>
      <c r="D571" t="s">
        <v>130</v>
      </c>
      <c r="E571" t="s">
        <v>109</v>
      </c>
      <c r="F571" t="s">
        <v>95</v>
      </c>
      <c r="G571">
        <v>116</v>
      </c>
      <c r="H571">
        <v>0</v>
      </c>
      <c r="I571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30</v>
      </c>
      <c r="K571" s="5" cm="1">
        <f t="array" ref="K571">IFERROR(AVERAGE(IF((OutputTable[GroupByKey]=OutputTable[[#This Row],[GroupByKey]]),(OutputTable[GroupByKey]=OutputTable[[#This Row],[GroupByKey]])*OutputTable[RecordedValue])),0)</f>
        <v>99.666666666666671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11.021400290698853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571" s="5" cm="1">
        <f t="array" ref="O571">MIN(IF((OutputTable[GroupByKey]=OutputTable[[#This Row],[GroupByKey]]),(OutputTable[GroupByKey]=OutputTable[[#This Row],[GroupByKey]])*OutputTable[RecordedValue]))</f>
        <v>84</v>
      </c>
      <c r="P571" s="5" cm="1">
        <f t="array" ref="P571">MAX(IF((OutputTable[GroupByKey]=OutputTable[[#This Row],[GroupByKey]]),(OutputTable[GroupByKey]=OutputTable[[#This Row],[GroupByKey]])*OutputTable[RecordedValue]))</f>
        <v>133</v>
      </c>
    </row>
    <row r="572" spans="1:16" x14ac:dyDescent="0.3">
      <c r="A572" t="s">
        <v>66</v>
      </c>
      <c r="B572" t="s">
        <v>68</v>
      </c>
      <c r="C572">
        <v>25</v>
      </c>
      <c r="D572" t="s">
        <v>131</v>
      </c>
      <c r="E572" t="s">
        <v>111</v>
      </c>
      <c r="F572" t="s">
        <v>95</v>
      </c>
      <c r="G572">
        <v>0.78667152568139198</v>
      </c>
      <c r="H572">
        <v>0</v>
      </c>
      <c r="I572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30</v>
      </c>
      <c r="K572" s="5" cm="1">
        <f t="array" ref="K572">IFERROR(AVERAGE(IF((OutputTable[GroupByKey]=OutputTable[[#This Row],[GroupByKey]]),(OutputTable[GroupByKey]=OutputTable[[#This Row],[GroupByKey]])*OutputTable[RecordedValue])),0)</f>
        <v>0.81099663999028448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0.1069626954834289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572" s="5" cm="1">
        <f t="array" ref="O572">MIN(IF((OutputTable[GroupByKey]=OutputTable[[#This Row],[GroupByKey]]),(OutputTable[GroupByKey]=OutputTable[[#This Row],[GroupByKey]])*OutputTable[RecordedValue]))</f>
        <v>0.634589476164233</v>
      </c>
      <c r="P572" s="5" cm="1">
        <f t="array" ref="P572">MAX(IF((OutputTable[GroupByKey]=OutputTable[[#This Row],[GroupByKey]]),(OutputTable[GroupByKey]=OutputTable[[#This Row],[GroupByKey]])*OutputTable[RecordedValue]))</f>
        <v>0.99383259650362799</v>
      </c>
    </row>
    <row r="573" spans="1:16" x14ac:dyDescent="0.3">
      <c r="A573" t="s">
        <v>66</v>
      </c>
      <c r="B573" t="s">
        <v>68</v>
      </c>
      <c r="C573">
        <v>25</v>
      </c>
      <c r="D573" t="s">
        <v>132</v>
      </c>
      <c r="E573" t="s">
        <v>109</v>
      </c>
      <c r="F573" t="s">
        <v>95</v>
      </c>
      <c r="G573">
        <v>41</v>
      </c>
      <c r="H573">
        <v>0</v>
      </c>
      <c r="I573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30</v>
      </c>
      <c r="K573" s="5" cm="1">
        <f t="array" ref="K573">IFERROR(AVERAGE(IF((OutputTable[GroupByKey]=OutputTable[[#This Row],[GroupByKey]]),(OutputTable[GroupByKey]=OutputTable[[#This Row],[GroupByKey]])*OutputTable[RecordedValue])),0)</f>
        <v>51.966666666666669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7.0636677653220881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573" s="5" cm="1">
        <f t="array" ref="O573">MIN(IF((OutputTable[GroupByKey]=OutputTable[[#This Row],[GroupByKey]]),(OutputTable[GroupByKey]=OutputTable[[#This Row],[GroupByKey]])*OutputTable[RecordedValue]))</f>
        <v>40</v>
      </c>
      <c r="P573" s="5" cm="1">
        <f t="array" ref="P573">MAX(IF((OutputTable[GroupByKey]=OutputTable[[#This Row],[GroupByKey]]),(OutputTable[GroupByKey]=OutputTable[[#This Row],[GroupByKey]])*OutputTable[RecordedValue]))</f>
        <v>70</v>
      </c>
    </row>
    <row r="574" spans="1:16" x14ac:dyDescent="0.3">
      <c r="A574" t="s">
        <v>66</v>
      </c>
      <c r="B574" t="s">
        <v>68</v>
      </c>
      <c r="C574">
        <v>25</v>
      </c>
      <c r="D574" t="s">
        <v>133</v>
      </c>
      <c r="E574" t="s">
        <v>111</v>
      </c>
      <c r="F574" t="s">
        <v>95</v>
      </c>
      <c r="G574">
        <v>0.85274105820123502</v>
      </c>
      <c r="H574">
        <v>0</v>
      </c>
      <c r="I574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30</v>
      </c>
      <c r="K574" s="5" cm="1">
        <f t="array" ref="K574">IFERROR(AVERAGE(IF((OutputTable[GroupByKey]=OutputTable[[#This Row],[GroupByKey]]),(OutputTable[GroupByKey]=OutputTable[[#This Row],[GroupByKey]])*OutputTable[RecordedValue])),0)</f>
        <v>0.86404173385398308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7.7429091138254261E-2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574" s="5" cm="1">
        <f t="array" ref="O574">MIN(IF((OutputTable[GroupByKey]=OutputTable[[#This Row],[GroupByKey]]),(OutputTable[GroupByKey]=OutputTable[[#This Row],[GroupByKey]])*OutputTable[RecordedValue]))</f>
        <v>0.74061105631083801</v>
      </c>
      <c r="P574" s="5" cm="1">
        <f t="array" ref="P574">MAX(IF((OutputTable[GroupByKey]=OutputTable[[#This Row],[GroupByKey]]),(OutputTable[GroupByKey]=OutputTable[[#This Row],[GroupByKey]])*OutputTable[RecordedValue]))</f>
        <v>0.99245161744166299</v>
      </c>
    </row>
    <row r="575" spans="1:16" x14ac:dyDescent="0.3">
      <c r="A575" t="s">
        <v>66</v>
      </c>
      <c r="B575" t="s">
        <v>68</v>
      </c>
      <c r="C575">
        <v>25</v>
      </c>
      <c r="D575" t="s">
        <v>134</v>
      </c>
      <c r="E575" t="s">
        <v>109</v>
      </c>
      <c r="F575" t="s">
        <v>95</v>
      </c>
      <c r="G575">
        <v>30</v>
      </c>
      <c r="H575">
        <v>0</v>
      </c>
      <c r="I575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30</v>
      </c>
      <c r="K575" s="5" cm="1">
        <f t="array" ref="K575">IFERROR(AVERAGE(IF((OutputTable[GroupByKey]=OutputTable[[#This Row],[GroupByKey]]),(OutputTable[GroupByKey]=OutputTable[[#This Row],[GroupByKey]])*OutputTable[RecordedValue])),0)</f>
        <v>36.233333333333334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4.775536318198915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575" s="5" cm="1">
        <f t="array" ref="O575">MIN(IF((OutputTable[GroupByKey]=OutputTable[[#This Row],[GroupByKey]]),(OutputTable[GroupByKey]=OutputTable[[#This Row],[GroupByKey]])*OutputTable[RecordedValue]))</f>
        <v>28</v>
      </c>
      <c r="P575" s="5" cm="1">
        <f t="array" ref="P575">MAX(IF((OutputTable[GroupByKey]=OutputTable[[#This Row],[GroupByKey]]),(OutputTable[GroupByKey]=OutputTable[[#This Row],[GroupByKey]])*OutputTable[RecordedValue]))</f>
        <v>48</v>
      </c>
    </row>
    <row r="576" spans="1:16" x14ac:dyDescent="0.3">
      <c r="A576" t="s">
        <v>66</v>
      </c>
      <c r="B576" t="s">
        <v>68</v>
      </c>
      <c r="C576">
        <v>25</v>
      </c>
      <c r="D576" t="s">
        <v>135</v>
      </c>
      <c r="E576" t="s">
        <v>111</v>
      </c>
      <c r="F576" t="s">
        <v>95</v>
      </c>
      <c r="G576">
        <v>0.90400263344126597</v>
      </c>
      <c r="H576">
        <v>0</v>
      </c>
      <c r="I576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30</v>
      </c>
      <c r="K576" s="5" cm="1">
        <f t="array" ref="K576">IFERROR(AVERAGE(IF((OutputTable[GroupByKey]=OutputTable[[#This Row],[GroupByKey]]),(OutputTable[GroupByKey]=OutputTable[[#This Row],[GroupByKey]])*OutputTable[RecordedValue])),0)</f>
        <v>0.88098039877461687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6.9783648638161486E-2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576" s="5" cm="1">
        <f t="array" ref="O576">MIN(IF((OutputTable[GroupByKey]=OutputTable[[#This Row],[GroupByKey]]),(OutputTable[GroupByKey]=OutputTable[[#This Row],[GroupByKey]])*OutputTable[RecordedValue]))</f>
        <v>0.73843386001690303</v>
      </c>
      <c r="P576" s="5" cm="1">
        <f t="array" ref="P576">MAX(IF((OutputTable[GroupByKey]=OutputTable[[#This Row],[GroupByKey]]),(OutputTable[GroupByKey]=OutputTable[[#This Row],[GroupByKey]])*OutputTable[RecordedValue]))</f>
        <v>0.99245161744166299</v>
      </c>
    </row>
    <row r="577" spans="1:16" x14ac:dyDescent="0.3">
      <c r="A577" t="s">
        <v>66</v>
      </c>
      <c r="B577" t="s">
        <v>68</v>
      </c>
      <c r="C577">
        <v>26</v>
      </c>
      <c r="D577" t="s">
        <v>108</v>
      </c>
      <c r="E577" t="s">
        <v>109</v>
      </c>
      <c r="F577" t="s">
        <v>95</v>
      </c>
      <c r="G577">
        <v>30</v>
      </c>
      <c r="H577">
        <v>0</v>
      </c>
      <c r="I577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30</v>
      </c>
      <c r="K577" s="5" cm="1">
        <f t="array" ref="K577">IFERROR(AVERAGE(IF((OutputTable[GroupByKey]=OutputTable[[#This Row],[GroupByKey]]),(OutputTable[GroupByKey]=OutputTable[[#This Row],[GroupByKey]])*OutputTable[RecordedValue])),0)</f>
        <v>34.633333333333333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6.3326375903390151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577" s="5" cm="1">
        <f t="array" ref="O577">MIN(IF((OutputTable[GroupByKey]=OutputTable[[#This Row],[GroupByKey]]),(OutputTable[GroupByKey]=OutputTable[[#This Row],[GroupByKey]])*OutputTable[RecordedValue]))</f>
        <v>24</v>
      </c>
      <c r="P577" s="5" cm="1">
        <f t="array" ref="P577">MAX(IF((OutputTable[GroupByKey]=OutputTable[[#This Row],[GroupByKey]]),(OutputTable[GroupByKey]=OutputTable[[#This Row],[GroupByKey]])*OutputTable[RecordedValue]))</f>
        <v>47</v>
      </c>
    </row>
    <row r="578" spans="1:16" x14ac:dyDescent="0.3">
      <c r="A578" t="s">
        <v>66</v>
      </c>
      <c r="B578" t="s">
        <v>68</v>
      </c>
      <c r="C578">
        <v>26</v>
      </c>
      <c r="D578" t="s">
        <v>110</v>
      </c>
      <c r="E578" t="s">
        <v>111</v>
      </c>
      <c r="F578" t="s">
        <v>95</v>
      </c>
      <c r="G578">
        <v>3.2178136375918903E-2</v>
      </c>
      <c r="H578">
        <v>0</v>
      </c>
      <c r="I578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30</v>
      </c>
      <c r="K578" s="5" cm="1">
        <f t="array" ref="K578">IFERROR(AVERAGE(IF((OutputTable[GroupByKey]=OutputTable[[#This Row],[GroupByKey]]),(OutputTable[GroupByKey]=OutputTable[[#This Row],[GroupByKey]])*OutputTable[RecordedValue])),0)</f>
        <v>3.5359789427834361E-2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6.6521615975834569E-3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578" s="5" cm="1">
        <f t="array" ref="O578">MIN(IF((OutputTable[GroupByKey]=OutputTable[[#This Row],[GroupByKey]]),(OutputTable[GroupByKey]=OutputTable[[#This Row],[GroupByKey]])*OutputTable[RecordedValue]))</f>
        <v>2.3718114155243601E-2</v>
      </c>
      <c r="P578" s="5" cm="1">
        <f t="array" ref="P578">MAX(IF((OutputTable[GroupByKey]=OutputTable[[#This Row],[GroupByKey]]),(OutputTable[GroupByKey]=OutputTable[[#This Row],[GroupByKey]])*OutputTable[RecordedValue]))</f>
        <v>4.8583931724403701E-2</v>
      </c>
    </row>
    <row r="579" spans="1:16" x14ac:dyDescent="0.3">
      <c r="A579" t="s">
        <v>66</v>
      </c>
      <c r="B579" t="s">
        <v>68</v>
      </c>
      <c r="C579">
        <v>26</v>
      </c>
      <c r="D579" t="s">
        <v>112</v>
      </c>
      <c r="E579" t="s">
        <v>109</v>
      </c>
      <c r="F579" t="s">
        <v>95</v>
      </c>
      <c r="G579">
        <v>97</v>
      </c>
      <c r="H579">
        <v>0</v>
      </c>
      <c r="I579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30</v>
      </c>
      <c r="K579" s="5" cm="1">
        <f t="array" ref="K579">IFERROR(AVERAGE(IF((OutputTable[GroupByKey]=OutputTable[[#This Row],[GroupByKey]]),(OutputTable[GroupByKey]=OutputTable[[#This Row],[GroupByKey]])*OutputTable[RecordedValue])),0)</f>
        <v>105.13333333333334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9.9020490158675578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579" s="5" cm="1">
        <f t="array" ref="O579">MIN(IF((OutputTable[GroupByKey]=OutputTable[[#This Row],[GroupByKey]]),(OutputTable[GroupByKey]=OutputTable[[#This Row],[GroupByKey]])*OutputTable[RecordedValue]))</f>
        <v>90</v>
      </c>
      <c r="P579" s="5" cm="1">
        <f t="array" ref="P579">MAX(IF((OutputTable[GroupByKey]=OutputTable[[#This Row],[GroupByKey]]),(OutputTable[GroupByKey]=OutputTable[[#This Row],[GroupByKey]])*OutputTable[RecordedValue]))</f>
        <v>120</v>
      </c>
    </row>
    <row r="580" spans="1:16" x14ac:dyDescent="0.3">
      <c r="A580" t="s">
        <v>66</v>
      </c>
      <c r="B580" t="s">
        <v>68</v>
      </c>
      <c r="C580">
        <v>26</v>
      </c>
      <c r="D580" t="s">
        <v>113</v>
      </c>
      <c r="E580" t="s">
        <v>111</v>
      </c>
      <c r="F580" t="s">
        <v>95</v>
      </c>
      <c r="G580">
        <v>0.226531024246099</v>
      </c>
      <c r="H580">
        <v>0</v>
      </c>
      <c r="I580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30</v>
      </c>
      <c r="K580" s="5" cm="1">
        <f t="array" ref="K580">IFERROR(AVERAGE(IF((OutputTable[GroupByKey]=OutputTable[[#This Row],[GroupByKey]]),(OutputTable[GroupByKey]=OutputTable[[#This Row],[GroupByKey]])*OutputTable[RecordedValue])),0)</f>
        <v>0.24658598119222253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2.3372241503878202E-2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580" s="5" cm="1">
        <f t="array" ref="O580">MIN(IF((OutputTable[GroupByKey]=OutputTable[[#This Row],[GroupByKey]]),(OutputTable[GroupByKey]=OutputTable[[#This Row],[GroupByKey]])*OutputTable[RecordedValue]))</f>
        <v>0.20767736113278101</v>
      </c>
      <c r="P580" s="5" cm="1">
        <f t="array" ref="P580">MAX(IF((OutputTable[GroupByKey]=OutputTable[[#This Row],[GroupByKey]]),(OutputTable[GroupByKey]=OutputTable[[#This Row],[GroupByKey]])*OutputTable[RecordedValue]))</f>
        <v>0.28501162927715601</v>
      </c>
    </row>
    <row r="581" spans="1:16" x14ac:dyDescent="0.3">
      <c r="A581" t="s">
        <v>66</v>
      </c>
      <c r="B581" t="s">
        <v>68</v>
      </c>
      <c r="C581">
        <v>26</v>
      </c>
      <c r="D581" t="s">
        <v>114</v>
      </c>
      <c r="E581" t="s">
        <v>109</v>
      </c>
      <c r="F581" t="s">
        <v>95</v>
      </c>
      <c r="G581">
        <v>112</v>
      </c>
      <c r="H581">
        <v>0</v>
      </c>
      <c r="I581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30</v>
      </c>
      <c r="K581" s="5" cm="1">
        <f t="array" ref="K581">IFERROR(AVERAGE(IF((OutputTable[GroupByKey]=OutputTable[[#This Row],[GroupByKey]]),(OutputTable[GroupByKey]=OutputTable[[#This Row],[GroupByKey]])*OutputTable[RecordedValue])),0)</f>
        <v>130.19999999999999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9.6932255049418501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581" s="5" cm="1">
        <f t="array" ref="O581">MIN(IF((OutputTable[GroupByKey]=OutputTable[[#This Row],[GroupByKey]]),(OutputTable[GroupByKey]=OutputTable[[#This Row],[GroupByKey]])*OutputTable[RecordedValue]))</f>
        <v>112</v>
      </c>
      <c r="P581" s="5" cm="1">
        <f t="array" ref="P581">MAX(IF((OutputTable[GroupByKey]=OutputTable[[#This Row],[GroupByKey]]),(OutputTable[GroupByKey]=OutputTable[[#This Row],[GroupByKey]])*OutputTable[RecordedValue]))</f>
        <v>150</v>
      </c>
    </row>
    <row r="582" spans="1:16" x14ac:dyDescent="0.3">
      <c r="A582" t="s">
        <v>66</v>
      </c>
      <c r="B582" t="s">
        <v>68</v>
      </c>
      <c r="C582">
        <v>26</v>
      </c>
      <c r="D582" t="s">
        <v>115</v>
      </c>
      <c r="E582" t="s">
        <v>111</v>
      </c>
      <c r="F582" t="s">
        <v>95</v>
      </c>
      <c r="G582">
        <v>0.53893987213746497</v>
      </c>
      <c r="H582">
        <v>0</v>
      </c>
      <c r="I582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30</v>
      </c>
      <c r="K582" s="5" cm="1">
        <f t="array" ref="K582">IFERROR(AVERAGE(IF((OutputTable[GroupByKey]=OutputTable[[#This Row],[GroupByKey]]),(OutputTable[GroupByKey]=OutputTable[[#This Row],[GroupByKey]])*OutputTable[RecordedValue])),0)</f>
        <v>0.61071636647106653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4.8363406640152928E-2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582" s="5" cm="1">
        <f t="array" ref="O582">MIN(IF((OutputTable[GroupByKey]=OutputTable[[#This Row],[GroupByKey]]),(OutputTable[GroupByKey]=OutputTable[[#This Row],[GroupByKey]])*OutputTable[RecordedValue]))</f>
        <v>0.517215348442703</v>
      </c>
      <c r="P582" s="5" cm="1">
        <f t="array" ref="P582">MAX(IF((OutputTable[GroupByKey]=OutputTable[[#This Row],[GroupByKey]]),(OutputTable[GroupByKey]=OutputTable[[#This Row],[GroupByKey]])*OutputTable[RecordedValue]))</f>
        <v>0.67770389283754395</v>
      </c>
    </row>
    <row r="583" spans="1:16" x14ac:dyDescent="0.3">
      <c r="A583" t="s">
        <v>66</v>
      </c>
      <c r="B583" t="s">
        <v>68</v>
      </c>
      <c r="C583">
        <v>26</v>
      </c>
      <c r="D583" t="s">
        <v>116</v>
      </c>
      <c r="E583" t="s">
        <v>109</v>
      </c>
      <c r="F583" t="s">
        <v>95</v>
      </c>
      <c r="G583">
        <v>322</v>
      </c>
      <c r="H583">
        <v>0</v>
      </c>
      <c r="I583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30</v>
      </c>
      <c r="K583" s="5" cm="1">
        <f t="array" ref="K583">IFERROR(AVERAGE(IF((OutputTable[GroupByKey]=OutputTable[[#This Row],[GroupByKey]]),(OutputTable[GroupByKey]=OutputTable[[#This Row],[GroupByKey]])*OutputTable[RecordedValue])),0)</f>
        <v>366.5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27.998460548813185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583" s="5" cm="1">
        <f t="array" ref="O583">MIN(IF((OutputTable[GroupByKey]=OutputTable[[#This Row],[GroupByKey]]),(OutputTable[GroupByKey]=OutputTable[[#This Row],[GroupByKey]])*OutputTable[RecordedValue]))</f>
        <v>308</v>
      </c>
      <c r="P583" s="5" cm="1">
        <f t="array" ref="P583">MAX(IF((OutputTable[GroupByKey]=OutputTable[[#This Row],[GroupByKey]]),(OutputTable[GroupByKey]=OutputTable[[#This Row],[GroupByKey]])*OutputTable[RecordedValue]))</f>
        <v>415</v>
      </c>
    </row>
    <row r="584" spans="1:16" x14ac:dyDescent="0.3">
      <c r="A584" t="s">
        <v>66</v>
      </c>
      <c r="B584" t="s">
        <v>68</v>
      </c>
      <c r="C584">
        <v>26</v>
      </c>
      <c r="D584" t="s">
        <v>117</v>
      </c>
      <c r="E584" t="s">
        <v>111</v>
      </c>
      <c r="F584" t="s">
        <v>95</v>
      </c>
      <c r="G584">
        <v>0.149324872924091</v>
      </c>
      <c r="H584">
        <v>0</v>
      </c>
      <c r="I584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30</v>
      </c>
      <c r="K584" s="5" cm="1">
        <f t="array" ref="K584">IFERROR(AVERAGE(IF((OutputTable[GroupByKey]=OutputTable[[#This Row],[GroupByKey]]),(OutputTable[GroupByKey]=OutputTable[[#This Row],[GroupByKey]])*OutputTable[RecordedValue])),0)</f>
        <v>0.17017204824235124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1.331368412630852E-2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584" s="5" cm="1">
        <f t="array" ref="O584">MIN(IF((OutputTable[GroupByKey]=OutputTable[[#This Row],[GroupByKey]]),(OutputTable[GroupByKey]=OutputTable[[#This Row],[GroupByKey]])*OutputTable[RecordedValue]))</f>
        <v>0.14484829778125299</v>
      </c>
      <c r="P584" s="5" cm="1">
        <f t="array" ref="P584">MAX(IF((OutputTable[GroupByKey]=OutputTable[[#This Row],[GroupByKey]]),(OutputTable[GroupByKey]=OutputTable[[#This Row],[GroupByKey]])*OutputTable[RecordedValue]))</f>
        <v>0.19609322315655101</v>
      </c>
    </row>
    <row r="585" spans="1:16" x14ac:dyDescent="0.3">
      <c r="A585" t="s">
        <v>66</v>
      </c>
      <c r="B585" t="s">
        <v>68</v>
      </c>
      <c r="C585">
        <v>26</v>
      </c>
      <c r="D585" t="s">
        <v>118</v>
      </c>
      <c r="E585" t="s">
        <v>109</v>
      </c>
      <c r="F585" t="s">
        <v>95</v>
      </c>
      <c r="G585">
        <v>57</v>
      </c>
      <c r="H585">
        <v>0</v>
      </c>
      <c r="I585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30</v>
      </c>
      <c r="K585" s="5" cm="1">
        <f t="array" ref="K585">IFERROR(AVERAGE(IF((OutputTable[GroupByKey]=OutputTable[[#This Row],[GroupByKey]]),(OutputTable[GroupByKey]=OutputTable[[#This Row],[GroupByKey]])*OutputTable[RecordedValue])),0)</f>
        <v>67.599999999999994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8.2277914244430335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585" s="5" cm="1">
        <f t="array" ref="O585">MIN(IF((OutputTable[GroupByKey]=OutputTable[[#This Row],[GroupByKey]]),(OutputTable[GroupByKey]=OutputTable[[#This Row],[GroupByKey]])*OutputTable[RecordedValue]))</f>
        <v>53</v>
      </c>
      <c r="P585" s="5" cm="1">
        <f t="array" ref="P585">MAX(IF((OutputTable[GroupByKey]=OutputTable[[#This Row],[GroupByKey]]),(OutputTable[GroupByKey]=OutputTable[[#This Row],[GroupByKey]])*OutputTable[RecordedValue]))</f>
        <v>83</v>
      </c>
    </row>
    <row r="586" spans="1:16" x14ac:dyDescent="0.3">
      <c r="A586" t="s">
        <v>66</v>
      </c>
      <c r="B586" t="s">
        <v>68</v>
      </c>
      <c r="C586">
        <v>26</v>
      </c>
      <c r="D586" t="s">
        <v>119</v>
      </c>
      <c r="E586" t="s">
        <v>111</v>
      </c>
      <c r="F586" t="s">
        <v>95</v>
      </c>
      <c r="G586">
        <v>7.6614897455845904E-2</v>
      </c>
      <c r="H586">
        <v>0</v>
      </c>
      <c r="I586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30</v>
      </c>
      <c r="K586" s="5" cm="1">
        <f t="array" ref="K586">IFERROR(AVERAGE(IF((OutputTable[GroupByKey]=OutputTable[[#This Row],[GroupByKey]]),(OutputTable[GroupByKey]=OutputTable[[#This Row],[GroupByKey]])*OutputTable[RecordedValue])),0)</f>
        <v>9.2629789222133899E-2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1.1199993404883948E-2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586" s="5" cm="1">
        <f t="array" ref="O586">MIN(IF((OutputTable[GroupByKey]=OutputTable[[#This Row],[GroupByKey]]),(OutputTable[GroupByKey]=OutputTable[[#This Row],[GroupByKey]])*OutputTable[RecordedValue]))</f>
        <v>7.4778736536586704E-2</v>
      </c>
      <c r="P586" s="5" cm="1">
        <f t="array" ref="P586">MAX(IF((OutputTable[GroupByKey]=OutputTable[[#This Row],[GroupByKey]]),(OutputTable[GroupByKey]=OutputTable[[#This Row],[GroupByKey]])*OutputTable[RecordedValue]))</f>
        <v>0.111025455742452</v>
      </c>
    </row>
    <row r="587" spans="1:16" x14ac:dyDescent="0.3">
      <c r="A587" t="s">
        <v>66</v>
      </c>
      <c r="B587" t="s">
        <v>68</v>
      </c>
      <c r="C587">
        <v>26</v>
      </c>
      <c r="D587" t="s">
        <v>120</v>
      </c>
      <c r="E587" t="s">
        <v>121</v>
      </c>
      <c r="F587" t="s">
        <v>122</v>
      </c>
      <c r="G587">
        <v>125</v>
      </c>
      <c r="H587">
        <v>0</v>
      </c>
      <c r="I587" s="5" t="str">
        <f>OutputTable[[#This Row],[ProjectName]]&amp;OutputTable[[#This Row],[Name]]&amp;OutputTable[[#This Row],[Type]]&amp;OutputTable[[#This Row],[Source]]</f>
        <v>Unnamed ProjectSystem.NumberOutNumber OutSystem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30</v>
      </c>
      <c r="K587" s="5" cm="1">
        <f t="array" ref="K587">IFERROR(AVERAGE(IF((OutputTable[GroupByKey]=OutputTable[[#This Row],[GroupByKey]]),(OutputTable[GroupByKey]=OutputTable[[#This Row],[GroupByKey]])*OutputTable[RecordedValue])),0)</f>
        <v>138.66666666666666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10.59386072484773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587" s="5" cm="1">
        <f t="array" ref="O587">MIN(IF((OutputTable[GroupByKey]=OutputTable[[#This Row],[GroupByKey]]),(OutputTable[GroupByKey]=OutputTable[[#This Row],[GroupByKey]])*OutputTable[RecordedValue]))</f>
        <v>122</v>
      </c>
      <c r="P587" s="5" cm="1">
        <f t="array" ref="P587">MAX(IF((OutputTable[GroupByKey]=OutputTable[[#This Row],[GroupByKey]]),(OutputTable[GroupByKey]=OutputTable[[#This Row],[GroupByKey]])*OutputTable[RecordedValue]))</f>
        <v>158</v>
      </c>
    </row>
    <row r="588" spans="1:16" x14ac:dyDescent="0.3">
      <c r="A588" t="s">
        <v>66</v>
      </c>
      <c r="B588" t="s">
        <v>68</v>
      </c>
      <c r="C588">
        <v>26</v>
      </c>
      <c r="D588" t="s">
        <v>123</v>
      </c>
      <c r="E588" t="s">
        <v>109</v>
      </c>
      <c r="F588" t="s">
        <v>95</v>
      </c>
      <c r="G588">
        <v>289</v>
      </c>
      <c r="H588">
        <v>0</v>
      </c>
      <c r="I588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30</v>
      </c>
      <c r="K588" s="5" cm="1">
        <f t="array" ref="K588">IFERROR(AVERAGE(IF((OutputTable[GroupByKey]=OutputTable[[#This Row],[GroupByKey]]),(OutputTable[GroupByKey]=OutputTable[[#This Row],[GroupByKey]])*OutputTable[RecordedValue])),0)</f>
        <v>324.63333333333333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23.733409208195905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588" s="5" cm="1">
        <f t="array" ref="O588">MIN(IF((OutputTable[GroupByKey]=OutputTable[[#This Row],[GroupByKey]]),(OutputTable[GroupByKey]=OutputTable[[#This Row],[GroupByKey]])*OutputTable[RecordedValue]))</f>
        <v>276</v>
      </c>
      <c r="P588" s="5" cm="1">
        <f t="array" ref="P588">MAX(IF((OutputTable[GroupByKey]=OutputTable[[#This Row],[GroupByKey]]),(OutputTable[GroupByKey]=OutputTable[[#This Row],[GroupByKey]])*OutputTable[RecordedValue]))</f>
        <v>370</v>
      </c>
    </row>
    <row r="589" spans="1:16" x14ac:dyDescent="0.3">
      <c r="A589" t="s">
        <v>66</v>
      </c>
      <c r="B589" t="s">
        <v>68</v>
      </c>
      <c r="C589">
        <v>26</v>
      </c>
      <c r="D589" t="s">
        <v>124</v>
      </c>
      <c r="E589" t="s">
        <v>111</v>
      </c>
      <c r="F589" t="s">
        <v>95</v>
      </c>
      <c r="G589">
        <v>0.69031802634918904</v>
      </c>
      <c r="H589">
        <v>0</v>
      </c>
      <c r="I589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30</v>
      </c>
      <c r="K589" s="5" cm="1">
        <f t="array" ref="K589">IFERROR(AVERAGE(IF((OutputTable[GroupByKey]=OutputTable[[#This Row],[GroupByKey]]),(OutputTable[GroupByKey]=OutputTable[[#This Row],[GroupByKey]])*OutputTable[RecordedValue])),0)</f>
        <v>0.78890367752589419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5.7743599319329868E-2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589" s="5" cm="1">
        <f t="array" ref="O589">MIN(IF((OutputTable[GroupByKey]=OutputTable[[#This Row],[GroupByKey]]),(OutputTable[GroupByKey]=OutputTable[[#This Row],[GroupByKey]])*OutputTable[RecordedValue]))</f>
        <v>0.68630817725209003</v>
      </c>
      <c r="P589" s="5" cm="1">
        <f t="array" ref="P589">MAX(IF((OutputTable[GroupByKey]=OutputTable[[#This Row],[GroupByKey]]),(OutputTable[GroupByKey]=OutputTable[[#This Row],[GroupByKey]])*OutputTable[RecordedValue]))</f>
        <v>0.89844569749382897</v>
      </c>
    </row>
    <row r="590" spans="1:16" x14ac:dyDescent="0.3">
      <c r="A590" t="s">
        <v>66</v>
      </c>
      <c r="B590" t="s">
        <v>68</v>
      </c>
      <c r="C590">
        <v>26</v>
      </c>
      <c r="D590" t="s">
        <v>125</v>
      </c>
      <c r="E590" t="s">
        <v>126</v>
      </c>
      <c r="F590" t="s">
        <v>86</v>
      </c>
      <c r="G590">
        <v>173</v>
      </c>
      <c r="H590">
        <v>0</v>
      </c>
      <c r="I590" s="5" t="str">
        <f>OutputTable[[#This Row],[ProjectName]]&amp;OutputTable[[#This Row],[Name]]&amp;OutputTable[[#This Row],[Type]]&amp;OutputTable[[#This Row],[Source]]</f>
        <v>Unnamed ProjectVisitantes.NumberInNumber InEntity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30</v>
      </c>
      <c r="K590" s="5" cm="1">
        <f t="array" ref="K590">IFERROR(AVERAGE(IF((OutputTable[GroupByKey]=OutputTable[[#This Row],[GroupByKey]]),(OutputTable[GroupByKey]=OutputTable[[#This Row],[GroupByKey]])*OutputTable[RecordedValue])),0)</f>
        <v>194.43333333333334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19.567184586538712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590" s="5" cm="1">
        <f t="array" ref="O590">MIN(IF((OutputTable[GroupByKey]=OutputTable[[#This Row],[GroupByKey]]),(OutputTable[GroupByKey]=OutputTable[[#This Row],[GroupByKey]])*OutputTable[RecordedValue]))</f>
        <v>158</v>
      </c>
      <c r="P590" s="5" cm="1">
        <f t="array" ref="P590">MAX(IF((OutputTable[GroupByKey]=OutputTable[[#This Row],[GroupByKey]]),(OutputTable[GroupByKey]=OutputTable[[#This Row],[GroupByKey]])*OutputTable[RecordedValue]))</f>
        <v>255</v>
      </c>
    </row>
    <row r="591" spans="1:16" x14ac:dyDescent="0.3">
      <c r="A591" t="s">
        <v>66</v>
      </c>
      <c r="B591" t="s">
        <v>68</v>
      </c>
      <c r="C591">
        <v>26</v>
      </c>
      <c r="D591" t="s">
        <v>127</v>
      </c>
      <c r="E591" t="s">
        <v>121</v>
      </c>
      <c r="F591" t="s">
        <v>86</v>
      </c>
      <c r="G591">
        <v>125</v>
      </c>
      <c r="H591">
        <v>0</v>
      </c>
      <c r="I591" s="5" t="str">
        <f>OutputTable[[#This Row],[ProjectName]]&amp;OutputTable[[#This Row],[Name]]&amp;OutputTable[[#This Row],[Type]]&amp;OutputTable[[#This Row],[Source]]</f>
        <v>Unnamed ProjectVisitantes.NumberOutNumber OutEntity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30</v>
      </c>
      <c r="K591" s="5" cm="1">
        <f t="array" ref="K591">IFERROR(AVERAGE(IF((OutputTable[GroupByKey]=OutputTable[[#This Row],[GroupByKey]]),(OutputTable[GroupByKey]=OutputTable[[#This Row],[GroupByKey]])*OutputTable[RecordedValue])),0)</f>
        <v>138.66666666666666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10.59386072484773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591" s="5" cm="1">
        <f t="array" ref="O591">MIN(IF((OutputTable[GroupByKey]=OutputTable[[#This Row],[GroupByKey]]),(OutputTable[GroupByKey]=OutputTable[[#This Row],[GroupByKey]])*OutputTable[RecordedValue]))</f>
        <v>122</v>
      </c>
      <c r="P591" s="5" cm="1">
        <f t="array" ref="P591">MAX(IF((OutputTable[GroupByKey]=OutputTable[[#This Row],[GroupByKey]]),(OutputTable[GroupByKey]=OutputTable[[#This Row],[GroupByKey]])*OutputTable[RecordedValue]))</f>
        <v>158</v>
      </c>
    </row>
    <row r="592" spans="1:16" x14ac:dyDescent="0.3">
      <c r="A592" t="s">
        <v>66</v>
      </c>
      <c r="B592" t="s">
        <v>68</v>
      </c>
      <c r="C592">
        <v>26</v>
      </c>
      <c r="D592" t="s">
        <v>128</v>
      </c>
      <c r="E592" t="s">
        <v>109</v>
      </c>
      <c r="F592" t="s">
        <v>95</v>
      </c>
      <c r="G592">
        <v>0</v>
      </c>
      <c r="H592">
        <v>0</v>
      </c>
      <c r="I592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30</v>
      </c>
      <c r="K592" s="5" cm="1">
        <f t="array" ref="K592">IFERROR(AVERAGE(IF((OutputTable[GroupByKey]=OutputTable[[#This Row],[GroupByKey]]),(OutputTable[GroupByKey]=OutputTable[[#This Row],[GroupByKey]])*OutputTable[RecordedValue])),0)</f>
        <v>0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0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2" s="5" cm="1">
        <f t="array" ref="O592">MIN(IF((OutputTable[GroupByKey]=OutputTable[[#This Row],[GroupByKey]]),(OutputTable[GroupByKey]=OutputTable[[#This Row],[GroupByKey]])*OutputTable[RecordedValue]))</f>
        <v>0</v>
      </c>
      <c r="P592" s="5" cm="1">
        <f t="array" ref="P592">MAX(IF((OutputTable[GroupByKey]=OutputTable[[#This Row],[GroupByKey]]),(OutputTable[GroupByKey]=OutputTable[[#This Row],[GroupByKey]])*OutputTable[RecordedValue]))</f>
        <v>0</v>
      </c>
    </row>
    <row r="593" spans="1:16" x14ac:dyDescent="0.3">
      <c r="A593" t="s">
        <v>66</v>
      </c>
      <c r="B593" t="s">
        <v>68</v>
      </c>
      <c r="C593">
        <v>26</v>
      </c>
      <c r="D593" t="s">
        <v>129</v>
      </c>
      <c r="E593" t="s">
        <v>111</v>
      </c>
      <c r="F593" t="s">
        <v>95</v>
      </c>
      <c r="G593">
        <v>0</v>
      </c>
      <c r="H593">
        <v>0</v>
      </c>
      <c r="I593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30</v>
      </c>
      <c r="K593" s="5" cm="1">
        <f t="array" ref="K593">IFERROR(AVERAGE(IF((OutputTable[GroupByKey]=OutputTable[[#This Row],[GroupByKey]]),(OutputTable[GroupByKey]=OutputTable[[#This Row],[GroupByKey]])*OutputTable[RecordedValue])),0)</f>
        <v>0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0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3" s="5" cm="1">
        <f t="array" ref="O593">MIN(IF((OutputTable[GroupByKey]=OutputTable[[#This Row],[GroupByKey]]),(OutputTable[GroupByKey]=OutputTable[[#This Row],[GroupByKey]])*OutputTable[RecordedValue]))</f>
        <v>0</v>
      </c>
      <c r="P593" s="5" cm="1">
        <f t="array" ref="P593">MAX(IF((OutputTable[GroupByKey]=OutputTable[[#This Row],[GroupByKey]]),(OutputTable[GroupByKey]=OutputTable[[#This Row],[GroupByKey]])*OutputTable[RecordedValue]))</f>
        <v>0</v>
      </c>
    </row>
    <row r="594" spans="1:16" x14ac:dyDescent="0.3">
      <c r="A594" t="s">
        <v>66</v>
      </c>
      <c r="B594" t="s">
        <v>68</v>
      </c>
      <c r="C594">
        <v>26</v>
      </c>
      <c r="D594" t="s">
        <v>130</v>
      </c>
      <c r="E594" t="s">
        <v>109</v>
      </c>
      <c r="F594" t="s">
        <v>95</v>
      </c>
      <c r="G594">
        <v>95</v>
      </c>
      <c r="H594">
        <v>0</v>
      </c>
      <c r="I594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30</v>
      </c>
      <c r="K594" s="5" cm="1">
        <f t="array" ref="K594">IFERROR(AVERAGE(IF((OutputTable[GroupByKey]=OutputTable[[#This Row],[GroupByKey]]),(OutputTable[GroupByKey]=OutputTable[[#This Row],[GroupByKey]])*OutputTable[RecordedValue])),0)</f>
        <v>99.666666666666671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11.021400290698853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594" s="5" cm="1">
        <f t="array" ref="O594">MIN(IF((OutputTable[GroupByKey]=OutputTable[[#This Row],[GroupByKey]]),(OutputTable[GroupByKey]=OutputTable[[#This Row],[GroupByKey]])*OutputTable[RecordedValue]))</f>
        <v>84</v>
      </c>
      <c r="P594" s="5" cm="1">
        <f t="array" ref="P594">MAX(IF((OutputTable[GroupByKey]=OutputTable[[#This Row],[GroupByKey]]),(OutputTable[GroupByKey]=OutputTable[[#This Row],[GroupByKey]])*OutputTable[RecordedValue]))</f>
        <v>133</v>
      </c>
    </row>
    <row r="595" spans="1:16" x14ac:dyDescent="0.3">
      <c r="A595" t="s">
        <v>66</v>
      </c>
      <c r="B595" t="s">
        <v>68</v>
      </c>
      <c r="C595">
        <v>26</v>
      </c>
      <c r="D595" t="s">
        <v>131</v>
      </c>
      <c r="E595" t="s">
        <v>111</v>
      </c>
      <c r="F595" t="s">
        <v>95</v>
      </c>
      <c r="G595">
        <v>0.64763492298344505</v>
      </c>
      <c r="H595">
        <v>0</v>
      </c>
      <c r="I595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30</v>
      </c>
      <c r="K595" s="5" cm="1">
        <f t="array" ref="K595">IFERROR(AVERAGE(IF((OutputTable[GroupByKey]=OutputTable[[#This Row],[GroupByKey]]),(OutputTable[GroupByKey]=OutputTable[[#This Row],[GroupByKey]])*OutputTable[RecordedValue])),0)</f>
        <v>0.81099663999028448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0.1069626954834289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595" s="5" cm="1">
        <f t="array" ref="O595">MIN(IF((OutputTable[GroupByKey]=OutputTable[[#This Row],[GroupByKey]]),(OutputTable[GroupByKey]=OutputTable[[#This Row],[GroupByKey]])*OutputTable[RecordedValue]))</f>
        <v>0.634589476164233</v>
      </c>
      <c r="P595" s="5" cm="1">
        <f t="array" ref="P595">MAX(IF((OutputTable[GroupByKey]=OutputTable[[#This Row],[GroupByKey]]),(OutputTable[GroupByKey]=OutputTable[[#This Row],[GroupByKey]])*OutputTable[RecordedValue]))</f>
        <v>0.99383259650362799</v>
      </c>
    </row>
    <row r="596" spans="1:16" x14ac:dyDescent="0.3">
      <c r="A596" t="s">
        <v>66</v>
      </c>
      <c r="B596" t="s">
        <v>68</v>
      </c>
      <c r="C596">
        <v>26</v>
      </c>
      <c r="D596" t="s">
        <v>132</v>
      </c>
      <c r="E596" t="s">
        <v>109</v>
      </c>
      <c r="F596" t="s">
        <v>95</v>
      </c>
      <c r="G596">
        <v>41</v>
      </c>
      <c r="H596">
        <v>0</v>
      </c>
      <c r="I596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30</v>
      </c>
      <c r="K596" s="5" cm="1">
        <f t="array" ref="K596">IFERROR(AVERAGE(IF((OutputTable[GroupByKey]=OutputTable[[#This Row],[GroupByKey]]),(OutputTable[GroupByKey]=OutputTable[[#This Row],[GroupByKey]])*OutputTable[RecordedValue])),0)</f>
        <v>51.966666666666669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7.0636677653220881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596" s="5" cm="1">
        <f t="array" ref="O596">MIN(IF((OutputTable[GroupByKey]=OutputTable[[#This Row],[GroupByKey]]),(OutputTable[GroupByKey]=OutputTable[[#This Row],[GroupByKey]])*OutputTable[RecordedValue]))</f>
        <v>40</v>
      </c>
      <c r="P596" s="5" cm="1">
        <f t="array" ref="P596">MAX(IF((OutputTable[GroupByKey]=OutputTable[[#This Row],[GroupByKey]]),(OutputTable[GroupByKey]=OutputTable[[#This Row],[GroupByKey]])*OutputTable[RecordedValue]))</f>
        <v>70</v>
      </c>
    </row>
    <row r="597" spans="1:16" x14ac:dyDescent="0.3">
      <c r="A597" t="s">
        <v>66</v>
      </c>
      <c r="B597" t="s">
        <v>68</v>
      </c>
      <c r="C597">
        <v>26</v>
      </c>
      <c r="D597" t="s">
        <v>133</v>
      </c>
      <c r="E597" t="s">
        <v>111</v>
      </c>
      <c r="F597" t="s">
        <v>95</v>
      </c>
      <c r="G597">
        <v>0.760896733409826</v>
      </c>
      <c r="H597">
        <v>0</v>
      </c>
      <c r="I597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30</v>
      </c>
      <c r="K597" s="5" cm="1">
        <f t="array" ref="K597">IFERROR(AVERAGE(IF((OutputTable[GroupByKey]=OutputTable[[#This Row],[GroupByKey]]),(OutputTable[GroupByKey]=OutputTable[[#This Row],[GroupByKey]])*OutputTable[RecordedValue])),0)</f>
        <v>0.86404173385398308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7.7429091138254261E-2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597" s="5" cm="1">
        <f t="array" ref="O597">MIN(IF((OutputTable[GroupByKey]=OutputTable[[#This Row],[GroupByKey]]),(OutputTable[GroupByKey]=OutputTable[[#This Row],[GroupByKey]])*OutputTable[RecordedValue]))</f>
        <v>0.74061105631083801</v>
      </c>
      <c r="P597" s="5" cm="1">
        <f t="array" ref="P597">MAX(IF((OutputTable[GroupByKey]=OutputTable[[#This Row],[GroupByKey]]),(OutputTable[GroupByKey]=OutputTable[[#This Row],[GroupByKey]])*OutputTable[RecordedValue]))</f>
        <v>0.99245161744166299</v>
      </c>
    </row>
    <row r="598" spans="1:16" x14ac:dyDescent="0.3">
      <c r="A598" t="s">
        <v>66</v>
      </c>
      <c r="B598" t="s">
        <v>68</v>
      </c>
      <c r="C598">
        <v>26</v>
      </c>
      <c r="D598" t="s">
        <v>134</v>
      </c>
      <c r="E598" t="s">
        <v>109</v>
      </c>
      <c r="F598" t="s">
        <v>95</v>
      </c>
      <c r="G598">
        <v>31</v>
      </c>
      <c r="H598">
        <v>0</v>
      </c>
      <c r="I598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30</v>
      </c>
      <c r="K598" s="5" cm="1">
        <f t="array" ref="K598">IFERROR(AVERAGE(IF((OutputTable[GroupByKey]=OutputTable[[#This Row],[GroupByKey]]),(OutputTable[GroupByKey]=OutputTable[[#This Row],[GroupByKey]])*OutputTable[RecordedValue])),0)</f>
        <v>36.233333333333334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4.775536318198915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598" s="5" cm="1">
        <f t="array" ref="O598">MIN(IF((OutputTable[GroupByKey]=OutputTable[[#This Row],[GroupByKey]]),(OutputTable[GroupByKey]=OutputTable[[#This Row],[GroupByKey]])*OutputTable[RecordedValue]))</f>
        <v>28</v>
      </c>
      <c r="P598" s="5" cm="1">
        <f t="array" ref="P598">MAX(IF((OutputTable[GroupByKey]=OutputTable[[#This Row],[GroupByKey]]),(OutputTable[GroupByKey]=OutputTable[[#This Row],[GroupByKey]])*OutputTable[RecordedValue]))</f>
        <v>48</v>
      </c>
    </row>
    <row r="599" spans="1:16" x14ac:dyDescent="0.3">
      <c r="A599" t="s">
        <v>66</v>
      </c>
      <c r="B599" t="s">
        <v>68</v>
      </c>
      <c r="C599">
        <v>26</v>
      </c>
      <c r="D599" t="s">
        <v>135</v>
      </c>
      <c r="E599" t="s">
        <v>111</v>
      </c>
      <c r="F599" t="s">
        <v>95</v>
      </c>
      <c r="G599">
        <v>0.73843386001690303</v>
      </c>
      <c r="H599">
        <v>0</v>
      </c>
      <c r="I599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30</v>
      </c>
      <c r="K599" s="5" cm="1">
        <f t="array" ref="K599">IFERROR(AVERAGE(IF((OutputTable[GroupByKey]=OutputTable[[#This Row],[GroupByKey]]),(OutputTable[GroupByKey]=OutputTable[[#This Row],[GroupByKey]])*OutputTable[RecordedValue])),0)</f>
        <v>0.88098039877461687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6.9783648638161486E-2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599" s="5" cm="1">
        <f t="array" ref="O599">MIN(IF((OutputTable[GroupByKey]=OutputTable[[#This Row],[GroupByKey]]),(OutputTable[GroupByKey]=OutputTable[[#This Row],[GroupByKey]])*OutputTable[RecordedValue]))</f>
        <v>0.73843386001690303</v>
      </c>
      <c r="P599" s="5" cm="1">
        <f t="array" ref="P599">MAX(IF((OutputTable[GroupByKey]=OutputTable[[#This Row],[GroupByKey]]),(OutputTable[GroupByKey]=OutputTable[[#This Row],[GroupByKey]])*OutputTable[RecordedValue]))</f>
        <v>0.99245161744166299</v>
      </c>
    </row>
    <row r="600" spans="1:16" x14ac:dyDescent="0.3">
      <c r="A600" t="s">
        <v>66</v>
      </c>
      <c r="B600" t="s">
        <v>68</v>
      </c>
      <c r="C600">
        <v>27</v>
      </c>
      <c r="D600" t="s">
        <v>108</v>
      </c>
      <c r="E600" t="s">
        <v>109</v>
      </c>
      <c r="F600" t="s">
        <v>95</v>
      </c>
      <c r="G600">
        <v>44</v>
      </c>
      <c r="H600">
        <v>0</v>
      </c>
      <c r="I600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30</v>
      </c>
      <c r="K600" s="5" cm="1">
        <f t="array" ref="K600">IFERROR(AVERAGE(IF((OutputTable[GroupByKey]=OutputTable[[#This Row],[GroupByKey]]),(OutputTable[GroupByKey]=OutputTable[[#This Row],[GroupByKey]])*OutputTable[RecordedValue])),0)</f>
        <v>34.633333333333333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6.3326375903390151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600" s="5" cm="1">
        <f t="array" ref="O600">MIN(IF((OutputTable[GroupByKey]=OutputTable[[#This Row],[GroupByKey]]),(OutputTable[GroupByKey]=OutputTable[[#This Row],[GroupByKey]])*OutputTable[RecordedValue]))</f>
        <v>24</v>
      </c>
      <c r="P600" s="5" cm="1">
        <f t="array" ref="P600">MAX(IF((OutputTable[GroupByKey]=OutputTable[[#This Row],[GroupByKey]]),(OutputTable[GroupByKey]=OutputTable[[#This Row],[GroupByKey]])*OutputTable[RecordedValue]))</f>
        <v>47</v>
      </c>
    </row>
    <row r="601" spans="1:16" x14ac:dyDescent="0.3">
      <c r="A601" t="s">
        <v>66</v>
      </c>
      <c r="B601" t="s">
        <v>68</v>
      </c>
      <c r="C601">
        <v>27</v>
      </c>
      <c r="D601" t="s">
        <v>110</v>
      </c>
      <c r="E601" t="s">
        <v>111</v>
      </c>
      <c r="F601" t="s">
        <v>95</v>
      </c>
      <c r="G601">
        <v>4.5610452339436502E-2</v>
      </c>
      <c r="H601">
        <v>0</v>
      </c>
      <c r="I601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30</v>
      </c>
      <c r="K601" s="5" cm="1">
        <f t="array" ref="K601">IFERROR(AVERAGE(IF((OutputTable[GroupByKey]=OutputTable[[#This Row],[GroupByKey]]),(OutputTable[GroupByKey]=OutputTable[[#This Row],[GroupByKey]])*OutputTable[RecordedValue])),0)</f>
        <v>3.5359789427834361E-2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6.6521615975834569E-3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601" s="5" cm="1">
        <f t="array" ref="O601">MIN(IF((OutputTable[GroupByKey]=OutputTable[[#This Row],[GroupByKey]]),(OutputTable[GroupByKey]=OutputTable[[#This Row],[GroupByKey]])*OutputTable[RecordedValue]))</f>
        <v>2.3718114155243601E-2</v>
      </c>
      <c r="P601" s="5" cm="1">
        <f t="array" ref="P601">MAX(IF((OutputTable[GroupByKey]=OutputTable[[#This Row],[GroupByKey]]),(OutputTable[GroupByKey]=OutputTable[[#This Row],[GroupByKey]])*OutputTable[RecordedValue]))</f>
        <v>4.8583931724403701E-2</v>
      </c>
    </row>
    <row r="602" spans="1:16" x14ac:dyDescent="0.3">
      <c r="A602" t="s">
        <v>66</v>
      </c>
      <c r="B602" t="s">
        <v>68</v>
      </c>
      <c r="C602">
        <v>27</v>
      </c>
      <c r="D602" t="s">
        <v>112</v>
      </c>
      <c r="E602" t="s">
        <v>109</v>
      </c>
      <c r="F602" t="s">
        <v>95</v>
      </c>
      <c r="G602">
        <v>112</v>
      </c>
      <c r="H602">
        <v>0</v>
      </c>
      <c r="I602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30</v>
      </c>
      <c r="K602" s="5" cm="1">
        <f t="array" ref="K602">IFERROR(AVERAGE(IF((OutputTable[GroupByKey]=OutputTable[[#This Row],[GroupByKey]]),(OutputTable[GroupByKey]=OutputTable[[#This Row],[GroupByKey]])*OutputTable[RecordedValue])),0)</f>
        <v>105.13333333333334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9.9020490158675578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602" s="5" cm="1">
        <f t="array" ref="O602">MIN(IF((OutputTable[GroupByKey]=OutputTable[[#This Row],[GroupByKey]]),(OutputTable[GroupByKey]=OutputTable[[#This Row],[GroupByKey]])*OutputTable[RecordedValue]))</f>
        <v>90</v>
      </c>
      <c r="P602" s="5" cm="1">
        <f t="array" ref="P602">MAX(IF((OutputTable[GroupByKey]=OutputTable[[#This Row],[GroupByKey]]),(OutputTable[GroupByKey]=OutputTable[[#This Row],[GroupByKey]])*OutputTable[RecordedValue]))</f>
        <v>120</v>
      </c>
    </row>
    <row r="603" spans="1:16" x14ac:dyDescent="0.3">
      <c r="A603" t="s">
        <v>66</v>
      </c>
      <c r="B603" t="s">
        <v>68</v>
      </c>
      <c r="C603">
        <v>27</v>
      </c>
      <c r="D603" t="s">
        <v>113</v>
      </c>
      <c r="E603" t="s">
        <v>111</v>
      </c>
      <c r="F603" t="s">
        <v>95</v>
      </c>
      <c r="G603">
        <v>0.26392205007722902</v>
      </c>
      <c r="H603">
        <v>0</v>
      </c>
      <c r="I603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30</v>
      </c>
      <c r="K603" s="5" cm="1">
        <f t="array" ref="K603">IFERROR(AVERAGE(IF((OutputTable[GroupByKey]=OutputTable[[#This Row],[GroupByKey]]),(OutputTable[GroupByKey]=OutputTable[[#This Row],[GroupByKey]])*OutputTable[RecordedValue])),0)</f>
        <v>0.24658598119222253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2.3372241503878202E-2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603" s="5" cm="1">
        <f t="array" ref="O603">MIN(IF((OutputTable[GroupByKey]=OutputTable[[#This Row],[GroupByKey]]),(OutputTable[GroupByKey]=OutputTable[[#This Row],[GroupByKey]])*OutputTable[RecordedValue]))</f>
        <v>0.20767736113278101</v>
      </c>
      <c r="P603" s="5" cm="1">
        <f t="array" ref="P603">MAX(IF((OutputTable[GroupByKey]=OutputTable[[#This Row],[GroupByKey]]),(OutputTable[GroupByKey]=OutputTable[[#This Row],[GroupByKey]])*OutputTable[RecordedValue]))</f>
        <v>0.28501162927715601</v>
      </c>
    </row>
    <row r="604" spans="1:16" x14ac:dyDescent="0.3">
      <c r="A604" t="s">
        <v>66</v>
      </c>
      <c r="B604" t="s">
        <v>68</v>
      </c>
      <c r="C604">
        <v>27</v>
      </c>
      <c r="D604" t="s">
        <v>114</v>
      </c>
      <c r="E604" t="s">
        <v>109</v>
      </c>
      <c r="F604" t="s">
        <v>95</v>
      </c>
      <c r="G604">
        <v>137</v>
      </c>
      <c r="H604">
        <v>0</v>
      </c>
      <c r="I604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30</v>
      </c>
      <c r="K604" s="5" cm="1">
        <f t="array" ref="K604">IFERROR(AVERAGE(IF((OutputTable[GroupByKey]=OutputTable[[#This Row],[GroupByKey]]),(OutputTable[GroupByKey]=OutputTable[[#This Row],[GroupByKey]])*OutputTable[RecordedValue])),0)</f>
        <v>130.19999999999999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9.6932255049418501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604" s="5" cm="1">
        <f t="array" ref="O604">MIN(IF((OutputTable[GroupByKey]=OutputTable[[#This Row],[GroupByKey]]),(OutputTable[GroupByKey]=OutputTable[[#This Row],[GroupByKey]])*OutputTable[RecordedValue]))</f>
        <v>112</v>
      </c>
      <c r="P604" s="5" cm="1">
        <f t="array" ref="P604">MAX(IF((OutputTable[GroupByKey]=OutputTable[[#This Row],[GroupByKey]]),(OutputTable[GroupByKey]=OutputTable[[#This Row],[GroupByKey]])*OutputTable[RecordedValue]))</f>
        <v>150</v>
      </c>
    </row>
    <row r="605" spans="1:16" x14ac:dyDescent="0.3">
      <c r="A605" t="s">
        <v>66</v>
      </c>
      <c r="B605" t="s">
        <v>68</v>
      </c>
      <c r="C605">
        <v>27</v>
      </c>
      <c r="D605" t="s">
        <v>115</v>
      </c>
      <c r="E605" t="s">
        <v>111</v>
      </c>
      <c r="F605" t="s">
        <v>95</v>
      </c>
      <c r="G605">
        <v>0.65573694712684405</v>
      </c>
      <c r="H605">
        <v>0</v>
      </c>
      <c r="I605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30</v>
      </c>
      <c r="K605" s="5" cm="1">
        <f t="array" ref="K605">IFERROR(AVERAGE(IF((OutputTable[GroupByKey]=OutputTable[[#This Row],[GroupByKey]]),(OutputTable[GroupByKey]=OutputTable[[#This Row],[GroupByKey]])*OutputTable[RecordedValue])),0)</f>
        <v>0.61071636647106653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4.8363406640152928E-2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605" s="5" cm="1">
        <f t="array" ref="O605">MIN(IF((OutputTable[GroupByKey]=OutputTable[[#This Row],[GroupByKey]]),(OutputTable[GroupByKey]=OutputTable[[#This Row],[GroupByKey]])*OutputTable[RecordedValue]))</f>
        <v>0.517215348442703</v>
      </c>
      <c r="P605" s="5" cm="1">
        <f t="array" ref="P605">MAX(IF((OutputTable[GroupByKey]=OutputTable[[#This Row],[GroupByKey]]),(OutputTable[GroupByKey]=OutputTable[[#This Row],[GroupByKey]])*OutputTable[RecordedValue]))</f>
        <v>0.67770389283754395</v>
      </c>
    </row>
    <row r="606" spans="1:16" x14ac:dyDescent="0.3">
      <c r="A606" t="s">
        <v>66</v>
      </c>
      <c r="B606" t="s">
        <v>68</v>
      </c>
      <c r="C606">
        <v>27</v>
      </c>
      <c r="D606" t="s">
        <v>116</v>
      </c>
      <c r="E606" t="s">
        <v>109</v>
      </c>
      <c r="F606" t="s">
        <v>95</v>
      </c>
      <c r="G606">
        <v>399</v>
      </c>
      <c r="H606">
        <v>0</v>
      </c>
      <c r="I606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30</v>
      </c>
      <c r="K606" s="5" cm="1">
        <f t="array" ref="K606">IFERROR(AVERAGE(IF((OutputTable[GroupByKey]=OutputTable[[#This Row],[GroupByKey]]),(OutputTable[GroupByKey]=OutputTable[[#This Row],[GroupByKey]])*OutputTable[RecordedValue])),0)</f>
        <v>366.5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27.998460548813185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606" s="5" cm="1">
        <f t="array" ref="O606">MIN(IF((OutputTable[GroupByKey]=OutputTable[[#This Row],[GroupByKey]]),(OutputTable[GroupByKey]=OutputTable[[#This Row],[GroupByKey]])*OutputTable[RecordedValue]))</f>
        <v>308</v>
      </c>
      <c r="P606" s="5" cm="1">
        <f t="array" ref="P606">MAX(IF((OutputTable[GroupByKey]=OutputTable[[#This Row],[GroupByKey]]),(OutputTable[GroupByKey]=OutputTable[[#This Row],[GroupByKey]])*OutputTable[RecordedValue]))</f>
        <v>415</v>
      </c>
    </row>
    <row r="607" spans="1:16" x14ac:dyDescent="0.3">
      <c r="A607" t="s">
        <v>66</v>
      </c>
      <c r="B607" t="s">
        <v>68</v>
      </c>
      <c r="C607">
        <v>27</v>
      </c>
      <c r="D607" t="s">
        <v>117</v>
      </c>
      <c r="E607" t="s">
        <v>111</v>
      </c>
      <c r="F607" t="s">
        <v>95</v>
      </c>
      <c r="G607">
        <v>0.18234603870129501</v>
      </c>
      <c r="H607">
        <v>0</v>
      </c>
      <c r="I607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30</v>
      </c>
      <c r="K607" s="5" cm="1">
        <f t="array" ref="K607">IFERROR(AVERAGE(IF((OutputTable[GroupByKey]=OutputTable[[#This Row],[GroupByKey]]),(OutputTable[GroupByKey]=OutputTable[[#This Row],[GroupByKey]])*OutputTable[RecordedValue])),0)</f>
        <v>0.17017204824235124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1.331368412630852E-2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607" s="5" cm="1">
        <f t="array" ref="O607">MIN(IF((OutputTable[GroupByKey]=OutputTable[[#This Row],[GroupByKey]]),(OutputTable[GroupByKey]=OutputTable[[#This Row],[GroupByKey]])*OutputTable[RecordedValue]))</f>
        <v>0.14484829778125299</v>
      </c>
      <c r="P607" s="5" cm="1">
        <f t="array" ref="P607">MAX(IF((OutputTable[GroupByKey]=OutputTable[[#This Row],[GroupByKey]]),(OutputTable[GroupByKey]=OutputTable[[#This Row],[GroupByKey]])*OutputTable[RecordedValue]))</f>
        <v>0.19609322315655101</v>
      </c>
    </row>
    <row r="608" spans="1:16" x14ac:dyDescent="0.3">
      <c r="A608" t="s">
        <v>66</v>
      </c>
      <c r="B608" t="s">
        <v>68</v>
      </c>
      <c r="C608">
        <v>27</v>
      </c>
      <c r="D608" t="s">
        <v>118</v>
      </c>
      <c r="E608" t="s">
        <v>109</v>
      </c>
      <c r="F608" t="s">
        <v>95</v>
      </c>
      <c r="G608">
        <v>79</v>
      </c>
      <c r="H608">
        <v>0</v>
      </c>
      <c r="I608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30</v>
      </c>
      <c r="K608" s="5" cm="1">
        <f t="array" ref="K608">IFERROR(AVERAGE(IF((OutputTable[GroupByKey]=OutputTable[[#This Row],[GroupByKey]]),(OutputTable[GroupByKey]=OutputTable[[#This Row],[GroupByKey]])*OutputTable[RecordedValue])),0)</f>
        <v>67.599999999999994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8.2277914244430335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608" s="5" cm="1">
        <f t="array" ref="O608">MIN(IF((OutputTable[GroupByKey]=OutputTable[[#This Row],[GroupByKey]]),(OutputTable[GroupByKey]=OutputTable[[#This Row],[GroupByKey]])*OutputTable[RecordedValue]))</f>
        <v>53</v>
      </c>
      <c r="P608" s="5" cm="1">
        <f t="array" ref="P608">MAX(IF((OutputTable[GroupByKey]=OutputTable[[#This Row],[GroupByKey]]),(OutputTable[GroupByKey]=OutputTable[[#This Row],[GroupByKey]])*OutputTable[RecordedValue]))</f>
        <v>83</v>
      </c>
    </row>
    <row r="609" spans="1:16" x14ac:dyDescent="0.3">
      <c r="A609" t="s">
        <v>66</v>
      </c>
      <c r="B609" t="s">
        <v>68</v>
      </c>
      <c r="C609">
        <v>27</v>
      </c>
      <c r="D609" t="s">
        <v>119</v>
      </c>
      <c r="E609" t="s">
        <v>111</v>
      </c>
      <c r="F609" t="s">
        <v>95</v>
      </c>
      <c r="G609">
        <v>0.104671191198974</v>
      </c>
      <c r="H609">
        <v>0</v>
      </c>
      <c r="I609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30</v>
      </c>
      <c r="K609" s="5" cm="1">
        <f t="array" ref="K609">IFERROR(AVERAGE(IF((OutputTable[GroupByKey]=OutputTable[[#This Row],[GroupByKey]]),(OutputTable[GroupByKey]=OutputTable[[#This Row],[GroupByKey]])*OutputTable[RecordedValue])),0)</f>
        <v>9.2629789222133899E-2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1.1199993404883948E-2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609" s="5" cm="1">
        <f t="array" ref="O609">MIN(IF((OutputTable[GroupByKey]=OutputTable[[#This Row],[GroupByKey]]),(OutputTable[GroupByKey]=OutputTable[[#This Row],[GroupByKey]])*OutputTable[RecordedValue]))</f>
        <v>7.4778736536586704E-2</v>
      </c>
      <c r="P609" s="5" cm="1">
        <f t="array" ref="P609">MAX(IF((OutputTable[GroupByKey]=OutputTable[[#This Row],[GroupByKey]]),(OutputTable[GroupByKey]=OutputTable[[#This Row],[GroupByKey]])*OutputTable[RecordedValue]))</f>
        <v>0.111025455742452</v>
      </c>
    </row>
    <row r="610" spans="1:16" x14ac:dyDescent="0.3">
      <c r="A610" t="s">
        <v>66</v>
      </c>
      <c r="B610" t="s">
        <v>68</v>
      </c>
      <c r="C610">
        <v>27</v>
      </c>
      <c r="D610" t="s">
        <v>120</v>
      </c>
      <c r="E610" t="s">
        <v>121</v>
      </c>
      <c r="F610" t="s">
        <v>122</v>
      </c>
      <c r="G610">
        <v>148</v>
      </c>
      <c r="H610">
        <v>0</v>
      </c>
      <c r="I610" s="5" t="str">
        <f>OutputTable[[#This Row],[ProjectName]]&amp;OutputTable[[#This Row],[Name]]&amp;OutputTable[[#This Row],[Type]]&amp;OutputTable[[#This Row],[Source]]</f>
        <v>Unnamed ProjectSystem.NumberOutNumber OutSystem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30</v>
      </c>
      <c r="K610" s="5" cm="1">
        <f t="array" ref="K610">IFERROR(AVERAGE(IF((OutputTable[GroupByKey]=OutputTable[[#This Row],[GroupByKey]]),(OutputTable[GroupByKey]=OutputTable[[#This Row],[GroupByKey]])*OutputTable[RecordedValue])),0)</f>
        <v>138.66666666666666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10.59386072484773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610" s="5" cm="1">
        <f t="array" ref="O610">MIN(IF((OutputTable[GroupByKey]=OutputTable[[#This Row],[GroupByKey]]),(OutputTable[GroupByKey]=OutputTable[[#This Row],[GroupByKey]])*OutputTable[RecordedValue]))</f>
        <v>122</v>
      </c>
      <c r="P610" s="5" cm="1">
        <f t="array" ref="P610">MAX(IF((OutputTable[GroupByKey]=OutputTable[[#This Row],[GroupByKey]]),(OutputTable[GroupByKey]=OutputTable[[#This Row],[GroupByKey]])*OutputTable[RecordedValue]))</f>
        <v>158</v>
      </c>
    </row>
    <row r="611" spans="1:16" x14ac:dyDescent="0.3">
      <c r="A611" t="s">
        <v>66</v>
      </c>
      <c r="B611" t="s">
        <v>68</v>
      </c>
      <c r="C611">
        <v>27</v>
      </c>
      <c r="D611" t="s">
        <v>123</v>
      </c>
      <c r="E611" t="s">
        <v>109</v>
      </c>
      <c r="F611" t="s">
        <v>95</v>
      </c>
      <c r="G611">
        <v>353</v>
      </c>
      <c r="H611">
        <v>0</v>
      </c>
      <c r="I611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30</v>
      </c>
      <c r="K611" s="5" cm="1">
        <f t="array" ref="K611">IFERROR(AVERAGE(IF((OutputTable[GroupByKey]=OutputTable[[#This Row],[GroupByKey]]),(OutputTable[GroupByKey]=OutputTable[[#This Row],[GroupByKey]])*OutputTable[RecordedValue])),0)</f>
        <v>324.63333333333333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23.733409208195905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611" s="5" cm="1">
        <f t="array" ref="O611">MIN(IF((OutputTable[GroupByKey]=OutputTable[[#This Row],[GroupByKey]]),(OutputTable[GroupByKey]=OutputTable[[#This Row],[GroupByKey]])*OutputTable[RecordedValue]))</f>
        <v>276</v>
      </c>
      <c r="P611" s="5" cm="1">
        <f t="array" ref="P611">MAX(IF((OutputTable[GroupByKey]=OutputTable[[#This Row],[GroupByKey]]),(OutputTable[GroupByKey]=OutputTable[[#This Row],[GroupByKey]])*OutputTable[RecordedValue]))</f>
        <v>370</v>
      </c>
    </row>
    <row r="612" spans="1:16" x14ac:dyDescent="0.3">
      <c r="A612" t="s">
        <v>66</v>
      </c>
      <c r="B612" t="s">
        <v>68</v>
      </c>
      <c r="C612">
        <v>27</v>
      </c>
      <c r="D612" t="s">
        <v>124</v>
      </c>
      <c r="E612" t="s">
        <v>111</v>
      </c>
      <c r="F612" t="s">
        <v>95</v>
      </c>
      <c r="G612">
        <v>0.83493891534010301</v>
      </c>
      <c r="H612">
        <v>0</v>
      </c>
      <c r="I612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30</v>
      </c>
      <c r="K612" s="5" cm="1">
        <f t="array" ref="K612">IFERROR(AVERAGE(IF((OutputTable[GroupByKey]=OutputTable[[#This Row],[GroupByKey]]),(OutputTable[GroupByKey]=OutputTable[[#This Row],[GroupByKey]])*OutputTable[RecordedValue])),0)</f>
        <v>0.78890367752589419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5.7743599319329868E-2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612" s="5" cm="1">
        <f t="array" ref="O612">MIN(IF((OutputTable[GroupByKey]=OutputTable[[#This Row],[GroupByKey]]),(OutputTable[GroupByKey]=OutputTable[[#This Row],[GroupByKey]])*OutputTable[RecordedValue]))</f>
        <v>0.68630817725209003</v>
      </c>
      <c r="P612" s="5" cm="1">
        <f t="array" ref="P612">MAX(IF((OutputTable[GroupByKey]=OutputTable[[#This Row],[GroupByKey]]),(OutputTable[GroupByKey]=OutputTable[[#This Row],[GroupByKey]])*OutputTable[RecordedValue]))</f>
        <v>0.89844569749382897</v>
      </c>
    </row>
    <row r="613" spans="1:16" x14ac:dyDescent="0.3">
      <c r="A613" t="s">
        <v>66</v>
      </c>
      <c r="B613" t="s">
        <v>68</v>
      </c>
      <c r="C613">
        <v>27</v>
      </c>
      <c r="D613" t="s">
        <v>125</v>
      </c>
      <c r="E613" t="s">
        <v>126</v>
      </c>
      <c r="F613" t="s">
        <v>86</v>
      </c>
      <c r="G613">
        <v>216</v>
      </c>
      <c r="H613">
        <v>0</v>
      </c>
      <c r="I613" s="5" t="str">
        <f>OutputTable[[#This Row],[ProjectName]]&amp;OutputTable[[#This Row],[Name]]&amp;OutputTable[[#This Row],[Type]]&amp;OutputTable[[#This Row],[Source]]</f>
        <v>Unnamed ProjectVisitantes.NumberInNumber InEntity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30</v>
      </c>
      <c r="K613" s="5" cm="1">
        <f t="array" ref="K613">IFERROR(AVERAGE(IF((OutputTable[GroupByKey]=OutputTable[[#This Row],[GroupByKey]]),(OutputTable[GroupByKey]=OutputTable[[#This Row],[GroupByKey]])*OutputTable[RecordedValue])),0)</f>
        <v>194.43333333333334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19.567184586538712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613" s="5" cm="1">
        <f t="array" ref="O613">MIN(IF((OutputTable[GroupByKey]=OutputTable[[#This Row],[GroupByKey]]),(OutputTable[GroupByKey]=OutputTable[[#This Row],[GroupByKey]])*OutputTable[RecordedValue]))</f>
        <v>158</v>
      </c>
      <c r="P613" s="5" cm="1">
        <f t="array" ref="P613">MAX(IF((OutputTable[GroupByKey]=OutputTable[[#This Row],[GroupByKey]]),(OutputTable[GroupByKey]=OutputTable[[#This Row],[GroupByKey]])*OutputTable[RecordedValue]))</f>
        <v>255</v>
      </c>
    </row>
    <row r="614" spans="1:16" x14ac:dyDescent="0.3">
      <c r="A614" t="s">
        <v>66</v>
      </c>
      <c r="B614" t="s">
        <v>68</v>
      </c>
      <c r="C614">
        <v>27</v>
      </c>
      <c r="D614" t="s">
        <v>127</v>
      </c>
      <c r="E614" t="s">
        <v>121</v>
      </c>
      <c r="F614" t="s">
        <v>86</v>
      </c>
      <c r="G614">
        <v>148</v>
      </c>
      <c r="H614">
        <v>0</v>
      </c>
      <c r="I614" s="5" t="str">
        <f>OutputTable[[#This Row],[ProjectName]]&amp;OutputTable[[#This Row],[Name]]&amp;OutputTable[[#This Row],[Type]]&amp;OutputTable[[#This Row],[Source]]</f>
        <v>Unnamed ProjectVisitantes.NumberOutNumber OutEntity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30</v>
      </c>
      <c r="K614" s="5" cm="1">
        <f t="array" ref="K614">IFERROR(AVERAGE(IF((OutputTable[GroupByKey]=OutputTable[[#This Row],[GroupByKey]]),(OutputTable[GroupByKey]=OutputTable[[#This Row],[GroupByKey]])*OutputTable[RecordedValue])),0)</f>
        <v>138.66666666666666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10.59386072484773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614" s="5" cm="1">
        <f t="array" ref="O614">MIN(IF((OutputTable[GroupByKey]=OutputTable[[#This Row],[GroupByKey]]),(OutputTable[GroupByKey]=OutputTable[[#This Row],[GroupByKey]])*OutputTable[RecordedValue]))</f>
        <v>122</v>
      </c>
      <c r="P614" s="5" cm="1">
        <f t="array" ref="P614">MAX(IF((OutputTable[GroupByKey]=OutputTable[[#This Row],[GroupByKey]]),(OutputTable[GroupByKey]=OutputTable[[#This Row],[GroupByKey]])*OutputTable[RecordedValue]))</f>
        <v>158</v>
      </c>
    </row>
    <row r="615" spans="1:16" x14ac:dyDescent="0.3">
      <c r="A615" t="s">
        <v>66</v>
      </c>
      <c r="B615" t="s">
        <v>68</v>
      </c>
      <c r="C615">
        <v>27</v>
      </c>
      <c r="D615" t="s">
        <v>128</v>
      </c>
      <c r="E615" t="s">
        <v>109</v>
      </c>
      <c r="F615" t="s">
        <v>95</v>
      </c>
      <c r="G615">
        <v>0</v>
      </c>
      <c r="H615">
        <v>0</v>
      </c>
      <c r="I615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30</v>
      </c>
      <c r="K615" s="5" cm="1">
        <f t="array" ref="K615">IFERROR(AVERAGE(IF((OutputTable[GroupByKey]=OutputTable[[#This Row],[GroupByKey]]),(OutputTable[GroupByKey]=OutputTable[[#This Row],[GroupByKey]])*OutputTable[RecordedValue])),0)</f>
        <v>0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0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5" s="5" cm="1">
        <f t="array" ref="O615">MIN(IF((OutputTable[GroupByKey]=OutputTable[[#This Row],[GroupByKey]]),(OutputTable[GroupByKey]=OutputTable[[#This Row],[GroupByKey]])*OutputTable[RecordedValue]))</f>
        <v>0</v>
      </c>
      <c r="P615" s="5" cm="1">
        <f t="array" ref="P615">MAX(IF((OutputTable[GroupByKey]=OutputTable[[#This Row],[GroupByKey]]),(OutputTable[GroupByKey]=OutputTable[[#This Row],[GroupByKey]])*OutputTable[RecordedValue]))</f>
        <v>0</v>
      </c>
    </row>
    <row r="616" spans="1:16" x14ac:dyDescent="0.3">
      <c r="A616" t="s">
        <v>66</v>
      </c>
      <c r="B616" t="s">
        <v>68</v>
      </c>
      <c r="C616">
        <v>27</v>
      </c>
      <c r="D616" t="s">
        <v>129</v>
      </c>
      <c r="E616" t="s">
        <v>111</v>
      </c>
      <c r="F616" t="s">
        <v>95</v>
      </c>
      <c r="G616">
        <v>0</v>
      </c>
      <c r="H616">
        <v>0</v>
      </c>
      <c r="I616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30</v>
      </c>
      <c r="K616" s="5" cm="1">
        <f t="array" ref="K616">IFERROR(AVERAGE(IF((OutputTable[GroupByKey]=OutputTable[[#This Row],[GroupByKey]]),(OutputTable[GroupByKey]=OutputTable[[#This Row],[GroupByKey]])*OutputTable[RecordedValue])),0)</f>
        <v>0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0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s="5" cm="1">
        <f t="array" ref="O616">MIN(IF((OutputTable[GroupByKey]=OutputTable[[#This Row],[GroupByKey]]),(OutputTable[GroupByKey]=OutputTable[[#This Row],[GroupByKey]])*OutputTable[RecordedValue]))</f>
        <v>0</v>
      </c>
      <c r="P616" s="5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3">
      <c r="A617" t="s">
        <v>66</v>
      </c>
      <c r="B617" t="s">
        <v>68</v>
      </c>
      <c r="C617">
        <v>27</v>
      </c>
      <c r="D617" t="s">
        <v>130</v>
      </c>
      <c r="E617" t="s">
        <v>109</v>
      </c>
      <c r="F617" t="s">
        <v>95</v>
      </c>
      <c r="G617">
        <v>122</v>
      </c>
      <c r="H617">
        <v>0</v>
      </c>
      <c r="I617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30</v>
      </c>
      <c r="K617" s="5" cm="1">
        <f t="array" ref="K617">IFERROR(AVERAGE(IF((OutputTable[GroupByKey]=OutputTable[[#This Row],[GroupByKey]]),(OutputTable[GroupByKey]=OutputTable[[#This Row],[GroupByKey]])*OutputTable[RecordedValue])),0)</f>
        <v>99.666666666666671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11.021400290698853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617" s="5" cm="1">
        <f t="array" ref="O617">MIN(IF((OutputTable[GroupByKey]=OutputTable[[#This Row],[GroupByKey]]),(OutputTable[GroupByKey]=OutputTable[[#This Row],[GroupByKey]])*OutputTable[RecordedValue]))</f>
        <v>84</v>
      </c>
      <c r="P617" s="5" cm="1">
        <f t="array" ref="P617">MAX(IF((OutputTable[GroupByKey]=OutputTable[[#This Row],[GroupByKey]]),(OutputTable[GroupByKey]=OutputTable[[#This Row],[GroupByKey]])*OutputTable[RecordedValue]))</f>
        <v>133</v>
      </c>
    </row>
    <row r="618" spans="1:16" x14ac:dyDescent="0.3">
      <c r="A618" t="s">
        <v>66</v>
      </c>
      <c r="B618" t="s">
        <v>68</v>
      </c>
      <c r="C618">
        <v>27</v>
      </c>
      <c r="D618" t="s">
        <v>131</v>
      </c>
      <c r="E618" t="s">
        <v>111</v>
      </c>
      <c r="F618" t="s">
        <v>95</v>
      </c>
      <c r="G618">
        <v>0.93778302737253005</v>
      </c>
      <c r="H618">
        <v>0</v>
      </c>
      <c r="I618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30</v>
      </c>
      <c r="K618" s="5" cm="1">
        <f t="array" ref="K618">IFERROR(AVERAGE(IF((OutputTable[GroupByKey]=OutputTable[[#This Row],[GroupByKey]]),(OutputTable[GroupByKey]=OutputTable[[#This Row],[GroupByKey]])*OutputTable[RecordedValue])),0)</f>
        <v>0.81099663999028448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0.1069626954834289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618" s="5" cm="1">
        <f t="array" ref="O618">MIN(IF((OutputTable[GroupByKey]=OutputTable[[#This Row],[GroupByKey]]),(OutputTable[GroupByKey]=OutputTable[[#This Row],[GroupByKey]])*OutputTable[RecordedValue]))</f>
        <v>0.634589476164233</v>
      </c>
      <c r="P618" s="5" cm="1">
        <f t="array" ref="P618">MAX(IF((OutputTable[GroupByKey]=OutputTable[[#This Row],[GroupByKey]]),(OutputTable[GroupByKey]=OutputTable[[#This Row],[GroupByKey]])*OutputTable[RecordedValue]))</f>
        <v>0.99383259650362799</v>
      </c>
    </row>
    <row r="619" spans="1:16" x14ac:dyDescent="0.3">
      <c r="A619" t="s">
        <v>66</v>
      </c>
      <c r="B619" t="s">
        <v>68</v>
      </c>
      <c r="C619">
        <v>27</v>
      </c>
      <c r="D619" t="s">
        <v>132</v>
      </c>
      <c r="E619" t="s">
        <v>109</v>
      </c>
      <c r="F619" t="s">
        <v>95</v>
      </c>
      <c r="G619">
        <v>47</v>
      </c>
      <c r="H619">
        <v>0</v>
      </c>
      <c r="I619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30</v>
      </c>
      <c r="K619" s="5" cm="1">
        <f t="array" ref="K619">IFERROR(AVERAGE(IF((OutputTable[GroupByKey]=OutputTable[[#This Row],[GroupByKey]]),(OutputTable[GroupByKey]=OutputTable[[#This Row],[GroupByKey]])*OutputTable[RecordedValue])),0)</f>
        <v>51.966666666666669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7.0636677653220881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619" s="5" cm="1">
        <f t="array" ref="O619">MIN(IF((OutputTable[GroupByKey]=OutputTable[[#This Row],[GroupByKey]]),(OutputTable[GroupByKey]=OutputTable[[#This Row],[GroupByKey]])*OutputTable[RecordedValue]))</f>
        <v>40</v>
      </c>
      <c r="P619" s="5" cm="1">
        <f t="array" ref="P619">MAX(IF((OutputTable[GroupByKey]=OutputTable[[#This Row],[GroupByKey]]),(OutputTable[GroupByKey]=OutputTable[[#This Row],[GroupByKey]])*OutputTable[RecordedValue]))</f>
        <v>70</v>
      </c>
    </row>
    <row r="620" spans="1:16" x14ac:dyDescent="0.3">
      <c r="A620" t="s">
        <v>66</v>
      </c>
      <c r="B620" t="s">
        <v>68</v>
      </c>
      <c r="C620">
        <v>27</v>
      </c>
      <c r="D620" t="s">
        <v>133</v>
      </c>
      <c r="E620" t="s">
        <v>111</v>
      </c>
      <c r="F620" t="s">
        <v>95</v>
      </c>
      <c r="G620">
        <v>0.950058265209486</v>
      </c>
      <c r="H620">
        <v>0</v>
      </c>
      <c r="I620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30</v>
      </c>
      <c r="K620" s="5" cm="1">
        <f t="array" ref="K620">IFERROR(AVERAGE(IF((OutputTable[GroupByKey]=OutputTable[[#This Row],[GroupByKey]]),(OutputTable[GroupByKey]=OutputTable[[#This Row],[GroupByKey]])*OutputTable[RecordedValue])),0)</f>
        <v>0.86404173385398308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7.7429091138254261E-2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620" s="5" cm="1">
        <f t="array" ref="O620">MIN(IF((OutputTable[GroupByKey]=OutputTable[[#This Row],[GroupByKey]]),(OutputTable[GroupByKey]=OutputTable[[#This Row],[GroupByKey]])*OutputTable[RecordedValue]))</f>
        <v>0.74061105631083801</v>
      </c>
      <c r="P620" s="5" cm="1">
        <f t="array" ref="P620">MAX(IF((OutputTable[GroupByKey]=OutputTable[[#This Row],[GroupByKey]]),(OutputTable[GroupByKey]=OutputTable[[#This Row],[GroupByKey]])*OutputTable[RecordedValue]))</f>
        <v>0.99245161744166299</v>
      </c>
    </row>
    <row r="621" spans="1:16" x14ac:dyDescent="0.3">
      <c r="A621" t="s">
        <v>66</v>
      </c>
      <c r="B621" t="s">
        <v>68</v>
      </c>
      <c r="C621">
        <v>27</v>
      </c>
      <c r="D621" t="s">
        <v>134</v>
      </c>
      <c r="E621" t="s">
        <v>109</v>
      </c>
      <c r="F621" t="s">
        <v>95</v>
      </c>
      <c r="G621">
        <v>38</v>
      </c>
      <c r="H621">
        <v>0</v>
      </c>
      <c r="I621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30</v>
      </c>
      <c r="K621" s="5" cm="1">
        <f t="array" ref="K621">IFERROR(AVERAGE(IF((OutputTable[GroupByKey]=OutputTable[[#This Row],[GroupByKey]]),(OutputTable[GroupByKey]=OutputTable[[#This Row],[GroupByKey]])*OutputTable[RecordedValue])),0)</f>
        <v>36.233333333333334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4.775536318198915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621" s="5" cm="1">
        <f t="array" ref="O621">MIN(IF((OutputTable[GroupByKey]=OutputTable[[#This Row],[GroupByKey]]),(OutputTable[GroupByKey]=OutputTable[[#This Row],[GroupByKey]])*OutputTable[RecordedValue]))</f>
        <v>28</v>
      </c>
      <c r="P621" s="5" cm="1">
        <f t="array" ref="P621">MAX(IF((OutputTable[GroupByKey]=OutputTable[[#This Row],[GroupByKey]]),(OutputTable[GroupByKey]=OutputTable[[#This Row],[GroupByKey]])*OutputTable[RecordedValue]))</f>
        <v>48</v>
      </c>
    </row>
    <row r="622" spans="1:16" x14ac:dyDescent="0.3">
      <c r="A622" t="s">
        <v>66</v>
      </c>
      <c r="B622" t="s">
        <v>68</v>
      </c>
      <c r="C622">
        <v>27</v>
      </c>
      <c r="D622" t="s">
        <v>135</v>
      </c>
      <c r="E622" t="s">
        <v>111</v>
      </c>
      <c r="F622" t="s">
        <v>95</v>
      </c>
      <c r="G622">
        <v>0.96245182322941003</v>
      </c>
      <c r="H622">
        <v>0</v>
      </c>
      <c r="I622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30</v>
      </c>
      <c r="K622" s="5" cm="1">
        <f t="array" ref="K622">IFERROR(AVERAGE(IF((OutputTable[GroupByKey]=OutputTable[[#This Row],[GroupByKey]]),(OutputTable[GroupByKey]=OutputTable[[#This Row],[GroupByKey]])*OutputTable[RecordedValue])),0)</f>
        <v>0.88098039877461687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6.9783648638161486E-2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622" s="5" cm="1">
        <f t="array" ref="O622">MIN(IF((OutputTable[GroupByKey]=OutputTable[[#This Row],[GroupByKey]]),(OutputTable[GroupByKey]=OutputTable[[#This Row],[GroupByKey]])*OutputTable[RecordedValue]))</f>
        <v>0.73843386001690303</v>
      </c>
      <c r="P622" s="5" cm="1">
        <f t="array" ref="P622">MAX(IF((OutputTable[GroupByKey]=OutputTable[[#This Row],[GroupByKey]]),(OutputTable[GroupByKey]=OutputTable[[#This Row],[GroupByKey]])*OutputTable[RecordedValue]))</f>
        <v>0.99245161744166299</v>
      </c>
    </row>
    <row r="623" spans="1:16" x14ac:dyDescent="0.3">
      <c r="A623" t="s">
        <v>66</v>
      </c>
      <c r="B623" t="s">
        <v>68</v>
      </c>
      <c r="C623">
        <v>28</v>
      </c>
      <c r="D623" t="s">
        <v>108</v>
      </c>
      <c r="E623" t="s">
        <v>109</v>
      </c>
      <c r="F623" t="s">
        <v>95</v>
      </c>
      <c r="G623">
        <v>47</v>
      </c>
      <c r="H623">
        <v>0</v>
      </c>
      <c r="I623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30</v>
      </c>
      <c r="K623" s="5" cm="1">
        <f t="array" ref="K623">IFERROR(AVERAGE(IF((OutputTable[GroupByKey]=OutputTable[[#This Row],[GroupByKey]]),(OutputTable[GroupByKey]=OutputTable[[#This Row],[GroupByKey]])*OutputTable[RecordedValue])),0)</f>
        <v>34.633333333333333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6.3326375903390151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623" s="5" cm="1">
        <f t="array" ref="O623">MIN(IF((OutputTable[GroupByKey]=OutputTable[[#This Row],[GroupByKey]]),(OutputTable[GroupByKey]=OutputTable[[#This Row],[GroupByKey]])*OutputTable[RecordedValue]))</f>
        <v>24</v>
      </c>
      <c r="P623" s="5" cm="1">
        <f t="array" ref="P623">MAX(IF((OutputTable[GroupByKey]=OutputTable[[#This Row],[GroupByKey]]),(OutputTable[GroupByKey]=OutputTable[[#This Row],[GroupByKey]])*OutputTable[RecordedValue]))</f>
        <v>47</v>
      </c>
    </row>
    <row r="624" spans="1:16" x14ac:dyDescent="0.3">
      <c r="A624" t="s">
        <v>66</v>
      </c>
      <c r="B624" t="s">
        <v>68</v>
      </c>
      <c r="C624">
        <v>28</v>
      </c>
      <c r="D624" t="s">
        <v>110</v>
      </c>
      <c r="E624" t="s">
        <v>111</v>
      </c>
      <c r="F624" t="s">
        <v>95</v>
      </c>
      <c r="G624">
        <v>4.8583931724403701E-2</v>
      </c>
      <c r="H624">
        <v>0</v>
      </c>
      <c r="I624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30</v>
      </c>
      <c r="K624" s="5" cm="1">
        <f t="array" ref="K624">IFERROR(AVERAGE(IF((OutputTable[GroupByKey]=OutputTable[[#This Row],[GroupByKey]]),(OutputTable[GroupByKey]=OutputTable[[#This Row],[GroupByKey]])*OutputTable[RecordedValue])),0)</f>
        <v>3.5359789427834361E-2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6.6521615975834569E-3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624" s="5" cm="1">
        <f t="array" ref="O624">MIN(IF((OutputTable[GroupByKey]=OutputTable[[#This Row],[GroupByKey]]),(OutputTable[GroupByKey]=OutputTable[[#This Row],[GroupByKey]])*OutputTable[RecordedValue]))</f>
        <v>2.3718114155243601E-2</v>
      </c>
      <c r="P624" s="5" cm="1">
        <f t="array" ref="P624">MAX(IF((OutputTable[GroupByKey]=OutputTable[[#This Row],[GroupByKey]]),(OutputTable[GroupByKey]=OutputTable[[#This Row],[GroupByKey]])*OutputTable[RecordedValue]))</f>
        <v>4.8583931724403701E-2</v>
      </c>
    </row>
    <row r="625" spans="1:16" x14ac:dyDescent="0.3">
      <c r="A625" t="s">
        <v>66</v>
      </c>
      <c r="B625" t="s">
        <v>68</v>
      </c>
      <c r="C625">
        <v>28</v>
      </c>
      <c r="D625" t="s">
        <v>112</v>
      </c>
      <c r="E625" t="s">
        <v>109</v>
      </c>
      <c r="F625" t="s">
        <v>95</v>
      </c>
      <c r="G625">
        <v>113</v>
      </c>
      <c r="H625">
        <v>0</v>
      </c>
      <c r="I625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30</v>
      </c>
      <c r="K625" s="5" cm="1">
        <f t="array" ref="K625">IFERROR(AVERAGE(IF((OutputTable[GroupByKey]=OutputTable[[#This Row],[GroupByKey]]),(OutputTable[GroupByKey]=OutputTable[[#This Row],[GroupByKey]])*OutputTable[RecordedValue])),0)</f>
        <v>105.13333333333334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9.9020490158675578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625" s="5" cm="1">
        <f t="array" ref="O625">MIN(IF((OutputTable[GroupByKey]=OutputTable[[#This Row],[GroupByKey]]),(OutputTable[GroupByKey]=OutputTable[[#This Row],[GroupByKey]])*OutputTable[RecordedValue]))</f>
        <v>90</v>
      </c>
      <c r="P625" s="5" cm="1">
        <f t="array" ref="P625">MAX(IF((OutputTable[GroupByKey]=OutputTable[[#This Row],[GroupByKey]]),(OutputTable[GroupByKey]=OutputTable[[#This Row],[GroupByKey]])*OutputTable[RecordedValue]))</f>
        <v>120</v>
      </c>
    </row>
    <row r="626" spans="1:16" x14ac:dyDescent="0.3">
      <c r="A626" t="s">
        <v>66</v>
      </c>
      <c r="B626" t="s">
        <v>68</v>
      </c>
      <c r="C626">
        <v>28</v>
      </c>
      <c r="D626" t="s">
        <v>113</v>
      </c>
      <c r="E626" t="s">
        <v>111</v>
      </c>
      <c r="F626" t="s">
        <v>95</v>
      </c>
      <c r="G626">
        <v>0.26763887253718999</v>
      </c>
      <c r="H626">
        <v>0</v>
      </c>
      <c r="I626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30</v>
      </c>
      <c r="K626" s="5" cm="1">
        <f t="array" ref="K626">IFERROR(AVERAGE(IF((OutputTable[GroupByKey]=OutputTable[[#This Row],[GroupByKey]]),(OutputTable[GroupByKey]=OutputTable[[#This Row],[GroupByKey]])*OutputTable[RecordedValue])),0)</f>
        <v>0.24658598119222253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2.3372241503878202E-2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626" s="5" cm="1">
        <f t="array" ref="O626">MIN(IF((OutputTable[GroupByKey]=OutputTable[[#This Row],[GroupByKey]]),(OutputTable[GroupByKey]=OutputTable[[#This Row],[GroupByKey]])*OutputTable[RecordedValue]))</f>
        <v>0.20767736113278101</v>
      </c>
      <c r="P626" s="5" cm="1">
        <f t="array" ref="P626">MAX(IF((OutputTable[GroupByKey]=OutputTable[[#This Row],[GroupByKey]]),(OutputTable[GroupByKey]=OutputTable[[#This Row],[GroupByKey]])*OutputTable[RecordedValue]))</f>
        <v>0.28501162927715601</v>
      </c>
    </row>
    <row r="627" spans="1:16" x14ac:dyDescent="0.3">
      <c r="A627" t="s">
        <v>66</v>
      </c>
      <c r="B627" t="s">
        <v>68</v>
      </c>
      <c r="C627">
        <v>28</v>
      </c>
      <c r="D627" t="s">
        <v>114</v>
      </c>
      <c r="E627" t="s">
        <v>109</v>
      </c>
      <c r="F627" t="s">
        <v>95</v>
      </c>
      <c r="G627">
        <v>121</v>
      </c>
      <c r="H627">
        <v>0</v>
      </c>
      <c r="I627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30</v>
      </c>
      <c r="K627" s="5" cm="1">
        <f t="array" ref="K627">IFERROR(AVERAGE(IF((OutputTable[GroupByKey]=OutputTable[[#This Row],[GroupByKey]]),(OutputTable[GroupByKey]=OutputTable[[#This Row],[GroupByKey]])*OutputTable[RecordedValue])),0)</f>
        <v>130.19999999999999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9.6932255049418501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627" s="5" cm="1">
        <f t="array" ref="O627">MIN(IF((OutputTable[GroupByKey]=OutputTable[[#This Row],[GroupByKey]]),(OutputTable[GroupByKey]=OutputTable[[#This Row],[GroupByKey]])*OutputTable[RecordedValue]))</f>
        <v>112</v>
      </c>
      <c r="P627" s="5" cm="1">
        <f t="array" ref="P627">MAX(IF((OutputTable[GroupByKey]=OutputTable[[#This Row],[GroupByKey]]),(OutputTable[GroupByKey]=OutputTable[[#This Row],[GroupByKey]])*OutputTable[RecordedValue]))</f>
        <v>150</v>
      </c>
    </row>
    <row r="628" spans="1:16" x14ac:dyDescent="0.3">
      <c r="A628" t="s">
        <v>66</v>
      </c>
      <c r="B628" t="s">
        <v>68</v>
      </c>
      <c r="C628">
        <v>28</v>
      </c>
      <c r="D628" t="s">
        <v>115</v>
      </c>
      <c r="E628" t="s">
        <v>111</v>
      </c>
      <c r="F628" t="s">
        <v>95</v>
      </c>
      <c r="G628">
        <v>0.55023809050779005</v>
      </c>
      <c r="H628">
        <v>0</v>
      </c>
      <c r="I628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30</v>
      </c>
      <c r="K628" s="5" cm="1">
        <f t="array" ref="K628">IFERROR(AVERAGE(IF((OutputTable[GroupByKey]=OutputTable[[#This Row],[GroupByKey]]),(OutputTable[GroupByKey]=OutputTable[[#This Row],[GroupByKey]])*OutputTable[RecordedValue])),0)</f>
        <v>0.61071636647106653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4.8363406640152928E-2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628" s="5" cm="1">
        <f t="array" ref="O628">MIN(IF((OutputTable[GroupByKey]=OutputTable[[#This Row],[GroupByKey]]),(OutputTable[GroupByKey]=OutputTable[[#This Row],[GroupByKey]])*OutputTable[RecordedValue]))</f>
        <v>0.517215348442703</v>
      </c>
      <c r="P628" s="5" cm="1">
        <f t="array" ref="P628">MAX(IF((OutputTable[GroupByKey]=OutputTable[[#This Row],[GroupByKey]]),(OutputTable[GroupByKey]=OutputTable[[#This Row],[GroupByKey]])*OutputTable[RecordedValue]))</f>
        <v>0.67770389283754395</v>
      </c>
    </row>
    <row r="629" spans="1:16" x14ac:dyDescent="0.3">
      <c r="A629" t="s">
        <v>66</v>
      </c>
      <c r="B629" t="s">
        <v>68</v>
      </c>
      <c r="C629">
        <v>28</v>
      </c>
      <c r="D629" t="s">
        <v>116</v>
      </c>
      <c r="E629" t="s">
        <v>109</v>
      </c>
      <c r="F629" t="s">
        <v>95</v>
      </c>
      <c r="G629">
        <v>361</v>
      </c>
      <c r="H629">
        <v>0</v>
      </c>
      <c r="I629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30</v>
      </c>
      <c r="K629" s="5" cm="1">
        <f t="array" ref="K629">IFERROR(AVERAGE(IF((OutputTable[GroupByKey]=OutputTable[[#This Row],[GroupByKey]]),(OutputTable[GroupByKey]=OutputTable[[#This Row],[GroupByKey]])*OutputTable[RecordedValue])),0)</f>
        <v>366.5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27.998460548813185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629" s="5" cm="1">
        <f t="array" ref="O629">MIN(IF((OutputTable[GroupByKey]=OutputTable[[#This Row],[GroupByKey]]),(OutputTable[GroupByKey]=OutputTable[[#This Row],[GroupByKey]])*OutputTable[RecordedValue]))</f>
        <v>308</v>
      </c>
      <c r="P629" s="5" cm="1">
        <f t="array" ref="P629">MAX(IF((OutputTable[GroupByKey]=OutputTable[[#This Row],[GroupByKey]]),(OutputTable[GroupByKey]=OutputTable[[#This Row],[GroupByKey]])*OutputTable[RecordedValue]))</f>
        <v>415</v>
      </c>
    </row>
    <row r="630" spans="1:16" x14ac:dyDescent="0.3">
      <c r="A630" t="s">
        <v>66</v>
      </c>
      <c r="B630" t="s">
        <v>68</v>
      </c>
      <c r="C630">
        <v>28</v>
      </c>
      <c r="D630" t="s">
        <v>117</v>
      </c>
      <c r="E630" t="s">
        <v>111</v>
      </c>
      <c r="F630" t="s">
        <v>95</v>
      </c>
      <c r="G630">
        <v>0.170613284397786</v>
      </c>
      <c r="H630">
        <v>0</v>
      </c>
      <c r="I630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30</v>
      </c>
      <c r="K630" s="5" cm="1">
        <f t="array" ref="K630">IFERROR(AVERAGE(IF((OutputTable[GroupByKey]=OutputTable[[#This Row],[GroupByKey]]),(OutputTable[GroupByKey]=OutputTable[[#This Row],[GroupByKey]])*OutputTable[RecordedValue])),0)</f>
        <v>0.17017204824235124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1.331368412630852E-2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630" s="5" cm="1">
        <f t="array" ref="O630">MIN(IF((OutputTable[GroupByKey]=OutputTable[[#This Row],[GroupByKey]]),(OutputTable[GroupByKey]=OutputTable[[#This Row],[GroupByKey]])*OutputTable[RecordedValue]))</f>
        <v>0.14484829778125299</v>
      </c>
      <c r="P630" s="5" cm="1">
        <f t="array" ref="P630">MAX(IF((OutputTable[GroupByKey]=OutputTable[[#This Row],[GroupByKey]]),(OutputTable[GroupByKey]=OutputTable[[#This Row],[GroupByKey]])*OutputTable[RecordedValue]))</f>
        <v>0.19609322315655101</v>
      </c>
    </row>
    <row r="631" spans="1:16" x14ac:dyDescent="0.3">
      <c r="A631" t="s">
        <v>66</v>
      </c>
      <c r="B631" t="s">
        <v>68</v>
      </c>
      <c r="C631">
        <v>28</v>
      </c>
      <c r="D631" t="s">
        <v>118</v>
      </c>
      <c r="E631" t="s">
        <v>109</v>
      </c>
      <c r="F631" t="s">
        <v>95</v>
      </c>
      <c r="G631">
        <v>67</v>
      </c>
      <c r="H631">
        <v>0</v>
      </c>
      <c r="I631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30</v>
      </c>
      <c r="K631" s="5" cm="1">
        <f t="array" ref="K631">IFERROR(AVERAGE(IF((OutputTable[GroupByKey]=OutputTable[[#This Row],[GroupByKey]]),(OutputTable[GroupByKey]=OutputTable[[#This Row],[GroupByKey]])*OutputTable[RecordedValue])),0)</f>
        <v>67.599999999999994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8.2277914244430335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631" s="5" cm="1">
        <f t="array" ref="O631">MIN(IF((OutputTable[GroupByKey]=OutputTable[[#This Row],[GroupByKey]]),(OutputTable[GroupByKey]=OutputTable[[#This Row],[GroupByKey]])*OutputTable[RecordedValue]))</f>
        <v>53</v>
      </c>
      <c r="P631" s="5" cm="1">
        <f t="array" ref="P631">MAX(IF((OutputTable[GroupByKey]=OutputTable[[#This Row],[GroupByKey]]),(OutputTable[GroupByKey]=OutputTable[[#This Row],[GroupByKey]])*OutputTable[RecordedValue]))</f>
        <v>83</v>
      </c>
    </row>
    <row r="632" spans="1:16" x14ac:dyDescent="0.3">
      <c r="A632" t="s">
        <v>66</v>
      </c>
      <c r="B632" t="s">
        <v>68</v>
      </c>
      <c r="C632">
        <v>28</v>
      </c>
      <c r="D632" t="s">
        <v>119</v>
      </c>
      <c r="E632" t="s">
        <v>111</v>
      </c>
      <c r="F632" t="s">
        <v>95</v>
      </c>
      <c r="G632">
        <v>8.9197885994901596E-2</v>
      </c>
      <c r="H632">
        <v>0</v>
      </c>
      <c r="I632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30</v>
      </c>
      <c r="K632" s="5" cm="1">
        <f t="array" ref="K632">IFERROR(AVERAGE(IF((OutputTable[GroupByKey]=OutputTable[[#This Row],[GroupByKey]]),(OutputTable[GroupByKey]=OutputTable[[#This Row],[GroupByKey]])*OutputTable[RecordedValue])),0)</f>
        <v>9.2629789222133899E-2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1.1199993404883948E-2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632" s="5" cm="1">
        <f t="array" ref="O632">MIN(IF((OutputTable[GroupByKey]=OutputTable[[#This Row],[GroupByKey]]),(OutputTable[GroupByKey]=OutputTable[[#This Row],[GroupByKey]])*OutputTable[RecordedValue]))</f>
        <v>7.4778736536586704E-2</v>
      </c>
      <c r="P632" s="5" cm="1">
        <f t="array" ref="P632">MAX(IF((OutputTable[GroupByKey]=OutputTable[[#This Row],[GroupByKey]]),(OutputTable[GroupByKey]=OutputTable[[#This Row],[GroupByKey]])*OutputTable[RecordedValue]))</f>
        <v>0.111025455742452</v>
      </c>
    </row>
    <row r="633" spans="1:16" x14ac:dyDescent="0.3">
      <c r="A633" t="s">
        <v>66</v>
      </c>
      <c r="B633" t="s">
        <v>68</v>
      </c>
      <c r="C633">
        <v>28</v>
      </c>
      <c r="D633" t="s">
        <v>120</v>
      </c>
      <c r="E633" t="s">
        <v>121</v>
      </c>
      <c r="F633" t="s">
        <v>122</v>
      </c>
      <c r="G633">
        <v>144</v>
      </c>
      <c r="H633">
        <v>0</v>
      </c>
      <c r="I633" s="5" t="str">
        <f>OutputTable[[#This Row],[ProjectName]]&amp;OutputTable[[#This Row],[Name]]&amp;OutputTable[[#This Row],[Type]]&amp;OutputTable[[#This Row],[Source]]</f>
        <v>Unnamed ProjectSystem.NumberOutNumber OutSystem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30</v>
      </c>
      <c r="K633" s="5" cm="1">
        <f t="array" ref="K633">IFERROR(AVERAGE(IF((OutputTable[GroupByKey]=OutputTable[[#This Row],[GroupByKey]]),(OutputTable[GroupByKey]=OutputTable[[#This Row],[GroupByKey]])*OutputTable[RecordedValue])),0)</f>
        <v>138.66666666666666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10.59386072484773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633" s="5" cm="1">
        <f t="array" ref="O633">MIN(IF((OutputTable[GroupByKey]=OutputTable[[#This Row],[GroupByKey]]),(OutputTable[GroupByKey]=OutputTable[[#This Row],[GroupByKey]])*OutputTable[RecordedValue]))</f>
        <v>122</v>
      </c>
      <c r="P633" s="5" cm="1">
        <f t="array" ref="P633">MAX(IF((OutputTable[GroupByKey]=OutputTable[[#This Row],[GroupByKey]]),(OutputTable[GroupByKey]=OutputTable[[#This Row],[GroupByKey]])*OutputTable[RecordedValue]))</f>
        <v>158</v>
      </c>
    </row>
    <row r="634" spans="1:16" x14ac:dyDescent="0.3">
      <c r="A634" t="s">
        <v>66</v>
      </c>
      <c r="B634" t="s">
        <v>68</v>
      </c>
      <c r="C634">
        <v>28</v>
      </c>
      <c r="D634" t="s">
        <v>123</v>
      </c>
      <c r="E634" t="s">
        <v>109</v>
      </c>
      <c r="F634" t="s">
        <v>95</v>
      </c>
      <c r="G634">
        <v>339</v>
      </c>
      <c r="H634">
        <v>0</v>
      </c>
      <c r="I634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30</v>
      </c>
      <c r="K634" s="5" cm="1">
        <f t="array" ref="K634">IFERROR(AVERAGE(IF((OutputTable[GroupByKey]=OutputTable[[#This Row],[GroupByKey]]),(OutputTable[GroupByKey]=OutputTable[[#This Row],[GroupByKey]])*OutputTable[RecordedValue])),0)</f>
        <v>324.63333333333333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23.733409208195905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634" s="5" cm="1">
        <f t="array" ref="O634">MIN(IF((OutputTable[GroupByKey]=OutputTable[[#This Row],[GroupByKey]]),(OutputTable[GroupByKey]=OutputTable[[#This Row],[GroupByKey]])*OutputTable[RecordedValue]))</f>
        <v>276</v>
      </c>
      <c r="P634" s="5" cm="1">
        <f t="array" ref="P634">MAX(IF((OutputTable[GroupByKey]=OutputTable[[#This Row],[GroupByKey]]),(OutputTable[GroupByKey]=OutputTable[[#This Row],[GroupByKey]])*OutputTable[RecordedValue]))</f>
        <v>370</v>
      </c>
    </row>
    <row r="635" spans="1:16" x14ac:dyDescent="0.3">
      <c r="A635" t="s">
        <v>66</v>
      </c>
      <c r="B635" t="s">
        <v>68</v>
      </c>
      <c r="C635">
        <v>28</v>
      </c>
      <c r="D635" t="s">
        <v>124</v>
      </c>
      <c r="E635" t="s">
        <v>111</v>
      </c>
      <c r="F635" t="s">
        <v>95</v>
      </c>
      <c r="G635">
        <v>0.81489086097216901</v>
      </c>
      <c r="H635">
        <v>0</v>
      </c>
      <c r="I635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30</v>
      </c>
      <c r="K635" s="5" cm="1">
        <f t="array" ref="K635">IFERROR(AVERAGE(IF((OutputTable[GroupByKey]=OutputTable[[#This Row],[GroupByKey]]),(OutputTable[GroupByKey]=OutputTable[[#This Row],[GroupByKey]])*OutputTable[RecordedValue])),0)</f>
        <v>0.78890367752589419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5.7743599319329868E-2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635" s="5" cm="1">
        <f t="array" ref="O635">MIN(IF((OutputTable[GroupByKey]=OutputTable[[#This Row],[GroupByKey]]),(OutputTable[GroupByKey]=OutputTable[[#This Row],[GroupByKey]])*OutputTable[RecordedValue]))</f>
        <v>0.68630817725209003</v>
      </c>
      <c r="P635" s="5" cm="1">
        <f t="array" ref="P635">MAX(IF((OutputTable[GroupByKey]=OutputTable[[#This Row],[GroupByKey]]),(OutputTable[GroupByKey]=OutputTable[[#This Row],[GroupByKey]])*OutputTable[RecordedValue]))</f>
        <v>0.89844569749382897</v>
      </c>
    </row>
    <row r="636" spans="1:16" x14ac:dyDescent="0.3">
      <c r="A636" t="s">
        <v>66</v>
      </c>
      <c r="B636" t="s">
        <v>68</v>
      </c>
      <c r="C636">
        <v>28</v>
      </c>
      <c r="D636" t="s">
        <v>125</v>
      </c>
      <c r="E636" t="s">
        <v>126</v>
      </c>
      <c r="F636" t="s">
        <v>86</v>
      </c>
      <c r="G636">
        <v>197</v>
      </c>
      <c r="H636">
        <v>0</v>
      </c>
      <c r="I636" s="5" t="str">
        <f>OutputTable[[#This Row],[ProjectName]]&amp;OutputTable[[#This Row],[Name]]&amp;OutputTable[[#This Row],[Type]]&amp;OutputTable[[#This Row],[Source]]</f>
        <v>Unnamed ProjectVisitantes.NumberInNumber InEntity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30</v>
      </c>
      <c r="K636" s="5" cm="1">
        <f t="array" ref="K636">IFERROR(AVERAGE(IF((OutputTable[GroupByKey]=OutputTable[[#This Row],[GroupByKey]]),(OutputTable[GroupByKey]=OutputTable[[#This Row],[GroupByKey]])*OutputTable[RecordedValue])),0)</f>
        <v>194.43333333333334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19.567184586538712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636" s="5" cm="1">
        <f t="array" ref="O636">MIN(IF((OutputTable[GroupByKey]=OutputTable[[#This Row],[GroupByKey]]),(OutputTable[GroupByKey]=OutputTable[[#This Row],[GroupByKey]])*OutputTable[RecordedValue]))</f>
        <v>158</v>
      </c>
      <c r="P636" s="5" cm="1">
        <f t="array" ref="P636">MAX(IF((OutputTable[GroupByKey]=OutputTable[[#This Row],[GroupByKey]]),(OutputTable[GroupByKey]=OutputTable[[#This Row],[GroupByKey]])*OutputTable[RecordedValue]))</f>
        <v>255</v>
      </c>
    </row>
    <row r="637" spans="1:16" x14ac:dyDescent="0.3">
      <c r="A637" t="s">
        <v>66</v>
      </c>
      <c r="B637" t="s">
        <v>68</v>
      </c>
      <c r="C637">
        <v>28</v>
      </c>
      <c r="D637" t="s">
        <v>127</v>
      </c>
      <c r="E637" t="s">
        <v>121</v>
      </c>
      <c r="F637" t="s">
        <v>86</v>
      </c>
      <c r="G637">
        <v>144</v>
      </c>
      <c r="H637">
        <v>0</v>
      </c>
      <c r="I637" s="5" t="str">
        <f>OutputTable[[#This Row],[ProjectName]]&amp;OutputTable[[#This Row],[Name]]&amp;OutputTable[[#This Row],[Type]]&amp;OutputTable[[#This Row],[Source]]</f>
        <v>Unnamed ProjectVisitantes.NumberOutNumber OutEntity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30</v>
      </c>
      <c r="K637" s="5" cm="1">
        <f t="array" ref="K637">IFERROR(AVERAGE(IF((OutputTable[GroupByKey]=OutputTable[[#This Row],[GroupByKey]]),(OutputTable[GroupByKey]=OutputTable[[#This Row],[GroupByKey]])*OutputTable[RecordedValue])),0)</f>
        <v>138.66666666666666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10.59386072484773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637" s="5" cm="1">
        <f t="array" ref="O637">MIN(IF((OutputTable[GroupByKey]=OutputTable[[#This Row],[GroupByKey]]),(OutputTable[GroupByKey]=OutputTable[[#This Row],[GroupByKey]])*OutputTable[RecordedValue]))</f>
        <v>122</v>
      </c>
      <c r="P637" s="5" cm="1">
        <f t="array" ref="P637">MAX(IF((OutputTable[GroupByKey]=OutputTable[[#This Row],[GroupByKey]]),(OutputTable[GroupByKey]=OutputTable[[#This Row],[GroupByKey]])*OutputTable[RecordedValue]))</f>
        <v>158</v>
      </c>
    </row>
    <row r="638" spans="1:16" x14ac:dyDescent="0.3">
      <c r="A638" t="s">
        <v>66</v>
      </c>
      <c r="B638" t="s">
        <v>68</v>
      </c>
      <c r="C638">
        <v>28</v>
      </c>
      <c r="D638" t="s">
        <v>128</v>
      </c>
      <c r="E638" t="s">
        <v>109</v>
      </c>
      <c r="F638" t="s">
        <v>95</v>
      </c>
      <c r="G638">
        <v>0</v>
      </c>
      <c r="H638">
        <v>0</v>
      </c>
      <c r="I638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30</v>
      </c>
      <c r="K638" s="5" cm="1">
        <f t="array" ref="K638">IFERROR(AVERAGE(IF((OutputTable[GroupByKey]=OutputTable[[#This Row],[GroupByKey]]),(OutputTable[GroupByKey]=OutputTable[[#This Row],[GroupByKey]])*OutputTable[RecordedValue])),0)</f>
        <v>0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0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8" s="5" cm="1">
        <f t="array" ref="O638">MIN(IF((OutputTable[GroupByKey]=OutputTable[[#This Row],[GroupByKey]]),(OutputTable[GroupByKey]=OutputTable[[#This Row],[GroupByKey]])*OutputTable[RecordedValue]))</f>
        <v>0</v>
      </c>
      <c r="P638" s="5" cm="1">
        <f t="array" ref="P638">MAX(IF((OutputTable[GroupByKey]=OutputTable[[#This Row],[GroupByKey]]),(OutputTable[GroupByKey]=OutputTable[[#This Row],[GroupByKey]])*OutputTable[RecordedValue]))</f>
        <v>0</v>
      </c>
    </row>
    <row r="639" spans="1:16" x14ac:dyDescent="0.3">
      <c r="A639" t="s">
        <v>66</v>
      </c>
      <c r="B639" t="s">
        <v>68</v>
      </c>
      <c r="C639">
        <v>28</v>
      </c>
      <c r="D639" t="s">
        <v>129</v>
      </c>
      <c r="E639" t="s">
        <v>111</v>
      </c>
      <c r="F639" t="s">
        <v>95</v>
      </c>
      <c r="G639">
        <v>0</v>
      </c>
      <c r="H639">
        <v>0</v>
      </c>
      <c r="I639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30</v>
      </c>
      <c r="K639" s="5" cm="1">
        <f t="array" ref="K639">IFERROR(AVERAGE(IF((OutputTable[GroupByKey]=OutputTable[[#This Row],[GroupByKey]]),(OutputTable[GroupByKey]=OutputTable[[#This Row],[GroupByKey]])*OutputTable[RecordedValue])),0)</f>
        <v>0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0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9" s="5" cm="1">
        <f t="array" ref="O639">MIN(IF((OutputTable[GroupByKey]=OutputTable[[#This Row],[GroupByKey]]),(OutputTable[GroupByKey]=OutputTable[[#This Row],[GroupByKey]])*OutputTable[RecordedValue]))</f>
        <v>0</v>
      </c>
      <c r="P639" s="5" cm="1">
        <f t="array" ref="P639">MAX(IF((OutputTable[GroupByKey]=OutputTable[[#This Row],[GroupByKey]]),(OutputTable[GroupByKey]=OutputTable[[#This Row],[GroupByKey]])*OutputTable[RecordedValue]))</f>
        <v>0</v>
      </c>
    </row>
    <row r="640" spans="1:16" x14ac:dyDescent="0.3">
      <c r="A640" t="s">
        <v>66</v>
      </c>
      <c r="B640" t="s">
        <v>68</v>
      </c>
      <c r="C640">
        <v>28</v>
      </c>
      <c r="D640" t="s">
        <v>130</v>
      </c>
      <c r="E640" t="s">
        <v>109</v>
      </c>
      <c r="F640" t="s">
        <v>95</v>
      </c>
      <c r="G640">
        <v>102</v>
      </c>
      <c r="H640">
        <v>0</v>
      </c>
      <c r="I640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30</v>
      </c>
      <c r="K640" s="5" cm="1">
        <f t="array" ref="K640">IFERROR(AVERAGE(IF((OutputTable[GroupByKey]=OutputTable[[#This Row],[GroupByKey]]),(OutputTable[GroupByKey]=OutputTable[[#This Row],[GroupByKey]])*OutputTable[RecordedValue])),0)</f>
        <v>99.666666666666671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11.021400290698853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640" s="5" cm="1">
        <f t="array" ref="O640">MIN(IF((OutputTable[GroupByKey]=OutputTable[[#This Row],[GroupByKey]]),(OutputTable[GroupByKey]=OutputTable[[#This Row],[GroupByKey]])*OutputTable[RecordedValue]))</f>
        <v>84</v>
      </c>
      <c r="P640" s="5" cm="1">
        <f t="array" ref="P640">MAX(IF((OutputTable[GroupByKey]=OutputTable[[#This Row],[GroupByKey]]),(OutputTable[GroupByKey]=OutputTable[[#This Row],[GroupByKey]])*OutputTable[RecordedValue]))</f>
        <v>133</v>
      </c>
    </row>
    <row r="641" spans="1:16" x14ac:dyDescent="0.3">
      <c r="A641" t="s">
        <v>66</v>
      </c>
      <c r="B641" t="s">
        <v>68</v>
      </c>
      <c r="C641">
        <v>28</v>
      </c>
      <c r="D641" t="s">
        <v>131</v>
      </c>
      <c r="E641" t="s">
        <v>111</v>
      </c>
      <c r="F641" t="s">
        <v>95</v>
      </c>
      <c r="G641">
        <v>0.86317545980286203</v>
      </c>
      <c r="H641">
        <v>0</v>
      </c>
      <c r="I641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30</v>
      </c>
      <c r="K641" s="5" cm="1">
        <f t="array" ref="K641">IFERROR(AVERAGE(IF((OutputTable[GroupByKey]=OutputTable[[#This Row],[GroupByKey]]),(OutputTable[GroupByKey]=OutputTable[[#This Row],[GroupByKey]])*OutputTable[RecordedValue])),0)</f>
        <v>0.81099663999028448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0.1069626954834289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641" s="5" cm="1">
        <f t="array" ref="O641">MIN(IF((OutputTable[GroupByKey]=OutputTable[[#This Row],[GroupByKey]]),(OutputTable[GroupByKey]=OutputTable[[#This Row],[GroupByKey]])*OutputTable[RecordedValue]))</f>
        <v>0.634589476164233</v>
      </c>
      <c r="P641" s="5" cm="1">
        <f t="array" ref="P641">MAX(IF((OutputTable[GroupByKey]=OutputTable[[#This Row],[GroupByKey]]),(OutputTable[GroupByKey]=OutputTable[[#This Row],[GroupByKey]])*OutputTable[RecordedValue]))</f>
        <v>0.99383259650362799</v>
      </c>
    </row>
    <row r="642" spans="1:16" x14ac:dyDescent="0.3">
      <c r="A642" t="s">
        <v>66</v>
      </c>
      <c r="B642" t="s">
        <v>68</v>
      </c>
      <c r="C642">
        <v>28</v>
      </c>
      <c r="D642" t="s">
        <v>132</v>
      </c>
      <c r="E642" t="s">
        <v>109</v>
      </c>
      <c r="F642" t="s">
        <v>95</v>
      </c>
      <c r="G642">
        <v>54</v>
      </c>
      <c r="H642">
        <v>0</v>
      </c>
      <c r="I642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30</v>
      </c>
      <c r="K642" s="5" cm="1">
        <f t="array" ref="K642">IFERROR(AVERAGE(IF((OutputTable[GroupByKey]=OutputTable[[#This Row],[GroupByKey]]),(OutputTable[GroupByKey]=OutputTable[[#This Row],[GroupByKey]])*OutputTable[RecordedValue])),0)</f>
        <v>51.966666666666669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7.0636677653220881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642" s="5" cm="1">
        <f t="array" ref="O642">MIN(IF((OutputTable[GroupByKey]=OutputTable[[#This Row],[GroupByKey]]),(OutputTable[GroupByKey]=OutputTable[[#This Row],[GroupByKey]])*OutputTable[RecordedValue]))</f>
        <v>40</v>
      </c>
      <c r="P642" s="5" cm="1">
        <f t="array" ref="P642">MAX(IF((OutputTable[GroupByKey]=OutputTable[[#This Row],[GroupByKey]]),(OutputTable[GroupByKey]=OutputTable[[#This Row],[GroupByKey]])*OutputTable[RecordedValue]))</f>
        <v>70</v>
      </c>
    </row>
    <row r="643" spans="1:16" x14ac:dyDescent="0.3">
      <c r="A643" t="s">
        <v>66</v>
      </c>
      <c r="B643" t="s">
        <v>68</v>
      </c>
      <c r="C643">
        <v>28</v>
      </c>
      <c r="D643" t="s">
        <v>133</v>
      </c>
      <c r="E643" t="s">
        <v>111</v>
      </c>
      <c r="F643" t="s">
        <v>95</v>
      </c>
      <c r="G643">
        <v>0.91454956284788003</v>
      </c>
      <c r="H643">
        <v>0</v>
      </c>
      <c r="I643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30</v>
      </c>
      <c r="K643" s="5" cm="1">
        <f t="array" ref="K643">IFERROR(AVERAGE(IF((OutputTable[GroupByKey]=OutputTable[[#This Row],[GroupByKey]]),(OutputTable[GroupByKey]=OutputTable[[#This Row],[GroupByKey]])*OutputTable[RecordedValue])),0)</f>
        <v>0.86404173385398308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7.7429091138254261E-2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643" s="5" cm="1">
        <f t="array" ref="O643">MIN(IF((OutputTable[GroupByKey]=OutputTable[[#This Row],[GroupByKey]]),(OutputTable[GroupByKey]=OutputTable[[#This Row],[GroupByKey]])*OutputTable[RecordedValue]))</f>
        <v>0.74061105631083801</v>
      </c>
      <c r="P643" s="5" cm="1">
        <f t="array" ref="P643">MAX(IF((OutputTable[GroupByKey]=OutputTable[[#This Row],[GroupByKey]]),(OutputTable[GroupByKey]=OutputTable[[#This Row],[GroupByKey]])*OutputTable[RecordedValue]))</f>
        <v>0.99245161744166299</v>
      </c>
    </row>
    <row r="644" spans="1:16" x14ac:dyDescent="0.3">
      <c r="A644" t="s">
        <v>66</v>
      </c>
      <c r="B644" t="s">
        <v>68</v>
      </c>
      <c r="C644">
        <v>28</v>
      </c>
      <c r="D644" t="s">
        <v>134</v>
      </c>
      <c r="E644" t="s">
        <v>109</v>
      </c>
      <c r="F644" t="s">
        <v>95</v>
      </c>
      <c r="G644">
        <v>41</v>
      </c>
      <c r="H644">
        <v>0</v>
      </c>
      <c r="I644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30</v>
      </c>
      <c r="K644" s="5" cm="1">
        <f t="array" ref="K644">IFERROR(AVERAGE(IF((OutputTable[GroupByKey]=OutputTable[[#This Row],[GroupByKey]]),(OutputTable[GroupByKey]=OutputTable[[#This Row],[GroupByKey]])*OutputTable[RecordedValue])),0)</f>
        <v>36.233333333333334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4.775536318198915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644" s="5" cm="1">
        <f t="array" ref="O644">MIN(IF((OutputTable[GroupByKey]=OutputTable[[#This Row],[GroupByKey]]),(OutputTable[GroupByKey]=OutputTable[[#This Row],[GroupByKey]])*OutputTable[RecordedValue]))</f>
        <v>28</v>
      </c>
      <c r="P644" s="5" cm="1">
        <f t="array" ref="P644">MAX(IF((OutputTable[GroupByKey]=OutputTable[[#This Row],[GroupByKey]]),(OutputTable[GroupByKey]=OutputTable[[#This Row],[GroupByKey]])*OutputTable[RecordedValue]))</f>
        <v>48</v>
      </c>
    </row>
    <row r="645" spans="1:16" x14ac:dyDescent="0.3">
      <c r="A645" t="s">
        <v>66</v>
      </c>
      <c r="B645" t="s">
        <v>68</v>
      </c>
      <c r="C645">
        <v>28</v>
      </c>
      <c r="D645" t="s">
        <v>135</v>
      </c>
      <c r="E645" t="s">
        <v>111</v>
      </c>
      <c r="F645" t="s">
        <v>95</v>
      </c>
      <c r="G645">
        <v>0.88959332070951402</v>
      </c>
      <c r="H645">
        <v>0</v>
      </c>
      <c r="I645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30</v>
      </c>
      <c r="K645" s="5" cm="1">
        <f t="array" ref="K645">IFERROR(AVERAGE(IF((OutputTable[GroupByKey]=OutputTable[[#This Row],[GroupByKey]]),(OutputTable[GroupByKey]=OutputTable[[#This Row],[GroupByKey]])*OutputTable[RecordedValue])),0)</f>
        <v>0.88098039877461687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6.9783648638161486E-2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645" s="5" cm="1">
        <f t="array" ref="O645">MIN(IF((OutputTable[GroupByKey]=OutputTable[[#This Row],[GroupByKey]]),(OutputTable[GroupByKey]=OutputTable[[#This Row],[GroupByKey]])*OutputTable[RecordedValue]))</f>
        <v>0.73843386001690303</v>
      </c>
      <c r="P645" s="5" cm="1">
        <f t="array" ref="P645">MAX(IF((OutputTable[GroupByKey]=OutputTable[[#This Row],[GroupByKey]]),(OutputTable[GroupByKey]=OutputTable[[#This Row],[GroupByKey]])*OutputTable[RecordedValue]))</f>
        <v>0.99245161744166299</v>
      </c>
    </row>
    <row r="646" spans="1:16" x14ac:dyDescent="0.3">
      <c r="A646" t="s">
        <v>66</v>
      </c>
      <c r="B646" t="s">
        <v>68</v>
      </c>
      <c r="C646">
        <v>29</v>
      </c>
      <c r="D646" t="s">
        <v>108</v>
      </c>
      <c r="E646" t="s">
        <v>109</v>
      </c>
      <c r="F646" t="s">
        <v>95</v>
      </c>
      <c r="G646">
        <v>34</v>
      </c>
      <c r="H646">
        <v>0</v>
      </c>
      <c r="I646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30</v>
      </c>
      <c r="K646" s="5" cm="1">
        <f t="array" ref="K646">IFERROR(AVERAGE(IF((OutputTable[GroupByKey]=OutputTable[[#This Row],[GroupByKey]]),(OutputTable[GroupByKey]=OutputTable[[#This Row],[GroupByKey]])*OutputTable[RecordedValue])),0)</f>
        <v>34.633333333333333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6.3326375903390151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646" s="5" cm="1">
        <f t="array" ref="O646">MIN(IF((OutputTable[GroupByKey]=OutputTable[[#This Row],[GroupByKey]]),(OutputTable[GroupByKey]=OutputTable[[#This Row],[GroupByKey]])*OutputTable[RecordedValue]))</f>
        <v>24</v>
      </c>
      <c r="P646" s="5" cm="1">
        <f t="array" ref="P646">MAX(IF((OutputTable[GroupByKey]=OutputTable[[#This Row],[GroupByKey]]),(OutputTable[GroupByKey]=OutputTable[[#This Row],[GroupByKey]])*OutputTable[RecordedValue]))</f>
        <v>47</v>
      </c>
    </row>
    <row r="647" spans="1:16" x14ac:dyDescent="0.3">
      <c r="A647" t="s">
        <v>66</v>
      </c>
      <c r="B647" t="s">
        <v>68</v>
      </c>
      <c r="C647">
        <v>29</v>
      </c>
      <c r="D647" t="s">
        <v>110</v>
      </c>
      <c r="E647" t="s">
        <v>111</v>
      </c>
      <c r="F647" t="s">
        <v>95</v>
      </c>
      <c r="G647">
        <v>3.4010270879095E-2</v>
      </c>
      <c r="H647">
        <v>0</v>
      </c>
      <c r="I647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30</v>
      </c>
      <c r="K647" s="5" cm="1">
        <f t="array" ref="K647">IFERROR(AVERAGE(IF((OutputTable[GroupByKey]=OutputTable[[#This Row],[GroupByKey]]),(OutputTable[GroupByKey]=OutputTable[[#This Row],[GroupByKey]])*OutputTable[RecordedValue])),0)</f>
        <v>3.5359789427834361E-2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6.6521615975834569E-3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647" s="5" cm="1">
        <f t="array" ref="O647">MIN(IF((OutputTable[GroupByKey]=OutputTable[[#This Row],[GroupByKey]]),(OutputTable[GroupByKey]=OutputTable[[#This Row],[GroupByKey]])*OutputTable[RecordedValue]))</f>
        <v>2.3718114155243601E-2</v>
      </c>
      <c r="P647" s="5" cm="1">
        <f t="array" ref="P647">MAX(IF((OutputTable[GroupByKey]=OutputTable[[#This Row],[GroupByKey]]),(OutputTable[GroupByKey]=OutputTable[[#This Row],[GroupByKey]])*OutputTable[RecordedValue]))</f>
        <v>4.8583931724403701E-2</v>
      </c>
    </row>
    <row r="648" spans="1:16" x14ac:dyDescent="0.3">
      <c r="A648" t="s">
        <v>66</v>
      </c>
      <c r="B648" t="s">
        <v>68</v>
      </c>
      <c r="C648">
        <v>29</v>
      </c>
      <c r="D648" t="s">
        <v>112</v>
      </c>
      <c r="E648" t="s">
        <v>109</v>
      </c>
      <c r="F648" t="s">
        <v>95</v>
      </c>
      <c r="G648">
        <v>120</v>
      </c>
      <c r="H648">
        <v>0</v>
      </c>
      <c r="I648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30</v>
      </c>
      <c r="K648" s="5" cm="1">
        <f t="array" ref="K648">IFERROR(AVERAGE(IF((OutputTable[GroupByKey]=OutputTable[[#This Row],[GroupByKey]]),(OutputTable[GroupByKey]=OutputTable[[#This Row],[GroupByKey]])*OutputTable[RecordedValue])),0)</f>
        <v>105.13333333333334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9.9020490158675578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648" s="5" cm="1">
        <f t="array" ref="O648">MIN(IF((OutputTable[GroupByKey]=OutputTable[[#This Row],[GroupByKey]]),(OutputTable[GroupByKey]=OutputTable[[#This Row],[GroupByKey]])*OutputTable[RecordedValue]))</f>
        <v>90</v>
      </c>
      <c r="P648" s="5" cm="1">
        <f t="array" ref="P648">MAX(IF((OutputTable[GroupByKey]=OutputTable[[#This Row],[GroupByKey]]),(OutputTable[GroupByKey]=OutputTable[[#This Row],[GroupByKey]])*OutputTable[RecordedValue]))</f>
        <v>120</v>
      </c>
    </row>
    <row r="649" spans="1:16" x14ac:dyDescent="0.3">
      <c r="A649" t="s">
        <v>66</v>
      </c>
      <c r="B649" t="s">
        <v>68</v>
      </c>
      <c r="C649">
        <v>29</v>
      </c>
      <c r="D649" t="s">
        <v>113</v>
      </c>
      <c r="E649" t="s">
        <v>111</v>
      </c>
      <c r="F649" t="s">
        <v>95</v>
      </c>
      <c r="G649">
        <v>0.27886186969291799</v>
      </c>
      <c r="H649">
        <v>0</v>
      </c>
      <c r="I649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30</v>
      </c>
      <c r="K649" s="5" cm="1">
        <f t="array" ref="K649">IFERROR(AVERAGE(IF((OutputTable[GroupByKey]=OutputTable[[#This Row],[GroupByKey]]),(OutputTable[GroupByKey]=OutputTable[[#This Row],[GroupByKey]])*OutputTable[RecordedValue])),0)</f>
        <v>0.24658598119222253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2.3372241503878202E-2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649" s="5" cm="1">
        <f t="array" ref="O649">MIN(IF((OutputTable[GroupByKey]=OutputTable[[#This Row],[GroupByKey]]),(OutputTable[GroupByKey]=OutputTable[[#This Row],[GroupByKey]])*OutputTable[RecordedValue]))</f>
        <v>0.20767736113278101</v>
      </c>
      <c r="P649" s="5" cm="1">
        <f t="array" ref="P649">MAX(IF((OutputTable[GroupByKey]=OutputTable[[#This Row],[GroupByKey]]),(OutputTable[GroupByKey]=OutputTable[[#This Row],[GroupByKey]])*OutputTable[RecordedValue]))</f>
        <v>0.28501162927715601</v>
      </c>
    </row>
    <row r="650" spans="1:16" x14ac:dyDescent="0.3">
      <c r="A650" t="s">
        <v>66</v>
      </c>
      <c r="B650" t="s">
        <v>68</v>
      </c>
      <c r="C650">
        <v>29</v>
      </c>
      <c r="D650" t="s">
        <v>114</v>
      </c>
      <c r="E650" t="s">
        <v>109</v>
      </c>
      <c r="F650" t="s">
        <v>95</v>
      </c>
      <c r="G650">
        <v>150</v>
      </c>
      <c r="H650">
        <v>0</v>
      </c>
      <c r="I650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30</v>
      </c>
      <c r="K650" s="5" cm="1">
        <f t="array" ref="K650">IFERROR(AVERAGE(IF((OutputTable[GroupByKey]=OutputTable[[#This Row],[GroupByKey]]),(OutputTable[GroupByKey]=OutputTable[[#This Row],[GroupByKey]])*OutputTable[RecordedValue])),0)</f>
        <v>130.19999999999999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9.6932255049418501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650" s="5" cm="1">
        <f t="array" ref="O650">MIN(IF((OutputTable[GroupByKey]=OutputTable[[#This Row],[GroupByKey]]),(OutputTable[GroupByKey]=OutputTable[[#This Row],[GroupByKey]])*OutputTable[RecordedValue]))</f>
        <v>112</v>
      </c>
      <c r="P650" s="5" cm="1">
        <f t="array" ref="P650">MAX(IF((OutputTable[GroupByKey]=OutputTable[[#This Row],[GroupByKey]]),(OutputTable[GroupByKey]=OutputTable[[#This Row],[GroupByKey]])*OutputTable[RecordedValue]))</f>
        <v>150</v>
      </c>
    </row>
    <row r="651" spans="1:16" x14ac:dyDescent="0.3">
      <c r="A651" t="s">
        <v>66</v>
      </c>
      <c r="B651" t="s">
        <v>68</v>
      </c>
      <c r="C651">
        <v>29</v>
      </c>
      <c r="D651" t="s">
        <v>115</v>
      </c>
      <c r="E651" t="s">
        <v>111</v>
      </c>
      <c r="F651" t="s">
        <v>95</v>
      </c>
      <c r="G651">
        <v>0.67770389283754395</v>
      </c>
      <c r="H651">
        <v>0</v>
      </c>
      <c r="I651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30</v>
      </c>
      <c r="K651" s="5" cm="1">
        <f t="array" ref="K651">IFERROR(AVERAGE(IF((OutputTable[GroupByKey]=OutputTable[[#This Row],[GroupByKey]]),(OutputTable[GroupByKey]=OutputTable[[#This Row],[GroupByKey]])*OutputTable[RecordedValue])),0)</f>
        <v>0.61071636647106653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4.8363406640152928E-2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651" s="5" cm="1">
        <f t="array" ref="O651">MIN(IF((OutputTable[GroupByKey]=OutputTable[[#This Row],[GroupByKey]]),(OutputTable[GroupByKey]=OutputTable[[#This Row],[GroupByKey]])*OutputTable[RecordedValue]))</f>
        <v>0.517215348442703</v>
      </c>
      <c r="P651" s="5" cm="1">
        <f t="array" ref="P651">MAX(IF((OutputTable[GroupByKey]=OutputTable[[#This Row],[GroupByKey]]),(OutputTable[GroupByKey]=OutputTable[[#This Row],[GroupByKey]])*OutputTable[RecordedValue]))</f>
        <v>0.67770389283754395</v>
      </c>
    </row>
    <row r="652" spans="1:16" x14ac:dyDescent="0.3">
      <c r="A652" t="s">
        <v>66</v>
      </c>
      <c r="B652" t="s">
        <v>68</v>
      </c>
      <c r="C652">
        <v>29</v>
      </c>
      <c r="D652" t="s">
        <v>116</v>
      </c>
      <c r="E652" t="s">
        <v>109</v>
      </c>
      <c r="F652" t="s">
        <v>95</v>
      </c>
      <c r="G652">
        <v>415</v>
      </c>
      <c r="H652">
        <v>0</v>
      </c>
      <c r="I652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30</v>
      </c>
      <c r="K652" s="5" cm="1">
        <f t="array" ref="K652">IFERROR(AVERAGE(IF((OutputTable[GroupByKey]=OutputTable[[#This Row],[GroupByKey]]),(OutputTable[GroupByKey]=OutputTable[[#This Row],[GroupByKey]])*OutputTable[RecordedValue])),0)</f>
        <v>366.5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27.998460548813185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652" s="5" cm="1">
        <f t="array" ref="O652">MIN(IF((OutputTable[GroupByKey]=OutputTable[[#This Row],[GroupByKey]]),(OutputTable[GroupByKey]=OutputTable[[#This Row],[GroupByKey]])*OutputTable[RecordedValue]))</f>
        <v>308</v>
      </c>
      <c r="P652" s="5" cm="1">
        <f t="array" ref="P652">MAX(IF((OutputTable[GroupByKey]=OutputTable[[#This Row],[GroupByKey]]),(OutputTable[GroupByKey]=OutputTable[[#This Row],[GroupByKey]])*OutputTable[RecordedValue]))</f>
        <v>415</v>
      </c>
    </row>
    <row r="653" spans="1:16" x14ac:dyDescent="0.3">
      <c r="A653" t="s">
        <v>66</v>
      </c>
      <c r="B653" t="s">
        <v>68</v>
      </c>
      <c r="C653">
        <v>29</v>
      </c>
      <c r="D653" t="s">
        <v>117</v>
      </c>
      <c r="E653" t="s">
        <v>111</v>
      </c>
      <c r="F653" t="s">
        <v>95</v>
      </c>
      <c r="G653">
        <v>0.19609322315655101</v>
      </c>
      <c r="H653">
        <v>0</v>
      </c>
      <c r="I653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30</v>
      </c>
      <c r="K653" s="5" cm="1">
        <f t="array" ref="K653">IFERROR(AVERAGE(IF((OutputTable[GroupByKey]=OutputTable[[#This Row],[GroupByKey]]),(OutputTable[GroupByKey]=OutputTable[[#This Row],[GroupByKey]])*OutputTable[RecordedValue])),0)</f>
        <v>0.17017204824235124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1.331368412630852E-2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653" s="5" cm="1">
        <f t="array" ref="O653">MIN(IF((OutputTable[GroupByKey]=OutputTable[[#This Row],[GroupByKey]]),(OutputTable[GroupByKey]=OutputTable[[#This Row],[GroupByKey]])*OutputTable[RecordedValue]))</f>
        <v>0.14484829778125299</v>
      </c>
      <c r="P653" s="5" cm="1">
        <f t="array" ref="P653">MAX(IF((OutputTable[GroupByKey]=OutputTable[[#This Row],[GroupByKey]]),(OutputTable[GroupByKey]=OutputTable[[#This Row],[GroupByKey]])*OutputTable[RecordedValue]))</f>
        <v>0.19609322315655101</v>
      </c>
    </row>
    <row r="654" spans="1:16" x14ac:dyDescent="0.3">
      <c r="A654" t="s">
        <v>66</v>
      </c>
      <c r="B654" t="s">
        <v>68</v>
      </c>
      <c r="C654">
        <v>29</v>
      </c>
      <c r="D654" t="s">
        <v>118</v>
      </c>
      <c r="E654" t="s">
        <v>109</v>
      </c>
      <c r="F654" t="s">
        <v>95</v>
      </c>
      <c r="G654">
        <v>76</v>
      </c>
      <c r="H654">
        <v>0</v>
      </c>
      <c r="I654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30</v>
      </c>
      <c r="K654" s="5" cm="1">
        <f t="array" ref="K654">IFERROR(AVERAGE(IF((OutputTable[GroupByKey]=OutputTable[[#This Row],[GroupByKey]]),(OutputTable[GroupByKey]=OutputTable[[#This Row],[GroupByKey]])*OutputTable[RecordedValue])),0)</f>
        <v>67.599999999999994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8.2277914244430335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654" s="5" cm="1">
        <f t="array" ref="O654">MIN(IF((OutputTable[GroupByKey]=OutputTable[[#This Row],[GroupByKey]]),(OutputTable[GroupByKey]=OutputTable[[#This Row],[GroupByKey]])*OutputTable[RecordedValue]))</f>
        <v>53</v>
      </c>
      <c r="P654" s="5" cm="1">
        <f t="array" ref="P654">MAX(IF((OutputTable[GroupByKey]=OutputTable[[#This Row],[GroupByKey]]),(OutputTable[GroupByKey]=OutputTable[[#This Row],[GroupByKey]])*OutputTable[RecordedValue]))</f>
        <v>83</v>
      </c>
    </row>
    <row r="655" spans="1:16" x14ac:dyDescent="0.3">
      <c r="A655" t="s">
        <v>66</v>
      </c>
      <c r="B655" t="s">
        <v>68</v>
      </c>
      <c r="C655">
        <v>29</v>
      </c>
      <c r="D655" t="s">
        <v>119</v>
      </c>
      <c r="E655" t="s">
        <v>111</v>
      </c>
      <c r="F655" t="s">
        <v>95</v>
      </c>
      <c r="G655">
        <v>0.102703645067248</v>
      </c>
      <c r="H655">
        <v>0</v>
      </c>
      <c r="I655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30</v>
      </c>
      <c r="K655" s="5" cm="1">
        <f t="array" ref="K655">IFERROR(AVERAGE(IF((OutputTable[GroupByKey]=OutputTable[[#This Row],[GroupByKey]]),(OutputTable[GroupByKey]=OutputTable[[#This Row],[GroupByKey]])*OutputTable[RecordedValue])),0)</f>
        <v>9.2629789222133899E-2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1.1199993404883948E-2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655" s="5" cm="1">
        <f t="array" ref="O655">MIN(IF((OutputTable[GroupByKey]=OutputTable[[#This Row],[GroupByKey]]),(OutputTable[GroupByKey]=OutputTable[[#This Row],[GroupByKey]])*OutputTable[RecordedValue]))</f>
        <v>7.4778736536586704E-2</v>
      </c>
      <c r="P655" s="5" cm="1">
        <f t="array" ref="P655">MAX(IF((OutputTable[GroupByKey]=OutputTable[[#This Row],[GroupByKey]]),(OutputTable[GroupByKey]=OutputTable[[#This Row],[GroupByKey]])*OutputTable[RecordedValue]))</f>
        <v>0.111025455742452</v>
      </c>
    </row>
    <row r="656" spans="1:16" x14ac:dyDescent="0.3">
      <c r="A656" t="s">
        <v>66</v>
      </c>
      <c r="B656" t="s">
        <v>68</v>
      </c>
      <c r="C656">
        <v>29</v>
      </c>
      <c r="D656" t="s">
        <v>120</v>
      </c>
      <c r="E656" t="s">
        <v>121</v>
      </c>
      <c r="F656" t="s">
        <v>122</v>
      </c>
      <c r="G656">
        <v>156</v>
      </c>
      <c r="H656">
        <v>0</v>
      </c>
      <c r="I656" s="5" t="str">
        <f>OutputTable[[#This Row],[ProjectName]]&amp;OutputTable[[#This Row],[Name]]&amp;OutputTable[[#This Row],[Type]]&amp;OutputTable[[#This Row],[Source]]</f>
        <v>Unnamed ProjectSystem.NumberOutNumber OutSystem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30</v>
      </c>
      <c r="K656" s="5" cm="1">
        <f t="array" ref="K656">IFERROR(AVERAGE(IF((OutputTable[GroupByKey]=OutputTable[[#This Row],[GroupByKey]]),(OutputTable[GroupByKey]=OutputTable[[#This Row],[GroupByKey]])*OutputTable[RecordedValue])),0)</f>
        <v>138.66666666666666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10.59386072484773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656" s="5" cm="1">
        <f t="array" ref="O656">MIN(IF((OutputTable[GroupByKey]=OutputTable[[#This Row],[GroupByKey]]),(OutputTable[GroupByKey]=OutputTable[[#This Row],[GroupByKey]])*OutputTable[RecordedValue]))</f>
        <v>122</v>
      </c>
      <c r="P656" s="5" cm="1">
        <f t="array" ref="P656">MAX(IF((OutputTable[GroupByKey]=OutputTable[[#This Row],[GroupByKey]]),(OutputTable[GroupByKey]=OutputTable[[#This Row],[GroupByKey]])*OutputTable[RecordedValue]))</f>
        <v>158</v>
      </c>
    </row>
    <row r="657" spans="1:16" x14ac:dyDescent="0.3">
      <c r="A657" t="s">
        <v>66</v>
      </c>
      <c r="B657" t="s">
        <v>68</v>
      </c>
      <c r="C657">
        <v>29</v>
      </c>
      <c r="D657" t="s">
        <v>123</v>
      </c>
      <c r="E657" t="s">
        <v>109</v>
      </c>
      <c r="F657" t="s">
        <v>95</v>
      </c>
      <c r="G657">
        <v>364</v>
      </c>
      <c r="H657">
        <v>0</v>
      </c>
      <c r="I657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30</v>
      </c>
      <c r="K657" s="5" cm="1">
        <f t="array" ref="K657">IFERROR(AVERAGE(IF((OutputTable[GroupByKey]=OutputTable[[#This Row],[GroupByKey]]),(OutputTable[GroupByKey]=OutputTable[[#This Row],[GroupByKey]])*OutputTable[RecordedValue])),0)</f>
        <v>324.63333333333333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23.733409208195905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657" s="5" cm="1">
        <f t="array" ref="O657">MIN(IF((OutputTable[GroupByKey]=OutputTable[[#This Row],[GroupByKey]]),(OutputTable[GroupByKey]=OutputTable[[#This Row],[GroupByKey]])*OutputTable[RecordedValue]))</f>
        <v>276</v>
      </c>
      <c r="P657" s="5" cm="1">
        <f t="array" ref="P657">MAX(IF((OutputTable[GroupByKey]=OutputTable[[#This Row],[GroupByKey]]),(OutputTable[GroupByKey]=OutputTable[[#This Row],[GroupByKey]])*OutputTable[RecordedValue]))</f>
        <v>370</v>
      </c>
    </row>
    <row r="658" spans="1:16" x14ac:dyDescent="0.3">
      <c r="A658" t="s">
        <v>66</v>
      </c>
      <c r="B658" t="s">
        <v>68</v>
      </c>
      <c r="C658">
        <v>29</v>
      </c>
      <c r="D658" t="s">
        <v>124</v>
      </c>
      <c r="E658" t="s">
        <v>111</v>
      </c>
      <c r="F658" t="s">
        <v>95</v>
      </c>
      <c r="G658">
        <v>0.87584533456416602</v>
      </c>
      <c r="H658">
        <v>0</v>
      </c>
      <c r="I658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30</v>
      </c>
      <c r="K658" s="5" cm="1">
        <f t="array" ref="K658">IFERROR(AVERAGE(IF((OutputTable[GroupByKey]=OutputTable[[#This Row],[GroupByKey]]),(OutputTable[GroupByKey]=OutputTable[[#This Row],[GroupByKey]])*OutputTable[RecordedValue])),0)</f>
        <v>0.78890367752589419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5.7743599319329868E-2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658" s="5" cm="1">
        <f t="array" ref="O658">MIN(IF((OutputTable[GroupByKey]=OutputTable[[#This Row],[GroupByKey]]),(OutputTable[GroupByKey]=OutputTable[[#This Row],[GroupByKey]])*OutputTable[RecordedValue]))</f>
        <v>0.68630817725209003</v>
      </c>
      <c r="P658" s="5" cm="1">
        <f t="array" ref="P658">MAX(IF((OutputTable[GroupByKey]=OutputTable[[#This Row],[GroupByKey]]),(OutputTable[GroupByKey]=OutputTable[[#This Row],[GroupByKey]])*OutputTable[RecordedValue]))</f>
        <v>0.89844569749382897</v>
      </c>
    </row>
    <row r="659" spans="1:16" x14ac:dyDescent="0.3">
      <c r="A659" t="s">
        <v>66</v>
      </c>
      <c r="B659" t="s">
        <v>68</v>
      </c>
      <c r="C659">
        <v>29</v>
      </c>
      <c r="D659" t="s">
        <v>125</v>
      </c>
      <c r="E659" t="s">
        <v>126</v>
      </c>
      <c r="F659" t="s">
        <v>86</v>
      </c>
      <c r="G659">
        <v>223</v>
      </c>
      <c r="H659">
        <v>0</v>
      </c>
      <c r="I659" s="5" t="str">
        <f>OutputTable[[#This Row],[ProjectName]]&amp;OutputTable[[#This Row],[Name]]&amp;OutputTable[[#This Row],[Type]]&amp;OutputTable[[#This Row],[Source]]</f>
        <v>Unnamed ProjectVisitantes.NumberInNumber InEntity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30</v>
      </c>
      <c r="K659" s="5" cm="1">
        <f t="array" ref="K659">IFERROR(AVERAGE(IF((OutputTable[GroupByKey]=OutputTable[[#This Row],[GroupByKey]]),(OutputTable[GroupByKey]=OutputTable[[#This Row],[GroupByKey]])*OutputTable[RecordedValue])),0)</f>
        <v>194.43333333333334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19.567184586538712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659" s="5" cm="1">
        <f t="array" ref="O659">MIN(IF((OutputTable[GroupByKey]=OutputTable[[#This Row],[GroupByKey]]),(OutputTable[GroupByKey]=OutputTable[[#This Row],[GroupByKey]])*OutputTable[RecordedValue]))</f>
        <v>158</v>
      </c>
      <c r="P659" s="5" cm="1">
        <f t="array" ref="P659">MAX(IF((OutputTable[GroupByKey]=OutputTable[[#This Row],[GroupByKey]]),(OutputTable[GroupByKey]=OutputTable[[#This Row],[GroupByKey]])*OutputTable[RecordedValue]))</f>
        <v>255</v>
      </c>
    </row>
    <row r="660" spans="1:16" x14ac:dyDescent="0.3">
      <c r="A660" t="s">
        <v>66</v>
      </c>
      <c r="B660" t="s">
        <v>68</v>
      </c>
      <c r="C660">
        <v>29</v>
      </c>
      <c r="D660" t="s">
        <v>127</v>
      </c>
      <c r="E660" t="s">
        <v>121</v>
      </c>
      <c r="F660" t="s">
        <v>86</v>
      </c>
      <c r="G660">
        <v>156</v>
      </c>
      <c r="H660">
        <v>0</v>
      </c>
      <c r="I660" s="5" t="str">
        <f>OutputTable[[#This Row],[ProjectName]]&amp;OutputTable[[#This Row],[Name]]&amp;OutputTable[[#This Row],[Type]]&amp;OutputTable[[#This Row],[Source]]</f>
        <v>Unnamed ProjectVisitantes.NumberOutNumber OutEntity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30</v>
      </c>
      <c r="K660" s="5" cm="1">
        <f t="array" ref="K660">IFERROR(AVERAGE(IF((OutputTable[GroupByKey]=OutputTable[[#This Row],[GroupByKey]]),(OutputTable[GroupByKey]=OutputTable[[#This Row],[GroupByKey]])*OutputTable[RecordedValue])),0)</f>
        <v>138.66666666666666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10.59386072484773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660" s="5" cm="1">
        <f t="array" ref="O660">MIN(IF((OutputTable[GroupByKey]=OutputTable[[#This Row],[GroupByKey]]),(OutputTable[GroupByKey]=OutputTable[[#This Row],[GroupByKey]])*OutputTable[RecordedValue]))</f>
        <v>122</v>
      </c>
      <c r="P660" s="5" cm="1">
        <f t="array" ref="P660">MAX(IF((OutputTable[GroupByKey]=OutputTable[[#This Row],[GroupByKey]]),(OutputTable[GroupByKey]=OutputTable[[#This Row],[GroupByKey]])*OutputTable[RecordedValue]))</f>
        <v>158</v>
      </c>
    </row>
    <row r="661" spans="1:16" x14ac:dyDescent="0.3">
      <c r="A661" t="s">
        <v>66</v>
      </c>
      <c r="B661" t="s">
        <v>68</v>
      </c>
      <c r="C661">
        <v>29</v>
      </c>
      <c r="D661" t="s">
        <v>128</v>
      </c>
      <c r="E661" t="s">
        <v>109</v>
      </c>
      <c r="F661" t="s">
        <v>95</v>
      </c>
      <c r="G661">
        <v>0</v>
      </c>
      <c r="H661">
        <v>0</v>
      </c>
      <c r="I661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30</v>
      </c>
      <c r="K661" s="5" cm="1">
        <f t="array" ref="K661">IFERROR(AVERAGE(IF((OutputTable[GroupByKey]=OutputTable[[#This Row],[GroupByKey]]),(OutputTable[GroupByKey]=OutputTable[[#This Row],[GroupByKey]])*OutputTable[RecordedValue])),0)</f>
        <v>0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0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1" s="5" cm="1">
        <f t="array" ref="O661">MIN(IF((OutputTable[GroupByKey]=OutputTable[[#This Row],[GroupByKey]]),(OutputTable[GroupByKey]=OutputTable[[#This Row],[GroupByKey]])*OutputTable[RecordedValue]))</f>
        <v>0</v>
      </c>
      <c r="P661" s="5" cm="1">
        <f t="array" ref="P661">MAX(IF((OutputTable[GroupByKey]=OutputTable[[#This Row],[GroupByKey]]),(OutputTable[GroupByKey]=OutputTable[[#This Row],[GroupByKey]])*OutputTable[RecordedValue]))</f>
        <v>0</v>
      </c>
    </row>
    <row r="662" spans="1:16" x14ac:dyDescent="0.3">
      <c r="A662" t="s">
        <v>66</v>
      </c>
      <c r="B662" t="s">
        <v>68</v>
      </c>
      <c r="C662">
        <v>29</v>
      </c>
      <c r="D662" t="s">
        <v>129</v>
      </c>
      <c r="E662" t="s">
        <v>111</v>
      </c>
      <c r="F662" t="s">
        <v>95</v>
      </c>
      <c r="G662">
        <v>0</v>
      </c>
      <c r="H662">
        <v>0</v>
      </c>
      <c r="I662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30</v>
      </c>
      <c r="K662" s="5" cm="1">
        <f t="array" ref="K662">IFERROR(AVERAGE(IF((OutputTable[GroupByKey]=OutputTable[[#This Row],[GroupByKey]]),(OutputTable[GroupByKey]=OutputTable[[#This Row],[GroupByKey]])*OutputTable[RecordedValue])),0)</f>
        <v>0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0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2" s="5" cm="1">
        <f t="array" ref="O662">MIN(IF((OutputTable[GroupByKey]=OutputTable[[#This Row],[GroupByKey]]),(OutputTable[GroupByKey]=OutputTable[[#This Row],[GroupByKey]])*OutputTable[RecordedValue]))</f>
        <v>0</v>
      </c>
      <c r="P662" s="5" cm="1">
        <f t="array" ref="P662">MAX(IF((OutputTable[GroupByKey]=OutputTable[[#This Row],[GroupByKey]]),(OutputTable[GroupByKey]=OutputTable[[#This Row],[GroupByKey]])*OutputTable[RecordedValue]))</f>
        <v>0</v>
      </c>
    </row>
    <row r="663" spans="1:16" x14ac:dyDescent="0.3">
      <c r="A663" t="s">
        <v>66</v>
      </c>
      <c r="B663" t="s">
        <v>68</v>
      </c>
      <c r="C663">
        <v>29</v>
      </c>
      <c r="D663" t="s">
        <v>130</v>
      </c>
      <c r="E663" t="s">
        <v>109</v>
      </c>
      <c r="F663" t="s">
        <v>95</v>
      </c>
      <c r="G663">
        <v>112</v>
      </c>
      <c r="H663">
        <v>0</v>
      </c>
      <c r="I663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30</v>
      </c>
      <c r="K663" s="5" cm="1">
        <f t="array" ref="K663">IFERROR(AVERAGE(IF((OutputTable[GroupByKey]=OutputTable[[#This Row],[GroupByKey]]),(OutputTable[GroupByKey]=OutputTable[[#This Row],[GroupByKey]])*OutputTable[RecordedValue])),0)</f>
        <v>99.666666666666671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11.021400290698853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663" s="5" cm="1">
        <f t="array" ref="O663">MIN(IF((OutputTable[GroupByKey]=OutputTable[[#This Row],[GroupByKey]]),(OutputTable[GroupByKey]=OutputTable[[#This Row],[GroupByKey]])*OutputTable[RecordedValue]))</f>
        <v>84</v>
      </c>
      <c r="P663" s="5" cm="1">
        <f t="array" ref="P663">MAX(IF((OutputTable[GroupByKey]=OutputTable[[#This Row],[GroupByKey]]),(OutputTable[GroupByKey]=OutputTable[[#This Row],[GroupByKey]])*OutputTable[RecordedValue]))</f>
        <v>133</v>
      </c>
    </row>
    <row r="664" spans="1:16" x14ac:dyDescent="0.3">
      <c r="A664" t="s">
        <v>66</v>
      </c>
      <c r="B664" t="s">
        <v>68</v>
      </c>
      <c r="C664">
        <v>29</v>
      </c>
      <c r="D664" t="s">
        <v>131</v>
      </c>
      <c r="E664" t="s">
        <v>111</v>
      </c>
      <c r="F664" t="s">
        <v>95</v>
      </c>
      <c r="G664">
        <v>0.933324532054981</v>
      </c>
      <c r="H664">
        <v>0</v>
      </c>
      <c r="I664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30</v>
      </c>
      <c r="K664" s="5" cm="1">
        <f t="array" ref="K664">IFERROR(AVERAGE(IF((OutputTable[GroupByKey]=OutputTable[[#This Row],[GroupByKey]]),(OutputTable[GroupByKey]=OutputTable[[#This Row],[GroupByKey]])*OutputTable[RecordedValue])),0)</f>
        <v>0.81099663999028448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0.1069626954834289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664" s="5" cm="1">
        <f t="array" ref="O664">MIN(IF((OutputTable[GroupByKey]=OutputTable[[#This Row],[GroupByKey]]),(OutputTable[GroupByKey]=OutputTable[[#This Row],[GroupByKey]])*OutputTable[RecordedValue]))</f>
        <v>0.634589476164233</v>
      </c>
      <c r="P664" s="5" cm="1">
        <f t="array" ref="P664">MAX(IF((OutputTable[GroupByKey]=OutputTable[[#This Row],[GroupByKey]]),(OutputTable[GroupByKey]=OutputTable[[#This Row],[GroupByKey]])*OutputTable[RecordedValue]))</f>
        <v>0.99383259650362799</v>
      </c>
    </row>
    <row r="665" spans="1:16" x14ac:dyDescent="0.3">
      <c r="A665" t="s">
        <v>66</v>
      </c>
      <c r="B665" t="s">
        <v>68</v>
      </c>
      <c r="C665">
        <v>29</v>
      </c>
      <c r="D665" t="s">
        <v>132</v>
      </c>
      <c r="E665" t="s">
        <v>109</v>
      </c>
      <c r="F665" t="s">
        <v>95</v>
      </c>
      <c r="G665">
        <v>58</v>
      </c>
      <c r="H665">
        <v>0</v>
      </c>
      <c r="I665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30</v>
      </c>
      <c r="K665" s="5" cm="1">
        <f t="array" ref="K665">IFERROR(AVERAGE(IF((OutputTable[GroupByKey]=OutputTable[[#This Row],[GroupByKey]]),(OutputTable[GroupByKey]=OutputTable[[#This Row],[GroupByKey]])*OutputTable[RecordedValue])),0)</f>
        <v>51.966666666666669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7.0636677653220881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665" s="5" cm="1">
        <f t="array" ref="O665">MIN(IF((OutputTable[GroupByKey]=OutputTable[[#This Row],[GroupByKey]]),(OutputTable[GroupByKey]=OutputTable[[#This Row],[GroupByKey]])*OutputTable[RecordedValue]))</f>
        <v>40</v>
      </c>
      <c r="P665" s="5" cm="1">
        <f t="array" ref="P665">MAX(IF((OutputTable[GroupByKey]=OutputTable[[#This Row],[GroupByKey]]),(OutputTable[GroupByKey]=OutputTable[[#This Row],[GroupByKey]])*OutputTable[RecordedValue]))</f>
        <v>70</v>
      </c>
    </row>
    <row r="666" spans="1:16" x14ac:dyDescent="0.3">
      <c r="A666" t="s">
        <v>66</v>
      </c>
      <c r="B666" t="s">
        <v>68</v>
      </c>
      <c r="C666">
        <v>29</v>
      </c>
      <c r="D666" t="s">
        <v>133</v>
      </c>
      <c r="E666" t="s">
        <v>111</v>
      </c>
      <c r="F666" t="s">
        <v>95</v>
      </c>
      <c r="G666">
        <v>0.96118893255582005</v>
      </c>
      <c r="H666">
        <v>0</v>
      </c>
      <c r="I666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30</v>
      </c>
      <c r="K666" s="5" cm="1">
        <f t="array" ref="K666">IFERROR(AVERAGE(IF((OutputTable[GroupByKey]=OutputTable[[#This Row],[GroupByKey]]),(OutputTable[GroupByKey]=OutputTable[[#This Row],[GroupByKey]])*OutputTable[RecordedValue])),0)</f>
        <v>0.86404173385398308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7.7429091138254261E-2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666" s="5" cm="1">
        <f t="array" ref="O666">MIN(IF((OutputTable[GroupByKey]=OutputTable[[#This Row],[GroupByKey]]),(OutputTable[GroupByKey]=OutputTable[[#This Row],[GroupByKey]])*OutputTable[RecordedValue]))</f>
        <v>0.74061105631083801</v>
      </c>
      <c r="P666" s="5" cm="1">
        <f t="array" ref="P666">MAX(IF((OutputTable[GroupByKey]=OutputTable[[#This Row],[GroupByKey]]),(OutputTable[GroupByKey]=OutputTable[[#This Row],[GroupByKey]])*OutputTable[RecordedValue]))</f>
        <v>0.99245161744166299</v>
      </c>
    </row>
    <row r="667" spans="1:16" x14ac:dyDescent="0.3">
      <c r="A667" t="s">
        <v>66</v>
      </c>
      <c r="B667" t="s">
        <v>68</v>
      </c>
      <c r="C667">
        <v>29</v>
      </c>
      <c r="D667" t="s">
        <v>134</v>
      </c>
      <c r="E667" t="s">
        <v>109</v>
      </c>
      <c r="F667" t="s">
        <v>95</v>
      </c>
      <c r="G667">
        <v>41</v>
      </c>
      <c r="H667">
        <v>0</v>
      </c>
      <c r="I667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30</v>
      </c>
      <c r="K667" s="5" cm="1">
        <f t="array" ref="K667">IFERROR(AVERAGE(IF((OutputTable[GroupByKey]=OutputTable[[#This Row],[GroupByKey]]),(OutputTable[GroupByKey]=OutputTable[[#This Row],[GroupByKey]])*OutputTable[RecordedValue])),0)</f>
        <v>36.233333333333334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4.775536318198915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667" s="5" cm="1">
        <f t="array" ref="O667">MIN(IF((OutputTable[GroupByKey]=OutputTable[[#This Row],[GroupByKey]]),(OutputTable[GroupByKey]=OutputTable[[#This Row],[GroupByKey]])*OutputTable[RecordedValue]))</f>
        <v>28</v>
      </c>
      <c r="P667" s="5" cm="1">
        <f t="array" ref="P667">MAX(IF((OutputTable[GroupByKey]=OutputTable[[#This Row],[GroupByKey]]),(OutputTable[GroupByKey]=OutputTable[[#This Row],[GroupByKey]])*OutputTable[RecordedValue]))</f>
        <v>48</v>
      </c>
    </row>
    <row r="668" spans="1:16" x14ac:dyDescent="0.3">
      <c r="A668" t="s">
        <v>66</v>
      </c>
      <c r="B668" t="s">
        <v>68</v>
      </c>
      <c r="C668">
        <v>29</v>
      </c>
      <c r="D668" t="s">
        <v>135</v>
      </c>
      <c r="E668" t="s">
        <v>111</v>
      </c>
      <c r="F668" t="s">
        <v>95</v>
      </c>
      <c r="G668">
        <v>0.98878963151184796</v>
      </c>
      <c r="H668">
        <v>0</v>
      </c>
      <c r="I668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30</v>
      </c>
      <c r="K668" s="5" cm="1">
        <f t="array" ref="K668">IFERROR(AVERAGE(IF((OutputTable[GroupByKey]=OutputTable[[#This Row],[GroupByKey]]),(OutputTable[GroupByKey]=OutputTable[[#This Row],[GroupByKey]])*OutputTable[RecordedValue])),0)</f>
        <v>0.88098039877461687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6.9783648638161486E-2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668" s="5" cm="1">
        <f t="array" ref="O668">MIN(IF((OutputTable[GroupByKey]=OutputTable[[#This Row],[GroupByKey]]),(OutputTable[GroupByKey]=OutputTable[[#This Row],[GroupByKey]])*OutputTable[RecordedValue]))</f>
        <v>0.73843386001690303</v>
      </c>
      <c r="P668" s="5" cm="1">
        <f t="array" ref="P668">MAX(IF((OutputTable[GroupByKey]=OutputTable[[#This Row],[GroupByKey]]),(OutputTable[GroupByKey]=OutputTable[[#This Row],[GroupByKey]])*OutputTable[RecordedValue]))</f>
        <v>0.99245161744166299</v>
      </c>
    </row>
    <row r="669" spans="1:16" x14ac:dyDescent="0.3">
      <c r="A669" t="s">
        <v>66</v>
      </c>
      <c r="B669" t="s">
        <v>68</v>
      </c>
      <c r="C669">
        <v>30</v>
      </c>
      <c r="D669" t="s">
        <v>108</v>
      </c>
      <c r="E669" t="s">
        <v>109</v>
      </c>
      <c r="F669" t="s">
        <v>95</v>
      </c>
      <c r="G669">
        <v>24</v>
      </c>
      <c r="H669">
        <v>0</v>
      </c>
      <c r="I669" s="5" t="str">
        <f>OutputTable[[#This Row],[ProjectName]]&amp;OutputTable[[#This Row],[Name]]&amp;OutputTable[[#This Row],[Type]]&amp;OutputTable[[#This Row],[Source]]</f>
        <v>Unnamed ProjectRArte.NumberSeizedTotal Number SeizedResource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30</v>
      </c>
      <c r="K669" s="5" cm="1">
        <f t="array" ref="K669">IFERROR(AVERAGE(IF((OutputTable[GroupByKey]=OutputTable[[#This Row],[GroupByKey]]),(OutputTable[GroupByKey]=OutputTable[[#This Row],[GroupByKey]])*OutputTable[RecordedValue])),0)</f>
        <v>34.633333333333333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6.3326375903390151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2.3646457380976149</v>
      </c>
      <c r="O669" s="5" cm="1">
        <f t="array" ref="O669">MIN(IF((OutputTable[GroupByKey]=OutputTable[[#This Row],[GroupByKey]]),(OutputTable[GroupByKey]=OutputTable[[#This Row],[GroupByKey]])*OutputTable[RecordedValue]))</f>
        <v>24</v>
      </c>
      <c r="P669" s="5" cm="1">
        <f t="array" ref="P669">MAX(IF((OutputTable[GroupByKey]=OutputTable[[#This Row],[GroupByKey]]),(OutputTable[GroupByKey]=OutputTable[[#This Row],[GroupByKey]])*OutputTable[RecordedValue]))</f>
        <v>47</v>
      </c>
    </row>
    <row r="670" spans="1:16" x14ac:dyDescent="0.3">
      <c r="A670" t="s">
        <v>66</v>
      </c>
      <c r="B670" t="s">
        <v>68</v>
      </c>
      <c r="C670">
        <v>30</v>
      </c>
      <c r="D670" t="s">
        <v>110</v>
      </c>
      <c r="E670" t="s">
        <v>111</v>
      </c>
      <c r="F670" t="s">
        <v>95</v>
      </c>
      <c r="G670">
        <v>2.6023961231830001E-2</v>
      </c>
      <c r="H670">
        <v>0</v>
      </c>
      <c r="I670" s="5" t="str">
        <f>OutputTable[[#This Row],[ProjectName]]&amp;OutputTable[[#This Row],[Name]]&amp;OutputTable[[#This Row],[Type]]&amp;OutputTable[[#This Row],[Source]]</f>
        <v>Unnamed ProjectRArte.ScheduledUtilizationScheduled UtilizationResource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30</v>
      </c>
      <c r="K670" s="5" cm="1">
        <f t="array" ref="K670">IFERROR(AVERAGE(IF((OutputTable[GroupByKey]=OutputTable[[#This Row],[GroupByKey]]),(OutputTable[GroupByKey]=OutputTable[[#This Row],[GroupByKey]])*OutputTable[RecordedValue])),0)</f>
        <v>3.5359789427834361E-2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6.6521615975834569E-3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2.4839579632442289E-3</v>
      </c>
      <c r="O670" s="5" cm="1">
        <f t="array" ref="O670">MIN(IF((OutputTable[GroupByKey]=OutputTable[[#This Row],[GroupByKey]]),(OutputTable[GroupByKey]=OutputTable[[#This Row],[GroupByKey]])*OutputTable[RecordedValue]))</f>
        <v>2.3718114155243601E-2</v>
      </c>
      <c r="P670" s="5" cm="1">
        <f t="array" ref="P670">MAX(IF((OutputTable[GroupByKey]=OutputTable[[#This Row],[GroupByKey]]),(OutputTable[GroupByKey]=OutputTable[[#This Row],[GroupByKey]])*OutputTable[RecordedValue]))</f>
        <v>4.8583931724403701E-2</v>
      </c>
    </row>
    <row r="671" spans="1:16" x14ac:dyDescent="0.3">
      <c r="A671" t="s">
        <v>66</v>
      </c>
      <c r="B671" t="s">
        <v>68</v>
      </c>
      <c r="C671">
        <v>30</v>
      </c>
      <c r="D671" t="s">
        <v>112</v>
      </c>
      <c r="E671" t="s">
        <v>109</v>
      </c>
      <c r="F671" t="s">
        <v>95</v>
      </c>
      <c r="G671">
        <v>116</v>
      </c>
      <c r="H671">
        <v>0</v>
      </c>
      <c r="I671" s="5" t="str">
        <f>OutputTable[[#This Row],[ProjectName]]&amp;OutputTable[[#This Row],[Name]]&amp;OutputTable[[#This Row],[Type]]&amp;OutputTable[[#This Row],[Source]]</f>
        <v>Unnamed ProjectRAstro.NumberSeizedTotal Number SeizedResource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30</v>
      </c>
      <c r="K671" s="5" cm="1">
        <f t="array" ref="K671">IFERROR(AVERAGE(IF((OutputTable[GroupByKey]=OutputTable[[#This Row],[GroupByKey]]),(OutputTable[GroupByKey]=OutputTable[[#This Row],[GroupByKey]])*OutputTable[RecordedValue])),0)</f>
        <v>105.13333333333334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9.9020490158675578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3.6974858690044505</v>
      </c>
      <c r="O671" s="5" cm="1">
        <f t="array" ref="O671">MIN(IF((OutputTable[GroupByKey]=OutputTable[[#This Row],[GroupByKey]]),(OutputTable[GroupByKey]=OutputTable[[#This Row],[GroupByKey]])*OutputTable[RecordedValue]))</f>
        <v>90</v>
      </c>
      <c r="P671" s="5" cm="1">
        <f t="array" ref="P671">MAX(IF((OutputTable[GroupByKey]=OutputTable[[#This Row],[GroupByKey]]),(OutputTable[GroupByKey]=OutputTable[[#This Row],[GroupByKey]])*OutputTable[RecordedValue]))</f>
        <v>120</v>
      </c>
    </row>
    <row r="672" spans="1:16" x14ac:dyDescent="0.3">
      <c r="A672" t="s">
        <v>66</v>
      </c>
      <c r="B672" t="s">
        <v>68</v>
      </c>
      <c r="C672">
        <v>30</v>
      </c>
      <c r="D672" t="s">
        <v>113</v>
      </c>
      <c r="E672" t="s">
        <v>111</v>
      </c>
      <c r="F672" t="s">
        <v>95</v>
      </c>
      <c r="G672">
        <v>0.27245872005987898</v>
      </c>
      <c r="H672">
        <v>0</v>
      </c>
      <c r="I672" s="5" t="str">
        <f>OutputTable[[#This Row],[ProjectName]]&amp;OutputTable[[#This Row],[Name]]&amp;OutputTable[[#This Row],[Type]]&amp;OutputTable[[#This Row],[Source]]</f>
        <v>Unnamed ProjectRAstro.ScheduledUtilizationScheduled UtilizationResource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30</v>
      </c>
      <c r="K672" s="5" cm="1">
        <f t="array" ref="K672">IFERROR(AVERAGE(IF((OutputTable[GroupByKey]=OutputTable[[#This Row],[GroupByKey]]),(OutputTable[GroupByKey]=OutputTable[[#This Row],[GroupByKey]])*OutputTable[RecordedValue])),0)</f>
        <v>0.24658598119222253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2.3372241503878202E-2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8.7273384073404837E-3</v>
      </c>
      <c r="O672" s="5" cm="1">
        <f t="array" ref="O672">MIN(IF((OutputTable[GroupByKey]=OutputTable[[#This Row],[GroupByKey]]),(OutputTable[GroupByKey]=OutputTable[[#This Row],[GroupByKey]])*OutputTable[RecordedValue]))</f>
        <v>0.20767736113278101</v>
      </c>
      <c r="P672" s="5" cm="1">
        <f t="array" ref="P672">MAX(IF((OutputTable[GroupByKey]=OutputTable[[#This Row],[GroupByKey]]),(OutputTable[GroupByKey]=OutputTable[[#This Row],[GroupByKey]])*OutputTable[RecordedValue]))</f>
        <v>0.28501162927715601</v>
      </c>
    </row>
    <row r="673" spans="1:16" x14ac:dyDescent="0.3">
      <c r="A673" t="s">
        <v>66</v>
      </c>
      <c r="B673" t="s">
        <v>68</v>
      </c>
      <c r="C673">
        <v>30</v>
      </c>
      <c r="D673" t="s">
        <v>114</v>
      </c>
      <c r="E673" t="s">
        <v>109</v>
      </c>
      <c r="F673" t="s">
        <v>95</v>
      </c>
      <c r="G673">
        <v>136</v>
      </c>
      <c r="H673">
        <v>0</v>
      </c>
      <c r="I673" s="5" t="str">
        <f>OutputTable[[#This Row],[ProjectName]]&amp;OutputTable[[#This Row],[Name]]&amp;OutputTable[[#This Row],[Type]]&amp;OutputTable[[#This Row],[Source]]</f>
        <v>Unnamed ProjectRFisica.NumberSeizedTotal Number SeizedResource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30</v>
      </c>
      <c r="K673" s="5" cm="1">
        <f t="array" ref="K673">IFERROR(AVERAGE(IF((OutputTable[GroupByKey]=OutputTable[[#This Row],[GroupByKey]]),(OutputTable[GroupByKey]=OutputTable[[#This Row],[GroupByKey]])*OutputTable[RecordedValue])),0)</f>
        <v>130.19999999999999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9.6932255049418501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3.6195098885254193</v>
      </c>
      <c r="O673" s="5" cm="1">
        <f t="array" ref="O673">MIN(IF((OutputTable[GroupByKey]=OutputTable[[#This Row],[GroupByKey]]),(OutputTable[GroupByKey]=OutputTable[[#This Row],[GroupByKey]])*OutputTable[RecordedValue]))</f>
        <v>112</v>
      </c>
      <c r="P673" s="5" cm="1">
        <f t="array" ref="P673">MAX(IF((OutputTable[GroupByKey]=OutputTable[[#This Row],[GroupByKey]]),(OutputTable[GroupByKey]=OutputTable[[#This Row],[GroupByKey]])*OutputTable[RecordedValue]))</f>
        <v>150</v>
      </c>
    </row>
    <row r="674" spans="1:16" x14ac:dyDescent="0.3">
      <c r="A674" t="s">
        <v>66</v>
      </c>
      <c r="B674" t="s">
        <v>68</v>
      </c>
      <c r="C674">
        <v>30</v>
      </c>
      <c r="D674" t="s">
        <v>115</v>
      </c>
      <c r="E674" t="s">
        <v>111</v>
      </c>
      <c r="F674" t="s">
        <v>95</v>
      </c>
      <c r="G674">
        <v>0.64060465816298495</v>
      </c>
      <c r="H674">
        <v>0</v>
      </c>
      <c r="I674" s="5" t="str">
        <f>OutputTable[[#This Row],[ProjectName]]&amp;OutputTable[[#This Row],[Name]]&amp;OutputTable[[#This Row],[Type]]&amp;OutputTable[[#This Row],[Source]]</f>
        <v>Unnamed ProjectRFisica.ScheduledUtilizationScheduled UtilizationResource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30</v>
      </c>
      <c r="K674" s="5" cm="1">
        <f t="array" ref="K674">IFERROR(AVERAGE(IF((OutputTable[GroupByKey]=OutputTable[[#This Row],[GroupByKey]]),(OutputTable[GroupByKey]=OutputTable[[#This Row],[GroupByKey]])*OutputTable[RecordedValue])),0)</f>
        <v>0.61071636647106653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4.8363406640152928E-2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1.8059192833960545E-2</v>
      </c>
      <c r="O674" s="5" cm="1">
        <f t="array" ref="O674">MIN(IF((OutputTable[GroupByKey]=OutputTable[[#This Row],[GroupByKey]]),(OutputTable[GroupByKey]=OutputTable[[#This Row],[GroupByKey]])*OutputTable[RecordedValue]))</f>
        <v>0.517215348442703</v>
      </c>
      <c r="P674" s="5" cm="1">
        <f t="array" ref="P674">MAX(IF((OutputTable[GroupByKey]=OutputTable[[#This Row],[GroupByKey]]),(OutputTable[GroupByKey]=OutputTable[[#This Row],[GroupByKey]])*OutputTable[RecordedValue]))</f>
        <v>0.67770389283754395</v>
      </c>
    </row>
    <row r="675" spans="1:16" x14ac:dyDescent="0.3">
      <c r="A675" t="s">
        <v>66</v>
      </c>
      <c r="B675" t="s">
        <v>68</v>
      </c>
      <c r="C675">
        <v>30</v>
      </c>
      <c r="D675" t="s">
        <v>116</v>
      </c>
      <c r="E675" t="s">
        <v>109</v>
      </c>
      <c r="F675" t="s">
        <v>95</v>
      </c>
      <c r="G675">
        <v>352</v>
      </c>
      <c r="H675">
        <v>0</v>
      </c>
      <c r="I675" s="5" t="str">
        <f>OutputTable[[#This Row],[ProjectName]]&amp;OutputTable[[#This Row],[Name]]&amp;OutputTable[[#This Row],[Type]]&amp;OutputTable[[#This Row],[Source]]</f>
        <v>Unnamed ProjectRHall.NumberSeizedTotal Number SeizedResource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30</v>
      </c>
      <c r="K675" s="5" cm="1">
        <f t="array" ref="K675">IFERROR(AVERAGE(IF((OutputTable[GroupByKey]=OutputTable[[#This Row],[GroupByKey]]),(OutputTable[GroupByKey]=OutputTable[[#This Row],[GroupByKey]])*OutputTable[RecordedValue])),0)</f>
        <v>366.5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27.998460548813185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10.454796988706404</v>
      </c>
      <c r="O675" s="5" cm="1">
        <f t="array" ref="O675">MIN(IF((OutputTable[GroupByKey]=OutputTable[[#This Row],[GroupByKey]]),(OutputTable[GroupByKey]=OutputTable[[#This Row],[GroupByKey]])*OutputTable[RecordedValue]))</f>
        <v>308</v>
      </c>
      <c r="P675" s="5" cm="1">
        <f t="array" ref="P675">MAX(IF((OutputTable[GroupByKey]=OutputTable[[#This Row],[GroupByKey]]),(OutputTable[GroupByKey]=OutputTable[[#This Row],[GroupByKey]])*OutputTable[RecordedValue]))</f>
        <v>415</v>
      </c>
    </row>
    <row r="676" spans="1:16" x14ac:dyDescent="0.3">
      <c r="A676" t="s">
        <v>66</v>
      </c>
      <c r="B676" t="s">
        <v>68</v>
      </c>
      <c r="C676">
        <v>30</v>
      </c>
      <c r="D676" t="s">
        <v>117</v>
      </c>
      <c r="E676" t="s">
        <v>111</v>
      </c>
      <c r="F676" t="s">
        <v>95</v>
      </c>
      <c r="G676">
        <v>0.165499308594004</v>
      </c>
      <c r="H676">
        <v>0</v>
      </c>
      <c r="I676" s="5" t="str">
        <f>OutputTable[[#This Row],[ProjectName]]&amp;OutputTable[[#This Row],[Name]]&amp;OutputTable[[#This Row],[Type]]&amp;OutputTable[[#This Row],[Source]]</f>
        <v>Unnamed ProjectRHall.ScheduledUtilizationScheduled UtilizationResource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30</v>
      </c>
      <c r="K676" s="5" cm="1">
        <f t="array" ref="K676">IFERROR(AVERAGE(IF((OutputTable[GroupByKey]=OutputTable[[#This Row],[GroupByKey]]),(OutputTable[GroupByKey]=OutputTable[[#This Row],[GroupByKey]])*OutputTable[RecordedValue])),0)</f>
        <v>0.17017204824235124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1.331368412630852E-2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4.9714113556225039E-3</v>
      </c>
      <c r="O676" s="5" cm="1">
        <f t="array" ref="O676">MIN(IF((OutputTable[GroupByKey]=OutputTable[[#This Row],[GroupByKey]]),(OutputTable[GroupByKey]=OutputTable[[#This Row],[GroupByKey]])*OutputTable[RecordedValue]))</f>
        <v>0.14484829778125299</v>
      </c>
      <c r="P676" s="5" cm="1">
        <f t="array" ref="P676">MAX(IF((OutputTable[GroupByKey]=OutputTable[[#This Row],[GroupByKey]]),(OutputTable[GroupByKey]=OutputTable[[#This Row],[GroupByKey]])*OutputTable[RecordedValue]))</f>
        <v>0.19609322315655101</v>
      </c>
    </row>
    <row r="677" spans="1:16" x14ac:dyDescent="0.3">
      <c r="A677" t="s">
        <v>66</v>
      </c>
      <c r="B677" t="s">
        <v>68</v>
      </c>
      <c r="C677">
        <v>30</v>
      </c>
      <c r="D677" t="s">
        <v>118</v>
      </c>
      <c r="E677" t="s">
        <v>109</v>
      </c>
      <c r="F677" t="s">
        <v>95</v>
      </c>
      <c r="G677">
        <v>53</v>
      </c>
      <c r="H677">
        <v>0</v>
      </c>
      <c r="I677" s="5" t="str">
        <f>OutputTable[[#This Row],[ProjectName]]&amp;OutputTable[[#This Row],[Name]]&amp;OutputTable[[#This Row],[Type]]&amp;OutputTable[[#This Row],[Source]]</f>
        <v>Unnamed ProjectRHistoria.NumberSeizedTotal Number SeizedResource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30</v>
      </c>
      <c r="K677" s="5" cm="1">
        <f t="array" ref="K677">IFERROR(AVERAGE(IF((OutputTable[GroupByKey]=OutputTable[[#This Row],[GroupByKey]]),(OutputTable[GroupByKey]=OutputTable[[#This Row],[GroupByKey]])*OutputTable[RecordedValue])),0)</f>
        <v>67.599999999999994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8.2277914244430335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3.0723078098526977</v>
      </c>
      <c r="O677" s="5" cm="1">
        <f t="array" ref="O677">MIN(IF((OutputTable[GroupByKey]=OutputTable[[#This Row],[GroupByKey]]),(OutputTable[GroupByKey]=OutputTable[[#This Row],[GroupByKey]])*OutputTable[RecordedValue]))</f>
        <v>53</v>
      </c>
      <c r="P677" s="5" cm="1">
        <f t="array" ref="P677">MAX(IF((OutputTable[GroupByKey]=OutputTable[[#This Row],[GroupByKey]]),(OutputTable[GroupByKey]=OutputTable[[#This Row],[GroupByKey]])*OutputTable[RecordedValue]))</f>
        <v>83</v>
      </c>
    </row>
    <row r="678" spans="1:16" x14ac:dyDescent="0.3">
      <c r="A678" t="s">
        <v>66</v>
      </c>
      <c r="B678" t="s">
        <v>68</v>
      </c>
      <c r="C678">
        <v>30</v>
      </c>
      <c r="D678" t="s">
        <v>119</v>
      </c>
      <c r="E678" t="s">
        <v>111</v>
      </c>
      <c r="F678" t="s">
        <v>95</v>
      </c>
      <c r="G678">
        <v>7.6199424822911893E-2</v>
      </c>
      <c r="H678">
        <v>0</v>
      </c>
      <c r="I678" s="5" t="str">
        <f>OutputTable[[#This Row],[ProjectName]]&amp;OutputTable[[#This Row],[Name]]&amp;OutputTable[[#This Row],[Type]]&amp;OutputTable[[#This Row],[Source]]</f>
        <v>Unnamed ProjectRHistoria.ScheduledUtilizationScheduled UtilizationResource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30</v>
      </c>
      <c r="K678" s="5" cm="1">
        <f t="array" ref="K678">IFERROR(AVERAGE(IF((OutputTable[GroupByKey]=OutputTable[[#This Row],[GroupByKey]]),(OutputTable[GroupByKey]=OutputTable[[#This Row],[GroupByKey]])*OutputTable[RecordedValue])),0)</f>
        <v>9.2629789222133899E-2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1.1199993404883948E-2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4.1821462690339135E-3</v>
      </c>
      <c r="O678" s="5" cm="1">
        <f t="array" ref="O678">MIN(IF((OutputTable[GroupByKey]=OutputTable[[#This Row],[GroupByKey]]),(OutputTable[GroupByKey]=OutputTable[[#This Row],[GroupByKey]])*OutputTable[RecordedValue]))</f>
        <v>7.4778736536586704E-2</v>
      </c>
      <c r="P678" s="5" cm="1">
        <f t="array" ref="P678">MAX(IF((OutputTable[GroupByKey]=OutputTable[[#This Row],[GroupByKey]]),(OutputTable[GroupByKey]=OutputTable[[#This Row],[GroupByKey]])*OutputTable[RecordedValue]))</f>
        <v>0.111025455742452</v>
      </c>
    </row>
    <row r="679" spans="1:16" x14ac:dyDescent="0.3">
      <c r="A679" t="s">
        <v>66</v>
      </c>
      <c r="B679" t="s">
        <v>68</v>
      </c>
      <c r="C679">
        <v>30</v>
      </c>
      <c r="D679" t="s">
        <v>120</v>
      </c>
      <c r="E679" t="s">
        <v>121</v>
      </c>
      <c r="F679" t="s">
        <v>122</v>
      </c>
      <c r="G679">
        <v>131</v>
      </c>
      <c r="H679">
        <v>0</v>
      </c>
      <c r="I679" s="5" t="str">
        <f>OutputTable[[#This Row],[ProjectName]]&amp;OutputTable[[#This Row],[Name]]&amp;OutputTable[[#This Row],[Type]]&amp;OutputTable[[#This Row],[Source]]</f>
        <v>Unnamed ProjectSystem.NumberOutNumber OutSystem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30</v>
      </c>
      <c r="K679" s="5" cm="1">
        <f t="array" ref="K679">IFERROR(AVERAGE(IF((OutputTable[GroupByKey]=OutputTable[[#This Row],[GroupByKey]]),(OutputTable[GroupByKey]=OutputTable[[#This Row],[GroupByKey]])*OutputTable[RecordedValue])),0)</f>
        <v>138.66666666666666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10.59386072484773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679" s="5" cm="1">
        <f t="array" ref="O679">MIN(IF((OutputTable[GroupByKey]=OutputTable[[#This Row],[GroupByKey]]),(OutputTable[GroupByKey]=OutputTable[[#This Row],[GroupByKey]])*OutputTable[RecordedValue]))</f>
        <v>122</v>
      </c>
      <c r="P679" s="5" cm="1">
        <f t="array" ref="P679">MAX(IF((OutputTable[GroupByKey]=OutputTable[[#This Row],[GroupByKey]]),(OutputTable[GroupByKey]=OutputTable[[#This Row],[GroupByKey]])*OutputTable[RecordedValue]))</f>
        <v>158</v>
      </c>
    </row>
    <row r="680" spans="1:16" x14ac:dyDescent="0.3">
      <c r="A680" t="s">
        <v>66</v>
      </c>
      <c r="B680" t="s">
        <v>68</v>
      </c>
      <c r="C680">
        <v>30</v>
      </c>
      <c r="D680" t="s">
        <v>123</v>
      </c>
      <c r="E680" t="s">
        <v>109</v>
      </c>
      <c r="F680" t="s">
        <v>95</v>
      </c>
      <c r="G680">
        <v>314</v>
      </c>
      <c r="H680">
        <v>0</v>
      </c>
      <c r="I680" s="5" t="str">
        <f>OutputTable[[#This Row],[ProjectName]]&amp;OutputTable[[#This Row],[Name]]&amp;OutputTable[[#This Row],[Type]]&amp;OutputTable[[#This Row],[Source]]</f>
        <v>Unnamed ProjectTornoEntrada.NumberSeizedTotal Number SeizedResource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30</v>
      </c>
      <c r="K680" s="5" cm="1">
        <f t="array" ref="K680">IFERROR(AVERAGE(IF((OutputTable[GroupByKey]=OutputTable[[#This Row],[GroupByKey]]),(OutputTable[GroupByKey]=OutputTable[[#This Row],[GroupByKey]])*OutputTable[RecordedValue])),0)</f>
        <v>324.63333333333333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23.733409208195905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8.8622006445315495</v>
      </c>
      <c r="O680" s="5" cm="1">
        <f t="array" ref="O680">MIN(IF((OutputTable[GroupByKey]=OutputTable[[#This Row],[GroupByKey]]),(OutputTable[GroupByKey]=OutputTable[[#This Row],[GroupByKey]])*OutputTable[RecordedValue]))</f>
        <v>276</v>
      </c>
      <c r="P680" s="5" cm="1">
        <f t="array" ref="P680">MAX(IF((OutputTable[GroupByKey]=OutputTable[[#This Row],[GroupByKey]]),(OutputTable[GroupByKey]=OutputTable[[#This Row],[GroupByKey]])*OutputTable[RecordedValue]))</f>
        <v>370</v>
      </c>
    </row>
    <row r="681" spans="1:16" x14ac:dyDescent="0.3">
      <c r="A681" t="s">
        <v>66</v>
      </c>
      <c r="B681" t="s">
        <v>68</v>
      </c>
      <c r="C681">
        <v>30</v>
      </c>
      <c r="D681" t="s">
        <v>124</v>
      </c>
      <c r="E681" t="s">
        <v>111</v>
      </c>
      <c r="F681" t="s">
        <v>95</v>
      </c>
      <c r="G681">
        <v>0.76918480719097504</v>
      </c>
      <c r="H681">
        <v>0</v>
      </c>
      <c r="I681" s="5" t="str">
        <f>OutputTable[[#This Row],[ProjectName]]&amp;OutputTable[[#This Row],[Name]]&amp;OutputTable[[#This Row],[Type]]&amp;OutputTable[[#This Row],[Source]]</f>
        <v>Unnamed ProjectTornoEntrada.ScheduledUtilizationScheduled UtilizationResource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30</v>
      </c>
      <c r="K681" s="5" cm="1">
        <f t="array" ref="K681">IFERROR(AVERAGE(IF((OutputTable[GroupByKey]=OutputTable[[#This Row],[GroupByKey]]),(OutputTable[GroupByKey]=OutputTable[[#This Row],[GroupByKey]])*OutputTable[RecordedValue])),0)</f>
        <v>0.78890367752589419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5.7743599319329868E-2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2.1561814344338615E-2</v>
      </c>
      <c r="O681" s="5" cm="1">
        <f t="array" ref="O681">MIN(IF((OutputTable[GroupByKey]=OutputTable[[#This Row],[GroupByKey]]),(OutputTable[GroupByKey]=OutputTable[[#This Row],[GroupByKey]])*OutputTable[RecordedValue]))</f>
        <v>0.68630817725209003</v>
      </c>
      <c r="P681" s="5" cm="1">
        <f t="array" ref="P681">MAX(IF((OutputTable[GroupByKey]=OutputTable[[#This Row],[GroupByKey]]),(OutputTable[GroupByKey]=OutputTable[[#This Row],[GroupByKey]])*OutputTable[RecordedValue]))</f>
        <v>0.89844569749382897</v>
      </c>
    </row>
    <row r="682" spans="1:16" x14ac:dyDescent="0.3">
      <c r="A682" t="s">
        <v>66</v>
      </c>
      <c r="B682" t="s">
        <v>68</v>
      </c>
      <c r="C682">
        <v>30</v>
      </c>
      <c r="D682" t="s">
        <v>125</v>
      </c>
      <c r="E682" t="s">
        <v>126</v>
      </c>
      <c r="F682" t="s">
        <v>86</v>
      </c>
      <c r="G682">
        <v>186</v>
      </c>
      <c r="H682">
        <v>0</v>
      </c>
      <c r="I682" s="5" t="str">
        <f>OutputTable[[#This Row],[ProjectName]]&amp;OutputTable[[#This Row],[Name]]&amp;OutputTable[[#This Row],[Type]]&amp;OutputTable[[#This Row],[Source]]</f>
        <v>Unnamed ProjectVisitantes.NumberInNumber InEntity</v>
      </c>
      <c r="J682" s="5" cm="1">
        <f t="array" ref="J682">MAX(IF((ProjectInfoTable[ProjectName]=OutputTable[[#This Row],[ProjectName]]),(ProjectInfoTable[ProjectName]=OutputTable[[#This Row],[ProjectName]])*ProjectInfoTable[NumberOfReplications]))</f>
        <v>30</v>
      </c>
      <c r="K682" s="5" cm="1">
        <f t="array" ref="K682">IFERROR(AVERAGE(IF((OutputTable[GroupByKey]=OutputTable[[#This Row],[GroupByKey]]),(OutputTable[GroupByKey]=OutputTable[[#This Row],[GroupByKey]])*OutputTable[RecordedValue])),0)</f>
        <v>194.43333333333334</v>
      </c>
      <c r="L682" s="5" cm="1">
        <f t="array" ref="L682">IFERROR(_xlfn.STDEV.S(IF((OutputTable[GroupByKey]=OutputTable[[#This Row],[GroupByKey]]),(OutputTable[GroupByKey]=OutputTable[[#This Row],[GroupByKey]])*OutputTable[RecordedValue])),0)</f>
        <v>19.567184586538712</v>
      </c>
      <c r="M682" s="5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7.3065068036920602</v>
      </c>
      <c r="O682" s="5" cm="1">
        <f t="array" ref="O682">MIN(IF((OutputTable[GroupByKey]=OutputTable[[#This Row],[GroupByKey]]),(OutputTable[GroupByKey]=OutputTable[[#This Row],[GroupByKey]])*OutputTable[RecordedValue]))</f>
        <v>158</v>
      </c>
      <c r="P682" s="5" cm="1">
        <f t="array" ref="P682">MAX(IF((OutputTable[GroupByKey]=OutputTable[[#This Row],[GroupByKey]]),(OutputTable[GroupByKey]=OutputTable[[#This Row],[GroupByKey]])*OutputTable[RecordedValue]))</f>
        <v>255</v>
      </c>
    </row>
    <row r="683" spans="1:16" x14ac:dyDescent="0.3">
      <c r="A683" t="s">
        <v>66</v>
      </c>
      <c r="B683" t="s">
        <v>68</v>
      </c>
      <c r="C683">
        <v>30</v>
      </c>
      <c r="D683" t="s">
        <v>127</v>
      </c>
      <c r="E683" t="s">
        <v>121</v>
      </c>
      <c r="F683" t="s">
        <v>86</v>
      </c>
      <c r="G683">
        <v>131</v>
      </c>
      <c r="H683">
        <v>0</v>
      </c>
      <c r="I683" s="5" t="str">
        <f>OutputTable[[#This Row],[ProjectName]]&amp;OutputTable[[#This Row],[Name]]&amp;OutputTable[[#This Row],[Type]]&amp;OutputTable[[#This Row],[Source]]</f>
        <v>Unnamed ProjectVisitantes.NumberOutNumber OutEntity</v>
      </c>
      <c r="J683" s="5" cm="1">
        <f t="array" ref="J683">MAX(IF((ProjectInfoTable[ProjectName]=OutputTable[[#This Row],[ProjectName]]),(ProjectInfoTable[ProjectName]=OutputTable[[#This Row],[ProjectName]])*ProjectInfoTable[NumberOfReplications]))</f>
        <v>30</v>
      </c>
      <c r="K683" s="5" cm="1">
        <f t="array" ref="K683">IFERROR(AVERAGE(IF((OutputTable[GroupByKey]=OutputTable[[#This Row],[GroupByKey]]),(OutputTable[GroupByKey]=OutputTable[[#This Row],[GroupByKey]])*OutputTable[RecordedValue])),0)</f>
        <v>138.66666666666666</v>
      </c>
      <c r="L683" s="5" cm="1">
        <f t="array" ref="L683">IFERROR(_xlfn.STDEV.S(IF((OutputTable[GroupByKey]=OutputTable[[#This Row],[GroupByKey]]),(OutputTable[GroupByKey]=OutputTable[[#This Row],[GroupByKey]])*OutputTable[RecordedValue])),0)</f>
        <v>10.59386072484773</v>
      </c>
      <c r="M683" s="5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3.9558126066187556</v>
      </c>
      <c r="O683" s="5" cm="1">
        <f t="array" ref="O683">MIN(IF((OutputTable[GroupByKey]=OutputTable[[#This Row],[GroupByKey]]),(OutputTable[GroupByKey]=OutputTable[[#This Row],[GroupByKey]])*OutputTable[RecordedValue]))</f>
        <v>122</v>
      </c>
      <c r="P683" s="5" cm="1">
        <f t="array" ref="P683">MAX(IF((OutputTable[GroupByKey]=OutputTable[[#This Row],[GroupByKey]]),(OutputTable[GroupByKey]=OutputTable[[#This Row],[GroupByKey]])*OutputTable[RecordedValue]))</f>
        <v>158</v>
      </c>
    </row>
    <row r="684" spans="1:16" x14ac:dyDescent="0.3">
      <c r="A684" t="s">
        <v>66</v>
      </c>
      <c r="B684" t="s">
        <v>68</v>
      </c>
      <c r="C684">
        <v>30</v>
      </c>
      <c r="D684" t="s">
        <v>128</v>
      </c>
      <c r="E684" t="s">
        <v>109</v>
      </c>
      <c r="F684" t="s">
        <v>95</v>
      </c>
      <c r="G684">
        <v>0</v>
      </c>
      <c r="H684">
        <v>0</v>
      </c>
      <c r="I684" s="5" t="str">
        <f>OutputTable[[#This Row],[ProjectName]]&amp;OutputTable[[#This Row],[Name]]&amp;OutputTable[[#This Row],[Type]]&amp;OutputTable[[#This Row],[Source]]</f>
        <v>Unnamed Projectcajero.NumberSeizedTotal Number SeizedResource</v>
      </c>
      <c r="J684" s="5" cm="1">
        <f t="array" ref="J684">MAX(IF((ProjectInfoTable[ProjectName]=OutputTable[[#This Row],[ProjectName]]),(ProjectInfoTable[ProjectName]=OutputTable[[#This Row],[ProjectName]])*ProjectInfoTable[NumberOfReplications]))</f>
        <v>30</v>
      </c>
      <c r="K684" s="5" cm="1">
        <f t="array" ref="K684">IFERROR(AVERAGE(IF((OutputTable[GroupByKey]=OutputTable[[#This Row],[GroupByKey]]),(OutputTable[GroupByKey]=OutputTable[[#This Row],[GroupByKey]])*OutputTable[RecordedValue])),0)</f>
        <v>0</v>
      </c>
      <c r="L684" s="5" cm="1">
        <f t="array" ref="L684">IFERROR(_xlfn.STDEV.S(IF((OutputTable[GroupByKey]=OutputTable[[#This Row],[GroupByKey]]),(OutputTable[GroupByKey]=OutputTable[[#This Row],[GroupByKey]])*OutputTable[RecordedValue])),0)</f>
        <v>0</v>
      </c>
      <c r="M684" s="5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4" s="5" cm="1">
        <f t="array" ref="O684">MIN(IF((OutputTable[GroupByKey]=OutputTable[[#This Row],[GroupByKey]]),(OutputTable[GroupByKey]=OutputTable[[#This Row],[GroupByKey]])*OutputTable[RecordedValue]))</f>
        <v>0</v>
      </c>
      <c r="P684" s="5" cm="1">
        <f t="array" ref="P684">MAX(IF((OutputTable[GroupByKey]=OutputTable[[#This Row],[GroupByKey]]),(OutputTable[GroupByKey]=OutputTable[[#This Row],[GroupByKey]])*OutputTable[RecordedValue]))</f>
        <v>0</v>
      </c>
    </row>
    <row r="685" spans="1:16" x14ac:dyDescent="0.3">
      <c r="A685" t="s">
        <v>66</v>
      </c>
      <c r="B685" t="s">
        <v>68</v>
      </c>
      <c r="C685">
        <v>30</v>
      </c>
      <c r="D685" t="s">
        <v>129</v>
      </c>
      <c r="E685" t="s">
        <v>111</v>
      </c>
      <c r="F685" t="s">
        <v>95</v>
      </c>
      <c r="G685">
        <v>0</v>
      </c>
      <c r="H685">
        <v>0</v>
      </c>
      <c r="I685" s="5" t="str">
        <f>OutputTable[[#This Row],[ProjectName]]&amp;OutputTable[[#This Row],[Name]]&amp;OutputTable[[#This Row],[Type]]&amp;OutputTable[[#This Row],[Source]]</f>
        <v>Unnamed Projectcajero.ScheduledUtilizationScheduled UtilizationResource</v>
      </c>
      <c r="J685" s="5" cm="1">
        <f t="array" ref="J685">MAX(IF((ProjectInfoTable[ProjectName]=OutputTable[[#This Row],[ProjectName]]),(ProjectInfoTable[ProjectName]=OutputTable[[#This Row],[ProjectName]])*ProjectInfoTable[NumberOfReplications]))</f>
        <v>30</v>
      </c>
      <c r="K685" s="5" cm="1">
        <f t="array" ref="K685">IFERROR(AVERAGE(IF((OutputTable[GroupByKey]=OutputTable[[#This Row],[GroupByKey]]),(OutputTable[GroupByKey]=OutputTable[[#This Row],[GroupByKey]])*OutputTable[RecordedValue])),0)</f>
        <v>0</v>
      </c>
      <c r="L685" s="5" cm="1">
        <f t="array" ref="L685">IFERROR(_xlfn.STDEV.S(IF((OutputTable[GroupByKey]=OutputTable[[#This Row],[GroupByKey]]),(OutputTable[GroupByKey]=OutputTable[[#This Row],[GroupByKey]])*OutputTable[RecordedValue])),0)</f>
        <v>0</v>
      </c>
      <c r="M685" s="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5" s="5" cm="1">
        <f t="array" ref="O685">MIN(IF((OutputTable[GroupByKey]=OutputTable[[#This Row],[GroupByKey]]),(OutputTable[GroupByKey]=OutputTable[[#This Row],[GroupByKey]])*OutputTable[RecordedValue]))</f>
        <v>0</v>
      </c>
      <c r="P685" s="5" cm="1">
        <f t="array" ref="P685">MAX(IF((OutputTable[GroupByKey]=OutputTable[[#This Row],[GroupByKey]]),(OutputTable[GroupByKey]=OutputTable[[#This Row],[GroupByKey]])*OutputTable[RecordedValue]))</f>
        <v>0</v>
      </c>
    </row>
    <row r="686" spans="1:16" x14ac:dyDescent="0.3">
      <c r="A686" t="s">
        <v>66</v>
      </c>
      <c r="B686" t="s">
        <v>68</v>
      </c>
      <c r="C686">
        <v>30</v>
      </c>
      <c r="D686" t="s">
        <v>130</v>
      </c>
      <c r="E686" t="s">
        <v>109</v>
      </c>
      <c r="F686" t="s">
        <v>95</v>
      </c>
      <c r="G686">
        <v>100</v>
      </c>
      <c r="H686">
        <v>0</v>
      </c>
      <c r="I686" s="5" t="str">
        <f>OutputTable[[#This Row],[ProjectName]]&amp;OutputTable[[#This Row],[Name]]&amp;OutputTable[[#This Row],[Type]]&amp;OutputTable[[#This Row],[Source]]</f>
        <v>Unnamed Projectticketsa.NumberSeizedTotal Number SeizedResource</v>
      </c>
      <c r="J686" s="5" cm="1">
        <f t="array" ref="J686">MAX(IF((ProjectInfoTable[ProjectName]=OutputTable[[#This Row],[ProjectName]]),(ProjectInfoTable[ProjectName]=OutputTable[[#This Row],[ProjectName]])*ProjectInfoTable[NumberOfReplications]))</f>
        <v>30</v>
      </c>
      <c r="K686" s="5" cm="1">
        <f t="array" ref="K686">IFERROR(AVERAGE(IF((OutputTable[GroupByKey]=OutputTable[[#This Row],[GroupByKey]]),(OutputTable[GroupByKey]=OutputTable[[#This Row],[GroupByKey]])*OutputTable[RecordedValue])),0)</f>
        <v>99.666666666666671</v>
      </c>
      <c r="L686" s="5" cm="1">
        <f t="array" ref="L686">IFERROR(_xlfn.STDEV.S(IF((OutputTable[GroupByKey]=OutputTable[[#This Row],[GroupByKey]]),(OutputTable[GroupByKey]=OutputTable[[#This Row],[GroupByKey]])*OutputTable[RecordedValue])),0)</f>
        <v>11.021400290698853</v>
      </c>
      <c r="M686" s="5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4.1154585042144589</v>
      </c>
      <c r="O686" s="5" cm="1">
        <f t="array" ref="O686">MIN(IF((OutputTable[GroupByKey]=OutputTable[[#This Row],[GroupByKey]]),(OutputTable[GroupByKey]=OutputTable[[#This Row],[GroupByKey]])*OutputTable[RecordedValue]))</f>
        <v>84</v>
      </c>
      <c r="P686" s="5" cm="1">
        <f t="array" ref="P686">MAX(IF((OutputTable[GroupByKey]=OutputTable[[#This Row],[GroupByKey]]),(OutputTable[GroupByKey]=OutputTable[[#This Row],[GroupByKey]])*OutputTable[RecordedValue]))</f>
        <v>133</v>
      </c>
    </row>
    <row r="687" spans="1:16" x14ac:dyDescent="0.3">
      <c r="A687" t="s">
        <v>66</v>
      </c>
      <c r="B687" t="s">
        <v>68</v>
      </c>
      <c r="C687">
        <v>30</v>
      </c>
      <c r="D687" t="s">
        <v>131</v>
      </c>
      <c r="E687" t="s">
        <v>111</v>
      </c>
      <c r="F687" t="s">
        <v>95</v>
      </c>
      <c r="G687">
        <v>0.76111195757864003</v>
      </c>
      <c r="H687">
        <v>0</v>
      </c>
      <c r="I687" s="5" t="str">
        <f>OutputTable[[#This Row],[ProjectName]]&amp;OutputTable[[#This Row],[Name]]&amp;OutputTable[[#This Row],[Type]]&amp;OutputTable[[#This Row],[Source]]</f>
        <v>Unnamed Projectticketsa.ScheduledUtilizationScheduled UtilizationResource</v>
      </c>
      <c r="J687" s="5" cm="1">
        <f t="array" ref="J687">MAX(IF((ProjectInfoTable[ProjectName]=OutputTable[[#This Row],[ProjectName]]),(ProjectInfoTable[ProjectName]=OutputTable[[#This Row],[ProjectName]])*ProjectInfoTable[NumberOfReplications]))</f>
        <v>30</v>
      </c>
      <c r="K687" s="5" cm="1">
        <f t="array" ref="K687">IFERROR(AVERAGE(IF((OutputTable[GroupByKey]=OutputTable[[#This Row],[GroupByKey]]),(OutputTable[GroupByKey]=OutputTable[[#This Row],[GroupByKey]])*OutputTable[RecordedValue])),0)</f>
        <v>0.81099663999028448</v>
      </c>
      <c r="L687" s="5" cm="1">
        <f t="array" ref="L687">IFERROR(_xlfn.STDEV.S(IF((OutputTable[GroupByKey]=OutputTable[[#This Row],[GroupByKey]]),(OutputTable[GroupByKey]=OutputTable[[#This Row],[GroupByKey]])*OutputTable[RecordedValue])),0)</f>
        <v>0.1069626954834289</v>
      </c>
      <c r="M687" s="5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3.9940526897700258E-2</v>
      </c>
      <c r="O687" s="5" cm="1">
        <f t="array" ref="O687">MIN(IF((OutputTable[GroupByKey]=OutputTable[[#This Row],[GroupByKey]]),(OutputTable[GroupByKey]=OutputTable[[#This Row],[GroupByKey]])*OutputTable[RecordedValue]))</f>
        <v>0.634589476164233</v>
      </c>
      <c r="P687" s="5" cm="1">
        <f t="array" ref="P687">MAX(IF((OutputTable[GroupByKey]=OutputTable[[#This Row],[GroupByKey]]),(OutputTable[GroupByKey]=OutputTable[[#This Row],[GroupByKey]])*OutputTable[RecordedValue]))</f>
        <v>0.99383259650362799</v>
      </c>
    </row>
    <row r="688" spans="1:16" x14ac:dyDescent="0.3">
      <c r="A688" t="s">
        <v>66</v>
      </c>
      <c r="B688" t="s">
        <v>68</v>
      </c>
      <c r="C688">
        <v>30</v>
      </c>
      <c r="D688" t="s">
        <v>132</v>
      </c>
      <c r="E688" t="s">
        <v>109</v>
      </c>
      <c r="F688" t="s">
        <v>95</v>
      </c>
      <c r="G688">
        <v>52</v>
      </c>
      <c r="H688">
        <v>0</v>
      </c>
      <c r="I688" s="5" t="str">
        <f>OutputTable[[#This Row],[ProjectName]]&amp;OutputTable[[#This Row],[Name]]&amp;OutputTable[[#This Row],[Type]]&amp;OutputTable[[#This Row],[Source]]</f>
        <v>Unnamed Projectticketsb.NumberSeizedTotal Number SeizedResource</v>
      </c>
      <c r="J688" s="5" cm="1">
        <f t="array" ref="J688">MAX(IF((ProjectInfoTable[ProjectName]=OutputTable[[#This Row],[ProjectName]]),(ProjectInfoTable[ProjectName]=OutputTable[[#This Row],[ProjectName]])*ProjectInfoTable[NumberOfReplications]))</f>
        <v>30</v>
      </c>
      <c r="K688" s="5" cm="1">
        <f t="array" ref="K688">IFERROR(AVERAGE(IF((OutputTable[GroupByKey]=OutputTable[[#This Row],[GroupByKey]]),(OutputTable[GroupByKey]=OutputTable[[#This Row],[GroupByKey]])*OutputTable[RecordedValue])),0)</f>
        <v>51.966666666666669</v>
      </c>
      <c r="L688" s="5" cm="1">
        <f t="array" ref="L688">IFERROR(_xlfn.STDEV.S(IF((OutputTable[GroupByKey]=OutputTable[[#This Row],[GroupByKey]]),(OutputTable[GroupByKey]=OutputTable[[#This Row],[GroupByKey]])*OutputTable[RecordedValue])),0)</f>
        <v>7.0636677653220881</v>
      </c>
      <c r="M688" s="5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2.6376168915916418</v>
      </c>
      <c r="O688" s="5" cm="1">
        <f t="array" ref="O688">MIN(IF((OutputTable[GroupByKey]=OutputTable[[#This Row],[GroupByKey]]),(OutputTable[GroupByKey]=OutputTable[[#This Row],[GroupByKey]])*OutputTable[RecordedValue]))</f>
        <v>40</v>
      </c>
      <c r="P688" s="5" cm="1">
        <f t="array" ref="P688">MAX(IF((OutputTable[GroupByKey]=OutputTable[[#This Row],[GroupByKey]]),(OutputTable[GroupByKey]=OutputTable[[#This Row],[GroupByKey]])*OutputTable[RecordedValue]))</f>
        <v>70</v>
      </c>
    </row>
    <row r="689" spans="1:16" x14ac:dyDescent="0.3">
      <c r="A689" t="s">
        <v>66</v>
      </c>
      <c r="B689" t="s">
        <v>68</v>
      </c>
      <c r="C689">
        <v>30</v>
      </c>
      <c r="D689" t="s">
        <v>133</v>
      </c>
      <c r="E689" t="s">
        <v>111</v>
      </c>
      <c r="F689" t="s">
        <v>95</v>
      </c>
      <c r="G689">
        <v>0.85933511688892605</v>
      </c>
      <c r="H689">
        <v>0</v>
      </c>
      <c r="I689" s="5" t="str">
        <f>OutputTable[[#This Row],[ProjectName]]&amp;OutputTable[[#This Row],[Name]]&amp;OutputTable[[#This Row],[Type]]&amp;OutputTable[[#This Row],[Source]]</f>
        <v>Unnamed Projectticketsb.ScheduledUtilizationScheduled UtilizationResource</v>
      </c>
      <c r="J689" s="5" cm="1">
        <f t="array" ref="J689">MAX(IF((ProjectInfoTable[ProjectName]=OutputTable[[#This Row],[ProjectName]]),(ProjectInfoTable[ProjectName]=OutputTable[[#This Row],[ProjectName]])*ProjectInfoTable[NumberOfReplications]))</f>
        <v>30</v>
      </c>
      <c r="K689" s="5" cm="1">
        <f t="array" ref="K689">IFERROR(AVERAGE(IF((OutputTable[GroupByKey]=OutputTable[[#This Row],[GroupByKey]]),(OutputTable[GroupByKey]=OutputTable[[#This Row],[GroupByKey]])*OutputTable[RecordedValue])),0)</f>
        <v>0.86404173385398308</v>
      </c>
      <c r="L689" s="5" cm="1">
        <f t="array" ref="L689">IFERROR(_xlfn.STDEV.S(IF((OutputTable[GroupByKey]=OutputTable[[#This Row],[GroupByKey]]),(OutputTable[GroupByKey]=OutputTable[[#This Row],[GroupByKey]])*OutputTable[RecordedValue])),0)</f>
        <v>7.7429091138254261E-2</v>
      </c>
      <c r="M689" s="5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2.8912497794626357E-2</v>
      </c>
      <c r="O689" s="5" cm="1">
        <f t="array" ref="O689">MIN(IF((OutputTable[GroupByKey]=OutputTable[[#This Row],[GroupByKey]]),(OutputTable[GroupByKey]=OutputTable[[#This Row],[GroupByKey]])*OutputTable[RecordedValue]))</f>
        <v>0.74061105631083801</v>
      </c>
      <c r="P689" s="5" cm="1">
        <f t="array" ref="P689">MAX(IF((OutputTable[GroupByKey]=OutputTable[[#This Row],[GroupByKey]]),(OutputTable[GroupByKey]=OutputTable[[#This Row],[GroupByKey]])*OutputTable[RecordedValue]))</f>
        <v>0.99245161744166299</v>
      </c>
    </row>
    <row r="690" spans="1:16" x14ac:dyDescent="0.3">
      <c r="A690" t="s">
        <v>66</v>
      </c>
      <c r="B690" t="s">
        <v>68</v>
      </c>
      <c r="C690">
        <v>30</v>
      </c>
      <c r="D690" t="s">
        <v>134</v>
      </c>
      <c r="E690" t="s">
        <v>109</v>
      </c>
      <c r="F690" t="s">
        <v>95</v>
      </c>
      <c r="G690">
        <v>32</v>
      </c>
      <c r="H690">
        <v>0</v>
      </c>
      <c r="I690" s="5" t="str">
        <f>OutputTable[[#This Row],[ProjectName]]&amp;OutputTable[[#This Row],[Name]]&amp;OutputTable[[#This Row],[Type]]&amp;OutputTable[[#This Row],[Source]]</f>
        <v>Unnamed Projectticketsc.NumberSeizedTotal Number SeizedResource</v>
      </c>
      <c r="J690" s="5" cm="1">
        <f t="array" ref="J690">MAX(IF((ProjectInfoTable[ProjectName]=OutputTable[[#This Row],[ProjectName]]),(ProjectInfoTable[ProjectName]=OutputTable[[#This Row],[ProjectName]])*ProjectInfoTable[NumberOfReplications]))</f>
        <v>30</v>
      </c>
      <c r="K690" s="5" cm="1">
        <f t="array" ref="K690">IFERROR(AVERAGE(IF((OutputTable[GroupByKey]=OutputTable[[#This Row],[GroupByKey]]),(OutputTable[GroupByKey]=OutputTable[[#This Row],[GroupByKey]])*OutputTable[RecordedValue])),0)</f>
        <v>36.233333333333334</v>
      </c>
      <c r="L690" s="5" cm="1">
        <f t="array" ref="L690">IFERROR(_xlfn.STDEV.S(IF((OutputTable[GroupByKey]=OutputTable[[#This Row],[GroupByKey]]),(OutputTable[GroupByKey]=OutputTable[[#This Row],[GroupByKey]])*OutputTable[RecordedValue])),0)</f>
        <v>4.775536318198915</v>
      </c>
      <c r="M690" s="5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1.7832145675266573</v>
      </c>
      <c r="O690" s="5" cm="1">
        <f t="array" ref="O690">MIN(IF((OutputTable[GroupByKey]=OutputTable[[#This Row],[GroupByKey]]),(OutputTable[GroupByKey]=OutputTable[[#This Row],[GroupByKey]])*OutputTable[RecordedValue]))</f>
        <v>28</v>
      </c>
      <c r="P690" s="5" cm="1">
        <f t="array" ref="P690">MAX(IF((OutputTable[GroupByKey]=OutputTable[[#This Row],[GroupByKey]]),(OutputTable[GroupByKey]=OutputTable[[#This Row],[GroupByKey]])*OutputTable[RecordedValue]))</f>
        <v>48</v>
      </c>
    </row>
    <row r="691" spans="1:16" x14ac:dyDescent="0.3">
      <c r="A691" t="s">
        <v>66</v>
      </c>
      <c r="B691" t="s">
        <v>68</v>
      </c>
      <c r="C691">
        <v>30</v>
      </c>
      <c r="D691" t="s">
        <v>135</v>
      </c>
      <c r="E691" t="s">
        <v>111</v>
      </c>
      <c r="F691" t="s">
        <v>95</v>
      </c>
      <c r="G691">
        <v>0.82173395936291804</v>
      </c>
      <c r="H691">
        <v>0</v>
      </c>
      <c r="I691" s="5" t="str">
        <f>OutputTable[[#This Row],[ProjectName]]&amp;OutputTable[[#This Row],[Name]]&amp;OutputTable[[#This Row],[Type]]&amp;OutputTable[[#This Row],[Source]]</f>
        <v>Unnamed Projectticketsc.ScheduledUtilizationScheduled UtilizationResource</v>
      </c>
      <c r="J691" s="5" cm="1">
        <f t="array" ref="J691">MAX(IF((ProjectInfoTable[ProjectName]=OutputTable[[#This Row],[ProjectName]]),(ProjectInfoTable[ProjectName]=OutputTable[[#This Row],[ProjectName]])*ProjectInfoTable[NumberOfReplications]))</f>
        <v>30</v>
      </c>
      <c r="K691" s="5" cm="1">
        <f t="array" ref="K691">IFERROR(AVERAGE(IF((OutputTable[GroupByKey]=OutputTable[[#This Row],[GroupByKey]]),(OutputTable[GroupByKey]=OutputTable[[#This Row],[GroupByKey]])*OutputTable[RecordedValue])),0)</f>
        <v>0.88098039877461687</v>
      </c>
      <c r="L691" s="5" cm="1">
        <f t="array" ref="L691">IFERROR(_xlfn.STDEV.S(IF((OutputTable[GroupByKey]=OutputTable[[#This Row],[GroupByKey]]),(OutputTable[GroupByKey]=OutputTable[[#This Row],[GroupByKey]])*OutputTable[RecordedValue])),0)</f>
        <v>6.9783648638161486E-2</v>
      </c>
      <c r="M691" s="5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2.6057642646860522E-2</v>
      </c>
      <c r="O691" s="5" cm="1">
        <f t="array" ref="O691">MIN(IF((OutputTable[GroupByKey]=OutputTable[[#This Row],[GroupByKey]]),(OutputTable[GroupByKey]=OutputTable[[#This Row],[GroupByKey]])*OutputTable[RecordedValue]))</f>
        <v>0.73843386001690303</v>
      </c>
      <c r="P691" s="5" cm="1">
        <f t="array" ref="P691">MAX(IF((OutputTable[GroupByKey]=OutputTable[[#This Row],[GroupByKey]]),(OutputTable[GroupByKey]=OutputTable[[#This Row],[GroupByKey]])*OutputTable[RecordedValue]))</f>
        <v>0.99245161744166299</v>
      </c>
    </row>
  </sheetData>
  <phoneticPr fontId="2" type="noConversion"/>
  <conditionalFormatting sqref="I2:P691">
    <cfRule type="expression" dxfId="10" priority="2">
      <formula>MOD(ROW(),2)=0</formula>
    </cfRule>
  </conditionalFormatting>
  <conditionalFormatting sqref="N2:N69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44140625" bestFit="1" customWidth="1"/>
    <col min="8" max="8" width="21.109375" bestFit="1" customWidth="1"/>
    <col min="9" max="9" width="23.6640625" bestFit="1" customWidth="1"/>
    <col min="10" max="10" width="24.88671875" bestFit="1" customWidth="1"/>
    <col min="11" max="11" width="13.6640625" bestFit="1" customWidth="1"/>
    <col min="12" max="12" width="28.77734375" bestFit="1" customWidth="1"/>
    <col min="13" max="13" width="29.44140625" bestFit="1" customWidth="1"/>
    <col min="14" max="14" width="16.109375" bestFit="1" customWidth="1"/>
    <col min="15" max="15" width="27.44140625" bestFit="1" customWidth="1"/>
    <col min="16" max="16" width="28.10937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ruben lopez</cp:lastModifiedBy>
  <cp:lastPrinted>2022-03-22T10:33:10Z</cp:lastPrinted>
  <dcterms:created xsi:type="dcterms:W3CDTF">2020-06-29T21:30:31Z</dcterms:created>
  <dcterms:modified xsi:type="dcterms:W3CDTF">2023-05-22T17:49:46Z</dcterms:modified>
</cp:coreProperties>
</file>