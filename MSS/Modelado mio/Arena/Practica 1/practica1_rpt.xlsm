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rub\Desktop\Ruben\UMA\Optativas\Modelado y Simulación de Sistemas\Modelado mio\Arena\Practica 1\"/>
    </mc:Choice>
  </mc:AlternateContent>
  <xr:revisionPtr revIDLastSave="0" documentId="8_{62DE65A3-8420-4200-9115-5F0CE200B0B2}" xr6:coauthVersionLast="47" xr6:coauthVersionMax="47" xr10:uidLastSave="{00000000-0000-0000-0000-000000000000}"/>
  <bookViews>
    <workbookView xWindow="-108" yWindow="-108" windowWidth="23256" windowHeight="1257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CounterStatsByRep!$A$1:$G$2</definedName>
    <definedName name="ExternalData_1" localSheetId="2" hidden="1">DiscreteTimeStatsByRep!$A$1:$K$221</definedName>
    <definedName name="ExternalData_1" localSheetId="6" hidden="1">FrequencyStatsByRep!$A$1:$J$2</definedName>
    <definedName name="ExternalData_1" localSheetId="5" hidden="1">OutputStatsByRep!$A$1:$H$131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/>
  <c r="J105" i="20" a="1"/>
  <c r="J105" i="20" s="1"/>
  <c r="J106" i="20" a="1"/>
  <c r="J106" i="20" s="1"/>
  <c r="J107" i="20" a="1"/>
  <c r="J107" i="20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/>
  <c r="L127" i="20" a="1"/>
  <c r="L127" i="20" s="1"/>
  <c r="L128" i="20" a="1"/>
  <c r="L128" i="20" s="1"/>
  <c r="N128" i="20" s="1"/>
  <c r="L129" i="20" a="1"/>
  <c r="L129" i="20" s="1"/>
  <c r="N129" i="20" s="1"/>
  <c r="L130" i="20" a="1"/>
  <c r="L130" i="20" s="1"/>
  <c r="L131" i="20" a="1"/>
  <c r="L131" i="20" s="1"/>
  <c r="N131" i="20" s="1"/>
  <c r="M2" i="20" a="1"/>
  <c r="M2" i="20" s="1"/>
  <c r="N2" i="20" s="1"/>
  <c r="M3" i="20" a="1"/>
  <c r="M3" i="20" s="1"/>
  <c r="M4" i="20" a="1"/>
  <c r="M4" i="20" s="1"/>
  <c r="M5" i="20" a="1"/>
  <c r="M5" i="20" s="1"/>
  <c r="M6" i="20" a="1"/>
  <c r="M6" i="20" s="1"/>
  <c r="N6" i="20" s="1"/>
  <c r="M7" i="20" a="1"/>
  <c r="M7" i="20" s="1"/>
  <c r="N7" i="20" s="1"/>
  <c r="M8" i="20" a="1"/>
  <c r="M8" i="20"/>
  <c r="N8" i="20" s="1"/>
  <c r="M9" i="20" a="1"/>
  <c r="M9" i="20" s="1"/>
  <c r="M10" i="20" a="1"/>
  <c r="M10" i="20" s="1"/>
  <c r="N10" i="20" s="1"/>
  <c r="M11" i="20" a="1"/>
  <c r="M11" i="20" s="1"/>
  <c r="M12" i="20" a="1"/>
  <c r="M12" i="20" s="1"/>
  <c r="M13" i="20" a="1"/>
  <c r="M13" i="20" s="1"/>
  <c r="M14" i="20" a="1"/>
  <c r="M14" i="20" s="1"/>
  <c r="N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N19" i="20" s="1"/>
  <c r="M20" i="20" a="1"/>
  <c r="M20" i="20"/>
  <c r="N20" i="20" s="1"/>
  <c r="M21" i="20" a="1"/>
  <c r="M21" i="20" s="1"/>
  <c r="M22" i="20" a="1"/>
  <c r="M22" i="20" s="1"/>
  <c r="N22" i="20" s="1"/>
  <c r="M23" i="20" a="1"/>
  <c r="M23" i="20" s="1"/>
  <c r="N23" i="20" s="1"/>
  <c r="M24" i="20" a="1"/>
  <c r="M24" i="20" s="1"/>
  <c r="M25" i="20" a="1"/>
  <c r="M25" i="20" s="1"/>
  <c r="M26" i="20" a="1"/>
  <c r="M26" i="20" s="1"/>
  <c r="N26" i="20" s="1"/>
  <c r="M27" i="20" a="1"/>
  <c r="M27" i="20" s="1"/>
  <c r="M28" i="20" a="1"/>
  <c r="M28" i="20" s="1"/>
  <c r="M29" i="20" a="1"/>
  <c r="M29" i="20" s="1"/>
  <c r="M30" i="20" a="1"/>
  <c r="M30" i="20" s="1"/>
  <c r="N30" i="20" s="1"/>
  <c r="M31" i="20" a="1"/>
  <c r="M31" i="20" s="1"/>
  <c r="N31" i="20" s="1"/>
  <c r="M32" i="20" a="1"/>
  <c r="M32" i="20" s="1"/>
  <c r="N32" i="20" s="1"/>
  <c r="M33" i="20" a="1"/>
  <c r="M33" i="20" s="1"/>
  <c r="N33" i="20" s="1"/>
  <c r="M34" i="20" a="1"/>
  <c r="M34" i="20" s="1"/>
  <c r="N34" i="20" s="1"/>
  <c r="M35" i="20" a="1"/>
  <c r="M35" i="20" s="1"/>
  <c r="M36" i="20" a="1"/>
  <c r="M36" i="20" s="1"/>
  <c r="M37" i="20" a="1"/>
  <c r="M37" i="20" s="1"/>
  <c r="M38" i="20" a="1"/>
  <c r="M38" i="20" s="1"/>
  <c r="N38" i="20" s="1"/>
  <c r="M39" i="20" a="1"/>
  <c r="M39" i="20" s="1"/>
  <c r="M40" i="20" a="1"/>
  <c r="M40" i="20" s="1"/>
  <c r="M41" i="20" a="1"/>
  <c r="M41" i="20" s="1"/>
  <c r="N41" i="20" s="1"/>
  <c r="M42" i="20" a="1"/>
  <c r="M42" i="20" s="1"/>
  <c r="N42" i="20" s="1"/>
  <c r="M43" i="20" a="1"/>
  <c r="M43" i="20" s="1"/>
  <c r="N43" i="20" s="1"/>
  <c r="M44" i="20" a="1"/>
  <c r="M44" i="20" s="1"/>
  <c r="N44" i="20" s="1"/>
  <c r="M45" i="20" a="1"/>
  <c r="M45" i="20" s="1"/>
  <c r="N45" i="20" s="1"/>
  <c r="M46" i="20" a="1"/>
  <c r="M46" i="20" s="1"/>
  <c r="M47" i="20" a="1"/>
  <c r="M47" i="20"/>
  <c r="M48" i="20" a="1"/>
  <c r="M48" i="20" s="1"/>
  <c r="M49" i="20" a="1"/>
  <c r="M49" i="20"/>
  <c r="N49" i="20" s="1"/>
  <c r="M50" i="20" a="1"/>
  <c r="M50" i="20" s="1"/>
  <c r="N50" i="20" s="1"/>
  <c r="M51" i="20" a="1"/>
  <c r="M51" i="20" s="1"/>
  <c r="N51" i="20" s="1"/>
  <c r="M52" i="20" a="1"/>
  <c r="M52" i="20" s="1"/>
  <c r="N52" i="20" s="1"/>
  <c r="M53" i="20" a="1"/>
  <c r="M53" i="20" s="1"/>
  <c r="N53" i="20" s="1"/>
  <c r="M54" i="20" a="1"/>
  <c r="M54" i="20" s="1"/>
  <c r="N54" i="20" s="1"/>
  <c r="M55" i="20" a="1"/>
  <c r="M55" i="20" s="1"/>
  <c r="N55" i="20" s="1"/>
  <c r="M56" i="20" a="1"/>
  <c r="M56" i="20" s="1"/>
  <c r="M57" i="20" a="1"/>
  <c r="M57" i="20"/>
  <c r="N57" i="20" s="1"/>
  <c r="M58" i="20" a="1"/>
  <c r="M58" i="20" s="1"/>
  <c r="N58" i="20" s="1"/>
  <c r="M59" i="20" a="1"/>
  <c r="M59" i="20" s="1"/>
  <c r="M60" i="20" a="1"/>
  <c r="M60" i="20" s="1"/>
  <c r="M61" i="20" a="1"/>
  <c r="M61" i="20" s="1"/>
  <c r="M62" i="20" a="1"/>
  <c r="M62" i="20" s="1"/>
  <c r="N62" i="20" s="1"/>
  <c r="M63" i="20" a="1"/>
  <c r="M63" i="20" s="1"/>
  <c r="N63" i="20" s="1"/>
  <c r="M64" i="20" a="1"/>
  <c r="M64" i="20" s="1"/>
  <c r="M65" i="20" a="1"/>
  <c r="M65" i="20"/>
  <c r="M66" i="20" a="1"/>
  <c r="M66" i="20" s="1"/>
  <c r="N66" i="20" s="1"/>
  <c r="M67" i="20" a="1"/>
  <c r="M67" i="20" s="1"/>
  <c r="N67" i="20" s="1"/>
  <c r="M68" i="20" a="1"/>
  <c r="M68" i="20" s="1"/>
  <c r="N68" i="20" s="1"/>
  <c r="M69" i="20" a="1"/>
  <c r="M69" i="20" s="1"/>
  <c r="M70" i="20" a="1"/>
  <c r="M70" i="20" s="1"/>
  <c r="N70" i="20" s="1"/>
  <c r="M71" i="20" a="1"/>
  <c r="M71" i="20" s="1"/>
  <c r="M72" i="20" a="1"/>
  <c r="M72" i="20" s="1"/>
  <c r="N72" i="20" s="1"/>
  <c r="M73" i="20" a="1"/>
  <c r="M73" i="20" s="1"/>
  <c r="N73" i="20" s="1"/>
  <c r="M74" i="20" a="1"/>
  <c r="M74" i="20" s="1"/>
  <c r="M75" i="20" a="1"/>
  <c r="M75" i="20"/>
  <c r="N75" i="20" s="1"/>
  <c r="M76" i="20" a="1"/>
  <c r="M76" i="20" s="1"/>
  <c r="N76" i="20" s="1"/>
  <c r="M77" i="20" a="1"/>
  <c r="M77" i="20" s="1"/>
  <c r="N77" i="20" s="1"/>
  <c r="M78" i="20" a="1"/>
  <c r="M78" i="20"/>
  <c r="M79" i="20" a="1"/>
  <c r="M79" i="20" s="1"/>
  <c r="N79" i="20" s="1"/>
  <c r="M80" i="20" a="1"/>
  <c r="M80" i="20" s="1"/>
  <c r="N80" i="20" s="1"/>
  <c r="M81" i="20" a="1"/>
  <c r="M81" i="20" s="1"/>
  <c r="N81" i="20" s="1"/>
  <c r="M82" i="20" a="1"/>
  <c r="M82" i="20" s="1"/>
  <c r="M83" i="20" a="1"/>
  <c r="M83" i="20"/>
  <c r="N83" i="20" s="1"/>
  <c r="M84" i="20" a="1"/>
  <c r="M84" i="20" s="1"/>
  <c r="M85" i="20" a="1"/>
  <c r="M85" i="20" s="1"/>
  <c r="N85" i="20" s="1"/>
  <c r="M86" i="20" a="1"/>
  <c r="M86" i="20" s="1"/>
  <c r="N86" i="20" s="1"/>
  <c r="M87" i="20" a="1"/>
  <c r="M87" i="20" s="1"/>
  <c r="N87" i="20" s="1"/>
  <c r="M88" i="20" a="1"/>
  <c r="M88" i="20" s="1"/>
  <c r="M89" i="20" a="1"/>
  <c r="M89" i="20" s="1"/>
  <c r="M90" i="20" a="1"/>
  <c r="M90" i="20" s="1"/>
  <c r="N90" i="20" s="1"/>
  <c r="M91" i="20" a="1"/>
  <c r="M91" i="20"/>
  <c r="N91" i="20" s="1"/>
  <c r="M92" i="20" a="1"/>
  <c r="M92" i="20" s="1"/>
  <c r="N92" i="20" s="1"/>
  <c r="M93" i="20" a="1"/>
  <c r="M93" i="20" s="1"/>
  <c r="N93" i="20" s="1"/>
  <c r="M94" i="20" a="1"/>
  <c r="M94" i="20" s="1"/>
  <c r="M95" i="20" a="1"/>
  <c r="M95" i="20" s="1"/>
  <c r="N95" i="20" s="1"/>
  <c r="M96" i="20" a="1"/>
  <c r="M96" i="20"/>
  <c r="M97" i="20" a="1"/>
  <c r="M97" i="20" s="1"/>
  <c r="N97" i="20" s="1"/>
  <c r="M98" i="20" a="1"/>
  <c r="M98" i="20" s="1"/>
  <c r="N98" i="20" s="1"/>
  <c r="M99" i="20" a="1"/>
  <c r="M99" i="20"/>
  <c r="N99" i="20" s="1"/>
  <c r="M100" i="20" a="1"/>
  <c r="M100" i="20" s="1"/>
  <c r="M101" i="20" a="1"/>
  <c r="M101" i="20" s="1"/>
  <c r="N101" i="20" s="1"/>
  <c r="M102" i="20" a="1"/>
  <c r="M102" i="20" s="1"/>
  <c r="M103" i="20" a="1"/>
  <c r="M103" i="20" s="1"/>
  <c r="N103" i="20" s="1"/>
  <c r="M104" i="20" a="1"/>
  <c r="M104" i="20" s="1"/>
  <c r="N104" i="20" s="1"/>
  <c r="M105" i="20" a="1"/>
  <c r="M105" i="20" s="1"/>
  <c r="M106" i="20" a="1"/>
  <c r="M106" i="20" s="1"/>
  <c r="N106" i="20" s="1"/>
  <c r="M107" i="20" a="1"/>
  <c r="M107" i="20" s="1"/>
  <c r="M108" i="20" a="1"/>
  <c r="M108" i="20" s="1"/>
  <c r="N108" i="20" s="1"/>
  <c r="M109" i="20" a="1"/>
  <c r="M109" i="20" s="1"/>
  <c r="N109" i="20" s="1"/>
  <c r="M110" i="20" a="1"/>
  <c r="M110" i="20" s="1"/>
  <c r="N110" i="20" s="1"/>
  <c r="M111" i="20" a="1"/>
  <c r="M111" i="20"/>
  <c r="N111" i="20" s="1"/>
  <c r="M112" i="20" a="1"/>
  <c r="M112" i="20" s="1"/>
  <c r="M113" i="20" a="1"/>
  <c r="M113" i="20" s="1"/>
  <c r="N113" i="20" s="1"/>
  <c r="M114" i="20" a="1"/>
  <c r="M114" i="20"/>
  <c r="M115" i="20" a="1"/>
  <c r="M115" i="20" s="1"/>
  <c r="M116" i="20" a="1"/>
  <c r="M116" i="20"/>
  <c r="N116" i="20" s="1"/>
  <c r="M117" i="20" a="1"/>
  <c r="M117" i="20" s="1"/>
  <c r="N117" i="20" s="1"/>
  <c r="M118" i="20" a="1"/>
  <c r="M118" i="20" s="1"/>
  <c r="M119" i="20" a="1"/>
  <c r="M119" i="20"/>
  <c r="N119" i="20" s="1"/>
  <c r="M120" i="20" a="1"/>
  <c r="M120" i="20" s="1"/>
  <c r="M121" i="20" a="1"/>
  <c r="M121" i="20" s="1"/>
  <c r="N121" i="20" s="1"/>
  <c r="M122" i="20" a="1"/>
  <c r="M122" i="20"/>
  <c r="M123" i="20" a="1"/>
  <c r="M123" i="20" s="1"/>
  <c r="M124" i="20" a="1"/>
  <c r="M124" i="20" s="1"/>
  <c r="N124" i="20" s="1"/>
  <c r="M125" i="20" a="1"/>
  <c r="M125" i="20" s="1"/>
  <c r="N125" i="20" s="1"/>
  <c r="M126" i="20" a="1"/>
  <c r="M126" i="20" s="1"/>
  <c r="N126" i="20" s="1"/>
  <c r="M127" i="20" a="1"/>
  <c r="M127" i="20"/>
  <c r="M128" i="20" a="1"/>
  <c r="M128" i="20"/>
  <c r="M129" i="20" a="1"/>
  <c r="M129" i="20" s="1"/>
  <c r="M130" i="20" a="1"/>
  <c r="M130" i="20" s="1"/>
  <c r="M131" i="20" a="1"/>
  <c r="M131" i="20"/>
  <c r="N4" i="20"/>
  <c r="N5" i="20"/>
  <c r="N11" i="20"/>
  <c r="N13" i="20"/>
  <c r="N16" i="20"/>
  <c r="N17" i="20"/>
  <c r="N25" i="20"/>
  <c r="N28" i="20"/>
  <c r="N29" i="20"/>
  <c r="N35" i="20"/>
  <c r="N37" i="20"/>
  <c r="N40" i="20"/>
  <c r="N46" i="20"/>
  <c r="N47" i="20"/>
  <c r="N56" i="20"/>
  <c r="N61" i="20"/>
  <c r="N64" i="20"/>
  <c r="N69" i="20"/>
  <c r="N71" i="20"/>
  <c r="N74" i="20"/>
  <c r="N82" i="20"/>
  <c r="N88" i="20"/>
  <c r="N100" i="20"/>
  <c r="N105" i="20"/>
  <c r="N107" i="20"/>
  <c r="N112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/>
  <c r="O30" i="20" a="1"/>
  <c r="O30" i="20"/>
  <c r="O31" i="20" a="1"/>
  <c r="O31" i="20"/>
  <c r="O32" i="20" a="1"/>
  <c r="O32" i="20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/>
  <c r="O53" i="20" a="1"/>
  <c r="O53" i="20" s="1"/>
  <c r="O54" i="20" a="1"/>
  <c r="O54" i="20"/>
  <c r="O55" i="20" a="1"/>
  <c r="O55" i="20"/>
  <c r="O56" i="20" a="1"/>
  <c r="O56" i="20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/>
  <c r="O101" i="20" a="1"/>
  <c r="O101" i="20"/>
  <c r="O102" i="20" a="1"/>
  <c r="O102" i="20"/>
  <c r="O103" i="20" a="1"/>
  <c r="O103" i="20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/>
  <c r="O125" i="20" a="1"/>
  <c r="O125" i="20"/>
  <c r="O126" i="20" a="1"/>
  <c r="O126" i="20"/>
  <c r="O127" i="20" a="1"/>
  <c r="O127" i="20"/>
  <c r="O128" i="20" a="1"/>
  <c r="O128" i="20"/>
  <c r="O129" i="20" a="1"/>
  <c r="O129" i="20" s="1"/>
  <c r="O130" i="20" a="1"/>
  <c r="O130" i="20" s="1"/>
  <c r="O131" i="20" a="1"/>
  <c r="O13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/>
  <c r="P19" i="20" a="1"/>
  <c r="P19" i="20"/>
  <c r="P20" i="20" a="1"/>
  <c r="P20" i="20"/>
  <c r="P21" i="20" a="1"/>
  <c r="P21" i="20" s="1"/>
  <c r="P22" i="20" a="1"/>
  <c r="P22" i="20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/>
  <c r="P43" i="20" a="1"/>
  <c r="P43" i="20"/>
  <c r="P44" i="20" a="1"/>
  <c r="P44" i="20"/>
  <c r="P45" i="20" a="1"/>
  <c r="P45" i="20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/>
  <c r="P67" i="20" a="1"/>
  <c r="P67" i="20"/>
  <c r="P68" i="20" a="1"/>
  <c r="P68" i="20"/>
  <c r="P69" i="20" a="1"/>
  <c r="P69" i="20"/>
  <c r="P70" i="20" a="1"/>
  <c r="P70" i="20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/>
  <c r="P99" i="20" a="1"/>
  <c r="P99" i="20"/>
  <c r="P100" i="20" a="1"/>
  <c r="P100" i="20"/>
  <c r="P101" i="20" a="1"/>
  <c r="P101" i="20"/>
  <c r="P102" i="20" a="1"/>
  <c r="P102" i="20" s="1"/>
  <c r="P103" i="20" a="1"/>
  <c r="P103" i="20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/>
  <c r="N46" i="18" a="1"/>
  <c r="N46" i="18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/>
  <c r="P82" i="18" a="1"/>
  <c r="P82" i="18" s="1"/>
  <c r="P83" i="18" a="1"/>
  <c r="P83" i="18" s="1"/>
  <c r="P84" i="18" a="1"/>
  <c r="P84" i="18" s="1"/>
  <c r="P85" i="18" a="1"/>
  <c r="P85" i="18" s="1"/>
  <c r="R85" i="18" s="1"/>
  <c r="U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R121" i="18" s="1"/>
  <c r="U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/>
  <c r="P136" i="18" a="1"/>
  <c r="P136" i="18" s="1"/>
  <c r="P137" i="18" a="1"/>
  <c r="P137" i="18" s="1"/>
  <c r="P138" i="18" a="1"/>
  <c r="P138" i="18" s="1"/>
  <c r="P139" i="18" a="1"/>
  <c r="P139" i="18"/>
  <c r="P140" i="18" a="1"/>
  <c r="P140" i="18" s="1"/>
  <c r="P141" i="18" a="1"/>
  <c r="P141" i="18" s="1"/>
  <c r="P142" i="18" a="1"/>
  <c r="P142" i="18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/>
  <c r="Q2" i="18" a="1"/>
  <c r="Q2" i="18" s="1"/>
  <c r="R2" i="18" s="1"/>
  <c r="U2" i="18" s="1"/>
  <c r="Q3" i="18" a="1"/>
  <c r="Q3" i="18" s="1"/>
  <c r="Q4" i="18" a="1"/>
  <c r="Q4" i="18"/>
  <c r="R4" i="18" s="1"/>
  <c r="U4" i="18" s="1"/>
  <c r="Q5" i="18" a="1"/>
  <c r="Q5" i="18" s="1"/>
  <c r="Q6" i="18" a="1"/>
  <c r="Q6" i="18"/>
  <c r="R6" i="18" s="1"/>
  <c r="U6" i="18" s="1"/>
  <c r="Q7" i="18" a="1"/>
  <c r="Q7" i="18" s="1"/>
  <c r="R7" i="18" s="1"/>
  <c r="U7" i="18" s="1"/>
  <c r="Q8" i="18" a="1"/>
  <c r="Q8" i="18" s="1"/>
  <c r="R8" i="18" s="1"/>
  <c r="U8" i="18" s="1"/>
  <c r="Q9" i="18" a="1"/>
  <c r="Q9" i="18"/>
  <c r="Q10" i="18" a="1"/>
  <c r="Q10" i="18" s="1"/>
  <c r="R10" i="18" s="1"/>
  <c r="U10" i="18" s="1"/>
  <c r="Q11" i="18" a="1"/>
  <c r="Q11" i="18" s="1"/>
  <c r="R11" i="18" s="1"/>
  <c r="U11" i="18" s="1"/>
  <c r="Q12" i="18" a="1"/>
  <c r="Q12" i="18" s="1"/>
  <c r="R12" i="18" s="1"/>
  <c r="U12" i="18" s="1"/>
  <c r="Q13" i="18" a="1"/>
  <c r="Q13" i="18" s="1"/>
  <c r="R13" i="18" s="1"/>
  <c r="U13" i="18" s="1"/>
  <c r="Q14" i="18" a="1"/>
  <c r="Q14" i="18"/>
  <c r="R14" i="18" s="1"/>
  <c r="U14" i="18" s="1"/>
  <c r="Q15" i="18" a="1"/>
  <c r="Q15" i="18"/>
  <c r="Q16" i="18" a="1"/>
  <c r="Q16" i="18"/>
  <c r="R16" i="18" s="1"/>
  <c r="U16" i="18" s="1"/>
  <c r="Q17" i="18" a="1"/>
  <c r="Q17" i="18" s="1"/>
  <c r="Q18" i="18" a="1"/>
  <c r="Q18" i="18" s="1"/>
  <c r="R18" i="18" s="1"/>
  <c r="U18" i="18" s="1"/>
  <c r="Q19" i="18" a="1"/>
  <c r="Q19" i="18" s="1"/>
  <c r="R19" i="18" s="1"/>
  <c r="U19" i="18" s="1"/>
  <c r="Q20" i="18" a="1"/>
  <c r="Q20" i="18" s="1"/>
  <c r="R20" i="18" s="1"/>
  <c r="U20" i="18" s="1"/>
  <c r="Q21" i="18" a="1"/>
  <c r="Q21" i="18" s="1"/>
  <c r="Q22" i="18" a="1"/>
  <c r="Q22" i="18"/>
  <c r="R22" i="18" s="1"/>
  <c r="U22" i="18" s="1"/>
  <c r="Q23" i="18" a="1"/>
  <c r="Q23" i="18" s="1"/>
  <c r="R23" i="18" s="1"/>
  <c r="U23" i="18" s="1"/>
  <c r="Q24" i="18" a="1"/>
  <c r="Q24" i="18"/>
  <c r="R24" i="18" s="1"/>
  <c r="U24" i="18" s="1"/>
  <c r="Q25" i="18" a="1"/>
  <c r="Q25" i="18" s="1"/>
  <c r="R25" i="18" s="1"/>
  <c r="U25" i="18" s="1"/>
  <c r="Q26" i="18" a="1"/>
  <c r="Q26" i="18" s="1"/>
  <c r="R26" i="18" s="1"/>
  <c r="U26" i="18" s="1"/>
  <c r="Q27" i="18" a="1"/>
  <c r="Q27" i="18"/>
  <c r="Q28" i="18" a="1"/>
  <c r="Q28" i="18"/>
  <c r="R28" i="18" s="1"/>
  <c r="U28" i="18" s="1"/>
  <c r="Q29" i="18" a="1"/>
  <c r="Q29" i="18" s="1"/>
  <c r="Q30" i="18" a="1"/>
  <c r="Q30" i="18" s="1"/>
  <c r="R30" i="18" s="1"/>
  <c r="U30" i="18" s="1"/>
  <c r="Q31" i="18" a="1"/>
  <c r="Q31" i="18" s="1"/>
  <c r="R31" i="18" s="1"/>
  <c r="U31" i="18" s="1"/>
  <c r="Q32" i="18" a="1"/>
  <c r="Q32" i="18"/>
  <c r="R32" i="18" s="1"/>
  <c r="U32" i="18" s="1"/>
  <c r="Q33" i="18" a="1"/>
  <c r="Q33" i="18" s="1"/>
  <c r="Q34" i="18" a="1"/>
  <c r="Q34" i="18" s="1"/>
  <c r="Q35" i="18" a="1"/>
  <c r="Q35" i="18" s="1"/>
  <c r="R35" i="18" s="1"/>
  <c r="U35" i="18" s="1"/>
  <c r="Q36" i="18" a="1"/>
  <c r="Q36" i="18"/>
  <c r="R36" i="18" s="1"/>
  <c r="U36" i="18" s="1"/>
  <c r="Q37" i="18" a="1"/>
  <c r="Q37" i="18"/>
  <c r="R37" i="18" s="1"/>
  <c r="U37" i="18" s="1"/>
  <c r="Q38" i="18" a="1"/>
  <c r="Q38" i="18" s="1"/>
  <c r="R38" i="18" s="1"/>
  <c r="U38" i="18" s="1"/>
  <c r="Q39" i="18" a="1"/>
  <c r="Q39" i="18"/>
  <c r="Q40" i="18" a="1"/>
  <c r="Q40" i="18" s="1"/>
  <c r="Q41" i="18" a="1"/>
  <c r="Q41" i="18" s="1"/>
  <c r="R41" i="18" s="1"/>
  <c r="U41" i="18" s="1"/>
  <c r="Q42" i="18" a="1"/>
  <c r="Q42" i="18" s="1"/>
  <c r="R42" i="18" s="1"/>
  <c r="U42" i="18" s="1"/>
  <c r="Q43" i="18" a="1"/>
  <c r="Q43" i="18" s="1"/>
  <c r="R43" i="18" s="1"/>
  <c r="U43" i="18" s="1"/>
  <c r="Q44" i="18" a="1"/>
  <c r="Q44" i="18" s="1"/>
  <c r="R44" i="18" s="1"/>
  <c r="U44" i="18" s="1"/>
  <c r="Q45" i="18" a="1"/>
  <c r="Q45" i="18"/>
  <c r="Q46" i="18" a="1"/>
  <c r="Q46" i="18" s="1"/>
  <c r="R46" i="18" s="1"/>
  <c r="U46" i="18" s="1"/>
  <c r="Q47" i="18" a="1"/>
  <c r="Q47" i="18" s="1"/>
  <c r="Q48" i="18" a="1"/>
  <c r="Q48" i="18"/>
  <c r="R48" i="18" s="1"/>
  <c r="U48" i="18" s="1"/>
  <c r="Q49" i="18" a="1"/>
  <c r="Q49" i="18"/>
  <c r="R49" i="18" s="1"/>
  <c r="U49" i="18" s="1"/>
  <c r="Q50" i="18" a="1"/>
  <c r="Q50" i="18" s="1"/>
  <c r="R50" i="18" s="1"/>
  <c r="U50" i="18" s="1"/>
  <c r="Q51" i="18" a="1"/>
  <c r="Q51" i="18" s="1"/>
  <c r="Q52" i="18" a="1"/>
  <c r="Q52" i="18"/>
  <c r="Q53" i="18" a="1"/>
  <c r="Q53" i="18" s="1"/>
  <c r="Q54" i="18" a="1"/>
  <c r="Q54" i="18" s="1"/>
  <c r="R54" i="18" s="1"/>
  <c r="U54" i="18" s="1"/>
  <c r="Q55" i="18" a="1"/>
  <c r="Q55" i="18"/>
  <c r="R55" i="18" s="1"/>
  <c r="U55" i="18" s="1"/>
  <c r="Q56" i="18" a="1"/>
  <c r="Q56" i="18" s="1"/>
  <c r="R56" i="18" s="1"/>
  <c r="U56" i="18" s="1"/>
  <c r="Q57" i="18" a="1"/>
  <c r="Q57" i="18" s="1"/>
  <c r="Q58" i="18" a="1"/>
  <c r="Q58" i="18" s="1"/>
  <c r="Q59" i="18" a="1"/>
  <c r="Q59" i="18" s="1"/>
  <c r="R59" i="18" s="1"/>
  <c r="U59" i="18" s="1"/>
  <c r="Q60" i="18" a="1"/>
  <c r="Q60" i="18"/>
  <c r="R60" i="18" s="1"/>
  <c r="U60" i="18" s="1"/>
  <c r="Q61" i="18" a="1"/>
  <c r="Q61" i="18" s="1"/>
  <c r="Q62" i="18" a="1"/>
  <c r="Q62" i="18" s="1"/>
  <c r="R62" i="18" s="1"/>
  <c r="U62" i="18" s="1"/>
  <c r="Q63" i="18" a="1"/>
  <c r="Q63" i="18" s="1"/>
  <c r="R63" i="18" s="1"/>
  <c r="U63" i="18" s="1"/>
  <c r="Q64" i="18" a="1"/>
  <c r="Q64" i="18" s="1"/>
  <c r="R64" i="18" s="1"/>
  <c r="U64" i="18" s="1"/>
  <c r="Q65" i="18" a="1"/>
  <c r="Q65" i="18"/>
  <c r="R65" i="18" s="1"/>
  <c r="U65" i="18" s="1"/>
  <c r="Q66" i="18" a="1"/>
  <c r="Q66" i="18"/>
  <c r="R66" i="18" s="1"/>
  <c r="U66" i="18" s="1"/>
  <c r="Q67" i="18" a="1"/>
  <c r="Q67" i="18" s="1"/>
  <c r="Q68" i="18" a="1"/>
  <c r="Q68" i="18" s="1"/>
  <c r="R68" i="18" s="1"/>
  <c r="U68" i="18" s="1"/>
  <c r="Q69" i="18" a="1"/>
  <c r="Q69" i="18" s="1"/>
  <c r="Q70" i="18" a="1"/>
  <c r="Q70" i="18" s="1"/>
  <c r="Q71" i="18" a="1"/>
  <c r="Q71" i="18"/>
  <c r="R71" i="18" s="1"/>
  <c r="U71" i="18" s="1"/>
  <c r="Q72" i="18" a="1"/>
  <c r="Q72" i="18"/>
  <c r="R72" i="18" s="1"/>
  <c r="U72" i="18" s="1"/>
  <c r="Q73" i="18" a="1"/>
  <c r="Q73" i="18" s="1"/>
  <c r="Q74" i="18" a="1"/>
  <c r="Q74" i="18" s="1"/>
  <c r="R74" i="18" s="1"/>
  <c r="U74" i="18" s="1"/>
  <c r="Q75" i="18" a="1"/>
  <c r="Q75" i="18" s="1"/>
  <c r="Q76" i="18" a="1"/>
  <c r="Q76" i="18" s="1"/>
  <c r="Q77" i="18" a="1"/>
  <c r="Q77" i="18"/>
  <c r="Q78" i="18" a="1"/>
  <c r="Q78" i="18"/>
  <c r="R78" i="18" s="1"/>
  <c r="U78" i="18" s="1"/>
  <c r="Q79" i="18" a="1"/>
  <c r="Q79" i="18" s="1"/>
  <c r="Q80" i="18" a="1"/>
  <c r="Q80" i="18" s="1"/>
  <c r="R80" i="18" s="1"/>
  <c r="U80" i="18" s="1"/>
  <c r="Q81" i="18" a="1"/>
  <c r="Q81" i="18" s="1"/>
  <c r="Q82" i="18" a="1"/>
  <c r="Q82" i="18" s="1"/>
  <c r="R82" i="18" s="1"/>
  <c r="U82" i="18" s="1"/>
  <c r="Q83" i="18" a="1"/>
  <c r="Q83" i="18"/>
  <c r="R83" i="18" s="1"/>
  <c r="U83" i="18" s="1"/>
  <c r="Q84" i="18" a="1"/>
  <c r="Q84" i="18"/>
  <c r="R84" i="18" s="1"/>
  <c r="U84" i="18" s="1"/>
  <c r="Q85" i="18" a="1"/>
  <c r="Q85" i="18" s="1"/>
  <c r="Q86" i="18" a="1"/>
  <c r="Q86" i="18" s="1"/>
  <c r="R86" i="18" s="1"/>
  <c r="U86" i="18" s="1"/>
  <c r="Q87" i="18" a="1"/>
  <c r="Q87" i="18" s="1"/>
  <c r="Q88" i="18" a="1"/>
  <c r="Q88" i="18" s="1"/>
  <c r="Q89" i="18" a="1"/>
  <c r="Q89" i="18"/>
  <c r="Q90" i="18" a="1"/>
  <c r="Q90" i="18"/>
  <c r="R90" i="18" s="1"/>
  <c r="U90" i="18" s="1"/>
  <c r="Q91" i="18" a="1"/>
  <c r="Q91" i="18" s="1"/>
  <c r="Q92" i="18" a="1"/>
  <c r="Q92" i="18" s="1"/>
  <c r="R92" i="18" s="1"/>
  <c r="U92" i="18" s="1"/>
  <c r="Q93" i="18" a="1"/>
  <c r="Q93" i="18" s="1"/>
  <c r="Q94" i="18" a="1"/>
  <c r="Q94" i="18" s="1"/>
  <c r="Q95" i="18" a="1"/>
  <c r="Q95" i="18"/>
  <c r="R95" i="18" s="1"/>
  <c r="U95" i="18" s="1"/>
  <c r="Q96" i="18" a="1"/>
  <c r="Q96" i="18"/>
  <c r="R96" i="18" s="1"/>
  <c r="U96" i="18" s="1"/>
  <c r="Q97" i="18" a="1"/>
  <c r="Q97" i="18" s="1"/>
  <c r="Q98" i="18" a="1"/>
  <c r="Q98" i="18" s="1"/>
  <c r="R98" i="18" s="1"/>
  <c r="U98" i="18" s="1"/>
  <c r="Q99" i="18" a="1"/>
  <c r="Q99" i="18" s="1"/>
  <c r="Q100" i="18" a="1"/>
  <c r="Q100" i="18" s="1"/>
  <c r="Q101" i="18" a="1"/>
  <c r="Q101" i="18"/>
  <c r="R101" i="18" s="1"/>
  <c r="U101" i="18" s="1"/>
  <c r="Q102" i="18" a="1"/>
  <c r="Q102" i="18"/>
  <c r="R102" i="18" s="1"/>
  <c r="U102" i="18" s="1"/>
  <c r="Q103" i="18" a="1"/>
  <c r="Q103" i="18" s="1"/>
  <c r="Q104" i="18" a="1"/>
  <c r="Q104" i="18" s="1"/>
  <c r="R104" i="18" s="1"/>
  <c r="U104" i="18" s="1"/>
  <c r="Q105" i="18" a="1"/>
  <c r="Q105" i="18" s="1"/>
  <c r="Q106" i="18" a="1"/>
  <c r="Q106" i="18" s="1"/>
  <c r="Q107" i="18" a="1"/>
  <c r="Q107" i="18"/>
  <c r="Q108" i="18" a="1"/>
  <c r="Q108" i="18"/>
  <c r="R108" i="18" s="1"/>
  <c r="U108" i="18" s="1"/>
  <c r="Q109" i="18" a="1"/>
  <c r="Q109" i="18" s="1"/>
  <c r="Q110" i="18" a="1"/>
  <c r="Q110" i="18" s="1"/>
  <c r="R110" i="18" s="1"/>
  <c r="U110" i="18" s="1"/>
  <c r="Q111" i="18" a="1"/>
  <c r="Q111" i="18" s="1"/>
  <c r="Q112" i="18" a="1"/>
  <c r="Q112" i="18" s="1"/>
  <c r="Q113" i="18" a="1"/>
  <c r="Q113" i="18"/>
  <c r="R113" i="18" s="1"/>
  <c r="U113" i="18" s="1"/>
  <c r="Q114" i="18" a="1"/>
  <c r="Q114" i="18"/>
  <c r="R114" i="18" s="1"/>
  <c r="U114" i="18" s="1"/>
  <c r="Q115" i="18" a="1"/>
  <c r="Q115" i="18" s="1"/>
  <c r="Q116" i="18" a="1"/>
  <c r="Q116" i="18" s="1"/>
  <c r="R116" i="18" s="1"/>
  <c r="U116" i="18" s="1"/>
  <c r="Q117" i="18" a="1"/>
  <c r="Q117" i="18" s="1"/>
  <c r="Q118" i="18" a="1"/>
  <c r="Q118" i="18" s="1"/>
  <c r="Q119" i="18" a="1"/>
  <c r="Q119" i="18"/>
  <c r="R119" i="18" s="1"/>
  <c r="U119" i="18" s="1"/>
  <c r="Q120" i="18" a="1"/>
  <c r="Q120" i="18"/>
  <c r="R120" i="18" s="1"/>
  <c r="U120" i="18" s="1"/>
  <c r="Q121" i="18" a="1"/>
  <c r="Q121" i="18" s="1"/>
  <c r="Q122" i="18" a="1"/>
  <c r="Q122" i="18" s="1"/>
  <c r="R122" i="18" s="1"/>
  <c r="U122" i="18" s="1"/>
  <c r="Q123" i="18" a="1"/>
  <c r="Q123" i="18" s="1"/>
  <c r="Q124" i="18" a="1"/>
  <c r="Q124" i="18" s="1"/>
  <c r="Q125" i="18" a="1"/>
  <c r="Q125" i="18"/>
  <c r="R125" i="18" s="1"/>
  <c r="U125" i="18" s="1"/>
  <c r="Q126" i="18" a="1"/>
  <c r="Q126" i="18"/>
  <c r="R126" i="18" s="1"/>
  <c r="U126" i="18" s="1"/>
  <c r="Q127" i="18" a="1"/>
  <c r="Q127" i="18" s="1"/>
  <c r="Q128" i="18" a="1"/>
  <c r="Q128" i="18" s="1"/>
  <c r="R128" i="18" s="1"/>
  <c r="U128" i="18" s="1"/>
  <c r="Q129" i="18" a="1"/>
  <c r="Q129" i="18" s="1"/>
  <c r="Q130" i="18" a="1"/>
  <c r="Q130" i="18" s="1"/>
  <c r="Q131" i="18" a="1"/>
  <c r="Q131" i="18"/>
  <c r="R131" i="18" s="1"/>
  <c r="U131" i="18" s="1"/>
  <c r="Q132" i="18" a="1"/>
  <c r="Q132" i="18"/>
  <c r="R132" i="18" s="1"/>
  <c r="U132" i="18" s="1"/>
  <c r="Q133" i="18" a="1"/>
  <c r="Q133" i="18" s="1"/>
  <c r="Q134" i="18" a="1"/>
  <c r="Q134" i="18" s="1"/>
  <c r="R134" i="18" s="1"/>
  <c r="U134" i="18" s="1"/>
  <c r="Q135" i="18" a="1"/>
  <c r="Q135" i="18" s="1"/>
  <c r="Q136" i="18" a="1"/>
  <c r="Q136" i="18" s="1"/>
  <c r="Q137" i="18" a="1"/>
  <c r="Q137" i="18"/>
  <c r="R137" i="18" s="1"/>
  <c r="U137" i="18" s="1"/>
  <c r="Q138" i="18" a="1"/>
  <c r="Q138" i="18"/>
  <c r="R138" i="18" s="1"/>
  <c r="U138" i="18" s="1"/>
  <c r="Q139" i="18" a="1"/>
  <c r="Q139" i="18" s="1"/>
  <c r="Q140" i="18" a="1"/>
  <c r="Q140" i="18" s="1"/>
  <c r="R140" i="18" s="1"/>
  <c r="U140" i="18" s="1"/>
  <c r="Q141" i="18" a="1"/>
  <c r="Q141" i="18" s="1"/>
  <c r="Q142" i="18" a="1"/>
  <c r="Q142" i="18" s="1"/>
  <c r="Q143" i="18" a="1"/>
  <c r="Q143" i="18"/>
  <c r="R143" i="18" s="1"/>
  <c r="U143" i="18" s="1"/>
  <c r="Q144" i="18" a="1"/>
  <c r="Q144" i="18"/>
  <c r="R144" i="18" s="1"/>
  <c r="U144" i="18" s="1"/>
  <c r="Q145" i="18" a="1"/>
  <c r="Q145" i="18" s="1"/>
  <c r="Q146" i="18" a="1"/>
  <c r="Q146" i="18" s="1"/>
  <c r="R146" i="18" s="1"/>
  <c r="U146" i="18" s="1"/>
  <c r="Q147" i="18" a="1"/>
  <c r="Q147" i="18" s="1"/>
  <c r="Q148" i="18" a="1"/>
  <c r="Q148" i="18" s="1"/>
  <c r="Q149" i="18" a="1"/>
  <c r="Q149" i="18"/>
  <c r="Q150" i="18" a="1"/>
  <c r="Q150" i="18"/>
  <c r="Q151" i="18" a="1"/>
  <c r="Q151" i="18" s="1"/>
  <c r="R5" i="18"/>
  <c r="U5" i="18" s="1"/>
  <c r="R17" i="18"/>
  <c r="U17" i="18" s="1"/>
  <c r="R29" i="18"/>
  <c r="U29" i="18" s="1"/>
  <c r="R47" i="18"/>
  <c r="R53" i="18"/>
  <c r="U53" i="18" s="1"/>
  <c r="R77" i="18"/>
  <c r="U77" i="18" s="1"/>
  <c r="R89" i="18"/>
  <c r="U89" i="18" s="1"/>
  <c r="R107" i="18"/>
  <c r="R149" i="18"/>
  <c r="U149" i="18" s="1"/>
  <c r="S2" i="18" a="1"/>
  <c r="S2" i="18"/>
  <c r="S3" i="18" a="1"/>
  <c r="S3" i="18" s="1"/>
  <c r="S4" i="18" a="1"/>
  <c r="S4" i="18" s="1"/>
  <c r="S5" i="18" a="1"/>
  <c r="S5" i="18" s="1"/>
  <c r="S6" i="18" a="1"/>
  <c r="S6" i="18" s="1"/>
  <c r="S7" i="18" a="1"/>
  <c r="S7" i="18"/>
  <c r="S8" i="18" a="1"/>
  <c r="S8" i="18"/>
  <c r="S9" i="18" a="1"/>
  <c r="S9" i="18" s="1"/>
  <c r="S10" i="18" a="1"/>
  <c r="S10" i="18" s="1"/>
  <c r="S11" i="18" a="1"/>
  <c r="S11" i="18" s="1"/>
  <c r="S12" i="18" a="1"/>
  <c r="S12" i="18" s="1"/>
  <c r="S13" i="18" a="1"/>
  <c r="S13" i="18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/>
  <c r="S30" i="18" a="1"/>
  <c r="S30" i="18"/>
  <c r="S31" i="18" a="1"/>
  <c r="S31" i="18"/>
  <c r="S32" i="18" a="1"/>
  <c r="S32" i="18"/>
  <c r="S33" i="18" a="1"/>
  <c r="S33" i="18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/>
  <c r="S49" i="18" a="1"/>
  <c r="S49" i="18" s="1"/>
  <c r="S50" i="18" a="1"/>
  <c r="S50" i="18" s="1"/>
  <c r="S51" i="18" a="1"/>
  <c r="S51" i="18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/>
  <c r="S60" i="18" a="1"/>
  <c r="S60" i="18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U47" i="18"/>
  <c r="U107" i="18"/>
  <c r="L192" i="17"/>
  <c r="L202" i="17"/>
  <c r="L212" i="17"/>
  <c r="L2" i="17"/>
  <c r="L3" i="17"/>
  <c r="N5" i="17" s="1" a="1"/>
  <c r="N5" i="17" s="1"/>
  <c r="L4" i="17"/>
  <c r="L5" i="17"/>
  <c r="L6" i="17"/>
  <c r="L7" i="17"/>
  <c r="L62" i="17"/>
  <c r="L63" i="17"/>
  <c r="L64" i="17"/>
  <c r="L65" i="17"/>
  <c r="L66" i="17"/>
  <c r="L67" i="17"/>
  <c r="L122" i="17"/>
  <c r="L132" i="17"/>
  <c r="N132" i="17" s="1" a="1"/>
  <c r="N132" i="17" s="1"/>
  <c r="L133" i="17"/>
  <c r="L134" i="17"/>
  <c r="L135" i="17"/>
  <c r="L136" i="17"/>
  <c r="L137" i="17"/>
  <c r="L193" i="17"/>
  <c r="L203" i="17"/>
  <c r="L213" i="17"/>
  <c r="L8" i="17"/>
  <c r="L9" i="17"/>
  <c r="L10" i="17"/>
  <c r="L11" i="17"/>
  <c r="N67" i="17" s="1" a="1"/>
  <c r="N67" i="17" s="1"/>
  <c r="L12" i="17"/>
  <c r="L13" i="17"/>
  <c r="L68" i="17"/>
  <c r="L69" i="17"/>
  <c r="L70" i="17"/>
  <c r="L71" i="17"/>
  <c r="L72" i="17"/>
  <c r="L73" i="17"/>
  <c r="L123" i="17"/>
  <c r="L138" i="17"/>
  <c r="L139" i="17"/>
  <c r="L140" i="17"/>
  <c r="L141" i="17"/>
  <c r="L142" i="17"/>
  <c r="L143" i="17"/>
  <c r="L194" i="17"/>
  <c r="L204" i="17"/>
  <c r="L214" i="17"/>
  <c r="L14" i="17"/>
  <c r="L15" i="17"/>
  <c r="L16" i="17"/>
  <c r="L17" i="17"/>
  <c r="L18" i="17"/>
  <c r="L19" i="17"/>
  <c r="L74" i="17"/>
  <c r="L75" i="17"/>
  <c r="L76" i="17"/>
  <c r="L77" i="17"/>
  <c r="L78" i="17"/>
  <c r="L79" i="17"/>
  <c r="L124" i="17"/>
  <c r="L144" i="17"/>
  <c r="L145" i="17"/>
  <c r="L146" i="17"/>
  <c r="L147" i="17"/>
  <c r="L148" i="17"/>
  <c r="L149" i="17"/>
  <c r="L195" i="17"/>
  <c r="L205" i="17"/>
  <c r="L215" i="17"/>
  <c r="L20" i="17"/>
  <c r="L21" i="17"/>
  <c r="L22" i="17"/>
  <c r="L23" i="17"/>
  <c r="L24" i="17"/>
  <c r="L25" i="17"/>
  <c r="L80" i="17"/>
  <c r="L81" i="17"/>
  <c r="L82" i="17"/>
  <c r="L83" i="17"/>
  <c r="L84" i="17"/>
  <c r="L85" i="17"/>
  <c r="L125" i="17"/>
  <c r="L150" i="17"/>
  <c r="L151" i="17"/>
  <c r="L152" i="17"/>
  <c r="L153" i="17"/>
  <c r="L154" i="17"/>
  <c r="L155" i="17"/>
  <c r="L196" i="17"/>
  <c r="L206" i="17"/>
  <c r="L216" i="17"/>
  <c r="L26" i="17"/>
  <c r="L27" i="17"/>
  <c r="L28" i="17"/>
  <c r="L29" i="17"/>
  <c r="L30" i="17"/>
  <c r="L31" i="17"/>
  <c r="L86" i="17"/>
  <c r="L87" i="17"/>
  <c r="L88" i="17"/>
  <c r="L89" i="17"/>
  <c r="L90" i="17"/>
  <c r="L91" i="17"/>
  <c r="L126" i="17"/>
  <c r="L156" i="17"/>
  <c r="L157" i="17"/>
  <c r="L158" i="17"/>
  <c r="L159" i="17"/>
  <c r="L160" i="17"/>
  <c r="L161" i="17"/>
  <c r="L197" i="17"/>
  <c r="L207" i="17"/>
  <c r="L217" i="17"/>
  <c r="L32" i="17"/>
  <c r="L33" i="17"/>
  <c r="L34" i="17"/>
  <c r="L35" i="17"/>
  <c r="L36" i="17"/>
  <c r="L37" i="17"/>
  <c r="L92" i="17"/>
  <c r="L93" i="17"/>
  <c r="L94" i="17"/>
  <c r="L95" i="17"/>
  <c r="L96" i="17"/>
  <c r="L97" i="17"/>
  <c r="L127" i="17"/>
  <c r="L162" i="17"/>
  <c r="L163" i="17"/>
  <c r="L164" i="17"/>
  <c r="L165" i="17"/>
  <c r="L166" i="17"/>
  <c r="L167" i="17"/>
  <c r="L198" i="17"/>
  <c r="L208" i="17"/>
  <c r="L218" i="17"/>
  <c r="L38" i="17"/>
  <c r="L39" i="17"/>
  <c r="L40" i="17"/>
  <c r="L41" i="17"/>
  <c r="L42" i="17"/>
  <c r="L43" i="17"/>
  <c r="L98" i="17"/>
  <c r="L99" i="17"/>
  <c r="L100" i="17"/>
  <c r="L101" i="17"/>
  <c r="L102" i="17"/>
  <c r="L103" i="17"/>
  <c r="L128" i="17"/>
  <c r="L168" i="17"/>
  <c r="L169" i="17"/>
  <c r="L170" i="17"/>
  <c r="L171" i="17"/>
  <c r="L172" i="17"/>
  <c r="L173" i="17"/>
  <c r="L199" i="17"/>
  <c r="L209" i="17"/>
  <c r="L219" i="17"/>
  <c r="L44" i="17"/>
  <c r="L45" i="17"/>
  <c r="L46" i="17"/>
  <c r="L47" i="17"/>
  <c r="L48" i="17"/>
  <c r="L49" i="17"/>
  <c r="L104" i="17"/>
  <c r="L105" i="17"/>
  <c r="L106" i="17"/>
  <c r="L107" i="17"/>
  <c r="L108" i="17"/>
  <c r="L109" i="17"/>
  <c r="L129" i="17"/>
  <c r="L174" i="17"/>
  <c r="L175" i="17"/>
  <c r="L176" i="17"/>
  <c r="L177" i="17"/>
  <c r="L178" i="17"/>
  <c r="L179" i="17"/>
  <c r="L200" i="17"/>
  <c r="L210" i="17"/>
  <c r="L220" i="17"/>
  <c r="L50" i="17"/>
  <c r="L51" i="17"/>
  <c r="L52" i="17"/>
  <c r="L53" i="17"/>
  <c r="L54" i="17"/>
  <c r="L55" i="17"/>
  <c r="L110" i="17"/>
  <c r="L111" i="17"/>
  <c r="L112" i="17"/>
  <c r="L113" i="17"/>
  <c r="L114" i="17"/>
  <c r="L115" i="17"/>
  <c r="L130" i="17"/>
  <c r="L180" i="17"/>
  <c r="L181" i="17"/>
  <c r="L182" i="17"/>
  <c r="L183" i="17"/>
  <c r="L184" i="17"/>
  <c r="L185" i="17"/>
  <c r="L201" i="17"/>
  <c r="L211" i="17"/>
  <c r="L221" i="17"/>
  <c r="L56" i="17"/>
  <c r="L57" i="17"/>
  <c r="L58" i="17"/>
  <c r="L59" i="17"/>
  <c r="L60" i="17"/>
  <c r="L61" i="17"/>
  <c r="L116" i="17"/>
  <c r="L117" i="17"/>
  <c r="L118" i="17"/>
  <c r="L119" i="17"/>
  <c r="L120" i="17"/>
  <c r="L121" i="17"/>
  <c r="L131" i="17"/>
  <c r="L186" i="17"/>
  <c r="L187" i="17"/>
  <c r="L188" i="17"/>
  <c r="L189" i="17"/>
  <c r="L190" i="17"/>
  <c r="L191" i="17"/>
  <c r="M192" i="17" a="1"/>
  <c r="M192" i="17" s="1"/>
  <c r="M202" i="17" a="1"/>
  <c r="M202" i="17" s="1"/>
  <c r="M212" i="17" a="1"/>
  <c r="M212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62" i="17" a="1"/>
  <c r="M62" i="17" s="1"/>
  <c r="M63" i="17" a="1"/>
  <c r="M63" i="17" s="1"/>
  <c r="M64" i="17" a="1"/>
  <c r="M64" i="17" s="1"/>
  <c r="M65" i="17" a="1"/>
  <c r="M65" i="17"/>
  <c r="M66" i="17" a="1"/>
  <c r="M66" i="17" s="1"/>
  <c r="M67" i="17" a="1"/>
  <c r="M67" i="17" s="1"/>
  <c r="Y67" i="17" s="1"/>
  <c r="Q67" i="17" s="1"/>
  <c r="W67" i="17" s="1"/>
  <c r="M122" i="17" a="1"/>
  <c r="M122" i="17" s="1"/>
  <c r="M132" i="17" a="1"/>
  <c r="M132" i="17" s="1"/>
  <c r="M133" i="17" a="1"/>
  <c r="M133" i="17" s="1"/>
  <c r="M134" i="17" a="1"/>
  <c r="M134" i="17"/>
  <c r="M135" i="17" a="1"/>
  <c r="M135" i="17" s="1"/>
  <c r="M136" i="17" a="1"/>
  <c r="M136" i="17" s="1"/>
  <c r="M137" i="17" a="1"/>
  <c r="M137" i="17" s="1"/>
  <c r="M193" i="17" a="1"/>
  <c r="M193" i="17"/>
  <c r="M203" i="17" a="1"/>
  <c r="M203" i="17" s="1"/>
  <c r="M213" i="17" a="1"/>
  <c r="M213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Y13" i="17" s="1"/>
  <c r="Q13" i="17" s="1"/>
  <c r="W13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23" i="17" a="1"/>
  <c r="M123" i="17" s="1"/>
  <c r="M138" i="17" a="1"/>
  <c r="M138" i="17" s="1"/>
  <c r="M139" i="17" a="1"/>
  <c r="M139" i="17" s="1"/>
  <c r="M140" i="17" a="1"/>
  <c r="M140" i="17" s="1"/>
  <c r="M141" i="17" a="1"/>
  <c r="M141" i="17" s="1"/>
  <c r="M142" i="17" a="1"/>
  <c r="M142" i="17" s="1"/>
  <c r="Y142" i="17" s="1"/>
  <c r="Q142" i="17" s="1"/>
  <c r="W142" i="17" s="1"/>
  <c r="M143" i="17" a="1"/>
  <c r="M143" i="17" s="1"/>
  <c r="M194" i="17" a="1"/>
  <c r="M194" i="17"/>
  <c r="M204" i="17" a="1"/>
  <c r="M204" i="17" s="1"/>
  <c r="M214" i="17" a="1"/>
  <c r="M214" i="17"/>
  <c r="M14" i="17" a="1"/>
  <c r="M14" i="17"/>
  <c r="M15" i="17" a="1"/>
  <c r="M15" i="17" s="1"/>
  <c r="Y15" i="17" s="1"/>
  <c r="Q15" i="17" s="1"/>
  <c r="W15" i="17" s="1"/>
  <c r="M16" i="17" a="1"/>
  <c r="M16" i="17" s="1"/>
  <c r="M17" i="17" a="1"/>
  <c r="M17" i="17" s="1"/>
  <c r="M18" i="17" a="1"/>
  <c r="M18" i="17" s="1"/>
  <c r="M19" i="17" a="1"/>
  <c r="M19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/>
  <c r="M124" i="17" a="1"/>
  <c r="M124" i="17" s="1"/>
  <c r="M144" i="17" a="1"/>
  <c r="M144" i="17" s="1"/>
  <c r="Y144" i="17" s="1"/>
  <c r="Q144" i="17" s="1"/>
  <c r="W144" i="17" s="1"/>
  <c r="M145" i="17" a="1"/>
  <c r="M145" i="17" s="1"/>
  <c r="M146" i="17" a="1"/>
  <c r="M146" i="17" s="1"/>
  <c r="M147" i="17" a="1"/>
  <c r="M147" i="17" s="1"/>
  <c r="M148" i="17" a="1"/>
  <c r="M148" i="17"/>
  <c r="M149" i="17" a="1"/>
  <c r="M149" i="17" s="1"/>
  <c r="M195" i="17" a="1"/>
  <c r="M195" i="17" s="1"/>
  <c r="M205" i="17" a="1"/>
  <c r="M205" i="17" s="1"/>
  <c r="M215" i="17" a="1"/>
  <c r="M215" i="17"/>
  <c r="M20" i="17" a="1"/>
  <c r="M20" i="17" s="1"/>
  <c r="M21" i="17" a="1"/>
  <c r="M21" i="17" s="1"/>
  <c r="M22" i="17" a="1"/>
  <c r="M22" i="17"/>
  <c r="M23" i="17" a="1"/>
  <c r="M23" i="17" s="1"/>
  <c r="Y23" i="17" s="1"/>
  <c r="Q23" i="17" s="1"/>
  <c r="W23" i="17" s="1"/>
  <c r="M24" i="17" a="1"/>
  <c r="M24" i="17" s="1"/>
  <c r="M25" i="17" a="1"/>
  <c r="M25" i="17" s="1"/>
  <c r="M80" i="17" a="1"/>
  <c r="M80" i="17" s="1"/>
  <c r="M81" i="17" a="1"/>
  <c r="M81" i="17"/>
  <c r="M82" i="17" a="1"/>
  <c r="M82" i="17" s="1"/>
  <c r="M83" i="17" a="1"/>
  <c r="M83" i="17" s="1"/>
  <c r="M84" i="17" a="1"/>
  <c r="M84" i="17" s="1"/>
  <c r="M85" i="17" a="1"/>
  <c r="M85" i="17" s="1"/>
  <c r="M125" i="17" a="1"/>
  <c r="M125" i="17" s="1"/>
  <c r="M150" i="17" a="1"/>
  <c r="M150" i="17" s="1"/>
  <c r="M151" i="17" a="1"/>
  <c r="M151" i="17" s="1"/>
  <c r="M152" i="17" a="1"/>
  <c r="M152" i="17"/>
  <c r="M153" i="17" a="1"/>
  <c r="M153" i="17" s="1"/>
  <c r="M154" i="17" a="1"/>
  <c r="M154" i="17" s="1"/>
  <c r="Y154" i="17" s="1"/>
  <c r="Q154" i="17" s="1"/>
  <c r="W154" i="17" s="1"/>
  <c r="M155" i="17" a="1"/>
  <c r="M155" i="17" s="1"/>
  <c r="M196" i="17" a="1"/>
  <c r="M196" i="17"/>
  <c r="M206" i="17" a="1"/>
  <c r="M206" i="17" s="1"/>
  <c r="M216" i="17" a="1"/>
  <c r="M216" i="17"/>
  <c r="M26" i="17" a="1"/>
  <c r="M26" i="17" s="1"/>
  <c r="M27" i="17" a="1"/>
  <c r="M27" i="17" s="1"/>
  <c r="M28" i="17" a="1"/>
  <c r="M28" i="17" s="1"/>
  <c r="M29" i="17" a="1"/>
  <c r="M29" i="17"/>
  <c r="M30" i="17" a="1"/>
  <c r="M30" i="17" s="1"/>
  <c r="M31" i="17" a="1"/>
  <c r="M31" i="17" s="1"/>
  <c r="Y31" i="17" s="1"/>
  <c r="Q31" i="17" s="1"/>
  <c r="W31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26" i="17" a="1"/>
  <c r="M126" i="17"/>
  <c r="M156" i="17" a="1"/>
  <c r="M156" i="17" s="1"/>
  <c r="M157" i="17" a="1"/>
  <c r="M157" i="17" s="1"/>
  <c r="M158" i="17" a="1"/>
  <c r="M158" i="17"/>
  <c r="M159" i="17" a="1"/>
  <c r="M159" i="17" s="1"/>
  <c r="M160" i="17" a="1"/>
  <c r="M160" i="17" s="1"/>
  <c r="M161" i="17" a="1"/>
  <c r="M161" i="17"/>
  <c r="M197" i="17" a="1"/>
  <c r="M197" i="17" s="1"/>
  <c r="M207" i="17" a="1"/>
  <c r="M207" i="17" s="1"/>
  <c r="M217" i="17" a="1"/>
  <c r="M217" i="17" s="1"/>
  <c r="M32" i="17" a="1"/>
  <c r="M32" i="17" s="1"/>
  <c r="M33" i="17" a="1"/>
  <c r="M33" i="17"/>
  <c r="M34" i="17" a="1"/>
  <c r="M34" i="17" s="1"/>
  <c r="Y34" i="17" s="1"/>
  <c r="Q34" i="17" s="1"/>
  <c r="W34" i="17" s="1"/>
  <c r="M35" i="17" a="1"/>
  <c r="M35" i="17" s="1"/>
  <c r="M36" i="17" a="1"/>
  <c r="M36" i="17" s="1"/>
  <c r="M37" i="17" a="1"/>
  <c r="M37" i="17"/>
  <c r="M92" i="17" a="1"/>
  <c r="M92" i="17"/>
  <c r="M93" i="17" a="1"/>
  <c r="M93" i="17" s="1"/>
  <c r="M94" i="17" a="1"/>
  <c r="M94" i="17" s="1"/>
  <c r="M95" i="17" a="1"/>
  <c r="M95" i="17"/>
  <c r="M96" i="17" a="1"/>
  <c r="M96" i="17" s="1"/>
  <c r="M97" i="17" a="1"/>
  <c r="M97" i="17" s="1"/>
  <c r="M127" i="17" a="1"/>
  <c r="M127" i="17" s="1"/>
  <c r="M162" i="17" a="1"/>
  <c r="M162" i="17" s="1"/>
  <c r="M163" i="17" a="1"/>
  <c r="M163" i="17"/>
  <c r="M164" i="17" a="1"/>
  <c r="M164" i="17" s="1"/>
  <c r="M165" i="17" a="1"/>
  <c r="M165" i="17" s="1"/>
  <c r="M166" i="17" a="1"/>
  <c r="M166" i="17"/>
  <c r="M167" i="17" a="1"/>
  <c r="M167" i="17"/>
  <c r="M198" i="17" a="1"/>
  <c r="M198" i="17" s="1"/>
  <c r="Y198" i="17" s="1"/>
  <c r="M208" i="17" a="1"/>
  <c r="M208" i="17" s="1"/>
  <c r="M218" i="17" a="1"/>
  <c r="M218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98" i="17" a="1"/>
  <c r="M98" i="17" s="1"/>
  <c r="M99" i="17" a="1"/>
  <c r="M99" i="17" s="1"/>
  <c r="Y99" i="17" s="1"/>
  <c r="Q99" i="17" s="1"/>
  <c r="W99" i="17" s="1"/>
  <c r="M100" i="17" a="1"/>
  <c r="M100" i="17" s="1"/>
  <c r="M101" i="17" a="1"/>
  <c r="M101" i="17" s="1"/>
  <c r="M102" i="17" a="1"/>
  <c r="M102" i="17" s="1"/>
  <c r="M103" i="17" a="1"/>
  <c r="M103" i="17"/>
  <c r="M128" i="17" a="1"/>
  <c r="M128" i="17" s="1"/>
  <c r="M168" i="17" a="1"/>
  <c r="M168" i="17" s="1"/>
  <c r="M169" i="17" a="1"/>
  <c r="M169" i="17" s="1"/>
  <c r="M170" i="17" a="1"/>
  <c r="M170" i="17" s="1"/>
  <c r="M171" i="17" a="1"/>
  <c r="M171" i="17" s="1"/>
  <c r="M172" i="17" a="1"/>
  <c r="M172" i="17" s="1"/>
  <c r="M173" i="17" a="1"/>
  <c r="M173" i="17" s="1"/>
  <c r="M199" i="17" a="1"/>
  <c r="M199" i="17" s="1"/>
  <c r="M209" i="17" a="1"/>
  <c r="M209" i="17" s="1"/>
  <c r="M219" i="17" a="1"/>
  <c r="M219" i="17" s="1"/>
  <c r="Y219" i="17" s="1"/>
  <c r="M44" i="17" a="1"/>
  <c r="M44" i="17" s="1"/>
  <c r="M45" i="17" a="1"/>
  <c r="M45" i="17" s="1"/>
  <c r="M46" i="17" a="1"/>
  <c r="M46" i="17" s="1"/>
  <c r="M47" i="17" a="1"/>
  <c r="M47" i="17" s="1"/>
  <c r="Y47" i="17" s="1"/>
  <c r="Q47" i="17" s="1"/>
  <c r="W47" i="17" s="1"/>
  <c r="M48" i="17" a="1"/>
  <c r="M48" i="17" s="1"/>
  <c r="M49" i="17" a="1"/>
  <c r="M49" i="17" s="1"/>
  <c r="M104" i="17" a="1"/>
  <c r="M104" i="17" s="1"/>
  <c r="M105" i="17" a="1"/>
  <c r="M105" i="17" s="1"/>
  <c r="M106" i="17" a="1"/>
  <c r="M106" i="17" s="1"/>
  <c r="M107" i="17" a="1"/>
  <c r="M107" i="17"/>
  <c r="M108" i="17" a="1"/>
  <c r="M108" i="17" s="1"/>
  <c r="M109" i="17" a="1"/>
  <c r="M109" i="17"/>
  <c r="M129" i="17" a="1"/>
  <c r="M129" i="17"/>
  <c r="M174" i="17" a="1"/>
  <c r="M174" i="17" s="1"/>
  <c r="M175" i="17" a="1"/>
  <c r="M175" i="17" s="1"/>
  <c r="M176" i="17" a="1"/>
  <c r="M176" i="17" s="1"/>
  <c r="M177" i="17" a="1"/>
  <c r="M177" i="17"/>
  <c r="M178" i="17" a="1"/>
  <c r="M178" i="17"/>
  <c r="M179" i="17" a="1"/>
  <c r="M179" i="17" s="1"/>
  <c r="M200" i="17" a="1"/>
  <c r="M200" i="17" s="1"/>
  <c r="M210" i="17" a="1"/>
  <c r="M210" i="17" s="1"/>
  <c r="M220" i="17" a="1"/>
  <c r="M220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10" i="17" a="1"/>
  <c r="M110" i="17" s="1"/>
  <c r="M111" i="17" a="1"/>
  <c r="M111" i="17" s="1"/>
  <c r="M112" i="17" a="1"/>
  <c r="M112" i="17" s="1"/>
  <c r="M113" i="17" a="1"/>
  <c r="M113" i="17"/>
  <c r="M114" i="17" a="1"/>
  <c r="M114" i="17" s="1"/>
  <c r="M115" i="17" a="1"/>
  <c r="M115" i="17" s="1"/>
  <c r="M130" i="17" a="1"/>
  <c r="M130" i="17" s="1"/>
  <c r="M180" i="17" a="1"/>
  <c r="M180" i="17" s="1"/>
  <c r="Y180" i="17" s="1"/>
  <c r="Q180" i="17" s="1"/>
  <c r="W180" i="17" s="1"/>
  <c r="M181" i="17" a="1"/>
  <c r="M181" i="17" s="1"/>
  <c r="M182" i="17" a="1"/>
  <c r="M182" i="17" s="1"/>
  <c r="M183" i="17" a="1"/>
  <c r="M183" i="17" s="1"/>
  <c r="M184" i="17" a="1"/>
  <c r="M184" i="17" s="1"/>
  <c r="M185" i="17" a="1"/>
  <c r="M185" i="17" s="1"/>
  <c r="M201" i="17" a="1"/>
  <c r="M201" i="17" s="1"/>
  <c r="M211" i="17" a="1"/>
  <c r="M211" i="17" s="1"/>
  <c r="M221" i="17" a="1"/>
  <c r="M221" i="17" s="1"/>
  <c r="M56" i="17" a="1"/>
  <c r="M56" i="17" s="1"/>
  <c r="M57" i="17" a="1"/>
  <c r="M57" i="17"/>
  <c r="M58" i="17" a="1"/>
  <c r="M58" i="17" s="1"/>
  <c r="M59" i="17" a="1"/>
  <c r="M59" i="17" s="1"/>
  <c r="M60" i="17" a="1"/>
  <c r="M60" i="17" s="1"/>
  <c r="M61" i="17" a="1"/>
  <c r="M61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131" i="17" a="1"/>
  <c r="M131" i="17" s="1"/>
  <c r="M186" i="17" a="1"/>
  <c r="M186" i="17" s="1"/>
  <c r="M187" i="17" a="1"/>
  <c r="M187" i="17"/>
  <c r="M188" i="17" a="1"/>
  <c r="M188" i="17"/>
  <c r="M189" i="17" a="1"/>
  <c r="M189" i="17"/>
  <c r="M190" i="17" a="1"/>
  <c r="M190" i="17"/>
  <c r="M191" i="17" a="1"/>
  <c r="M191" i="17" s="1"/>
  <c r="N133" i="17" a="1"/>
  <c r="N133" i="17" s="1"/>
  <c r="N136" i="17" a="1"/>
  <c r="N136" i="17" s="1"/>
  <c r="N193" i="17" a="1"/>
  <c r="N193" i="17" s="1"/>
  <c r="N203" i="17" a="1"/>
  <c r="N203" i="17" s="1"/>
  <c r="N213" i="17" a="1"/>
  <c r="N213" i="17" s="1"/>
  <c r="N8" i="17" a="1"/>
  <c r="N8" i="17" s="1"/>
  <c r="N11" i="17" a="1"/>
  <c r="N11" i="17" s="1"/>
  <c r="N12" i="17" a="1"/>
  <c r="N12" i="17" s="1"/>
  <c r="N13" i="17" a="1"/>
  <c r="N13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123" i="17" a="1"/>
  <c r="N123" i="17" s="1"/>
  <c r="N138" i="17" a="1"/>
  <c r="N138" i="17" s="1"/>
  <c r="N139" i="17" a="1"/>
  <c r="N139" i="17" s="1"/>
  <c r="N140" i="17" a="1"/>
  <c r="N140" i="17" s="1"/>
  <c r="N141" i="17" a="1"/>
  <c r="N141" i="17" s="1"/>
  <c r="N142" i="17" a="1"/>
  <c r="N142" i="17" s="1"/>
  <c r="N143" i="17" a="1"/>
  <c r="N143" i="17" s="1"/>
  <c r="N194" i="17" a="1"/>
  <c r="N194" i="17" s="1"/>
  <c r="N204" i="17" a="1"/>
  <c r="N204" i="17" s="1"/>
  <c r="N214" i="17" a="1"/>
  <c r="N214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124" i="17" a="1"/>
  <c r="N124" i="17" s="1"/>
  <c r="N144" i="17" a="1"/>
  <c r="N144" i="17" s="1"/>
  <c r="N145" i="17" a="1"/>
  <c r="N145" i="17" s="1"/>
  <c r="N146" i="17" a="1"/>
  <c r="N146" i="17" s="1"/>
  <c r="N147" i="17" a="1"/>
  <c r="N147" i="17" s="1"/>
  <c r="N148" i="17" a="1"/>
  <c r="N148" i="17" s="1"/>
  <c r="N149" i="17" a="1"/>
  <c r="N149" i="17" s="1"/>
  <c r="N195" i="17" a="1"/>
  <c r="N195" i="17" s="1"/>
  <c r="N205" i="17" a="1"/>
  <c r="N205" i="17" s="1"/>
  <c r="N215" i="17" a="1"/>
  <c r="N215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125" i="17" a="1"/>
  <c r="N125" i="17" s="1"/>
  <c r="N150" i="17" a="1"/>
  <c r="N150" i="17" s="1"/>
  <c r="N151" i="17" a="1"/>
  <c r="N151" i="17" s="1"/>
  <c r="N152" i="17" a="1"/>
  <c r="N152" i="17" s="1"/>
  <c r="N153" i="17" a="1"/>
  <c r="N153" i="17" s="1"/>
  <c r="N154" i="17" a="1"/>
  <c r="N154" i="17" s="1"/>
  <c r="N155" i="17" a="1"/>
  <c r="N155" i="17" s="1"/>
  <c r="N196" i="17" a="1"/>
  <c r="N196" i="17" s="1"/>
  <c r="N206" i="17" a="1"/>
  <c r="N206" i="17" s="1"/>
  <c r="N216" i="17" a="1"/>
  <c r="N216" i="17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126" i="17" a="1"/>
  <c r="N126" i="17" s="1"/>
  <c r="N156" i="17" a="1"/>
  <c r="N156" i="17" s="1"/>
  <c r="N157" i="17" a="1"/>
  <c r="N157" i="17" s="1"/>
  <c r="N158" i="17" a="1"/>
  <c r="N158" i="17" s="1"/>
  <c r="N159" i="17" a="1"/>
  <c r="N159" i="17" s="1"/>
  <c r="N160" i="17" a="1"/>
  <c r="N160" i="17" s="1"/>
  <c r="N161" i="17" a="1"/>
  <c r="N161" i="17" s="1"/>
  <c r="N197" i="17" a="1"/>
  <c r="N197" i="17" s="1"/>
  <c r="N207" i="17" a="1"/>
  <c r="N207" i="17" s="1"/>
  <c r="N217" i="17" a="1"/>
  <c r="N217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127" i="17" a="1"/>
  <c r="N127" i="17" s="1"/>
  <c r="N162" i="17" a="1"/>
  <c r="N162" i="17" s="1"/>
  <c r="N163" i="17" a="1"/>
  <c r="N163" i="17" s="1"/>
  <c r="N164" i="17" a="1"/>
  <c r="N164" i="17" s="1"/>
  <c r="N165" i="17" a="1"/>
  <c r="N165" i="17" s="1"/>
  <c r="N166" i="17" a="1"/>
  <c r="N166" i="17" s="1"/>
  <c r="N167" i="17" a="1"/>
  <c r="N167" i="17" s="1"/>
  <c r="N198" i="17" a="1"/>
  <c r="N198" i="17" s="1"/>
  <c r="N208" i="17" a="1"/>
  <c r="N208" i="17" s="1"/>
  <c r="N218" i="17" a="1"/>
  <c r="N218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128" i="17" a="1"/>
  <c r="N128" i="17" s="1"/>
  <c r="N168" i="17" a="1"/>
  <c r="N168" i="17" s="1"/>
  <c r="N169" i="17" a="1"/>
  <c r="N169" i="17" s="1"/>
  <c r="N170" i="17" a="1"/>
  <c r="N170" i="17" s="1"/>
  <c r="N171" i="17" a="1"/>
  <c r="N171" i="17" s="1"/>
  <c r="N172" i="17" a="1"/>
  <c r="N172" i="17" s="1"/>
  <c r="N173" i="17" a="1"/>
  <c r="N173" i="17" s="1"/>
  <c r="N199" i="17" a="1"/>
  <c r="N199" i="17" s="1"/>
  <c r="N209" i="17" a="1"/>
  <c r="N209" i="17" s="1"/>
  <c r="N219" i="17" a="1"/>
  <c r="N219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129" i="17" a="1"/>
  <c r="N129" i="17" s="1"/>
  <c r="N174" i="17" a="1"/>
  <c r="N174" i="17" s="1"/>
  <c r="N175" i="17" a="1"/>
  <c r="N175" i="17" s="1"/>
  <c r="N176" i="17" a="1"/>
  <c r="N176" i="17" s="1"/>
  <c r="N177" i="17" a="1"/>
  <c r="N177" i="17" s="1"/>
  <c r="N178" i="17" a="1"/>
  <c r="N178" i="17" s="1"/>
  <c r="N179" i="17" a="1"/>
  <c r="N179" i="17" s="1"/>
  <c r="N200" i="17" a="1"/>
  <c r="N200" i="17" s="1"/>
  <c r="N210" i="17" a="1"/>
  <c r="N210" i="17" s="1"/>
  <c r="N220" i="17" a="1"/>
  <c r="N220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110" i="17" a="1"/>
  <c r="N110" i="17" s="1"/>
  <c r="N111" i="17" a="1"/>
  <c r="N111" i="17" s="1"/>
  <c r="N112" i="17" a="1"/>
  <c r="N112" i="17" s="1"/>
  <c r="N113" i="17" a="1"/>
  <c r="N113" i="17"/>
  <c r="N114" i="17" a="1"/>
  <c r="N114" i="17" s="1"/>
  <c r="N115" i="17" a="1"/>
  <c r="N115" i="17" s="1"/>
  <c r="N130" i="17" a="1"/>
  <c r="N130" i="17" s="1"/>
  <c r="N180" i="17" a="1"/>
  <c r="N180" i="17" s="1"/>
  <c r="N181" i="17" a="1"/>
  <c r="N181" i="17" s="1"/>
  <c r="N182" i="17" a="1"/>
  <c r="N182" i="17" s="1"/>
  <c r="N183" i="17" a="1"/>
  <c r="N183" i="17" s="1"/>
  <c r="N184" i="17" a="1"/>
  <c r="N184" i="17" s="1"/>
  <c r="N185" i="17" a="1"/>
  <c r="N185" i="17" s="1"/>
  <c r="N201" i="17" a="1"/>
  <c r="N201" i="17" s="1"/>
  <c r="N211" i="17" a="1"/>
  <c r="N211" i="17"/>
  <c r="N221" i="17" a="1"/>
  <c r="N221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131" i="17" a="1"/>
  <c r="N131" i="17" s="1"/>
  <c r="N186" i="17" a="1"/>
  <c r="N186" i="17" s="1"/>
  <c r="N187" i="17" a="1"/>
  <c r="N187" i="17" s="1"/>
  <c r="N188" i="17" a="1"/>
  <c r="N188" i="17" s="1"/>
  <c r="N189" i="17" a="1"/>
  <c r="N189" i="17" s="1"/>
  <c r="N190" i="17" a="1"/>
  <c r="N190" i="17" s="1"/>
  <c r="N191" i="17" a="1"/>
  <c r="N191" i="17" s="1"/>
  <c r="O192" i="17" a="1"/>
  <c r="O192" i="17" s="1"/>
  <c r="O202" i="17" a="1"/>
  <c r="O202" i="17" s="1"/>
  <c r="O212" i="17" a="1"/>
  <c r="O212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122" i="17" a="1"/>
  <c r="O122" i="17" s="1"/>
  <c r="O132" i="17" a="1"/>
  <c r="O132" i="17" s="1"/>
  <c r="O133" i="17" a="1"/>
  <c r="O133" i="17" s="1"/>
  <c r="O134" i="17" a="1"/>
  <c r="O134" i="17" s="1"/>
  <c r="O135" i="17" a="1"/>
  <c r="O135" i="17" s="1"/>
  <c r="O136" i="17" a="1"/>
  <c r="O136" i="17" s="1"/>
  <c r="O137" i="17" a="1"/>
  <c r="O137" i="17" s="1"/>
  <c r="O193" i="17" a="1"/>
  <c r="O193" i="17" s="1"/>
  <c r="O203" i="17" a="1"/>
  <c r="O203" i="17" s="1"/>
  <c r="O213" i="17" a="1"/>
  <c r="O213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123" i="17" a="1"/>
  <c r="O123" i="17" s="1"/>
  <c r="O138" i="17" a="1"/>
  <c r="O138" i="17" s="1"/>
  <c r="O139" i="17" a="1"/>
  <c r="O139" i="17" s="1"/>
  <c r="O140" i="17" a="1"/>
  <c r="O140" i="17" s="1"/>
  <c r="O141" i="17" a="1"/>
  <c r="O141" i="17" s="1"/>
  <c r="O142" i="17" a="1"/>
  <c r="O142" i="17" s="1"/>
  <c r="O143" i="17" a="1"/>
  <c r="O143" i="17" s="1"/>
  <c r="O194" i="17" a="1"/>
  <c r="O194" i="17" s="1"/>
  <c r="O204" i="17" a="1"/>
  <c r="O204" i="17" s="1"/>
  <c r="O214" i="17" a="1"/>
  <c r="O214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124" i="17" a="1"/>
  <c r="O124" i="17" s="1"/>
  <c r="O144" i="17" a="1"/>
  <c r="O144" i="17" s="1"/>
  <c r="O145" i="17" a="1"/>
  <c r="O145" i="17" s="1"/>
  <c r="O146" i="17" a="1"/>
  <c r="O146" i="17" s="1"/>
  <c r="O147" i="17" a="1"/>
  <c r="O147" i="17"/>
  <c r="O148" i="17" a="1"/>
  <c r="O148" i="17" s="1"/>
  <c r="O149" i="17" a="1"/>
  <c r="O149" i="17" s="1"/>
  <c r="O195" i="17" a="1"/>
  <c r="O195" i="17" s="1"/>
  <c r="O205" i="17" a="1"/>
  <c r="O205" i="17" s="1"/>
  <c r="O215" i="17" a="1"/>
  <c r="O215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125" i="17" a="1"/>
  <c r="O125" i="17" s="1"/>
  <c r="O150" i="17" a="1"/>
  <c r="O150" i="17" s="1"/>
  <c r="O151" i="17" a="1"/>
  <c r="O151" i="17" s="1"/>
  <c r="O152" i="17" a="1"/>
  <c r="O152" i="17" s="1"/>
  <c r="O153" i="17" a="1"/>
  <c r="O153" i="17" s="1"/>
  <c r="O154" i="17" a="1"/>
  <c r="O154" i="17" s="1"/>
  <c r="O155" i="17" a="1"/>
  <c r="O155" i="17" s="1"/>
  <c r="O196" i="17" a="1"/>
  <c r="O196" i="17" s="1"/>
  <c r="O206" i="17" a="1"/>
  <c r="O206" i="17" s="1"/>
  <c r="O216" i="17" a="1"/>
  <c r="O216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/>
  <c r="O91" i="17" a="1"/>
  <c r="O91" i="17" s="1"/>
  <c r="O126" i="17" a="1"/>
  <c r="O126" i="17" s="1"/>
  <c r="O156" i="17" a="1"/>
  <c r="O156" i="17" s="1"/>
  <c r="O157" i="17" a="1"/>
  <c r="O157" i="17" s="1"/>
  <c r="O158" i="17" a="1"/>
  <c r="O158" i="17" s="1"/>
  <c r="O159" i="17" a="1"/>
  <c r="O159" i="17" s="1"/>
  <c r="O160" i="17" a="1"/>
  <c r="O160" i="17" s="1"/>
  <c r="O161" i="17" a="1"/>
  <c r="O161" i="17" s="1"/>
  <c r="O197" i="17" a="1"/>
  <c r="O197" i="17" s="1"/>
  <c r="O207" i="17" a="1"/>
  <c r="O207" i="17" s="1"/>
  <c r="O217" i="17" a="1"/>
  <c r="O217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127" i="17" a="1"/>
  <c r="O127" i="17"/>
  <c r="O162" i="17" a="1"/>
  <c r="O162" i="17" s="1"/>
  <c r="O163" i="17" a="1"/>
  <c r="O163" i="17" s="1"/>
  <c r="O164" i="17" a="1"/>
  <c r="O164" i="17" s="1"/>
  <c r="O165" i="17" a="1"/>
  <c r="O165" i="17" s="1"/>
  <c r="O166" i="17" a="1"/>
  <c r="O166" i="17" s="1"/>
  <c r="O167" i="17" a="1"/>
  <c r="O167" i="17" s="1"/>
  <c r="O198" i="17" a="1"/>
  <c r="O198" i="17" s="1"/>
  <c r="O208" i="17" a="1"/>
  <c r="O208" i="17" s="1"/>
  <c r="O218" i="17" a="1"/>
  <c r="O218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128" i="17" a="1"/>
  <c r="O128" i="17" s="1"/>
  <c r="O168" i="17" a="1"/>
  <c r="O168" i="17" s="1"/>
  <c r="O169" i="17" a="1"/>
  <c r="O169" i="17" s="1"/>
  <c r="O170" i="17" a="1"/>
  <c r="O170" i="17" s="1"/>
  <c r="O171" i="17" a="1"/>
  <c r="O171" i="17" s="1"/>
  <c r="O172" i="17" a="1"/>
  <c r="O172" i="17" s="1"/>
  <c r="O173" i="17" a="1"/>
  <c r="O173" i="17" s="1"/>
  <c r="O199" i="17" a="1"/>
  <c r="O199" i="17" s="1"/>
  <c r="O209" i="17" a="1"/>
  <c r="O209" i="17" s="1"/>
  <c r="O219" i="17" a="1"/>
  <c r="O219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29" i="17" a="1"/>
  <c r="O129" i="17" s="1"/>
  <c r="O174" i="17" a="1"/>
  <c r="O174" i="17" s="1"/>
  <c r="O175" i="17" a="1"/>
  <c r="O175" i="17" s="1"/>
  <c r="O176" i="17" a="1"/>
  <c r="O176" i="17" s="1"/>
  <c r="O177" i="17" a="1"/>
  <c r="O177" i="17" s="1"/>
  <c r="O178" i="17" a="1"/>
  <c r="O178" i="17" s="1"/>
  <c r="O179" i="17" a="1"/>
  <c r="O179" i="17" s="1"/>
  <c r="O200" i="17" a="1"/>
  <c r="O200" i="17" s="1"/>
  <c r="O210" i="17" a="1"/>
  <c r="O210" i="17" s="1"/>
  <c r="O220" i="17" a="1"/>
  <c r="O220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130" i="17" a="1"/>
  <c r="O130" i="17" s="1"/>
  <c r="O180" i="17" a="1"/>
  <c r="O180" i="17" s="1"/>
  <c r="O181" i="17" a="1"/>
  <c r="O181" i="17" s="1"/>
  <c r="O182" i="17" a="1"/>
  <c r="O182" i="17" s="1"/>
  <c r="O183" i="17" a="1"/>
  <c r="O183" i="17" s="1"/>
  <c r="O184" i="17" a="1"/>
  <c r="O184" i="17" s="1"/>
  <c r="O185" i="17" a="1"/>
  <c r="O185" i="17" s="1"/>
  <c r="O201" i="17" a="1"/>
  <c r="O201" i="17" s="1"/>
  <c r="O211" i="17" a="1"/>
  <c r="O211" i="17" s="1"/>
  <c r="O221" i="17" a="1"/>
  <c r="O221" i="17" s="1"/>
  <c r="O56" i="17" a="1"/>
  <c r="O56" i="17" s="1"/>
  <c r="O57" i="17" a="1"/>
  <c r="O57" i="17" s="1"/>
  <c r="O58" i="17" a="1"/>
  <c r="O58" i="17"/>
  <c r="O59" i="17" a="1"/>
  <c r="O59" i="17" s="1"/>
  <c r="O60" i="17" a="1"/>
  <c r="O60" i="17" s="1"/>
  <c r="O61" i="17" a="1"/>
  <c r="O61" i="17" s="1"/>
  <c r="O116" i="17" a="1"/>
  <c r="O116" i="17"/>
  <c r="O117" i="17" a="1"/>
  <c r="O117" i="17" s="1"/>
  <c r="O118" i="17" a="1"/>
  <c r="O118" i="17"/>
  <c r="O119" i="17" a="1"/>
  <c r="O119" i="17" s="1"/>
  <c r="O120" i="17" a="1"/>
  <c r="O120" i="17" s="1"/>
  <c r="O121" i="17" a="1"/>
  <c r="O121" i="17" s="1"/>
  <c r="O131" i="17" a="1"/>
  <c r="O131" i="17" s="1"/>
  <c r="O186" i="17" a="1"/>
  <c r="O186" i="17" s="1"/>
  <c r="O187" i="17" a="1"/>
  <c r="O187" i="17" s="1"/>
  <c r="O188" i="17" a="1"/>
  <c r="O188" i="17" s="1"/>
  <c r="O189" i="17" a="1"/>
  <c r="O189" i="17" s="1"/>
  <c r="O190" i="17" a="1"/>
  <c r="O190" i="17" s="1"/>
  <c r="O191" i="17" a="1"/>
  <c r="O191" i="17" s="1"/>
  <c r="P192" i="17" a="1"/>
  <c r="P192" i="17" s="1"/>
  <c r="P202" i="17" a="1"/>
  <c r="P202" i="17" s="1"/>
  <c r="P212" i="17" a="1"/>
  <c r="P212" i="17" s="1"/>
  <c r="P2" i="17" a="1"/>
  <c r="P2" i="17" s="1"/>
  <c r="P3" i="17" a="1"/>
  <c r="P3" i="17"/>
  <c r="P4" i="17" a="1"/>
  <c r="P4" i="17" s="1"/>
  <c r="P5" i="17" a="1"/>
  <c r="P5" i="17" s="1"/>
  <c r="P6" i="17" a="1"/>
  <c r="P6" i="17" s="1"/>
  <c r="P7" i="17" a="1"/>
  <c r="P7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/>
  <c r="P122" i="17" a="1"/>
  <c r="P122" i="17" s="1"/>
  <c r="P132" i="17" a="1"/>
  <c r="P132" i="17" s="1"/>
  <c r="P133" i="17" a="1"/>
  <c r="P133" i="17" s="1"/>
  <c r="P134" i="17" a="1"/>
  <c r="P134" i="17" s="1"/>
  <c r="P135" i="17" a="1"/>
  <c r="P135" i="17"/>
  <c r="P136" i="17" a="1"/>
  <c r="P136" i="17" s="1"/>
  <c r="P137" i="17" a="1"/>
  <c r="P137" i="17" s="1"/>
  <c r="P193" i="17" a="1"/>
  <c r="P193" i="17" s="1"/>
  <c r="P203" i="17" a="1"/>
  <c r="P203" i="17" s="1"/>
  <c r="P213" i="17" a="1"/>
  <c r="P213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23" i="17" a="1"/>
  <c r="P123" i="17" s="1"/>
  <c r="P138" i="17" a="1"/>
  <c r="P138" i="17" s="1"/>
  <c r="P139" i="17" a="1"/>
  <c r="P139" i="17" s="1"/>
  <c r="P140" i="17" a="1"/>
  <c r="P140" i="17"/>
  <c r="P141" i="17" a="1"/>
  <c r="P141" i="17" s="1"/>
  <c r="P142" i="17" a="1"/>
  <c r="P142" i="17" s="1"/>
  <c r="P143" i="17" a="1"/>
  <c r="P143" i="17" s="1"/>
  <c r="P194" i="17" a="1"/>
  <c r="P194" i="17" s="1"/>
  <c r="P204" i="17" a="1"/>
  <c r="P204" i="17" s="1"/>
  <c r="P214" i="17" a="1"/>
  <c r="P214" i="17" s="1"/>
  <c r="P14" i="17" a="1"/>
  <c r="P14" i="17"/>
  <c r="P15" i="17" a="1"/>
  <c r="P15" i="17" s="1"/>
  <c r="P16" i="17" a="1"/>
  <c r="P16" i="17"/>
  <c r="P17" i="17" a="1"/>
  <c r="P17" i="17" s="1"/>
  <c r="P18" i="17" a="1"/>
  <c r="P18" i="17" s="1"/>
  <c r="P19" i="17" a="1"/>
  <c r="P19" i="17" s="1"/>
  <c r="P74" i="17" a="1"/>
  <c r="P74" i="17" s="1"/>
  <c r="P75" i="17" a="1"/>
  <c r="P75" i="17" s="1"/>
  <c r="P76" i="17" a="1"/>
  <c r="P76" i="17"/>
  <c r="P77" i="17" a="1"/>
  <c r="P77" i="17" s="1"/>
  <c r="P78" i="17" a="1"/>
  <c r="P78" i="17" s="1"/>
  <c r="P79" i="17" a="1"/>
  <c r="P79" i="17" s="1"/>
  <c r="P124" i="17" a="1"/>
  <c r="P124" i="17" s="1"/>
  <c r="P144" i="17" a="1"/>
  <c r="P144" i="17" s="1"/>
  <c r="P145" i="17" a="1"/>
  <c r="P145" i="17" s="1"/>
  <c r="P146" i="17" a="1"/>
  <c r="P146" i="17"/>
  <c r="P147" i="17" a="1"/>
  <c r="P147" i="17" s="1"/>
  <c r="P148" i="17" a="1"/>
  <c r="P148" i="17" s="1"/>
  <c r="P149" i="17" a="1"/>
  <c r="P149" i="17" s="1"/>
  <c r="P195" i="17" a="1"/>
  <c r="P195" i="17" s="1"/>
  <c r="P205" i="17" a="1"/>
  <c r="P205" i="17" s="1"/>
  <c r="P215" i="17" a="1"/>
  <c r="P215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/>
  <c r="P25" i="17" a="1"/>
  <c r="P25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/>
  <c r="P85" i="17" a="1"/>
  <c r="P85" i="17"/>
  <c r="P125" i="17" a="1"/>
  <c r="P125" i="17" s="1"/>
  <c r="P150" i="17" a="1"/>
  <c r="P150" i="17" s="1"/>
  <c r="P151" i="17" a="1"/>
  <c r="P151" i="17"/>
  <c r="P152" i="17" a="1"/>
  <c r="P152" i="17" s="1"/>
  <c r="P153" i="17" a="1"/>
  <c r="P153" i="17"/>
  <c r="P154" i="17" a="1"/>
  <c r="P154" i="17" s="1"/>
  <c r="P155" i="17" a="1"/>
  <c r="P155" i="17" s="1"/>
  <c r="P196" i="17" a="1"/>
  <c r="P196" i="17" s="1"/>
  <c r="P206" i="17" a="1"/>
  <c r="P206" i="17" s="1"/>
  <c r="P216" i="17" a="1"/>
  <c r="P216" i="17" s="1"/>
  <c r="P26" i="17" a="1"/>
  <c r="P26" i="17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26" i="17" a="1"/>
  <c r="P126" i="17" s="1"/>
  <c r="P156" i="17" a="1"/>
  <c r="P156" i="17"/>
  <c r="P157" i="17" a="1"/>
  <c r="P157" i="17" s="1"/>
  <c r="P158" i="17" a="1"/>
  <c r="P158" i="17" s="1"/>
  <c r="P159" i="17" a="1"/>
  <c r="P159" i="17" s="1"/>
  <c r="P160" i="17" a="1"/>
  <c r="P160" i="17" s="1"/>
  <c r="P161" i="17" a="1"/>
  <c r="P161" i="17"/>
  <c r="P197" i="17" a="1"/>
  <c r="P197" i="17" s="1"/>
  <c r="P207" i="17" a="1"/>
  <c r="P207" i="17" s="1"/>
  <c r="P217" i="17" a="1"/>
  <c r="P217" i="17" s="1"/>
  <c r="P32" i="17" a="1"/>
  <c r="P32" i="17" s="1"/>
  <c r="P33" i="17" a="1"/>
  <c r="P33" i="17" s="1"/>
  <c r="P34" i="17" a="1"/>
  <c r="P34" i="17" s="1"/>
  <c r="P35" i="17" a="1"/>
  <c r="P35" i="17"/>
  <c r="P36" i="17" a="1"/>
  <c r="P36" i="17" s="1"/>
  <c r="P37" i="17" a="1"/>
  <c r="P37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/>
  <c r="P127" i="17" a="1"/>
  <c r="P127" i="17" s="1"/>
  <c r="P162" i="17" a="1"/>
  <c r="P162" i="17" s="1"/>
  <c r="P163" i="17" a="1"/>
  <c r="P163" i="17" s="1"/>
  <c r="P164" i="17" a="1"/>
  <c r="P164" i="17" s="1"/>
  <c r="P165" i="17" a="1"/>
  <c r="P165" i="17" s="1"/>
  <c r="P166" i="17" a="1"/>
  <c r="P166" i="17" s="1"/>
  <c r="P167" i="17" a="1"/>
  <c r="P167" i="17"/>
  <c r="P198" i="17" a="1"/>
  <c r="P198" i="17" s="1"/>
  <c r="P208" i="17" a="1"/>
  <c r="P208" i="17" s="1"/>
  <c r="P218" i="17" a="1"/>
  <c r="P218" i="17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28" i="17" a="1"/>
  <c r="P128" i="17" s="1"/>
  <c r="P168" i="17" a="1"/>
  <c r="P168" i="17" s="1"/>
  <c r="P169" i="17" a="1"/>
  <c r="P169" i="17" s="1"/>
  <c r="P170" i="17" a="1"/>
  <c r="P170" i="17" s="1"/>
  <c r="P171" i="17" a="1"/>
  <c r="P171" i="17" s="1"/>
  <c r="P172" i="17" a="1"/>
  <c r="P172" i="17" s="1"/>
  <c r="P173" i="17" a="1"/>
  <c r="P173" i="17" s="1"/>
  <c r="P199" i="17" a="1"/>
  <c r="P199" i="17" s="1"/>
  <c r="P209" i="17" a="1"/>
  <c r="P209" i="17" s="1"/>
  <c r="P219" i="17" a="1"/>
  <c r="P219" i="17" s="1"/>
  <c r="P44" i="17" a="1"/>
  <c r="P44" i="17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/>
  <c r="P109" i="17" a="1"/>
  <c r="P109" i="17" s="1"/>
  <c r="P129" i="17" a="1"/>
  <c r="P129" i="17"/>
  <c r="P174" i="17" a="1"/>
  <c r="P174" i="17" s="1"/>
  <c r="P175" i="17" a="1"/>
  <c r="P175" i="17" s="1"/>
  <c r="P176" i="17" a="1"/>
  <c r="P176" i="17" s="1"/>
  <c r="P177" i="17" a="1"/>
  <c r="P177" i="17" s="1"/>
  <c r="P178" i="17" a="1"/>
  <c r="P178" i="17" s="1"/>
  <c r="P179" i="17" a="1"/>
  <c r="P179" i="17" s="1"/>
  <c r="P200" i="17" a="1"/>
  <c r="P200" i="17" s="1"/>
  <c r="P210" i="17" a="1"/>
  <c r="P210" i="17" s="1"/>
  <c r="P220" i="17" a="1"/>
  <c r="P220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10" i="17" a="1"/>
  <c r="P110" i="17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/>
  <c r="P130" i="17" a="1"/>
  <c r="P130" i="17" s="1"/>
  <c r="P180" i="17" a="1"/>
  <c r="P180" i="17" s="1"/>
  <c r="P181" i="17" a="1"/>
  <c r="P181" i="17" s="1"/>
  <c r="P182" i="17" a="1"/>
  <c r="P182" i="17"/>
  <c r="P183" i="17" a="1"/>
  <c r="P183" i="17" s="1"/>
  <c r="P184" i="17" a="1"/>
  <c r="P184" i="17" s="1"/>
  <c r="P185" i="17" a="1"/>
  <c r="P185" i="17" s="1"/>
  <c r="P201" i="17" a="1"/>
  <c r="P201" i="17"/>
  <c r="P211" i="17" a="1"/>
  <c r="P211" i="17" s="1"/>
  <c r="P221" i="17" a="1"/>
  <c r="P221" i="17" s="1"/>
  <c r="P56" i="17" a="1"/>
  <c r="P56" i="17" s="1"/>
  <c r="P57" i="17" a="1"/>
  <c r="P57" i="17" s="1"/>
  <c r="P58" i="17" a="1"/>
  <c r="P58" i="17" s="1"/>
  <c r="P59" i="17" a="1"/>
  <c r="P59" i="17"/>
  <c r="P60" i="17" a="1"/>
  <c r="P60" i="17" s="1"/>
  <c r="P61" i="17" a="1"/>
  <c r="P61" i="17"/>
  <c r="P116" i="17" a="1"/>
  <c r="P116" i="17" s="1"/>
  <c r="P117" i="17" a="1"/>
  <c r="P117" i="17"/>
  <c r="P118" i="17" a="1"/>
  <c r="P118" i="17"/>
  <c r="P119" i="17" a="1"/>
  <c r="P119" i="17" s="1"/>
  <c r="P120" i="17" a="1"/>
  <c r="P120" i="17" s="1"/>
  <c r="P121" i="17" a="1"/>
  <c r="P121" i="17"/>
  <c r="P131" i="17" a="1"/>
  <c r="P131" i="17"/>
  <c r="P186" i="17" a="1"/>
  <c r="P186" i="17" s="1"/>
  <c r="P187" i="17" a="1"/>
  <c r="P187" i="17" s="1"/>
  <c r="P188" i="17" a="1"/>
  <c r="P188" i="17" s="1"/>
  <c r="P189" i="17" a="1"/>
  <c r="P189" i="17" s="1"/>
  <c r="P190" i="17" a="1"/>
  <c r="P190" i="17" s="1"/>
  <c r="P191" i="17" a="1"/>
  <c r="P191" i="17" s="1"/>
  <c r="R192" i="17" a="1"/>
  <c r="R192" i="17" s="1"/>
  <c r="R202" i="17" a="1"/>
  <c r="R202" i="17" s="1"/>
  <c r="R212" i="17" a="1"/>
  <c r="R212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22" i="17" a="1"/>
  <c r="R122" i="17" s="1"/>
  <c r="R132" i="17" a="1"/>
  <c r="R132" i="17" s="1"/>
  <c r="R133" i="17" a="1"/>
  <c r="R133" i="17" s="1"/>
  <c r="R134" i="17" a="1"/>
  <c r="R134" i="17" s="1"/>
  <c r="R135" i="17" a="1"/>
  <c r="R135" i="17" s="1"/>
  <c r="R136" i="17" a="1"/>
  <c r="R136" i="17" s="1"/>
  <c r="R137" i="17" a="1"/>
  <c r="R137" i="17" s="1"/>
  <c r="R193" i="17" a="1"/>
  <c r="R193" i="17" s="1"/>
  <c r="R203" i="17" a="1"/>
  <c r="R203" i="17" s="1"/>
  <c r="R213" i="17" a="1"/>
  <c r="R213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23" i="17" a="1"/>
  <c r="R123" i="17" s="1"/>
  <c r="R138" i="17" a="1"/>
  <c r="R138" i="17" s="1"/>
  <c r="R139" i="17" a="1"/>
  <c r="R139" i="17" s="1"/>
  <c r="R140" i="17" a="1"/>
  <c r="R140" i="17" s="1"/>
  <c r="R141" i="17" a="1"/>
  <c r="R141" i="17" s="1"/>
  <c r="R142" i="17" a="1"/>
  <c r="R142" i="17" s="1"/>
  <c r="R143" i="17" a="1"/>
  <c r="R143" i="17" s="1"/>
  <c r="R194" i="17" a="1"/>
  <c r="R194" i="17" s="1"/>
  <c r="R204" i="17" a="1"/>
  <c r="R204" i="17" s="1"/>
  <c r="R214" i="17" a="1"/>
  <c r="R214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24" i="17" a="1"/>
  <c r="R124" i="17" s="1"/>
  <c r="R144" i="17" a="1"/>
  <c r="R144" i="17" s="1"/>
  <c r="R145" i="17" a="1"/>
  <c r="R145" i="17" s="1"/>
  <c r="R146" i="17" a="1"/>
  <c r="R146" i="17" s="1"/>
  <c r="R147" i="17" a="1"/>
  <c r="R147" i="17" s="1"/>
  <c r="R148" i="17" a="1"/>
  <c r="R148" i="17" s="1"/>
  <c r="R149" i="17" a="1"/>
  <c r="R149" i="17" s="1"/>
  <c r="R195" i="17" a="1"/>
  <c r="R195" i="17" s="1"/>
  <c r="R205" i="17" a="1"/>
  <c r="R205" i="17" s="1"/>
  <c r="R215" i="17" a="1"/>
  <c r="R215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25" i="17" a="1"/>
  <c r="R125" i="17" s="1"/>
  <c r="R150" i="17" a="1"/>
  <c r="R150" i="17" s="1"/>
  <c r="R151" i="17" a="1"/>
  <c r="R151" i="17" s="1"/>
  <c r="R152" i="17" a="1"/>
  <c r="R152" i="17" s="1"/>
  <c r="R153" i="17" a="1"/>
  <c r="R153" i="17" s="1"/>
  <c r="R154" i="17" a="1"/>
  <c r="R154" i="17" s="1"/>
  <c r="R155" i="17" a="1"/>
  <c r="R155" i="17" s="1"/>
  <c r="R196" i="17" a="1"/>
  <c r="R196" i="17" s="1"/>
  <c r="R206" i="17" a="1"/>
  <c r="R206" i="17" s="1"/>
  <c r="R216" i="17" a="1"/>
  <c r="R216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26" i="17" a="1"/>
  <c r="R126" i="17" s="1"/>
  <c r="R156" i="17" a="1"/>
  <c r="R156" i="17" s="1"/>
  <c r="R157" i="17" a="1"/>
  <c r="R157" i="17" s="1"/>
  <c r="R158" i="17" a="1"/>
  <c r="R158" i="17" s="1"/>
  <c r="R159" i="17" a="1"/>
  <c r="R159" i="17" s="1"/>
  <c r="R160" i="17" a="1"/>
  <c r="R160" i="17" s="1"/>
  <c r="R161" i="17" a="1"/>
  <c r="R161" i="17" s="1"/>
  <c r="R197" i="17" a="1"/>
  <c r="R197" i="17" s="1"/>
  <c r="R207" i="17" a="1"/>
  <c r="R207" i="17" s="1"/>
  <c r="R217" i="17" a="1"/>
  <c r="R217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27" i="17" a="1"/>
  <c r="R127" i="17" s="1"/>
  <c r="R162" i="17" a="1"/>
  <c r="R162" i="17" s="1"/>
  <c r="R163" i="17" a="1"/>
  <c r="R163" i="17" s="1"/>
  <c r="R164" i="17" a="1"/>
  <c r="R164" i="17" s="1"/>
  <c r="R165" i="17" a="1"/>
  <c r="R165" i="17" s="1"/>
  <c r="R166" i="17" a="1"/>
  <c r="R166" i="17" s="1"/>
  <c r="R167" i="17" a="1"/>
  <c r="R167" i="17" s="1"/>
  <c r="R198" i="17" a="1"/>
  <c r="R198" i="17" s="1"/>
  <c r="R208" i="17" a="1"/>
  <c r="R208" i="17" s="1"/>
  <c r="R218" i="17" a="1"/>
  <c r="R218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28" i="17" a="1"/>
  <c r="R128" i="17" s="1"/>
  <c r="R168" i="17" a="1"/>
  <c r="R168" i="17" s="1"/>
  <c r="R169" i="17" a="1"/>
  <c r="R169" i="17" s="1"/>
  <c r="R170" i="17" a="1"/>
  <c r="R170" i="17" s="1"/>
  <c r="R171" i="17" a="1"/>
  <c r="R171" i="17" s="1"/>
  <c r="R172" i="17" a="1"/>
  <c r="R172" i="17" s="1"/>
  <c r="R173" i="17" a="1"/>
  <c r="R173" i="17" s="1"/>
  <c r="R199" i="17" a="1"/>
  <c r="R199" i="17" s="1"/>
  <c r="R209" i="17" a="1"/>
  <c r="R209" i="17" s="1"/>
  <c r="R219" i="17" a="1"/>
  <c r="R219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29" i="17" a="1"/>
  <c r="R129" i="17" s="1"/>
  <c r="R174" i="17" a="1"/>
  <c r="R174" i="17" s="1"/>
  <c r="R175" i="17" a="1"/>
  <c r="R175" i="17" s="1"/>
  <c r="R176" i="17" a="1"/>
  <c r="R176" i="17" s="1"/>
  <c r="R177" i="17" a="1"/>
  <c r="R177" i="17" s="1"/>
  <c r="R178" i="17" a="1"/>
  <c r="R178" i="17" s="1"/>
  <c r="R179" i="17" a="1"/>
  <c r="R179" i="17" s="1"/>
  <c r="R200" i="17" a="1"/>
  <c r="R200" i="17" s="1"/>
  <c r="R210" i="17" a="1"/>
  <c r="R210" i="17" s="1"/>
  <c r="R220" i="17" a="1"/>
  <c r="R220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130" i="17" a="1"/>
  <c r="R130" i="17" s="1"/>
  <c r="R180" i="17" a="1"/>
  <c r="R180" i="17" s="1"/>
  <c r="R181" i="17" a="1"/>
  <c r="R181" i="17" s="1"/>
  <c r="R182" i="17" a="1"/>
  <c r="R182" i="17" s="1"/>
  <c r="R183" i="17" a="1"/>
  <c r="R183" i="17" s="1"/>
  <c r="R184" i="17" a="1"/>
  <c r="R184" i="17" s="1"/>
  <c r="R185" i="17" a="1"/>
  <c r="R185" i="17" s="1"/>
  <c r="R201" i="17" a="1"/>
  <c r="R201" i="17" s="1"/>
  <c r="R211" i="17" a="1"/>
  <c r="R211" i="17" s="1"/>
  <c r="R221" i="17" a="1"/>
  <c r="R221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131" i="17" a="1"/>
  <c r="R131" i="17" s="1"/>
  <c r="R186" i="17" a="1"/>
  <c r="R186" i="17" s="1"/>
  <c r="R187" i="17" a="1"/>
  <c r="R187" i="17" s="1"/>
  <c r="R188" i="17" a="1"/>
  <c r="R188" i="17" s="1"/>
  <c r="R189" i="17" a="1"/>
  <c r="R189" i="17" s="1"/>
  <c r="R190" i="17" a="1"/>
  <c r="R190" i="17" s="1"/>
  <c r="R191" i="17" a="1"/>
  <c r="R191" i="17" s="1"/>
  <c r="S192" i="17" a="1"/>
  <c r="S192" i="17" s="1"/>
  <c r="S202" i="17" a="1"/>
  <c r="S202" i="17" s="1"/>
  <c r="S212" i="17" a="1"/>
  <c r="S212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22" i="17" a="1"/>
  <c r="S122" i="17" s="1"/>
  <c r="S132" i="17" a="1"/>
  <c r="S132" i="17"/>
  <c r="S133" i="17" a="1"/>
  <c r="S133" i="17" s="1"/>
  <c r="S134" i="17" a="1"/>
  <c r="S134" i="17" s="1"/>
  <c r="S135" i="17" a="1"/>
  <c r="S135" i="17"/>
  <c r="S136" i="17" a="1"/>
  <c r="S136" i="17" s="1"/>
  <c r="S137" i="17" a="1"/>
  <c r="S137" i="17" s="1"/>
  <c r="S193" i="17" a="1"/>
  <c r="S193" i="17" s="1"/>
  <c r="S203" i="17" a="1"/>
  <c r="S203" i="17" s="1"/>
  <c r="S213" i="17" a="1"/>
  <c r="S213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68" i="17" a="1"/>
  <c r="S68" i="17" s="1"/>
  <c r="S69" i="17" a="1"/>
  <c r="S69" i="17"/>
  <c r="S70" i="17" a="1"/>
  <c r="S70" i="17" s="1"/>
  <c r="S71" i="17" a="1"/>
  <c r="S71" i="17" s="1"/>
  <c r="S72" i="17" a="1"/>
  <c r="S72" i="17" s="1"/>
  <c r="S73" i="17" a="1"/>
  <c r="S73" i="17" s="1"/>
  <c r="S123" i="17" a="1"/>
  <c r="S123" i="17" s="1"/>
  <c r="S138" i="17" a="1"/>
  <c r="S138" i="17" s="1"/>
  <c r="S139" i="17" a="1"/>
  <c r="S139" i="17" s="1"/>
  <c r="S140" i="17" a="1"/>
  <c r="S140" i="17" s="1"/>
  <c r="S141" i="17" a="1"/>
  <c r="S141" i="17" s="1"/>
  <c r="S142" i="17" a="1"/>
  <c r="S142" i="17" s="1"/>
  <c r="S143" i="17" a="1"/>
  <c r="S143" i="17" s="1"/>
  <c r="S194" i="17" a="1"/>
  <c r="S194" i="17" s="1"/>
  <c r="S204" i="17" a="1"/>
  <c r="S204" i="17" s="1"/>
  <c r="S214" i="17" a="1"/>
  <c r="S214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/>
  <c r="S19" i="17" a="1"/>
  <c r="S19" i="17" s="1"/>
  <c r="S74" i="17" a="1"/>
  <c r="S74" i="17"/>
  <c r="S75" i="17" a="1"/>
  <c r="S75" i="17" s="1"/>
  <c r="S76" i="17" a="1"/>
  <c r="S76" i="17"/>
  <c r="S77" i="17" a="1"/>
  <c r="S77" i="17" s="1"/>
  <c r="S78" i="17" a="1"/>
  <c r="S78" i="17" s="1"/>
  <c r="S79" i="17" a="1"/>
  <c r="S79" i="17" s="1"/>
  <c r="S124" i="17" a="1"/>
  <c r="S124" i="17" s="1"/>
  <c r="S144" i="17" a="1"/>
  <c r="S144" i="17" s="1"/>
  <c r="S145" i="17" a="1"/>
  <c r="S145" i="17" s="1"/>
  <c r="S146" i="17" a="1"/>
  <c r="S146" i="17" s="1"/>
  <c r="S147" i="17" a="1"/>
  <c r="S147" i="17" s="1"/>
  <c r="S148" i="17" a="1"/>
  <c r="S148" i="17" s="1"/>
  <c r="S149" i="17" a="1"/>
  <c r="S149" i="17" s="1"/>
  <c r="S195" i="17" a="1"/>
  <c r="S195" i="17"/>
  <c r="S205" i="17" a="1"/>
  <c r="S205" i="17" s="1"/>
  <c r="S215" i="17" a="1"/>
  <c r="S215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25" i="17" a="1"/>
  <c r="S125" i="17" s="1"/>
  <c r="S150" i="17" a="1"/>
  <c r="S150" i="17" s="1"/>
  <c r="S151" i="17" a="1"/>
  <c r="S151" i="17" s="1"/>
  <c r="S152" i="17" a="1"/>
  <c r="S152" i="17" s="1"/>
  <c r="S153" i="17" a="1"/>
  <c r="S153" i="17" s="1"/>
  <c r="S154" i="17" a="1"/>
  <c r="S154" i="17" s="1"/>
  <c r="S155" i="17" a="1"/>
  <c r="S155" i="17"/>
  <c r="S196" i="17" a="1"/>
  <c r="S196" i="17" s="1"/>
  <c r="S206" i="17" a="1"/>
  <c r="S206" i="17" s="1"/>
  <c r="S216" i="17" a="1"/>
  <c r="S216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/>
  <c r="S126" i="17" a="1"/>
  <c r="S126" i="17" s="1"/>
  <c r="S156" i="17" a="1"/>
  <c r="S156" i="17"/>
  <c r="S157" i="17" a="1"/>
  <c r="S157" i="17" s="1"/>
  <c r="S158" i="17" a="1"/>
  <c r="S158" i="17" s="1"/>
  <c r="S159" i="17" a="1"/>
  <c r="S159" i="17" s="1"/>
  <c r="S160" i="17" a="1"/>
  <c r="S160" i="17" s="1"/>
  <c r="S161" i="17" a="1"/>
  <c r="S161" i="17" s="1"/>
  <c r="S197" i="17" a="1"/>
  <c r="S197" i="17" s="1"/>
  <c r="S207" i="17" a="1"/>
  <c r="S207" i="17" s="1"/>
  <c r="S217" i="17" a="1"/>
  <c r="S217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/>
  <c r="S37" i="17" a="1"/>
  <c r="S37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27" i="17" a="1"/>
  <c r="S127" i="17" s="1"/>
  <c r="S162" i="17" a="1"/>
  <c r="S162" i="17" s="1"/>
  <c r="S163" i="17" a="1"/>
  <c r="S163" i="17"/>
  <c r="S164" i="17" a="1"/>
  <c r="S164" i="17" s="1"/>
  <c r="S165" i="17" a="1"/>
  <c r="S165" i="17" s="1"/>
  <c r="S166" i="17" a="1"/>
  <c r="S166" i="17" s="1"/>
  <c r="S167" i="17" a="1"/>
  <c r="S167" i="17" s="1"/>
  <c r="S198" i="17" a="1"/>
  <c r="S198" i="17" s="1"/>
  <c r="S208" i="17" a="1"/>
  <c r="S208" i="17" s="1"/>
  <c r="S218" i="17" a="1"/>
  <c r="S218" i="17" s="1"/>
  <c r="S38" i="17" a="1"/>
  <c r="S38" i="17" s="1"/>
  <c r="S39" i="17" a="1"/>
  <c r="S39" i="17" s="1"/>
  <c r="S40" i="17" a="1"/>
  <c r="S40" i="17"/>
  <c r="S41" i="17" a="1"/>
  <c r="S41" i="17" s="1"/>
  <c r="S42" i="17" a="1"/>
  <c r="S42" i="17" s="1"/>
  <c r="S43" i="17" a="1"/>
  <c r="S43" i="17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28" i="17" a="1"/>
  <c r="S128" i="17" s="1"/>
  <c r="S168" i="17" a="1"/>
  <c r="S168" i="17" s="1"/>
  <c r="S169" i="17" a="1"/>
  <c r="S169" i="17" s="1"/>
  <c r="S170" i="17" a="1"/>
  <c r="S170" i="17" s="1"/>
  <c r="S171" i="17" a="1"/>
  <c r="S171" i="17"/>
  <c r="S172" i="17" a="1"/>
  <c r="S172" i="17" s="1"/>
  <c r="S173" i="17" a="1"/>
  <c r="S173" i="17"/>
  <c r="S199" i="17" a="1"/>
  <c r="S199" i="17" s="1"/>
  <c r="S209" i="17" a="1"/>
  <c r="S209" i="17" s="1"/>
  <c r="S219" i="17" a="1"/>
  <c r="S219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129" i="17" a="1"/>
  <c r="S129" i="17" s="1"/>
  <c r="S174" i="17" a="1"/>
  <c r="S174" i="17" s="1"/>
  <c r="S175" i="17" a="1"/>
  <c r="S175" i="17" s="1"/>
  <c r="S176" i="17" a="1"/>
  <c r="S176" i="17" s="1"/>
  <c r="S177" i="17" a="1"/>
  <c r="S177" i="17"/>
  <c r="S178" i="17" a="1"/>
  <c r="S178" i="17"/>
  <c r="S179" i="17" a="1"/>
  <c r="S179" i="17" s="1"/>
  <c r="S200" i="17" a="1"/>
  <c r="S200" i="17" s="1"/>
  <c r="S210" i="17" a="1"/>
  <c r="S210" i="17" s="1"/>
  <c r="S220" i="17" a="1"/>
  <c r="S220" i="17" s="1"/>
  <c r="S50" i="17" a="1"/>
  <c r="S50" i="17" s="1"/>
  <c r="S51" i="17" a="1"/>
  <c r="S51" i="17" s="1"/>
  <c r="S52" i="17" a="1"/>
  <c r="S52" i="17" s="1"/>
  <c r="S53" i="17" a="1"/>
  <c r="S53" i="17"/>
  <c r="S54" i="17" a="1"/>
  <c r="S54" i="17" s="1"/>
  <c r="S55" i="17" a="1"/>
  <c r="S55" i="17" s="1"/>
  <c r="S110" i="17" a="1"/>
  <c r="S110" i="17" s="1"/>
  <c r="S111" i="17" a="1"/>
  <c r="S111" i="17" s="1"/>
  <c r="S112" i="17" a="1"/>
  <c r="S112" i="17"/>
  <c r="S113" i="17" a="1"/>
  <c r="S113" i="17" s="1"/>
  <c r="S114" i="17" a="1"/>
  <c r="S114" i="17" s="1"/>
  <c r="S115" i="17" a="1"/>
  <c r="S115" i="17" s="1"/>
  <c r="S130" i="17" a="1"/>
  <c r="S130" i="17" s="1"/>
  <c r="S180" i="17" a="1"/>
  <c r="S180" i="17" s="1"/>
  <c r="S181" i="17" a="1"/>
  <c r="S181" i="17" s="1"/>
  <c r="S182" i="17" a="1"/>
  <c r="S182" i="17" s="1"/>
  <c r="S183" i="17" a="1"/>
  <c r="S183" i="17" s="1"/>
  <c r="S184" i="17" a="1"/>
  <c r="S184" i="17" s="1"/>
  <c r="S185" i="17" a="1"/>
  <c r="S185" i="17" s="1"/>
  <c r="S201" i="17" a="1"/>
  <c r="S201" i="17" s="1"/>
  <c r="S211" i="17" a="1"/>
  <c r="S211" i="17"/>
  <c r="S221" i="17" a="1"/>
  <c r="S221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16" i="17" a="1"/>
  <c r="S116" i="17" s="1"/>
  <c r="S117" i="17" a="1"/>
  <c r="S117" i="17" s="1"/>
  <c r="S118" i="17" a="1"/>
  <c r="S118" i="17"/>
  <c r="S119" i="17" a="1"/>
  <c r="S119" i="17" s="1"/>
  <c r="S120" i="17" a="1"/>
  <c r="S120" i="17" s="1"/>
  <c r="S121" i="17" a="1"/>
  <c r="S121" i="17" s="1"/>
  <c r="S131" i="17" a="1"/>
  <c r="S131" i="17" s="1"/>
  <c r="S186" i="17" a="1"/>
  <c r="S186" i="17" s="1"/>
  <c r="S187" i="17" a="1"/>
  <c r="S187" i="17" s="1"/>
  <c r="S188" i="17" a="1"/>
  <c r="S188" i="17" s="1"/>
  <c r="S189" i="17" a="1"/>
  <c r="S189" i="17" s="1"/>
  <c r="S190" i="17" a="1"/>
  <c r="S190" i="17"/>
  <c r="S191" i="17" a="1"/>
  <c r="S191" i="17" s="1"/>
  <c r="T192" i="17" a="1"/>
  <c r="T192" i="17" s="1"/>
  <c r="T202" i="17" a="1"/>
  <c r="T202" i="17" s="1"/>
  <c r="T212" i="17" a="1"/>
  <c r="T212" i="17" s="1"/>
  <c r="T2" i="17" a="1"/>
  <c r="T2" i="17" s="1"/>
  <c r="T3" i="17" a="1"/>
  <c r="T3" i="17" s="1"/>
  <c r="T4" i="17" a="1"/>
  <c r="T4" i="17"/>
  <c r="T5" i="17" a="1"/>
  <c r="T5" i="17" s="1"/>
  <c r="T6" i="17" a="1"/>
  <c r="T6" i="17" s="1"/>
  <c r="T7" i="17" a="1"/>
  <c r="T7" i="17" s="1"/>
  <c r="T62" i="17" a="1"/>
  <c r="T62" i="17" s="1"/>
  <c r="T63" i="17" a="1"/>
  <c r="T63" i="17" s="1"/>
  <c r="T64" i="17" a="1"/>
  <c r="T64" i="17"/>
  <c r="T65" i="17" a="1"/>
  <c r="T65" i="17" s="1"/>
  <c r="T66" i="17" a="1"/>
  <c r="T66" i="17"/>
  <c r="T67" i="17" a="1"/>
  <c r="T67" i="17" s="1"/>
  <c r="T122" i="17" a="1"/>
  <c r="T122" i="17" s="1"/>
  <c r="T132" i="17" a="1"/>
  <c r="T132" i="17" s="1"/>
  <c r="T133" i="17" a="1"/>
  <c r="T133" i="17" s="1"/>
  <c r="T134" i="17" a="1"/>
  <c r="T134" i="17" s="1"/>
  <c r="T135" i="17" a="1"/>
  <c r="T135" i="17" s="1"/>
  <c r="T136" i="17" a="1"/>
  <c r="T136" i="17" s="1"/>
  <c r="T137" i="17" a="1"/>
  <c r="T137" i="17" s="1"/>
  <c r="T193" i="17" a="1"/>
  <c r="T193" i="17" s="1"/>
  <c r="T203" i="17" a="1"/>
  <c r="T203" i="17" s="1"/>
  <c r="T213" i="17" a="1"/>
  <c r="T213" i="17" s="1"/>
  <c r="T8" i="17" a="1"/>
  <c r="T8" i="17"/>
  <c r="T9" i="17" a="1"/>
  <c r="T9" i="17" s="1"/>
  <c r="T10" i="17" a="1"/>
  <c r="T10" i="17" s="1"/>
  <c r="T11" i="17" a="1"/>
  <c r="T11" i="17"/>
  <c r="T12" i="17" a="1"/>
  <c r="T12" i="17" s="1"/>
  <c r="T13" i="17" a="1"/>
  <c r="T13" i="17" s="1"/>
  <c r="T68" i="17" a="1"/>
  <c r="T68" i="17" s="1"/>
  <c r="T69" i="17" a="1"/>
  <c r="T69" i="17" s="1"/>
  <c r="T70" i="17" a="1"/>
  <c r="T70" i="17" s="1"/>
  <c r="T71" i="17" a="1"/>
  <c r="T71" i="17"/>
  <c r="T72" i="17" a="1"/>
  <c r="T72" i="17" s="1"/>
  <c r="T73" i="17" a="1"/>
  <c r="T73" i="17" s="1"/>
  <c r="T123" i="17" a="1"/>
  <c r="T123" i="17" s="1"/>
  <c r="T138" i="17" a="1"/>
  <c r="T138" i="17" s="1"/>
  <c r="T139" i="17" a="1"/>
  <c r="T139" i="17" s="1"/>
  <c r="T140" i="17" a="1"/>
  <c r="T140" i="17" s="1"/>
  <c r="T141" i="17" a="1"/>
  <c r="T141" i="17" s="1"/>
  <c r="T142" i="17" a="1"/>
  <c r="T142" i="17" s="1"/>
  <c r="T143" i="17" a="1"/>
  <c r="T143" i="17" s="1"/>
  <c r="T194" i="17" a="1"/>
  <c r="T194" i="17" s="1"/>
  <c r="T204" i="17" a="1"/>
  <c r="T204" i="17" s="1"/>
  <c r="T214" i="17" a="1"/>
  <c r="T214" i="17" s="1"/>
  <c r="T14" i="17" a="1"/>
  <c r="T14" i="17"/>
  <c r="T15" i="17" a="1"/>
  <c r="T15" i="17" s="1"/>
  <c r="T16" i="17" a="1"/>
  <c r="T16" i="17"/>
  <c r="T17" i="17" a="1"/>
  <c r="T17" i="17" s="1"/>
  <c r="T18" i="17" a="1"/>
  <c r="T18" i="17"/>
  <c r="T19" i="17" a="1"/>
  <c r="T19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24" i="17" a="1"/>
  <c r="T124" i="17" s="1"/>
  <c r="T144" i="17" a="1"/>
  <c r="T144" i="17" s="1"/>
  <c r="T145" i="17" a="1"/>
  <c r="T145" i="17" s="1"/>
  <c r="T146" i="17" a="1"/>
  <c r="T146" i="17"/>
  <c r="T147" i="17" a="1"/>
  <c r="T147" i="17" s="1"/>
  <c r="T148" i="17" a="1"/>
  <c r="T148" i="17" s="1"/>
  <c r="T149" i="17" a="1"/>
  <c r="T149" i="17" s="1"/>
  <c r="T195" i="17" a="1"/>
  <c r="T195" i="17" s="1"/>
  <c r="T205" i="17" a="1"/>
  <c r="T205" i="17" s="1"/>
  <c r="T215" i="17" a="1"/>
  <c r="T215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25" i="17" a="1"/>
  <c r="T125" i="17" s="1"/>
  <c r="T150" i="17" a="1"/>
  <c r="T150" i="17" s="1"/>
  <c r="T151" i="17" a="1"/>
  <c r="T151" i="17" s="1"/>
  <c r="T152" i="17" a="1"/>
  <c r="T152" i="17" s="1"/>
  <c r="T153" i="17" a="1"/>
  <c r="T153" i="17"/>
  <c r="T154" i="17" a="1"/>
  <c r="T154" i="17" s="1"/>
  <c r="T155" i="17" a="1"/>
  <c r="T155" i="17"/>
  <c r="T196" i="17" a="1"/>
  <c r="T196" i="17" s="1"/>
  <c r="T206" i="17" a="1"/>
  <c r="T206" i="17" s="1"/>
  <c r="T216" i="17" a="1"/>
  <c r="T216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86" i="17" a="1"/>
  <c r="T86" i="17" s="1"/>
  <c r="T87" i="17" a="1"/>
  <c r="T87" i="17"/>
  <c r="T88" i="17" a="1"/>
  <c r="T88" i="17" s="1"/>
  <c r="T89" i="17" a="1"/>
  <c r="T89" i="17" s="1"/>
  <c r="T90" i="17" a="1"/>
  <c r="T90" i="17" s="1"/>
  <c r="T91" i="17" a="1"/>
  <c r="T91" i="17" s="1"/>
  <c r="T126" i="17" a="1"/>
  <c r="T126" i="17" s="1"/>
  <c r="T156" i="17" a="1"/>
  <c r="T156" i="17" s="1"/>
  <c r="T157" i="17" a="1"/>
  <c r="T157" i="17" s="1"/>
  <c r="T158" i="17" a="1"/>
  <c r="T158" i="17" s="1"/>
  <c r="T159" i="17" a="1"/>
  <c r="T159" i="17" s="1"/>
  <c r="T160" i="17" a="1"/>
  <c r="T160" i="17" s="1"/>
  <c r="T161" i="17" a="1"/>
  <c r="T161" i="17" s="1"/>
  <c r="T197" i="17" a="1"/>
  <c r="T197" i="17" s="1"/>
  <c r="T207" i="17" a="1"/>
  <c r="T207" i="17" s="1"/>
  <c r="T217" i="17" a="1"/>
  <c r="T217" i="17" s="1"/>
  <c r="T32" i="17" a="1"/>
  <c r="T32" i="17" s="1"/>
  <c r="T33" i="17" a="1"/>
  <c r="T33" i="17" s="1"/>
  <c r="T34" i="17" a="1"/>
  <c r="T34" i="17" s="1"/>
  <c r="T35" i="17" a="1"/>
  <c r="T35" i="17"/>
  <c r="T36" i="17" a="1"/>
  <c r="T36" i="17" s="1"/>
  <c r="T37" i="17" a="1"/>
  <c r="T37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27" i="17" a="1"/>
  <c r="T127" i="17" s="1"/>
  <c r="T162" i="17" a="1"/>
  <c r="T162" i="17" s="1"/>
  <c r="T163" i="17" a="1"/>
  <c r="T163" i="17" s="1"/>
  <c r="T164" i="17" a="1"/>
  <c r="T164" i="17"/>
  <c r="T165" i="17" a="1"/>
  <c r="T165" i="17" s="1"/>
  <c r="T166" i="17" a="1"/>
  <c r="T166" i="17" s="1"/>
  <c r="T167" i="17" a="1"/>
  <c r="T167" i="17" s="1"/>
  <c r="T198" i="17" a="1"/>
  <c r="T198" i="17" s="1"/>
  <c r="T208" i="17" a="1"/>
  <c r="T208" i="17" s="1"/>
  <c r="T218" i="17" a="1"/>
  <c r="T218" i="17" s="1"/>
  <c r="T38" i="17" a="1"/>
  <c r="T38" i="17" s="1"/>
  <c r="T39" i="17" a="1"/>
  <c r="T39" i="17" s="1"/>
  <c r="T40" i="17" a="1"/>
  <c r="T40" i="17"/>
  <c r="T41" i="17" a="1"/>
  <c r="T41" i="17" s="1"/>
  <c r="T42" i="17" a="1"/>
  <c r="T42" i="17" s="1"/>
  <c r="T43" i="17" a="1"/>
  <c r="T43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28" i="17" a="1"/>
  <c r="T128" i="17" s="1"/>
  <c r="T168" i="17" a="1"/>
  <c r="T168" i="17" s="1"/>
  <c r="T169" i="17" a="1"/>
  <c r="T169" i="17" s="1"/>
  <c r="T170" i="17" a="1"/>
  <c r="T170" i="17" s="1"/>
  <c r="T171" i="17" a="1"/>
  <c r="T171" i="17" s="1"/>
  <c r="T172" i="17" a="1"/>
  <c r="T172" i="17" s="1"/>
  <c r="T173" i="17" a="1"/>
  <c r="T173" i="17" s="1"/>
  <c r="T199" i="17" a="1"/>
  <c r="T199" i="17" s="1"/>
  <c r="T209" i="17" a="1"/>
  <c r="T209" i="17"/>
  <c r="T219" i="17" a="1"/>
  <c r="T219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/>
  <c r="T49" i="17" a="1"/>
  <c r="T49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29" i="17" a="1"/>
  <c r="T129" i="17" s="1"/>
  <c r="T174" i="17" a="1"/>
  <c r="T174" i="17" s="1"/>
  <c r="T175" i="17" a="1"/>
  <c r="T175" i="17" s="1"/>
  <c r="T176" i="17" a="1"/>
  <c r="T176" i="17" s="1"/>
  <c r="T177" i="17" a="1"/>
  <c r="T177" i="17" s="1"/>
  <c r="T178" i="17" a="1"/>
  <c r="T178" i="17" s="1"/>
  <c r="T179" i="17" a="1"/>
  <c r="T179" i="17" s="1"/>
  <c r="T200" i="17" a="1"/>
  <c r="T200" i="17" s="1"/>
  <c r="T210" i="17" a="1"/>
  <c r="T210" i="17" s="1"/>
  <c r="T220" i="17" a="1"/>
  <c r="T220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130" i="17" a="1"/>
  <c r="T130" i="17" s="1"/>
  <c r="T180" i="17" a="1"/>
  <c r="T180" i="17" s="1"/>
  <c r="T181" i="17" a="1"/>
  <c r="T181" i="17" s="1"/>
  <c r="T182" i="17" a="1"/>
  <c r="T182" i="17" s="1"/>
  <c r="T183" i="17" a="1"/>
  <c r="T183" i="17" s="1"/>
  <c r="T184" i="17" a="1"/>
  <c r="T184" i="17" s="1"/>
  <c r="T185" i="17" a="1"/>
  <c r="T185" i="17" s="1"/>
  <c r="T201" i="17" a="1"/>
  <c r="T201" i="17" s="1"/>
  <c r="T211" i="17" a="1"/>
  <c r="T211" i="17" s="1"/>
  <c r="T221" i="17" a="1"/>
  <c r="T221" i="17" s="1"/>
  <c r="T56" i="17" a="1"/>
  <c r="T56" i="17"/>
  <c r="T57" i="17" a="1"/>
  <c r="T57" i="17" s="1"/>
  <c r="T58" i="17" a="1"/>
  <c r="T58" i="17" s="1"/>
  <c r="T59" i="17" a="1"/>
  <c r="T59" i="17" s="1"/>
  <c r="T60" i="17" a="1"/>
  <c r="T60" i="17" s="1"/>
  <c r="T61" i="17" a="1"/>
  <c r="T61" i="17"/>
  <c r="T116" i="17" a="1"/>
  <c r="T116" i="17" s="1"/>
  <c r="T117" i="17" a="1"/>
  <c r="T117" i="17"/>
  <c r="T118" i="17" a="1"/>
  <c r="T118" i="17" s="1"/>
  <c r="T119" i="17" a="1"/>
  <c r="T119" i="17" s="1"/>
  <c r="T120" i="17" a="1"/>
  <c r="T120" i="17" s="1"/>
  <c r="T121" i="17" a="1"/>
  <c r="T121" i="17" s="1"/>
  <c r="T131" i="17" a="1"/>
  <c r="T131" i="17" s="1"/>
  <c r="T186" i="17" a="1"/>
  <c r="T186" i="17" s="1"/>
  <c r="T187" i="17" a="1"/>
  <c r="T187" i="17" s="1"/>
  <c r="T188" i="17" a="1"/>
  <c r="T188" i="17" s="1"/>
  <c r="T189" i="17" a="1"/>
  <c r="T189" i="17" s="1"/>
  <c r="T190" i="17" a="1"/>
  <c r="T190" i="17"/>
  <c r="T191" i="17" a="1"/>
  <c r="T191" i="17" s="1"/>
  <c r="U192" i="17" a="1"/>
  <c r="U192" i="17" s="1"/>
  <c r="U202" i="17" a="1"/>
  <c r="U202" i="17" s="1"/>
  <c r="U212" i="17" a="1"/>
  <c r="U212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122" i="17" a="1"/>
  <c r="U122" i="17" s="1"/>
  <c r="U132" i="17" a="1"/>
  <c r="U132" i="17" s="1"/>
  <c r="U133" i="17" a="1"/>
  <c r="U133" i="17" s="1"/>
  <c r="U134" i="17" a="1"/>
  <c r="U134" i="17" s="1"/>
  <c r="U135" i="17" a="1"/>
  <c r="U135" i="17" s="1"/>
  <c r="U136" i="17" a="1"/>
  <c r="U136" i="17" s="1"/>
  <c r="U137" i="17" a="1"/>
  <c r="U137" i="17"/>
  <c r="U193" i="17" a="1"/>
  <c r="U193" i="17" s="1"/>
  <c r="U203" i="17" a="1"/>
  <c r="U203" i="17" s="1"/>
  <c r="U213" i="17" a="1"/>
  <c r="U213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23" i="17" a="1"/>
  <c r="U123" i="17" s="1"/>
  <c r="U138" i="17" a="1"/>
  <c r="U138" i="17" s="1"/>
  <c r="U139" i="17" a="1"/>
  <c r="U139" i="17" s="1"/>
  <c r="U140" i="17" a="1"/>
  <c r="U140" i="17" s="1"/>
  <c r="U141" i="17" a="1"/>
  <c r="U141" i="17" s="1"/>
  <c r="U142" i="17" a="1"/>
  <c r="U142" i="17" s="1"/>
  <c r="U143" i="17" a="1"/>
  <c r="U143" i="17" s="1"/>
  <c r="U194" i="17" a="1"/>
  <c r="U194" i="17" s="1"/>
  <c r="U204" i="17" a="1"/>
  <c r="U204" i="17" s="1"/>
  <c r="U214" i="17" a="1"/>
  <c r="U214" i="17" s="1"/>
  <c r="U14" i="17" a="1"/>
  <c r="U14" i="17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24" i="17" a="1"/>
  <c r="U124" i="17" s="1"/>
  <c r="U144" i="17" a="1"/>
  <c r="U144" i="17" s="1"/>
  <c r="U145" i="17" a="1"/>
  <c r="U145" i="17" s="1"/>
  <c r="U146" i="17" a="1"/>
  <c r="U146" i="17" s="1"/>
  <c r="U147" i="17" a="1"/>
  <c r="U147" i="17" s="1"/>
  <c r="U148" i="17" a="1"/>
  <c r="U148" i="17" s="1"/>
  <c r="U149" i="17" a="1"/>
  <c r="U149" i="17" s="1"/>
  <c r="U195" i="17" a="1"/>
  <c r="U195" i="17" s="1"/>
  <c r="U205" i="17" a="1"/>
  <c r="U205" i="17" s="1"/>
  <c r="U215" i="17" a="1"/>
  <c r="U215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125" i="17" a="1"/>
  <c r="U125" i="17" s="1"/>
  <c r="U150" i="17" a="1"/>
  <c r="U150" i="17"/>
  <c r="U151" i="17" a="1"/>
  <c r="U151" i="17" s="1"/>
  <c r="U152" i="17" a="1"/>
  <c r="U152" i="17" s="1"/>
  <c r="U153" i="17" a="1"/>
  <c r="U153" i="17" s="1"/>
  <c r="U154" i="17" a="1"/>
  <c r="U154" i="17" s="1"/>
  <c r="U155" i="17" a="1"/>
  <c r="U155" i="17" s="1"/>
  <c r="U196" i="17" a="1"/>
  <c r="U196" i="17" s="1"/>
  <c r="U206" i="17" a="1"/>
  <c r="U206" i="17" s="1"/>
  <c r="U216" i="17" a="1"/>
  <c r="U216" i="17" s="1"/>
  <c r="U26" i="17" a="1"/>
  <c r="U26" i="17" s="1"/>
  <c r="U27" i="17" a="1"/>
  <c r="U27" i="17" s="1"/>
  <c r="U28" i="17" a="1"/>
  <c r="U28" i="17" s="1"/>
  <c r="U29" i="17" a="1"/>
  <c r="U29" i="17"/>
  <c r="U30" i="17" a="1"/>
  <c r="U30" i="17"/>
  <c r="U31" i="17" a="1"/>
  <c r="U31" i="17" s="1"/>
  <c r="U86" i="17" a="1"/>
  <c r="U86" i="17" s="1"/>
  <c r="U87" i="17" a="1"/>
  <c r="U87" i="17" s="1"/>
  <c r="U88" i="17" a="1"/>
  <c r="U88" i="17"/>
  <c r="U89" i="17" a="1"/>
  <c r="U89" i="17" s="1"/>
  <c r="U90" i="17" a="1"/>
  <c r="U90" i="17" s="1"/>
  <c r="U91" i="17" a="1"/>
  <c r="U91" i="17" s="1"/>
  <c r="U126" i="17" a="1"/>
  <c r="U126" i="17" s="1"/>
  <c r="U156" i="17" a="1"/>
  <c r="U156" i="17" s="1"/>
  <c r="U157" i="17" a="1"/>
  <c r="U157" i="17" s="1"/>
  <c r="U158" i="17" a="1"/>
  <c r="U158" i="17" s="1"/>
  <c r="U159" i="17" a="1"/>
  <c r="U159" i="17" s="1"/>
  <c r="U160" i="17" a="1"/>
  <c r="U160" i="17" s="1"/>
  <c r="U161" i="17" a="1"/>
  <c r="U161" i="17" s="1"/>
  <c r="U197" i="17" a="1"/>
  <c r="U197" i="17" s="1"/>
  <c r="U207" i="17" a="1"/>
  <c r="U207" i="17" s="1"/>
  <c r="U217" i="17" a="1"/>
  <c r="U217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92" i="17" a="1"/>
  <c r="U92" i="17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27" i="17" a="1"/>
  <c r="U127" i="17" s="1"/>
  <c r="U162" i="17" a="1"/>
  <c r="U162" i="17" s="1"/>
  <c r="U163" i="17" a="1"/>
  <c r="U163" i="17" s="1"/>
  <c r="U164" i="17" a="1"/>
  <c r="U164" i="17" s="1"/>
  <c r="U165" i="17" a="1"/>
  <c r="U165" i="17" s="1"/>
  <c r="U166" i="17" a="1"/>
  <c r="U166" i="17" s="1"/>
  <c r="U167" i="17" a="1"/>
  <c r="U167" i="17" s="1"/>
  <c r="U198" i="17" a="1"/>
  <c r="U198" i="17" s="1"/>
  <c r="U208" i="17" a="1"/>
  <c r="U208" i="17" s="1"/>
  <c r="U218" i="17" a="1"/>
  <c r="U218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98" i="17" a="1"/>
  <c r="U98" i="17" s="1"/>
  <c r="U99" i="17" a="1"/>
  <c r="U99" i="17"/>
  <c r="U100" i="17" a="1"/>
  <c r="U100" i="17" s="1"/>
  <c r="U101" i="17" a="1"/>
  <c r="U101" i="17" s="1"/>
  <c r="U102" i="17" a="1"/>
  <c r="U102" i="17" s="1"/>
  <c r="U103" i="17" a="1"/>
  <c r="U103" i="17" s="1"/>
  <c r="U128" i="17" a="1"/>
  <c r="U128" i="17" s="1"/>
  <c r="U168" i="17" a="1"/>
  <c r="U168" i="17" s="1"/>
  <c r="U169" i="17" a="1"/>
  <c r="U169" i="17" s="1"/>
  <c r="U170" i="17" a="1"/>
  <c r="U170" i="17" s="1"/>
  <c r="U171" i="17" a="1"/>
  <c r="U171" i="17" s="1"/>
  <c r="U172" i="17" a="1"/>
  <c r="U172" i="17" s="1"/>
  <c r="U173" i="17" a="1"/>
  <c r="U173" i="17"/>
  <c r="U199" i="17" a="1"/>
  <c r="U199" i="17" s="1"/>
  <c r="U209" i="17" a="1"/>
  <c r="U209" i="17" s="1"/>
  <c r="U219" i="17" a="1"/>
  <c r="U219" i="17" s="1"/>
  <c r="U44" i="17" a="1"/>
  <c r="U44" i="17" s="1"/>
  <c r="U45" i="17" a="1"/>
  <c r="U45" i="17"/>
  <c r="U46" i="17" a="1"/>
  <c r="U46" i="17" s="1"/>
  <c r="U47" i="17" a="1"/>
  <c r="U47" i="17" s="1"/>
  <c r="U48" i="17" a="1"/>
  <c r="U48" i="17" s="1"/>
  <c r="U49" i="17" a="1"/>
  <c r="U49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29" i="17" a="1"/>
  <c r="U129" i="17" s="1"/>
  <c r="U174" i="17" a="1"/>
  <c r="U174" i="17" s="1"/>
  <c r="U175" i="17" a="1"/>
  <c r="U175" i="17" s="1"/>
  <c r="U176" i="17" a="1"/>
  <c r="U176" i="17" s="1"/>
  <c r="U177" i="17" a="1"/>
  <c r="U177" i="17" s="1"/>
  <c r="U178" i="17" a="1"/>
  <c r="U178" i="17" s="1"/>
  <c r="U179" i="17" a="1"/>
  <c r="U179" i="17" s="1"/>
  <c r="U200" i="17" a="1"/>
  <c r="U200" i="17" s="1"/>
  <c r="U210" i="17" a="1"/>
  <c r="U210" i="17"/>
  <c r="U220" i="17" a="1"/>
  <c r="U220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130" i="17" a="1"/>
  <c r="U130" i="17" s="1"/>
  <c r="U180" i="17" a="1"/>
  <c r="U180" i="17" s="1"/>
  <c r="U181" i="17" a="1"/>
  <c r="U181" i="17" s="1"/>
  <c r="U182" i="17" a="1"/>
  <c r="U182" i="17" s="1"/>
  <c r="U183" i="17" a="1"/>
  <c r="U183" i="17" s="1"/>
  <c r="U184" i="17" a="1"/>
  <c r="U184" i="17" s="1"/>
  <c r="U185" i="17" a="1"/>
  <c r="U185" i="17" s="1"/>
  <c r="U201" i="17" a="1"/>
  <c r="U201" i="17" s="1"/>
  <c r="U211" i="17" a="1"/>
  <c r="U211" i="17" s="1"/>
  <c r="U221" i="17" a="1"/>
  <c r="U221" i="17" s="1"/>
  <c r="U56" i="17" a="1"/>
  <c r="U56" i="17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131" i="17" a="1"/>
  <c r="U131" i="17" s="1"/>
  <c r="U186" i="17" a="1"/>
  <c r="U186" i="17" s="1"/>
  <c r="U187" i="17" a="1"/>
  <c r="U187" i="17" s="1"/>
  <c r="U188" i="17" a="1"/>
  <c r="U188" i="17" s="1"/>
  <c r="U189" i="17" a="1"/>
  <c r="U189" i="17" s="1"/>
  <c r="U190" i="17" a="1"/>
  <c r="U190" i="17" s="1"/>
  <c r="U191" i="17" a="1"/>
  <c r="U191" i="17" s="1"/>
  <c r="V192" i="17" a="1"/>
  <c r="V192" i="17" s="1"/>
  <c r="V202" i="17" a="1"/>
  <c r="V202" i="17" s="1"/>
  <c r="V212" i="17" a="1"/>
  <c r="V212" i="17" s="1"/>
  <c r="V2" i="17" a="1"/>
  <c r="V2" i="17" s="1"/>
  <c r="V3" i="17" a="1"/>
  <c r="V3" i="17"/>
  <c r="V4" i="17" a="1"/>
  <c r="V4" i="17"/>
  <c r="V5" i="17" a="1"/>
  <c r="V5" i="17" s="1"/>
  <c r="V6" i="17" a="1"/>
  <c r="V6" i="17"/>
  <c r="V7" i="17" a="1"/>
  <c r="V7" i="17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22" i="17" a="1"/>
  <c r="V122" i="17" s="1"/>
  <c r="V132" i="17" a="1"/>
  <c r="V132" i="17"/>
  <c r="V133" i="17" a="1"/>
  <c r="V133" i="17"/>
  <c r="V134" i="17" a="1"/>
  <c r="V134" i="17" s="1"/>
  <c r="V135" i="17" a="1"/>
  <c r="V135" i="17"/>
  <c r="V136" i="17" a="1"/>
  <c r="V136" i="17" s="1"/>
  <c r="V137" i="17" a="1"/>
  <c r="V137" i="17" s="1"/>
  <c r="V193" i="17" a="1"/>
  <c r="V193" i="17" s="1"/>
  <c r="V203" i="17" a="1"/>
  <c r="V203" i="17"/>
  <c r="V213" i="17" a="1"/>
  <c r="V213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23" i="17" a="1"/>
  <c r="V123" i="17" s="1"/>
  <c r="V138" i="17" a="1"/>
  <c r="V138" i="17" s="1"/>
  <c r="V139" i="17" a="1"/>
  <c r="V139" i="17" s="1"/>
  <c r="V140" i="17" a="1"/>
  <c r="V140" i="17"/>
  <c r="V141" i="17" a="1"/>
  <c r="V141" i="17"/>
  <c r="V142" i="17" a="1"/>
  <c r="V142" i="17"/>
  <c r="V143" i="17" a="1"/>
  <c r="V143" i="17" s="1"/>
  <c r="V194" i="17" a="1"/>
  <c r="V194" i="17" s="1"/>
  <c r="V204" i="17" a="1"/>
  <c r="V204" i="17" s="1"/>
  <c r="V214" i="17" a="1"/>
  <c r="V214" i="17" s="1"/>
  <c r="V14" i="17" a="1"/>
  <c r="V14" i="17" s="1"/>
  <c r="V15" i="17" a="1"/>
  <c r="V15" i="17" s="1"/>
  <c r="V16" i="17" a="1"/>
  <c r="V16" i="17"/>
  <c r="V17" i="17" a="1"/>
  <c r="V17" i="17" s="1"/>
  <c r="V18" i="17" a="1"/>
  <c r="V18" i="17" s="1"/>
  <c r="V19" i="17" a="1"/>
  <c r="V19" i="17" s="1"/>
  <c r="V74" i="17" a="1"/>
  <c r="V74" i="17" s="1"/>
  <c r="V75" i="17" a="1"/>
  <c r="V75" i="17" s="1"/>
  <c r="V76" i="17" a="1"/>
  <c r="V76" i="17"/>
  <c r="V77" i="17" a="1"/>
  <c r="V77" i="17" s="1"/>
  <c r="V78" i="17" a="1"/>
  <c r="V78" i="17" s="1"/>
  <c r="V79" i="17" a="1"/>
  <c r="V79" i="17" s="1"/>
  <c r="V124" i="17" a="1"/>
  <c r="V124" i="17" s="1"/>
  <c r="V144" i="17" a="1"/>
  <c r="V144" i="17" s="1"/>
  <c r="V145" i="17" a="1"/>
  <c r="V145" i="17" s="1"/>
  <c r="V146" i="17" a="1"/>
  <c r="V146" i="17"/>
  <c r="V147" i="17" a="1"/>
  <c r="V147" i="17" s="1"/>
  <c r="V148" i="17" a="1"/>
  <c r="V148" i="17" s="1"/>
  <c r="V149" i="17" a="1"/>
  <c r="V149" i="17" s="1"/>
  <c r="V195" i="17" a="1"/>
  <c r="V195" i="17" s="1"/>
  <c r="V205" i="17" a="1"/>
  <c r="V205" i="17" s="1"/>
  <c r="V215" i="17" a="1"/>
  <c r="V215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80" i="17" a="1"/>
  <c r="V80" i="17" s="1"/>
  <c r="V81" i="17" a="1"/>
  <c r="V81" i="17"/>
  <c r="V82" i="17" a="1"/>
  <c r="V82" i="17" s="1"/>
  <c r="V83" i="17" a="1"/>
  <c r="V83" i="17" s="1"/>
  <c r="V84" i="17" a="1"/>
  <c r="V84" i="17" s="1"/>
  <c r="V85" i="17" a="1"/>
  <c r="V85" i="17" s="1"/>
  <c r="V125" i="17" a="1"/>
  <c r="V125" i="17" s="1"/>
  <c r="V150" i="17" a="1"/>
  <c r="V150" i="17"/>
  <c r="V151" i="17" a="1"/>
  <c r="V151" i="17" s="1"/>
  <c r="V152" i="17" a="1"/>
  <c r="V152" i="17" s="1"/>
  <c r="V153" i="17" a="1"/>
  <c r="V153" i="17" s="1"/>
  <c r="V154" i="17" a="1"/>
  <c r="V154" i="17" s="1"/>
  <c r="V155" i="17" a="1"/>
  <c r="V155" i="17" s="1"/>
  <c r="V196" i="17" a="1"/>
  <c r="V196" i="17" s="1"/>
  <c r="V206" i="17" a="1"/>
  <c r="V206" i="17" s="1"/>
  <c r="V216" i="17" a="1"/>
  <c r="V216" i="17" s="1"/>
  <c r="V26" i="17" a="1"/>
  <c r="V26" i="17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26" i="17" a="1"/>
  <c r="V126" i="17" s="1"/>
  <c r="V156" i="17" a="1"/>
  <c r="V156" i="17" s="1"/>
  <c r="V157" i="17" a="1"/>
  <c r="V157" i="17" s="1"/>
  <c r="V158" i="17" a="1"/>
  <c r="V158" i="17" s="1"/>
  <c r="V159" i="17" a="1"/>
  <c r="V159" i="17" s="1"/>
  <c r="V160" i="17" a="1"/>
  <c r="V160" i="17" s="1"/>
  <c r="V161" i="17" a="1"/>
  <c r="V161" i="17" s="1"/>
  <c r="V197" i="17" a="1"/>
  <c r="V197" i="17" s="1"/>
  <c r="V207" i="17" a="1"/>
  <c r="V207" i="17" s="1"/>
  <c r="V217" i="17" a="1"/>
  <c r="V217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/>
  <c r="V127" i="17" a="1"/>
  <c r="V127" i="17" s="1"/>
  <c r="V162" i="17" a="1"/>
  <c r="V162" i="17"/>
  <c r="V163" i="17" a="1"/>
  <c r="V163" i="17" s="1"/>
  <c r="V164" i="17" a="1"/>
  <c r="V164" i="17" s="1"/>
  <c r="V165" i="17" a="1"/>
  <c r="V165" i="17" s="1"/>
  <c r="V166" i="17" a="1"/>
  <c r="V166" i="17" s="1"/>
  <c r="V167" i="17" a="1"/>
  <c r="V167" i="17" s="1"/>
  <c r="V198" i="17" a="1"/>
  <c r="V198" i="17" s="1"/>
  <c r="V208" i="17" a="1"/>
  <c r="V208" i="17" s="1"/>
  <c r="V218" i="17" a="1"/>
  <c r="V218" i="17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28" i="17" a="1"/>
  <c r="V128" i="17" s="1"/>
  <c r="V168" i="17" a="1"/>
  <c r="V168" i="17" s="1"/>
  <c r="V169" i="17" a="1"/>
  <c r="V169" i="17" s="1"/>
  <c r="V170" i="17" a="1"/>
  <c r="V170" i="17" s="1"/>
  <c r="V171" i="17" a="1"/>
  <c r="V171" i="17" s="1"/>
  <c r="V172" i="17" a="1"/>
  <c r="V172" i="17" s="1"/>
  <c r="V173" i="17" a="1"/>
  <c r="V173" i="17" s="1"/>
  <c r="V199" i="17" a="1"/>
  <c r="V199" i="17" s="1"/>
  <c r="V209" i="17" a="1"/>
  <c r="V209" i="17" s="1"/>
  <c r="V219" i="17" a="1"/>
  <c r="V219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/>
  <c r="V49" i="17" a="1"/>
  <c r="V49" i="17" s="1"/>
  <c r="V104" i="17" a="1"/>
  <c r="V104" i="17"/>
  <c r="V105" i="17" a="1"/>
  <c r="V105" i="17"/>
  <c r="V106" i="17" a="1"/>
  <c r="V106" i="17" s="1"/>
  <c r="V107" i="17" a="1"/>
  <c r="V107" i="17" s="1"/>
  <c r="V108" i="17" a="1"/>
  <c r="V108" i="17" s="1"/>
  <c r="V109" i="17" a="1"/>
  <c r="V109" i="17" s="1"/>
  <c r="V129" i="17" a="1"/>
  <c r="V129" i="17" s="1"/>
  <c r="V174" i="17" a="1"/>
  <c r="V174" i="17" s="1"/>
  <c r="V175" i="17" a="1"/>
  <c r="V175" i="17" s="1"/>
  <c r="V176" i="17" a="1"/>
  <c r="V176" i="17"/>
  <c r="V177" i="17" a="1"/>
  <c r="V177" i="17" s="1"/>
  <c r="V178" i="17" a="1"/>
  <c r="V178" i="17" s="1"/>
  <c r="V179" i="17" a="1"/>
  <c r="V179" i="17" s="1"/>
  <c r="V200" i="17" a="1"/>
  <c r="V200" i="17"/>
  <c r="V210" i="17" a="1"/>
  <c r="V210" i="17" s="1"/>
  <c r="V220" i="17" a="1"/>
  <c r="V220" i="17" s="1"/>
  <c r="V50" i="17" a="1"/>
  <c r="V50" i="17" s="1"/>
  <c r="V51" i="17" a="1"/>
  <c r="V51" i="17"/>
  <c r="V52" i="17" a="1"/>
  <c r="V52" i="17" s="1"/>
  <c r="V53" i="17" a="1"/>
  <c r="V53" i="17" s="1"/>
  <c r="V54" i="17" a="1"/>
  <c r="V54" i="17" s="1"/>
  <c r="V55" i="17" a="1"/>
  <c r="V55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130" i="17" a="1"/>
  <c r="V130" i="17" s="1"/>
  <c r="V180" i="17" a="1"/>
  <c r="V180" i="17" s="1"/>
  <c r="V181" i="17" a="1"/>
  <c r="V181" i="17"/>
  <c r="V182" i="17" a="1"/>
  <c r="V182" i="17" s="1"/>
  <c r="V183" i="17" a="1"/>
  <c r="V183" i="17" s="1"/>
  <c r="V184" i="17" a="1"/>
  <c r="V184" i="17" s="1"/>
  <c r="V185" i="17" a="1"/>
  <c r="V185" i="17"/>
  <c r="V201" i="17" a="1"/>
  <c r="V201" i="17"/>
  <c r="V211" i="17" a="1"/>
  <c r="V211" i="17" s="1"/>
  <c r="V221" i="17" a="1"/>
  <c r="V221" i="17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16" i="17" a="1"/>
  <c r="V116" i="17" s="1"/>
  <c r="V117" i="17" a="1"/>
  <c r="V117" i="17" s="1"/>
  <c r="V118" i="17" a="1"/>
  <c r="V118" i="17"/>
  <c r="V119" i="17" a="1"/>
  <c r="V119" i="17"/>
  <c r="V120" i="17" a="1"/>
  <c r="V120" i="17" s="1"/>
  <c r="V121" i="17" a="1"/>
  <c r="V121" i="17" s="1"/>
  <c r="V131" i="17" a="1"/>
  <c r="V131" i="17" s="1"/>
  <c r="V186" i="17" a="1"/>
  <c r="V186" i="17" s="1"/>
  <c r="V187" i="17" a="1"/>
  <c r="V187" i="17" s="1"/>
  <c r="V188" i="17" a="1"/>
  <c r="V188" i="17" s="1"/>
  <c r="V189" i="17" a="1"/>
  <c r="V189" i="17" s="1"/>
  <c r="V190" i="17" a="1"/>
  <c r="V190" i="17" s="1"/>
  <c r="V191" i="17" a="1"/>
  <c r="V191" i="17" s="1"/>
  <c r="X192" i="17" a="1"/>
  <c r="X192" i="17" s="1"/>
  <c r="Y192" i="17" s="1"/>
  <c r="Q192" i="17" s="1"/>
  <c r="W192" i="17" s="1"/>
  <c r="X202" i="17" a="1"/>
  <c r="X202" i="17" s="1"/>
  <c r="X212" i="17" a="1"/>
  <c r="X212" i="17"/>
  <c r="X2" i="17" a="1"/>
  <c r="X2" i="17"/>
  <c r="X3" i="17" a="1"/>
  <c r="X3" i="17" s="1"/>
  <c r="X4" i="17" a="1"/>
  <c r="X4" i="17"/>
  <c r="X5" i="17" a="1"/>
  <c r="X5" i="17"/>
  <c r="X6" i="17" a="1"/>
  <c r="X6" i="17" s="1"/>
  <c r="Y6" i="17" s="1"/>
  <c r="X7" i="17" a="1"/>
  <c r="X7" i="17"/>
  <c r="X62" i="17" a="1"/>
  <c r="X62" i="17" s="1"/>
  <c r="X63" i="17" a="1"/>
  <c r="X63" i="17" s="1"/>
  <c r="Y63" i="17" s="1"/>
  <c r="Q63" i="17" s="1"/>
  <c r="W63" i="17" s="1"/>
  <c r="X64" i="17" a="1"/>
  <c r="X64" i="17" s="1"/>
  <c r="X65" i="17" a="1"/>
  <c r="X65" i="17"/>
  <c r="X66" i="17" a="1"/>
  <c r="X66" i="17" s="1"/>
  <c r="Y66" i="17" s="1"/>
  <c r="Q66" i="17" s="1"/>
  <c r="W66" i="17" s="1"/>
  <c r="X67" i="17" a="1"/>
  <c r="X67" i="17" s="1"/>
  <c r="X122" i="17" a="1"/>
  <c r="X122" i="17" s="1"/>
  <c r="X132" i="17" a="1"/>
  <c r="X132" i="17" s="1"/>
  <c r="X133" i="17" a="1"/>
  <c r="X133" i="17"/>
  <c r="X134" i="17" a="1"/>
  <c r="X134" i="17" s="1"/>
  <c r="X135" i="17" a="1"/>
  <c r="X135" i="17" s="1"/>
  <c r="Y135" i="17" s="1"/>
  <c r="Q135" i="17" s="1"/>
  <c r="W135" i="17" s="1"/>
  <c r="X136" i="17" a="1"/>
  <c r="X136" i="17" s="1"/>
  <c r="X137" i="17" a="1"/>
  <c r="X137" i="17" s="1"/>
  <c r="X193" i="17" a="1"/>
  <c r="X193" i="17" s="1"/>
  <c r="Y193" i="17" s="1"/>
  <c r="Q193" i="17" s="1"/>
  <c r="W193" i="17" s="1"/>
  <c r="X203" i="17" a="1"/>
  <c r="X203" i="17" s="1"/>
  <c r="Y203" i="17" s="1"/>
  <c r="X213" i="17" a="1"/>
  <c r="X213" i="17" s="1"/>
  <c r="X8" i="17" a="1"/>
  <c r="X8" i="17" s="1"/>
  <c r="X9" i="17" a="1"/>
  <c r="X9" i="17" s="1"/>
  <c r="X10" i="17" a="1"/>
  <c r="X10" i="17" s="1"/>
  <c r="X11" i="17" a="1"/>
  <c r="X11" i="17" s="1"/>
  <c r="Y11" i="17" s="1"/>
  <c r="Q11" i="17" s="1"/>
  <c r="W11" i="17" s="1"/>
  <c r="X12" i="17" a="1"/>
  <c r="X12" i="17" s="1"/>
  <c r="X13" i="17" a="1"/>
  <c r="X13" i="17" s="1"/>
  <c r="X68" i="17" a="1"/>
  <c r="X68" i="17" s="1"/>
  <c r="X69" i="17" a="1"/>
  <c r="X69" i="17" s="1"/>
  <c r="Y69" i="17" s="1"/>
  <c r="X70" i="17" a="1"/>
  <c r="X70" i="17" s="1"/>
  <c r="X71" i="17" a="1"/>
  <c r="X71" i="17" s="1"/>
  <c r="X72" i="17" a="1"/>
  <c r="X72" i="17" s="1"/>
  <c r="X73" i="17" a="1"/>
  <c r="X73" i="17" s="1"/>
  <c r="X123" i="17" a="1"/>
  <c r="X123" i="17" s="1"/>
  <c r="X138" i="17" a="1"/>
  <c r="X138" i="17" s="1"/>
  <c r="X139" i="17" a="1"/>
  <c r="X139" i="17" s="1"/>
  <c r="X140" i="17" a="1"/>
  <c r="X140" i="17" s="1"/>
  <c r="Y140" i="17" s="1"/>
  <c r="X141" i="17" a="1"/>
  <c r="X141" i="17" s="1"/>
  <c r="Y141" i="17" s="1"/>
  <c r="Q141" i="17" s="1"/>
  <c r="W141" i="17" s="1"/>
  <c r="X142" i="17" a="1"/>
  <c r="X142" i="17" s="1"/>
  <c r="X143" i="17" a="1"/>
  <c r="X143" i="17"/>
  <c r="X194" i="17" a="1"/>
  <c r="X194" i="17" s="1"/>
  <c r="Y194" i="17" s="1"/>
  <c r="X204" i="17" a="1"/>
  <c r="X204" i="17" s="1"/>
  <c r="X214" i="17" a="1"/>
  <c r="X214" i="17" s="1"/>
  <c r="X14" i="17" a="1"/>
  <c r="X14" i="17" s="1"/>
  <c r="Y14" i="17" s="1"/>
  <c r="Q14" i="17" s="1"/>
  <c r="W14" i="17" s="1"/>
  <c r="X15" i="17" a="1"/>
  <c r="X15" i="17" s="1"/>
  <c r="X16" i="17" a="1"/>
  <c r="X16" i="17" s="1"/>
  <c r="Y16" i="17" s="1"/>
  <c r="Q16" i="17" s="1"/>
  <c r="W16" i="17" s="1"/>
  <c r="X17" i="17" a="1"/>
  <c r="X17" i="17" s="1"/>
  <c r="Y17" i="17" s="1"/>
  <c r="X18" i="17" a="1"/>
  <c r="X18" i="17" s="1"/>
  <c r="X19" i="17" a="1"/>
  <c r="X19" i="17" s="1"/>
  <c r="X74" i="17" a="1"/>
  <c r="X74" i="17"/>
  <c r="Y74" i="17" s="1"/>
  <c r="X75" i="17" a="1"/>
  <c r="X75" i="17" s="1"/>
  <c r="X76" i="17" a="1"/>
  <c r="X76" i="17" s="1"/>
  <c r="X77" i="17" a="1"/>
  <c r="X77" i="17" s="1"/>
  <c r="X78" i="17" a="1"/>
  <c r="X78" i="17" s="1"/>
  <c r="X79" i="17" a="1"/>
  <c r="X79" i="17" s="1"/>
  <c r="Y79" i="17" s="1"/>
  <c r="Q79" i="17" s="1"/>
  <c r="W79" i="17" s="1"/>
  <c r="X124" i="17" a="1"/>
  <c r="X124" i="17" s="1"/>
  <c r="X144" i="17" a="1"/>
  <c r="X144" i="17" s="1"/>
  <c r="X145" i="17" a="1"/>
  <c r="X145" i="17" s="1"/>
  <c r="X146" i="17" a="1"/>
  <c r="X146" i="17" s="1"/>
  <c r="Y146" i="17" s="1"/>
  <c r="X147" i="17" a="1"/>
  <c r="X147" i="17" s="1"/>
  <c r="X148" i="17" a="1"/>
  <c r="X148" i="17" s="1"/>
  <c r="Y148" i="17" s="1"/>
  <c r="X149" i="17" a="1"/>
  <c r="X149" i="17" s="1"/>
  <c r="Y149" i="17" s="1"/>
  <c r="Q149" i="17" s="1"/>
  <c r="W149" i="17" s="1"/>
  <c r="X195" i="17" a="1"/>
  <c r="X195" i="17" s="1"/>
  <c r="X205" i="17" a="1"/>
  <c r="X205" i="17" s="1"/>
  <c r="Y205" i="17" s="1"/>
  <c r="Q205" i="17" s="1"/>
  <c r="W205" i="17" s="1"/>
  <c r="X215" i="17" a="1"/>
  <c r="X215" i="17" s="1"/>
  <c r="Y215" i="17" s="1"/>
  <c r="X20" i="17" a="1"/>
  <c r="X20" i="17" s="1"/>
  <c r="X21" i="17" a="1"/>
  <c r="X21" i="17" s="1"/>
  <c r="Y21" i="17" s="1"/>
  <c r="Q21" i="17" s="1"/>
  <c r="W21" i="17" s="1"/>
  <c r="X22" i="17" a="1"/>
  <c r="X22" i="17" s="1"/>
  <c r="Y22" i="17" s="1"/>
  <c r="Q22" i="17" s="1"/>
  <c r="W22" i="17" s="1"/>
  <c r="X23" i="17" a="1"/>
  <c r="X23" i="17" s="1"/>
  <c r="X24" i="17" a="1"/>
  <c r="X24" i="17" s="1"/>
  <c r="X25" i="17" a="1"/>
  <c r="X25" i="17" s="1"/>
  <c r="X80" i="17" a="1"/>
  <c r="X80" i="17" s="1"/>
  <c r="X81" i="17" a="1"/>
  <c r="X81" i="17" s="1"/>
  <c r="Y81" i="17" s="1"/>
  <c r="Q81" i="17" s="1"/>
  <c r="W81" i="17" s="1"/>
  <c r="X82" i="17" a="1"/>
  <c r="X82" i="17"/>
  <c r="X83" i="17" a="1"/>
  <c r="X83" i="17" s="1"/>
  <c r="X84" i="17" a="1"/>
  <c r="X84" i="17" s="1"/>
  <c r="Y84" i="17" s="1"/>
  <c r="Q84" i="17" s="1"/>
  <c r="W84" i="17" s="1"/>
  <c r="X85" i="17" a="1"/>
  <c r="X85" i="17" s="1"/>
  <c r="Y85" i="17" s="1"/>
  <c r="Q85" i="17" s="1"/>
  <c r="W85" i="17" s="1"/>
  <c r="X125" i="17" a="1"/>
  <c r="X125" i="17" s="1"/>
  <c r="X150" i="17" a="1"/>
  <c r="X150" i="17" s="1"/>
  <c r="Y150" i="17" s="1"/>
  <c r="Q150" i="17" s="1"/>
  <c r="W150" i="17" s="1"/>
  <c r="X151" i="17" a="1"/>
  <c r="X151" i="17"/>
  <c r="X152" i="17" a="1"/>
  <c r="X152" i="17" s="1"/>
  <c r="X153" i="17" a="1"/>
  <c r="X153" i="17" s="1"/>
  <c r="X154" i="17" a="1"/>
  <c r="X154" i="17" s="1"/>
  <c r="X155" i="17" a="1"/>
  <c r="X155" i="17" s="1"/>
  <c r="X196" i="17" a="1"/>
  <c r="X196" i="17" s="1"/>
  <c r="Y196" i="17" s="1"/>
  <c r="Q196" i="17" s="1"/>
  <c r="W196" i="17" s="1"/>
  <c r="X206" i="17" a="1"/>
  <c r="X206" i="17" s="1"/>
  <c r="X216" i="17" a="1"/>
  <c r="X216" i="17" s="1"/>
  <c r="X26" i="17" a="1"/>
  <c r="X26" i="17" s="1"/>
  <c r="Y26" i="17" s="1"/>
  <c r="Q26" i="17" s="1"/>
  <c r="W26" i="17" s="1"/>
  <c r="X27" i="17" a="1"/>
  <c r="X27" i="17" s="1"/>
  <c r="Y27" i="17" s="1"/>
  <c r="X28" i="17" a="1"/>
  <c r="X28" i="17" s="1"/>
  <c r="X29" i="17" a="1"/>
  <c r="X29" i="17"/>
  <c r="X30" i="17" a="1"/>
  <c r="X30" i="17" s="1"/>
  <c r="Y30" i="17" s="1"/>
  <c r="X31" i="17" a="1"/>
  <c r="X31" i="17" s="1"/>
  <c r="X86" i="17" a="1"/>
  <c r="X86" i="17" s="1"/>
  <c r="Y86" i="17" s="1"/>
  <c r="X87" i="17" a="1"/>
  <c r="X87" i="17" s="1"/>
  <c r="X88" i="17" a="1"/>
  <c r="X88" i="17" s="1"/>
  <c r="X89" i="17" a="1"/>
  <c r="X89" i="17" s="1"/>
  <c r="Y89" i="17" s="1"/>
  <c r="Q89" i="17" s="1"/>
  <c r="W89" i="17" s="1"/>
  <c r="X90" i="17" a="1"/>
  <c r="X90" i="17" s="1"/>
  <c r="X91" i="17" a="1"/>
  <c r="X91" i="17" s="1"/>
  <c r="Y91" i="17" s="1"/>
  <c r="Q91" i="17" s="1"/>
  <c r="W91" i="17" s="1"/>
  <c r="X126" i="17" a="1"/>
  <c r="X126" i="17" s="1"/>
  <c r="Y126" i="17" s="1"/>
  <c r="Q126" i="17" s="1"/>
  <c r="W126" i="17" s="1"/>
  <c r="X156" i="17" a="1"/>
  <c r="X156" i="17" s="1"/>
  <c r="Y156" i="17" s="1"/>
  <c r="Q156" i="17" s="1"/>
  <c r="W156" i="17" s="1"/>
  <c r="X157" i="17" a="1"/>
  <c r="X157" i="17" s="1"/>
  <c r="X158" i="17" a="1"/>
  <c r="X158" i="17" s="1"/>
  <c r="Y158" i="17" s="1"/>
  <c r="Q158" i="17" s="1"/>
  <c r="W158" i="17" s="1"/>
  <c r="X159" i="17" a="1"/>
  <c r="X159" i="17" s="1"/>
  <c r="X160" i="17" a="1"/>
  <c r="X160" i="17" s="1"/>
  <c r="Y160" i="17" s="1"/>
  <c r="Q160" i="17" s="1"/>
  <c r="W160" i="17" s="1"/>
  <c r="X161" i="17" a="1"/>
  <c r="X161" i="17" s="1"/>
  <c r="Y161" i="17" s="1"/>
  <c r="Q161" i="17" s="1"/>
  <c r="W161" i="17" s="1"/>
  <c r="X197" i="17" a="1"/>
  <c r="X197" i="17" s="1"/>
  <c r="X207" i="17" a="1"/>
  <c r="X207" i="17" s="1"/>
  <c r="X217" i="17" a="1"/>
  <c r="X217" i="17" s="1"/>
  <c r="Y217" i="17" s="1"/>
  <c r="Q217" i="17" s="1"/>
  <c r="W217" i="17" s="1"/>
  <c r="X32" i="17" a="1"/>
  <c r="X32" i="17" s="1"/>
  <c r="Y32" i="17" s="1"/>
  <c r="Q32" i="17" s="1"/>
  <c r="W32" i="17" s="1"/>
  <c r="X33" i="17" a="1"/>
  <c r="X33" i="17" s="1"/>
  <c r="X34" i="17" a="1"/>
  <c r="X34" i="17" s="1"/>
  <c r="X35" i="17" a="1"/>
  <c r="X35" i="17" s="1"/>
  <c r="X36" i="17" a="1"/>
  <c r="X36" i="17" s="1"/>
  <c r="X37" i="17" a="1"/>
  <c r="X37" i="17"/>
  <c r="X92" i="17" a="1"/>
  <c r="X92" i="17" s="1"/>
  <c r="Y92" i="17" s="1"/>
  <c r="Q92" i="17" s="1"/>
  <c r="W92" i="17" s="1"/>
  <c r="X93" i="17" a="1"/>
  <c r="X93" i="17" s="1"/>
  <c r="X94" i="17" a="1"/>
  <c r="X94" i="17" s="1"/>
  <c r="Y94" i="17" s="1"/>
  <c r="X95" i="17" a="1"/>
  <c r="X95" i="17" s="1"/>
  <c r="Y95" i="17" s="1"/>
  <c r="Q95" i="17" s="1"/>
  <c r="W95" i="17" s="1"/>
  <c r="X96" i="17" a="1"/>
  <c r="X96" i="17" s="1"/>
  <c r="X97" i="17" a="1"/>
  <c r="X97" i="17"/>
  <c r="X127" i="17" a="1"/>
  <c r="X127" i="17" s="1"/>
  <c r="Y127" i="17" s="1"/>
  <c r="Q127" i="17" s="1"/>
  <c r="W127" i="17" s="1"/>
  <c r="X162" i="17" a="1"/>
  <c r="X162" i="17" s="1"/>
  <c r="Y162" i="17" s="1"/>
  <c r="Q162" i="17" s="1"/>
  <c r="W162" i="17" s="1"/>
  <c r="X163" i="17" a="1"/>
  <c r="X163" i="17" s="1"/>
  <c r="Y163" i="17" s="1"/>
  <c r="Q163" i="17" s="1"/>
  <c r="W163" i="17" s="1"/>
  <c r="X164" i="17" a="1"/>
  <c r="X164" i="17" s="1"/>
  <c r="X165" i="17" a="1"/>
  <c r="X165" i="17" s="1"/>
  <c r="X166" i="17" a="1"/>
  <c r="X166" i="17" s="1"/>
  <c r="Y166" i="17" s="1"/>
  <c r="Q166" i="17" s="1"/>
  <c r="W166" i="17" s="1"/>
  <c r="X167" i="17" a="1"/>
  <c r="X167" i="17" s="1"/>
  <c r="Y167" i="17" s="1"/>
  <c r="X198" i="17" a="1"/>
  <c r="X198" i="17" s="1"/>
  <c r="X208" i="17" a="1"/>
  <c r="X208" i="17" s="1"/>
  <c r="X218" i="17" a="1"/>
  <c r="X218" i="17" s="1"/>
  <c r="Y218" i="17" s="1"/>
  <c r="Q218" i="17" s="1"/>
  <c r="W218" i="17" s="1"/>
  <c r="X38" i="17" a="1"/>
  <c r="X38" i="17" s="1"/>
  <c r="X39" i="17" a="1"/>
  <c r="X39" i="17" s="1"/>
  <c r="X40" i="17" a="1"/>
  <c r="X40" i="17" s="1"/>
  <c r="Y40" i="17" s="1"/>
  <c r="Q40" i="17" s="1"/>
  <c r="W40" i="17" s="1"/>
  <c r="X41" i="17" a="1"/>
  <c r="X41" i="17" s="1"/>
  <c r="X42" i="17" a="1"/>
  <c r="X42" i="17" s="1"/>
  <c r="Y42" i="17" s="1"/>
  <c r="Q42" i="17" s="1"/>
  <c r="W42" i="17" s="1"/>
  <c r="X43" i="17" a="1"/>
  <c r="X43" i="17" s="1"/>
  <c r="Y43" i="17" s="1"/>
  <c r="X98" i="17" a="1"/>
  <c r="X98" i="17" s="1"/>
  <c r="X99" i="17" a="1"/>
  <c r="X99" i="17" s="1"/>
  <c r="X100" i="17" a="1"/>
  <c r="X100" i="17" s="1"/>
  <c r="X101" i="17" a="1"/>
  <c r="X101" i="17" s="1"/>
  <c r="X102" i="17" a="1"/>
  <c r="X102" i="17" s="1"/>
  <c r="X103" i="17" a="1"/>
  <c r="X103" i="17" s="1"/>
  <c r="Y103" i="17" s="1"/>
  <c r="Q103" i="17" s="1"/>
  <c r="W103" i="17" s="1"/>
  <c r="X128" i="17" a="1"/>
  <c r="X128" i="17" s="1"/>
  <c r="X168" i="17" a="1"/>
  <c r="X168" i="17" s="1"/>
  <c r="X169" i="17" a="1"/>
  <c r="X169" i="17" s="1"/>
  <c r="Y169" i="17" s="1"/>
  <c r="Q169" i="17" s="1"/>
  <c r="W169" i="17" s="1"/>
  <c r="X170" i="17" a="1"/>
  <c r="X170" i="17" s="1"/>
  <c r="X171" i="17" a="1"/>
  <c r="X171" i="17" s="1"/>
  <c r="Y171" i="17" s="1"/>
  <c r="Q171" i="17" s="1"/>
  <c r="W171" i="17" s="1"/>
  <c r="X172" i="17" a="1"/>
  <c r="X172" i="17" s="1"/>
  <c r="Y172" i="17" s="1"/>
  <c r="X173" i="17" a="1"/>
  <c r="X173" i="17" s="1"/>
  <c r="Y173" i="17" s="1"/>
  <c r="Q173" i="17" s="1"/>
  <c r="W173" i="17" s="1"/>
  <c r="X199" i="17" a="1"/>
  <c r="X199" i="17" s="1"/>
  <c r="X209" i="17" a="1"/>
  <c r="X209" i="17" s="1"/>
  <c r="Y209" i="17" s="1"/>
  <c r="Q209" i="17" s="1"/>
  <c r="W209" i="17" s="1"/>
  <c r="X219" i="17" a="1"/>
  <c r="X219" i="17" s="1"/>
  <c r="X44" i="17" a="1"/>
  <c r="X44" i="17" s="1"/>
  <c r="X45" i="17" a="1"/>
  <c r="X45" i="17" s="1"/>
  <c r="X46" i="17" a="1"/>
  <c r="X46" i="17" s="1"/>
  <c r="Y46" i="17" s="1"/>
  <c r="Q46" i="17" s="1"/>
  <c r="W46" i="17" s="1"/>
  <c r="X47" i="17" a="1"/>
  <c r="X47" i="17" s="1"/>
  <c r="X48" i="17" a="1"/>
  <c r="X48" i="17" s="1"/>
  <c r="X49" i="17" a="1"/>
  <c r="X49" i="17" s="1"/>
  <c r="X104" i="17" a="1"/>
  <c r="X104" i="17" s="1"/>
  <c r="Y104" i="17" s="1"/>
  <c r="Q104" i="17" s="1"/>
  <c r="W104" i="17" s="1"/>
  <c r="X105" i="17" a="1"/>
  <c r="X105" i="17" s="1"/>
  <c r="Y105" i="17" s="1"/>
  <c r="Q105" i="17" s="1"/>
  <c r="W105" i="17" s="1"/>
  <c r="X106" i="17" a="1"/>
  <c r="X106" i="17" s="1"/>
  <c r="X107" i="17" a="1"/>
  <c r="X107" i="17" s="1"/>
  <c r="Y107" i="17" s="1"/>
  <c r="Q107" i="17" s="1"/>
  <c r="W107" i="17" s="1"/>
  <c r="X108" i="17" a="1"/>
  <c r="X108" i="17" s="1"/>
  <c r="Y108" i="17" s="1"/>
  <c r="Q108" i="17" s="1"/>
  <c r="W108" i="17" s="1"/>
  <c r="X109" i="17" a="1"/>
  <c r="X109" i="17" s="1"/>
  <c r="X129" i="17" a="1"/>
  <c r="X129" i="17" s="1"/>
  <c r="Y129" i="17" s="1"/>
  <c r="Q129" i="17" s="1"/>
  <c r="W129" i="17" s="1"/>
  <c r="X174" i="17" a="1"/>
  <c r="X174" i="17" s="1"/>
  <c r="Y174" i="17" s="1"/>
  <c r="X175" i="17" a="1"/>
  <c r="X175" i="17" s="1"/>
  <c r="X176" i="17" a="1"/>
  <c r="X176" i="17" s="1"/>
  <c r="Y176" i="17" s="1"/>
  <c r="X177" i="17" a="1"/>
  <c r="X177" i="17" s="1"/>
  <c r="Y177" i="17" s="1"/>
  <c r="X178" i="17" a="1"/>
  <c r="X178" i="17" s="1"/>
  <c r="Y178" i="17" s="1"/>
  <c r="X179" i="17" a="1"/>
  <c r="X179" i="17" s="1"/>
  <c r="X200" i="17" a="1"/>
  <c r="X200" i="17" s="1"/>
  <c r="Y200" i="17" s="1"/>
  <c r="Q200" i="17" s="1"/>
  <c r="W200" i="17" s="1"/>
  <c r="X210" i="17" a="1"/>
  <c r="X210" i="17" s="1"/>
  <c r="Y210" i="17" s="1"/>
  <c r="Q210" i="17" s="1"/>
  <c r="W210" i="17" s="1"/>
  <c r="X220" i="17" a="1"/>
  <c r="X220" i="17" s="1"/>
  <c r="Y220" i="17" s="1"/>
  <c r="Q220" i="17" s="1"/>
  <c r="W220" i="17" s="1"/>
  <c r="X50" i="17" a="1"/>
  <c r="X50" i="17" s="1"/>
  <c r="X51" i="17" a="1"/>
  <c r="X51" i="17" s="1"/>
  <c r="Y51" i="17" s="1"/>
  <c r="Q51" i="17" s="1"/>
  <c r="W51" i="17" s="1"/>
  <c r="X52" i="17" a="1"/>
  <c r="X52" i="17" s="1"/>
  <c r="X53" i="17" a="1"/>
  <c r="X53" i="17" s="1"/>
  <c r="Y53" i="17" s="1"/>
  <c r="X54" i="17" a="1"/>
  <c r="X54" i="17" s="1"/>
  <c r="Y54" i="17" s="1"/>
  <c r="Q54" i="17" s="1"/>
  <c r="W54" i="17" s="1"/>
  <c r="X55" i="17" a="1"/>
  <c r="X55" i="17"/>
  <c r="Y55" i="17" s="1"/>
  <c r="Q55" i="17" s="1"/>
  <c r="W55" i="17" s="1"/>
  <c r="X110" i="17" a="1"/>
  <c r="X110" i="17"/>
  <c r="Y110" i="17" s="1"/>
  <c r="Q110" i="17" s="1"/>
  <c r="W110" i="17" s="1"/>
  <c r="X111" i="17" a="1"/>
  <c r="X111" i="17" s="1"/>
  <c r="X112" i="17" a="1"/>
  <c r="X112" i="17" s="1"/>
  <c r="Y112" i="17" s="1"/>
  <c r="Q112" i="17" s="1"/>
  <c r="W112" i="17" s="1"/>
  <c r="X113" i="17" a="1"/>
  <c r="X113" i="17" s="1"/>
  <c r="Y113" i="17" s="1"/>
  <c r="Q113" i="17" s="1"/>
  <c r="W113" i="17" s="1"/>
  <c r="X114" i="17" a="1"/>
  <c r="X114" i="17" s="1"/>
  <c r="Y114" i="17" s="1"/>
  <c r="Q114" i="17" s="1"/>
  <c r="W114" i="17" s="1"/>
  <c r="X115" i="17" a="1"/>
  <c r="X115" i="17" s="1"/>
  <c r="Y115" i="17" s="1"/>
  <c r="Q115" i="17" s="1"/>
  <c r="W115" i="17" s="1"/>
  <c r="X130" i="17" a="1"/>
  <c r="X130" i="17"/>
  <c r="X180" i="17" a="1"/>
  <c r="X180" i="17" s="1"/>
  <c r="X181" i="17" a="1"/>
  <c r="X181" i="17" s="1"/>
  <c r="Y181" i="17" s="1"/>
  <c r="X182" i="17" a="1"/>
  <c r="X182" i="17"/>
  <c r="Y182" i="17" s="1"/>
  <c r="Q182" i="17" s="1"/>
  <c r="W182" i="17" s="1"/>
  <c r="X183" i="17" a="1"/>
  <c r="X183" i="17" s="1"/>
  <c r="Y183" i="17" s="1"/>
  <c r="Q183" i="17" s="1"/>
  <c r="W183" i="17" s="1"/>
  <c r="X184" i="17" a="1"/>
  <c r="X184" i="17" s="1"/>
  <c r="Y184" i="17" s="1"/>
  <c r="Q184" i="17" s="1"/>
  <c r="W184" i="17" s="1"/>
  <c r="X185" i="17" a="1"/>
  <c r="X185" i="17"/>
  <c r="Y185" i="17" s="1"/>
  <c r="X201" i="17" a="1"/>
  <c r="X201" i="17" s="1"/>
  <c r="Y201" i="17" s="1"/>
  <c r="Q201" i="17" s="1"/>
  <c r="W201" i="17" s="1"/>
  <c r="X211" i="17" a="1"/>
  <c r="X211" i="17" s="1"/>
  <c r="X221" i="17" a="1"/>
  <c r="X221" i="17" s="1"/>
  <c r="X56" i="17" a="1"/>
  <c r="X56" i="17" s="1"/>
  <c r="Y56" i="17" s="1"/>
  <c r="Q56" i="17" s="1"/>
  <c r="W56" i="17" s="1"/>
  <c r="X57" i="17" a="1"/>
  <c r="X57" i="17" s="1"/>
  <c r="Y57" i="17" s="1"/>
  <c r="Q57" i="17" s="1"/>
  <c r="W57" i="17" s="1"/>
  <c r="X58" i="17" a="1"/>
  <c r="X58" i="17" s="1"/>
  <c r="X59" i="17" a="1"/>
  <c r="X59" i="17" s="1"/>
  <c r="X60" i="17" a="1"/>
  <c r="X60" i="17" s="1"/>
  <c r="Y60" i="17" s="1"/>
  <c r="Q60" i="17" s="1"/>
  <c r="W60" i="17" s="1"/>
  <c r="X61" i="17" a="1"/>
  <c r="X61" i="17" s="1"/>
  <c r="Y61" i="17" s="1"/>
  <c r="Q61" i="17" s="1"/>
  <c r="W61" i="17" s="1"/>
  <c r="X116" i="17" a="1"/>
  <c r="X116" i="17" s="1"/>
  <c r="Y116" i="17" s="1"/>
  <c r="Q116" i="17" s="1"/>
  <c r="W116" i="17" s="1"/>
  <c r="X117" i="17" a="1"/>
  <c r="X117" i="17" s="1"/>
  <c r="X118" i="17" a="1"/>
  <c r="X118" i="17" s="1"/>
  <c r="Y118" i="17" s="1"/>
  <c r="Q118" i="17" s="1"/>
  <c r="W118" i="17" s="1"/>
  <c r="X119" i="17" a="1"/>
  <c r="X119" i="17" s="1"/>
  <c r="Y119" i="17" s="1"/>
  <c r="Q119" i="17" s="1"/>
  <c r="W119" i="17" s="1"/>
  <c r="X120" i="17" a="1"/>
  <c r="X120" i="17" s="1"/>
  <c r="Y120" i="17" s="1"/>
  <c r="Q120" i="17" s="1"/>
  <c r="W120" i="17" s="1"/>
  <c r="X121" i="17" a="1"/>
  <c r="X121" i="17" s="1"/>
  <c r="X131" i="17" a="1"/>
  <c r="X131" i="17" s="1"/>
  <c r="Y131" i="17" s="1"/>
  <c r="Q131" i="17" s="1"/>
  <c r="W131" i="17" s="1"/>
  <c r="X186" i="17" a="1"/>
  <c r="X186" i="17" s="1"/>
  <c r="Y186" i="17" s="1"/>
  <c r="X187" i="17" a="1"/>
  <c r="X187" i="17" s="1"/>
  <c r="Y187" i="17" s="1"/>
  <c r="Q187" i="17" s="1"/>
  <c r="W187" i="17" s="1"/>
  <c r="X188" i="17" a="1"/>
  <c r="X188" i="17" s="1"/>
  <c r="Y188" i="17" s="1"/>
  <c r="X189" i="17" a="1"/>
  <c r="X189" i="17" s="1"/>
  <c r="Y189" i="17" s="1"/>
  <c r="Q189" i="17" s="1"/>
  <c r="W189" i="17" s="1"/>
  <c r="X190" i="17" a="1"/>
  <c r="X190" i="17" s="1"/>
  <c r="Y190" i="17" s="1"/>
  <c r="Q190" i="17" s="1"/>
  <c r="W190" i="17" s="1"/>
  <c r="X191" i="17" a="1"/>
  <c r="X191" i="17" s="1"/>
  <c r="Y191" i="17" s="1"/>
  <c r="Y212" i="17"/>
  <c r="Y2" i="17"/>
  <c r="Q2" i="17" s="1"/>
  <c r="W2" i="17" s="1"/>
  <c r="Y5" i="17"/>
  <c r="Q5" i="17" s="1"/>
  <c r="W5" i="17" s="1"/>
  <c r="Y7" i="17"/>
  <c r="Q7" i="17" s="1"/>
  <c r="W7" i="17" s="1"/>
  <c r="Y62" i="17"/>
  <c r="Q62" i="17" s="1"/>
  <c r="W62" i="17" s="1"/>
  <c r="Y65" i="17"/>
  <c r="Q65" i="17" s="1"/>
  <c r="W65" i="17" s="1"/>
  <c r="Y122" i="17"/>
  <c r="Q122" i="17" s="1"/>
  <c r="W122" i="17" s="1"/>
  <c r="Y134" i="17"/>
  <c r="Y136" i="17"/>
  <c r="Y137" i="17"/>
  <c r="Q137" i="17" s="1"/>
  <c r="W137" i="17" s="1"/>
  <c r="Y213" i="17"/>
  <c r="Q213" i="17" s="1"/>
  <c r="W213" i="17" s="1"/>
  <c r="Y10" i="17"/>
  <c r="Y70" i="17"/>
  <c r="Q70" i="17" s="1"/>
  <c r="W70" i="17" s="1"/>
  <c r="Y73" i="17"/>
  <c r="Q73" i="17" s="1"/>
  <c r="W73" i="17" s="1"/>
  <c r="Y139" i="17"/>
  <c r="Q139" i="17" s="1"/>
  <c r="W139" i="17" s="1"/>
  <c r="Y204" i="17"/>
  <c r="Q204" i="17" s="1"/>
  <c r="W204" i="17" s="1"/>
  <c r="Y214" i="17"/>
  <c r="Q214" i="17" s="1"/>
  <c r="W214" i="17" s="1"/>
  <c r="Y18" i="17"/>
  <c r="Y19" i="17"/>
  <c r="Y75" i="17"/>
  <c r="Q75" i="17" s="1"/>
  <c r="W75" i="17" s="1"/>
  <c r="Y78" i="17"/>
  <c r="Q78" i="17" s="1"/>
  <c r="W78" i="17" s="1"/>
  <c r="Y147" i="17"/>
  <c r="Q147" i="17" s="1"/>
  <c r="W147" i="17" s="1"/>
  <c r="Y195" i="17"/>
  <c r="Y20" i="17"/>
  <c r="Q20" i="17" s="1"/>
  <c r="W20" i="17" s="1"/>
  <c r="Y80" i="17"/>
  <c r="Q80" i="17" s="1"/>
  <c r="W80" i="17" s="1"/>
  <c r="Y83" i="17"/>
  <c r="Q83" i="17" s="1"/>
  <c r="W83" i="17" s="1"/>
  <c r="Y125" i="17"/>
  <c r="Q125" i="17" s="1"/>
  <c r="W125" i="17" s="1"/>
  <c r="Y152" i="17"/>
  <c r="Q152" i="17" s="1"/>
  <c r="W152" i="17" s="1"/>
  <c r="Y155" i="17"/>
  <c r="Q155" i="17" s="1"/>
  <c r="W155" i="17" s="1"/>
  <c r="Y216" i="17"/>
  <c r="Q216" i="17" s="1"/>
  <c r="W216" i="17" s="1"/>
  <c r="Y28" i="17"/>
  <c r="Q28" i="17" s="1"/>
  <c r="W28" i="17" s="1"/>
  <c r="Y29" i="17"/>
  <c r="Q29" i="17" s="1"/>
  <c r="W29" i="17" s="1"/>
  <c r="Y88" i="17"/>
  <c r="Q88" i="17" s="1"/>
  <c r="W88" i="17" s="1"/>
  <c r="Y157" i="17"/>
  <c r="Q157" i="17" s="1"/>
  <c r="W157" i="17" s="1"/>
  <c r="Y207" i="17"/>
  <c r="Q207" i="17" s="1"/>
  <c r="W207" i="17" s="1"/>
  <c r="Y33" i="17"/>
  <c r="Q33" i="17" s="1"/>
  <c r="W33" i="17" s="1"/>
  <c r="Y36" i="17"/>
  <c r="Q36" i="17" s="1"/>
  <c r="W36" i="17" s="1"/>
  <c r="Y37" i="17"/>
  <c r="Q37" i="17" s="1"/>
  <c r="W37" i="17" s="1"/>
  <c r="Y93" i="17"/>
  <c r="Q93" i="17" s="1"/>
  <c r="W93" i="17" s="1"/>
  <c r="Y96" i="17"/>
  <c r="Q96" i="17" s="1"/>
  <c r="W96" i="17" s="1"/>
  <c r="Y97" i="17"/>
  <c r="Q97" i="17" s="1"/>
  <c r="W97" i="17" s="1"/>
  <c r="Y165" i="17"/>
  <c r="Q165" i="17" s="1"/>
  <c r="W165" i="17" s="1"/>
  <c r="Y38" i="17"/>
  <c r="Y41" i="17"/>
  <c r="Y98" i="17"/>
  <c r="Q98" i="17" s="1"/>
  <c r="W98" i="17" s="1"/>
  <c r="Y101" i="17"/>
  <c r="Q101" i="17" s="1"/>
  <c r="W101" i="17" s="1"/>
  <c r="Y128" i="17"/>
  <c r="Q128" i="17" s="1"/>
  <c r="W128" i="17" s="1"/>
  <c r="Y168" i="17"/>
  <c r="Y170" i="17"/>
  <c r="Q170" i="17" s="1"/>
  <c r="W170" i="17" s="1"/>
  <c r="Y199" i="17"/>
  <c r="Q199" i="17" s="1"/>
  <c r="W199" i="17" s="1"/>
  <c r="Y49" i="17"/>
  <c r="Q49" i="17" s="1"/>
  <c r="W49" i="17" s="1"/>
  <c r="Y106" i="17"/>
  <c r="Q106" i="17" s="1"/>
  <c r="W106" i="17" s="1"/>
  <c r="Y109" i="17"/>
  <c r="Q109" i="17" s="1"/>
  <c r="W109" i="17" s="1"/>
  <c r="Y175" i="17"/>
  <c r="Q175" i="17" s="1"/>
  <c r="W175" i="17" s="1"/>
  <c r="G2" i="16"/>
  <c r="N89" i="20" l="1"/>
  <c r="N21" i="20"/>
  <c r="N127" i="20"/>
  <c r="N9" i="20"/>
  <c r="N102" i="20"/>
  <c r="N118" i="20"/>
  <c r="N59" i="20"/>
  <c r="N94" i="20"/>
  <c r="N39" i="20"/>
  <c r="N27" i="20"/>
  <c r="N65" i="20"/>
  <c r="N18" i="20"/>
  <c r="N15" i="20"/>
  <c r="N3" i="20"/>
  <c r="N122" i="20"/>
  <c r="N115" i="20"/>
  <c r="N130" i="20"/>
  <c r="N114" i="20"/>
  <c r="N60" i="20"/>
  <c r="N24" i="20"/>
  <c r="N120" i="20"/>
  <c r="N12" i="20"/>
  <c r="N96" i="20"/>
  <c r="N48" i="20"/>
  <c r="N78" i="20"/>
  <c r="N123" i="20"/>
  <c r="N84" i="20"/>
  <c r="N36" i="20"/>
  <c r="R79" i="18"/>
  <c r="U79" i="18" s="1"/>
  <c r="R67" i="18"/>
  <c r="U67" i="18" s="1"/>
  <c r="R127" i="18"/>
  <c r="U127" i="18" s="1"/>
  <c r="R97" i="18"/>
  <c r="U97" i="18" s="1"/>
  <c r="R145" i="18"/>
  <c r="U145" i="18" s="1"/>
  <c r="R33" i="18"/>
  <c r="U33" i="18" s="1"/>
  <c r="R115" i="18"/>
  <c r="U115" i="18" s="1"/>
  <c r="R3" i="18"/>
  <c r="U3" i="18" s="1"/>
  <c r="R151" i="18"/>
  <c r="U151" i="18" s="1"/>
  <c r="R133" i="18"/>
  <c r="U133" i="18" s="1"/>
  <c r="R103" i="18"/>
  <c r="U103" i="18" s="1"/>
  <c r="R73" i="18"/>
  <c r="U73" i="18" s="1"/>
  <c r="R61" i="18"/>
  <c r="U61" i="18" s="1"/>
  <c r="R91" i="18"/>
  <c r="U91" i="18" s="1"/>
  <c r="R150" i="18"/>
  <c r="U150" i="18" s="1"/>
  <c r="R139" i="18"/>
  <c r="U139" i="18" s="1"/>
  <c r="R45" i="18"/>
  <c r="U45" i="18" s="1"/>
  <c r="R109" i="18"/>
  <c r="U109" i="18" s="1"/>
  <c r="R51" i="18"/>
  <c r="U51" i="18" s="1"/>
  <c r="R142" i="18"/>
  <c r="U142" i="18" s="1"/>
  <c r="R130" i="18"/>
  <c r="U130" i="18" s="1"/>
  <c r="R118" i="18"/>
  <c r="U118" i="18" s="1"/>
  <c r="R106" i="18"/>
  <c r="U106" i="18" s="1"/>
  <c r="R94" i="18"/>
  <c r="U94" i="18" s="1"/>
  <c r="R39" i="18"/>
  <c r="U39" i="18" s="1"/>
  <c r="R40" i="18"/>
  <c r="U40" i="18" s="1"/>
  <c r="R141" i="18"/>
  <c r="U141" i="18" s="1"/>
  <c r="R129" i="18"/>
  <c r="U129" i="18" s="1"/>
  <c r="R117" i="18"/>
  <c r="U117" i="18" s="1"/>
  <c r="R105" i="18"/>
  <c r="U105" i="18" s="1"/>
  <c r="R93" i="18"/>
  <c r="U93" i="18" s="1"/>
  <c r="R70" i="18"/>
  <c r="U70" i="18" s="1"/>
  <c r="R27" i="18"/>
  <c r="U27" i="18" s="1"/>
  <c r="R15" i="18"/>
  <c r="U15" i="18" s="1"/>
  <c r="R81" i="18"/>
  <c r="U81" i="18" s="1"/>
  <c r="R69" i="18"/>
  <c r="U69" i="18" s="1"/>
  <c r="R58" i="18"/>
  <c r="U58" i="18" s="1"/>
  <c r="R57" i="18"/>
  <c r="U57" i="18" s="1"/>
  <c r="R34" i="18"/>
  <c r="U34" i="18" s="1"/>
  <c r="R148" i="18"/>
  <c r="U148" i="18" s="1"/>
  <c r="U136" i="18"/>
  <c r="R136" i="18"/>
  <c r="R124" i="18"/>
  <c r="U124" i="18" s="1"/>
  <c r="R112" i="18"/>
  <c r="U112" i="18" s="1"/>
  <c r="R100" i="18"/>
  <c r="U100" i="18" s="1"/>
  <c r="R88" i="18"/>
  <c r="U88" i="18" s="1"/>
  <c r="R147" i="18"/>
  <c r="U147" i="18" s="1"/>
  <c r="U135" i="18"/>
  <c r="R135" i="18"/>
  <c r="R123" i="18"/>
  <c r="U123" i="18" s="1"/>
  <c r="R111" i="18"/>
  <c r="U111" i="18" s="1"/>
  <c r="R99" i="18"/>
  <c r="U99" i="18" s="1"/>
  <c r="R87" i="18"/>
  <c r="U87" i="18" s="1"/>
  <c r="R76" i="18"/>
  <c r="U76" i="18" s="1"/>
  <c r="R21" i="18"/>
  <c r="U21" i="18" s="1"/>
  <c r="R9" i="18"/>
  <c r="U9" i="18" s="1"/>
  <c r="R75" i="18"/>
  <c r="U75" i="18" s="1"/>
  <c r="R52" i="18"/>
  <c r="U52" i="18" s="1"/>
  <c r="Q17" i="17"/>
  <c r="W17" i="17" s="1"/>
  <c r="Q219" i="17"/>
  <c r="W219" i="17" s="1"/>
  <c r="Y71" i="17"/>
  <c r="Q71" i="17" s="1"/>
  <c r="W71" i="17" s="1"/>
  <c r="Y221" i="17"/>
  <c r="Y130" i="17"/>
  <c r="Q18" i="17"/>
  <c r="W18" i="17" s="1"/>
  <c r="Q10" i="17"/>
  <c r="W10" i="17" s="1"/>
  <c r="Y211" i="17"/>
  <c r="Q211" i="17" s="1"/>
  <c r="W211" i="17" s="1"/>
  <c r="Q53" i="17"/>
  <c r="W53" i="17" s="1"/>
  <c r="Y48" i="17"/>
  <c r="Q48" i="17" s="1"/>
  <c r="W48" i="17" s="1"/>
  <c r="Y153" i="17"/>
  <c r="Q153" i="17" s="1"/>
  <c r="W153" i="17" s="1"/>
  <c r="Y72" i="17"/>
  <c r="Q72" i="17" s="1"/>
  <c r="W72" i="17" s="1"/>
  <c r="N10" i="17" a="1"/>
  <c r="N10" i="17" s="1"/>
  <c r="N4" i="17" a="1"/>
  <c r="N4" i="17" s="1"/>
  <c r="Q176" i="17"/>
  <c r="W176" i="17" s="1"/>
  <c r="Q43" i="17"/>
  <c r="W43" i="17" s="1"/>
  <c r="Q30" i="17"/>
  <c r="W30" i="17" s="1"/>
  <c r="Y52" i="17"/>
  <c r="Q52" i="17" s="1"/>
  <c r="W52" i="17" s="1"/>
  <c r="Q174" i="17"/>
  <c r="W174" i="17" s="1"/>
  <c r="N9" i="17" a="1"/>
  <c r="N9" i="17" s="1"/>
  <c r="N122" i="17" a="1"/>
  <c r="N122" i="17" s="1"/>
  <c r="N3" i="17" a="1"/>
  <c r="N3" i="17" s="1"/>
  <c r="Q194" i="17"/>
  <c r="W194" i="17" s="1"/>
  <c r="Y4" i="17"/>
  <c r="N2" i="17" a="1"/>
  <c r="N2" i="17" s="1"/>
  <c r="Y117" i="17"/>
  <c r="Q117" i="17" s="1"/>
  <c r="W117" i="17" s="1"/>
  <c r="Q191" i="17"/>
  <c r="W191" i="17" s="1"/>
  <c r="Y45" i="17"/>
  <c r="Q45" i="17" s="1"/>
  <c r="W45" i="17" s="1"/>
  <c r="Q148" i="17"/>
  <c r="W148" i="17" s="1"/>
  <c r="N66" i="17" a="1"/>
  <c r="N66" i="17" s="1"/>
  <c r="N212" i="17" a="1"/>
  <c r="N212" i="17" s="1"/>
  <c r="Q212" i="17"/>
  <c r="W212" i="17" s="1"/>
  <c r="Q185" i="17"/>
  <c r="W185" i="17" s="1"/>
  <c r="Q136" i="17"/>
  <c r="W136" i="17" s="1"/>
  <c r="Q134" i="17"/>
  <c r="W134" i="17" s="1"/>
  <c r="Y44" i="17"/>
  <c r="Q44" i="17" s="1"/>
  <c r="W44" i="17" s="1"/>
  <c r="N65" i="17" a="1"/>
  <c r="N65" i="17" s="1"/>
  <c r="N202" i="17" a="1"/>
  <c r="N202" i="17" s="1"/>
  <c r="Y24" i="17"/>
  <c r="Q24" i="17" s="1"/>
  <c r="W24" i="17" s="1"/>
  <c r="Y64" i="17"/>
  <c r="Q64" i="17" s="1"/>
  <c r="W64" i="17" s="1"/>
  <c r="N64" i="17" a="1"/>
  <c r="N64" i="17" s="1"/>
  <c r="N192" i="17" a="1"/>
  <c r="N192" i="17" s="1"/>
  <c r="Q168" i="17"/>
  <c r="W168" i="17" s="1"/>
  <c r="Q188" i="17"/>
  <c r="W188" i="17" s="1"/>
  <c r="Y59" i="17"/>
  <c r="Q59" i="17" s="1"/>
  <c r="W59" i="17" s="1"/>
  <c r="Y102" i="17"/>
  <c r="Q102" i="17" s="1"/>
  <c r="W102" i="17" s="1"/>
  <c r="Y208" i="17"/>
  <c r="Y145" i="17"/>
  <c r="N137" i="17" a="1"/>
  <c r="N137" i="17" s="1"/>
  <c r="N63" i="17" a="1"/>
  <c r="N63" i="17" s="1"/>
  <c r="Q140" i="17"/>
  <c r="W140" i="17" s="1"/>
  <c r="Y12" i="17"/>
  <c r="Q12" i="17" s="1"/>
  <c r="W12" i="17" s="1"/>
  <c r="Y58" i="17"/>
  <c r="Q58" i="17" s="1"/>
  <c r="W58" i="17" s="1"/>
  <c r="Q186" i="17"/>
  <c r="W186" i="17" s="1"/>
  <c r="Y179" i="17"/>
  <c r="Q179" i="17" s="1"/>
  <c r="W179" i="17" s="1"/>
  <c r="Y100" i="17"/>
  <c r="Q100" i="17" s="1"/>
  <c r="W100" i="17" s="1"/>
  <c r="Q167" i="17"/>
  <c r="W167" i="17" s="1"/>
  <c r="Y197" i="17"/>
  <c r="Q197" i="17" s="1"/>
  <c r="W197" i="17" s="1"/>
  <c r="Y87" i="17"/>
  <c r="N135" i="17" a="1"/>
  <c r="N135" i="17" s="1"/>
  <c r="N62" i="17" a="1"/>
  <c r="N62" i="17" s="1"/>
  <c r="Q181" i="17"/>
  <c r="W181" i="17" s="1"/>
  <c r="Q178" i="17"/>
  <c r="W178" i="17" s="1"/>
  <c r="Q86" i="17"/>
  <c r="W86" i="17" s="1"/>
  <c r="Y138" i="17"/>
  <c r="Q138" i="17" s="1"/>
  <c r="W138" i="17" s="1"/>
  <c r="N7" i="17" a="1"/>
  <c r="N7" i="17" s="1"/>
  <c r="Y143" i="17"/>
  <c r="Q143" i="17" s="1"/>
  <c r="W143" i="17" s="1"/>
  <c r="Q41" i="17"/>
  <c r="W41" i="17" s="1"/>
  <c r="Y121" i="17"/>
  <c r="Q121" i="17" s="1"/>
  <c r="W121" i="17" s="1"/>
  <c r="Y123" i="17"/>
  <c r="Q123" i="17" s="1"/>
  <c r="W123" i="17" s="1"/>
  <c r="N134" i="17" a="1"/>
  <c r="N134" i="17" s="1"/>
  <c r="N6" i="17" a="1"/>
  <c r="N6" i="17" s="1"/>
  <c r="Q19" i="17"/>
  <c r="W19" i="17" s="1"/>
  <c r="Y159" i="17"/>
  <c r="Q159" i="17" s="1"/>
  <c r="W159" i="17" s="1"/>
  <c r="Y9" i="17"/>
  <c r="Y3" i="17"/>
  <c r="Q3" i="17" s="1"/>
  <c r="W3" i="17" s="1"/>
  <c r="Y111" i="17"/>
  <c r="Q111" i="17" s="1"/>
  <c r="W111" i="17" s="1"/>
  <c r="Y132" i="17"/>
  <c r="Q132" i="17" s="1"/>
  <c r="W132" i="17" s="1"/>
  <c r="Q208" i="17"/>
  <c r="W208" i="17" s="1"/>
  <c r="Y35" i="17"/>
  <c r="Q35" i="17" s="1"/>
  <c r="W35" i="17" s="1"/>
  <c r="Y124" i="17"/>
  <c r="Q124" i="17" s="1"/>
  <c r="W124" i="17" s="1"/>
  <c r="Q203" i="17"/>
  <c r="W203" i="17" s="1"/>
  <c r="Q172" i="17"/>
  <c r="W172" i="17" s="1"/>
  <c r="Y202" i="17"/>
  <c r="Q202" i="17" s="1"/>
  <c r="W202" i="17" s="1"/>
  <c r="Y50" i="17"/>
  <c r="Q50" i="17" s="1"/>
  <c r="W50" i="17" s="1"/>
  <c r="Q69" i="17"/>
  <c r="W69" i="17" s="1"/>
  <c r="Q6" i="17"/>
  <c r="W6" i="17" s="1"/>
  <c r="Y82" i="17"/>
  <c r="Q82" i="17" s="1"/>
  <c r="W82" i="17" s="1"/>
  <c r="Q215" i="17"/>
  <c r="W215" i="17" s="1"/>
  <c r="Y68" i="17"/>
  <c r="Q68" i="17" s="1"/>
  <c r="W68" i="17" s="1"/>
  <c r="Q94" i="17"/>
  <c r="W94" i="17" s="1"/>
  <c r="Y77" i="17"/>
  <c r="Q77" i="17" s="1"/>
  <c r="W77" i="17" s="1"/>
  <c r="Q4" i="17"/>
  <c r="W4" i="17" s="1"/>
  <c r="Q38" i="17"/>
  <c r="W38" i="17" s="1"/>
  <c r="Q27" i="17"/>
  <c r="W27" i="17" s="1"/>
  <c r="Y151" i="17"/>
  <c r="Q151" i="17" s="1"/>
  <c r="W151" i="17" s="1"/>
  <c r="Y76" i="17"/>
  <c r="Q76" i="17" s="1"/>
  <c r="W76" i="17" s="1"/>
  <c r="Q198" i="17"/>
  <c r="W198" i="17" s="1"/>
  <c r="Q195" i="17"/>
  <c r="W195" i="17" s="1"/>
  <c r="Y164" i="17"/>
  <c r="Q164" i="17" s="1"/>
  <c r="W164" i="17" s="1"/>
  <c r="Y90" i="17"/>
  <c r="Q90" i="17" s="1"/>
  <c r="W90" i="17" s="1"/>
  <c r="Y25" i="17"/>
  <c r="Q25" i="17" s="1"/>
  <c r="W25" i="17" s="1"/>
  <c r="Q74" i="17"/>
  <c r="W74" i="17" s="1"/>
  <c r="Y133" i="17"/>
  <c r="Q133" i="17" s="1"/>
  <c r="W133" i="17" s="1"/>
  <c r="Y206" i="17"/>
  <c r="Q206" i="17" s="1"/>
  <c r="W206" i="17" s="1"/>
  <c r="Q146" i="17"/>
  <c r="W146" i="17" s="1"/>
  <c r="Q9" i="17"/>
  <c r="W9" i="17" s="1"/>
  <c r="Q221" i="17"/>
  <c r="W221" i="17" s="1"/>
  <c r="Q130" i="17"/>
  <c r="W130" i="17" s="1"/>
  <c r="Q177" i="17"/>
  <c r="W177" i="17" s="1"/>
  <c r="Y39" i="17"/>
  <c r="Q39" i="17" s="1"/>
  <c r="W39" i="17" s="1"/>
  <c r="Q87" i="17"/>
  <c r="W87" i="17" s="1"/>
  <c r="Q145" i="17"/>
  <c r="W145" i="17" s="1"/>
  <c r="Y8" i="17"/>
  <c r="Q8" i="17" s="1"/>
  <c r="W8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adrub\desktop\ruben\uma\optativas\modelado y simulación de sistemas\modelado mio\arena\practica 1\practica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adrub\desktop\ruben\uma\optativas\modelado y simulación de sistemas\modelado mio\arena\practica 1\practica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adrub\desktop\ruben\uma\optativas\modelado y simulación de sistemas\modelado mio\arena\practica 1\practica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adrub\desktop\ruben\uma\optativas\modelado y simulación de sistemas\modelado mio\arena\practica 1\practica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adrub\desktop\ruben\uma\optativas\modelado y simulación de sistemas\modelado mio\arena\practica 1\practica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adrub\desktop\ruben\uma\optativas\modelado y simulación de sistemas\modelado mio\arena\practica 1\practica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<sst xmlns="http://schemas.openxmlformats.org/spreadsheetml/2006/main" count="2796" uniqueCount="115">
  <si>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</si>
  <si>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</si>
  <si>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</si>
  <si>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</si>
  <si>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</si>
  <si>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</si>
  <si>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</si>
  <si>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</si>
  <si>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</si>
  <si>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</si>
  <si>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</si>
  <si>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</si>
  <si>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</si>
  <si>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</si>
  <si>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</si>
  <si>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</si>
  <si>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</si>
  <si>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</si>
  <si>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</si>
  <si>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</si>
  <si>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</si>
  <si>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</si>
  <si>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</si>
  <si>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</si>
  <si>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</si>
  <si>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</si>
  <si>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</si>
  <si>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</si>
  <si>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</si>
  <si>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</si>
  <si>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</si>
  <si>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</si>
  <si>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</si>
  <si>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</si>
  <si>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</si>
  <si>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</si>
  <si>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</si>
  <si>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</si>
  <si>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</si>
  <si>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</si>
  <si>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</si>
  <si>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</si>
  <si>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</si>
  <si>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</si>
  <si>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</si>
  <si>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</si>
  <si>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</si>
  <si>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</si>
  <si>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</si>
  <si>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</si>
  <si>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</si>
  <si>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</si>
  <si>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</si>
  <si>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</si>
  <si>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</si>
  <si>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</si>
  <si>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</si>
  <si>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</si>
  <si>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</si>
  <si>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</si>
  <si>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</si>
  <si>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</si>
  <si>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</si>
  <si>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</si>
  <si>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</si>
  <si>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</si>
  <si>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</si>
  <si>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C:\Users\adrub\Desktop\Ruben\UMA\Optativas\Modelado y Simulación de Sistemas\Modelado mio\Arena\Practica 1\practica1.p</t>
  </si>
  <si>
    <t>2023-04-26 17:43:28</t>
  </si>
  <si>
    <t>Intervalo</t>
  </si>
  <si>
    <t>Interval</t>
  </si>
  <si>
    <t>User Specified</t>
  </si>
  <si>
    <t>PedidosCobros.Queue</t>
  </si>
  <si>
    <t>Waiting Time</t>
  </si>
  <si>
    <t>Queue</t>
  </si>
  <si>
    <t>Recoger.Queue</t>
  </si>
  <si>
    <t>cbus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</si>
  <si>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</si>
  <si>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</si>
  <si>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</si>
  <si>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</si>
  <si>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</si>
  <si>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</si>
  <si>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</si>
  <si>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ccoche</t>
  </si>
  <si>
    <t>comer.Queue</t>
  </si>
  <si>
    <t>cpie</t>
  </si>
  <si>
    <t>Llegada Pedidos</t>
  </si>
  <si>
    <t>Instantaneous Utilization</t>
  </si>
  <si>
    <t>Resource</t>
  </si>
  <si>
    <t>Number Busy</t>
  </si>
  <si>
    <t>Number Scheduled</t>
  </si>
  <si>
    <t>Number Waiting</t>
  </si>
  <si>
    <t>Recoger pedidos</t>
  </si>
  <si>
    <t>WIP</t>
  </si>
  <si>
    <t>comiendo</t>
  </si>
  <si>
    <t>Llegada Pedidos.NumberSeized</t>
  </si>
  <si>
    <t>Total Number Seized</t>
  </si>
  <si>
    <t>Llegada Pedidos.ScheduledUtilization</t>
  </si>
  <si>
    <t>Scheduled Utilization</t>
  </si>
  <si>
    <t>Recoger pedidos.NumberSeized</t>
  </si>
  <si>
    <t>Recoger pedidos.ScheduledUtilization</t>
  </si>
  <si>
    <t>System.NumberOut</t>
  </si>
  <si>
    <t>Number Out</t>
  </si>
  <si>
    <t>System</t>
  </si>
  <si>
    <t>cbus.NumberIn</t>
  </si>
  <si>
    <t>Number In</t>
  </si>
  <si>
    <t>cbus.NumberOut</t>
  </si>
  <si>
    <t>ccoche.NumberIn</t>
  </si>
  <si>
    <t>ccoche.NumberOut</t>
  </si>
  <si>
    <t>comiendo.NumberSeized</t>
  </si>
  <si>
    <t>comiendo.ScheduledUtilization</t>
  </si>
  <si>
    <t>cpie.NumberIn</t>
  </si>
  <si>
    <t>cpie.NumberOut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</si>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</sst>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2.738626620368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33">
        <s v="Llegada Pedidos"/>
        <s v="PedidosCobros.Queue"/>
        <s v="Recoger pedidos"/>
        <s v="Recoger.Queue"/>
        <s v="cbus"/>
        <s v="ccoche"/>
        <s v="comer.Queue"/>
        <s v="comiendo"/>
        <s v="cpi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0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30"/>
    </cacheField>
    <cacheField name="Maximum" numFmtId="0">
      <sharedItems containsSemiMixedTypes="0" containsString="0" containsNumber="1" minValue="0" maxValue="39"/>
    </cacheField>
    <cacheField name="LastRecordedValue" numFmtId="0">
      <sharedItems containsSemiMixedTypes="0" containsString="0" containsNumber="1" minValue="0" maxValue="3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2.0890695640067989E-2" maxValue="30"/>
    </cacheField>
    <cacheField name="StDevOfAverage" numFmtId="0">
      <sharedItems containsSemiMixedTypes="0" containsString="0" containsNumber="1" minValue="0" maxValue="1.710632595684909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2237128409017237"/>
    </cacheField>
    <cacheField name="MinimumAverage" numFmtId="0">
      <sharedItems containsSemiMixedTypes="0" containsString="0" containsNumber="1" minValue="0" maxValue="30"/>
    </cacheField>
    <cacheField name="MaximumAverage" numFmtId="0">
      <sharedItems containsSemiMixedTypes="0" containsString="0" containsNumber="1" minValue="6.7580541961583807E-2" maxValue="30"/>
    </cacheField>
    <cacheField name="SummaryHalfWidth" numFmtId="0">
      <sharedItems containsSemiMixedTypes="0" containsString="0" containsNumber="1" minValue="0" maxValue="1.22371284090172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2.738626736114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2.738626851853" createdVersion="7" refreshedVersion="8" minRefreshableVersion="3" recordCount="22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06">
        <s v="cbus"/>
        <s v="ccoche"/>
        <s v="comer.Queue"/>
        <s v="cpie"/>
        <s v="Intervalo"/>
        <s v="PedidosCobros.Queue"/>
        <s v="Recoger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s v="Interval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Entity"/>
        <s v="Queue"/>
        <s v="User Specified"/>
        <m u="1"/>
        <s v="Process" u="1"/>
      </sharedItems>
    </cacheField>
    <cacheField name="Average" numFmtId="0">
      <sharedItems containsSemiMixedTypes="0" containsString="0" containsNumber="1" minValue="0" maxValue="41.391679398055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8.4809989681487"/>
    </cacheField>
    <cacheField name="Maximum" numFmtId="0">
      <sharedItems containsSemiMixedTypes="0" containsString="0" containsNumber="1" minValue="0" maxValue="60.085510848846901"/>
    </cacheField>
    <cacheField name="NumberObservations" numFmtId="0">
      <sharedItems containsSemiMixedTypes="0" containsString="0" containsNumber="1" containsInteger="1" minValue="26" maxValue="235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38.906164156467867"/>
    </cacheField>
    <cacheField name="StDevOfAverage" numFmtId="0">
      <sharedItems containsSemiMixedTypes="0" containsString="0" containsNumber="1" minValue="0" maxValue="1.99932635055097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4302319121557625"/>
    </cacheField>
    <cacheField name="MinimumAverage" numFmtId="0">
      <sharedItems containsSemiMixedTypes="0" containsString="0" containsNumber="1" minValue="0" maxValue="36.343398970582797"/>
    </cacheField>
    <cacheField name="MaximumAverage" numFmtId="0">
      <sharedItems containsSemiMixedTypes="0" containsString="0" containsNumber="1" minValue="0" maxValue="41.3916793980557"/>
    </cacheField>
    <cacheField name="OverallMinimum" numFmtId="0">
      <sharedItems containsSemiMixedTypes="0" containsString="0" containsNumber="1" minValue="0" maxValue="21.5905647950899"/>
    </cacheField>
    <cacheField name="OverallMaximum" numFmtId="0">
      <sharedItems containsSemiMixedTypes="0" containsString="0" containsNumber="1" minValue="0" maxValue="60.085510848846901"/>
    </cacheField>
    <cacheField name="AverageNumberObservations" numFmtId="0">
      <sharedItems containsSemiMixedTypes="0" containsString="0" containsNumber="1" minValue="31.2" maxValue="213.2"/>
    </cacheField>
    <cacheField name="SummaryHalfWidth" numFmtId="0">
      <sharedItems containsSemiMixedTypes="0" containsString="0" containsNumber="1" minValue="0" maxValue="1.4302319121557625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2.738626851853" createdVersion="7" refreshedVersion="8" minRefreshableVersion="3" recordCount="13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91">
        <s v="Llegada Pedidos.NumberSeized"/>
        <s v="Llegada Pedidos.ScheduledUtilization"/>
        <s v="Recoger pedidos.NumberSeized"/>
        <s v="Recoger pedidos.ScheduledUtilization"/>
        <s v="System.NumberOut"/>
        <s v="cbus.NumberIn"/>
        <s v="cbus.NumberOut"/>
        <s v="ccoche.NumberIn"/>
        <s v="ccoche.NumberOut"/>
        <s v="comiendo.NumberSeized"/>
        <s v="comiendo.ScheduledUtilization"/>
        <s v="cpie.NumberIn"/>
        <s v="cpie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Out"/>
        <s v="Number In"/>
        <m u="1"/>
        <s v="Accum VA Time" u="1"/>
        <s v="Accum Wait Time" u="1"/>
      </sharedItems>
    </cacheField>
    <cacheField name="Source" numFmtId="0">
      <sharedItems containsBlank="1" count="5">
        <s v="Resource"/>
        <s v="System"/>
        <s v="Entity"/>
        <m u="1"/>
        <s v="Process" u="1"/>
      </sharedItems>
    </cacheField>
    <cacheField name="RecordedValue" numFmtId="0">
      <sharedItems containsSemiMixedTypes="0" containsString="0" containsNumber="1" minValue="0.48838500773485299" maxValue="23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.54567746104498949" maxValue="213.2"/>
    </cacheField>
    <cacheField name="StandardDeviation" numFmtId="0">
      <sharedItems containsSemiMixedTypes="0" containsString="0" containsNumber="1" minValue="3.4243845838583781E-2" maxValue="15.54062775794823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4496571607625712E-2" maxValue="11.117095389767675"/>
    </cacheField>
    <cacheField name="Minimum" numFmtId="0">
      <sharedItems containsSemiMixedTypes="0" containsString="0" containsNumber="1" minValue="0.48838500773485299" maxValue="190"/>
    </cacheField>
    <cacheField name="Maximum" numFmtId="0">
      <sharedItems containsSemiMixedTypes="0" containsString="0" containsNumber="1" minValue="0.59303053253801696" maxValue="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2.73862696759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3-04-26 17:43:28"/>
    <n v="1"/>
    <x v="0"/>
    <x v="0"/>
    <x v="0"/>
    <n v="0.70039167926375501"/>
    <n v="2E+20"/>
    <n v="0"/>
    <n v="1"/>
    <n v="1"/>
    <n v="0"/>
    <s v="Unnamed ProjectLlegada PedidosInstantaneous UtilizationResource"/>
    <n v="10"/>
    <n v="0.6595273690195278"/>
    <n v="4.3257074173814004E-2"/>
    <n v="0.95"/>
    <n v="3.0944246742323132E-2"/>
    <n v="0.59113797604853702"/>
    <n v="0.72596398581696897"/>
    <n v="3.0944246742323132E-2"/>
  </r>
  <r>
    <x v="0"/>
    <s v="2023-04-26 17:43:28"/>
    <n v="1"/>
    <x v="0"/>
    <x v="1"/>
    <x v="0"/>
    <n v="4.07239934381907"/>
    <n v="2E+20"/>
    <n v="0"/>
    <n v="6"/>
    <n v="6"/>
    <n v="0"/>
    <s v="Unnamed ProjectLlegada PedidosNumber BusyResource"/>
    <n v="10"/>
    <n v="3.8048219931471854"/>
    <n v="0.26298250620112912"/>
    <n v="0.95"/>
    <n v="0.18812635196045085"/>
    <n v="3.4272486518987"/>
    <n v="4.1920593242441404"/>
    <n v="0.18812635196045085"/>
  </r>
  <r>
    <x v="0"/>
    <s v="2023-04-26 17:43:28"/>
    <n v="1"/>
    <x v="0"/>
    <x v="2"/>
    <x v="0"/>
    <n v="5.75"/>
    <n v="2E+20"/>
    <n v="5"/>
    <n v="6"/>
    <n v="6"/>
    <n v="0"/>
    <s v="Unnamed ProjectLlegada PedidosNumber ScheduledResource"/>
    <n v="10"/>
    <n v="5.75"/>
    <n v="0"/>
    <n v="0.95"/>
    <n v="0"/>
    <n v="5.75"/>
    <n v="5.75"/>
    <n v="0"/>
  </r>
  <r>
    <x v="0"/>
    <s v="2023-04-26 17:43:28"/>
    <n v="1"/>
    <x v="1"/>
    <x v="3"/>
    <x v="1"/>
    <n v="2.9664651114200802"/>
    <n v="2E+20"/>
    <n v="0"/>
    <n v="28"/>
    <n v="0"/>
    <n v="0"/>
    <s v="Unnamed ProjectPedidosCobros.QueueNumber WaitingQueue"/>
    <n v="10"/>
    <n v="3.4276072930460231"/>
    <n v="1.2805781327766621"/>
    <n v="0.95"/>
    <n v="0.91607041091680408"/>
    <n v="1.4388039171548199"/>
    <n v="5.2886106373322104"/>
    <n v="0.91607041091680408"/>
  </r>
  <r>
    <x v="0"/>
    <s v="2023-04-26 17:43:28"/>
    <n v="1"/>
    <x v="2"/>
    <x v="0"/>
    <x v="0"/>
    <n v="0.60298436758055496"/>
    <n v="2E+20"/>
    <n v="0"/>
    <n v="1"/>
    <n v="1"/>
    <n v="0"/>
    <s v="Unnamed ProjectRecoger pedidosInstantaneous UtilizationResource"/>
    <n v="10"/>
    <n v="0.5604361436219214"/>
    <n v="3.5315793681560653E-2"/>
    <n v="0.95"/>
    <n v="2.5263396899939575E-2"/>
    <n v="0.51502488611470398"/>
    <n v="0.60298436758055496"/>
    <n v="2.5263396899939575E-2"/>
  </r>
  <r>
    <x v="0"/>
    <s v="2023-04-26 17:43:28"/>
    <n v="1"/>
    <x v="2"/>
    <x v="1"/>
    <x v="0"/>
    <n v="1.12263540182778"/>
    <n v="2E+20"/>
    <n v="0"/>
    <n v="2"/>
    <n v="2"/>
    <n v="0"/>
    <s v="Unnamed ProjectRecoger pedidosNumber BusyResource"/>
    <n v="10"/>
    <n v="1.0569098141964663"/>
    <n v="6.5634037857285929E-2"/>
    <n v="0.95"/>
    <n v="4.695176224794953E-2"/>
    <n v="0.95438389742001095"/>
    <n v="1.1377394211218801"/>
    <n v="4.695176224794953E-2"/>
  </r>
  <r>
    <x v="0"/>
    <s v="2023-04-26 17:43:28"/>
    <n v="1"/>
    <x v="2"/>
    <x v="2"/>
    <x v="0"/>
    <n v="1.9166666666666701"/>
    <n v="2E+20"/>
    <n v="1"/>
    <n v="2"/>
    <n v="2"/>
    <n v="0"/>
    <s v="Unnamed ProjectRecoger pedidosNumber ScheduledResource"/>
    <n v="10"/>
    <n v="1.9166666666666701"/>
    <n v="0"/>
    <n v="0.95"/>
    <n v="0"/>
    <n v="1.9166666666666701"/>
    <n v="1.9166666666666701"/>
    <n v="0"/>
  </r>
  <r>
    <x v="0"/>
    <s v="2023-04-26 17:43:28"/>
    <n v="1"/>
    <x v="3"/>
    <x v="3"/>
    <x v="1"/>
    <n v="0.40415251655142298"/>
    <n v="2E+20"/>
    <n v="0"/>
    <n v="4"/>
    <n v="0"/>
    <n v="0"/>
    <s v="Unnamed ProjectRecoger.QueueNumber WaitingQueue"/>
    <n v="10"/>
    <n v="0.4031279969367848"/>
    <n v="0.21310533808048257"/>
    <n v="0.95"/>
    <n v="0.15244637529508648"/>
    <n v="0.136826810923111"/>
    <n v="0.81622840356734405"/>
    <n v="0.15244637529508648"/>
  </r>
  <r>
    <x v="0"/>
    <s v="2023-04-26 17:43:28"/>
    <n v="1"/>
    <x v="4"/>
    <x v="4"/>
    <x v="2"/>
    <n v="3.9372015551464701"/>
    <n v="2E+20"/>
    <n v="0"/>
    <n v="26"/>
    <n v="0"/>
    <n v="0"/>
    <s v="Unnamed ProjectcbusWIPEntity"/>
    <n v="10"/>
    <n v="5.0665845774105804"/>
    <n v="0.71136839542638619"/>
    <n v="0.95"/>
    <n v="0.50888229435753596"/>
    <n v="3.9372015551464701"/>
    <n v="6.3088136459921804"/>
    <n v="0.50888229435753596"/>
  </r>
  <r>
    <x v="0"/>
    <s v="2023-04-26 17:43:28"/>
    <n v="1"/>
    <x v="5"/>
    <x v="4"/>
    <x v="2"/>
    <n v="15.1535027543102"/>
    <n v="2E+20"/>
    <n v="0"/>
    <n v="30"/>
    <n v="14"/>
    <n v="0"/>
    <s v="Unnamed ProjectccocheWIPEntity"/>
    <n v="10"/>
    <n v="12.759236186141919"/>
    <n v="1.7106325956849093"/>
    <n v="0.95"/>
    <n v="1.2237128409017237"/>
    <n v="10.2386187303012"/>
    <n v="15.1535027543102"/>
    <n v="1.2237128409017237"/>
  </r>
  <r>
    <x v="0"/>
    <s v="2023-04-26 17:43:28"/>
    <n v="1"/>
    <x v="6"/>
    <x v="3"/>
    <x v="1"/>
    <n v="1.58147930719254E-2"/>
    <n v="2E+20"/>
    <n v="0"/>
    <n v="2"/>
    <n v="0"/>
    <n v="0"/>
    <s v="Unnamed Projectcomer.QueueNumber WaitingQueue"/>
    <n v="10"/>
    <n v="2.0890695640067989E-2"/>
    <n v="2.1893740410825115E-2"/>
    <n v="0.95"/>
    <n v="1.5661838400412763E-2"/>
    <n v="0"/>
    <n v="6.7580541961583807E-2"/>
    <n v="1.5661838400412763E-2"/>
  </r>
  <r>
    <x v="0"/>
    <s v="2023-04-26 17:43:28"/>
    <n v="1"/>
    <x v="7"/>
    <x v="0"/>
    <x v="0"/>
    <n v="0.57730945130657196"/>
    <n v="3E+20"/>
    <n v="0"/>
    <n v="1"/>
    <n v="0.6"/>
    <n v="0"/>
    <s v="Unnamed ProjectcomiendoInstantaneous UtilizationResource"/>
    <n v="10"/>
    <n v="0.54567746104498926"/>
    <n v="3.6093067502766238E-2"/>
    <n v="0.95"/>
    <n v="2.5819425095769202E-2"/>
    <n v="0.48838500773485199"/>
    <n v="0.59303053253801696"/>
    <n v="2.5819425095769202E-2"/>
  </r>
  <r>
    <x v="0"/>
    <s v="2023-04-26 17:43:28"/>
    <n v="1"/>
    <x v="7"/>
    <x v="1"/>
    <x v="0"/>
    <n v="17.319283539197201"/>
    <n v="3E+20"/>
    <n v="0"/>
    <n v="30"/>
    <n v="18"/>
    <n v="0"/>
    <s v="Unnamed ProjectcomiendoNumber BusyResource"/>
    <n v="10"/>
    <n v="16.370323831349687"/>
    <n v="1.082792025082975"/>
    <n v="0.95"/>
    <n v="0.77458275287306733"/>
    <n v="14.651550232045601"/>
    <n v="17.7909159761405"/>
    <n v="0.77458275287306733"/>
  </r>
  <r>
    <x v="0"/>
    <s v="2023-04-26 17:43:28"/>
    <n v="1"/>
    <x v="7"/>
    <x v="2"/>
    <x v="0"/>
    <n v="30"/>
    <n v="2E+20"/>
    <n v="30"/>
    <n v="30"/>
    <n v="30"/>
    <n v="0"/>
    <s v="Unnamed ProjectcomiendoNumber ScheduledResource"/>
    <n v="10"/>
    <n v="30"/>
    <n v="0"/>
    <n v="0.95"/>
    <n v="0"/>
    <n v="30"/>
    <n v="30"/>
    <n v="0"/>
  </r>
  <r>
    <x v="0"/>
    <s v="2023-04-26 17:43:28"/>
    <n v="1"/>
    <x v="8"/>
    <x v="4"/>
    <x v="2"/>
    <n v="9.0476015183399401"/>
    <n v="2E+20"/>
    <n v="0"/>
    <n v="16"/>
    <n v="12"/>
    <n v="0"/>
    <s v="Unnamed ProjectcpieWIPEntity"/>
    <n v="10"/>
    <n v="9.2908605330386465"/>
    <n v="1.4837612545855385"/>
    <n v="0.95"/>
    <n v="1.0614188602794625"/>
    <n v="7.9237289708550103"/>
    <n v="13.0648519439402"/>
    <n v="1.0614188602794625"/>
  </r>
  <r>
    <x v="0"/>
    <s v="2023-04-26 17:43:28"/>
    <n v="2"/>
    <x v="0"/>
    <x v="0"/>
    <x v="0"/>
    <n v="0.61729336028116999"/>
    <n v="2E+20"/>
    <n v="0"/>
    <n v="1"/>
    <n v="1"/>
    <n v="0"/>
    <s v="Unnamed ProjectLlegada PedidosInstantaneous UtilizationResource"/>
    <n v="10"/>
    <n v="0.6595273690195278"/>
    <n v="4.3257074173814004E-2"/>
    <n v="0.95"/>
    <n v="3.0944246742323132E-2"/>
    <n v="0.59113797604853702"/>
    <n v="0.72596398581696897"/>
    <n v="3.0944246742323132E-2"/>
  </r>
  <r>
    <x v="0"/>
    <s v="2023-04-26 17:43:28"/>
    <n v="2"/>
    <x v="0"/>
    <x v="1"/>
    <x v="0"/>
    <n v="3.52604997538069"/>
    <n v="2E+20"/>
    <n v="0"/>
    <n v="6"/>
    <n v="6"/>
    <n v="0"/>
    <s v="Unnamed ProjectLlegada PedidosNumber BusyResource"/>
    <n v="10"/>
    <n v="3.8048219931471854"/>
    <n v="0.26298250620112912"/>
    <n v="0.95"/>
    <n v="0.18812635196045085"/>
    <n v="3.4272486518987"/>
    <n v="4.1920593242441404"/>
    <n v="0.18812635196045085"/>
  </r>
  <r>
    <x v="0"/>
    <s v="2023-04-26 17:43:28"/>
    <n v="2"/>
    <x v="0"/>
    <x v="2"/>
    <x v="0"/>
    <n v="5.75"/>
    <n v="2E+20"/>
    <n v="5"/>
    <n v="6"/>
    <n v="6"/>
    <n v="0"/>
    <s v="Unnamed ProjectLlegada PedidosNumber ScheduledResource"/>
    <n v="10"/>
    <n v="5.75"/>
    <n v="0"/>
    <n v="0.95"/>
    <n v="0"/>
    <n v="5.75"/>
    <n v="5.75"/>
    <n v="0"/>
  </r>
  <r>
    <x v="0"/>
    <s v="2023-04-26 17:43:28"/>
    <n v="2"/>
    <x v="1"/>
    <x v="3"/>
    <x v="1"/>
    <n v="2.7120760041646501"/>
    <n v="2E+20"/>
    <n v="0"/>
    <n v="34"/>
    <n v="1"/>
    <n v="0"/>
    <s v="Unnamed ProjectPedidosCobros.QueueNumber WaitingQueue"/>
    <n v="10"/>
    <n v="3.4276072930460231"/>
    <n v="1.2805781327766621"/>
    <n v="0.95"/>
    <n v="0.91607041091680408"/>
    <n v="1.4388039171548199"/>
    <n v="5.2886106373322104"/>
    <n v="0.91607041091680408"/>
  </r>
  <r>
    <x v="0"/>
    <s v="2023-04-26 17:43:28"/>
    <n v="2"/>
    <x v="2"/>
    <x v="0"/>
    <x v="0"/>
    <n v="0.52140268946801405"/>
    <n v="2E+20"/>
    <n v="0"/>
    <n v="1"/>
    <n v="0.5"/>
    <n v="0"/>
    <s v="Unnamed ProjectRecoger pedidosInstantaneous UtilizationResource"/>
    <n v="10"/>
    <n v="0.5604361436219214"/>
    <n v="3.5315793681560653E-2"/>
    <n v="0.95"/>
    <n v="2.5263396899939575E-2"/>
    <n v="0.51502488611470398"/>
    <n v="0.60298436758055496"/>
    <n v="2.5263396899939575E-2"/>
  </r>
  <r>
    <x v="0"/>
    <s v="2023-04-26 17:43:28"/>
    <n v="2"/>
    <x v="2"/>
    <x v="1"/>
    <x v="0"/>
    <n v="0.99292459162855795"/>
    <n v="2E+20"/>
    <n v="0"/>
    <n v="2"/>
    <n v="1"/>
    <n v="0"/>
    <s v="Unnamed ProjectRecoger pedidosNumber BusyResource"/>
    <n v="10"/>
    <n v="1.0569098141964663"/>
    <n v="6.5634037857285929E-2"/>
    <n v="0.95"/>
    <n v="4.695176224794953E-2"/>
    <n v="0.95438389742001095"/>
    <n v="1.1377394211218801"/>
    <n v="4.695176224794953E-2"/>
  </r>
  <r>
    <x v="0"/>
    <s v="2023-04-26 17:43:28"/>
    <n v="2"/>
    <x v="2"/>
    <x v="2"/>
    <x v="0"/>
    <n v="1.9166666666666701"/>
    <n v="2E+20"/>
    <n v="1"/>
    <n v="2"/>
    <n v="2"/>
    <n v="0"/>
    <s v="Unnamed ProjectRecoger pedidosNumber ScheduledResource"/>
    <n v="10"/>
    <n v="1.9166666666666701"/>
    <n v="0"/>
    <n v="0.95"/>
    <n v="0"/>
    <n v="1.9166666666666701"/>
    <n v="1.9166666666666701"/>
    <n v="0"/>
  </r>
  <r>
    <x v="0"/>
    <s v="2023-04-26 17:43:28"/>
    <n v="2"/>
    <x v="3"/>
    <x v="3"/>
    <x v="1"/>
    <n v="0.136826810923111"/>
    <n v="2E+20"/>
    <n v="0"/>
    <n v="3"/>
    <n v="0"/>
    <n v="0"/>
    <s v="Unnamed ProjectRecoger.QueueNumber WaitingQueue"/>
    <n v="10"/>
    <n v="0.4031279969367848"/>
    <n v="0.21310533808048257"/>
    <n v="0.95"/>
    <n v="0.15244637529508648"/>
    <n v="0.136826810923111"/>
    <n v="0.81622840356734405"/>
    <n v="0.15244637529508648"/>
  </r>
  <r>
    <x v="0"/>
    <s v="2023-04-26 17:43:28"/>
    <n v="2"/>
    <x v="4"/>
    <x v="4"/>
    <x v="2"/>
    <n v="6.3088136459921804"/>
    <n v="2E+20"/>
    <n v="0"/>
    <n v="39"/>
    <n v="0"/>
    <n v="0"/>
    <s v="Unnamed ProjectcbusWIPEntity"/>
    <n v="10"/>
    <n v="5.0665845774105804"/>
    <n v="0.71136839542638619"/>
    <n v="0.95"/>
    <n v="0.50888229435753596"/>
    <n v="3.9372015551464701"/>
    <n v="6.3088136459921804"/>
    <n v="0.50888229435753596"/>
  </r>
  <r>
    <x v="0"/>
    <s v="2023-04-26 17:43:28"/>
    <n v="2"/>
    <x v="5"/>
    <x v="4"/>
    <x v="2"/>
    <n v="10.482161082377001"/>
    <n v="2E+20"/>
    <n v="0"/>
    <n v="26"/>
    <n v="13"/>
    <n v="0"/>
    <s v="Unnamed ProjectccocheWIPEntity"/>
    <n v="10"/>
    <n v="12.759236186141919"/>
    <n v="1.7106325956849093"/>
    <n v="0.95"/>
    <n v="1.2237128409017237"/>
    <n v="10.2386187303012"/>
    <n v="15.1535027543102"/>
    <n v="1.2237128409017237"/>
  </r>
  <r>
    <x v="0"/>
    <s v="2023-04-26 17:43:28"/>
    <n v="2"/>
    <x v="6"/>
    <x v="3"/>
    <x v="1"/>
    <n v="0"/>
    <n v="2E+20"/>
    <n v="0"/>
    <n v="0"/>
    <n v="0"/>
    <n v="0"/>
    <s v="Unnamed Projectcomer.QueueNumber WaitingQueue"/>
    <n v="10"/>
    <n v="2.0890695640067989E-2"/>
    <n v="2.1893740410825115E-2"/>
    <n v="0.95"/>
    <n v="1.5661838400412763E-2"/>
    <n v="0"/>
    <n v="6.7580541961583807E-2"/>
    <n v="1.5661838400412763E-2"/>
  </r>
  <r>
    <x v="0"/>
    <s v="2023-04-26 17:43:28"/>
    <n v="2"/>
    <x v="7"/>
    <x v="0"/>
    <x v="0"/>
    <n v="0.51387739349088901"/>
    <n v="3E+20"/>
    <n v="0"/>
    <n v="0.93333333333333302"/>
    <n v="0.3"/>
    <n v="0"/>
    <s v="Unnamed ProjectcomiendoInstantaneous UtilizationResource"/>
    <n v="10"/>
    <n v="0.54567746104498926"/>
    <n v="3.6093067502766238E-2"/>
    <n v="0.95"/>
    <n v="2.5819425095769202E-2"/>
    <n v="0.48838500773485199"/>
    <n v="0.59303053253801696"/>
    <n v="2.5819425095769202E-2"/>
  </r>
  <r>
    <x v="0"/>
    <s v="2023-04-26 17:43:28"/>
    <n v="2"/>
    <x v="7"/>
    <x v="1"/>
    <x v="0"/>
    <n v="15.416321804726699"/>
    <n v="3E+20"/>
    <n v="0"/>
    <n v="28"/>
    <n v="9"/>
    <n v="0"/>
    <s v="Unnamed ProjectcomiendoNumber BusyResource"/>
    <n v="10"/>
    <n v="16.370323831349687"/>
    <n v="1.082792025082975"/>
    <n v="0.95"/>
    <n v="0.77458275287306733"/>
    <n v="14.651550232045601"/>
    <n v="17.7909159761405"/>
    <n v="0.77458275287306733"/>
  </r>
  <r>
    <x v="0"/>
    <s v="2023-04-26 17:43:28"/>
    <n v="2"/>
    <x v="7"/>
    <x v="2"/>
    <x v="0"/>
    <n v="30"/>
    <n v="2E+20"/>
    <n v="30"/>
    <n v="30"/>
    <n v="30"/>
    <n v="0"/>
    <s v="Unnamed ProjectcomiendoNumber ScheduledResource"/>
    <n v="10"/>
    <n v="30"/>
    <n v="0"/>
    <n v="0.95"/>
    <n v="0"/>
    <n v="30"/>
    <n v="30"/>
    <n v="0"/>
  </r>
  <r>
    <x v="0"/>
    <s v="2023-04-26 17:43:28"/>
    <n v="2"/>
    <x v="8"/>
    <x v="4"/>
    <x v="2"/>
    <n v="7.9237289708550103"/>
    <n v="2E+20"/>
    <n v="0"/>
    <n v="16"/>
    <n v="6"/>
    <n v="0"/>
    <s v="Unnamed ProjectcpieWIPEntity"/>
    <n v="10"/>
    <n v="9.2908605330386465"/>
    <n v="1.4837612545855385"/>
    <n v="0.95"/>
    <n v="1.0614188602794625"/>
    <n v="7.9237289708550103"/>
    <n v="13.0648519439402"/>
    <n v="1.0614188602794625"/>
  </r>
  <r>
    <x v="0"/>
    <s v="2023-04-26 17:43:28"/>
    <n v="3"/>
    <x v="0"/>
    <x v="0"/>
    <x v="0"/>
    <n v="0.61964331576710496"/>
    <n v="2E+20"/>
    <n v="0"/>
    <n v="1"/>
    <n v="0.83333333333333304"/>
    <n v="0"/>
    <s v="Unnamed ProjectLlegada PedidosInstantaneous UtilizationResource"/>
    <n v="10"/>
    <n v="0.6595273690195278"/>
    <n v="4.3257074173814004E-2"/>
    <n v="0.95"/>
    <n v="3.0944246742323132E-2"/>
    <n v="0.59113797604853702"/>
    <n v="0.72596398581696897"/>
    <n v="3.0944246742323132E-2"/>
  </r>
  <r>
    <x v="0"/>
    <s v="2023-04-26 17:43:28"/>
    <n v="3"/>
    <x v="0"/>
    <x v="1"/>
    <x v="0"/>
    <n v="3.53734884268213"/>
    <n v="2E+20"/>
    <n v="0"/>
    <n v="6"/>
    <n v="5"/>
    <n v="0"/>
    <s v="Unnamed ProjectLlegada PedidosNumber BusyResource"/>
    <n v="10"/>
    <n v="3.8048219931471854"/>
    <n v="0.26298250620112912"/>
    <n v="0.95"/>
    <n v="0.18812635196045085"/>
    <n v="3.4272486518987"/>
    <n v="4.1920593242441404"/>
    <n v="0.18812635196045085"/>
  </r>
  <r>
    <x v="0"/>
    <s v="2023-04-26 17:43:28"/>
    <n v="3"/>
    <x v="0"/>
    <x v="2"/>
    <x v="0"/>
    <n v="5.75"/>
    <n v="2E+20"/>
    <n v="5"/>
    <n v="6"/>
    <n v="6"/>
    <n v="0"/>
    <s v="Unnamed ProjectLlegada PedidosNumber ScheduledResource"/>
    <n v="10"/>
    <n v="5.75"/>
    <n v="0"/>
    <n v="0.95"/>
    <n v="0"/>
    <n v="5.75"/>
    <n v="5.75"/>
    <n v="0"/>
  </r>
  <r>
    <x v="0"/>
    <s v="2023-04-26 17:43:28"/>
    <n v="3"/>
    <x v="1"/>
    <x v="3"/>
    <x v="1"/>
    <n v="1.4388039171548199"/>
    <n v="2E+20"/>
    <n v="0"/>
    <n v="24"/>
    <n v="0"/>
    <n v="0"/>
    <s v="Unnamed ProjectPedidosCobros.QueueNumber WaitingQueue"/>
    <n v="10"/>
    <n v="3.4276072930460231"/>
    <n v="1.2805781327766621"/>
    <n v="0.95"/>
    <n v="0.91607041091680408"/>
    <n v="1.4388039171548199"/>
    <n v="5.2886106373322104"/>
    <n v="0.91607041091680408"/>
  </r>
  <r>
    <x v="0"/>
    <s v="2023-04-26 17:43:28"/>
    <n v="3"/>
    <x v="2"/>
    <x v="0"/>
    <x v="0"/>
    <n v="0.53960646688641101"/>
    <n v="2E+20"/>
    <n v="0"/>
    <n v="1"/>
    <n v="0.5"/>
    <n v="0"/>
    <s v="Unnamed ProjectRecoger pedidosInstantaneous UtilizationResource"/>
    <n v="10"/>
    <n v="0.5604361436219214"/>
    <n v="3.5315793681560653E-2"/>
    <n v="0.95"/>
    <n v="2.5263396899939575E-2"/>
    <n v="0.51502488611470398"/>
    <n v="0.60298436758055496"/>
    <n v="2.5263396899939575E-2"/>
  </r>
  <r>
    <x v="0"/>
    <s v="2023-04-26 17:43:28"/>
    <n v="3"/>
    <x v="2"/>
    <x v="1"/>
    <x v="0"/>
    <n v="1.0297332622016999"/>
    <n v="2E+20"/>
    <n v="0"/>
    <n v="2"/>
    <n v="1"/>
    <n v="0"/>
    <s v="Unnamed ProjectRecoger pedidosNumber BusyResource"/>
    <n v="10"/>
    <n v="1.0569098141964663"/>
    <n v="6.5634037857285929E-2"/>
    <n v="0.95"/>
    <n v="4.695176224794953E-2"/>
    <n v="0.95438389742001095"/>
    <n v="1.1377394211218801"/>
    <n v="4.695176224794953E-2"/>
  </r>
  <r>
    <x v="0"/>
    <s v="2023-04-26 17:43:28"/>
    <n v="3"/>
    <x v="2"/>
    <x v="2"/>
    <x v="0"/>
    <n v="1.9166666666666701"/>
    <n v="2E+20"/>
    <n v="1"/>
    <n v="2"/>
    <n v="2"/>
    <n v="0"/>
    <s v="Unnamed ProjectRecoger pedidosNumber ScheduledResource"/>
    <n v="10"/>
    <n v="1.9166666666666701"/>
    <n v="0"/>
    <n v="0.95"/>
    <n v="0"/>
    <n v="1.9166666666666701"/>
    <n v="1.9166666666666701"/>
    <n v="0"/>
  </r>
  <r>
    <x v="0"/>
    <s v="2023-04-26 17:43:28"/>
    <n v="3"/>
    <x v="3"/>
    <x v="3"/>
    <x v="1"/>
    <n v="0.210315330004852"/>
    <n v="2E+20"/>
    <n v="0"/>
    <n v="4"/>
    <n v="0"/>
    <n v="0"/>
    <s v="Unnamed ProjectRecoger.QueueNumber WaitingQueue"/>
    <n v="10"/>
    <n v="0.4031279969367848"/>
    <n v="0.21310533808048257"/>
    <n v="0.95"/>
    <n v="0.15244637529508648"/>
    <n v="0.136826810923111"/>
    <n v="0.81622840356734405"/>
    <n v="0.15244637529508648"/>
  </r>
  <r>
    <x v="0"/>
    <s v="2023-04-26 17:43:28"/>
    <n v="3"/>
    <x v="4"/>
    <x v="4"/>
    <x v="2"/>
    <n v="4.1082731090565501"/>
    <n v="2E+20"/>
    <n v="0"/>
    <n v="27"/>
    <n v="0"/>
    <n v="0"/>
    <s v="Unnamed ProjectcbusWIPEntity"/>
    <n v="10"/>
    <n v="5.0665845774105804"/>
    <n v="0.71136839542638619"/>
    <n v="0.95"/>
    <n v="0.50888229435753596"/>
    <n v="3.9372015551464701"/>
    <n v="6.3088136459921804"/>
    <n v="0.50888229435753596"/>
  </r>
  <r>
    <x v="0"/>
    <s v="2023-04-26 17:43:28"/>
    <n v="3"/>
    <x v="5"/>
    <x v="4"/>
    <x v="2"/>
    <n v="11.4221809463043"/>
    <n v="2E+20"/>
    <n v="0"/>
    <n v="23"/>
    <n v="10"/>
    <n v="0"/>
    <s v="Unnamed ProjectccocheWIPEntity"/>
    <n v="10"/>
    <n v="12.759236186141919"/>
    <n v="1.7106325956849093"/>
    <n v="0.95"/>
    <n v="1.2237128409017237"/>
    <n v="10.2386187303012"/>
    <n v="15.1535027543102"/>
    <n v="1.2237128409017237"/>
  </r>
  <r>
    <x v="0"/>
    <s v="2023-04-26 17:43:28"/>
    <n v="3"/>
    <x v="6"/>
    <x v="3"/>
    <x v="1"/>
    <n v="4.9905992453201297E-3"/>
    <n v="2E+20"/>
    <n v="0"/>
    <n v="1"/>
    <n v="0"/>
    <n v="0"/>
    <s v="Unnamed Projectcomer.QueueNumber WaitingQueue"/>
    <n v="10"/>
    <n v="2.0890695640067989E-2"/>
    <n v="2.1893740410825115E-2"/>
    <n v="0.95"/>
    <n v="1.5661838400412763E-2"/>
    <n v="0"/>
    <n v="6.7580541961583807E-2"/>
    <n v="1.5661838400412763E-2"/>
  </r>
  <r>
    <x v="0"/>
    <s v="2023-04-26 17:43:28"/>
    <n v="3"/>
    <x v="7"/>
    <x v="0"/>
    <x v="0"/>
    <n v="0.51857512758874302"/>
    <n v="3E+20"/>
    <n v="0"/>
    <n v="1"/>
    <n v="0.33333333333333298"/>
    <n v="0"/>
    <s v="Unnamed ProjectcomiendoInstantaneous UtilizationResource"/>
    <n v="10"/>
    <n v="0.54567746104498926"/>
    <n v="3.6093067502766238E-2"/>
    <n v="0.95"/>
    <n v="2.5819425095769202E-2"/>
    <n v="0.48838500773485199"/>
    <n v="0.59303053253801696"/>
    <n v="2.5819425095769202E-2"/>
  </r>
  <r>
    <x v="0"/>
    <s v="2023-04-26 17:43:28"/>
    <n v="3"/>
    <x v="7"/>
    <x v="1"/>
    <x v="0"/>
    <n v="15.557253827662301"/>
    <n v="3E+20"/>
    <n v="0"/>
    <n v="30"/>
    <n v="10"/>
    <n v="0"/>
    <s v="Unnamed ProjectcomiendoNumber BusyResource"/>
    <n v="10"/>
    <n v="16.370323831349687"/>
    <n v="1.082792025082975"/>
    <n v="0.95"/>
    <n v="0.77458275287306733"/>
    <n v="14.651550232045601"/>
    <n v="17.7909159761405"/>
    <n v="0.77458275287306733"/>
  </r>
  <r>
    <x v="0"/>
    <s v="2023-04-26 17:43:28"/>
    <n v="3"/>
    <x v="7"/>
    <x v="2"/>
    <x v="0"/>
    <n v="30"/>
    <n v="2E+20"/>
    <n v="30"/>
    <n v="30"/>
    <n v="30"/>
    <n v="0"/>
    <s v="Unnamed ProjectcomiendoNumber ScheduledResource"/>
    <n v="10"/>
    <n v="30"/>
    <n v="0"/>
    <n v="0.95"/>
    <n v="0"/>
    <n v="30"/>
    <n v="30"/>
    <n v="0"/>
  </r>
  <r>
    <x v="0"/>
    <s v="2023-04-26 17:43:28"/>
    <n v="3"/>
    <x v="8"/>
    <x v="4"/>
    <x v="2"/>
    <n v="8.2430938173966304"/>
    <n v="2E+20"/>
    <n v="0"/>
    <n v="13"/>
    <n v="7"/>
    <n v="0"/>
    <s v="Unnamed ProjectcpieWIPEntity"/>
    <n v="10"/>
    <n v="9.2908605330386465"/>
    <n v="1.4837612545855385"/>
    <n v="0.95"/>
    <n v="1.0614188602794625"/>
    <n v="7.9237289708550103"/>
    <n v="13.0648519439402"/>
    <n v="1.0614188602794625"/>
  </r>
  <r>
    <x v="0"/>
    <s v="2023-04-26 17:43:28"/>
    <n v="4"/>
    <x v="0"/>
    <x v="0"/>
    <x v="0"/>
    <n v="0.66925794833252505"/>
    <n v="2E+20"/>
    <n v="0"/>
    <n v="1"/>
    <n v="1"/>
    <n v="0"/>
    <s v="Unnamed ProjectLlegada PedidosInstantaneous UtilizationResource"/>
    <n v="10"/>
    <n v="0.6595273690195278"/>
    <n v="4.3257074173814004E-2"/>
    <n v="0.95"/>
    <n v="3.0944246742323132E-2"/>
    <n v="0.59113797604853702"/>
    <n v="0.72596398581696897"/>
    <n v="3.0944246742323132E-2"/>
  </r>
  <r>
    <x v="0"/>
    <s v="2023-04-26 17:43:28"/>
    <n v="4"/>
    <x v="0"/>
    <x v="1"/>
    <x v="0"/>
    <n v="3.90999407398323"/>
    <n v="2E+20"/>
    <n v="0"/>
    <n v="6"/>
    <n v="6"/>
    <n v="0"/>
    <s v="Unnamed ProjectLlegada PedidosNumber BusyResource"/>
    <n v="10"/>
    <n v="3.8048219931471854"/>
    <n v="0.26298250620112912"/>
    <n v="0.95"/>
    <n v="0.18812635196045085"/>
    <n v="3.4272486518987"/>
    <n v="4.1920593242441404"/>
    <n v="0.18812635196045085"/>
  </r>
  <r>
    <x v="0"/>
    <s v="2023-04-26 17:43:28"/>
    <n v="4"/>
    <x v="0"/>
    <x v="2"/>
    <x v="0"/>
    <n v="5.75"/>
    <n v="2E+20"/>
    <n v="5"/>
    <n v="6"/>
    <n v="6"/>
    <n v="0"/>
    <s v="Unnamed ProjectLlegada PedidosNumber ScheduledResource"/>
    <n v="10"/>
    <n v="5.75"/>
    <n v="0"/>
    <n v="0.95"/>
    <n v="0"/>
    <n v="5.75"/>
    <n v="5.75"/>
    <n v="0"/>
  </r>
  <r>
    <x v="0"/>
    <s v="2023-04-26 17:43:28"/>
    <n v="4"/>
    <x v="1"/>
    <x v="3"/>
    <x v="1"/>
    <n v="4.3620266859353203"/>
    <n v="2E+20"/>
    <n v="0"/>
    <n v="34"/>
    <n v="3"/>
    <n v="0"/>
    <s v="Unnamed ProjectPedidosCobros.QueueNumber WaitingQueue"/>
    <n v="10"/>
    <n v="3.4276072930460231"/>
    <n v="1.2805781327766621"/>
    <n v="0.95"/>
    <n v="0.91607041091680408"/>
    <n v="1.4388039171548199"/>
    <n v="5.2886106373322104"/>
    <n v="0.91607041091680408"/>
  </r>
  <r>
    <x v="0"/>
    <s v="2023-04-26 17:43:28"/>
    <n v="4"/>
    <x v="2"/>
    <x v="0"/>
    <x v="0"/>
    <n v="0.55233823103475599"/>
    <n v="2E+20"/>
    <n v="0"/>
    <n v="1"/>
    <n v="1"/>
    <n v="0"/>
    <s v="Unnamed ProjectRecoger pedidosInstantaneous UtilizationResource"/>
    <n v="10"/>
    <n v="0.5604361436219214"/>
    <n v="3.5315793681560653E-2"/>
    <n v="0.95"/>
    <n v="2.5263396899939575E-2"/>
    <n v="0.51502488611470398"/>
    <n v="0.60298436758055496"/>
    <n v="2.5263396899939575E-2"/>
  </r>
  <r>
    <x v="0"/>
    <s v="2023-04-26 17:43:28"/>
    <n v="4"/>
    <x v="2"/>
    <x v="1"/>
    <x v="0"/>
    <n v="1.02391949994034"/>
    <n v="2E+20"/>
    <n v="0"/>
    <n v="2"/>
    <n v="1"/>
    <n v="0"/>
    <s v="Unnamed ProjectRecoger pedidosNumber BusyResource"/>
    <n v="10"/>
    <n v="1.0569098141964663"/>
    <n v="6.5634037857285929E-2"/>
    <n v="0.95"/>
    <n v="4.695176224794953E-2"/>
    <n v="0.95438389742001095"/>
    <n v="1.1377394211218801"/>
    <n v="4.695176224794953E-2"/>
  </r>
  <r>
    <x v="0"/>
    <s v="2023-04-26 17:43:28"/>
    <n v="4"/>
    <x v="2"/>
    <x v="2"/>
    <x v="0"/>
    <n v="1.9166666666666701"/>
    <n v="2E+20"/>
    <n v="1"/>
    <n v="2"/>
    <n v="1"/>
    <n v="0"/>
    <s v="Unnamed ProjectRecoger pedidosNumber ScheduledResource"/>
    <n v="10"/>
    <n v="1.9166666666666701"/>
    <n v="0"/>
    <n v="0.95"/>
    <n v="0"/>
    <n v="1.9166666666666701"/>
    <n v="1.9166666666666701"/>
    <n v="0"/>
  </r>
  <r>
    <x v="0"/>
    <s v="2023-04-26 17:43:28"/>
    <n v="4"/>
    <x v="3"/>
    <x v="3"/>
    <x v="1"/>
    <n v="0.81622840356734405"/>
    <n v="2E+20"/>
    <n v="0"/>
    <n v="16"/>
    <n v="15"/>
    <n v="0"/>
    <s v="Unnamed ProjectRecoger.QueueNumber WaitingQueue"/>
    <n v="10"/>
    <n v="0.4031279969367848"/>
    <n v="0.21310533808048257"/>
    <n v="0.95"/>
    <n v="0.15244637529508648"/>
    <n v="0.136826810923111"/>
    <n v="0.81622840356734405"/>
    <n v="0.15244637529508648"/>
  </r>
  <r>
    <x v="0"/>
    <s v="2023-04-26 17:43:28"/>
    <n v="4"/>
    <x v="4"/>
    <x v="4"/>
    <x v="2"/>
    <n v="5.2017760751262099"/>
    <n v="2E+20"/>
    <n v="0"/>
    <n v="33"/>
    <n v="0"/>
    <n v="0"/>
    <s v="Unnamed ProjectcbusWIPEntity"/>
    <n v="10"/>
    <n v="5.0665845774105804"/>
    <n v="0.71136839542638619"/>
    <n v="0.95"/>
    <n v="0.50888229435753596"/>
    <n v="3.9372015551464701"/>
    <n v="6.3088136459921804"/>
    <n v="0.50888229435753596"/>
  </r>
  <r>
    <x v="0"/>
    <s v="2023-04-26 17:43:28"/>
    <n v="4"/>
    <x v="5"/>
    <x v="4"/>
    <x v="2"/>
    <n v="13.5372452713921"/>
    <n v="2E+20"/>
    <n v="0"/>
    <n v="33"/>
    <n v="31"/>
    <n v="0"/>
    <s v="Unnamed ProjectccocheWIPEntity"/>
    <n v="10"/>
    <n v="12.759236186141919"/>
    <n v="1.7106325956849093"/>
    <n v="0.95"/>
    <n v="1.2237128409017237"/>
    <n v="10.2386187303012"/>
    <n v="15.1535027543102"/>
    <n v="1.2237128409017237"/>
  </r>
  <r>
    <x v="0"/>
    <s v="2023-04-26 17:43:28"/>
    <n v="4"/>
    <x v="6"/>
    <x v="3"/>
    <x v="1"/>
    <n v="4.3821788801672304E-3"/>
    <n v="2E+20"/>
    <n v="0"/>
    <n v="2"/>
    <n v="0"/>
    <n v="0"/>
    <s v="Unnamed Projectcomer.QueueNumber WaitingQueue"/>
    <n v="10"/>
    <n v="2.0890695640067989E-2"/>
    <n v="2.1893740410825115E-2"/>
    <n v="0.95"/>
    <n v="1.5661838400412763E-2"/>
    <n v="0"/>
    <n v="6.7580541961583807E-2"/>
    <n v="1.5661838400412763E-2"/>
  </r>
  <r>
    <x v="0"/>
    <s v="2023-04-26 17:43:28"/>
    <n v="4"/>
    <x v="7"/>
    <x v="0"/>
    <x v="0"/>
    <n v="0.51436349886460897"/>
    <n v="3E+20"/>
    <n v="0"/>
    <n v="1"/>
    <n v="0.56666666666666698"/>
    <n v="0"/>
    <s v="Unnamed ProjectcomiendoInstantaneous UtilizationResource"/>
    <n v="10"/>
    <n v="0.54567746104498926"/>
    <n v="3.6093067502766238E-2"/>
    <n v="0.95"/>
    <n v="2.5819425095769202E-2"/>
    <n v="0.48838500773485199"/>
    <n v="0.59303053253801696"/>
    <n v="2.5819425095769202E-2"/>
  </r>
  <r>
    <x v="0"/>
    <s v="2023-04-26 17:43:28"/>
    <n v="4"/>
    <x v="7"/>
    <x v="1"/>
    <x v="0"/>
    <n v="15.4309049659383"/>
    <n v="3E+20"/>
    <n v="0"/>
    <n v="30"/>
    <n v="17"/>
    <n v="0"/>
    <s v="Unnamed ProjectcomiendoNumber BusyResource"/>
    <n v="10"/>
    <n v="16.370323831349687"/>
    <n v="1.082792025082975"/>
    <n v="0.95"/>
    <n v="0.77458275287306733"/>
    <n v="14.651550232045601"/>
    <n v="17.7909159761405"/>
    <n v="0.77458275287306733"/>
  </r>
  <r>
    <x v="0"/>
    <s v="2023-04-26 17:43:28"/>
    <n v="4"/>
    <x v="7"/>
    <x v="2"/>
    <x v="0"/>
    <n v="30"/>
    <n v="2E+20"/>
    <n v="30"/>
    <n v="30"/>
    <n v="30"/>
    <n v="0"/>
    <s v="Unnamed ProjectcomiendoNumber ScheduledResource"/>
    <n v="10"/>
    <n v="30"/>
    <n v="0"/>
    <n v="0.95"/>
    <n v="0"/>
    <n v="30"/>
    <n v="30"/>
    <n v="0"/>
  </r>
  <r>
    <x v="0"/>
    <s v="2023-04-26 17:43:28"/>
    <n v="4"/>
    <x v="8"/>
    <x v="4"/>
    <x v="2"/>
    <n v="8.7766386927774693"/>
    <n v="2E+20"/>
    <n v="0"/>
    <n v="17"/>
    <n v="15"/>
    <n v="0"/>
    <s v="Unnamed ProjectcpieWIPEntity"/>
    <n v="10"/>
    <n v="9.2908605330386465"/>
    <n v="1.4837612545855385"/>
    <n v="0.95"/>
    <n v="1.0614188602794625"/>
    <n v="7.9237289708550103"/>
    <n v="13.0648519439402"/>
    <n v="1.0614188602794625"/>
  </r>
  <r>
    <x v="0"/>
    <s v="2023-04-26 17:43:28"/>
    <n v="5"/>
    <x v="0"/>
    <x v="0"/>
    <x v="0"/>
    <n v="0.65552193599712805"/>
    <n v="2E+20"/>
    <n v="0"/>
    <n v="1"/>
    <n v="0"/>
    <n v="0"/>
    <s v="Unnamed ProjectLlegada PedidosInstantaneous UtilizationResource"/>
    <n v="10"/>
    <n v="0.6595273690195278"/>
    <n v="4.3257074173814004E-2"/>
    <n v="0.95"/>
    <n v="3.0944246742323132E-2"/>
    <n v="0.59113797604853702"/>
    <n v="0.72596398581696897"/>
    <n v="3.0944246742323132E-2"/>
  </r>
  <r>
    <x v="0"/>
    <s v="2023-04-26 17:43:28"/>
    <n v="5"/>
    <x v="0"/>
    <x v="1"/>
    <x v="0"/>
    <n v="3.7403588830491401"/>
    <n v="2E+20"/>
    <n v="0"/>
    <n v="6"/>
    <n v="0"/>
    <n v="0"/>
    <s v="Unnamed ProjectLlegada PedidosNumber BusyResource"/>
    <n v="10"/>
    <n v="3.8048219931471854"/>
    <n v="0.26298250620112912"/>
    <n v="0.95"/>
    <n v="0.18812635196045085"/>
    <n v="3.4272486518987"/>
    <n v="4.1920593242441404"/>
    <n v="0.18812635196045085"/>
  </r>
  <r>
    <x v="0"/>
    <s v="2023-04-26 17:43:28"/>
    <n v="5"/>
    <x v="0"/>
    <x v="2"/>
    <x v="0"/>
    <n v="5.75"/>
    <n v="2E+20"/>
    <n v="5"/>
    <n v="6"/>
    <n v="6"/>
    <n v="0"/>
    <s v="Unnamed ProjectLlegada PedidosNumber ScheduledResource"/>
    <n v="10"/>
    <n v="5.75"/>
    <n v="0"/>
    <n v="0.95"/>
    <n v="0"/>
    <n v="5.75"/>
    <n v="5.75"/>
    <n v="0"/>
  </r>
  <r>
    <x v="0"/>
    <s v="2023-04-26 17:43:28"/>
    <n v="5"/>
    <x v="1"/>
    <x v="3"/>
    <x v="1"/>
    <n v="4.2192299345172497"/>
    <n v="2E+20"/>
    <n v="0"/>
    <n v="30"/>
    <n v="0"/>
    <n v="0"/>
    <s v="Unnamed ProjectPedidosCobros.QueueNumber WaitingQueue"/>
    <n v="10"/>
    <n v="3.4276072930460231"/>
    <n v="1.2805781327766621"/>
    <n v="0.95"/>
    <n v="0.91607041091680408"/>
    <n v="1.4388039171548199"/>
    <n v="5.2886106373322104"/>
    <n v="0.91607041091680408"/>
  </r>
  <r>
    <x v="0"/>
    <s v="2023-04-26 17:43:28"/>
    <n v="5"/>
    <x v="2"/>
    <x v="0"/>
    <x v="0"/>
    <n v="0.57426982712798502"/>
    <n v="2E+20"/>
    <n v="0"/>
    <n v="1"/>
    <n v="0"/>
    <n v="0"/>
    <s v="Unnamed ProjectRecoger pedidosInstantaneous UtilizationResource"/>
    <n v="10"/>
    <n v="0.5604361436219214"/>
    <n v="3.5315793681560653E-2"/>
    <n v="0.95"/>
    <n v="2.5263396899939575E-2"/>
    <n v="0.51502488611470398"/>
    <n v="0.60298436758055496"/>
    <n v="2.5263396899939575E-2"/>
  </r>
  <r>
    <x v="0"/>
    <s v="2023-04-26 17:43:28"/>
    <n v="5"/>
    <x v="2"/>
    <x v="1"/>
    <x v="0"/>
    <n v="1.1003348262711801"/>
    <n v="2E+20"/>
    <n v="0"/>
    <n v="2"/>
    <n v="0"/>
    <n v="0"/>
    <s v="Unnamed ProjectRecoger pedidosNumber BusyResource"/>
    <n v="10"/>
    <n v="1.0569098141964663"/>
    <n v="6.5634037857285929E-2"/>
    <n v="0.95"/>
    <n v="4.695176224794953E-2"/>
    <n v="0.95438389742001095"/>
    <n v="1.1377394211218801"/>
    <n v="4.695176224794953E-2"/>
  </r>
  <r>
    <x v="0"/>
    <s v="2023-04-26 17:43:28"/>
    <n v="5"/>
    <x v="2"/>
    <x v="2"/>
    <x v="0"/>
    <n v="1.9166666666666701"/>
    <n v="2E+20"/>
    <n v="1"/>
    <n v="2"/>
    <n v="2"/>
    <n v="0"/>
    <s v="Unnamed ProjectRecoger pedidosNumber ScheduledResource"/>
    <n v="10"/>
    <n v="1.9166666666666701"/>
    <n v="0"/>
    <n v="0.95"/>
    <n v="0"/>
    <n v="1.9166666666666701"/>
    <n v="1.9166666666666701"/>
    <n v="0"/>
  </r>
  <r>
    <x v="0"/>
    <s v="2023-04-26 17:43:28"/>
    <n v="5"/>
    <x v="3"/>
    <x v="3"/>
    <x v="1"/>
    <n v="0.339054882019931"/>
    <n v="2E+20"/>
    <n v="0"/>
    <n v="4"/>
    <n v="0"/>
    <n v="0"/>
    <s v="Unnamed ProjectRecoger.QueueNumber WaitingQueue"/>
    <n v="10"/>
    <n v="0.4031279969367848"/>
    <n v="0.21310533808048257"/>
    <n v="0.95"/>
    <n v="0.15244637529508648"/>
    <n v="0.136826810923111"/>
    <n v="0.81622840356734405"/>
    <n v="0.15244637529508648"/>
  </r>
  <r>
    <x v="0"/>
    <s v="2023-04-26 17:43:28"/>
    <n v="5"/>
    <x v="4"/>
    <x v="4"/>
    <x v="2"/>
    <n v="5.15635231624025"/>
    <n v="2E+20"/>
    <n v="0"/>
    <n v="33"/>
    <n v="0"/>
    <n v="0"/>
    <s v="Unnamed ProjectcbusWIPEntity"/>
    <n v="10"/>
    <n v="5.0665845774105804"/>
    <n v="0.71136839542638619"/>
    <n v="0.95"/>
    <n v="0.50888229435753596"/>
    <n v="3.9372015551464701"/>
    <n v="6.3088136459921804"/>
    <n v="0.50888229435753596"/>
  </r>
  <r>
    <x v="0"/>
    <s v="2023-04-26 17:43:28"/>
    <n v="5"/>
    <x v="5"/>
    <x v="4"/>
    <x v="2"/>
    <n v="13.7005832904809"/>
    <n v="2E+20"/>
    <n v="0"/>
    <n v="35"/>
    <n v="4"/>
    <n v="0"/>
    <s v="Unnamed ProjectccocheWIPEntity"/>
    <n v="10"/>
    <n v="12.759236186141919"/>
    <n v="1.7106325956849093"/>
    <n v="0.95"/>
    <n v="1.2237128409017237"/>
    <n v="10.2386187303012"/>
    <n v="15.1535027543102"/>
    <n v="1.2237128409017237"/>
  </r>
  <r>
    <x v="0"/>
    <s v="2023-04-26 17:43:28"/>
    <n v="5"/>
    <x v="6"/>
    <x v="3"/>
    <x v="1"/>
    <n v="9.64159938015321E-3"/>
    <n v="2E+20"/>
    <n v="0"/>
    <n v="2"/>
    <n v="0"/>
    <n v="0"/>
    <s v="Unnamed Projectcomer.QueueNumber WaitingQueue"/>
    <n v="10"/>
    <n v="2.0890695640067989E-2"/>
    <n v="2.1893740410825115E-2"/>
    <n v="0.95"/>
    <n v="1.5661838400412763E-2"/>
    <n v="0"/>
    <n v="6.7580541961583807E-2"/>
    <n v="1.5661838400412763E-2"/>
  </r>
  <r>
    <x v="0"/>
    <s v="2023-04-26 17:43:28"/>
    <n v="5"/>
    <x v="7"/>
    <x v="0"/>
    <x v="0"/>
    <n v="0.56090598326492203"/>
    <n v="3E+20"/>
    <n v="0"/>
    <n v="1"/>
    <n v="0.33333333333333298"/>
    <n v="0"/>
    <s v="Unnamed ProjectcomiendoInstantaneous UtilizationResource"/>
    <n v="10"/>
    <n v="0.54567746104498926"/>
    <n v="3.6093067502766238E-2"/>
    <n v="0.95"/>
    <n v="2.5819425095769202E-2"/>
    <n v="0.48838500773485199"/>
    <n v="0.59303053253801696"/>
    <n v="2.5819425095769202E-2"/>
  </r>
  <r>
    <x v="0"/>
    <s v="2023-04-26 17:43:28"/>
    <n v="5"/>
    <x v="7"/>
    <x v="1"/>
    <x v="0"/>
    <n v="16.827179497947601"/>
    <n v="3E+20"/>
    <n v="0"/>
    <n v="30"/>
    <n v="10"/>
    <n v="0"/>
    <s v="Unnamed ProjectcomiendoNumber BusyResource"/>
    <n v="10"/>
    <n v="16.370323831349687"/>
    <n v="1.082792025082975"/>
    <n v="0.95"/>
    <n v="0.77458275287306733"/>
    <n v="14.651550232045601"/>
    <n v="17.7909159761405"/>
    <n v="0.77458275287306733"/>
  </r>
  <r>
    <x v="0"/>
    <s v="2023-04-26 17:43:28"/>
    <n v="5"/>
    <x v="7"/>
    <x v="2"/>
    <x v="0"/>
    <n v="30"/>
    <n v="2E+20"/>
    <n v="30"/>
    <n v="30"/>
    <n v="30"/>
    <n v="0"/>
    <s v="Unnamed ProjectcomiendoNumber ScheduledResource"/>
    <n v="10"/>
    <n v="30"/>
    <n v="0"/>
    <n v="0.95"/>
    <n v="0"/>
    <n v="30"/>
    <n v="30"/>
    <n v="0"/>
  </r>
  <r>
    <x v="0"/>
    <s v="2023-04-26 17:43:28"/>
    <n v="5"/>
    <x v="8"/>
    <x v="4"/>
    <x v="2"/>
    <n v="9.4739165338873903"/>
    <n v="2E+20"/>
    <n v="0"/>
    <n v="22"/>
    <n v="7"/>
    <n v="0"/>
    <s v="Unnamed ProjectcpieWIPEntity"/>
    <n v="10"/>
    <n v="9.2908605330386465"/>
    <n v="1.4837612545855385"/>
    <n v="0.95"/>
    <n v="1.0614188602794625"/>
    <n v="7.9237289708550103"/>
    <n v="13.0648519439402"/>
    <n v="1.0614188602794625"/>
  </r>
  <r>
    <x v="0"/>
    <s v="2023-04-26 17:43:28"/>
    <n v="6"/>
    <x v="0"/>
    <x v="0"/>
    <x v="0"/>
    <n v="0.72596398581696897"/>
    <n v="2E+20"/>
    <n v="0"/>
    <n v="1"/>
    <n v="0.33333333333333298"/>
    <n v="0"/>
    <s v="Unnamed ProjectLlegada PedidosInstantaneous UtilizationResource"/>
    <n v="10"/>
    <n v="0.6595273690195278"/>
    <n v="4.3257074173814004E-2"/>
    <n v="0.95"/>
    <n v="3.0944246742323132E-2"/>
    <n v="0.59113797604853702"/>
    <n v="0.72596398581696897"/>
    <n v="3.0944246742323132E-2"/>
  </r>
  <r>
    <x v="0"/>
    <s v="2023-04-26 17:43:28"/>
    <n v="6"/>
    <x v="0"/>
    <x v="1"/>
    <x v="0"/>
    <n v="4.1920593242441404"/>
    <n v="2E+20"/>
    <n v="0"/>
    <n v="6"/>
    <n v="2"/>
    <n v="0"/>
    <s v="Unnamed ProjectLlegada PedidosNumber BusyResource"/>
    <n v="10"/>
    <n v="3.8048219931471854"/>
    <n v="0.26298250620112912"/>
    <n v="0.95"/>
    <n v="0.18812635196045085"/>
    <n v="3.4272486518987"/>
    <n v="4.1920593242441404"/>
    <n v="0.18812635196045085"/>
  </r>
  <r>
    <x v="0"/>
    <s v="2023-04-26 17:43:28"/>
    <n v="6"/>
    <x v="0"/>
    <x v="2"/>
    <x v="0"/>
    <n v="5.75"/>
    <n v="2E+20"/>
    <n v="5"/>
    <n v="6"/>
    <n v="6"/>
    <n v="0"/>
    <s v="Unnamed ProjectLlegada PedidosNumber ScheduledResource"/>
    <n v="10"/>
    <n v="5.75"/>
    <n v="0"/>
    <n v="0.95"/>
    <n v="0"/>
    <n v="5.75"/>
    <n v="5.75"/>
    <n v="0"/>
  </r>
  <r>
    <x v="0"/>
    <s v="2023-04-26 17:43:28"/>
    <n v="6"/>
    <x v="1"/>
    <x v="3"/>
    <x v="1"/>
    <n v="3.9802122119191301"/>
    <n v="2E+20"/>
    <n v="0"/>
    <n v="31"/>
    <n v="0"/>
    <n v="0"/>
    <s v="Unnamed ProjectPedidosCobros.QueueNumber WaitingQueue"/>
    <n v="10"/>
    <n v="3.4276072930460231"/>
    <n v="1.2805781327766621"/>
    <n v="0.95"/>
    <n v="0.91607041091680408"/>
    <n v="1.4388039171548199"/>
    <n v="5.2886106373322104"/>
    <n v="0.91607041091680408"/>
  </r>
  <r>
    <x v="0"/>
    <s v="2023-04-26 17:43:28"/>
    <n v="6"/>
    <x v="2"/>
    <x v="0"/>
    <x v="0"/>
    <n v="0.59119971861037901"/>
    <n v="2E+20"/>
    <n v="0"/>
    <n v="1"/>
    <n v="1"/>
    <n v="0"/>
    <s v="Unnamed ProjectRecoger pedidosInstantaneous UtilizationResource"/>
    <n v="10"/>
    <n v="0.5604361436219214"/>
    <n v="3.5315793681560653E-2"/>
    <n v="0.95"/>
    <n v="2.5263396899939575E-2"/>
    <n v="0.51502488611470398"/>
    <n v="0.60298436758055496"/>
    <n v="2.5263396899939575E-2"/>
  </r>
  <r>
    <x v="0"/>
    <s v="2023-04-26 17:43:28"/>
    <n v="6"/>
    <x v="2"/>
    <x v="1"/>
    <x v="0"/>
    <n v="1.1005054778213299"/>
    <n v="2E+20"/>
    <n v="0"/>
    <n v="2"/>
    <n v="2"/>
    <n v="0"/>
    <s v="Unnamed ProjectRecoger pedidosNumber BusyResource"/>
    <n v="10"/>
    <n v="1.0569098141964663"/>
    <n v="6.5634037857285929E-2"/>
    <n v="0.95"/>
    <n v="4.695176224794953E-2"/>
    <n v="0.95438389742001095"/>
    <n v="1.1377394211218801"/>
    <n v="4.695176224794953E-2"/>
  </r>
  <r>
    <x v="0"/>
    <s v="2023-04-26 17:43:28"/>
    <n v="6"/>
    <x v="2"/>
    <x v="2"/>
    <x v="0"/>
    <n v="1.9166666666666701"/>
    <n v="2E+20"/>
    <n v="1"/>
    <n v="2"/>
    <n v="2"/>
    <n v="0"/>
    <s v="Unnamed ProjectRecoger pedidosNumber ScheduledResource"/>
    <n v="10"/>
    <n v="1.9166666666666701"/>
    <n v="0"/>
    <n v="0.95"/>
    <n v="0"/>
    <n v="1.9166666666666701"/>
    <n v="1.9166666666666701"/>
    <n v="0"/>
  </r>
  <r>
    <x v="0"/>
    <s v="2023-04-26 17:43:28"/>
    <n v="6"/>
    <x v="3"/>
    <x v="3"/>
    <x v="1"/>
    <n v="0.73847192918544802"/>
    <n v="2E+20"/>
    <n v="0"/>
    <n v="12"/>
    <n v="10"/>
    <n v="0"/>
    <s v="Unnamed ProjectRecoger.QueueNumber WaitingQueue"/>
    <n v="10"/>
    <n v="0.4031279969367848"/>
    <n v="0.21310533808048257"/>
    <n v="0.95"/>
    <n v="0.15244637529508648"/>
    <n v="0.136826810923111"/>
    <n v="0.81622840356734405"/>
    <n v="0.15244637529508648"/>
  </r>
  <r>
    <x v="0"/>
    <s v="2023-04-26 17:43:28"/>
    <n v="6"/>
    <x v="4"/>
    <x v="4"/>
    <x v="2"/>
    <n v="5.4365858934567504"/>
    <n v="2E+20"/>
    <n v="0"/>
    <n v="32"/>
    <n v="0"/>
    <n v="0"/>
    <s v="Unnamed ProjectcbusWIPEntity"/>
    <n v="10"/>
    <n v="5.0665845774105804"/>
    <n v="0.71136839542638619"/>
    <n v="0.95"/>
    <n v="0.50888229435753596"/>
    <n v="3.9372015551464701"/>
    <n v="6.3088136459921804"/>
    <n v="0.50888229435753596"/>
  </r>
  <r>
    <x v="0"/>
    <s v="2023-04-26 17:43:28"/>
    <n v="6"/>
    <x v="5"/>
    <x v="4"/>
    <x v="2"/>
    <n v="14.3462638966206"/>
    <n v="2E+20"/>
    <n v="0"/>
    <n v="25"/>
    <n v="20"/>
    <n v="0"/>
    <s v="Unnamed ProjectccocheWIPEntity"/>
    <n v="10"/>
    <n v="12.759236186141919"/>
    <n v="1.7106325956849093"/>
    <n v="0.95"/>
    <n v="1.2237128409017237"/>
    <n v="10.2386187303012"/>
    <n v="15.1535027543102"/>
    <n v="1.2237128409017237"/>
  </r>
  <r>
    <x v="0"/>
    <s v="2023-04-26 17:43:28"/>
    <n v="6"/>
    <x v="6"/>
    <x v="3"/>
    <x v="1"/>
    <n v="1.3573408150519099E-2"/>
    <n v="2E+20"/>
    <n v="0"/>
    <n v="3"/>
    <n v="0"/>
    <n v="0"/>
    <s v="Unnamed Projectcomer.QueueNumber WaitingQueue"/>
    <n v="10"/>
    <n v="2.0890695640067989E-2"/>
    <n v="2.1893740410825115E-2"/>
    <n v="0.95"/>
    <n v="1.5661838400412763E-2"/>
    <n v="0"/>
    <n v="6.7580541961583807E-2"/>
    <n v="1.5661838400412763E-2"/>
  </r>
  <r>
    <x v="0"/>
    <s v="2023-04-26 17:43:28"/>
    <n v="6"/>
    <x v="7"/>
    <x v="0"/>
    <x v="0"/>
    <n v="0.59303053253801696"/>
    <n v="3E+20"/>
    <n v="0"/>
    <n v="1"/>
    <n v="0.56666666666666698"/>
    <n v="0"/>
    <s v="Unnamed ProjectcomiendoInstantaneous UtilizationResource"/>
    <n v="10"/>
    <n v="0.54567746104498926"/>
    <n v="3.6093067502766238E-2"/>
    <n v="0.95"/>
    <n v="2.5819425095769202E-2"/>
    <n v="0.48838500773485199"/>
    <n v="0.59303053253801696"/>
    <n v="2.5819425095769202E-2"/>
  </r>
  <r>
    <x v="0"/>
    <s v="2023-04-26 17:43:28"/>
    <n v="6"/>
    <x v="7"/>
    <x v="1"/>
    <x v="0"/>
    <n v="17.7909159761405"/>
    <n v="3E+20"/>
    <n v="0"/>
    <n v="30"/>
    <n v="17"/>
    <n v="0"/>
    <s v="Unnamed ProjectcomiendoNumber BusyResource"/>
    <n v="10"/>
    <n v="16.370323831349687"/>
    <n v="1.082792025082975"/>
    <n v="0.95"/>
    <n v="0.77458275287306733"/>
    <n v="14.651550232045601"/>
    <n v="17.7909159761405"/>
    <n v="0.77458275287306733"/>
  </r>
  <r>
    <x v="0"/>
    <s v="2023-04-26 17:43:28"/>
    <n v="6"/>
    <x v="7"/>
    <x v="2"/>
    <x v="0"/>
    <n v="30"/>
    <n v="2E+20"/>
    <n v="30"/>
    <n v="30"/>
    <n v="30"/>
    <n v="0"/>
    <s v="Unnamed ProjectcomiendoNumber ScheduledResource"/>
    <n v="10"/>
    <n v="30"/>
    <n v="0"/>
    <n v="0.95"/>
    <n v="0"/>
    <n v="30"/>
    <n v="30"/>
    <n v="0"/>
  </r>
  <r>
    <x v="0"/>
    <s v="2023-04-26 17:43:28"/>
    <n v="6"/>
    <x v="8"/>
    <x v="4"/>
    <x v="2"/>
    <n v="9.9364437650256896"/>
    <n v="2E+20"/>
    <n v="0"/>
    <n v="26"/>
    <n v="17"/>
    <n v="0"/>
    <s v="Unnamed ProjectcpieWIPEntity"/>
    <n v="10"/>
    <n v="9.2908605330386465"/>
    <n v="1.4837612545855385"/>
    <n v="0.95"/>
    <n v="1.0614188602794625"/>
    <n v="7.9237289708550103"/>
    <n v="13.0648519439402"/>
    <n v="1.0614188602794625"/>
  </r>
  <r>
    <x v="0"/>
    <s v="2023-04-26 17:43:28"/>
    <n v="7"/>
    <x v="0"/>
    <x v="0"/>
    <x v="0"/>
    <n v="0.68137244132971297"/>
    <n v="2E+20"/>
    <n v="0"/>
    <n v="1"/>
    <n v="1"/>
    <n v="0"/>
    <s v="Unnamed ProjectLlegada PedidosInstantaneous UtilizationResource"/>
    <n v="10"/>
    <n v="0.6595273690195278"/>
    <n v="4.3257074173814004E-2"/>
    <n v="0.95"/>
    <n v="3.0944246742323132E-2"/>
    <n v="0.59113797604853702"/>
    <n v="0.72596398581696897"/>
    <n v="3.0944246742323132E-2"/>
  </r>
  <r>
    <x v="0"/>
    <s v="2023-04-26 17:43:28"/>
    <n v="7"/>
    <x v="0"/>
    <x v="1"/>
    <x v="0"/>
    <n v="3.9479098805550401"/>
    <n v="2E+20"/>
    <n v="0"/>
    <n v="6"/>
    <n v="6"/>
    <n v="0"/>
    <s v="Unnamed ProjectLlegada PedidosNumber BusyResource"/>
    <n v="10"/>
    <n v="3.8048219931471854"/>
    <n v="0.26298250620112912"/>
    <n v="0.95"/>
    <n v="0.18812635196045085"/>
    <n v="3.4272486518987"/>
    <n v="4.1920593242441404"/>
    <n v="0.18812635196045085"/>
  </r>
  <r>
    <x v="0"/>
    <s v="2023-04-26 17:43:28"/>
    <n v="7"/>
    <x v="0"/>
    <x v="2"/>
    <x v="0"/>
    <n v="5.75"/>
    <n v="2E+20"/>
    <n v="5"/>
    <n v="6"/>
    <n v="6"/>
    <n v="0"/>
    <s v="Unnamed ProjectLlegada PedidosNumber ScheduledResource"/>
    <n v="10"/>
    <n v="5.75"/>
    <n v="0"/>
    <n v="0.95"/>
    <n v="0"/>
    <n v="5.75"/>
    <n v="5.75"/>
    <n v="0"/>
  </r>
  <r>
    <x v="0"/>
    <s v="2023-04-26 17:43:28"/>
    <n v="7"/>
    <x v="1"/>
    <x v="3"/>
    <x v="1"/>
    <n v="2.33450863585281"/>
    <n v="2E+20"/>
    <n v="0"/>
    <n v="29"/>
    <n v="0"/>
    <n v="0"/>
    <s v="Unnamed ProjectPedidosCobros.QueueNumber WaitingQueue"/>
    <n v="10"/>
    <n v="3.4276072930460231"/>
    <n v="1.2805781327766621"/>
    <n v="0.95"/>
    <n v="0.91607041091680408"/>
    <n v="1.4388039171548199"/>
    <n v="5.2886106373322104"/>
    <n v="0.91607041091680408"/>
  </r>
  <r>
    <x v="0"/>
    <s v="2023-04-26 17:43:28"/>
    <n v="7"/>
    <x v="2"/>
    <x v="0"/>
    <x v="0"/>
    <n v="0.59700136942440196"/>
    <n v="2E+20"/>
    <n v="0"/>
    <n v="1"/>
    <n v="1"/>
    <n v="0"/>
    <s v="Unnamed ProjectRecoger pedidosInstantaneous UtilizationResource"/>
    <n v="10"/>
    <n v="0.5604361436219214"/>
    <n v="3.5315793681560653E-2"/>
    <n v="0.95"/>
    <n v="2.5263396899939575E-2"/>
    <n v="0.51502488611470398"/>
    <n v="0.60298436758055496"/>
    <n v="2.5263396899939575E-2"/>
  </r>
  <r>
    <x v="0"/>
    <s v="2023-04-26 17:43:28"/>
    <n v="7"/>
    <x v="2"/>
    <x v="1"/>
    <x v="0"/>
    <n v="1.1377394211218801"/>
    <n v="2E+20"/>
    <n v="0"/>
    <n v="2"/>
    <n v="2"/>
    <n v="0"/>
    <s v="Unnamed ProjectRecoger pedidosNumber BusyResource"/>
    <n v="10"/>
    <n v="1.0569098141964663"/>
    <n v="6.5634037857285929E-2"/>
    <n v="0.95"/>
    <n v="4.695176224794953E-2"/>
    <n v="0.95438389742001095"/>
    <n v="1.1377394211218801"/>
    <n v="4.695176224794953E-2"/>
  </r>
  <r>
    <x v="0"/>
    <s v="2023-04-26 17:43:28"/>
    <n v="7"/>
    <x v="2"/>
    <x v="2"/>
    <x v="0"/>
    <n v="1.9166666666666701"/>
    <n v="2E+20"/>
    <n v="1"/>
    <n v="2"/>
    <n v="2"/>
    <n v="0"/>
    <s v="Unnamed ProjectRecoger pedidosNumber ScheduledResource"/>
    <n v="10"/>
    <n v="1.9166666666666701"/>
    <n v="0"/>
    <n v="0.95"/>
    <n v="0"/>
    <n v="1.9166666666666701"/>
    <n v="1.9166666666666701"/>
    <n v="0"/>
  </r>
  <r>
    <x v="0"/>
    <s v="2023-04-26 17:43:28"/>
    <n v="7"/>
    <x v="3"/>
    <x v="3"/>
    <x v="1"/>
    <n v="0.34993131153302598"/>
    <n v="2E+20"/>
    <n v="0"/>
    <n v="4"/>
    <n v="3"/>
    <n v="0"/>
    <s v="Unnamed ProjectRecoger.QueueNumber WaitingQueue"/>
    <n v="10"/>
    <n v="0.4031279969367848"/>
    <n v="0.21310533808048257"/>
    <n v="0.95"/>
    <n v="0.15244637529508648"/>
    <n v="0.136826810923111"/>
    <n v="0.81622840356734405"/>
    <n v="0.15244637529508648"/>
  </r>
  <r>
    <x v="0"/>
    <s v="2023-04-26 17:43:28"/>
    <n v="7"/>
    <x v="4"/>
    <x v="4"/>
    <x v="2"/>
    <n v="4.57047492865237"/>
    <n v="2E+20"/>
    <n v="0"/>
    <n v="28"/>
    <n v="0"/>
    <n v="0"/>
    <s v="Unnamed ProjectcbusWIPEntity"/>
    <n v="10"/>
    <n v="5.0665845774105804"/>
    <n v="0.71136839542638619"/>
    <n v="0.95"/>
    <n v="0.50888229435753596"/>
    <n v="3.9372015551464701"/>
    <n v="6.3088136459921804"/>
    <n v="0.50888229435753596"/>
  </r>
  <r>
    <x v="0"/>
    <s v="2023-04-26 17:43:28"/>
    <n v="7"/>
    <x v="5"/>
    <x v="4"/>
    <x v="2"/>
    <n v="14.295020342700001"/>
    <n v="2E+20"/>
    <n v="0"/>
    <n v="28"/>
    <n v="17"/>
    <n v="0"/>
    <s v="Unnamed ProjectccocheWIPEntity"/>
    <n v="10"/>
    <n v="12.759236186141919"/>
    <n v="1.7106325956849093"/>
    <n v="0.95"/>
    <n v="1.2237128409017237"/>
    <n v="10.2386187303012"/>
    <n v="15.1535027543102"/>
    <n v="1.2237128409017237"/>
  </r>
  <r>
    <x v="0"/>
    <s v="2023-04-26 17:43:28"/>
    <n v="7"/>
    <x v="6"/>
    <x v="3"/>
    <x v="1"/>
    <n v="6.7580541961583807E-2"/>
    <n v="2E+20"/>
    <n v="0"/>
    <n v="5"/>
    <n v="0"/>
    <n v="0"/>
    <s v="Unnamed Projectcomer.QueueNumber WaitingQueue"/>
    <n v="10"/>
    <n v="2.0890695640067989E-2"/>
    <n v="2.1893740410825115E-2"/>
    <n v="0.95"/>
    <n v="1.5661838400412763E-2"/>
    <n v="0"/>
    <n v="6.7580541961583807E-2"/>
    <n v="1.5661838400412763E-2"/>
  </r>
  <r>
    <x v="0"/>
    <s v="2023-04-26 17:43:28"/>
    <n v="7"/>
    <x v="7"/>
    <x v="0"/>
    <x v="0"/>
    <n v="0.580647497288172"/>
    <n v="3E+20"/>
    <n v="0"/>
    <n v="1"/>
    <n v="0.3"/>
    <n v="0"/>
    <s v="Unnamed ProjectcomiendoInstantaneous UtilizationResource"/>
    <n v="10"/>
    <n v="0.54567746104498926"/>
    <n v="3.6093067502766238E-2"/>
    <n v="0.95"/>
    <n v="2.5819425095769202E-2"/>
    <n v="0.48838500773485199"/>
    <n v="0.59303053253801696"/>
    <n v="2.5819425095769202E-2"/>
  </r>
  <r>
    <x v="0"/>
    <s v="2023-04-26 17:43:28"/>
    <n v="7"/>
    <x v="7"/>
    <x v="1"/>
    <x v="0"/>
    <n v="17.419424918645198"/>
    <n v="3E+20"/>
    <n v="0"/>
    <n v="30"/>
    <n v="9"/>
    <n v="0"/>
    <s v="Unnamed ProjectcomiendoNumber BusyResource"/>
    <n v="10"/>
    <n v="16.370323831349687"/>
    <n v="1.082792025082975"/>
    <n v="0.95"/>
    <n v="0.77458275287306733"/>
    <n v="14.651550232045601"/>
    <n v="17.7909159761405"/>
    <n v="0.77458275287306733"/>
  </r>
  <r>
    <x v="0"/>
    <s v="2023-04-26 17:43:28"/>
    <n v="7"/>
    <x v="7"/>
    <x v="2"/>
    <x v="0"/>
    <n v="30"/>
    <n v="2E+20"/>
    <n v="30"/>
    <n v="30"/>
    <n v="30"/>
    <n v="0"/>
    <s v="Unnamed ProjectcomiendoNumber ScheduledResource"/>
    <n v="10"/>
    <n v="30"/>
    <n v="0"/>
    <n v="0.95"/>
    <n v="0"/>
    <n v="30"/>
    <n v="30"/>
    <n v="0"/>
  </r>
  <r>
    <x v="0"/>
    <s v="2023-04-26 17:43:28"/>
    <n v="7"/>
    <x v="8"/>
    <x v="4"/>
    <x v="2"/>
    <n v="8.5768972666124998"/>
    <n v="2E+20"/>
    <n v="0"/>
    <n v="18"/>
    <n v="4"/>
    <n v="0"/>
    <s v="Unnamed ProjectcpieWIPEntity"/>
    <n v="10"/>
    <n v="9.2908605330386465"/>
    <n v="1.4837612545855385"/>
    <n v="0.95"/>
    <n v="1.0614188602794625"/>
    <n v="7.9237289708550103"/>
    <n v="13.0648519439402"/>
    <n v="1.0614188602794625"/>
  </r>
  <r>
    <x v="0"/>
    <s v="2023-04-26 17:43:28"/>
    <n v="8"/>
    <x v="0"/>
    <x v="0"/>
    <x v="0"/>
    <n v="0.59113797604853702"/>
    <n v="2E+20"/>
    <n v="0"/>
    <n v="1"/>
    <n v="0.66666666666666696"/>
    <n v="0"/>
    <s v="Unnamed ProjectLlegada PedidosInstantaneous UtilizationResource"/>
    <n v="10"/>
    <n v="0.6595273690195278"/>
    <n v="4.3257074173814004E-2"/>
    <n v="0.95"/>
    <n v="3.0944246742323132E-2"/>
    <n v="0.59113797604853702"/>
    <n v="0.72596398581696897"/>
    <n v="3.0944246742323132E-2"/>
  </r>
  <r>
    <x v="0"/>
    <s v="2023-04-26 17:43:28"/>
    <n v="8"/>
    <x v="0"/>
    <x v="1"/>
    <x v="0"/>
    <n v="3.4272486518987"/>
    <n v="2E+20"/>
    <n v="0"/>
    <n v="6"/>
    <n v="4"/>
    <n v="0"/>
    <s v="Unnamed ProjectLlegada PedidosNumber BusyResource"/>
    <n v="10"/>
    <n v="3.8048219931471854"/>
    <n v="0.26298250620112912"/>
    <n v="0.95"/>
    <n v="0.18812635196045085"/>
    <n v="3.4272486518987"/>
    <n v="4.1920593242441404"/>
    <n v="0.18812635196045085"/>
  </r>
  <r>
    <x v="0"/>
    <s v="2023-04-26 17:43:28"/>
    <n v="8"/>
    <x v="0"/>
    <x v="2"/>
    <x v="0"/>
    <n v="5.75"/>
    <n v="2E+20"/>
    <n v="5"/>
    <n v="6"/>
    <n v="6"/>
    <n v="0"/>
    <s v="Unnamed ProjectLlegada PedidosNumber ScheduledResource"/>
    <n v="10"/>
    <n v="5.75"/>
    <n v="0"/>
    <n v="0.95"/>
    <n v="0"/>
    <n v="5.75"/>
    <n v="5.75"/>
    <n v="0"/>
  </r>
  <r>
    <x v="0"/>
    <s v="2023-04-26 17:43:28"/>
    <n v="8"/>
    <x v="1"/>
    <x v="3"/>
    <x v="1"/>
    <n v="2.1438463008583799"/>
    <n v="2E+20"/>
    <n v="0"/>
    <n v="29"/>
    <n v="0"/>
    <n v="0"/>
    <s v="Unnamed ProjectPedidosCobros.QueueNumber WaitingQueue"/>
    <n v="10"/>
    <n v="3.4276072930460231"/>
    <n v="1.2805781327766621"/>
    <n v="0.95"/>
    <n v="0.91607041091680408"/>
    <n v="1.4388039171548199"/>
    <n v="5.2886106373322104"/>
    <n v="0.91607041091680408"/>
  </r>
  <r>
    <x v="0"/>
    <s v="2023-04-26 17:43:28"/>
    <n v="8"/>
    <x v="2"/>
    <x v="0"/>
    <x v="0"/>
    <n v="0.51784350949397295"/>
    <n v="2E+20"/>
    <n v="0"/>
    <n v="1"/>
    <n v="1"/>
    <n v="0"/>
    <s v="Unnamed ProjectRecoger pedidosInstantaneous UtilizationResource"/>
    <n v="10"/>
    <n v="0.5604361436219214"/>
    <n v="3.5315793681560653E-2"/>
    <n v="0.95"/>
    <n v="2.5263396899939575E-2"/>
    <n v="0.51502488611470398"/>
    <n v="0.60298436758055496"/>
    <n v="2.5263396899939575E-2"/>
  </r>
  <r>
    <x v="0"/>
    <s v="2023-04-26 17:43:28"/>
    <n v="8"/>
    <x v="2"/>
    <x v="1"/>
    <x v="0"/>
    <n v="0.95438389742001095"/>
    <n v="2E+20"/>
    <n v="0"/>
    <n v="2"/>
    <n v="2"/>
    <n v="0"/>
    <s v="Unnamed ProjectRecoger pedidosNumber BusyResource"/>
    <n v="10"/>
    <n v="1.0569098141964663"/>
    <n v="6.5634037857285929E-2"/>
    <n v="0.95"/>
    <n v="4.695176224794953E-2"/>
    <n v="0.95438389742001095"/>
    <n v="1.1377394211218801"/>
    <n v="4.695176224794953E-2"/>
  </r>
  <r>
    <x v="0"/>
    <s v="2023-04-26 17:43:28"/>
    <n v="8"/>
    <x v="2"/>
    <x v="2"/>
    <x v="0"/>
    <n v="1.9166666666666701"/>
    <n v="2E+20"/>
    <n v="1"/>
    <n v="2"/>
    <n v="2"/>
    <n v="0"/>
    <s v="Unnamed ProjectRecoger pedidosNumber ScheduledResource"/>
    <n v="10"/>
    <n v="1.9166666666666701"/>
    <n v="0"/>
    <n v="0.95"/>
    <n v="0"/>
    <n v="1.9166666666666701"/>
    <n v="1.9166666666666701"/>
    <n v="0"/>
  </r>
  <r>
    <x v="0"/>
    <s v="2023-04-26 17:43:28"/>
    <n v="8"/>
    <x v="3"/>
    <x v="3"/>
    <x v="1"/>
    <n v="0.35275642693682202"/>
    <n v="2E+20"/>
    <n v="0"/>
    <n v="6"/>
    <n v="1"/>
    <n v="0"/>
    <s v="Unnamed ProjectRecoger.QueueNumber WaitingQueue"/>
    <n v="10"/>
    <n v="0.4031279969367848"/>
    <n v="0.21310533808048257"/>
    <n v="0.95"/>
    <n v="0.15244637529508648"/>
    <n v="0.136826810923111"/>
    <n v="0.81622840356734405"/>
    <n v="0.15244637529508648"/>
  </r>
  <r>
    <x v="0"/>
    <s v="2023-04-26 17:43:28"/>
    <n v="8"/>
    <x v="4"/>
    <x v="4"/>
    <x v="2"/>
    <n v="4.96771064626222"/>
    <n v="2E+20"/>
    <n v="0"/>
    <n v="30"/>
    <n v="0"/>
    <n v="0"/>
    <s v="Unnamed ProjectcbusWIPEntity"/>
    <n v="10"/>
    <n v="5.0665845774105804"/>
    <n v="0.71136839542638619"/>
    <n v="0.95"/>
    <n v="0.50888229435753596"/>
    <n v="3.9372015551464701"/>
    <n v="6.3088136459921804"/>
    <n v="0.50888229435753596"/>
  </r>
  <r>
    <x v="0"/>
    <s v="2023-04-26 17:43:28"/>
    <n v="8"/>
    <x v="5"/>
    <x v="4"/>
    <x v="2"/>
    <n v="10.2386187303012"/>
    <n v="2E+20"/>
    <n v="0"/>
    <n v="19"/>
    <n v="12"/>
    <n v="0"/>
    <s v="Unnamed ProjectccocheWIPEntity"/>
    <n v="10"/>
    <n v="12.759236186141919"/>
    <n v="1.7106325956849093"/>
    <n v="0.95"/>
    <n v="1.2237128409017237"/>
    <n v="10.2386187303012"/>
    <n v="15.1535027543102"/>
    <n v="1.2237128409017237"/>
  </r>
  <r>
    <x v="0"/>
    <s v="2023-04-26 17:43:28"/>
    <n v="8"/>
    <x v="6"/>
    <x v="3"/>
    <x v="1"/>
    <n v="2.0263919514430399E-2"/>
    <n v="2E+20"/>
    <n v="0"/>
    <n v="2"/>
    <n v="0"/>
    <n v="0"/>
    <s v="Unnamed Projectcomer.QueueNumber WaitingQueue"/>
    <n v="10"/>
    <n v="2.0890695640067989E-2"/>
    <n v="2.1893740410825115E-2"/>
    <n v="0.95"/>
    <n v="1.5661838400412763E-2"/>
    <n v="0"/>
    <n v="6.7580541961583807E-2"/>
    <n v="1.5661838400412763E-2"/>
  </r>
  <r>
    <x v="0"/>
    <s v="2023-04-26 17:43:28"/>
    <n v="8"/>
    <x v="7"/>
    <x v="0"/>
    <x v="0"/>
    <n v="0.48838500773485199"/>
    <n v="3E+20"/>
    <n v="0"/>
    <n v="1"/>
    <n v="0.5"/>
    <n v="0"/>
    <s v="Unnamed ProjectcomiendoInstantaneous UtilizationResource"/>
    <n v="10"/>
    <n v="0.54567746104498926"/>
    <n v="3.6093067502766238E-2"/>
    <n v="0.95"/>
    <n v="2.5819425095769202E-2"/>
    <n v="0.48838500773485199"/>
    <n v="0.59303053253801696"/>
    <n v="2.5819425095769202E-2"/>
  </r>
  <r>
    <x v="0"/>
    <s v="2023-04-26 17:43:28"/>
    <n v="8"/>
    <x v="7"/>
    <x v="1"/>
    <x v="0"/>
    <n v="14.651550232045601"/>
    <n v="3E+20"/>
    <n v="0"/>
    <n v="30"/>
    <n v="15"/>
    <n v="0"/>
    <s v="Unnamed ProjectcomiendoNumber BusyResource"/>
    <n v="10"/>
    <n v="16.370323831349687"/>
    <n v="1.082792025082975"/>
    <n v="0.95"/>
    <n v="0.77458275287306733"/>
    <n v="14.651550232045601"/>
    <n v="17.7909159761405"/>
    <n v="0.77458275287306733"/>
  </r>
  <r>
    <x v="0"/>
    <s v="2023-04-26 17:43:28"/>
    <n v="8"/>
    <x v="7"/>
    <x v="2"/>
    <x v="0"/>
    <n v="30"/>
    <n v="2E+20"/>
    <n v="30"/>
    <n v="30"/>
    <n v="30"/>
    <n v="0"/>
    <s v="Unnamed ProjectcomiendoNumber ScheduledResource"/>
    <n v="10"/>
    <n v="30"/>
    <n v="0"/>
    <n v="0.95"/>
    <n v="0"/>
    <n v="30"/>
    <n v="30"/>
    <n v="0"/>
  </r>
  <r>
    <x v="0"/>
    <s v="2023-04-26 17:43:28"/>
    <n v="8"/>
    <x v="8"/>
    <x v="4"/>
    <x v="2"/>
    <n v="8.2033715168243706"/>
    <n v="2E+20"/>
    <n v="0"/>
    <n v="17"/>
    <n v="11"/>
    <n v="0"/>
    <s v="Unnamed ProjectcpieWIPEntity"/>
    <n v="10"/>
    <n v="9.2908605330386465"/>
    <n v="1.4837612545855385"/>
    <n v="0.95"/>
    <n v="1.0614188602794625"/>
    <n v="7.9237289708550103"/>
    <n v="13.0648519439402"/>
    <n v="1.0614188602794625"/>
  </r>
  <r>
    <x v="0"/>
    <s v="2023-04-26 17:43:28"/>
    <n v="9"/>
    <x v="0"/>
    <x v="0"/>
    <x v="0"/>
    <n v="0.69892965012209696"/>
    <n v="2E+20"/>
    <n v="0"/>
    <n v="1"/>
    <n v="1"/>
    <n v="0"/>
    <s v="Unnamed ProjectLlegada PedidosInstantaneous UtilizationResource"/>
    <n v="10"/>
    <n v="0.6595273690195278"/>
    <n v="4.3257074173814004E-2"/>
    <n v="0.95"/>
    <n v="3.0944246742323132E-2"/>
    <n v="0.59113797604853702"/>
    <n v="0.72596398581696897"/>
    <n v="3.0944246742323132E-2"/>
  </r>
  <r>
    <x v="0"/>
    <s v="2023-04-26 17:43:28"/>
    <n v="9"/>
    <x v="0"/>
    <x v="1"/>
    <x v="0"/>
    <n v="4.0341733417555501"/>
    <n v="2E+20"/>
    <n v="0"/>
    <n v="6"/>
    <n v="6"/>
    <n v="0"/>
    <s v="Unnamed ProjectLlegada PedidosNumber BusyResource"/>
    <n v="10"/>
    <n v="3.8048219931471854"/>
    <n v="0.26298250620112912"/>
    <n v="0.95"/>
    <n v="0.18812635196045085"/>
    <n v="3.4272486518987"/>
    <n v="4.1920593242441404"/>
    <n v="0.18812635196045085"/>
  </r>
  <r>
    <x v="0"/>
    <s v="2023-04-26 17:43:28"/>
    <n v="9"/>
    <x v="0"/>
    <x v="2"/>
    <x v="0"/>
    <n v="5.75"/>
    <n v="2E+20"/>
    <n v="5"/>
    <n v="6"/>
    <n v="6"/>
    <n v="0"/>
    <s v="Unnamed ProjectLlegada PedidosNumber ScheduledResource"/>
    <n v="10"/>
    <n v="5.75"/>
    <n v="0"/>
    <n v="0.95"/>
    <n v="0"/>
    <n v="5.75"/>
    <n v="5.75"/>
    <n v="0"/>
  </r>
  <r>
    <x v="0"/>
    <s v="2023-04-26 17:43:28"/>
    <n v="9"/>
    <x v="1"/>
    <x v="3"/>
    <x v="1"/>
    <n v="5.2886106373322104"/>
    <n v="2E+20"/>
    <n v="0"/>
    <n v="33"/>
    <n v="0"/>
    <n v="0"/>
    <s v="Unnamed ProjectPedidosCobros.QueueNumber WaitingQueue"/>
    <n v="10"/>
    <n v="3.4276072930460231"/>
    <n v="1.2805781327766621"/>
    <n v="0.95"/>
    <n v="0.91607041091680408"/>
    <n v="1.4388039171548199"/>
    <n v="5.2886106373322104"/>
    <n v="0.91607041091680408"/>
  </r>
  <r>
    <x v="0"/>
    <s v="2023-04-26 17:43:28"/>
    <n v="9"/>
    <x v="2"/>
    <x v="0"/>
    <x v="0"/>
    <n v="0.59269037047803597"/>
    <n v="2E+20"/>
    <n v="0"/>
    <n v="1"/>
    <n v="1"/>
    <n v="0"/>
    <s v="Unnamed ProjectRecoger pedidosInstantaneous UtilizationResource"/>
    <n v="10"/>
    <n v="0.5604361436219214"/>
    <n v="3.5315793681560653E-2"/>
    <n v="0.95"/>
    <n v="2.5263396899939575E-2"/>
    <n v="0.51502488611470398"/>
    <n v="0.60298436758055496"/>
    <n v="2.5263396899939575E-2"/>
  </r>
  <r>
    <x v="0"/>
    <s v="2023-04-26 17:43:28"/>
    <n v="9"/>
    <x v="2"/>
    <x v="1"/>
    <x v="0"/>
    <n v="1.1154062696841001"/>
    <n v="2E+20"/>
    <n v="0"/>
    <n v="2"/>
    <n v="2"/>
    <n v="0"/>
    <s v="Unnamed ProjectRecoger pedidosNumber BusyResource"/>
    <n v="10"/>
    <n v="1.0569098141964663"/>
    <n v="6.5634037857285929E-2"/>
    <n v="0.95"/>
    <n v="4.695176224794953E-2"/>
    <n v="0.95438389742001095"/>
    <n v="1.1377394211218801"/>
    <n v="4.695176224794953E-2"/>
  </r>
  <r>
    <x v="0"/>
    <s v="2023-04-26 17:43:28"/>
    <n v="9"/>
    <x v="2"/>
    <x v="2"/>
    <x v="0"/>
    <n v="1.9166666666666701"/>
    <n v="2E+20"/>
    <n v="1"/>
    <n v="2"/>
    <n v="2"/>
    <n v="0"/>
    <s v="Unnamed ProjectRecoger pedidosNumber ScheduledResource"/>
    <n v="10"/>
    <n v="1.9166666666666701"/>
    <n v="0"/>
    <n v="0.95"/>
    <n v="0"/>
    <n v="1.9166666666666701"/>
    <n v="1.9166666666666701"/>
    <n v="0"/>
  </r>
  <r>
    <x v="0"/>
    <s v="2023-04-26 17:43:28"/>
    <n v="9"/>
    <x v="3"/>
    <x v="3"/>
    <x v="1"/>
    <n v="0.35791903949627102"/>
    <n v="2E+20"/>
    <n v="0"/>
    <n v="5"/>
    <n v="3"/>
    <n v="0"/>
    <s v="Unnamed ProjectRecoger.QueueNumber WaitingQueue"/>
    <n v="10"/>
    <n v="0.4031279969367848"/>
    <n v="0.21310533808048257"/>
    <n v="0.95"/>
    <n v="0.15244637529508648"/>
    <n v="0.136826810923111"/>
    <n v="0.81622840356734405"/>
    <n v="0.15244637529508648"/>
  </r>
  <r>
    <x v="0"/>
    <s v="2023-04-26 17:43:28"/>
    <n v="9"/>
    <x v="4"/>
    <x v="4"/>
    <x v="2"/>
    <n v="5.3464252555821998"/>
    <n v="2E+20"/>
    <n v="0"/>
    <n v="31"/>
    <n v="0"/>
    <n v="0"/>
    <s v="Unnamed ProjectcbusWIPEntity"/>
    <n v="10"/>
    <n v="5.0665845774105804"/>
    <n v="0.71136839542638619"/>
    <n v="0.95"/>
    <n v="0.50888229435753596"/>
    <n v="3.9372015551464701"/>
    <n v="6.3088136459921804"/>
    <n v="0.50888229435753596"/>
  </r>
  <r>
    <x v="0"/>
    <s v="2023-04-26 17:43:28"/>
    <n v="9"/>
    <x v="5"/>
    <x v="4"/>
    <x v="2"/>
    <n v="11.819816507748"/>
    <n v="2E+20"/>
    <n v="0"/>
    <n v="32"/>
    <n v="16"/>
    <n v="0"/>
    <s v="Unnamed ProjectccocheWIPEntity"/>
    <n v="10"/>
    <n v="12.759236186141919"/>
    <n v="1.7106325956849093"/>
    <n v="0.95"/>
    <n v="1.2237128409017237"/>
    <n v="10.2386187303012"/>
    <n v="15.1535027543102"/>
    <n v="1.2237128409017237"/>
  </r>
  <r>
    <x v="0"/>
    <s v="2023-04-26 17:43:28"/>
    <n v="9"/>
    <x v="6"/>
    <x v="3"/>
    <x v="1"/>
    <n v="5.1971754177900599E-2"/>
    <n v="2E+20"/>
    <n v="0"/>
    <n v="3"/>
    <n v="0"/>
    <n v="0"/>
    <s v="Unnamed Projectcomer.QueueNumber WaitingQueue"/>
    <n v="10"/>
    <n v="2.0890695640067989E-2"/>
    <n v="2.1893740410825115E-2"/>
    <n v="0.95"/>
    <n v="1.5661838400412763E-2"/>
    <n v="0"/>
    <n v="6.7580541961583807E-2"/>
    <n v="1.5661838400412763E-2"/>
  </r>
  <r>
    <x v="0"/>
    <s v="2023-04-26 17:43:28"/>
    <n v="9"/>
    <x v="7"/>
    <x v="0"/>
    <x v="0"/>
    <n v="0.57545560630387704"/>
    <n v="3E+20"/>
    <n v="0"/>
    <n v="1"/>
    <n v="0.46666666666666701"/>
    <n v="0"/>
    <s v="Unnamed ProjectcomiendoInstantaneous UtilizationResource"/>
    <n v="10"/>
    <n v="0.54567746104498926"/>
    <n v="3.6093067502766238E-2"/>
    <n v="0.95"/>
    <n v="2.5819425095769202E-2"/>
    <n v="0.48838500773485199"/>
    <n v="0.59303053253801696"/>
    <n v="2.5819425095769202E-2"/>
  </r>
  <r>
    <x v="0"/>
    <s v="2023-04-26 17:43:28"/>
    <n v="9"/>
    <x v="7"/>
    <x v="1"/>
    <x v="0"/>
    <n v="17.263668189116299"/>
    <n v="3E+20"/>
    <n v="0"/>
    <n v="30"/>
    <n v="14"/>
    <n v="0"/>
    <s v="Unnamed ProjectcomiendoNumber BusyResource"/>
    <n v="10"/>
    <n v="16.370323831349687"/>
    <n v="1.082792025082975"/>
    <n v="0.95"/>
    <n v="0.77458275287306733"/>
    <n v="14.651550232045601"/>
    <n v="17.7909159761405"/>
    <n v="0.77458275287306733"/>
  </r>
  <r>
    <x v="0"/>
    <s v="2023-04-26 17:43:28"/>
    <n v="9"/>
    <x v="7"/>
    <x v="2"/>
    <x v="0"/>
    <n v="30"/>
    <n v="2E+20"/>
    <n v="30"/>
    <n v="30"/>
    <n v="30"/>
    <n v="0"/>
    <s v="Unnamed ProjectcomiendoNumber ScheduledResource"/>
    <n v="10"/>
    <n v="30"/>
    <n v="0"/>
    <n v="0.95"/>
    <n v="0"/>
    <n v="30"/>
    <n v="30"/>
    <n v="0"/>
  </r>
  <r>
    <x v="0"/>
    <s v="2023-04-26 17:43:28"/>
    <n v="9"/>
    <x v="8"/>
    <x v="4"/>
    <x v="2"/>
    <n v="13.0648519439402"/>
    <n v="2E+20"/>
    <n v="0"/>
    <n v="21"/>
    <n v="13"/>
    <n v="0"/>
    <s v="Unnamed ProjectcpieWIPEntity"/>
    <n v="10"/>
    <n v="9.2908605330386465"/>
    <n v="1.4837612545855385"/>
    <n v="0.95"/>
    <n v="1.0614188602794625"/>
    <n v="7.9237289708550103"/>
    <n v="13.0648519439402"/>
    <n v="1.0614188602794625"/>
  </r>
  <r>
    <x v="0"/>
    <s v="2023-04-26 17:43:28"/>
    <n v="10"/>
    <x v="0"/>
    <x v="0"/>
    <x v="0"/>
    <n v="0.635761397236279"/>
    <n v="2E+20"/>
    <n v="0"/>
    <n v="1"/>
    <n v="0.33333333333333298"/>
    <n v="0"/>
    <s v="Unnamed ProjectLlegada PedidosInstantaneous UtilizationResource"/>
    <n v="10"/>
    <n v="0.6595273690195278"/>
    <n v="4.3257074173814004E-2"/>
    <n v="0.95"/>
    <n v="3.0944246742323132E-2"/>
    <n v="0.59113797604853702"/>
    <n v="0.72596398581696897"/>
    <n v="3.0944246742323132E-2"/>
  </r>
  <r>
    <x v="0"/>
    <s v="2023-04-26 17:43:28"/>
    <n v="10"/>
    <x v="0"/>
    <x v="1"/>
    <x v="0"/>
    <n v="3.6606776141041601"/>
    <n v="2E+20"/>
    <n v="0"/>
    <n v="6"/>
    <n v="2"/>
    <n v="0"/>
    <s v="Unnamed ProjectLlegada PedidosNumber BusyResource"/>
    <n v="10"/>
    <n v="3.8048219931471854"/>
    <n v="0.26298250620112912"/>
    <n v="0.95"/>
    <n v="0.18812635196045085"/>
    <n v="3.4272486518987"/>
    <n v="4.1920593242441404"/>
    <n v="0.18812635196045085"/>
  </r>
  <r>
    <x v="0"/>
    <s v="2023-04-26 17:43:28"/>
    <n v="10"/>
    <x v="0"/>
    <x v="2"/>
    <x v="0"/>
    <n v="5.75"/>
    <n v="2E+20"/>
    <n v="5"/>
    <n v="6"/>
    <n v="6"/>
    <n v="0"/>
    <s v="Unnamed ProjectLlegada PedidosNumber ScheduledResource"/>
    <n v="10"/>
    <n v="5.75"/>
    <n v="0"/>
    <n v="0.95"/>
    <n v="0"/>
    <n v="5.75"/>
    <n v="5.75"/>
    <n v="0"/>
  </r>
  <r>
    <x v="0"/>
    <s v="2023-04-26 17:43:28"/>
    <n v="10"/>
    <x v="1"/>
    <x v="3"/>
    <x v="1"/>
    <n v="4.8302934913055804"/>
    <n v="2E+20"/>
    <n v="0"/>
    <n v="36"/>
    <n v="0"/>
    <n v="0"/>
    <s v="Unnamed ProjectPedidosCobros.QueueNumber WaitingQueue"/>
    <n v="10"/>
    <n v="3.4276072930460231"/>
    <n v="1.2805781327766621"/>
    <n v="0.95"/>
    <n v="0.91607041091680408"/>
    <n v="1.4388039171548199"/>
    <n v="5.2886106373322104"/>
    <n v="0.91607041091680408"/>
  </r>
  <r>
    <x v="0"/>
    <s v="2023-04-26 17:43:28"/>
    <n v="10"/>
    <x v="2"/>
    <x v="0"/>
    <x v="0"/>
    <n v="0.51502488611470398"/>
    <n v="2E+20"/>
    <n v="0"/>
    <n v="1"/>
    <n v="1"/>
    <n v="0"/>
    <s v="Unnamed ProjectRecoger pedidosInstantaneous UtilizationResource"/>
    <n v="10"/>
    <n v="0.5604361436219214"/>
    <n v="3.5315793681560653E-2"/>
    <n v="0.95"/>
    <n v="2.5263396899939575E-2"/>
    <n v="0.51502488611470398"/>
    <n v="0.60298436758055496"/>
    <n v="2.5263396899939575E-2"/>
  </r>
  <r>
    <x v="0"/>
    <s v="2023-04-26 17:43:28"/>
    <n v="10"/>
    <x v="2"/>
    <x v="1"/>
    <x v="0"/>
    <n v="0.99151549404778105"/>
    <n v="2E+20"/>
    <n v="0"/>
    <n v="2"/>
    <n v="2"/>
    <n v="0"/>
    <s v="Unnamed ProjectRecoger pedidosNumber BusyResource"/>
    <n v="10"/>
    <n v="1.0569098141964663"/>
    <n v="6.5634037857285929E-2"/>
    <n v="0.95"/>
    <n v="4.695176224794953E-2"/>
    <n v="0.95438389742001095"/>
    <n v="1.1377394211218801"/>
    <n v="4.695176224794953E-2"/>
  </r>
  <r>
    <x v="0"/>
    <s v="2023-04-26 17:43:28"/>
    <n v="10"/>
    <x v="2"/>
    <x v="2"/>
    <x v="0"/>
    <n v="1.9166666666666701"/>
    <n v="2E+20"/>
    <n v="1"/>
    <n v="2"/>
    <n v="2"/>
    <n v="0"/>
    <s v="Unnamed ProjectRecoger pedidosNumber ScheduledResource"/>
    <n v="10"/>
    <n v="1.9166666666666701"/>
    <n v="0"/>
    <n v="0.95"/>
    <n v="0"/>
    <n v="1.9166666666666701"/>
    <n v="1.9166666666666701"/>
    <n v="0"/>
  </r>
  <r>
    <x v="0"/>
    <s v="2023-04-26 17:43:28"/>
    <n v="10"/>
    <x v="3"/>
    <x v="3"/>
    <x v="1"/>
    <n v="0.32562331914962001"/>
    <n v="2E+20"/>
    <n v="0"/>
    <n v="4"/>
    <n v="1"/>
    <n v="0"/>
    <s v="Unnamed ProjectRecoger.QueueNumber WaitingQueue"/>
    <n v="10"/>
    <n v="0.4031279969367848"/>
    <n v="0.21310533808048257"/>
    <n v="0.95"/>
    <n v="0.15244637529508648"/>
    <n v="0.136826810923111"/>
    <n v="0.81622840356734405"/>
    <n v="0.15244637529508648"/>
  </r>
  <r>
    <x v="0"/>
    <s v="2023-04-26 17:43:28"/>
    <n v="10"/>
    <x v="4"/>
    <x v="4"/>
    <x v="2"/>
    <n v="5.6322323485906001"/>
    <n v="2E+20"/>
    <n v="0"/>
    <n v="33"/>
    <n v="0"/>
    <n v="0"/>
    <s v="Unnamed ProjectcbusWIPEntity"/>
    <n v="10"/>
    <n v="5.0665845774105804"/>
    <n v="0.71136839542638619"/>
    <n v="0.95"/>
    <n v="0.50888229435753596"/>
    <n v="3.9372015551464701"/>
    <n v="6.3088136459921804"/>
    <n v="0.50888229435753596"/>
  </r>
  <r>
    <x v="0"/>
    <s v="2023-04-26 17:43:28"/>
    <n v="10"/>
    <x v="5"/>
    <x v="4"/>
    <x v="2"/>
    <n v="12.5969690391849"/>
    <n v="2E+20"/>
    <n v="0"/>
    <n v="27"/>
    <n v="0"/>
    <n v="0"/>
    <s v="Unnamed ProjectccocheWIPEntity"/>
    <n v="10"/>
    <n v="12.759236186141919"/>
    <n v="1.7106325956849093"/>
    <n v="0.95"/>
    <n v="1.2237128409017237"/>
    <n v="10.2386187303012"/>
    <n v="15.1535027543102"/>
    <n v="1.2237128409017237"/>
  </r>
  <r>
    <x v="0"/>
    <s v="2023-04-26 17:43:28"/>
    <n v="10"/>
    <x v="6"/>
    <x v="3"/>
    <x v="1"/>
    <n v="2.0688162018680002E-2"/>
    <n v="2E+20"/>
    <n v="0"/>
    <n v="2"/>
    <n v="0"/>
    <n v="0"/>
    <s v="Unnamed Projectcomer.QueueNumber WaitingQueue"/>
    <n v="10"/>
    <n v="2.0890695640067989E-2"/>
    <n v="2.1893740410825115E-2"/>
    <n v="0.95"/>
    <n v="1.5661838400412763E-2"/>
    <n v="0"/>
    <n v="6.7580541961583807E-2"/>
    <n v="1.5661838400412763E-2"/>
  </r>
  <r>
    <x v="0"/>
    <s v="2023-04-26 17:43:28"/>
    <n v="10"/>
    <x v="7"/>
    <x v="0"/>
    <x v="0"/>
    <n v="0.53422451206923904"/>
    <n v="3E+20"/>
    <n v="0"/>
    <n v="1"/>
    <n v="0.16666666666666699"/>
    <n v="0"/>
    <s v="Unnamed ProjectcomiendoInstantaneous UtilizationResource"/>
    <n v="10"/>
    <n v="0.54567746104498926"/>
    <n v="3.6093067502766238E-2"/>
    <n v="0.95"/>
    <n v="2.5819425095769202E-2"/>
    <n v="0.48838500773485199"/>
    <n v="0.59303053253801696"/>
    <n v="2.5819425095769202E-2"/>
  </r>
  <r>
    <x v="0"/>
    <s v="2023-04-26 17:43:28"/>
    <n v="10"/>
    <x v="7"/>
    <x v="1"/>
    <x v="0"/>
    <n v="16.026735362077201"/>
    <n v="3E+20"/>
    <n v="0"/>
    <n v="30"/>
    <n v="5"/>
    <n v="0"/>
    <s v="Unnamed ProjectcomiendoNumber BusyResource"/>
    <n v="10"/>
    <n v="16.370323831349687"/>
    <n v="1.082792025082975"/>
    <n v="0.95"/>
    <n v="0.77458275287306733"/>
    <n v="14.651550232045601"/>
    <n v="17.7909159761405"/>
    <n v="0.77458275287306733"/>
  </r>
  <r>
    <x v="0"/>
    <s v="2023-04-26 17:43:28"/>
    <n v="10"/>
    <x v="7"/>
    <x v="2"/>
    <x v="0"/>
    <n v="30"/>
    <n v="2E+20"/>
    <n v="30"/>
    <n v="30"/>
    <n v="30"/>
    <n v="0"/>
    <s v="Unnamed ProjectcomiendoNumber ScheduledResource"/>
    <n v="10"/>
    <n v="30"/>
    <n v="0"/>
    <n v="0.95"/>
    <n v="0"/>
    <n v="30"/>
    <n v="30"/>
    <n v="0"/>
  </r>
  <r>
    <x v="0"/>
    <s v="2023-04-26 17:43:28"/>
    <n v="10"/>
    <x v="8"/>
    <x v="4"/>
    <x v="2"/>
    <n v="9.6620613047272794"/>
    <n v="2E+20"/>
    <n v="0"/>
    <n v="20"/>
    <n v="11"/>
    <n v="0"/>
    <s v="Unnamed ProjectcpieWIPEntity"/>
    <n v="10"/>
    <n v="9.2908605330386465"/>
    <n v="1.4837612545855385"/>
    <n v="0.95"/>
    <n v="1.0614188602794625"/>
    <n v="7.9237289708550103"/>
    <n v="13.0648519439402"/>
    <n v="1.06141886027946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">
  <r>
    <x v="0"/>
    <s v="2023-04-26 17:43:28"/>
    <n v="1"/>
    <x v="0"/>
    <x v="0"/>
    <x v="0"/>
    <n v="0"/>
    <n v="2E+20"/>
    <n v="0"/>
    <n v="0"/>
    <n v="26"/>
    <s v="Unnamed ProjectcbusNVA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1"/>
    <x v="0"/>
    <x v="1"/>
    <x v="0"/>
    <n v="0"/>
    <n v="2E+20"/>
    <n v="0"/>
    <n v="0"/>
    <n v="26"/>
    <s v="Unnamed ProjectcbusOther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1"/>
    <x v="0"/>
    <x v="2"/>
    <x v="0"/>
    <n v="36.343398970582797"/>
    <n v="2E+20"/>
    <n v="27.3476774856424"/>
    <n v="50.906211260051201"/>
    <n v="26"/>
    <s v="Unnamed ProjectcbusTotal TimeEntity"/>
    <n v="10"/>
    <n v="38.906164156467867"/>
    <n v="1.8279580436824889"/>
    <n v="0.95"/>
    <n v="1.3076424103728945"/>
    <n v="36.343398970582797"/>
    <n v="41.3916793980557"/>
    <n v="21.5905647950899"/>
    <n v="60.085510848846901"/>
    <n v="31.2"/>
    <n v="1.3076424103728945"/>
    <n v="10"/>
    <n v="1"/>
  </r>
  <r>
    <x v="0"/>
    <s v="2023-04-26 17:43:28"/>
    <n v="1"/>
    <x v="0"/>
    <x v="3"/>
    <x v="0"/>
    <n v="2.3814974784721401"/>
    <n v="2E+20"/>
    <n v="0.46723471809710299"/>
    <n v="8.24762906489876"/>
    <n v="26"/>
    <s v="Unnamed ProjectcbusTransfer TimeEntity"/>
    <n v="10"/>
    <n v="2.4758267117727573"/>
    <n v="0.29062850270491319"/>
    <n v="0.95"/>
    <n v="0.20790310648187366"/>
    <n v="1.9664936967620199"/>
    <n v="2.9622895045267401"/>
    <n v="0.24044410972067001"/>
    <n v="9.0397657436027608"/>
    <n v="31.2"/>
    <n v="0.20790310648187366"/>
    <n v="10"/>
    <n v="1"/>
  </r>
  <r>
    <x v="0"/>
    <s v="2023-04-26 17:43:28"/>
    <n v="1"/>
    <x v="0"/>
    <x v="4"/>
    <x v="0"/>
    <n v="24.693613478441701"/>
    <n v="2E+20"/>
    <n v="16.660464814784401"/>
    <n v="36.383869759363698"/>
    <n v="26"/>
    <s v="Unnamed ProjectcbusVA TimeEntity"/>
    <n v="10"/>
    <n v="25.515113070670481"/>
    <n v="0.69371859583839046"/>
    <n v="0.95"/>
    <n v="0.49625638833326502"/>
    <n v="24.693613478441701"/>
    <n v="26.663484139011398"/>
    <n v="16.436283991791001"/>
    <n v="36.383869759363698"/>
    <n v="31.2"/>
    <n v="0.49625638833326502"/>
    <n v="10"/>
    <n v="1"/>
  </r>
  <r>
    <x v="0"/>
    <s v="2023-04-26 17:43:28"/>
    <n v="1"/>
    <x v="0"/>
    <x v="5"/>
    <x v="0"/>
    <n v="9.2682880136690002"/>
    <n v="2E+20"/>
    <n v="0"/>
    <n v="16.9253360184996"/>
    <n v="26"/>
    <s v="Unnamed ProjectcbusWait TimeEntity"/>
    <n v="10"/>
    <n v="10.915224374024641"/>
    <n v="1.5724350746607474"/>
    <n v="0.95"/>
    <n v="1.1248522898490634"/>
    <n v="8.6624511665201407"/>
    <n v="13.3543995277"/>
    <n v="0"/>
    <n v="25.723574494566702"/>
    <n v="31.2"/>
    <n v="1.1248522898490634"/>
    <n v="10"/>
    <n v="1"/>
  </r>
  <r>
    <x v="0"/>
    <s v="2023-04-26 17:43:28"/>
    <n v="2"/>
    <x v="0"/>
    <x v="0"/>
    <x v="0"/>
    <n v="0"/>
    <n v="2E+20"/>
    <n v="0"/>
    <n v="0"/>
    <n v="39"/>
    <s v="Unnamed ProjectcbusNVA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2"/>
    <x v="0"/>
    <x v="1"/>
    <x v="0"/>
    <n v="0"/>
    <n v="2E+20"/>
    <n v="0"/>
    <n v="0"/>
    <n v="39"/>
    <s v="Unnamed ProjectcbusOther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2"/>
    <x v="0"/>
    <x v="2"/>
    <x v="0"/>
    <n v="38.823468590721099"/>
    <n v="2E+20"/>
    <n v="21.5905647950899"/>
    <n v="56.9011641063124"/>
    <n v="39"/>
    <s v="Unnamed ProjectcbusTotal TimeEntity"/>
    <n v="10"/>
    <n v="38.906164156467867"/>
    <n v="1.8279580436824889"/>
    <n v="0.95"/>
    <n v="1.3076424103728945"/>
    <n v="36.343398970582797"/>
    <n v="41.3916793980557"/>
    <n v="21.5905647950899"/>
    <n v="60.085510848846901"/>
    <n v="31.2"/>
    <n v="1.3076424103728945"/>
    <n v="10"/>
    <n v="1"/>
  </r>
  <r>
    <x v="0"/>
    <s v="2023-04-26 17:43:28"/>
    <n v="2"/>
    <x v="0"/>
    <x v="3"/>
    <x v="0"/>
    <n v="2.40275368864671"/>
    <n v="2E+20"/>
    <n v="0.24044410972067001"/>
    <n v="5.2424899363282096"/>
    <n v="39"/>
    <s v="Unnamed ProjectcbusTransfer TimeEntity"/>
    <n v="10"/>
    <n v="2.4758267117727573"/>
    <n v="0.29062850270491319"/>
    <n v="0.95"/>
    <n v="0.20790310648187366"/>
    <n v="1.9664936967620199"/>
    <n v="2.9622895045267401"/>
    <n v="0.24044410972067001"/>
    <n v="9.0397657436027608"/>
    <n v="31.2"/>
    <n v="0.20790310648187366"/>
    <n v="10"/>
    <n v="1"/>
  </r>
  <r>
    <x v="0"/>
    <s v="2023-04-26 17:43:28"/>
    <n v="2"/>
    <x v="0"/>
    <x v="4"/>
    <x v="0"/>
    <n v="24.718487060707599"/>
    <n v="2E+20"/>
    <n v="16.540529898405499"/>
    <n v="31.6846344127283"/>
    <n v="39"/>
    <s v="Unnamed ProjectcbusVA TimeEntity"/>
    <n v="10"/>
    <n v="25.515113070670481"/>
    <n v="0.69371859583839046"/>
    <n v="0.95"/>
    <n v="0.49625638833326502"/>
    <n v="24.693613478441701"/>
    <n v="26.663484139011398"/>
    <n v="16.436283991791001"/>
    <n v="36.383869759363698"/>
    <n v="31.2"/>
    <n v="0.49625638833326502"/>
    <n v="10"/>
    <n v="1"/>
  </r>
  <r>
    <x v="0"/>
    <s v="2023-04-26 17:43:28"/>
    <n v="2"/>
    <x v="0"/>
    <x v="5"/>
    <x v="0"/>
    <n v="11.702227841366801"/>
    <n v="2E+20"/>
    <n v="0"/>
    <n v="24.927129744372198"/>
    <n v="39"/>
    <s v="Unnamed ProjectcbusWait TimeEntity"/>
    <n v="10"/>
    <n v="10.915224374024641"/>
    <n v="1.5724350746607474"/>
    <n v="0.95"/>
    <n v="1.1248522898490634"/>
    <n v="8.6624511665201407"/>
    <n v="13.3543995277"/>
    <n v="0"/>
    <n v="25.723574494566702"/>
    <n v="31.2"/>
    <n v="1.1248522898490634"/>
    <n v="10"/>
    <n v="1"/>
  </r>
  <r>
    <x v="0"/>
    <s v="2023-04-26 17:43:28"/>
    <n v="3"/>
    <x v="0"/>
    <x v="0"/>
    <x v="0"/>
    <n v="0"/>
    <n v="2E+20"/>
    <n v="0"/>
    <n v="0"/>
    <n v="27"/>
    <s v="Unnamed ProjectcbusNVA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3"/>
    <x v="0"/>
    <x v="1"/>
    <x v="0"/>
    <n v="0"/>
    <n v="2E+20"/>
    <n v="0"/>
    <n v="0"/>
    <n v="27"/>
    <s v="Unnamed ProjectcbusOther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3"/>
    <x v="0"/>
    <x v="2"/>
    <x v="0"/>
    <n v="36.517983191613702"/>
    <n v="2E+20"/>
    <n v="25.189647807439599"/>
    <n v="49.927750451978099"/>
    <n v="27"/>
    <s v="Unnamed ProjectcbusTotal TimeEntity"/>
    <n v="10"/>
    <n v="38.906164156467867"/>
    <n v="1.8279580436824889"/>
    <n v="0.95"/>
    <n v="1.3076424103728945"/>
    <n v="36.343398970582797"/>
    <n v="41.3916793980557"/>
    <n v="21.5905647950899"/>
    <n v="60.085510848846901"/>
    <n v="31.2"/>
    <n v="1.3076424103728945"/>
    <n v="10"/>
    <n v="1"/>
  </r>
  <r>
    <x v="0"/>
    <s v="2023-04-26 17:43:28"/>
    <n v="3"/>
    <x v="0"/>
    <x v="3"/>
    <x v="0"/>
    <n v="2.4770202140828199"/>
    <n v="2E+20"/>
    <n v="0.70530384785803302"/>
    <n v="5.95709262374152"/>
    <n v="27"/>
    <s v="Unnamed ProjectcbusTransfer TimeEntity"/>
    <n v="10"/>
    <n v="2.4758267117727573"/>
    <n v="0.29062850270491319"/>
    <n v="0.95"/>
    <n v="0.20790310648187366"/>
    <n v="1.9664936967620199"/>
    <n v="2.9622895045267401"/>
    <n v="0.24044410972067001"/>
    <n v="9.0397657436027608"/>
    <n v="31.2"/>
    <n v="0.20790310648187366"/>
    <n v="10"/>
    <n v="1"/>
  </r>
  <r>
    <x v="0"/>
    <s v="2023-04-26 17:43:28"/>
    <n v="3"/>
    <x v="0"/>
    <x v="4"/>
    <x v="0"/>
    <n v="25.378511811010799"/>
    <n v="2E+20"/>
    <n v="19.3092740939443"/>
    <n v="32.542830001053197"/>
    <n v="27"/>
    <s v="Unnamed ProjectcbusVA TimeEntity"/>
    <n v="10"/>
    <n v="25.515113070670481"/>
    <n v="0.69371859583839046"/>
    <n v="0.95"/>
    <n v="0.49625638833326502"/>
    <n v="24.693613478441701"/>
    <n v="26.663484139011398"/>
    <n v="16.436283991791001"/>
    <n v="36.383869759363698"/>
    <n v="31.2"/>
    <n v="0.49625638833326502"/>
    <n v="10"/>
    <n v="1"/>
  </r>
  <r>
    <x v="0"/>
    <s v="2023-04-26 17:43:28"/>
    <n v="3"/>
    <x v="0"/>
    <x v="5"/>
    <x v="0"/>
    <n v="8.6624511665201407"/>
    <n v="2E+20"/>
    <n v="0"/>
    <n v="16.8161544952162"/>
    <n v="27"/>
    <s v="Unnamed ProjectcbusWait TimeEntity"/>
    <n v="10"/>
    <n v="10.915224374024641"/>
    <n v="1.5724350746607474"/>
    <n v="0.95"/>
    <n v="1.1248522898490634"/>
    <n v="8.6624511665201407"/>
    <n v="13.3543995277"/>
    <n v="0"/>
    <n v="25.723574494566702"/>
    <n v="31.2"/>
    <n v="1.1248522898490634"/>
    <n v="10"/>
    <n v="1"/>
  </r>
  <r>
    <x v="0"/>
    <s v="2023-04-26 17:43:28"/>
    <n v="4"/>
    <x v="0"/>
    <x v="0"/>
    <x v="0"/>
    <n v="0"/>
    <n v="2E+20"/>
    <n v="0"/>
    <n v="0"/>
    <n v="33"/>
    <s v="Unnamed ProjectcbusNVA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4"/>
    <x v="0"/>
    <x v="1"/>
    <x v="0"/>
    <n v="0"/>
    <n v="2E+20"/>
    <n v="0"/>
    <n v="0"/>
    <n v="33"/>
    <s v="Unnamed ProjectcbusOther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4"/>
    <x v="0"/>
    <x v="2"/>
    <x v="0"/>
    <n v="37.831098728190597"/>
    <n v="2E+20"/>
    <n v="24.9503707657429"/>
    <n v="52.030772064263999"/>
    <n v="33"/>
    <s v="Unnamed ProjectcbusTotal TimeEntity"/>
    <n v="10"/>
    <n v="38.906164156467867"/>
    <n v="1.8279580436824889"/>
    <n v="0.95"/>
    <n v="1.3076424103728945"/>
    <n v="36.343398970582797"/>
    <n v="41.3916793980557"/>
    <n v="21.5905647950899"/>
    <n v="60.085510848846901"/>
    <n v="31.2"/>
    <n v="1.3076424103728945"/>
    <n v="10"/>
    <n v="1"/>
  </r>
  <r>
    <x v="0"/>
    <s v="2023-04-26 17:43:28"/>
    <n v="4"/>
    <x v="0"/>
    <x v="3"/>
    <x v="0"/>
    <n v="2.4246695624633001"/>
    <n v="2E+20"/>
    <n v="0.660773241994974"/>
    <n v="6.39315001772533"/>
    <n v="33"/>
    <s v="Unnamed ProjectcbusTransfer TimeEntity"/>
    <n v="10"/>
    <n v="2.4758267117727573"/>
    <n v="0.29062850270491319"/>
    <n v="0.95"/>
    <n v="0.20790310648187366"/>
    <n v="1.9664936967620199"/>
    <n v="2.9622895045267401"/>
    <n v="0.24044410972067001"/>
    <n v="9.0397657436027608"/>
    <n v="31.2"/>
    <n v="0.20790310648187366"/>
    <n v="10"/>
    <n v="1"/>
  </r>
  <r>
    <x v="0"/>
    <s v="2023-04-26 17:43:28"/>
    <n v="4"/>
    <x v="0"/>
    <x v="4"/>
    <x v="0"/>
    <n v="25.126036200857001"/>
    <n v="2E+20"/>
    <n v="17.779342728097099"/>
    <n v="34.693496329123199"/>
    <n v="33"/>
    <s v="Unnamed ProjectcbusVA TimeEntity"/>
    <n v="10"/>
    <n v="25.515113070670481"/>
    <n v="0.69371859583839046"/>
    <n v="0.95"/>
    <n v="0.49625638833326502"/>
    <n v="24.693613478441701"/>
    <n v="26.663484139011398"/>
    <n v="16.436283991791001"/>
    <n v="36.383869759363698"/>
    <n v="31.2"/>
    <n v="0.49625638833326502"/>
    <n v="10"/>
    <n v="1"/>
  </r>
  <r>
    <x v="0"/>
    <s v="2023-04-26 17:43:28"/>
    <n v="4"/>
    <x v="0"/>
    <x v="5"/>
    <x v="0"/>
    <n v="10.2803929648703"/>
    <n v="2E+20"/>
    <n v="0"/>
    <n v="22.311936774203801"/>
    <n v="33"/>
    <s v="Unnamed ProjectcbusWait TimeEntity"/>
    <n v="10"/>
    <n v="10.915224374024641"/>
    <n v="1.5724350746607474"/>
    <n v="0.95"/>
    <n v="1.1248522898490634"/>
    <n v="8.6624511665201407"/>
    <n v="13.3543995277"/>
    <n v="0"/>
    <n v="25.723574494566702"/>
    <n v="31.2"/>
    <n v="1.1248522898490634"/>
    <n v="10"/>
    <n v="1"/>
  </r>
  <r>
    <x v="0"/>
    <s v="2023-04-26 17:43:28"/>
    <n v="5"/>
    <x v="0"/>
    <x v="0"/>
    <x v="0"/>
    <n v="0"/>
    <n v="2E+20"/>
    <n v="0"/>
    <n v="0"/>
    <n v="33"/>
    <s v="Unnamed ProjectcbusNVA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5"/>
    <x v="0"/>
    <x v="1"/>
    <x v="0"/>
    <n v="0"/>
    <n v="2E+20"/>
    <n v="0"/>
    <n v="0"/>
    <n v="33"/>
    <s v="Unnamed ProjectcbusOther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5"/>
    <x v="0"/>
    <x v="2"/>
    <x v="0"/>
    <n v="37.500744118110902"/>
    <n v="2E+20"/>
    <n v="23.985483534154"/>
    <n v="55.6917325795621"/>
    <n v="33"/>
    <s v="Unnamed ProjectcbusTotal TimeEntity"/>
    <n v="10"/>
    <n v="38.906164156467867"/>
    <n v="1.8279580436824889"/>
    <n v="0.95"/>
    <n v="1.3076424103728945"/>
    <n v="36.343398970582797"/>
    <n v="41.3916793980557"/>
    <n v="21.5905647950899"/>
    <n v="60.085510848846901"/>
    <n v="31.2"/>
    <n v="1.3076424103728945"/>
    <n v="10"/>
    <n v="1"/>
  </r>
  <r>
    <x v="0"/>
    <s v="2023-04-26 17:43:28"/>
    <n v="5"/>
    <x v="0"/>
    <x v="3"/>
    <x v="0"/>
    <n v="2.7706212014971698"/>
    <n v="2E+20"/>
    <n v="0.76629778668939297"/>
    <n v="8.0567775153498093"/>
    <n v="33"/>
    <s v="Unnamed ProjectcbusTransfer TimeEntity"/>
    <n v="10"/>
    <n v="2.4758267117727573"/>
    <n v="0.29062850270491319"/>
    <n v="0.95"/>
    <n v="0.20790310648187366"/>
    <n v="1.9664936967620199"/>
    <n v="2.9622895045267401"/>
    <n v="0.24044410972067001"/>
    <n v="9.0397657436027608"/>
    <n v="31.2"/>
    <n v="0.20790310648187366"/>
    <n v="10"/>
    <n v="1"/>
  </r>
  <r>
    <x v="0"/>
    <s v="2023-04-26 17:43:28"/>
    <n v="5"/>
    <x v="0"/>
    <x v="4"/>
    <x v="0"/>
    <n v="24.8667395849013"/>
    <n v="2E+20"/>
    <n v="17.014590412230699"/>
    <n v="34.452630776823199"/>
    <n v="33"/>
    <s v="Unnamed ProjectcbusVA TimeEntity"/>
    <n v="10"/>
    <n v="25.515113070670481"/>
    <n v="0.69371859583839046"/>
    <n v="0.95"/>
    <n v="0.49625638833326502"/>
    <n v="24.693613478441701"/>
    <n v="26.663484139011398"/>
    <n v="16.436283991791001"/>
    <n v="36.383869759363698"/>
    <n v="31.2"/>
    <n v="0.49625638833326502"/>
    <n v="10"/>
    <n v="1"/>
  </r>
  <r>
    <x v="0"/>
    <s v="2023-04-26 17:43:28"/>
    <n v="5"/>
    <x v="0"/>
    <x v="5"/>
    <x v="0"/>
    <n v="9.8633833317124608"/>
    <n v="2E+20"/>
    <n v="0"/>
    <n v="21.470374299830901"/>
    <n v="33"/>
    <s v="Unnamed ProjectcbusWait TimeEntity"/>
    <n v="10"/>
    <n v="10.915224374024641"/>
    <n v="1.5724350746607474"/>
    <n v="0.95"/>
    <n v="1.1248522898490634"/>
    <n v="8.6624511665201407"/>
    <n v="13.3543995277"/>
    <n v="0"/>
    <n v="25.723574494566702"/>
    <n v="31.2"/>
    <n v="1.1248522898490634"/>
    <n v="10"/>
    <n v="1"/>
  </r>
  <r>
    <x v="0"/>
    <s v="2023-04-26 17:43:28"/>
    <n v="6"/>
    <x v="0"/>
    <x v="0"/>
    <x v="0"/>
    <n v="0"/>
    <n v="2E+20"/>
    <n v="0"/>
    <n v="0"/>
    <n v="32"/>
    <s v="Unnamed ProjectcbusNVA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6"/>
    <x v="0"/>
    <x v="1"/>
    <x v="0"/>
    <n v="0"/>
    <n v="2E+20"/>
    <n v="0"/>
    <n v="0"/>
    <n v="32"/>
    <s v="Unnamed ProjectcbusOther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6"/>
    <x v="0"/>
    <x v="2"/>
    <x v="0"/>
    <n v="40.774394200925599"/>
    <n v="2E+20"/>
    <n v="27.404912683769499"/>
    <n v="56.724274024402902"/>
    <n v="32"/>
    <s v="Unnamed ProjectcbusTotal TimeEntity"/>
    <n v="10"/>
    <n v="38.906164156467867"/>
    <n v="1.8279580436824889"/>
    <n v="0.95"/>
    <n v="1.3076424103728945"/>
    <n v="36.343398970582797"/>
    <n v="41.3916793980557"/>
    <n v="21.5905647950899"/>
    <n v="60.085510848846901"/>
    <n v="31.2"/>
    <n v="1.3076424103728945"/>
    <n v="10"/>
    <n v="1"/>
  </r>
  <r>
    <x v="0"/>
    <s v="2023-04-26 17:43:28"/>
    <n v="6"/>
    <x v="0"/>
    <x v="3"/>
    <x v="0"/>
    <n v="1.9664936967620199"/>
    <n v="2E+20"/>
    <n v="0.53395355454762194"/>
    <n v="4.1319043533736401"/>
    <n v="32"/>
    <s v="Unnamed ProjectcbusTransfer TimeEntity"/>
    <n v="10"/>
    <n v="2.4758267117727573"/>
    <n v="0.29062850270491319"/>
    <n v="0.95"/>
    <n v="0.20790310648187366"/>
    <n v="1.9664936967620199"/>
    <n v="2.9622895045267401"/>
    <n v="0.24044410972067001"/>
    <n v="9.0397657436027608"/>
    <n v="31.2"/>
    <n v="0.20790310648187366"/>
    <n v="10"/>
    <n v="1"/>
  </r>
  <r>
    <x v="0"/>
    <s v="2023-04-26 17:43:28"/>
    <n v="6"/>
    <x v="0"/>
    <x v="4"/>
    <x v="0"/>
    <n v="26.4798937380822"/>
    <n v="2E+20"/>
    <n v="16.683961763483001"/>
    <n v="33.356282754548502"/>
    <n v="32"/>
    <s v="Unnamed ProjectcbusVA TimeEntity"/>
    <n v="10"/>
    <n v="25.515113070670481"/>
    <n v="0.69371859583839046"/>
    <n v="0.95"/>
    <n v="0.49625638833326502"/>
    <n v="24.693613478441701"/>
    <n v="26.663484139011398"/>
    <n v="16.436283991791001"/>
    <n v="36.383869759363698"/>
    <n v="31.2"/>
    <n v="0.49625638833326502"/>
    <n v="10"/>
    <n v="1"/>
  </r>
  <r>
    <x v="0"/>
    <s v="2023-04-26 17:43:28"/>
    <n v="6"/>
    <x v="0"/>
    <x v="5"/>
    <x v="0"/>
    <n v="12.328006766081399"/>
    <n v="2E+20"/>
    <n v="0.82332932867666397"/>
    <n v="23.143549145430399"/>
    <n v="32"/>
    <s v="Unnamed ProjectcbusWait TimeEntity"/>
    <n v="10"/>
    <n v="10.915224374024641"/>
    <n v="1.5724350746607474"/>
    <n v="0.95"/>
    <n v="1.1248522898490634"/>
    <n v="8.6624511665201407"/>
    <n v="13.3543995277"/>
    <n v="0"/>
    <n v="25.723574494566702"/>
    <n v="31.2"/>
    <n v="1.1248522898490634"/>
    <n v="10"/>
    <n v="1"/>
  </r>
  <r>
    <x v="0"/>
    <s v="2023-04-26 17:43:28"/>
    <n v="7"/>
    <x v="0"/>
    <x v="0"/>
    <x v="0"/>
    <n v="0"/>
    <n v="2E+20"/>
    <n v="0"/>
    <n v="0"/>
    <n v="28"/>
    <s v="Unnamed ProjectcbusNVA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7"/>
    <x v="0"/>
    <x v="1"/>
    <x v="0"/>
    <n v="0"/>
    <n v="2E+20"/>
    <n v="0"/>
    <n v="0"/>
    <n v="28"/>
    <s v="Unnamed ProjectcbusOther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7"/>
    <x v="0"/>
    <x v="2"/>
    <x v="0"/>
    <n v="39.175499388448898"/>
    <n v="2E+20"/>
    <n v="28.4809989681487"/>
    <n v="53.190125922723396"/>
    <n v="28"/>
    <s v="Unnamed ProjectcbusTotal TimeEntity"/>
    <n v="10"/>
    <n v="38.906164156467867"/>
    <n v="1.8279580436824889"/>
    <n v="0.95"/>
    <n v="1.3076424103728945"/>
    <n v="36.343398970582797"/>
    <n v="41.3916793980557"/>
    <n v="21.5905647950899"/>
    <n v="60.085510848846901"/>
    <n v="31.2"/>
    <n v="1.3076424103728945"/>
    <n v="10"/>
    <n v="1"/>
  </r>
  <r>
    <x v="0"/>
    <s v="2023-04-26 17:43:28"/>
    <n v="7"/>
    <x v="0"/>
    <x v="3"/>
    <x v="0"/>
    <n v="2.9622895045267401"/>
    <n v="2E+20"/>
    <n v="0.59177749429014204"/>
    <n v="6.8301263246886199"/>
    <n v="28"/>
    <s v="Unnamed ProjectcbusTransfer TimeEntity"/>
    <n v="10"/>
    <n v="2.4758267117727573"/>
    <n v="0.29062850270491319"/>
    <n v="0.95"/>
    <n v="0.20790310648187366"/>
    <n v="1.9664936967620199"/>
    <n v="2.9622895045267401"/>
    <n v="0.24044410972067001"/>
    <n v="9.0397657436027608"/>
    <n v="31.2"/>
    <n v="0.20790310648187366"/>
    <n v="10"/>
    <n v="1"/>
  </r>
  <r>
    <x v="0"/>
    <s v="2023-04-26 17:43:28"/>
    <n v="7"/>
    <x v="0"/>
    <x v="4"/>
    <x v="0"/>
    <n v="25.712071886433101"/>
    <n v="2E+20"/>
    <n v="18.508154835389401"/>
    <n v="33.2486606818157"/>
    <n v="28"/>
    <s v="Unnamed ProjectcbusVA TimeEntity"/>
    <n v="10"/>
    <n v="25.515113070670481"/>
    <n v="0.69371859583839046"/>
    <n v="0.95"/>
    <n v="0.49625638833326502"/>
    <n v="24.693613478441701"/>
    <n v="26.663484139011398"/>
    <n v="16.436283991791001"/>
    <n v="36.383869759363698"/>
    <n v="31.2"/>
    <n v="0.49625638833326502"/>
    <n v="10"/>
    <n v="1"/>
  </r>
  <r>
    <x v="0"/>
    <s v="2023-04-26 17:43:28"/>
    <n v="7"/>
    <x v="0"/>
    <x v="5"/>
    <x v="0"/>
    <n v="10.501137997489"/>
    <n v="2E+20"/>
    <n v="1.4865178844843601"/>
    <n v="22.426956232166301"/>
    <n v="28"/>
    <s v="Unnamed ProjectcbusWait TimeEntity"/>
    <n v="10"/>
    <n v="10.915224374024641"/>
    <n v="1.5724350746607474"/>
    <n v="0.95"/>
    <n v="1.1248522898490634"/>
    <n v="8.6624511665201407"/>
    <n v="13.3543995277"/>
    <n v="0"/>
    <n v="25.723574494566702"/>
    <n v="31.2"/>
    <n v="1.1248522898490634"/>
    <n v="10"/>
    <n v="1"/>
  </r>
  <r>
    <x v="0"/>
    <s v="2023-04-26 17:43:28"/>
    <n v="8"/>
    <x v="0"/>
    <x v="0"/>
    <x v="0"/>
    <n v="0"/>
    <n v="2E+20"/>
    <n v="0"/>
    <n v="0"/>
    <n v="30"/>
    <s v="Unnamed ProjectcbusNVA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8"/>
    <x v="0"/>
    <x v="1"/>
    <x v="0"/>
    <n v="0"/>
    <n v="2E+20"/>
    <n v="0"/>
    <n v="0"/>
    <n v="30"/>
    <s v="Unnamed ProjectcbusOther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8"/>
    <x v="0"/>
    <x v="2"/>
    <x v="0"/>
    <n v="39.741685170097803"/>
    <n v="2E+20"/>
    <n v="25.3269971834324"/>
    <n v="54.881721659379402"/>
    <n v="30"/>
    <s v="Unnamed ProjectcbusTotal TimeEntity"/>
    <n v="10"/>
    <n v="38.906164156467867"/>
    <n v="1.8279580436824889"/>
    <n v="0.95"/>
    <n v="1.3076424103728945"/>
    <n v="36.343398970582797"/>
    <n v="41.3916793980557"/>
    <n v="21.5905647950899"/>
    <n v="60.085510848846901"/>
    <n v="31.2"/>
    <n v="1.3076424103728945"/>
    <n v="10"/>
    <n v="1"/>
  </r>
  <r>
    <x v="0"/>
    <s v="2023-04-26 17:43:28"/>
    <n v="8"/>
    <x v="0"/>
    <x v="3"/>
    <x v="0"/>
    <n v="2.76537901642893"/>
    <n v="2E+20"/>
    <n v="0.38459332196114798"/>
    <n v="5.4614266566225798"/>
    <n v="30"/>
    <s v="Unnamed ProjectcbusTransfer TimeEntity"/>
    <n v="10"/>
    <n v="2.4758267117727573"/>
    <n v="0.29062850270491319"/>
    <n v="0.95"/>
    <n v="0.20790310648187366"/>
    <n v="1.9664936967620199"/>
    <n v="2.9622895045267401"/>
    <n v="0.24044410972067001"/>
    <n v="9.0397657436027608"/>
    <n v="31.2"/>
    <n v="0.20790310648187366"/>
    <n v="10"/>
    <n v="1"/>
  </r>
  <r>
    <x v="0"/>
    <s v="2023-04-26 17:43:28"/>
    <n v="8"/>
    <x v="0"/>
    <x v="4"/>
    <x v="0"/>
    <n v="26.663484139011398"/>
    <n v="2E+20"/>
    <n v="20.0617672267303"/>
    <n v="32.465529786041998"/>
    <n v="30"/>
    <s v="Unnamed ProjectcbusVA TimeEntity"/>
    <n v="10"/>
    <n v="25.515113070670481"/>
    <n v="0.69371859583839046"/>
    <n v="0.95"/>
    <n v="0.49625638833326502"/>
    <n v="24.693613478441701"/>
    <n v="26.663484139011398"/>
    <n v="16.436283991791001"/>
    <n v="36.383869759363698"/>
    <n v="31.2"/>
    <n v="0.49625638833326502"/>
    <n v="10"/>
    <n v="1"/>
  </r>
  <r>
    <x v="0"/>
    <s v="2023-04-26 17:43:28"/>
    <n v="8"/>
    <x v="0"/>
    <x v="5"/>
    <x v="0"/>
    <n v="10.312822014657399"/>
    <n v="2E+20"/>
    <n v="0"/>
    <n v="21.0895405799405"/>
    <n v="30"/>
    <s v="Unnamed ProjectcbusWait TimeEntity"/>
    <n v="10"/>
    <n v="10.915224374024641"/>
    <n v="1.5724350746607474"/>
    <n v="0.95"/>
    <n v="1.1248522898490634"/>
    <n v="8.6624511665201407"/>
    <n v="13.3543995277"/>
    <n v="0"/>
    <n v="25.723574494566702"/>
    <n v="31.2"/>
    <n v="1.1248522898490634"/>
    <n v="10"/>
    <n v="1"/>
  </r>
  <r>
    <x v="0"/>
    <s v="2023-04-26 17:43:28"/>
    <n v="9"/>
    <x v="0"/>
    <x v="0"/>
    <x v="0"/>
    <n v="0"/>
    <n v="2E+20"/>
    <n v="0"/>
    <n v="0"/>
    <n v="31"/>
    <s v="Unnamed ProjectcbusNVA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9"/>
    <x v="0"/>
    <x v="1"/>
    <x v="0"/>
    <n v="0"/>
    <n v="2E+20"/>
    <n v="0"/>
    <n v="0"/>
    <n v="31"/>
    <s v="Unnamed ProjectcbusOther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9"/>
    <x v="0"/>
    <x v="2"/>
    <x v="0"/>
    <n v="41.3916793980557"/>
    <n v="2E+20"/>
    <n v="24.724778774624902"/>
    <n v="55.340303304356198"/>
    <n v="31"/>
    <s v="Unnamed ProjectcbusTotal TimeEntity"/>
    <n v="10"/>
    <n v="38.906164156467867"/>
    <n v="1.8279580436824889"/>
    <n v="0.95"/>
    <n v="1.3076424103728945"/>
    <n v="36.343398970582797"/>
    <n v="41.3916793980557"/>
    <n v="21.5905647950899"/>
    <n v="60.085510848846901"/>
    <n v="31.2"/>
    <n v="1.3076424103728945"/>
    <n v="10"/>
    <n v="1"/>
  </r>
  <r>
    <x v="0"/>
    <s v="2023-04-26 17:43:28"/>
    <n v="9"/>
    <x v="0"/>
    <x v="3"/>
    <x v="0"/>
    <n v="2.3968079738526198"/>
    <n v="2E+20"/>
    <n v="0.48268011009901102"/>
    <n v="9.0397657436027608"/>
    <n v="31"/>
    <s v="Unnamed ProjectcbusTransfer TimeEntity"/>
    <n v="10"/>
    <n v="2.4758267117727573"/>
    <n v="0.29062850270491319"/>
    <n v="0.95"/>
    <n v="0.20790310648187366"/>
    <n v="1.9664936967620199"/>
    <n v="2.9622895045267401"/>
    <n v="0.24044410972067001"/>
    <n v="9.0397657436027608"/>
    <n v="31.2"/>
    <n v="0.20790310648187366"/>
    <n v="10"/>
    <n v="1"/>
  </r>
  <r>
    <x v="0"/>
    <s v="2023-04-26 17:43:28"/>
    <n v="9"/>
    <x v="0"/>
    <x v="4"/>
    <x v="0"/>
    <n v="25.640471896503101"/>
    <n v="2E+20"/>
    <n v="16.436283991791001"/>
    <n v="32.738755457908397"/>
    <n v="31"/>
    <s v="Unnamed ProjectcbusVA TimeEntity"/>
    <n v="10"/>
    <n v="25.515113070670481"/>
    <n v="0.69371859583839046"/>
    <n v="0.95"/>
    <n v="0.49625638833326502"/>
    <n v="24.693613478441701"/>
    <n v="26.663484139011398"/>
    <n v="16.436283991791001"/>
    <n v="36.383869759363698"/>
    <n v="31.2"/>
    <n v="0.49625638833326502"/>
    <n v="10"/>
    <n v="1"/>
  </r>
  <r>
    <x v="0"/>
    <s v="2023-04-26 17:43:28"/>
    <n v="9"/>
    <x v="0"/>
    <x v="5"/>
    <x v="0"/>
    <n v="13.3543995277"/>
    <n v="2E+20"/>
    <n v="2.1753352553105301E-2"/>
    <n v="25.723574494566702"/>
    <n v="31"/>
    <s v="Unnamed ProjectcbusWait TimeEntity"/>
    <n v="10"/>
    <n v="10.915224374024641"/>
    <n v="1.5724350746607474"/>
    <n v="0.95"/>
    <n v="1.1248522898490634"/>
    <n v="8.6624511665201407"/>
    <n v="13.3543995277"/>
    <n v="0"/>
    <n v="25.723574494566702"/>
    <n v="31.2"/>
    <n v="1.1248522898490634"/>
    <n v="10"/>
    <n v="1"/>
  </r>
  <r>
    <x v="0"/>
    <s v="2023-04-26 17:43:28"/>
    <n v="10"/>
    <x v="0"/>
    <x v="0"/>
    <x v="0"/>
    <n v="0"/>
    <n v="2E+20"/>
    <n v="0"/>
    <n v="0"/>
    <n v="33"/>
    <s v="Unnamed ProjectcbusNVA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10"/>
    <x v="0"/>
    <x v="1"/>
    <x v="0"/>
    <n v="0"/>
    <n v="2E+20"/>
    <n v="0"/>
    <n v="0"/>
    <n v="33"/>
    <s v="Unnamed ProjectcbusOther TimeEntity"/>
    <n v="10"/>
    <n v="0"/>
    <n v="0"/>
    <n v="0.95"/>
    <n v="0"/>
    <n v="0"/>
    <n v="0"/>
    <n v="0"/>
    <n v="0"/>
    <n v="31.2"/>
    <n v="0"/>
    <n v="10"/>
    <n v="1"/>
  </r>
  <r>
    <x v="0"/>
    <s v="2023-04-26 17:43:28"/>
    <n v="10"/>
    <x v="0"/>
    <x v="2"/>
    <x v="0"/>
    <n v="40.961689807931599"/>
    <n v="2E+20"/>
    <n v="26.637775959952201"/>
    <n v="60.085510848846901"/>
    <n v="33"/>
    <s v="Unnamed ProjectcbusTotal TimeEntity"/>
    <n v="10"/>
    <n v="38.906164156467867"/>
    <n v="1.8279580436824889"/>
    <n v="0.95"/>
    <n v="1.3076424103728945"/>
    <n v="36.343398970582797"/>
    <n v="41.3916793980557"/>
    <n v="21.5905647950899"/>
    <n v="60.085510848846901"/>
    <n v="31.2"/>
    <n v="1.3076424103728945"/>
    <n v="10"/>
    <n v="1"/>
  </r>
  <r>
    <x v="0"/>
    <s v="2023-04-26 17:43:28"/>
    <n v="10"/>
    <x v="0"/>
    <x v="3"/>
    <x v="0"/>
    <n v="2.2107347809951201"/>
    <n v="2E+20"/>
    <n v="0.51831900829347399"/>
    <n v="5.1072197851420604"/>
    <n v="33"/>
    <s v="Unnamed ProjectcbusTransfer TimeEntity"/>
    <n v="10"/>
    <n v="2.4758267117727573"/>
    <n v="0.29062850270491319"/>
    <n v="0.95"/>
    <n v="0.20790310648187366"/>
    <n v="1.9664936967620199"/>
    <n v="2.9622895045267401"/>
    <n v="0.24044410972067001"/>
    <n v="9.0397657436027608"/>
    <n v="31.2"/>
    <n v="0.20790310648187366"/>
    <n v="10"/>
    <n v="1"/>
  </r>
  <r>
    <x v="0"/>
    <s v="2023-04-26 17:43:28"/>
    <n v="10"/>
    <x v="0"/>
    <x v="4"/>
    <x v="0"/>
    <n v="25.8718209107566"/>
    <n v="2E+20"/>
    <n v="16.6576465507415"/>
    <n v="33.347167759117298"/>
    <n v="33"/>
    <s v="Unnamed ProjectcbusVA TimeEntity"/>
    <n v="10"/>
    <n v="25.515113070670481"/>
    <n v="0.69371859583839046"/>
    <n v="0.95"/>
    <n v="0.49625638833326502"/>
    <n v="24.693613478441701"/>
    <n v="26.663484139011398"/>
    <n v="16.436283991791001"/>
    <n v="36.383869759363698"/>
    <n v="31.2"/>
    <n v="0.49625638833326502"/>
    <n v="10"/>
    <n v="1"/>
  </r>
  <r>
    <x v="0"/>
    <s v="2023-04-26 17:43:28"/>
    <n v="10"/>
    <x v="0"/>
    <x v="5"/>
    <x v="0"/>
    <n v="12.8791341161799"/>
    <n v="2E+20"/>
    <n v="0.70632723809958997"/>
    <n v="25.526886920259301"/>
    <n v="33"/>
    <s v="Unnamed ProjectcbusWait TimeEntity"/>
    <n v="10"/>
    <n v="10.915224374024641"/>
    <n v="1.5724350746607474"/>
    <n v="0.95"/>
    <n v="1.1248522898490634"/>
    <n v="8.6624511665201407"/>
    <n v="13.3543995277"/>
    <n v="0"/>
    <n v="25.723574494566702"/>
    <n v="31.2"/>
    <n v="1.1248522898490634"/>
    <n v="10"/>
    <n v="1"/>
  </r>
  <r>
    <x v="0"/>
    <s v="2023-04-26 17:43:28"/>
    <n v="1"/>
    <x v="1"/>
    <x v="0"/>
    <x v="0"/>
    <n v="0"/>
    <n v="2E+20"/>
    <n v="0"/>
    <n v="0"/>
    <n v="111"/>
    <s v="Unnamed ProjectccocheNVA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1"/>
    <x v="1"/>
    <x v="1"/>
    <x v="0"/>
    <n v="0"/>
    <n v="2E+20"/>
    <n v="0"/>
    <n v="0"/>
    <n v="111"/>
    <s v="Unnamed ProjectccocheOther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1"/>
    <x v="1"/>
    <x v="2"/>
    <x v="0"/>
    <n v="30.530615007912299"/>
    <n v="2E+20"/>
    <n v="18.004440220051698"/>
    <n v="50.379703479060304"/>
    <n v="111"/>
    <s v="Unnamed ProjectccocheTotal TimeEntity"/>
    <n v="10"/>
    <n v="30.950376875851003"/>
    <n v="1.9993263505509704"/>
    <n v="0.95"/>
    <n v="1.4302319121557625"/>
    <n v="28.464283487368299"/>
    <n v="34.395838299094002"/>
    <n v="16.9612949634746"/>
    <n v="57.955299021337602"/>
    <n v="92.2"/>
    <n v="1.4302319121557625"/>
    <n v="10"/>
    <n v="1"/>
  </r>
  <r>
    <x v="0"/>
    <s v="2023-04-26 17:43:28"/>
    <n v="1"/>
    <x v="1"/>
    <x v="3"/>
    <x v="0"/>
    <n v="2.5050016186606499"/>
    <n v="2E+20"/>
    <n v="0.54866191003537801"/>
    <n v="6.5897542072131703"/>
    <n v="111"/>
    <s v="Unnamed ProjectccocheTransfer TimeEntity"/>
    <n v="10"/>
    <n v="2.4122023910527979"/>
    <n v="0.13561882105923745"/>
    <n v="0.95"/>
    <n v="9.7015860224325318E-2"/>
    <n v="2.1913891918054"/>
    <n v="2.5692093376609502"/>
    <n v="0.36312028717973999"/>
    <n v="8.4843904124971594"/>
    <n v="92.2"/>
    <n v="9.7015860224325318E-2"/>
    <n v="10"/>
    <n v="1"/>
  </r>
  <r>
    <x v="0"/>
    <s v="2023-04-26 17:43:28"/>
    <n v="1"/>
    <x v="1"/>
    <x v="4"/>
    <x v="0"/>
    <n v="24.865944378242201"/>
    <n v="2E+20"/>
    <n v="15.3329795401794"/>
    <n v="35.497653724860598"/>
    <n v="111"/>
    <s v="Unnamed ProjectccocheVA TimeEntity"/>
    <n v="10"/>
    <n v="25.360603041724492"/>
    <n v="0.52230907286312656"/>
    <n v="0.95"/>
    <n v="0.37363740232377263"/>
    <n v="24.277210692927799"/>
    <n v="25.996125025017601"/>
    <n v="14.719284550891301"/>
    <n v="35.729769906199898"/>
    <n v="92.2"/>
    <n v="0.37363740232377263"/>
    <n v="10"/>
    <n v="1"/>
  </r>
  <r>
    <x v="0"/>
    <s v="2023-04-26 17:43:28"/>
    <n v="1"/>
    <x v="1"/>
    <x v="5"/>
    <x v="0"/>
    <n v="3.1596690110094801"/>
    <n v="2E+20"/>
    <n v="0"/>
    <n v="21.461420694737001"/>
    <n v="111"/>
    <s v="Unnamed ProjectccocheWait TimeEntity"/>
    <n v="10"/>
    <n v="3.1775714430736928"/>
    <n v="1.7762410201398626"/>
    <n v="0.95"/>
    <n v="1.2706462804254293"/>
    <n v="0.88565751366582501"/>
    <n v="6.1361268437010104"/>
    <n v="0"/>
    <n v="25.063412031878201"/>
    <n v="92.2"/>
    <n v="1.2706462804254293"/>
    <n v="10"/>
    <n v="1"/>
  </r>
  <r>
    <x v="0"/>
    <s v="2023-04-26 17:43:28"/>
    <n v="2"/>
    <x v="1"/>
    <x v="0"/>
    <x v="0"/>
    <n v="0"/>
    <n v="2E+20"/>
    <n v="0"/>
    <n v="0"/>
    <n v="85"/>
    <s v="Unnamed ProjectccocheNVA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2"/>
    <x v="1"/>
    <x v="1"/>
    <x v="0"/>
    <n v="0"/>
    <n v="2E+20"/>
    <n v="0"/>
    <n v="0"/>
    <n v="85"/>
    <s v="Unnamed ProjectccocheOther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2"/>
    <x v="1"/>
    <x v="2"/>
    <x v="0"/>
    <n v="28.5682216405289"/>
    <n v="2E+20"/>
    <n v="16.9612949634746"/>
    <n v="39.394503116221003"/>
    <n v="85"/>
    <s v="Unnamed ProjectccocheTotal TimeEntity"/>
    <n v="10"/>
    <n v="30.950376875851003"/>
    <n v="1.9993263505509704"/>
    <n v="0.95"/>
    <n v="1.4302319121557625"/>
    <n v="28.464283487368299"/>
    <n v="34.395838299094002"/>
    <n v="16.9612949634746"/>
    <n v="57.955299021337602"/>
    <n v="92.2"/>
    <n v="1.4302319121557625"/>
    <n v="10"/>
    <n v="1"/>
  </r>
  <r>
    <x v="0"/>
    <s v="2023-04-26 17:43:28"/>
    <n v="2"/>
    <x v="1"/>
    <x v="3"/>
    <x v="0"/>
    <n v="2.3852569252035698"/>
    <n v="2E+20"/>
    <n v="0.37553742255786898"/>
    <n v="6.2011387256534301"/>
    <n v="85"/>
    <s v="Unnamed ProjectccocheTransfer TimeEntity"/>
    <n v="10"/>
    <n v="2.4122023910527979"/>
    <n v="0.13561882105923745"/>
    <n v="0.95"/>
    <n v="9.7015860224325318E-2"/>
    <n v="2.1913891918054"/>
    <n v="2.5692093376609502"/>
    <n v="0.36312028717973999"/>
    <n v="8.4843904124971594"/>
    <n v="92.2"/>
    <n v="9.7015860224325318E-2"/>
    <n v="10"/>
    <n v="1"/>
  </r>
  <r>
    <x v="0"/>
    <s v="2023-04-26 17:43:28"/>
    <n v="2"/>
    <x v="1"/>
    <x v="4"/>
    <x v="0"/>
    <n v="25.270077527130901"/>
    <n v="2E+20"/>
    <n v="14.719284550891301"/>
    <n v="34.862316333538303"/>
    <n v="85"/>
    <s v="Unnamed ProjectccocheVA TimeEntity"/>
    <n v="10"/>
    <n v="25.360603041724492"/>
    <n v="0.52230907286312656"/>
    <n v="0.95"/>
    <n v="0.37363740232377263"/>
    <n v="24.277210692927799"/>
    <n v="25.996125025017601"/>
    <n v="14.719284550891301"/>
    <n v="35.729769906199898"/>
    <n v="92.2"/>
    <n v="0.37363740232377263"/>
    <n v="10"/>
    <n v="1"/>
  </r>
  <r>
    <x v="0"/>
    <s v="2023-04-26 17:43:28"/>
    <n v="2"/>
    <x v="1"/>
    <x v="5"/>
    <x v="0"/>
    <n v="0.91288718819440096"/>
    <n v="2E+20"/>
    <n v="0"/>
    <n v="6.2731336024339601"/>
    <n v="85"/>
    <s v="Unnamed ProjectccocheWait TimeEntity"/>
    <n v="10"/>
    <n v="3.1775714430736928"/>
    <n v="1.7762410201398626"/>
    <n v="0.95"/>
    <n v="1.2706462804254293"/>
    <n v="0.88565751366582501"/>
    <n v="6.1361268437010104"/>
    <n v="0"/>
    <n v="25.063412031878201"/>
    <n v="92.2"/>
    <n v="1.2706462804254293"/>
    <n v="10"/>
    <n v="1"/>
  </r>
  <r>
    <x v="0"/>
    <s v="2023-04-26 17:43:28"/>
    <n v="3"/>
    <x v="1"/>
    <x v="0"/>
    <x v="0"/>
    <n v="0"/>
    <n v="2E+20"/>
    <n v="0"/>
    <n v="0"/>
    <n v="91"/>
    <s v="Unnamed ProjectccocheNVA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3"/>
    <x v="1"/>
    <x v="1"/>
    <x v="0"/>
    <n v="0"/>
    <n v="2E+20"/>
    <n v="0"/>
    <n v="0"/>
    <n v="91"/>
    <s v="Unnamed ProjectccocheOther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3"/>
    <x v="1"/>
    <x v="2"/>
    <x v="0"/>
    <n v="28.464283487368299"/>
    <n v="2E+20"/>
    <n v="19.3400259068592"/>
    <n v="36.472088105072103"/>
    <n v="91"/>
    <s v="Unnamed ProjectccocheTotal TimeEntity"/>
    <n v="10"/>
    <n v="30.950376875851003"/>
    <n v="1.9993263505509704"/>
    <n v="0.95"/>
    <n v="1.4302319121557625"/>
    <n v="28.464283487368299"/>
    <n v="34.395838299094002"/>
    <n v="16.9612949634746"/>
    <n v="57.955299021337602"/>
    <n v="92.2"/>
    <n v="1.4302319121557625"/>
    <n v="10"/>
    <n v="1"/>
  </r>
  <r>
    <x v="0"/>
    <s v="2023-04-26 17:43:28"/>
    <n v="3"/>
    <x v="1"/>
    <x v="3"/>
    <x v="0"/>
    <n v="2.4941918509073302"/>
    <n v="2E+20"/>
    <n v="0.48274249060114"/>
    <n v="7.0101358451919102"/>
    <n v="91"/>
    <s v="Unnamed ProjectccocheTransfer TimeEntity"/>
    <n v="10"/>
    <n v="2.4122023910527979"/>
    <n v="0.13561882105923745"/>
    <n v="0.95"/>
    <n v="9.7015860224325318E-2"/>
    <n v="2.1913891918054"/>
    <n v="2.5692093376609502"/>
    <n v="0.36312028717973999"/>
    <n v="8.4843904124971594"/>
    <n v="92.2"/>
    <n v="9.7015860224325318E-2"/>
    <n v="10"/>
    <n v="1"/>
  </r>
  <r>
    <x v="0"/>
    <s v="2023-04-26 17:43:28"/>
    <n v="3"/>
    <x v="1"/>
    <x v="4"/>
    <x v="0"/>
    <n v="25.084434122795098"/>
    <n v="2E+20"/>
    <n v="16.654573483539998"/>
    <n v="33.401172266055198"/>
    <n v="91"/>
    <s v="Unnamed ProjectccocheVA TimeEntity"/>
    <n v="10"/>
    <n v="25.360603041724492"/>
    <n v="0.52230907286312656"/>
    <n v="0.95"/>
    <n v="0.37363740232377263"/>
    <n v="24.277210692927799"/>
    <n v="25.996125025017601"/>
    <n v="14.719284550891301"/>
    <n v="35.729769906199898"/>
    <n v="92.2"/>
    <n v="0.37363740232377263"/>
    <n v="10"/>
    <n v="1"/>
  </r>
  <r>
    <x v="0"/>
    <s v="2023-04-26 17:43:28"/>
    <n v="3"/>
    <x v="1"/>
    <x v="5"/>
    <x v="0"/>
    <n v="0.88565751366582501"/>
    <n v="2E+20"/>
    <n v="0"/>
    <n v="6.4437937992799199"/>
    <n v="91"/>
    <s v="Unnamed ProjectccocheWait TimeEntity"/>
    <n v="10"/>
    <n v="3.1775714430736928"/>
    <n v="1.7762410201398626"/>
    <n v="0.95"/>
    <n v="1.2706462804254293"/>
    <n v="0.88565751366582501"/>
    <n v="6.1361268437010104"/>
    <n v="0"/>
    <n v="25.063412031878201"/>
    <n v="92.2"/>
    <n v="1.2706462804254293"/>
    <n v="10"/>
    <n v="1"/>
  </r>
  <r>
    <x v="0"/>
    <s v="2023-04-26 17:43:28"/>
    <n v="4"/>
    <x v="1"/>
    <x v="0"/>
    <x v="0"/>
    <n v="0"/>
    <n v="2E+20"/>
    <n v="0"/>
    <n v="0"/>
    <n v="88"/>
    <s v="Unnamed ProjectccocheNVA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4"/>
    <x v="1"/>
    <x v="1"/>
    <x v="0"/>
    <n v="0"/>
    <n v="2E+20"/>
    <n v="0"/>
    <n v="0"/>
    <n v="88"/>
    <s v="Unnamed ProjectccocheOther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4"/>
    <x v="1"/>
    <x v="2"/>
    <x v="0"/>
    <n v="29.665943721581002"/>
    <n v="2E+20"/>
    <n v="18.841985006000701"/>
    <n v="54.111347046278098"/>
    <n v="88"/>
    <s v="Unnamed ProjectccocheTotal TimeEntity"/>
    <n v="10"/>
    <n v="30.950376875851003"/>
    <n v="1.9993263505509704"/>
    <n v="0.95"/>
    <n v="1.4302319121557625"/>
    <n v="28.464283487368299"/>
    <n v="34.395838299094002"/>
    <n v="16.9612949634746"/>
    <n v="57.955299021337602"/>
    <n v="92.2"/>
    <n v="1.4302319121557625"/>
    <n v="10"/>
    <n v="1"/>
  </r>
  <r>
    <x v="0"/>
    <s v="2023-04-26 17:43:28"/>
    <n v="4"/>
    <x v="1"/>
    <x v="3"/>
    <x v="0"/>
    <n v="2.2311600411275299"/>
    <n v="2E+20"/>
    <n v="0.49054044849589901"/>
    <n v="7.41855808251543"/>
    <n v="88"/>
    <s v="Unnamed ProjectccocheTransfer TimeEntity"/>
    <n v="10"/>
    <n v="2.4122023910527979"/>
    <n v="0.13561882105923745"/>
    <n v="0.95"/>
    <n v="9.7015860224325318E-2"/>
    <n v="2.1913891918054"/>
    <n v="2.5692093376609502"/>
    <n v="0.36312028717973999"/>
    <n v="8.4843904124971594"/>
    <n v="92.2"/>
    <n v="9.7015860224325318E-2"/>
    <n v="10"/>
    <n v="1"/>
  </r>
  <r>
    <x v="0"/>
    <s v="2023-04-26 17:43:28"/>
    <n v="4"/>
    <x v="1"/>
    <x v="4"/>
    <x v="0"/>
    <n v="24.277210692927799"/>
    <n v="2E+20"/>
    <n v="16.3402486553763"/>
    <n v="33.167145679467602"/>
    <n v="88"/>
    <s v="Unnamed ProjectccocheVA TimeEntity"/>
    <n v="10"/>
    <n v="25.360603041724492"/>
    <n v="0.52230907286312656"/>
    <n v="0.95"/>
    <n v="0.37363740232377263"/>
    <n v="24.277210692927799"/>
    <n v="25.996125025017601"/>
    <n v="14.719284550891301"/>
    <n v="35.729769906199898"/>
    <n v="92.2"/>
    <n v="0.37363740232377263"/>
    <n v="10"/>
    <n v="1"/>
  </r>
  <r>
    <x v="0"/>
    <s v="2023-04-26 17:43:28"/>
    <n v="4"/>
    <x v="1"/>
    <x v="5"/>
    <x v="0"/>
    <n v="3.1575729875256102"/>
    <n v="2E+20"/>
    <n v="0"/>
    <n v="23.217374419680301"/>
    <n v="88"/>
    <s v="Unnamed ProjectccocheWait TimeEntity"/>
    <n v="10"/>
    <n v="3.1775714430736928"/>
    <n v="1.7762410201398626"/>
    <n v="0.95"/>
    <n v="1.2706462804254293"/>
    <n v="0.88565751366582501"/>
    <n v="6.1361268437010104"/>
    <n v="0"/>
    <n v="25.063412031878201"/>
    <n v="92.2"/>
    <n v="1.2706462804254293"/>
    <n v="10"/>
    <n v="1"/>
  </r>
  <r>
    <x v="0"/>
    <s v="2023-04-26 17:43:28"/>
    <n v="5"/>
    <x v="1"/>
    <x v="0"/>
    <x v="0"/>
    <n v="0"/>
    <n v="2E+20"/>
    <n v="0"/>
    <n v="0"/>
    <n v="98"/>
    <s v="Unnamed ProjectccocheNVA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5"/>
    <x v="1"/>
    <x v="1"/>
    <x v="0"/>
    <n v="0"/>
    <n v="2E+20"/>
    <n v="0"/>
    <n v="0"/>
    <n v="98"/>
    <s v="Unnamed ProjectccocheOther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5"/>
    <x v="1"/>
    <x v="2"/>
    <x v="0"/>
    <n v="32.978374977011597"/>
    <n v="2E+20"/>
    <n v="18.084302520493001"/>
    <n v="54.732576359625398"/>
    <n v="98"/>
    <s v="Unnamed ProjectccocheTotal TimeEntity"/>
    <n v="10"/>
    <n v="30.950376875851003"/>
    <n v="1.9993263505509704"/>
    <n v="0.95"/>
    <n v="1.4302319121557625"/>
    <n v="28.464283487368299"/>
    <n v="34.395838299094002"/>
    <n v="16.9612949634746"/>
    <n v="57.955299021337602"/>
    <n v="92.2"/>
    <n v="1.4302319121557625"/>
    <n v="10"/>
    <n v="1"/>
  </r>
  <r>
    <x v="0"/>
    <s v="2023-04-26 17:43:28"/>
    <n v="5"/>
    <x v="1"/>
    <x v="3"/>
    <x v="0"/>
    <n v="2.4743983349397198"/>
    <n v="2E+20"/>
    <n v="0.39301718996810597"/>
    <n v="8.4843904124971594"/>
    <n v="98"/>
    <s v="Unnamed ProjectccocheTransfer TimeEntity"/>
    <n v="10"/>
    <n v="2.4122023910527979"/>
    <n v="0.13561882105923745"/>
    <n v="0.95"/>
    <n v="9.7015860224325318E-2"/>
    <n v="2.1913891918054"/>
    <n v="2.5692093376609502"/>
    <n v="0.36312028717973999"/>
    <n v="8.4843904124971594"/>
    <n v="92.2"/>
    <n v="9.7015860224325318E-2"/>
    <n v="10"/>
    <n v="1"/>
  </r>
  <r>
    <x v="0"/>
    <s v="2023-04-26 17:43:28"/>
    <n v="5"/>
    <x v="1"/>
    <x v="4"/>
    <x v="0"/>
    <n v="25.4579293024848"/>
    <n v="2E+20"/>
    <n v="14.946104708800799"/>
    <n v="35.729769906199898"/>
    <n v="98"/>
    <s v="Unnamed ProjectccocheVA TimeEntity"/>
    <n v="10"/>
    <n v="25.360603041724492"/>
    <n v="0.52230907286312656"/>
    <n v="0.95"/>
    <n v="0.37363740232377263"/>
    <n v="24.277210692927799"/>
    <n v="25.996125025017601"/>
    <n v="14.719284550891301"/>
    <n v="35.729769906199898"/>
    <n v="92.2"/>
    <n v="0.37363740232377263"/>
    <n v="10"/>
    <n v="1"/>
  </r>
  <r>
    <x v="0"/>
    <s v="2023-04-26 17:43:28"/>
    <n v="5"/>
    <x v="1"/>
    <x v="5"/>
    <x v="0"/>
    <n v="5.0460473395870702"/>
    <n v="2E+20"/>
    <n v="0"/>
    <n v="21.5756521986577"/>
    <n v="98"/>
    <s v="Unnamed ProjectccocheWait TimeEntity"/>
    <n v="10"/>
    <n v="3.1775714430736928"/>
    <n v="1.7762410201398626"/>
    <n v="0.95"/>
    <n v="1.2706462804254293"/>
    <n v="0.88565751366582501"/>
    <n v="6.1361268437010104"/>
    <n v="0"/>
    <n v="25.063412031878201"/>
    <n v="92.2"/>
    <n v="1.2706462804254293"/>
    <n v="10"/>
    <n v="1"/>
  </r>
  <r>
    <x v="0"/>
    <s v="2023-04-26 17:43:28"/>
    <n v="6"/>
    <x v="1"/>
    <x v="0"/>
    <x v="0"/>
    <n v="0"/>
    <n v="2E+20"/>
    <n v="0"/>
    <n v="0"/>
    <n v="98"/>
    <s v="Unnamed ProjectccocheNVA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6"/>
    <x v="1"/>
    <x v="1"/>
    <x v="0"/>
    <n v="0"/>
    <n v="2E+20"/>
    <n v="0"/>
    <n v="0"/>
    <n v="98"/>
    <s v="Unnamed ProjectccocheOther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6"/>
    <x v="1"/>
    <x v="2"/>
    <x v="0"/>
    <n v="31.104944730575799"/>
    <n v="2E+20"/>
    <n v="17.1645142804181"/>
    <n v="50.207995676004998"/>
    <n v="98"/>
    <s v="Unnamed ProjectccocheTotal TimeEntity"/>
    <n v="10"/>
    <n v="30.950376875851003"/>
    <n v="1.9993263505509704"/>
    <n v="0.95"/>
    <n v="1.4302319121557625"/>
    <n v="28.464283487368299"/>
    <n v="34.395838299094002"/>
    <n v="16.9612949634746"/>
    <n v="57.955299021337602"/>
    <n v="92.2"/>
    <n v="1.4302319121557625"/>
    <n v="10"/>
    <n v="1"/>
  </r>
  <r>
    <x v="0"/>
    <s v="2023-04-26 17:43:28"/>
    <n v="6"/>
    <x v="1"/>
    <x v="3"/>
    <x v="0"/>
    <n v="2.1913891918054"/>
    <n v="2E+20"/>
    <n v="0.36312028717973999"/>
    <n v="5.8747723609378699"/>
    <n v="98"/>
    <s v="Unnamed ProjectccocheTransfer TimeEntity"/>
    <n v="10"/>
    <n v="2.4122023910527979"/>
    <n v="0.13561882105923745"/>
    <n v="0.95"/>
    <n v="9.7015860224325318E-2"/>
    <n v="2.1913891918054"/>
    <n v="2.5692093376609502"/>
    <n v="0.36312028717973999"/>
    <n v="8.4843904124971594"/>
    <n v="92.2"/>
    <n v="9.7015860224325318E-2"/>
    <n v="10"/>
    <n v="1"/>
  </r>
  <r>
    <x v="0"/>
    <s v="2023-04-26 17:43:28"/>
    <n v="6"/>
    <x v="1"/>
    <x v="4"/>
    <x v="0"/>
    <n v="25.5551510724897"/>
    <n v="2E+20"/>
    <n v="15.4494949871751"/>
    <n v="33.388237975753299"/>
    <n v="98"/>
    <s v="Unnamed ProjectccocheVA TimeEntity"/>
    <n v="10"/>
    <n v="25.360603041724492"/>
    <n v="0.52230907286312656"/>
    <n v="0.95"/>
    <n v="0.37363740232377263"/>
    <n v="24.277210692927799"/>
    <n v="25.996125025017601"/>
    <n v="14.719284550891301"/>
    <n v="35.729769906199898"/>
    <n v="92.2"/>
    <n v="0.37363740232377263"/>
    <n v="10"/>
    <n v="1"/>
  </r>
  <r>
    <x v="0"/>
    <s v="2023-04-26 17:43:28"/>
    <n v="6"/>
    <x v="1"/>
    <x v="5"/>
    <x v="0"/>
    <n v="3.35840446628066"/>
    <n v="2E+20"/>
    <n v="0"/>
    <n v="20.1086581407151"/>
    <n v="98"/>
    <s v="Unnamed ProjectccocheWait TimeEntity"/>
    <n v="10"/>
    <n v="3.1775714430736928"/>
    <n v="1.7762410201398626"/>
    <n v="0.95"/>
    <n v="1.2706462804254293"/>
    <n v="0.88565751366582501"/>
    <n v="6.1361268437010104"/>
    <n v="0"/>
    <n v="25.063412031878201"/>
    <n v="92.2"/>
    <n v="1.2706462804254293"/>
    <n v="10"/>
    <n v="1"/>
  </r>
  <r>
    <x v="0"/>
    <s v="2023-04-26 17:43:28"/>
    <n v="7"/>
    <x v="1"/>
    <x v="0"/>
    <x v="0"/>
    <n v="0"/>
    <n v="2E+20"/>
    <n v="0"/>
    <n v="0"/>
    <n v="105"/>
    <s v="Unnamed ProjectccocheNVA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7"/>
    <x v="1"/>
    <x v="1"/>
    <x v="0"/>
    <n v="0"/>
    <n v="2E+20"/>
    <n v="0"/>
    <n v="0"/>
    <n v="105"/>
    <s v="Unnamed ProjectccocheOther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7"/>
    <x v="1"/>
    <x v="2"/>
    <x v="0"/>
    <n v="30.633534304751599"/>
    <n v="2E+20"/>
    <n v="21.3543746813322"/>
    <n v="42.7455636828915"/>
    <n v="105"/>
    <s v="Unnamed ProjectccocheTotal TimeEntity"/>
    <n v="10"/>
    <n v="30.950376875851003"/>
    <n v="1.9993263505509704"/>
    <n v="0.95"/>
    <n v="1.4302319121557625"/>
    <n v="28.464283487368299"/>
    <n v="34.395838299094002"/>
    <n v="16.9612949634746"/>
    <n v="57.955299021337602"/>
    <n v="92.2"/>
    <n v="1.4302319121557625"/>
    <n v="10"/>
    <n v="1"/>
  </r>
  <r>
    <x v="0"/>
    <s v="2023-04-26 17:43:28"/>
    <n v="7"/>
    <x v="1"/>
    <x v="3"/>
    <x v="0"/>
    <n v="2.5324642022561301"/>
    <n v="2E+20"/>
    <n v="0.61580893439463602"/>
    <n v="8.3447155429799604"/>
    <n v="105"/>
    <s v="Unnamed ProjectccocheTransfer TimeEntity"/>
    <n v="10"/>
    <n v="2.4122023910527979"/>
    <n v="0.13561882105923745"/>
    <n v="0.95"/>
    <n v="9.7015860224325318E-2"/>
    <n v="2.1913891918054"/>
    <n v="2.5692093376609502"/>
    <n v="0.36312028717973999"/>
    <n v="8.4843904124971594"/>
    <n v="92.2"/>
    <n v="9.7015860224325318E-2"/>
    <n v="10"/>
    <n v="1"/>
  </r>
  <r>
    <x v="0"/>
    <s v="2023-04-26 17:43:28"/>
    <n v="7"/>
    <x v="1"/>
    <x v="4"/>
    <x v="0"/>
    <n v="25.996125025017601"/>
    <n v="2E+20"/>
    <n v="16.9319976644245"/>
    <n v="35.516278937206202"/>
    <n v="105"/>
    <s v="Unnamed ProjectccocheVA TimeEntity"/>
    <n v="10"/>
    <n v="25.360603041724492"/>
    <n v="0.52230907286312656"/>
    <n v="0.95"/>
    <n v="0.37363740232377263"/>
    <n v="24.277210692927799"/>
    <n v="25.996125025017601"/>
    <n v="14.719284550891301"/>
    <n v="35.729769906199898"/>
    <n v="92.2"/>
    <n v="0.37363740232377263"/>
    <n v="10"/>
    <n v="1"/>
  </r>
  <r>
    <x v="0"/>
    <s v="2023-04-26 17:43:28"/>
    <n v="7"/>
    <x v="1"/>
    <x v="5"/>
    <x v="0"/>
    <n v="2.1049450774778999"/>
    <n v="2E+20"/>
    <n v="0"/>
    <n v="17.509382716997699"/>
    <n v="105"/>
    <s v="Unnamed ProjectccocheWait TimeEntity"/>
    <n v="10"/>
    <n v="3.1775714430736928"/>
    <n v="1.7762410201398626"/>
    <n v="0.95"/>
    <n v="1.2706462804254293"/>
    <n v="0.88565751366582501"/>
    <n v="6.1361268437010104"/>
    <n v="0"/>
    <n v="25.063412031878201"/>
    <n v="92.2"/>
    <n v="1.2706462804254293"/>
    <n v="10"/>
    <n v="1"/>
  </r>
  <r>
    <x v="0"/>
    <s v="2023-04-26 17:43:28"/>
    <n v="8"/>
    <x v="1"/>
    <x v="0"/>
    <x v="0"/>
    <n v="0"/>
    <n v="2E+20"/>
    <n v="0"/>
    <n v="0"/>
    <n v="77"/>
    <s v="Unnamed ProjectccocheNVA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8"/>
    <x v="1"/>
    <x v="1"/>
    <x v="0"/>
    <n v="0"/>
    <n v="2E+20"/>
    <n v="0"/>
    <n v="0"/>
    <n v="77"/>
    <s v="Unnamed ProjectccocheOther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8"/>
    <x v="1"/>
    <x v="2"/>
    <x v="0"/>
    <n v="29.939237101726398"/>
    <n v="2E+20"/>
    <n v="19.2230606975303"/>
    <n v="48.357907404470502"/>
    <n v="77"/>
    <s v="Unnamed ProjectccocheTotal TimeEntity"/>
    <n v="10"/>
    <n v="30.950376875851003"/>
    <n v="1.9993263505509704"/>
    <n v="0.95"/>
    <n v="1.4302319121557625"/>
    <n v="28.464283487368299"/>
    <n v="34.395838299094002"/>
    <n v="16.9612949634746"/>
    <n v="57.955299021337602"/>
    <n v="92.2"/>
    <n v="1.4302319121557625"/>
    <n v="10"/>
    <n v="1"/>
  </r>
  <r>
    <x v="0"/>
    <s v="2023-04-26 17:43:28"/>
    <n v="8"/>
    <x v="1"/>
    <x v="3"/>
    <x v="0"/>
    <n v="2.47268443966095"/>
    <n v="2E+20"/>
    <n v="0.493047373850374"/>
    <n v="6.1050698536493098"/>
    <n v="77"/>
    <s v="Unnamed ProjectccocheTransfer TimeEntity"/>
    <n v="10"/>
    <n v="2.4122023910527979"/>
    <n v="0.13561882105923745"/>
    <n v="0.95"/>
    <n v="9.7015860224325318E-2"/>
    <n v="2.1913891918054"/>
    <n v="2.5692093376609502"/>
    <n v="0.36312028717973999"/>
    <n v="8.4843904124971594"/>
    <n v="92.2"/>
    <n v="9.7015860224325318E-2"/>
    <n v="10"/>
    <n v="1"/>
  </r>
  <r>
    <x v="0"/>
    <s v="2023-04-26 17:43:28"/>
    <n v="8"/>
    <x v="1"/>
    <x v="4"/>
    <x v="0"/>
    <n v="25.437205869506499"/>
    <n v="2E+20"/>
    <n v="15.9865804099647"/>
    <n v="34.121013134048397"/>
    <n v="77"/>
    <s v="Unnamed ProjectccocheVA TimeEntity"/>
    <n v="10"/>
    <n v="25.360603041724492"/>
    <n v="0.52230907286312656"/>
    <n v="0.95"/>
    <n v="0.37363740232377263"/>
    <n v="24.277210692927799"/>
    <n v="25.996125025017601"/>
    <n v="14.719284550891301"/>
    <n v="35.729769906199898"/>
    <n v="92.2"/>
    <n v="0.37363740232377263"/>
    <n v="10"/>
    <n v="1"/>
  </r>
  <r>
    <x v="0"/>
    <s v="2023-04-26 17:43:28"/>
    <n v="8"/>
    <x v="1"/>
    <x v="5"/>
    <x v="0"/>
    <n v="2.0293467925589699"/>
    <n v="2E+20"/>
    <n v="0"/>
    <n v="18.882882798025701"/>
    <n v="77"/>
    <s v="Unnamed ProjectccocheWait TimeEntity"/>
    <n v="10"/>
    <n v="3.1775714430736928"/>
    <n v="1.7762410201398626"/>
    <n v="0.95"/>
    <n v="1.2706462804254293"/>
    <n v="0.88565751366582501"/>
    <n v="6.1361268437010104"/>
    <n v="0"/>
    <n v="25.063412031878201"/>
    <n v="92.2"/>
    <n v="1.2706462804254293"/>
    <n v="10"/>
    <n v="1"/>
  </r>
  <r>
    <x v="0"/>
    <s v="2023-04-26 17:43:28"/>
    <n v="9"/>
    <x v="1"/>
    <x v="0"/>
    <x v="0"/>
    <n v="0"/>
    <n v="2E+20"/>
    <n v="0"/>
    <n v="0"/>
    <n v="78"/>
    <s v="Unnamed ProjectccocheNVA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9"/>
    <x v="1"/>
    <x v="1"/>
    <x v="0"/>
    <n v="0"/>
    <n v="2E+20"/>
    <n v="0"/>
    <n v="0"/>
    <n v="78"/>
    <s v="Unnamed ProjectccocheOther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9"/>
    <x v="1"/>
    <x v="2"/>
    <x v="0"/>
    <n v="34.395838299094002"/>
    <n v="2E+20"/>
    <n v="21.574633340431099"/>
    <n v="55.623756350486701"/>
    <n v="78"/>
    <s v="Unnamed ProjectccocheTotal TimeEntity"/>
    <n v="10"/>
    <n v="30.950376875851003"/>
    <n v="1.9993263505509704"/>
    <n v="0.95"/>
    <n v="1.4302319121557625"/>
    <n v="28.464283487368299"/>
    <n v="34.395838299094002"/>
    <n v="16.9612949634746"/>
    <n v="57.955299021337602"/>
    <n v="92.2"/>
    <n v="1.4302319121557625"/>
    <n v="10"/>
    <n v="1"/>
  </r>
  <r>
    <x v="0"/>
    <s v="2023-04-26 17:43:28"/>
    <n v="9"/>
    <x v="1"/>
    <x v="3"/>
    <x v="0"/>
    <n v="2.2662679683057498"/>
    <n v="2E+20"/>
    <n v="0.47372439458138199"/>
    <n v="6.7071672800737003"/>
    <n v="78"/>
    <s v="Unnamed ProjectccocheTransfer TimeEntity"/>
    <n v="10"/>
    <n v="2.4122023910527979"/>
    <n v="0.13561882105923745"/>
    <n v="0.95"/>
    <n v="9.7015860224325318E-2"/>
    <n v="2.1913891918054"/>
    <n v="2.5692093376609502"/>
    <n v="0.36312028717973999"/>
    <n v="8.4843904124971594"/>
    <n v="92.2"/>
    <n v="9.7015860224325318E-2"/>
    <n v="10"/>
    <n v="1"/>
  </r>
  <r>
    <x v="0"/>
    <s v="2023-04-26 17:43:28"/>
    <n v="9"/>
    <x v="1"/>
    <x v="4"/>
    <x v="0"/>
    <n v="25.993443487087202"/>
    <n v="2E+20"/>
    <n v="18.432329523831498"/>
    <n v="34.752128903886401"/>
    <n v="78"/>
    <s v="Unnamed ProjectccocheVA TimeEntity"/>
    <n v="10"/>
    <n v="25.360603041724492"/>
    <n v="0.52230907286312656"/>
    <n v="0.95"/>
    <n v="0.37363740232377263"/>
    <n v="24.277210692927799"/>
    <n v="25.996125025017601"/>
    <n v="14.719284550891301"/>
    <n v="35.729769906199898"/>
    <n v="92.2"/>
    <n v="0.37363740232377263"/>
    <n v="10"/>
    <n v="1"/>
  </r>
  <r>
    <x v="0"/>
    <s v="2023-04-26 17:43:28"/>
    <n v="9"/>
    <x v="1"/>
    <x v="5"/>
    <x v="0"/>
    <n v="6.1361268437010104"/>
    <n v="2E+20"/>
    <n v="0"/>
    <n v="21.397167498930902"/>
    <n v="78"/>
    <s v="Unnamed ProjectccocheWait TimeEntity"/>
    <n v="10"/>
    <n v="3.1775714430736928"/>
    <n v="1.7762410201398626"/>
    <n v="0.95"/>
    <n v="1.2706462804254293"/>
    <n v="0.88565751366582501"/>
    <n v="6.1361268437010104"/>
    <n v="0"/>
    <n v="25.063412031878201"/>
    <n v="92.2"/>
    <n v="1.2706462804254293"/>
    <n v="10"/>
    <n v="1"/>
  </r>
  <r>
    <x v="0"/>
    <s v="2023-04-26 17:43:28"/>
    <n v="10"/>
    <x v="1"/>
    <x v="0"/>
    <x v="0"/>
    <n v="0"/>
    <n v="2E+20"/>
    <n v="0"/>
    <n v="0"/>
    <n v="91"/>
    <s v="Unnamed ProjectccocheNVA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10"/>
    <x v="1"/>
    <x v="1"/>
    <x v="0"/>
    <n v="0"/>
    <n v="2E+20"/>
    <n v="0"/>
    <n v="0"/>
    <n v="91"/>
    <s v="Unnamed ProjectccocheOther TimeEntity"/>
    <n v="10"/>
    <n v="0"/>
    <n v="0"/>
    <n v="0.95"/>
    <n v="0"/>
    <n v="0"/>
    <n v="0"/>
    <n v="0"/>
    <n v="0"/>
    <n v="92.2"/>
    <n v="0"/>
    <n v="10"/>
    <n v="1"/>
  </r>
  <r>
    <x v="0"/>
    <s v="2023-04-26 17:43:28"/>
    <n v="10"/>
    <x v="1"/>
    <x v="2"/>
    <x v="0"/>
    <n v="33.222775487960099"/>
    <n v="2E+20"/>
    <n v="19.362190664085801"/>
    <n v="57.955299021337602"/>
    <n v="91"/>
    <s v="Unnamed ProjectccocheTotal TimeEntity"/>
    <n v="10"/>
    <n v="30.950376875851003"/>
    <n v="1.9993263505509704"/>
    <n v="0.95"/>
    <n v="1.4302319121557625"/>
    <n v="28.464283487368299"/>
    <n v="34.395838299094002"/>
    <n v="16.9612949634746"/>
    <n v="57.955299021337602"/>
    <n v="92.2"/>
    <n v="1.4302319121557625"/>
    <n v="10"/>
    <n v="1"/>
  </r>
  <r>
    <x v="0"/>
    <s v="2023-04-26 17:43:28"/>
    <n v="10"/>
    <x v="1"/>
    <x v="3"/>
    <x v="0"/>
    <n v="2.5692093376609502"/>
    <n v="2E+20"/>
    <n v="0.57447822927298398"/>
    <n v="7.6084810624713004"/>
    <n v="91"/>
    <s v="Unnamed ProjectccocheTransfer TimeEntity"/>
    <n v="10"/>
    <n v="2.4122023910527979"/>
    <n v="0.13561882105923745"/>
    <n v="0.95"/>
    <n v="9.7015860224325318E-2"/>
    <n v="2.1913891918054"/>
    <n v="2.5692093376609502"/>
    <n v="0.36312028717973999"/>
    <n v="8.4843904124971594"/>
    <n v="92.2"/>
    <n v="9.7015860224325318E-2"/>
    <n v="10"/>
    <n v="1"/>
  </r>
  <r>
    <x v="0"/>
    <s v="2023-04-26 17:43:28"/>
    <n v="10"/>
    <x v="1"/>
    <x v="4"/>
    <x v="0"/>
    <n v="25.6685089395631"/>
    <n v="2E+20"/>
    <n v="16.8504650999968"/>
    <n v="34.5722489909747"/>
    <n v="91"/>
    <s v="Unnamed ProjectccocheVA TimeEntity"/>
    <n v="10"/>
    <n v="25.360603041724492"/>
    <n v="0.52230907286312656"/>
    <n v="0.95"/>
    <n v="0.37363740232377263"/>
    <n v="24.277210692927799"/>
    <n v="25.996125025017601"/>
    <n v="14.719284550891301"/>
    <n v="35.729769906199898"/>
    <n v="92.2"/>
    <n v="0.37363740232377263"/>
    <n v="10"/>
    <n v="1"/>
  </r>
  <r>
    <x v="0"/>
    <s v="2023-04-26 17:43:28"/>
    <n v="10"/>
    <x v="1"/>
    <x v="5"/>
    <x v="0"/>
    <n v="4.9850572107359996"/>
    <n v="2E+20"/>
    <n v="0"/>
    <n v="25.063412031878201"/>
    <n v="91"/>
    <s v="Unnamed ProjectccocheWait TimeEntity"/>
    <n v="10"/>
    <n v="3.1775714430736928"/>
    <n v="1.7762410201398626"/>
    <n v="0.95"/>
    <n v="1.2706462804254293"/>
    <n v="0.88565751366582501"/>
    <n v="6.1361268437010104"/>
    <n v="0"/>
    <n v="25.063412031878201"/>
    <n v="92.2"/>
    <n v="1.2706462804254293"/>
    <n v="10"/>
    <n v="1"/>
  </r>
  <r>
    <x v="0"/>
    <s v="2023-04-26 17:43:28"/>
    <n v="1"/>
    <x v="2"/>
    <x v="6"/>
    <x v="1"/>
    <n v="1.70970735912707E-2"/>
    <n v="2E+20"/>
    <n v="0"/>
    <n v="1.6079643014884899"/>
    <n v="222"/>
    <s v="Unnamed Projectcomer.QueueWaiting TimeQueue"/>
    <n v="10"/>
    <n v="2.4227127635592708E-2"/>
    <n v="2.4898850061216244E-2"/>
    <n v="0.95"/>
    <n v="1.7811564342019148E-2"/>
    <n v="0"/>
    <n v="7.7604450099426403E-2"/>
    <n v="0"/>
    <n v="3.3974362425698201"/>
    <n v="203.5"/>
    <n v="1.7811564342019148E-2"/>
    <n v="10"/>
    <n v="1"/>
  </r>
  <r>
    <x v="0"/>
    <s v="2023-04-26 17:43:28"/>
    <n v="2"/>
    <x v="2"/>
    <x v="6"/>
    <x v="1"/>
    <n v="0"/>
    <n v="2E+20"/>
    <n v="0"/>
    <n v="0"/>
    <n v="191"/>
    <s v="Unnamed Projectcomer.QueueWaiting TimeQueue"/>
    <n v="10"/>
    <n v="2.4227127635592708E-2"/>
    <n v="2.4898850061216244E-2"/>
    <n v="0.95"/>
    <n v="1.7811564342019148E-2"/>
    <n v="0"/>
    <n v="7.7604450099426403E-2"/>
    <n v="0"/>
    <n v="3.3974362425698201"/>
    <n v="203.5"/>
    <n v="1.7811564342019148E-2"/>
    <n v="10"/>
    <n v="1"/>
  </r>
  <r>
    <x v="0"/>
    <s v="2023-04-26 17:43:28"/>
    <n v="3"/>
    <x v="2"/>
    <x v="6"/>
    <x v="1"/>
    <n v="6.17393721070531E-3"/>
    <n v="2E+20"/>
    <n v="0"/>
    <n v="0.79576581647776801"/>
    <n v="194"/>
    <s v="Unnamed Projectcomer.QueueWaiting TimeQueue"/>
    <n v="10"/>
    <n v="2.4227127635592708E-2"/>
    <n v="2.4898850061216244E-2"/>
    <n v="0.95"/>
    <n v="1.7811564342019148E-2"/>
    <n v="0"/>
    <n v="7.7604450099426403E-2"/>
    <n v="0"/>
    <n v="3.3974362425698201"/>
    <n v="203.5"/>
    <n v="1.7811564342019148E-2"/>
    <n v="10"/>
    <n v="1"/>
  </r>
  <r>
    <x v="0"/>
    <s v="2023-04-26 17:43:28"/>
    <n v="4"/>
    <x v="2"/>
    <x v="6"/>
    <x v="1"/>
    <n v="5.2586146562006797E-3"/>
    <n v="2E+20"/>
    <n v="0"/>
    <n v="0.62287103010427802"/>
    <n v="200"/>
    <s v="Unnamed Projectcomer.QueueWaiting TimeQueue"/>
    <n v="10"/>
    <n v="2.4227127635592708E-2"/>
    <n v="2.4898850061216244E-2"/>
    <n v="0.95"/>
    <n v="1.7811564342019148E-2"/>
    <n v="0"/>
    <n v="7.7604450099426403E-2"/>
    <n v="0"/>
    <n v="3.3974362425698201"/>
    <n v="203.5"/>
    <n v="1.7811564342019148E-2"/>
    <n v="10"/>
    <n v="1"/>
  </r>
  <r>
    <x v="0"/>
    <s v="2023-04-26 17:43:28"/>
    <n v="5"/>
    <x v="2"/>
    <x v="6"/>
    <x v="1"/>
    <n v="1.11249223617152E-2"/>
    <n v="2E+20"/>
    <n v="0"/>
    <n v="0.81177490235472805"/>
    <n v="208"/>
    <s v="Unnamed Projectcomer.QueueWaiting TimeQueue"/>
    <n v="10"/>
    <n v="2.4227127635592708E-2"/>
    <n v="2.4898850061216244E-2"/>
    <n v="0.95"/>
    <n v="1.7811564342019148E-2"/>
    <n v="0"/>
    <n v="7.7604450099426403E-2"/>
    <n v="0"/>
    <n v="3.3974362425698201"/>
    <n v="203.5"/>
    <n v="1.7811564342019148E-2"/>
    <n v="10"/>
    <n v="1"/>
  </r>
  <r>
    <x v="0"/>
    <s v="2023-04-26 17:43:28"/>
    <n v="6"/>
    <x v="2"/>
    <x v="6"/>
    <x v="1"/>
    <n v="1.4943201633598999E-2"/>
    <n v="2E+20"/>
    <n v="0"/>
    <n v="0.58120875181890597"/>
    <n v="218"/>
    <s v="Unnamed Projectcomer.QueueWaiting TimeQueue"/>
    <n v="10"/>
    <n v="2.4227127635592708E-2"/>
    <n v="2.4898850061216244E-2"/>
    <n v="0.95"/>
    <n v="1.7811564342019148E-2"/>
    <n v="0"/>
    <n v="7.7604450099426403E-2"/>
    <n v="0"/>
    <n v="3.3974362425698201"/>
    <n v="203.5"/>
    <n v="1.7811564342019148E-2"/>
    <n v="10"/>
    <n v="1"/>
  </r>
  <r>
    <x v="0"/>
    <s v="2023-04-26 17:43:28"/>
    <n v="7"/>
    <x v="2"/>
    <x v="6"/>
    <x v="1"/>
    <n v="7.7604450099426403E-2"/>
    <n v="2E+20"/>
    <n v="0"/>
    <n v="3.3974362425698201"/>
    <n v="209"/>
    <s v="Unnamed Projectcomer.QueueWaiting TimeQueue"/>
    <n v="10"/>
    <n v="2.4227127635592708E-2"/>
    <n v="2.4898850061216244E-2"/>
    <n v="0.95"/>
    <n v="1.7811564342019148E-2"/>
    <n v="0"/>
    <n v="7.7604450099426403E-2"/>
    <n v="0"/>
    <n v="3.3974362425698201"/>
    <n v="203.5"/>
    <n v="1.7811564342019148E-2"/>
    <n v="10"/>
    <n v="1"/>
  </r>
  <r>
    <x v="0"/>
    <s v="2023-04-26 17:43:28"/>
    <n v="8"/>
    <x v="2"/>
    <x v="6"/>
    <x v="1"/>
    <n v="2.6721652106941201E-2"/>
    <n v="2E+20"/>
    <n v="0"/>
    <n v="1.13063270483414"/>
    <n v="182"/>
    <s v="Unnamed Projectcomer.QueueWaiting TimeQueue"/>
    <n v="10"/>
    <n v="2.4227127635592708E-2"/>
    <n v="2.4898850061216244E-2"/>
    <n v="0.95"/>
    <n v="1.7811564342019148E-2"/>
    <n v="0"/>
    <n v="7.7604450099426403E-2"/>
    <n v="0"/>
    <n v="3.3974362425698201"/>
    <n v="203.5"/>
    <n v="1.7811564342019148E-2"/>
    <n v="10"/>
    <n v="1"/>
  </r>
  <r>
    <x v="0"/>
    <s v="2023-04-26 17:43:28"/>
    <n v="9"/>
    <x v="2"/>
    <x v="6"/>
    <x v="1"/>
    <n v="5.8014981407889001E-2"/>
    <n v="2E+20"/>
    <n v="0"/>
    <n v="3.1392357742487298"/>
    <n v="215"/>
    <s v="Unnamed Projectcomer.QueueWaiting TimeQueue"/>
    <n v="10"/>
    <n v="2.4227127635592708E-2"/>
    <n v="2.4898850061216244E-2"/>
    <n v="0.95"/>
    <n v="1.7811564342019148E-2"/>
    <n v="0"/>
    <n v="7.7604450099426403E-2"/>
    <n v="0"/>
    <n v="3.3974362425698201"/>
    <n v="203.5"/>
    <n v="1.7811564342019148E-2"/>
    <n v="10"/>
    <n v="1"/>
  </r>
  <r>
    <x v="0"/>
    <s v="2023-04-26 17:43:28"/>
    <n v="10"/>
    <x v="2"/>
    <x v="6"/>
    <x v="1"/>
    <n v="2.5332443288179601E-2"/>
    <n v="2E+20"/>
    <n v="0"/>
    <n v="1.0430929571801899"/>
    <n v="196"/>
    <s v="Unnamed Projectcomer.QueueWaiting TimeQueue"/>
    <n v="10"/>
    <n v="2.4227127635592708E-2"/>
    <n v="2.4898850061216244E-2"/>
    <n v="0.95"/>
    <n v="1.7811564342019148E-2"/>
    <n v="0"/>
    <n v="7.7604450099426403E-2"/>
    <n v="0"/>
    <n v="3.3974362425698201"/>
    <n v="203.5"/>
    <n v="1.7811564342019148E-2"/>
    <n v="10"/>
    <n v="1"/>
  </r>
  <r>
    <x v="0"/>
    <s v="2023-04-26 17:43:28"/>
    <n v="1"/>
    <x v="3"/>
    <x v="0"/>
    <x v="0"/>
    <n v="0"/>
    <n v="2E+20"/>
    <n v="0"/>
    <n v="0"/>
    <n v="67"/>
    <s v="Unnamed ProjectcpieNVA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1"/>
    <x v="3"/>
    <x v="1"/>
    <x v="0"/>
    <n v="0"/>
    <n v="2E+20"/>
    <n v="0"/>
    <n v="0"/>
    <n v="67"/>
    <s v="Unnamed ProjectcpieOther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1"/>
    <x v="3"/>
    <x v="2"/>
    <x v="0"/>
    <n v="29.917424370908101"/>
    <n v="2E+20"/>
    <n v="20.207443621181501"/>
    <n v="50.769184470164497"/>
    <n v="67"/>
    <s v="Unnamed ProjectcpieTotal TimeEntity"/>
    <n v="10"/>
    <n v="30.710008191377348"/>
    <n v="1.2576143694971798"/>
    <n v="0.95"/>
    <n v="0.89964312426775084"/>
    <n v="28.925581864127"/>
    <n v="32.505934667489903"/>
    <n v="18.519681455649799"/>
    <n v="58.876806417318797"/>
    <n v="67"/>
    <n v="0.89964312426775084"/>
    <n v="10"/>
    <n v="1"/>
  </r>
  <r>
    <x v="0"/>
    <s v="2023-04-26 17:43:28"/>
    <n v="1"/>
    <x v="3"/>
    <x v="3"/>
    <x v="0"/>
    <n v="2.4948585582312801"/>
    <n v="2E+20"/>
    <n v="0.45491198832780799"/>
    <n v="7.7109806429363301"/>
    <n v="67"/>
    <s v="Unnamed ProjectcpieTransfer TimeEntity"/>
    <n v="10"/>
    <n v="2.4077000562047193"/>
    <n v="0.16813248169061223"/>
    <n v="0.95"/>
    <n v="0.12027473189536579"/>
    <n v="2.0140315890509899"/>
    <n v="2.55700117291943"/>
    <n v="0.26876574377970303"/>
    <n v="9.9374909967615004"/>
    <n v="67"/>
    <n v="0.12027473189536579"/>
    <n v="10"/>
    <n v="1"/>
  </r>
  <r>
    <x v="0"/>
    <s v="2023-04-26 17:43:28"/>
    <n v="1"/>
    <x v="3"/>
    <x v="4"/>
    <x v="0"/>
    <n v="24.909369606216099"/>
    <n v="2E+20"/>
    <n v="16.257098373866601"/>
    <n v="33.5975364855748"/>
    <n v="67"/>
    <s v="Unnamed ProjectcpieVA TimeEntity"/>
    <n v="10"/>
    <n v="25.471029076100852"/>
    <n v="0.63993887194480858"/>
    <n v="0.95"/>
    <n v="0.45778469144479561"/>
    <n v="24.657838117625399"/>
    <n v="26.361767472037901"/>
    <n v="15.8969173608491"/>
    <n v="35.759788120996703"/>
    <n v="67"/>
    <n v="0.45778469144479561"/>
    <n v="10"/>
    <n v="1"/>
  </r>
  <r>
    <x v="0"/>
    <s v="2023-04-26 17:43:28"/>
    <n v="1"/>
    <x v="3"/>
    <x v="5"/>
    <x v="0"/>
    <n v="2.5131962064607101"/>
    <n v="2E+20"/>
    <n v="0"/>
    <n v="17.358811902591"/>
    <n v="67"/>
    <s v="Unnamed ProjectcpieWait TimeEntity"/>
    <n v="10"/>
    <n v="2.8312790590717629"/>
    <n v="1.4213725371455919"/>
    <n v="0.95"/>
    <n v="1.0167886604041443"/>
    <n v="1.12606854775072"/>
    <n v="5.39412105784809"/>
    <n v="0"/>
    <n v="25.526730890480898"/>
    <n v="67"/>
    <n v="1.0167886604041443"/>
    <n v="10"/>
    <n v="1"/>
  </r>
  <r>
    <x v="0"/>
    <s v="2023-04-26 17:43:28"/>
    <n v="2"/>
    <x v="3"/>
    <x v="0"/>
    <x v="0"/>
    <n v="0"/>
    <n v="2E+20"/>
    <n v="0"/>
    <n v="0"/>
    <n v="58"/>
    <s v="Unnamed ProjectcpieNVA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2"/>
    <x v="3"/>
    <x v="1"/>
    <x v="0"/>
    <n v="0"/>
    <n v="2E+20"/>
    <n v="0"/>
    <n v="0"/>
    <n v="58"/>
    <s v="Unnamed ProjectcpieOther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2"/>
    <x v="3"/>
    <x v="2"/>
    <x v="0"/>
    <n v="31.337290237550501"/>
    <n v="2E+20"/>
    <n v="19.286341318116001"/>
    <n v="55.431160343408401"/>
    <n v="58"/>
    <s v="Unnamed ProjectcpieTotal TimeEntity"/>
    <n v="10"/>
    <n v="30.710008191377348"/>
    <n v="1.2576143694971798"/>
    <n v="0.95"/>
    <n v="0.89964312426775084"/>
    <n v="28.925581864127"/>
    <n v="32.505934667489903"/>
    <n v="18.519681455649799"/>
    <n v="58.876806417318797"/>
    <n v="67"/>
    <n v="0.89964312426775084"/>
    <n v="10"/>
    <n v="1"/>
  </r>
  <r>
    <x v="0"/>
    <s v="2023-04-26 17:43:28"/>
    <n v="2"/>
    <x v="3"/>
    <x v="3"/>
    <x v="0"/>
    <n v="2.55700117291943"/>
    <n v="2E+20"/>
    <n v="0.55467395525872099"/>
    <n v="5.7559803083062899"/>
    <n v="58"/>
    <s v="Unnamed ProjectcpieTransfer TimeEntity"/>
    <n v="10"/>
    <n v="2.4077000562047193"/>
    <n v="0.16813248169061223"/>
    <n v="0.95"/>
    <n v="0.12027473189536579"/>
    <n v="2.0140315890509899"/>
    <n v="2.55700117291943"/>
    <n v="0.26876574377970303"/>
    <n v="9.9374909967615004"/>
    <n v="67"/>
    <n v="0.12027473189536579"/>
    <n v="10"/>
    <n v="1"/>
  </r>
  <r>
    <x v="0"/>
    <s v="2023-04-26 17:43:28"/>
    <n v="2"/>
    <x v="3"/>
    <x v="4"/>
    <x v="0"/>
    <n v="26.2588536879177"/>
    <n v="2E+20"/>
    <n v="16.337796448174299"/>
    <n v="34.981498918114902"/>
    <n v="58"/>
    <s v="Unnamed ProjectcpieVA TimeEntity"/>
    <n v="10"/>
    <n v="25.471029076100852"/>
    <n v="0.63993887194480858"/>
    <n v="0.95"/>
    <n v="0.45778469144479561"/>
    <n v="24.657838117625399"/>
    <n v="26.361767472037901"/>
    <n v="15.8969173608491"/>
    <n v="35.759788120996703"/>
    <n v="67"/>
    <n v="0.45778469144479561"/>
    <n v="10"/>
    <n v="1"/>
  </r>
  <r>
    <x v="0"/>
    <s v="2023-04-26 17:43:28"/>
    <n v="2"/>
    <x v="3"/>
    <x v="5"/>
    <x v="0"/>
    <n v="2.5214353767134199"/>
    <n v="2E+20"/>
    <n v="0"/>
    <n v="25.448315510424599"/>
    <n v="58"/>
    <s v="Unnamed ProjectcpieWait TimeEntity"/>
    <n v="10"/>
    <n v="2.8312790590717629"/>
    <n v="1.4213725371455919"/>
    <n v="0.95"/>
    <n v="1.0167886604041443"/>
    <n v="1.12606854775072"/>
    <n v="5.39412105784809"/>
    <n v="0"/>
    <n v="25.526730890480898"/>
    <n v="67"/>
    <n v="1.0167886604041443"/>
    <n v="10"/>
    <n v="1"/>
  </r>
  <r>
    <x v="0"/>
    <s v="2023-04-26 17:43:28"/>
    <n v="3"/>
    <x v="3"/>
    <x v="0"/>
    <x v="0"/>
    <n v="0"/>
    <n v="2E+20"/>
    <n v="0"/>
    <n v="0"/>
    <n v="65"/>
    <s v="Unnamed ProjectcpieNVA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3"/>
    <x v="3"/>
    <x v="1"/>
    <x v="0"/>
    <n v="0"/>
    <n v="2E+20"/>
    <n v="0"/>
    <n v="0"/>
    <n v="65"/>
    <s v="Unnamed ProjectcpieOther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3"/>
    <x v="3"/>
    <x v="2"/>
    <x v="0"/>
    <n v="28.925581864127"/>
    <n v="2E+20"/>
    <n v="20.1583872533879"/>
    <n v="41.033535776343399"/>
    <n v="65"/>
    <s v="Unnamed ProjectcpieTotal TimeEntity"/>
    <n v="10"/>
    <n v="30.710008191377348"/>
    <n v="1.2576143694971798"/>
    <n v="0.95"/>
    <n v="0.89964312426775084"/>
    <n v="28.925581864127"/>
    <n v="32.505934667489903"/>
    <n v="18.519681455649799"/>
    <n v="58.876806417318797"/>
    <n v="67"/>
    <n v="0.89964312426775084"/>
    <n v="10"/>
    <n v="1"/>
  </r>
  <r>
    <x v="0"/>
    <s v="2023-04-26 17:43:28"/>
    <n v="3"/>
    <x v="3"/>
    <x v="3"/>
    <x v="0"/>
    <n v="2.5259342685933701"/>
    <n v="2E+20"/>
    <n v="0.67716343737825502"/>
    <n v="7.4810076286008096"/>
    <n v="65"/>
    <s v="Unnamed ProjectcpieTransfer TimeEntity"/>
    <n v="10"/>
    <n v="2.4077000562047193"/>
    <n v="0.16813248169061223"/>
    <n v="0.95"/>
    <n v="0.12027473189536579"/>
    <n v="2.0140315890509899"/>
    <n v="2.55700117291943"/>
    <n v="0.26876574377970303"/>
    <n v="9.9374909967615004"/>
    <n v="67"/>
    <n v="0.12027473189536579"/>
    <n v="10"/>
    <n v="1"/>
  </r>
  <r>
    <x v="0"/>
    <s v="2023-04-26 17:43:28"/>
    <n v="3"/>
    <x v="3"/>
    <x v="4"/>
    <x v="0"/>
    <n v="25.273579047782899"/>
    <n v="2E+20"/>
    <n v="17.927187628669301"/>
    <n v="35.759788120996703"/>
    <n v="65"/>
    <s v="Unnamed ProjectcpieVA TimeEntity"/>
    <n v="10"/>
    <n v="25.471029076100852"/>
    <n v="0.63993887194480858"/>
    <n v="0.95"/>
    <n v="0.45778469144479561"/>
    <n v="24.657838117625399"/>
    <n v="26.361767472037901"/>
    <n v="15.8969173608491"/>
    <n v="35.759788120996703"/>
    <n v="67"/>
    <n v="0.45778469144479561"/>
    <n v="10"/>
    <n v="1"/>
  </r>
  <r>
    <x v="0"/>
    <s v="2023-04-26 17:43:28"/>
    <n v="3"/>
    <x v="3"/>
    <x v="5"/>
    <x v="0"/>
    <n v="1.12606854775072"/>
    <n v="2E+20"/>
    <n v="0"/>
    <n v="14.4420263081391"/>
    <n v="65"/>
    <s v="Unnamed ProjectcpieWait TimeEntity"/>
    <n v="10"/>
    <n v="2.8312790590717629"/>
    <n v="1.4213725371455919"/>
    <n v="0.95"/>
    <n v="1.0167886604041443"/>
    <n v="1.12606854775072"/>
    <n v="5.39412105784809"/>
    <n v="0"/>
    <n v="25.526730890480898"/>
    <n v="67"/>
    <n v="1.0167886604041443"/>
    <n v="10"/>
    <n v="1"/>
  </r>
  <r>
    <x v="0"/>
    <s v="2023-04-26 17:43:28"/>
    <n v="4"/>
    <x v="3"/>
    <x v="0"/>
    <x v="0"/>
    <n v="0"/>
    <n v="2E+20"/>
    <n v="0"/>
    <n v="0"/>
    <n v="59"/>
    <s v="Unnamed ProjectcpieNVA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4"/>
    <x v="3"/>
    <x v="1"/>
    <x v="0"/>
    <n v="0"/>
    <n v="2E+20"/>
    <n v="0"/>
    <n v="0"/>
    <n v="59"/>
    <s v="Unnamed ProjectcpieOther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4"/>
    <x v="3"/>
    <x v="2"/>
    <x v="0"/>
    <n v="29.364060732002599"/>
    <n v="2E+20"/>
    <n v="18.519681455649799"/>
    <n v="51.770639481383"/>
    <n v="59"/>
    <s v="Unnamed ProjectcpieTotal TimeEntity"/>
    <n v="10"/>
    <n v="30.710008191377348"/>
    <n v="1.2576143694971798"/>
    <n v="0.95"/>
    <n v="0.89964312426775084"/>
    <n v="28.925581864127"/>
    <n v="32.505934667489903"/>
    <n v="18.519681455649799"/>
    <n v="58.876806417318797"/>
    <n v="67"/>
    <n v="0.89964312426775084"/>
    <n v="10"/>
    <n v="1"/>
  </r>
  <r>
    <x v="0"/>
    <s v="2023-04-26 17:43:28"/>
    <n v="4"/>
    <x v="3"/>
    <x v="3"/>
    <x v="0"/>
    <n v="2.53787602727262"/>
    <n v="2E+20"/>
    <n v="0.67899882304027404"/>
    <n v="6.3509827948423103"/>
    <n v="59"/>
    <s v="Unnamed ProjectcpieTransfer TimeEntity"/>
    <n v="10"/>
    <n v="2.4077000562047193"/>
    <n v="0.16813248169061223"/>
    <n v="0.95"/>
    <n v="0.12027473189536579"/>
    <n v="2.0140315890509899"/>
    <n v="2.55700117291943"/>
    <n v="0.26876574377970303"/>
    <n v="9.9374909967615004"/>
    <n v="67"/>
    <n v="0.12027473189536579"/>
    <n v="10"/>
    <n v="1"/>
  </r>
  <r>
    <x v="0"/>
    <s v="2023-04-26 17:43:28"/>
    <n v="4"/>
    <x v="3"/>
    <x v="4"/>
    <x v="0"/>
    <n v="24.709036046729199"/>
    <n v="2E+20"/>
    <n v="16.0979878878981"/>
    <n v="34.325487444021803"/>
    <n v="59"/>
    <s v="Unnamed ProjectcpieVA TimeEntity"/>
    <n v="10"/>
    <n v="25.471029076100852"/>
    <n v="0.63993887194480858"/>
    <n v="0.95"/>
    <n v="0.45778469144479561"/>
    <n v="24.657838117625399"/>
    <n v="26.361767472037901"/>
    <n v="15.8969173608491"/>
    <n v="35.759788120996703"/>
    <n v="67"/>
    <n v="0.45778469144479561"/>
    <n v="10"/>
    <n v="1"/>
  </r>
  <r>
    <x v="0"/>
    <s v="2023-04-26 17:43:28"/>
    <n v="4"/>
    <x v="3"/>
    <x v="5"/>
    <x v="0"/>
    <n v="2.1171486580007"/>
    <n v="2E+20"/>
    <n v="0"/>
    <n v="23.4465171005745"/>
    <n v="59"/>
    <s v="Unnamed ProjectcpieWait TimeEntity"/>
    <n v="10"/>
    <n v="2.8312790590717629"/>
    <n v="1.4213725371455919"/>
    <n v="0.95"/>
    <n v="1.0167886604041443"/>
    <n v="1.12606854775072"/>
    <n v="5.39412105784809"/>
    <n v="0"/>
    <n v="25.526730890480898"/>
    <n v="67"/>
    <n v="1.0167886604041443"/>
    <n v="10"/>
    <n v="1"/>
  </r>
  <r>
    <x v="0"/>
    <s v="2023-04-26 17:43:28"/>
    <n v="5"/>
    <x v="3"/>
    <x v="0"/>
    <x v="0"/>
    <n v="0"/>
    <n v="2E+20"/>
    <n v="0"/>
    <n v="0"/>
    <n v="67"/>
    <s v="Unnamed ProjectcpieNVA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5"/>
    <x v="3"/>
    <x v="1"/>
    <x v="0"/>
    <n v="0"/>
    <n v="2E+20"/>
    <n v="0"/>
    <n v="0"/>
    <n v="67"/>
    <s v="Unnamed ProjectcpieOther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5"/>
    <x v="3"/>
    <x v="2"/>
    <x v="0"/>
    <n v="32.023633285685101"/>
    <n v="2E+20"/>
    <n v="19.384859814781699"/>
    <n v="47.883719896699297"/>
    <n v="67"/>
    <s v="Unnamed ProjectcpieTotal TimeEntity"/>
    <n v="10"/>
    <n v="30.710008191377348"/>
    <n v="1.2576143694971798"/>
    <n v="0.95"/>
    <n v="0.89964312426775084"/>
    <n v="28.925581864127"/>
    <n v="32.505934667489903"/>
    <n v="18.519681455649799"/>
    <n v="58.876806417318797"/>
    <n v="67"/>
    <n v="0.89964312426775084"/>
    <n v="10"/>
    <n v="1"/>
  </r>
  <r>
    <x v="0"/>
    <s v="2023-04-26 17:43:28"/>
    <n v="5"/>
    <x v="3"/>
    <x v="3"/>
    <x v="0"/>
    <n v="2.3168968034575999"/>
    <n v="2E+20"/>
    <n v="0.40153899415037098"/>
    <n v="9.9374909967615004"/>
    <n v="67"/>
    <s v="Unnamed ProjectcpieTransfer TimeEntity"/>
    <n v="10"/>
    <n v="2.4077000562047193"/>
    <n v="0.16813248169061223"/>
    <n v="0.95"/>
    <n v="0.12027473189536579"/>
    <n v="2.0140315890509899"/>
    <n v="2.55700117291943"/>
    <n v="0.26876574377970303"/>
    <n v="9.9374909967615004"/>
    <n v="67"/>
    <n v="0.12027473189536579"/>
    <n v="10"/>
    <n v="1"/>
  </r>
  <r>
    <x v="0"/>
    <s v="2023-04-26 17:43:28"/>
    <n v="5"/>
    <x v="3"/>
    <x v="4"/>
    <x v="0"/>
    <n v="25.639454116837499"/>
    <n v="2E+20"/>
    <n v="17.820190674194301"/>
    <n v="32.466168493243103"/>
    <n v="67"/>
    <s v="Unnamed ProjectcpieVA TimeEntity"/>
    <n v="10"/>
    <n v="25.471029076100852"/>
    <n v="0.63993887194480858"/>
    <n v="0.95"/>
    <n v="0.45778469144479561"/>
    <n v="24.657838117625399"/>
    <n v="26.361767472037901"/>
    <n v="15.8969173608491"/>
    <n v="35.759788120996703"/>
    <n v="67"/>
    <n v="0.45778469144479561"/>
    <n v="10"/>
    <n v="1"/>
  </r>
  <r>
    <x v="0"/>
    <s v="2023-04-26 17:43:28"/>
    <n v="5"/>
    <x v="3"/>
    <x v="5"/>
    <x v="0"/>
    <n v="4.0672823653900201"/>
    <n v="2E+20"/>
    <n v="0"/>
    <n v="18.046336168714902"/>
    <n v="67"/>
    <s v="Unnamed ProjectcpieWait TimeEntity"/>
    <n v="10"/>
    <n v="2.8312790590717629"/>
    <n v="1.4213725371455919"/>
    <n v="0.95"/>
    <n v="1.0167886604041443"/>
    <n v="1.12606854775072"/>
    <n v="5.39412105784809"/>
    <n v="0"/>
    <n v="25.526730890480898"/>
    <n v="67"/>
    <n v="1.0167886604041443"/>
    <n v="10"/>
    <n v="1"/>
  </r>
  <r>
    <x v="0"/>
    <s v="2023-04-26 17:43:28"/>
    <n v="6"/>
    <x v="3"/>
    <x v="0"/>
    <x v="0"/>
    <n v="0"/>
    <n v="2E+20"/>
    <n v="0"/>
    <n v="0"/>
    <n v="69"/>
    <s v="Unnamed ProjectcpieNVA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6"/>
    <x v="3"/>
    <x v="1"/>
    <x v="0"/>
    <n v="0"/>
    <n v="2E+20"/>
    <n v="0"/>
    <n v="0"/>
    <n v="69"/>
    <s v="Unnamed ProjectcpieOther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6"/>
    <x v="3"/>
    <x v="2"/>
    <x v="0"/>
    <n v="30.527781913080499"/>
    <n v="2E+20"/>
    <n v="20.8152447613733"/>
    <n v="54.704016548049204"/>
    <n v="69"/>
    <s v="Unnamed ProjectcpieTotal TimeEntity"/>
    <n v="10"/>
    <n v="30.710008191377348"/>
    <n v="1.2576143694971798"/>
    <n v="0.95"/>
    <n v="0.89964312426775084"/>
    <n v="28.925581864127"/>
    <n v="32.505934667489903"/>
    <n v="18.519681455649799"/>
    <n v="58.876806417318797"/>
    <n v="67"/>
    <n v="0.89964312426775084"/>
    <n v="10"/>
    <n v="1"/>
  </r>
  <r>
    <x v="0"/>
    <s v="2023-04-26 17:43:28"/>
    <n v="6"/>
    <x v="3"/>
    <x v="3"/>
    <x v="0"/>
    <n v="2.0140315890509899"/>
    <n v="2E+20"/>
    <n v="0.26876574377970303"/>
    <n v="4.95356684514599"/>
    <n v="69"/>
    <s v="Unnamed ProjectcpieTransfer TimeEntity"/>
    <n v="10"/>
    <n v="2.4077000562047193"/>
    <n v="0.16813248169061223"/>
    <n v="0.95"/>
    <n v="0.12027473189536579"/>
    <n v="2.0140315890509899"/>
    <n v="2.55700117291943"/>
    <n v="0.26876574377970303"/>
    <n v="9.9374909967615004"/>
    <n v="67"/>
    <n v="0.12027473189536579"/>
    <n v="10"/>
    <n v="1"/>
  </r>
  <r>
    <x v="0"/>
    <s v="2023-04-26 17:43:28"/>
    <n v="6"/>
    <x v="3"/>
    <x v="4"/>
    <x v="0"/>
    <n v="25.980978591562799"/>
    <n v="2E+20"/>
    <n v="17.3093196255629"/>
    <n v="34.116242985602803"/>
    <n v="69"/>
    <s v="Unnamed ProjectcpieVA TimeEntity"/>
    <n v="10"/>
    <n v="25.471029076100852"/>
    <n v="0.63993887194480858"/>
    <n v="0.95"/>
    <n v="0.45778469144479561"/>
    <n v="24.657838117625399"/>
    <n v="26.361767472037901"/>
    <n v="15.8969173608491"/>
    <n v="35.759788120996703"/>
    <n v="67"/>
    <n v="0.45778469144479561"/>
    <n v="10"/>
    <n v="1"/>
  </r>
  <r>
    <x v="0"/>
    <s v="2023-04-26 17:43:28"/>
    <n v="6"/>
    <x v="3"/>
    <x v="5"/>
    <x v="0"/>
    <n v="2.5327717324666099"/>
    <n v="2E+20"/>
    <n v="0"/>
    <n v="21.230765671533099"/>
    <n v="69"/>
    <s v="Unnamed ProjectcpieWait TimeEntity"/>
    <n v="10"/>
    <n v="2.8312790590717629"/>
    <n v="1.4213725371455919"/>
    <n v="0.95"/>
    <n v="1.0167886604041443"/>
    <n v="1.12606854775072"/>
    <n v="5.39412105784809"/>
    <n v="0"/>
    <n v="25.526730890480898"/>
    <n v="67"/>
    <n v="1.0167886604041443"/>
    <n v="10"/>
    <n v="1"/>
  </r>
  <r>
    <x v="0"/>
    <s v="2023-04-26 17:43:28"/>
    <n v="7"/>
    <x v="3"/>
    <x v="0"/>
    <x v="0"/>
    <n v="0"/>
    <n v="2E+20"/>
    <n v="0"/>
    <n v="0"/>
    <n v="67"/>
    <s v="Unnamed ProjectcpieNVA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7"/>
    <x v="3"/>
    <x v="1"/>
    <x v="0"/>
    <n v="0"/>
    <n v="2E+20"/>
    <n v="0"/>
    <n v="0"/>
    <n v="67"/>
    <s v="Unnamed ProjectcpieOther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7"/>
    <x v="3"/>
    <x v="2"/>
    <x v="0"/>
    <n v="30.378524939216401"/>
    <n v="2E+20"/>
    <n v="20.871327774422902"/>
    <n v="50.860776250669304"/>
    <n v="67"/>
    <s v="Unnamed ProjectcpieTotal TimeEntity"/>
    <n v="10"/>
    <n v="30.710008191377348"/>
    <n v="1.2576143694971798"/>
    <n v="0.95"/>
    <n v="0.89964312426775084"/>
    <n v="28.925581864127"/>
    <n v="32.505934667489903"/>
    <n v="18.519681455649799"/>
    <n v="58.876806417318797"/>
    <n v="67"/>
    <n v="0.89964312426775084"/>
    <n v="10"/>
    <n v="1"/>
  </r>
  <r>
    <x v="0"/>
    <s v="2023-04-26 17:43:28"/>
    <n v="7"/>
    <x v="3"/>
    <x v="3"/>
    <x v="0"/>
    <n v="2.2752718545986501"/>
    <n v="2E+20"/>
    <n v="0.61932084987915903"/>
    <n v="5.6131335015737003"/>
    <n v="67"/>
    <s v="Unnamed ProjectcpieTransfer TimeEntity"/>
    <n v="10"/>
    <n v="2.4077000562047193"/>
    <n v="0.16813248169061223"/>
    <n v="0.95"/>
    <n v="0.12027473189536579"/>
    <n v="2.0140315890509899"/>
    <n v="2.55700117291943"/>
    <n v="0.26876574377970303"/>
    <n v="9.9374909967615004"/>
    <n v="67"/>
    <n v="0.12027473189536579"/>
    <n v="10"/>
    <n v="1"/>
  </r>
  <r>
    <x v="0"/>
    <s v="2023-04-26 17:43:28"/>
    <n v="7"/>
    <x v="3"/>
    <x v="4"/>
    <x v="0"/>
    <n v="26.361767472037901"/>
    <n v="2E+20"/>
    <n v="17.709105136584299"/>
    <n v="35.433669609503298"/>
    <n v="67"/>
    <s v="Unnamed ProjectcpieVA TimeEntity"/>
    <n v="10"/>
    <n v="25.471029076100852"/>
    <n v="0.63993887194480858"/>
    <n v="0.95"/>
    <n v="0.45778469144479561"/>
    <n v="24.657838117625399"/>
    <n v="26.361767472037901"/>
    <n v="15.8969173608491"/>
    <n v="35.759788120996703"/>
    <n v="67"/>
    <n v="0.45778469144479561"/>
    <n v="10"/>
    <n v="1"/>
  </r>
  <r>
    <x v="0"/>
    <s v="2023-04-26 17:43:28"/>
    <n v="7"/>
    <x v="3"/>
    <x v="5"/>
    <x v="0"/>
    <n v="1.7414856125798399"/>
    <n v="2E+20"/>
    <n v="0"/>
    <n v="20.440974705602599"/>
    <n v="67"/>
    <s v="Unnamed ProjectcpieWait TimeEntity"/>
    <n v="10"/>
    <n v="2.8312790590717629"/>
    <n v="1.4213725371455919"/>
    <n v="0.95"/>
    <n v="1.0167886604041443"/>
    <n v="1.12606854775072"/>
    <n v="5.39412105784809"/>
    <n v="0"/>
    <n v="25.526730890480898"/>
    <n v="67"/>
    <n v="1.0167886604041443"/>
    <n v="10"/>
    <n v="1"/>
  </r>
  <r>
    <x v="0"/>
    <s v="2023-04-26 17:43:28"/>
    <n v="8"/>
    <x v="3"/>
    <x v="0"/>
    <x v="0"/>
    <n v="0"/>
    <n v="2E+20"/>
    <n v="0"/>
    <n v="0"/>
    <n v="60"/>
    <s v="Unnamed ProjectcpieNVA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8"/>
    <x v="3"/>
    <x v="1"/>
    <x v="0"/>
    <n v="0"/>
    <n v="2E+20"/>
    <n v="0"/>
    <n v="0"/>
    <n v="60"/>
    <s v="Unnamed ProjectcpieOther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8"/>
    <x v="3"/>
    <x v="2"/>
    <x v="0"/>
    <n v="29.860344290729898"/>
    <n v="2E+20"/>
    <n v="19.234663120327099"/>
    <n v="50.413010826269897"/>
    <n v="60"/>
    <s v="Unnamed ProjectcpieTotal TimeEntity"/>
    <n v="10"/>
    <n v="30.710008191377348"/>
    <n v="1.2576143694971798"/>
    <n v="0.95"/>
    <n v="0.89964312426775084"/>
    <n v="28.925581864127"/>
    <n v="32.505934667489903"/>
    <n v="18.519681455649799"/>
    <n v="58.876806417318797"/>
    <n v="67"/>
    <n v="0.89964312426775084"/>
    <n v="10"/>
    <n v="1"/>
  </r>
  <r>
    <x v="0"/>
    <s v="2023-04-26 17:43:28"/>
    <n v="8"/>
    <x v="3"/>
    <x v="3"/>
    <x v="0"/>
    <n v="2.3912959839482402"/>
    <n v="2E+20"/>
    <n v="0.56571502849635602"/>
    <n v="5.5144288768279903"/>
    <n v="60"/>
    <s v="Unnamed ProjectcpieTransfer TimeEntity"/>
    <n v="10"/>
    <n v="2.4077000562047193"/>
    <n v="0.16813248169061223"/>
    <n v="0.95"/>
    <n v="0.12027473189536579"/>
    <n v="2.0140315890509899"/>
    <n v="2.55700117291943"/>
    <n v="0.26876574377970303"/>
    <n v="9.9374909967615004"/>
    <n v="67"/>
    <n v="0.12027473189536579"/>
    <n v="10"/>
    <n v="1"/>
  </r>
  <r>
    <x v="0"/>
    <s v="2023-04-26 17:43:28"/>
    <n v="8"/>
    <x v="3"/>
    <x v="4"/>
    <x v="0"/>
    <n v="25.899355000924398"/>
    <n v="2E+20"/>
    <n v="17.9918209320671"/>
    <n v="34.059327069541403"/>
    <n v="60"/>
    <s v="Unnamed ProjectcpieVA TimeEntity"/>
    <n v="10"/>
    <n v="25.471029076100852"/>
    <n v="0.63993887194480858"/>
    <n v="0.95"/>
    <n v="0.45778469144479561"/>
    <n v="24.657838117625399"/>
    <n v="26.361767472037901"/>
    <n v="15.8969173608491"/>
    <n v="35.759788120996703"/>
    <n v="67"/>
    <n v="0.45778469144479561"/>
    <n v="10"/>
    <n v="1"/>
  </r>
  <r>
    <x v="0"/>
    <s v="2023-04-26 17:43:28"/>
    <n v="8"/>
    <x v="3"/>
    <x v="5"/>
    <x v="0"/>
    <n v="1.5696933058572999"/>
    <n v="2E+20"/>
    <n v="0"/>
    <n v="19.3194649926713"/>
    <n v="60"/>
    <s v="Unnamed ProjectcpieWait TimeEntity"/>
    <n v="10"/>
    <n v="2.8312790590717629"/>
    <n v="1.4213725371455919"/>
    <n v="0.95"/>
    <n v="1.0167886604041443"/>
    <n v="1.12606854775072"/>
    <n v="5.39412105784809"/>
    <n v="0"/>
    <n v="25.526730890480898"/>
    <n v="67"/>
    <n v="1.0167886604041443"/>
    <n v="10"/>
    <n v="1"/>
  </r>
  <r>
    <x v="0"/>
    <s v="2023-04-26 17:43:28"/>
    <n v="9"/>
    <x v="3"/>
    <x v="0"/>
    <x v="0"/>
    <n v="0"/>
    <n v="2E+20"/>
    <n v="0"/>
    <n v="0"/>
    <n v="92"/>
    <s v="Unnamed ProjectcpieNVA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9"/>
    <x v="3"/>
    <x v="1"/>
    <x v="0"/>
    <n v="0"/>
    <n v="2E+20"/>
    <n v="0"/>
    <n v="0"/>
    <n v="92"/>
    <s v="Unnamed ProjectcpieOther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9"/>
    <x v="3"/>
    <x v="2"/>
    <x v="0"/>
    <n v="32.259505612983503"/>
    <n v="2E+20"/>
    <n v="18.834088937050598"/>
    <n v="58.876806417318797"/>
    <n v="92"/>
    <s v="Unnamed ProjectcpieTotal TimeEntity"/>
    <n v="10"/>
    <n v="30.710008191377348"/>
    <n v="1.2576143694971798"/>
    <n v="0.95"/>
    <n v="0.89964312426775084"/>
    <n v="28.925581864127"/>
    <n v="32.505934667489903"/>
    <n v="18.519681455649799"/>
    <n v="58.876806417318797"/>
    <n v="67"/>
    <n v="0.89964312426775084"/>
    <n v="10"/>
    <n v="1"/>
  </r>
  <r>
    <x v="0"/>
    <s v="2023-04-26 17:43:28"/>
    <n v="9"/>
    <x v="3"/>
    <x v="3"/>
    <x v="0"/>
    <n v="2.5098588119586598"/>
    <n v="2E+20"/>
    <n v="0.56498349380007096"/>
    <n v="5.7956378624934404"/>
    <n v="92"/>
    <s v="Unnamed ProjectcpieTransfer TimeEntity"/>
    <n v="10"/>
    <n v="2.4077000562047193"/>
    <n v="0.16813248169061223"/>
    <n v="0.95"/>
    <n v="0.12027473189536579"/>
    <n v="2.0140315890509899"/>
    <n v="2.55700117291943"/>
    <n v="0.26876574377970303"/>
    <n v="9.9374909967615004"/>
    <n v="67"/>
    <n v="0.12027473189536579"/>
    <n v="10"/>
    <n v="1"/>
  </r>
  <r>
    <x v="0"/>
    <s v="2023-04-26 17:43:28"/>
    <n v="9"/>
    <x v="3"/>
    <x v="4"/>
    <x v="0"/>
    <n v="25.0200590733746"/>
    <n v="2E+20"/>
    <n v="15.8969173608491"/>
    <n v="34.441618434594503"/>
    <n v="92"/>
    <s v="Unnamed ProjectcpieVA TimeEntity"/>
    <n v="10"/>
    <n v="25.471029076100852"/>
    <n v="0.63993887194480858"/>
    <n v="0.95"/>
    <n v="0.45778469144479561"/>
    <n v="24.657838117625399"/>
    <n v="26.361767472037901"/>
    <n v="15.8969173608491"/>
    <n v="35.759788120996703"/>
    <n v="67"/>
    <n v="0.45778469144479561"/>
    <n v="10"/>
    <n v="1"/>
  </r>
  <r>
    <x v="0"/>
    <s v="2023-04-26 17:43:28"/>
    <n v="9"/>
    <x v="3"/>
    <x v="5"/>
    <x v="0"/>
    <n v="4.7295877276502196"/>
    <n v="2E+20"/>
    <n v="0"/>
    <n v="25.526730890480898"/>
    <n v="92"/>
    <s v="Unnamed ProjectcpieWait TimeEntity"/>
    <n v="10"/>
    <n v="2.8312790590717629"/>
    <n v="1.4213725371455919"/>
    <n v="0.95"/>
    <n v="1.0167886604041443"/>
    <n v="1.12606854775072"/>
    <n v="5.39412105784809"/>
    <n v="0"/>
    <n v="25.526730890480898"/>
    <n v="67"/>
    <n v="1.0167886604041443"/>
    <n v="10"/>
    <n v="1"/>
  </r>
  <r>
    <x v="0"/>
    <s v="2023-04-26 17:43:28"/>
    <n v="10"/>
    <x v="3"/>
    <x v="0"/>
    <x v="0"/>
    <n v="0"/>
    <n v="2E+20"/>
    <n v="0"/>
    <n v="0"/>
    <n v="66"/>
    <s v="Unnamed ProjectcpieNVA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10"/>
    <x v="3"/>
    <x v="1"/>
    <x v="0"/>
    <n v="0"/>
    <n v="2E+20"/>
    <n v="0"/>
    <n v="0"/>
    <n v="66"/>
    <s v="Unnamed ProjectcpieOther TimeEntity"/>
    <n v="10"/>
    <n v="0"/>
    <n v="0"/>
    <n v="0.95"/>
    <n v="0"/>
    <n v="0"/>
    <n v="0"/>
    <n v="0"/>
    <n v="0"/>
    <n v="67"/>
    <n v="0"/>
    <n v="10"/>
    <n v="1"/>
  </r>
  <r>
    <x v="0"/>
    <s v="2023-04-26 17:43:28"/>
    <n v="10"/>
    <x v="3"/>
    <x v="2"/>
    <x v="0"/>
    <n v="32.505934667489903"/>
    <n v="2E+20"/>
    <n v="21.041192732331702"/>
    <n v="58.182881140125303"/>
    <n v="66"/>
    <s v="Unnamed ProjectcpieTotal TimeEntity"/>
    <n v="10"/>
    <n v="30.710008191377348"/>
    <n v="1.2576143694971798"/>
    <n v="0.95"/>
    <n v="0.89964312426775084"/>
    <n v="28.925581864127"/>
    <n v="32.505934667489903"/>
    <n v="18.519681455649799"/>
    <n v="58.876806417318797"/>
    <n v="67"/>
    <n v="0.89964312426775084"/>
    <n v="10"/>
    <n v="1"/>
  </r>
  <r>
    <x v="0"/>
    <s v="2023-04-26 17:43:28"/>
    <n v="10"/>
    <x v="3"/>
    <x v="3"/>
    <x v="0"/>
    <n v="2.4539754920163501"/>
    <n v="2E+20"/>
    <n v="0.63057251452601504"/>
    <n v="8.5661101285732393"/>
    <n v="66"/>
    <s v="Unnamed ProjectcpieTransfer TimeEntity"/>
    <n v="10"/>
    <n v="2.4077000562047193"/>
    <n v="0.16813248169061223"/>
    <n v="0.95"/>
    <n v="0.12027473189536579"/>
    <n v="2.0140315890509899"/>
    <n v="2.55700117291943"/>
    <n v="0.26876574377970303"/>
    <n v="9.9374909967615004"/>
    <n v="67"/>
    <n v="0.12027473189536579"/>
    <n v="10"/>
    <n v="1"/>
  </r>
  <r>
    <x v="0"/>
    <s v="2023-04-26 17:43:28"/>
    <n v="10"/>
    <x v="3"/>
    <x v="4"/>
    <x v="0"/>
    <n v="24.657838117625399"/>
    <n v="2E+20"/>
    <n v="16.323316741760699"/>
    <n v="32.893398534990801"/>
    <n v="66"/>
    <s v="Unnamed ProjectcpieVA TimeEntity"/>
    <n v="10"/>
    <n v="25.471029076100852"/>
    <n v="0.63993887194480858"/>
    <n v="0.95"/>
    <n v="0.45778469144479561"/>
    <n v="24.657838117625399"/>
    <n v="26.361767472037901"/>
    <n v="15.8969173608491"/>
    <n v="35.759788120996703"/>
    <n v="67"/>
    <n v="0.45778469144479561"/>
    <n v="10"/>
    <n v="1"/>
  </r>
  <r>
    <x v="0"/>
    <s v="2023-04-26 17:43:28"/>
    <n v="10"/>
    <x v="3"/>
    <x v="5"/>
    <x v="0"/>
    <n v="5.39412105784809"/>
    <n v="2E+20"/>
    <n v="0"/>
    <n v="25.4300450577371"/>
    <n v="66"/>
    <s v="Unnamed ProjectcpieWait TimeEntity"/>
    <n v="10"/>
    <n v="2.8312790590717629"/>
    <n v="1.4213725371455919"/>
    <n v="0.95"/>
    <n v="1.0167886604041443"/>
    <n v="1.12606854775072"/>
    <n v="5.39412105784809"/>
    <n v="0"/>
    <n v="25.526730890480898"/>
    <n v="67"/>
    <n v="1.0167886604041443"/>
    <n v="10"/>
    <n v="1"/>
  </r>
  <r>
    <x v="0"/>
    <s v="2023-04-26 17:43:28"/>
    <n v="1"/>
    <x v="4"/>
    <x v="7"/>
    <x v="2"/>
    <n v="31.070068980216998"/>
    <n v="2E+20"/>
    <n v="18.004440220051698"/>
    <n v="50.906211260051201"/>
    <n v="204"/>
    <s v="Unnamed ProjectIntervaloIntervalUser Specified"/>
    <n v="10"/>
    <n v="32.16980212320518"/>
    <n v="1.5026667439362524"/>
    <n v="0.95"/>
    <n v="1.0749430326472504"/>
    <n v="29.816383413619299"/>
    <n v="34.496974950564898"/>
    <n v="16.9612949634746"/>
    <n v="60.085510848846901"/>
    <n v="190.4"/>
    <n v="1.0749430326472504"/>
    <n v="10"/>
    <n v="1"/>
  </r>
  <r>
    <x v="0"/>
    <s v="2023-04-26 17:43:28"/>
    <n v="2"/>
    <x v="4"/>
    <x v="7"/>
    <x v="2"/>
    <n v="31.648224990445101"/>
    <n v="2E+20"/>
    <n v="16.9612949634746"/>
    <n v="56.9011641063124"/>
    <n v="182"/>
    <s v="Unnamed ProjectIntervaloIntervalUser Specified"/>
    <n v="10"/>
    <n v="32.16980212320518"/>
    <n v="1.5026667439362524"/>
    <n v="0.95"/>
    <n v="1.0749430326472504"/>
    <n v="29.816383413619299"/>
    <n v="34.496974950564898"/>
    <n v="16.9612949634746"/>
    <n v="60.085510848846901"/>
    <n v="190.4"/>
    <n v="1.0749430326472504"/>
    <n v="10"/>
    <n v="1"/>
  </r>
  <r>
    <x v="0"/>
    <s v="2023-04-26 17:43:28"/>
    <n v="3"/>
    <x v="4"/>
    <x v="7"/>
    <x v="2"/>
    <n v="29.816383413619299"/>
    <n v="2E+20"/>
    <n v="19.3400259068592"/>
    <n v="49.927750451978099"/>
    <n v="183"/>
    <s v="Unnamed ProjectIntervaloIntervalUser Specified"/>
    <n v="10"/>
    <n v="32.16980212320518"/>
    <n v="1.5026667439362524"/>
    <n v="0.95"/>
    <n v="1.0749430326472504"/>
    <n v="29.816383413619299"/>
    <n v="34.496974950564898"/>
    <n v="16.9612949634746"/>
    <n v="60.085510848846901"/>
    <n v="190.4"/>
    <n v="1.0749430326472504"/>
    <n v="10"/>
    <n v="1"/>
  </r>
  <r>
    <x v="0"/>
    <s v="2023-04-26 17:43:28"/>
    <n v="4"/>
    <x v="4"/>
    <x v="7"/>
    <x v="2"/>
    <n v="31.0639382706532"/>
    <n v="2E+20"/>
    <n v="18.519681455649799"/>
    <n v="54.111347046278098"/>
    <n v="180"/>
    <s v="Unnamed ProjectIntervaloIntervalUser Specified"/>
    <n v="10"/>
    <n v="32.16980212320518"/>
    <n v="1.5026667439362524"/>
    <n v="0.95"/>
    <n v="1.0749430326472504"/>
    <n v="29.816383413619299"/>
    <n v="34.496974950564898"/>
    <n v="16.9612949634746"/>
    <n v="60.085510848846901"/>
    <n v="190.4"/>
    <n v="1.0749430326472504"/>
    <n v="10"/>
    <n v="1"/>
  </r>
  <r>
    <x v="0"/>
    <s v="2023-04-26 17:43:28"/>
    <n v="5"/>
    <x v="4"/>
    <x v="7"/>
    <x v="2"/>
    <n v="33.409034009018697"/>
    <n v="2E+20"/>
    <n v="18.084302520493001"/>
    <n v="55.6917325795621"/>
    <n v="198"/>
    <s v="Unnamed ProjectIntervaloIntervalUser Specified"/>
    <n v="10"/>
    <n v="32.16980212320518"/>
    <n v="1.5026667439362524"/>
    <n v="0.95"/>
    <n v="1.0749430326472504"/>
    <n v="29.816383413619299"/>
    <n v="34.496974950564898"/>
    <n v="16.9612949634746"/>
    <n v="60.085510848846901"/>
    <n v="190.4"/>
    <n v="1.0749430326472504"/>
    <n v="10"/>
    <n v="1"/>
  </r>
  <r>
    <x v="0"/>
    <s v="2023-04-26 17:43:28"/>
    <n v="6"/>
    <x v="4"/>
    <x v="7"/>
    <x v="2"/>
    <n v="32.459709296626102"/>
    <n v="2E+20"/>
    <n v="17.1645142804181"/>
    <n v="56.724274024402902"/>
    <n v="199"/>
    <s v="Unnamed ProjectIntervaloIntervalUser Specified"/>
    <n v="10"/>
    <n v="32.16980212320518"/>
    <n v="1.5026667439362524"/>
    <n v="0.95"/>
    <n v="1.0749430326472504"/>
    <n v="29.816383413619299"/>
    <n v="34.496974950564898"/>
    <n v="16.9612949634746"/>
    <n v="60.085510848846901"/>
    <n v="190.4"/>
    <n v="1.0749430326472504"/>
    <n v="10"/>
    <n v="1"/>
  </r>
  <r>
    <x v="0"/>
    <s v="2023-04-26 17:43:28"/>
    <n v="7"/>
    <x v="4"/>
    <x v="7"/>
    <x v="2"/>
    <n v="31.7439812790149"/>
    <n v="2E+20"/>
    <n v="20.871327774422902"/>
    <n v="53.190125922723396"/>
    <n v="200"/>
    <s v="Unnamed ProjectIntervaloIntervalUser Specified"/>
    <n v="10"/>
    <n v="32.16980212320518"/>
    <n v="1.5026667439362524"/>
    <n v="0.95"/>
    <n v="1.0749430326472504"/>
    <n v="29.816383413619299"/>
    <n v="34.496974950564898"/>
    <n v="16.9612949634746"/>
    <n v="60.085510848846901"/>
    <n v="190.4"/>
    <n v="1.0749430326472504"/>
    <n v="10"/>
    <n v="1"/>
  </r>
  <r>
    <x v="0"/>
    <s v="2023-04-26 17:43:28"/>
    <n v="8"/>
    <x v="4"/>
    <x v="7"/>
    <x v="2"/>
    <n v="31.6718111938902"/>
    <n v="2E+20"/>
    <n v="19.2230606975303"/>
    <n v="54.881721659379402"/>
    <n v="167"/>
    <s v="Unnamed ProjectIntervaloIntervalUser Specified"/>
    <n v="10"/>
    <n v="32.16980212320518"/>
    <n v="1.5026667439362524"/>
    <n v="0.95"/>
    <n v="1.0749430326472504"/>
    <n v="29.816383413619299"/>
    <n v="34.496974950564898"/>
    <n v="16.9612949634746"/>
    <n v="60.085510848846901"/>
    <n v="190.4"/>
    <n v="1.0749430326472504"/>
    <n v="10"/>
    <n v="1"/>
  </r>
  <r>
    <x v="0"/>
    <s v="2023-04-26 17:43:28"/>
    <n v="9"/>
    <x v="4"/>
    <x v="7"/>
    <x v="2"/>
    <n v="34.496974950564898"/>
    <n v="2E+20"/>
    <n v="18.834088937050598"/>
    <n v="58.876806417318797"/>
    <n v="201"/>
    <s v="Unnamed ProjectIntervaloIntervalUser Specified"/>
    <n v="10"/>
    <n v="32.16980212320518"/>
    <n v="1.5026667439362524"/>
    <n v="0.95"/>
    <n v="1.0749430326472504"/>
    <n v="29.816383413619299"/>
    <n v="34.496974950564898"/>
    <n v="16.9612949634746"/>
    <n v="60.085510848846901"/>
    <n v="190.4"/>
    <n v="1.0749430326472504"/>
    <n v="10"/>
    <n v="1"/>
  </r>
  <r>
    <x v="0"/>
    <s v="2023-04-26 17:43:28"/>
    <n v="10"/>
    <x v="4"/>
    <x v="7"/>
    <x v="2"/>
    <n v="34.317894848002403"/>
    <n v="2E+20"/>
    <n v="19.362190664085801"/>
    <n v="60.085510848846901"/>
    <n v="190"/>
    <s v="Unnamed ProjectIntervaloIntervalUser Specified"/>
    <n v="10"/>
    <n v="32.16980212320518"/>
    <n v="1.5026667439362524"/>
    <n v="0.95"/>
    <n v="1.0749430326472504"/>
    <n v="29.816383413619299"/>
    <n v="34.496974950564898"/>
    <n v="16.9612949634746"/>
    <n v="60.085510848846901"/>
    <n v="190.4"/>
    <n v="1.0749430326472504"/>
    <n v="10"/>
    <n v="1"/>
  </r>
  <r>
    <x v="0"/>
    <s v="2023-04-26 17:43:28"/>
    <n v="1"/>
    <x v="5"/>
    <x v="6"/>
    <x v="1"/>
    <n v="3.0954418553948702"/>
    <n v="2E+20"/>
    <n v="0"/>
    <n v="19.675047299443602"/>
    <n v="230"/>
    <s v="Unnamed ProjectPedidosCobros.QueueWaiting TimeQueue"/>
    <n v="10"/>
    <n v="3.8298527546690715"/>
    <n v="1.3688445831849239"/>
    <n v="0.95"/>
    <n v="0.97921242578187129"/>
    <n v="1.72656470058578"/>
    <n v="5.7675146164842701"/>
    <n v="0"/>
    <n v="25.3173495921314"/>
    <n v="213.2"/>
    <n v="0.97921242578187129"/>
    <n v="10"/>
    <n v="1"/>
  </r>
  <r>
    <x v="0"/>
    <s v="2023-04-26 17:43:28"/>
    <n v="2"/>
    <x v="5"/>
    <x v="6"/>
    <x v="1"/>
    <n v="3.28286660259353"/>
    <n v="2E+20"/>
    <n v="0"/>
    <n v="24.389606472168101"/>
    <n v="198"/>
    <s v="Unnamed ProjectPedidosCobros.QueueWaiting TimeQueue"/>
    <n v="10"/>
    <n v="3.8298527546690715"/>
    <n v="1.3688445831849239"/>
    <n v="0.95"/>
    <n v="0.97921242578187129"/>
    <n v="1.72656470058578"/>
    <n v="5.7675146164842701"/>
    <n v="0"/>
    <n v="25.3173495921314"/>
    <n v="213.2"/>
    <n v="0.97921242578187129"/>
    <n v="10"/>
    <n v="1"/>
  </r>
  <r>
    <x v="0"/>
    <s v="2023-04-26 17:43:28"/>
    <n v="3"/>
    <x v="5"/>
    <x v="6"/>
    <x v="1"/>
    <n v="1.72656470058578"/>
    <n v="2E+20"/>
    <n v="0"/>
    <n v="16.8161544952162"/>
    <n v="200"/>
    <s v="Unnamed ProjectPedidosCobros.QueueWaiting TimeQueue"/>
    <n v="10"/>
    <n v="3.8298527546690715"/>
    <n v="1.3688445831849239"/>
    <n v="0.95"/>
    <n v="0.97921242578187129"/>
    <n v="1.72656470058578"/>
    <n v="5.7675146164842701"/>
    <n v="0"/>
    <n v="25.3173495921314"/>
    <n v="213.2"/>
    <n v="0.97921242578187129"/>
    <n v="10"/>
    <n v="1"/>
  </r>
  <r>
    <x v="0"/>
    <s v="2023-04-26 17:43:28"/>
    <n v="4"/>
    <x v="5"/>
    <x v="6"/>
    <x v="1"/>
    <n v="4.6452167055180498"/>
    <n v="2E+20"/>
    <n v="0"/>
    <n v="23.4465171005745"/>
    <n v="223"/>
    <s v="Unnamed ProjectPedidosCobros.QueueWaiting TimeQueue"/>
    <n v="10"/>
    <n v="3.8298527546690715"/>
    <n v="1.3688445831849239"/>
    <n v="0.95"/>
    <n v="0.97921242578187129"/>
    <n v="1.72656470058578"/>
    <n v="5.7675146164842701"/>
    <n v="0"/>
    <n v="25.3173495921314"/>
    <n v="213.2"/>
    <n v="0.97921242578187129"/>
    <n v="10"/>
    <n v="1"/>
  </r>
  <r>
    <x v="0"/>
    <s v="2023-04-26 17:43:28"/>
    <n v="5"/>
    <x v="5"/>
    <x v="6"/>
    <x v="1"/>
    <n v="4.8450487286322499"/>
    <n v="2E+20"/>
    <n v="0"/>
    <n v="21.322772698060799"/>
    <n v="209"/>
    <s v="Unnamed ProjectPedidosCobros.QueueWaiting TimeQueue"/>
    <n v="10"/>
    <n v="3.8298527546690715"/>
    <n v="1.3688445831849239"/>
    <n v="0.95"/>
    <n v="0.97921242578187129"/>
    <n v="1.72656470058578"/>
    <n v="5.7675146164842701"/>
    <n v="0"/>
    <n v="25.3173495921314"/>
    <n v="213.2"/>
    <n v="0.97921242578187129"/>
    <n v="10"/>
    <n v="1"/>
  </r>
  <r>
    <x v="0"/>
    <s v="2023-04-26 17:43:28"/>
    <n v="6"/>
    <x v="5"/>
    <x v="6"/>
    <x v="1"/>
    <n v="4.0648975781301804"/>
    <n v="2E+20"/>
    <n v="0"/>
    <n v="21.0616747577849"/>
    <n v="235"/>
    <s v="Unnamed ProjectPedidosCobros.QueueWaiting TimeQueue"/>
    <n v="10"/>
    <n v="3.8298527546690715"/>
    <n v="1.3688445831849239"/>
    <n v="0.95"/>
    <n v="0.97921242578187129"/>
    <n v="1.72656470058578"/>
    <n v="5.7675146164842701"/>
    <n v="0"/>
    <n v="25.3173495921314"/>
    <n v="213.2"/>
    <n v="0.97921242578187129"/>
    <n v="10"/>
    <n v="1"/>
  </r>
  <r>
    <x v="0"/>
    <s v="2023-04-26 17:43:28"/>
    <n v="7"/>
    <x v="5"/>
    <x v="6"/>
    <x v="1"/>
    <n v="2.5467366936576101"/>
    <n v="2E+20"/>
    <n v="0"/>
    <n v="18.941118150872001"/>
    <n v="220"/>
    <s v="Unnamed ProjectPedidosCobros.QueueWaiting TimeQueue"/>
    <n v="10"/>
    <n v="3.8298527546690715"/>
    <n v="1.3688445831849239"/>
    <n v="0.95"/>
    <n v="0.97921242578187129"/>
    <n v="1.72656470058578"/>
    <n v="5.7675146164842701"/>
    <n v="0"/>
    <n v="25.3173495921314"/>
    <n v="213.2"/>
    <n v="0.97921242578187129"/>
    <n v="10"/>
    <n v="1"/>
  </r>
  <r>
    <x v="0"/>
    <s v="2023-04-26 17:43:28"/>
    <n v="8"/>
    <x v="5"/>
    <x v="6"/>
    <x v="1"/>
    <n v="2.7080163800316401"/>
    <n v="2E+20"/>
    <n v="0"/>
    <n v="20.094523828811099"/>
    <n v="190"/>
    <s v="Unnamed ProjectPedidosCobros.QueueWaiting TimeQueue"/>
    <n v="10"/>
    <n v="3.8298527546690715"/>
    <n v="1.3688445831849239"/>
    <n v="0.95"/>
    <n v="0.97921242578187129"/>
    <n v="1.72656470058578"/>
    <n v="5.7675146164842701"/>
    <n v="0"/>
    <n v="25.3173495921314"/>
    <n v="213.2"/>
    <n v="0.97921242578187129"/>
    <n v="10"/>
    <n v="1"/>
  </r>
  <r>
    <x v="0"/>
    <s v="2023-04-26 17:43:28"/>
    <n v="9"/>
    <x v="5"/>
    <x v="6"/>
    <x v="1"/>
    <n v="5.6162236856625301"/>
    <n v="2E+20"/>
    <n v="0"/>
    <n v="24.4439729805197"/>
    <n v="226"/>
    <s v="Unnamed ProjectPedidosCobros.QueueWaiting TimeQueue"/>
    <n v="10"/>
    <n v="3.8298527546690715"/>
    <n v="1.3688445831849239"/>
    <n v="0.95"/>
    <n v="0.97921242578187129"/>
    <n v="1.72656470058578"/>
    <n v="5.7675146164842701"/>
    <n v="0"/>
    <n v="25.3173495921314"/>
    <n v="213.2"/>
    <n v="0.97921242578187129"/>
    <n v="10"/>
    <n v="1"/>
  </r>
  <r>
    <x v="0"/>
    <s v="2023-04-26 17:43:28"/>
    <n v="10"/>
    <x v="5"/>
    <x v="6"/>
    <x v="1"/>
    <n v="5.7675146164842701"/>
    <n v="2E+20"/>
    <n v="0"/>
    <n v="25.3173495921314"/>
    <n v="201"/>
    <s v="Unnamed ProjectPedidosCobros.QueueWaiting TimeQueue"/>
    <n v="10"/>
    <n v="3.8298527546690715"/>
    <n v="1.3688445831849239"/>
    <n v="0.95"/>
    <n v="0.97921242578187129"/>
    <n v="1.72656470058578"/>
    <n v="5.7675146164842701"/>
    <n v="0"/>
    <n v="25.3173495921314"/>
    <n v="213.2"/>
    <n v="0.97921242578187129"/>
    <n v="10"/>
    <n v="1"/>
  </r>
  <r>
    <x v="0"/>
    <s v="2023-04-26 17:43:28"/>
    <n v="1"/>
    <x v="6"/>
    <x v="6"/>
    <x v="1"/>
    <n v="0.43302055344795298"/>
    <n v="2E+20"/>
    <n v="0"/>
    <n v="6.2992445157670103"/>
    <n v="224"/>
    <s v="Unnamed ProjectRecoger.QueueWaiting TimeQueue"/>
    <n v="10"/>
    <n v="0.40408048989607864"/>
    <n v="0.12696220537313863"/>
    <n v="0.95"/>
    <n v="9.0823290410940533E-2"/>
    <n v="0.171033513653889"/>
    <n v="0.60923287020565198"/>
    <n v="0"/>
    <n v="10.1511957579729"/>
    <n v="205.3"/>
    <n v="9.0823290410940533E-2"/>
    <n v="10"/>
    <n v="1"/>
  </r>
  <r>
    <x v="0"/>
    <s v="2023-04-26 17:43:28"/>
    <n v="2"/>
    <x v="6"/>
    <x v="6"/>
    <x v="1"/>
    <n v="0.171033513653889"/>
    <n v="2E+20"/>
    <n v="0"/>
    <n v="1.5019745793255499"/>
    <n v="192"/>
    <s v="Unnamed ProjectRecoger.QueueWaiting TimeQueue"/>
    <n v="10"/>
    <n v="0.40408048989607864"/>
    <n v="0.12696220537313863"/>
    <n v="0.95"/>
    <n v="9.0823290410940533E-2"/>
    <n v="0.171033513653889"/>
    <n v="0.60923287020565198"/>
    <n v="0"/>
    <n v="10.1511957579729"/>
    <n v="205.3"/>
    <n v="9.0823290410940533E-2"/>
    <n v="10"/>
    <n v="1"/>
  </r>
  <r>
    <x v="0"/>
    <s v="2023-04-26 17:43:28"/>
    <n v="3"/>
    <x v="6"/>
    <x v="6"/>
    <x v="1"/>
    <n v="0.258849636929049"/>
    <n v="2E+20"/>
    <n v="0"/>
    <n v="2.3996284229889802"/>
    <n v="195"/>
    <s v="Unnamed ProjectRecoger.QueueWaiting TimeQueue"/>
    <n v="10"/>
    <n v="0.40408048989607864"/>
    <n v="0.12696220537313863"/>
    <n v="0.95"/>
    <n v="9.0823290410940533E-2"/>
    <n v="0.171033513653889"/>
    <n v="0.60923287020565198"/>
    <n v="0"/>
    <n v="10.1511957579729"/>
    <n v="205.3"/>
    <n v="9.0823290410940533E-2"/>
    <n v="10"/>
    <n v="1"/>
  </r>
  <r>
    <x v="0"/>
    <s v="2023-04-26 17:43:28"/>
    <n v="4"/>
    <x v="6"/>
    <x v="6"/>
    <x v="1"/>
    <n v="0.55842772285605302"/>
    <n v="2E+20"/>
    <n v="0"/>
    <n v="10.1511957579729"/>
    <n v="202"/>
    <s v="Unnamed ProjectRecoger.QueueWaiting TimeQueue"/>
    <n v="10"/>
    <n v="0.40408048989607864"/>
    <n v="0.12696220537313863"/>
    <n v="0.95"/>
    <n v="9.0823290410940533E-2"/>
    <n v="0.171033513653889"/>
    <n v="0.60923287020565198"/>
    <n v="0"/>
    <n v="10.1511957579729"/>
    <n v="205.3"/>
    <n v="9.0823290410940533E-2"/>
    <n v="10"/>
    <n v="1"/>
  </r>
  <r>
    <x v="0"/>
    <s v="2023-04-26 17:43:28"/>
    <n v="5"/>
    <x v="6"/>
    <x v="6"/>
    <x v="1"/>
    <n v="0.38934531906594999"/>
    <n v="2E+20"/>
    <n v="0"/>
    <n v="2.6391601604406398"/>
    <n v="209"/>
    <s v="Unnamed ProjectRecoger.QueueWaiting TimeQueue"/>
    <n v="10"/>
    <n v="0.40408048989607864"/>
    <n v="0.12696220537313863"/>
    <n v="0.95"/>
    <n v="9.0823290410940533E-2"/>
    <n v="0.171033513653889"/>
    <n v="0.60923287020565198"/>
    <n v="0"/>
    <n v="10.1511957579729"/>
    <n v="205.3"/>
    <n v="9.0823290410940533E-2"/>
    <n v="10"/>
    <n v="1"/>
  </r>
  <r>
    <x v="0"/>
    <s v="2023-04-26 17:43:28"/>
    <n v="6"/>
    <x v="6"/>
    <x v="6"/>
    <x v="1"/>
    <n v="0.60923287020565198"/>
    <n v="2E+20"/>
    <n v="0"/>
    <n v="8.6438803624831699"/>
    <n v="220"/>
    <s v="Unnamed ProjectRecoger.QueueWaiting TimeQueue"/>
    <n v="10"/>
    <n v="0.40408048989607864"/>
    <n v="0.12696220537313863"/>
    <n v="0.95"/>
    <n v="9.0823290410940533E-2"/>
    <n v="0.171033513653889"/>
    <n v="0.60923287020565198"/>
    <n v="0"/>
    <n v="10.1511957579729"/>
    <n v="205.3"/>
    <n v="9.0823290410940533E-2"/>
    <n v="10"/>
    <n v="1"/>
  </r>
  <r>
    <x v="0"/>
    <s v="2023-04-26 17:43:28"/>
    <n v="7"/>
    <x v="6"/>
    <x v="6"/>
    <x v="1"/>
    <n v="0.38798986331219498"/>
    <n v="2E+20"/>
    <n v="0"/>
    <n v="4.4248266406833601"/>
    <n v="211"/>
    <s v="Unnamed ProjectRecoger.QueueWaiting TimeQueue"/>
    <n v="10"/>
    <n v="0.40408048989607864"/>
    <n v="0.12696220537313863"/>
    <n v="0.95"/>
    <n v="9.0823290410940533E-2"/>
    <n v="0.171033513653889"/>
    <n v="0.60923287020565198"/>
    <n v="0"/>
    <n v="10.1511957579729"/>
    <n v="205.3"/>
    <n v="9.0823290410940533E-2"/>
    <n v="10"/>
    <n v="1"/>
  </r>
  <r>
    <x v="0"/>
    <s v="2023-04-26 17:43:28"/>
    <n v="8"/>
    <x v="6"/>
    <x v="6"/>
    <x v="1"/>
    <n v="0.45008877604338599"/>
    <n v="2E+20"/>
    <n v="0"/>
    <n v="4.7764400074298701"/>
    <n v="185"/>
    <s v="Unnamed ProjectRecoger.QueueWaiting TimeQueue"/>
    <n v="10"/>
    <n v="0.40408048989607864"/>
    <n v="0.12696220537313863"/>
    <n v="0.95"/>
    <n v="9.0823290410940533E-2"/>
    <n v="0.171033513653889"/>
    <n v="0.60923287020565198"/>
    <n v="0"/>
    <n v="10.1511957579729"/>
    <n v="205.3"/>
    <n v="9.0823290410940533E-2"/>
    <n v="10"/>
    <n v="1"/>
  </r>
  <r>
    <x v="0"/>
    <s v="2023-04-26 17:43:28"/>
    <n v="9"/>
    <x v="6"/>
    <x v="6"/>
    <x v="1"/>
    <n v="0.38921034624512202"/>
    <n v="2E+20"/>
    <n v="0"/>
    <n v="6.17969846913567"/>
    <n v="217"/>
    <s v="Unnamed ProjectRecoger.QueueWaiting TimeQueue"/>
    <n v="10"/>
    <n v="0.40408048989607864"/>
    <n v="0.12696220537313863"/>
    <n v="0.95"/>
    <n v="9.0823290410940533E-2"/>
    <n v="0.171033513653889"/>
    <n v="0.60923287020565198"/>
    <n v="0"/>
    <n v="10.1511957579729"/>
    <n v="205.3"/>
    <n v="9.0823290410940533E-2"/>
    <n v="10"/>
    <n v="1"/>
  </r>
  <r>
    <x v="0"/>
    <s v="2023-04-26 17:43:28"/>
    <n v="10"/>
    <x v="6"/>
    <x v="6"/>
    <x v="1"/>
    <n v="0.393606297201537"/>
    <n v="2E+20"/>
    <n v="0"/>
    <n v="2.47181380366629"/>
    <n v="198"/>
    <s v="Unnamed ProjectRecoger.QueueWaiting TimeQueue"/>
    <n v="10"/>
    <n v="0.40408048989607864"/>
    <n v="0.12696220537313863"/>
    <n v="0.95"/>
    <n v="9.0823290410940533E-2"/>
    <n v="0.171033513653889"/>
    <n v="0.60923287020565198"/>
    <n v="0"/>
    <n v="10.1511957579729"/>
    <n v="205.3"/>
    <n v="9.0823290410940533E-2"/>
    <n v="1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x v="0"/>
    <s v="2023-04-26 17:43:28"/>
    <n v="1"/>
    <x v="0"/>
    <x v="0"/>
    <x v="0"/>
    <n v="230"/>
    <n v="0"/>
    <s v="Unnamed ProjectLlegada Pedidos.NumberSeizedTotal Number SeizedResource"/>
    <n v="10"/>
    <n v="213.2"/>
    <n v="15.540627757948235"/>
    <n v="0.95"/>
    <n v="11.117095389767675"/>
    <n v="190"/>
    <n v="235"/>
  </r>
  <r>
    <x v="0"/>
    <s v="2023-04-26 17:43:28"/>
    <n v="1"/>
    <x v="1"/>
    <x v="1"/>
    <x v="0"/>
    <n v="0.70824336414244804"/>
    <n v="0"/>
    <s v="Unnamed ProjectLlegada Pedidos.ScheduledUtilizationScheduled UtilizationResource"/>
    <n v="10"/>
    <n v="0.66170817272124971"/>
    <n v="4.5736088034979056E-2"/>
    <n v="0.95"/>
    <n v="3.2717626427904552E-2"/>
    <n v="0.59604324380846896"/>
    <n v="0.72905379552072003"/>
  </r>
  <r>
    <x v="0"/>
    <s v="2023-04-26 17:43:28"/>
    <n v="1"/>
    <x v="2"/>
    <x v="0"/>
    <x v="0"/>
    <n v="224"/>
    <n v="0"/>
    <s v="Unnamed ProjectRecoger pedidos.NumberSeizedTotal Number SeizedResource"/>
    <n v="10"/>
    <n v="205.3"/>
    <n v="12.944754407352296"/>
    <n v="0.95"/>
    <n v="9.2601194613936642"/>
    <n v="185"/>
    <n v="224"/>
  </r>
  <r>
    <x v="0"/>
    <s v="2023-04-26 17:43:28"/>
    <n v="1"/>
    <x v="3"/>
    <x v="1"/>
    <x v="0"/>
    <n v="0.58572281834492601"/>
    <n v="0"/>
    <s v="Unnamed ProjectRecoger pedidos.ScheduledUtilizationScheduled UtilizationResource"/>
    <n v="10"/>
    <n v="0.55143120740685148"/>
    <n v="3.4243845838583781E-2"/>
    <n v="0.95"/>
    <n v="2.4496571607625712E-2"/>
    <n v="0.49793942474087499"/>
    <n v="0.59360317623750203"/>
  </r>
  <r>
    <x v="0"/>
    <s v="2023-04-26 17:43:28"/>
    <n v="1"/>
    <x v="4"/>
    <x v="2"/>
    <x v="1"/>
    <n v="204"/>
    <n v="0"/>
    <s v="Unnamed ProjectSystem.NumberOutNumber OutSystem"/>
    <n v="10"/>
    <n v="190.4"/>
    <n v="12.029593139882625"/>
    <n v="0.95"/>
    <n v="8.6054525286323678"/>
    <n v="167"/>
    <n v="204"/>
  </r>
  <r>
    <x v="0"/>
    <s v="2023-04-26 17:43:28"/>
    <n v="1"/>
    <x v="5"/>
    <x v="3"/>
    <x v="2"/>
    <n v="26"/>
    <n v="0"/>
    <s v="Unnamed Projectcbus.NumberInNumber InEntity"/>
    <n v="10"/>
    <n v="31.2"/>
    <n v="3.7653389990514556"/>
    <n v="0.95"/>
    <n v="2.6935612562921287"/>
    <n v="26"/>
    <n v="39"/>
  </r>
  <r>
    <x v="0"/>
    <s v="2023-04-26 17:43:28"/>
    <n v="1"/>
    <x v="6"/>
    <x v="2"/>
    <x v="2"/>
    <n v="26"/>
    <n v="0"/>
    <s v="Unnamed Projectcbus.NumberOutNumber OutEntity"/>
    <n v="10"/>
    <n v="31.2"/>
    <n v="3.7653389990514556"/>
    <n v="0.95"/>
    <n v="2.6935612562921287"/>
    <n v="26"/>
    <n v="39"/>
  </r>
  <r>
    <x v="0"/>
    <s v="2023-04-26 17:43:28"/>
    <n v="1"/>
    <x v="7"/>
    <x v="3"/>
    <x v="2"/>
    <n v="125"/>
    <n v="0"/>
    <s v="Unnamed Projectccoche.NumberInNumber InEntity"/>
    <n v="10"/>
    <n v="105.9"/>
    <n v="13.714955340794928"/>
    <n v="0.95"/>
    <n v="9.8110880181169016"/>
    <n v="89"/>
    <n v="125"/>
  </r>
  <r>
    <x v="0"/>
    <s v="2023-04-26 17:43:28"/>
    <n v="1"/>
    <x v="8"/>
    <x v="2"/>
    <x v="2"/>
    <n v="111"/>
    <n v="0"/>
    <s v="Unnamed Projectccoche.NumberOutNumber OutEntity"/>
    <n v="10"/>
    <n v="92.2"/>
    <n v="11.003029885748166"/>
    <n v="0.95"/>
    <n v="7.8710934153715639"/>
    <n v="77"/>
    <n v="111"/>
  </r>
  <r>
    <x v="0"/>
    <s v="2023-04-26 17:43:28"/>
    <n v="1"/>
    <x v="9"/>
    <x v="0"/>
    <x v="0"/>
    <n v="222"/>
    <n v="0"/>
    <s v="Unnamed Projectcomiendo.NumberSeizedTotal Number SeizedResource"/>
    <n v="10"/>
    <n v="203.5"/>
    <n v="12.96362432175337"/>
    <n v="0.95"/>
    <n v="9.2736181849755468"/>
    <n v="182"/>
    <n v="222"/>
  </r>
  <r>
    <x v="0"/>
    <s v="2023-04-26 17:43:28"/>
    <n v="1"/>
    <x v="10"/>
    <x v="1"/>
    <x v="0"/>
    <n v="0.57730945130657196"/>
    <n v="0"/>
    <s v="Unnamed Projectcomiendo.ScheduledUtilizationScheduled UtilizationResource"/>
    <n v="10"/>
    <n v="0.54567746104498949"/>
    <n v="3.6093067502765995E-2"/>
    <n v="0.95"/>
    <n v="2.5819425095769025E-2"/>
    <n v="0.48838500773485299"/>
    <n v="0.59303053253801696"/>
  </r>
  <r>
    <x v="0"/>
    <s v="2023-04-26 17:43:28"/>
    <n v="1"/>
    <x v="11"/>
    <x v="3"/>
    <x v="2"/>
    <n v="79"/>
    <n v="0"/>
    <s v="Unnamed Projectcpie.NumberInNumber InEntity"/>
    <n v="10"/>
    <n v="77.3"/>
    <n v="11.314199534704651"/>
    <n v="0.95"/>
    <n v="8.0936907726810521"/>
    <n v="64"/>
    <n v="105"/>
  </r>
  <r>
    <x v="0"/>
    <s v="2023-04-26 17:43:28"/>
    <n v="1"/>
    <x v="12"/>
    <x v="2"/>
    <x v="2"/>
    <n v="67"/>
    <n v="0"/>
    <s v="Unnamed Projectcpie.NumberOutNumber OutEntity"/>
    <n v="10"/>
    <n v="67"/>
    <n v="9.5916630466254382"/>
    <n v="0.95"/>
    <n v="6.8614624001471327"/>
    <n v="58"/>
    <n v="92"/>
  </r>
  <r>
    <x v="0"/>
    <s v="2023-04-26 17:43:28"/>
    <n v="2"/>
    <x v="0"/>
    <x v="0"/>
    <x v="0"/>
    <n v="198"/>
    <n v="0"/>
    <s v="Unnamed ProjectLlegada Pedidos.NumberSeizedTotal Number SeizedResource"/>
    <n v="10"/>
    <n v="213.2"/>
    <n v="15.540627757948235"/>
    <n v="0.95"/>
    <n v="11.117095389767675"/>
    <n v="190"/>
    <n v="235"/>
  </r>
  <r>
    <x v="0"/>
    <s v="2023-04-26 17:43:28"/>
    <n v="2"/>
    <x v="1"/>
    <x v="1"/>
    <x v="0"/>
    <n v="0.61322608267490297"/>
    <n v="0"/>
    <s v="Unnamed ProjectLlegada Pedidos.ScheduledUtilizationScheduled UtilizationResource"/>
    <n v="10"/>
    <n v="0.66170817272124971"/>
    <n v="4.5736088034979056E-2"/>
    <n v="0.95"/>
    <n v="3.2717626427904552E-2"/>
    <n v="0.59604324380846896"/>
    <n v="0.72905379552072003"/>
  </r>
  <r>
    <x v="0"/>
    <s v="2023-04-26 17:43:28"/>
    <n v="2"/>
    <x v="2"/>
    <x v="0"/>
    <x v="0"/>
    <n v="192"/>
    <n v="0"/>
    <s v="Unnamed ProjectRecoger pedidos.NumberSeizedTotal Number SeizedResource"/>
    <n v="10"/>
    <n v="205.3"/>
    <n v="12.944754407352296"/>
    <n v="0.95"/>
    <n v="9.2601194613936642"/>
    <n v="185"/>
    <n v="224"/>
  </r>
  <r>
    <x v="0"/>
    <s v="2023-04-26 17:43:28"/>
    <n v="2"/>
    <x v="3"/>
    <x v="1"/>
    <x v="0"/>
    <n v="0.51804761302359503"/>
    <n v="0"/>
    <s v="Unnamed ProjectRecoger pedidos.ScheduledUtilizationScheduled UtilizationResource"/>
    <n v="10"/>
    <n v="0.55143120740685148"/>
    <n v="3.4243845838583781E-2"/>
    <n v="0.95"/>
    <n v="2.4496571607625712E-2"/>
    <n v="0.49793942474087499"/>
    <n v="0.59360317623750203"/>
  </r>
  <r>
    <x v="0"/>
    <s v="2023-04-26 17:43:28"/>
    <n v="2"/>
    <x v="4"/>
    <x v="2"/>
    <x v="1"/>
    <n v="182"/>
    <n v="0"/>
    <s v="Unnamed ProjectSystem.NumberOutNumber OutSystem"/>
    <n v="10"/>
    <n v="190.4"/>
    <n v="12.029593139882625"/>
    <n v="0.95"/>
    <n v="8.6054525286323678"/>
    <n v="167"/>
    <n v="204"/>
  </r>
  <r>
    <x v="0"/>
    <s v="2023-04-26 17:43:28"/>
    <n v="2"/>
    <x v="5"/>
    <x v="3"/>
    <x v="2"/>
    <n v="39"/>
    <n v="0"/>
    <s v="Unnamed Projectcbus.NumberInNumber InEntity"/>
    <n v="10"/>
    <n v="31.2"/>
    <n v="3.7653389990514556"/>
    <n v="0.95"/>
    <n v="2.6935612562921287"/>
    <n v="26"/>
    <n v="39"/>
  </r>
  <r>
    <x v="0"/>
    <s v="2023-04-26 17:43:28"/>
    <n v="2"/>
    <x v="6"/>
    <x v="2"/>
    <x v="2"/>
    <n v="39"/>
    <n v="0"/>
    <s v="Unnamed Projectcbus.NumberOutNumber OutEntity"/>
    <n v="10"/>
    <n v="31.2"/>
    <n v="3.7653389990514556"/>
    <n v="0.95"/>
    <n v="2.6935612562921287"/>
    <n v="26"/>
    <n v="39"/>
  </r>
  <r>
    <x v="0"/>
    <s v="2023-04-26 17:43:28"/>
    <n v="2"/>
    <x v="7"/>
    <x v="3"/>
    <x v="2"/>
    <n v="98"/>
    <n v="0"/>
    <s v="Unnamed Projectccoche.NumberInNumber InEntity"/>
    <n v="10"/>
    <n v="105.9"/>
    <n v="13.714955340794928"/>
    <n v="0.95"/>
    <n v="9.8110880181169016"/>
    <n v="89"/>
    <n v="125"/>
  </r>
  <r>
    <x v="0"/>
    <s v="2023-04-26 17:43:28"/>
    <n v="2"/>
    <x v="8"/>
    <x v="2"/>
    <x v="2"/>
    <n v="85"/>
    <n v="0"/>
    <s v="Unnamed Projectccoche.NumberOutNumber OutEntity"/>
    <n v="10"/>
    <n v="92.2"/>
    <n v="11.003029885748166"/>
    <n v="0.95"/>
    <n v="7.8710934153715639"/>
    <n v="77"/>
    <n v="111"/>
  </r>
  <r>
    <x v="0"/>
    <s v="2023-04-26 17:43:28"/>
    <n v="2"/>
    <x v="9"/>
    <x v="0"/>
    <x v="0"/>
    <n v="191"/>
    <n v="0"/>
    <s v="Unnamed Projectcomiendo.NumberSeizedTotal Number SeizedResource"/>
    <n v="10"/>
    <n v="203.5"/>
    <n v="12.96362432175337"/>
    <n v="0.95"/>
    <n v="9.2736181849755468"/>
    <n v="182"/>
    <n v="222"/>
  </r>
  <r>
    <x v="0"/>
    <s v="2023-04-26 17:43:28"/>
    <n v="2"/>
    <x v="10"/>
    <x v="1"/>
    <x v="0"/>
    <n v="0.51387739349088901"/>
    <n v="0"/>
    <s v="Unnamed Projectcomiendo.ScheduledUtilizationScheduled UtilizationResource"/>
    <n v="10"/>
    <n v="0.54567746104498949"/>
    <n v="3.6093067502765995E-2"/>
    <n v="0.95"/>
    <n v="2.5819425095769025E-2"/>
    <n v="0.48838500773485299"/>
    <n v="0.59303053253801696"/>
  </r>
  <r>
    <x v="0"/>
    <s v="2023-04-26 17:43:28"/>
    <n v="2"/>
    <x v="11"/>
    <x v="3"/>
    <x v="2"/>
    <n v="64"/>
    <n v="0"/>
    <s v="Unnamed Projectcpie.NumberInNumber InEntity"/>
    <n v="10"/>
    <n v="77.3"/>
    <n v="11.314199534704651"/>
    <n v="0.95"/>
    <n v="8.0936907726810521"/>
    <n v="64"/>
    <n v="105"/>
  </r>
  <r>
    <x v="0"/>
    <s v="2023-04-26 17:43:28"/>
    <n v="2"/>
    <x v="12"/>
    <x v="2"/>
    <x v="2"/>
    <n v="58"/>
    <n v="0"/>
    <s v="Unnamed Projectcpie.NumberOutNumber OutEntity"/>
    <n v="10"/>
    <n v="67"/>
    <n v="9.5916630466254382"/>
    <n v="0.95"/>
    <n v="6.8614624001471327"/>
    <n v="58"/>
    <n v="92"/>
  </r>
  <r>
    <x v="0"/>
    <s v="2023-04-26 17:43:28"/>
    <n v="3"/>
    <x v="0"/>
    <x v="0"/>
    <x v="0"/>
    <n v="200"/>
    <n v="0"/>
    <s v="Unnamed ProjectLlegada Pedidos.NumberSeizedTotal Number SeizedResource"/>
    <n v="10"/>
    <n v="213.2"/>
    <n v="15.540627757948235"/>
    <n v="0.95"/>
    <n v="11.117095389767675"/>
    <n v="190"/>
    <n v="235"/>
  </r>
  <r>
    <x v="0"/>
    <s v="2023-04-26 17:43:28"/>
    <n v="3"/>
    <x v="1"/>
    <x v="1"/>
    <x v="0"/>
    <n v="0.61519110307515401"/>
    <n v="0"/>
    <s v="Unnamed ProjectLlegada Pedidos.ScheduledUtilizationScheduled UtilizationResource"/>
    <n v="10"/>
    <n v="0.66170817272124971"/>
    <n v="4.5736088034979056E-2"/>
    <n v="0.95"/>
    <n v="3.2717626427904552E-2"/>
    <n v="0.59604324380846896"/>
    <n v="0.72905379552072003"/>
  </r>
  <r>
    <x v="0"/>
    <s v="2023-04-26 17:43:28"/>
    <n v="3"/>
    <x v="2"/>
    <x v="0"/>
    <x v="0"/>
    <n v="195"/>
    <n v="0"/>
    <s v="Unnamed ProjectRecoger pedidos.NumberSeizedTotal Number SeizedResource"/>
    <n v="10"/>
    <n v="205.3"/>
    <n v="12.944754407352296"/>
    <n v="0.95"/>
    <n v="9.2601194613936642"/>
    <n v="185"/>
    <n v="224"/>
  </r>
  <r>
    <x v="0"/>
    <s v="2023-04-26 17:43:28"/>
    <n v="3"/>
    <x v="3"/>
    <x v="1"/>
    <x v="0"/>
    <n v="0.53725213680088901"/>
    <n v="0"/>
    <s v="Unnamed ProjectRecoger pedidos.ScheduledUtilizationScheduled UtilizationResource"/>
    <n v="10"/>
    <n v="0.55143120740685148"/>
    <n v="3.4243845838583781E-2"/>
    <n v="0.95"/>
    <n v="2.4496571607625712E-2"/>
    <n v="0.49793942474087499"/>
    <n v="0.59360317623750203"/>
  </r>
  <r>
    <x v="0"/>
    <s v="2023-04-26 17:43:28"/>
    <n v="3"/>
    <x v="4"/>
    <x v="2"/>
    <x v="1"/>
    <n v="183"/>
    <n v="0"/>
    <s v="Unnamed ProjectSystem.NumberOutNumber OutSystem"/>
    <n v="10"/>
    <n v="190.4"/>
    <n v="12.029593139882625"/>
    <n v="0.95"/>
    <n v="8.6054525286323678"/>
    <n v="167"/>
    <n v="204"/>
  </r>
  <r>
    <x v="0"/>
    <s v="2023-04-26 17:43:28"/>
    <n v="3"/>
    <x v="5"/>
    <x v="3"/>
    <x v="2"/>
    <n v="27"/>
    <n v="0"/>
    <s v="Unnamed Projectcbus.NumberInNumber InEntity"/>
    <n v="10"/>
    <n v="31.2"/>
    <n v="3.7653389990514556"/>
    <n v="0.95"/>
    <n v="2.6935612562921287"/>
    <n v="26"/>
    <n v="39"/>
  </r>
  <r>
    <x v="0"/>
    <s v="2023-04-26 17:43:28"/>
    <n v="3"/>
    <x v="6"/>
    <x v="2"/>
    <x v="2"/>
    <n v="27"/>
    <n v="0"/>
    <s v="Unnamed Projectcbus.NumberOutNumber OutEntity"/>
    <n v="10"/>
    <n v="31.2"/>
    <n v="3.7653389990514556"/>
    <n v="0.95"/>
    <n v="2.6935612562921287"/>
    <n v="26"/>
    <n v="39"/>
  </r>
  <r>
    <x v="0"/>
    <s v="2023-04-26 17:43:28"/>
    <n v="3"/>
    <x v="7"/>
    <x v="3"/>
    <x v="2"/>
    <n v="101"/>
    <n v="0"/>
    <s v="Unnamed Projectccoche.NumberInNumber InEntity"/>
    <n v="10"/>
    <n v="105.9"/>
    <n v="13.714955340794928"/>
    <n v="0.95"/>
    <n v="9.8110880181169016"/>
    <n v="89"/>
    <n v="125"/>
  </r>
  <r>
    <x v="0"/>
    <s v="2023-04-26 17:43:28"/>
    <n v="3"/>
    <x v="8"/>
    <x v="2"/>
    <x v="2"/>
    <n v="91"/>
    <n v="0"/>
    <s v="Unnamed Projectccoche.NumberOutNumber OutEntity"/>
    <n v="10"/>
    <n v="92.2"/>
    <n v="11.003029885748166"/>
    <n v="0.95"/>
    <n v="7.8710934153715639"/>
    <n v="77"/>
    <n v="111"/>
  </r>
  <r>
    <x v="0"/>
    <s v="2023-04-26 17:43:28"/>
    <n v="3"/>
    <x v="9"/>
    <x v="0"/>
    <x v="0"/>
    <n v="194"/>
    <n v="0"/>
    <s v="Unnamed Projectcomiendo.NumberSeizedTotal Number SeizedResource"/>
    <n v="10"/>
    <n v="203.5"/>
    <n v="12.96362432175337"/>
    <n v="0.95"/>
    <n v="9.2736181849755468"/>
    <n v="182"/>
    <n v="222"/>
  </r>
  <r>
    <x v="0"/>
    <s v="2023-04-26 17:43:28"/>
    <n v="3"/>
    <x v="10"/>
    <x v="1"/>
    <x v="0"/>
    <n v="0.51857512758874302"/>
    <n v="0"/>
    <s v="Unnamed Projectcomiendo.ScheduledUtilizationScheduled UtilizationResource"/>
    <n v="10"/>
    <n v="0.54567746104498949"/>
    <n v="3.6093067502765995E-2"/>
    <n v="0.95"/>
    <n v="2.5819425095769025E-2"/>
    <n v="0.48838500773485299"/>
    <n v="0.59303053253801696"/>
  </r>
  <r>
    <x v="0"/>
    <s v="2023-04-26 17:43:28"/>
    <n v="3"/>
    <x v="11"/>
    <x v="3"/>
    <x v="2"/>
    <n v="72"/>
    <n v="0"/>
    <s v="Unnamed Projectcpie.NumberInNumber InEntity"/>
    <n v="10"/>
    <n v="77.3"/>
    <n v="11.314199534704651"/>
    <n v="0.95"/>
    <n v="8.0936907726810521"/>
    <n v="64"/>
    <n v="105"/>
  </r>
  <r>
    <x v="0"/>
    <s v="2023-04-26 17:43:28"/>
    <n v="3"/>
    <x v="12"/>
    <x v="2"/>
    <x v="2"/>
    <n v="65"/>
    <n v="0"/>
    <s v="Unnamed Projectcpie.NumberOutNumber OutEntity"/>
    <n v="10"/>
    <n v="67"/>
    <n v="9.5916630466254382"/>
    <n v="0.95"/>
    <n v="6.8614624001471327"/>
    <n v="58"/>
    <n v="92"/>
  </r>
  <r>
    <x v="0"/>
    <s v="2023-04-26 17:43:28"/>
    <n v="4"/>
    <x v="0"/>
    <x v="0"/>
    <x v="0"/>
    <n v="223"/>
    <n v="0"/>
    <s v="Unnamed ProjectLlegada Pedidos.NumberSeizedTotal Number SeizedResource"/>
    <n v="10"/>
    <n v="213.2"/>
    <n v="15.540627757948235"/>
    <n v="0.95"/>
    <n v="11.117095389767675"/>
    <n v="190"/>
    <n v="235"/>
  </r>
  <r>
    <x v="0"/>
    <s v="2023-04-26 17:43:28"/>
    <n v="4"/>
    <x v="1"/>
    <x v="1"/>
    <x v="0"/>
    <n v="0.679998969388387"/>
    <n v="0"/>
    <s v="Unnamed ProjectLlegada Pedidos.ScheduledUtilizationScheduled UtilizationResource"/>
    <n v="10"/>
    <n v="0.66170817272124971"/>
    <n v="4.5736088034979056E-2"/>
    <n v="0.95"/>
    <n v="3.2717626427904552E-2"/>
    <n v="0.59604324380846896"/>
    <n v="0.72905379552072003"/>
  </r>
  <r>
    <x v="0"/>
    <s v="2023-04-26 17:43:28"/>
    <n v="4"/>
    <x v="2"/>
    <x v="0"/>
    <x v="0"/>
    <n v="202"/>
    <n v="0"/>
    <s v="Unnamed ProjectRecoger pedidos.NumberSeizedTotal Number SeizedResource"/>
    <n v="10"/>
    <n v="205.3"/>
    <n v="12.944754407352296"/>
    <n v="0.95"/>
    <n v="9.2601194613936642"/>
    <n v="185"/>
    <n v="224"/>
  </r>
  <r>
    <x v="0"/>
    <s v="2023-04-26 17:43:28"/>
    <n v="4"/>
    <x v="3"/>
    <x v="1"/>
    <x v="0"/>
    <n v="0.53421886953408804"/>
    <n v="0"/>
    <s v="Unnamed ProjectRecoger pedidos.ScheduledUtilizationScheduled UtilizationResource"/>
    <n v="10"/>
    <n v="0.55143120740685148"/>
    <n v="3.4243845838583781E-2"/>
    <n v="0.95"/>
    <n v="2.4496571607625712E-2"/>
    <n v="0.49793942474087499"/>
    <n v="0.59360317623750203"/>
  </r>
  <r>
    <x v="0"/>
    <s v="2023-04-26 17:43:28"/>
    <n v="4"/>
    <x v="4"/>
    <x v="2"/>
    <x v="1"/>
    <n v="180"/>
    <n v="0"/>
    <s v="Unnamed ProjectSystem.NumberOutNumber OutSystem"/>
    <n v="10"/>
    <n v="190.4"/>
    <n v="12.029593139882625"/>
    <n v="0.95"/>
    <n v="8.6054525286323678"/>
    <n v="167"/>
    <n v="204"/>
  </r>
  <r>
    <x v="0"/>
    <s v="2023-04-26 17:43:28"/>
    <n v="4"/>
    <x v="5"/>
    <x v="3"/>
    <x v="2"/>
    <n v="33"/>
    <n v="0"/>
    <s v="Unnamed Projectcbus.NumberInNumber InEntity"/>
    <n v="10"/>
    <n v="31.2"/>
    <n v="3.7653389990514556"/>
    <n v="0.95"/>
    <n v="2.6935612562921287"/>
    <n v="26"/>
    <n v="39"/>
  </r>
  <r>
    <x v="0"/>
    <s v="2023-04-26 17:43:28"/>
    <n v="4"/>
    <x v="6"/>
    <x v="2"/>
    <x v="2"/>
    <n v="33"/>
    <n v="0"/>
    <s v="Unnamed Projectcbus.NumberOutNumber OutEntity"/>
    <n v="10"/>
    <n v="31.2"/>
    <n v="3.7653389990514556"/>
    <n v="0.95"/>
    <n v="2.6935612562921287"/>
    <n v="26"/>
    <n v="39"/>
  </r>
  <r>
    <x v="0"/>
    <s v="2023-04-26 17:43:28"/>
    <n v="4"/>
    <x v="7"/>
    <x v="3"/>
    <x v="2"/>
    <n v="119"/>
    <n v="0"/>
    <s v="Unnamed Projectccoche.NumberInNumber InEntity"/>
    <n v="10"/>
    <n v="105.9"/>
    <n v="13.714955340794928"/>
    <n v="0.95"/>
    <n v="9.8110880181169016"/>
    <n v="89"/>
    <n v="125"/>
  </r>
  <r>
    <x v="0"/>
    <s v="2023-04-26 17:43:28"/>
    <n v="4"/>
    <x v="8"/>
    <x v="2"/>
    <x v="2"/>
    <n v="88"/>
    <n v="0"/>
    <s v="Unnamed Projectccoche.NumberOutNumber OutEntity"/>
    <n v="10"/>
    <n v="92.2"/>
    <n v="11.003029885748166"/>
    <n v="0.95"/>
    <n v="7.8710934153715639"/>
    <n v="77"/>
    <n v="111"/>
  </r>
  <r>
    <x v="0"/>
    <s v="2023-04-26 17:43:28"/>
    <n v="4"/>
    <x v="9"/>
    <x v="0"/>
    <x v="0"/>
    <n v="200"/>
    <n v="0"/>
    <s v="Unnamed Projectcomiendo.NumberSeizedTotal Number SeizedResource"/>
    <n v="10"/>
    <n v="203.5"/>
    <n v="12.96362432175337"/>
    <n v="0.95"/>
    <n v="9.2736181849755468"/>
    <n v="182"/>
    <n v="222"/>
  </r>
  <r>
    <x v="0"/>
    <s v="2023-04-26 17:43:28"/>
    <n v="4"/>
    <x v="10"/>
    <x v="1"/>
    <x v="0"/>
    <n v="0.51436349886460997"/>
    <n v="0"/>
    <s v="Unnamed Projectcomiendo.ScheduledUtilizationScheduled UtilizationResource"/>
    <n v="10"/>
    <n v="0.54567746104498949"/>
    <n v="3.6093067502765995E-2"/>
    <n v="0.95"/>
    <n v="2.5819425095769025E-2"/>
    <n v="0.48838500773485299"/>
    <n v="0.59303053253801696"/>
  </r>
  <r>
    <x v="0"/>
    <s v="2023-04-26 17:43:28"/>
    <n v="4"/>
    <x v="11"/>
    <x v="3"/>
    <x v="2"/>
    <n v="74"/>
    <n v="0"/>
    <s v="Unnamed Projectcpie.NumberInNumber InEntity"/>
    <n v="10"/>
    <n v="77.3"/>
    <n v="11.314199534704651"/>
    <n v="0.95"/>
    <n v="8.0936907726810521"/>
    <n v="64"/>
    <n v="105"/>
  </r>
  <r>
    <x v="0"/>
    <s v="2023-04-26 17:43:28"/>
    <n v="4"/>
    <x v="12"/>
    <x v="2"/>
    <x v="2"/>
    <n v="59"/>
    <n v="0"/>
    <s v="Unnamed Projectcpie.NumberOutNumber OutEntity"/>
    <n v="10"/>
    <n v="67"/>
    <n v="9.5916630466254382"/>
    <n v="0.95"/>
    <n v="6.8614624001471327"/>
    <n v="58"/>
    <n v="92"/>
  </r>
  <r>
    <x v="0"/>
    <s v="2023-04-26 17:43:28"/>
    <n v="5"/>
    <x v="0"/>
    <x v="0"/>
    <x v="0"/>
    <n v="209"/>
    <n v="0"/>
    <s v="Unnamed ProjectLlegada Pedidos.NumberSeizedTotal Number SeizedResource"/>
    <n v="10"/>
    <n v="213.2"/>
    <n v="15.540627757948235"/>
    <n v="0.95"/>
    <n v="11.117095389767675"/>
    <n v="190"/>
    <n v="235"/>
  </r>
  <r>
    <x v="0"/>
    <s v="2023-04-26 17:43:28"/>
    <n v="5"/>
    <x v="1"/>
    <x v="1"/>
    <x v="0"/>
    <n v="0.65049719705202402"/>
    <n v="0"/>
    <s v="Unnamed ProjectLlegada Pedidos.ScheduledUtilizationScheduled UtilizationResource"/>
    <n v="10"/>
    <n v="0.66170817272124971"/>
    <n v="4.5736088034979056E-2"/>
    <n v="0.95"/>
    <n v="3.2717626427904552E-2"/>
    <n v="0.59604324380846896"/>
    <n v="0.72905379552072003"/>
  </r>
  <r>
    <x v="0"/>
    <s v="2023-04-26 17:43:28"/>
    <n v="5"/>
    <x v="2"/>
    <x v="0"/>
    <x v="0"/>
    <n v="209"/>
    <n v="0"/>
    <s v="Unnamed ProjectRecoger pedidos.NumberSeizedTotal Number SeizedResource"/>
    <n v="10"/>
    <n v="205.3"/>
    <n v="12.944754407352296"/>
    <n v="0.95"/>
    <n v="9.2601194613936642"/>
    <n v="185"/>
    <n v="224"/>
  </r>
  <r>
    <x v="0"/>
    <s v="2023-04-26 17:43:28"/>
    <n v="5"/>
    <x v="3"/>
    <x v="1"/>
    <x v="0"/>
    <n v="0.57408773544583303"/>
    <n v="0"/>
    <s v="Unnamed ProjectRecoger pedidos.ScheduledUtilizationScheduled UtilizationResource"/>
    <n v="10"/>
    <n v="0.55143120740685148"/>
    <n v="3.4243845838583781E-2"/>
    <n v="0.95"/>
    <n v="2.4496571607625712E-2"/>
    <n v="0.49793942474087499"/>
    <n v="0.59360317623750203"/>
  </r>
  <r>
    <x v="0"/>
    <s v="2023-04-26 17:43:28"/>
    <n v="5"/>
    <x v="4"/>
    <x v="2"/>
    <x v="1"/>
    <n v="198"/>
    <n v="0"/>
    <s v="Unnamed ProjectSystem.NumberOutNumber OutSystem"/>
    <n v="10"/>
    <n v="190.4"/>
    <n v="12.029593139882625"/>
    <n v="0.95"/>
    <n v="8.6054525286323678"/>
    <n v="167"/>
    <n v="204"/>
  </r>
  <r>
    <x v="0"/>
    <s v="2023-04-26 17:43:28"/>
    <n v="5"/>
    <x v="5"/>
    <x v="3"/>
    <x v="2"/>
    <n v="33"/>
    <n v="0"/>
    <s v="Unnamed Projectcbus.NumberInNumber InEntity"/>
    <n v="10"/>
    <n v="31.2"/>
    <n v="3.7653389990514556"/>
    <n v="0.95"/>
    <n v="2.6935612562921287"/>
    <n v="26"/>
    <n v="39"/>
  </r>
  <r>
    <x v="0"/>
    <s v="2023-04-26 17:43:28"/>
    <n v="5"/>
    <x v="6"/>
    <x v="2"/>
    <x v="2"/>
    <n v="33"/>
    <n v="0"/>
    <s v="Unnamed Projectcbus.NumberOutNumber OutEntity"/>
    <n v="10"/>
    <n v="31.2"/>
    <n v="3.7653389990514556"/>
    <n v="0.95"/>
    <n v="2.6935612562921287"/>
    <n v="26"/>
    <n v="39"/>
  </r>
  <r>
    <x v="0"/>
    <s v="2023-04-26 17:43:28"/>
    <n v="5"/>
    <x v="7"/>
    <x v="3"/>
    <x v="2"/>
    <n v="102"/>
    <n v="0"/>
    <s v="Unnamed Projectccoche.NumberInNumber InEntity"/>
    <n v="10"/>
    <n v="105.9"/>
    <n v="13.714955340794928"/>
    <n v="0.95"/>
    <n v="9.8110880181169016"/>
    <n v="89"/>
    <n v="125"/>
  </r>
  <r>
    <x v="0"/>
    <s v="2023-04-26 17:43:28"/>
    <n v="5"/>
    <x v="8"/>
    <x v="2"/>
    <x v="2"/>
    <n v="98"/>
    <n v="0"/>
    <s v="Unnamed Projectccoche.NumberOutNumber OutEntity"/>
    <n v="10"/>
    <n v="92.2"/>
    <n v="11.003029885748166"/>
    <n v="0.95"/>
    <n v="7.8710934153715639"/>
    <n v="77"/>
    <n v="111"/>
  </r>
  <r>
    <x v="0"/>
    <s v="2023-04-26 17:43:28"/>
    <n v="5"/>
    <x v="9"/>
    <x v="0"/>
    <x v="0"/>
    <n v="208"/>
    <n v="0"/>
    <s v="Unnamed Projectcomiendo.NumberSeizedTotal Number SeizedResource"/>
    <n v="10"/>
    <n v="203.5"/>
    <n v="12.96362432175337"/>
    <n v="0.95"/>
    <n v="9.2736181849755468"/>
    <n v="182"/>
    <n v="222"/>
  </r>
  <r>
    <x v="0"/>
    <s v="2023-04-26 17:43:28"/>
    <n v="5"/>
    <x v="10"/>
    <x v="1"/>
    <x v="0"/>
    <n v="0.56090598326492103"/>
    <n v="0"/>
    <s v="Unnamed Projectcomiendo.ScheduledUtilizationScheduled UtilizationResource"/>
    <n v="10"/>
    <n v="0.54567746104498949"/>
    <n v="3.6093067502765995E-2"/>
    <n v="0.95"/>
    <n v="2.5819425095769025E-2"/>
    <n v="0.48838500773485299"/>
    <n v="0.59303053253801696"/>
  </r>
  <r>
    <x v="0"/>
    <s v="2023-04-26 17:43:28"/>
    <n v="5"/>
    <x v="11"/>
    <x v="3"/>
    <x v="2"/>
    <n v="74"/>
    <n v="0"/>
    <s v="Unnamed Projectcpie.NumberInNumber InEntity"/>
    <n v="10"/>
    <n v="77.3"/>
    <n v="11.314199534704651"/>
    <n v="0.95"/>
    <n v="8.0936907726810521"/>
    <n v="64"/>
    <n v="105"/>
  </r>
  <r>
    <x v="0"/>
    <s v="2023-04-26 17:43:28"/>
    <n v="5"/>
    <x v="12"/>
    <x v="2"/>
    <x v="2"/>
    <n v="67"/>
    <n v="0"/>
    <s v="Unnamed Projectcpie.NumberOutNumber OutEntity"/>
    <n v="10"/>
    <n v="67"/>
    <n v="9.5916630466254382"/>
    <n v="0.95"/>
    <n v="6.8614624001471327"/>
    <n v="58"/>
    <n v="92"/>
  </r>
  <r>
    <x v="0"/>
    <s v="2023-04-26 17:43:28"/>
    <n v="6"/>
    <x v="0"/>
    <x v="0"/>
    <x v="0"/>
    <n v="235"/>
    <n v="0"/>
    <s v="Unnamed ProjectLlegada Pedidos.NumberSeizedTotal Number SeizedResource"/>
    <n v="10"/>
    <n v="213.2"/>
    <n v="15.540627757948235"/>
    <n v="0.95"/>
    <n v="11.117095389767675"/>
    <n v="190"/>
    <n v="235"/>
  </r>
  <r>
    <x v="0"/>
    <s v="2023-04-26 17:43:28"/>
    <n v="6"/>
    <x v="1"/>
    <x v="1"/>
    <x v="0"/>
    <n v="0.72905379552072003"/>
    <n v="0"/>
    <s v="Unnamed ProjectLlegada Pedidos.ScheduledUtilizationScheduled UtilizationResource"/>
    <n v="10"/>
    <n v="0.66170817272124971"/>
    <n v="4.5736088034979056E-2"/>
    <n v="0.95"/>
    <n v="3.2717626427904552E-2"/>
    <n v="0.59604324380846896"/>
    <n v="0.72905379552072003"/>
  </r>
  <r>
    <x v="0"/>
    <s v="2023-04-26 17:43:28"/>
    <n v="6"/>
    <x v="2"/>
    <x v="0"/>
    <x v="0"/>
    <n v="220"/>
    <n v="0"/>
    <s v="Unnamed ProjectRecoger pedidos.NumberSeizedTotal Number SeizedResource"/>
    <n v="10"/>
    <n v="205.3"/>
    <n v="12.944754407352296"/>
    <n v="0.95"/>
    <n v="9.2601194613936642"/>
    <n v="185"/>
    <n v="224"/>
  </r>
  <r>
    <x v="0"/>
    <s v="2023-04-26 17:43:28"/>
    <n v="6"/>
    <x v="3"/>
    <x v="1"/>
    <x v="0"/>
    <n v="0.57417677103721498"/>
    <n v="0"/>
    <s v="Unnamed ProjectRecoger pedidos.ScheduledUtilizationScheduled UtilizationResource"/>
    <n v="10"/>
    <n v="0.55143120740685148"/>
    <n v="3.4243845838583781E-2"/>
    <n v="0.95"/>
    <n v="2.4496571607625712E-2"/>
    <n v="0.49793942474087499"/>
    <n v="0.59360317623750203"/>
  </r>
  <r>
    <x v="0"/>
    <s v="2023-04-26 17:43:28"/>
    <n v="6"/>
    <x v="4"/>
    <x v="2"/>
    <x v="1"/>
    <n v="199"/>
    <n v="0"/>
    <s v="Unnamed ProjectSystem.NumberOutNumber OutSystem"/>
    <n v="10"/>
    <n v="190.4"/>
    <n v="12.029593139882625"/>
    <n v="0.95"/>
    <n v="8.6054525286323678"/>
    <n v="167"/>
    <n v="204"/>
  </r>
  <r>
    <x v="0"/>
    <s v="2023-04-26 17:43:28"/>
    <n v="6"/>
    <x v="5"/>
    <x v="3"/>
    <x v="2"/>
    <n v="32"/>
    <n v="0"/>
    <s v="Unnamed Projectcbus.NumberInNumber InEntity"/>
    <n v="10"/>
    <n v="31.2"/>
    <n v="3.7653389990514556"/>
    <n v="0.95"/>
    <n v="2.6935612562921287"/>
    <n v="26"/>
    <n v="39"/>
  </r>
  <r>
    <x v="0"/>
    <s v="2023-04-26 17:43:28"/>
    <n v="6"/>
    <x v="6"/>
    <x v="2"/>
    <x v="2"/>
    <n v="32"/>
    <n v="0"/>
    <s v="Unnamed Projectcbus.NumberOutNumber OutEntity"/>
    <n v="10"/>
    <n v="31.2"/>
    <n v="3.7653389990514556"/>
    <n v="0.95"/>
    <n v="2.6935612562921287"/>
    <n v="26"/>
    <n v="39"/>
  </r>
  <r>
    <x v="0"/>
    <s v="2023-04-26 17:43:28"/>
    <n v="6"/>
    <x v="7"/>
    <x v="3"/>
    <x v="2"/>
    <n v="118"/>
    <n v="0"/>
    <s v="Unnamed Projectccoche.NumberInNumber InEntity"/>
    <n v="10"/>
    <n v="105.9"/>
    <n v="13.714955340794928"/>
    <n v="0.95"/>
    <n v="9.8110880181169016"/>
    <n v="89"/>
    <n v="125"/>
  </r>
  <r>
    <x v="0"/>
    <s v="2023-04-26 17:43:28"/>
    <n v="6"/>
    <x v="8"/>
    <x v="2"/>
    <x v="2"/>
    <n v="98"/>
    <n v="0"/>
    <s v="Unnamed Projectccoche.NumberOutNumber OutEntity"/>
    <n v="10"/>
    <n v="92.2"/>
    <n v="11.003029885748166"/>
    <n v="0.95"/>
    <n v="7.8710934153715639"/>
    <n v="77"/>
    <n v="111"/>
  </r>
  <r>
    <x v="0"/>
    <s v="2023-04-26 17:43:28"/>
    <n v="6"/>
    <x v="9"/>
    <x v="0"/>
    <x v="0"/>
    <n v="218"/>
    <n v="0"/>
    <s v="Unnamed Projectcomiendo.NumberSeizedTotal Number SeizedResource"/>
    <n v="10"/>
    <n v="203.5"/>
    <n v="12.96362432175337"/>
    <n v="0.95"/>
    <n v="9.2736181849755468"/>
    <n v="182"/>
    <n v="222"/>
  </r>
  <r>
    <x v="0"/>
    <s v="2023-04-26 17:43:28"/>
    <n v="6"/>
    <x v="10"/>
    <x v="1"/>
    <x v="0"/>
    <n v="0.59303053253801696"/>
    <n v="0"/>
    <s v="Unnamed Projectcomiendo.ScheduledUtilizationScheduled UtilizationResource"/>
    <n v="10"/>
    <n v="0.54567746104498949"/>
    <n v="3.6093067502765995E-2"/>
    <n v="0.95"/>
    <n v="2.5819425095769025E-2"/>
    <n v="0.48838500773485299"/>
    <n v="0.59303053253801696"/>
  </r>
  <r>
    <x v="0"/>
    <s v="2023-04-26 17:43:28"/>
    <n v="6"/>
    <x v="11"/>
    <x v="3"/>
    <x v="2"/>
    <n v="86"/>
    <n v="0"/>
    <s v="Unnamed Projectcpie.NumberInNumber InEntity"/>
    <n v="10"/>
    <n v="77.3"/>
    <n v="11.314199534704651"/>
    <n v="0.95"/>
    <n v="8.0936907726810521"/>
    <n v="64"/>
    <n v="105"/>
  </r>
  <r>
    <x v="0"/>
    <s v="2023-04-26 17:43:28"/>
    <n v="6"/>
    <x v="12"/>
    <x v="2"/>
    <x v="2"/>
    <n v="69"/>
    <n v="0"/>
    <s v="Unnamed Projectcpie.NumberOutNumber OutEntity"/>
    <n v="10"/>
    <n v="67"/>
    <n v="9.5916630466254382"/>
    <n v="0.95"/>
    <n v="6.8614624001471327"/>
    <n v="58"/>
    <n v="92"/>
  </r>
  <r>
    <x v="0"/>
    <s v="2023-04-26 17:43:28"/>
    <n v="7"/>
    <x v="0"/>
    <x v="0"/>
    <x v="0"/>
    <n v="220"/>
    <n v="0"/>
    <s v="Unnamed ProjectLlegada Pedidos.NumberSeizedTotal Number SeizedResource"/>
    <n v="10"/>
    <n v="213.2"/>
    <n v="15.540627757948235"/>
    <n v="0.95"/>
    <n v="11.117095389767675"/>
    <n v="190"/>
    <n v="235"/>
  </r>
  <r>
    <x v="0"/>
    <s v="2023-04-26 17:43:28"/>
    <n v="7"/>
    <x v="1"/>
    <x v="1"/>
    <x v="0"/>
    <n v="0.68659302270522504"/>
    <n v="0"/>
    <s v="Unnamed ProjectLlegada Pedidos.ScheduledUtilizationScheduled UtilizationResource"/>
    <n v="10"/>
    <n v="0.66170817272124971"/>
    <n v="4.5736088034979056E-2"/>
    <n v="0.95"/>
    <n v="3.2717626427904552E-2"/>
    <n v="0.59604324380846896"/>
    <n v="0.72905379552072003"/>
  </r>
  <r>
    <x v="0"/>
    <s v="2023-04-26 17:43:28"/>
    <n v="7"/>
    <x v="2"/>
    <x v="0"/>
    <x v="0"/>
    <n v="211"/>
    <n v="0"/>
    <s v="Unnamed ProjectRecoger pedidos.NumberSeizedTotal Number SeizedResource"/>
    <n v="10"/>
    <n v="205.3"/>
    <n v="12.944754407352296"/>
    <n v="0.95"/>
    <n v="9.2601194613936642"/>
    <n v="185"/>
    <n v="224"/>
  </r>
  <r>
    <x v="0"/>
    <s v="2023-04-26 17:43:28"/>
    <n v="7"/>
    <x v="3"/>
    <x v="1"/>
    <x v="0"/>
    <n v="0.59360317623750203"/>
    <n v="0"/>
    <s v="Unnamed ProjectRecoger pedidos.ScheduledUtilizationScheduled UtilizationResource"/>
    <n v="10"/>
    <n v="0.55143120740685148"/>
    <n v="3.4243845838583781E-2"/>
    <n v="0.95"/>
    <n v="2.4496571607625712E-2"/>
    <n v="0.49793942474087499"/>
    <n v="0.59360317623750203"/>
  </r>
  <r>
    <x v="0"/>
    <s v="2023-04-26 17:43:28"/>
    <n v="7"/>
    <x v="4"/>
    <x v="2"/>
    <x v="1"/>
    <n v="200"/>
    <n v="0"/>
    <s v="Unnamed ProjectSystem.NumberOutNumber OutSystem"/>
    <n v="10"/>
    <n v="190.4"/>
    <n v="12.029593139882625"/>
    <n v="0.95"/>
    <n v="8.6054525286323678"/>
    <n v="167"/>
    <n v="204"/>
  </r>
  <r>
    <x v="0"/>
    <s v="2023-04-26 17:43:28"/>
    <n v="7"/>
    <x v="5"/>
    <x v="3"/>
    <x v="2"/>
    <n v="28"/>
    <n v="0"/>
    <s v="Unnamed Projectcbus.NumberInNumber InEntity"/>
    <n v="10"/>
    <n v="31.2"/>
    <n v="3.7653389990514556"/>
    <n v="0.95"/>
    <n v="2.6935612562921287"/>
    <n v="26"/>
    <n v="39"/>
  </r>
  <r>
    <x v="0"/>
    <s v="2023-04-26 17:43:28"/>
    <n v="7"/>
    <x v="6"/>
    <x v="2"/>
    <x v="2"/>
    <n v="28"/>
    <n v="0"/>
    <s v="Unnamed Projectcbus.NumberOutNumber OutEntity"/>
    <n v="10"/>
    <n v="31.2"/>
    <n v="3.7653389990514556"/>
    <n v="0.95"/>
    <n v="2.6935612562921287"/>
    <n v="26"/>
    <n v="39"/>
  </r>
  <r>
    <x v="0"/>
    <s v="2023-04-26 17:43:28"/>
    <n v="7"/>
    <x v="7"/>
    <x v="3"/>
    <x v="2"/>
    <n v="122"/>
    <n v="0"/>
    <s v="Unnamed Projectccoche.NumberInNumber InEntity"/>
    <n v="10"/>
    <n v="105.9"/>
    <n v="13.714955340794928"/>
    <n v="0.95"/>
    <n v="9.8110880181169016"/>
    <n v="89"/>
    <n v="125"/>
  </r>
  <r>
    <x v="0"/>
    <s v="2023-04-26 17:43:28"/>
    <n v="7"/>
    <x v="8"/>
    <x v="2"/>
    <x v="2"/>
    <n v="105"/>
    <n v="0"/>
    <s v="Unnamed Projectccoche.NumberOutNumber OutEntity"/>
    <n v="10"/>
    <n v="92.2"/>
    <n v="11.003029885748166"/>
    <n v="0.95"/>
    <n v="7.8710934153715639"/>
    <n v="77"/>
    <n v="111"/>
  </r>
  <r>
    <x v="0"/>
    <s v="2023-04-26 17:43:28"/>
    <n v="7"/>
    <x v="9"/>
    <x v="0"/>
    <x v="0"/>
    <n v="209"/>
    <n v="0"/>
    <s v="Unnamed Projectcomiendo.NumberSeizedTotal Number SeizedResource"/>
    <n v="10"/>
    <n v="203.5"/>
    <n v="12.96362432175337"/>
    <n v="0.95"/>
    <n v="9.2736181849755468"/>
    <n v="182"/>
    <n v="222"/>
  </r>
  <r>
    <x v="0"/>
    <s v="2023-04-26 17:43:28"/>
    <n v="7"/>
    <x v="10"/>
    <x v="1"/>
    <x v="0"/>
    <n v="0.580647497288173"/>
    <n v="0"/>
    <s v="Unnamed Projectcomiendo.ScheduledUtilizationScheduled UtilizationResource"/>
    <n v="10"/>
    <n v="0.54567746104498949"/>
    <n v="3.6093067502765995E-2"/>
    <n v="0.95"/>
    <n v="2.5819425095769025E-2"/>
    <n v="0.48838500773485299"/>
    <n v="0.59303053253801696"/>
  </r>
  <r>
    <x v="0"/>
    <s v="2023-04-26 17:43:28"/>
    <n v="7"/>
    <x v="11"/>
    <x v="3"/>
    <x v="2"/>
    <n v="71"/>
    <n v="0"/>
    <s v="Unnamed Projectcpie.NumberInNumber InEntity"/>
    <n v="10"/>
    <n v="77.3"/>
    <n v="11.314199534704651"/>
    <n v="0.95"/>
    <n v="8.0936907726810521"/>
    <n v="64"/>
    <n v="105"/>
  </r>
  <r>
    <x v="0"/>
    <s v="2023-04-26 17:43:28"/>
    <n v="7"/>
    <x v="12"/>
    <x v="2"/>
    <x v="2"/>
    <n v="67"/>
    <n v="0"/>
    <s v="Unnamed Projectcpie.NumberOutNumber OutEntity"/>
    <n v="10"/>
    <n v="67"/>
    <n v="9.5916630466254382"/>
    <n v="0.95"/>
    <n v="6.8614624001471327"/>
    <n v="58"/>
    <n v="92"/>
  </r>
  <r>
    <x v="0"/>
    <s v="2023-04-26 17:43:28"/>
    <n v="8"/>
    <x v="0"/>
    <x v="0"/>
    <x v="0"/>
    <n v="190"/>
    <n v="0"/>
    <s v="Unnamed ProjectLlegada Pedidos.NumberSeizedTotal Number SeizedResource"/>
    <n v="10"/>
    <n v="213.2"/>
    <n v="15.540627757948235"/>
    <n v="0.95"/>
    <n v="11.117095389767675"/>
    <n v="190"/>
    <n v="235"/>
  </r>
  <r>
    <x v="0"/>
    <s v="2023-04-26 17:43:28"/>
    <n v="8"/>
    <x v="1"/>
    <x v="1"/>
    <x v="0"/>
    <n v="0.59604324380846896"/>
    <n v="0"/>
    <s v="Unnamed ProjectLlegada Pedidos.ScheduledUtilizationScheduled UtilizationResource"/>
    <n v="10"/>
    <n v="0.66170817272124971"/>
    <n v="4.5736088034979056E-2"/>
    <n v="0.95"/>
    <n v="3.2717626427904552E-2"/>
    <n v="0.59604324380846896"/>
    <n v="0.72905379552072003"/>
  </r>
  <r>
    <x v="0"/>
    <s v="2023-04-26 17:43:28"/>
    <n v="8"/>
    <x v="2"/>
    <x v="0"/>
    <x v="0"/>
    <n v="185"/>
    <n v="0"/>
    <s v="Unnamed ProjectRecoger pedidos.NumberSeizedTotal Number SeizedResource"/>
    <n v="10"/>
    <n v="205.3"/>
    <n v="12.944754407352296"/>
    <n v="0.95"/>
    <n v="9.2601194613936642"/>
    <n v="185"/>
    <n v="224"/>
  </r>
  <r>
    <x v="0"/>
    <s v="2023-04-26 17:43:28"/>
    <n v="8"/>
    <x v="3"/>
    <x v="1"/>
    <x v="0"/>
    <n v="0.49793942474087499"/>
    <n v="0"/>
    <s v="Unnamed ProjectRecoger pedidos.ScheduledUtilizationScheduled UtilizationResource"/>
    <n v="10"/>
    <n v="0.55143120740685148"/>
    <n v="3.4243845838583781E-2"/>
    <n v="0.95"/>
    <n v="2.4496571607625712E-2"/>
    <n v="0.49793942474087499"/>
    <n v="0.59360317623750203"/>
  </r>
  <r>
    <x v="0"/>
    <s v="2023-04-26 17:43:28"/>
    <n v="8"/>
    <x v="4"/>
    <x v="2"/>
    <x v="1"/>
    <n v="167"/>
    <n v="0"/>
    <s v="Unnamed ProjectSystem.NumberOutNumber OutSystem"/>
    <n v="10"/>
    <n v="190.4"/>
    <n v="12.029593139882625"/>
    <n v="0.95"/>
    <n v="8.6054525286323678"/>
    <n v="167"/>
    <n v="204"/>
  </r>
  <r>
    <x v="0"/>
    <s v="2023-04-26 17:43:28"/>
    <n v="8"/>
    <x v="5"/>
    <x v="3"/>
    <x v="2"/>
    <n v="30"/>
    <n v="0"/>
    <s v="Unnamed Projectcbus.NumberInNumber InEntity"/>
    <n v="10"/>
    <n v="31.2"/>
    <n v="3.7653389990514556"/>
    <n v="0.95"/>
    <n v="2.6935612562921287"/>
    <n v="26"/>
    <n v="39"/>
  </r>
  <r>
    <x v="0"/>
    <s v="2023-04-26 17:43:28"/>
    <n v="8"/>
    <x v="6"/>
    <x v="2"/>
    <x v="2"/>
    <n v="30"/>
    <n v="0"/>
    <s v="Unnamed Projectcbus.NumberOutNumber OutEntity"/>
    <n v="10"/>
    <n v="31.2"/>
    <n v="3.7653389990514556"/>
    <n v="0.95"/>
    <n v="2.6935612562921287"/>
    <n v="26"/>
    <n v="39"/>
  </r>
  <r>
    <x v="0"/>
    <s v="2023-04-26 17:43:28"/>
    <n v="8"/>
    <x v="7"/>
    <x v="3"/>
    <x v="2"/>
    <n v="89"/>
    <n v="0"/>
    <s v="Unnamed Projectccoche.NumberInNumber InEntity"/>
    <n v="10"/>
    <n v="105.9"/>
    <n v="13.714955340794928"/>
    <n v="0.95"/>
    <n v="9.8110880181169016"/>
    <n v="89"/>
    <n v="125"/>
  </r>
  <r>
    <x v="0"/>
    <s v="2023-04-26 17:43:28"/>
    <n v="8"/>
    <x v="8"/>
    <x v="2"/>
    <x v="2"/>
    <n v="77"/>
    <n v="0"/>
    <s v="Unnamed Projectccoche.NumberOutNumber OutEntity"/>
    <n v="10"/>
    <n v="92.2"/>
    <n v="11.003029885748166"/>
    <n v="0.95"/>
    <n v="7.8710934153715639"/>
    <n v="77"/>
    <n v="111"/>
  </r>
  <r>
    <x v="0"/>
    <s v="2023-04-26 17:43:28"/>
    <n v="8"/>
    <x v="9"/>
    <x v="0"/>
    <x v="0"/>
    <n v="182"/>
    <n v="0"/>
    <s v="Unnamed Projectcomiendo.NumberSeizedTotal Number SeizedResource"/>
    <n v="10"/>
    <n v="203.5"/>
    <n v="12.96362432175337"/>
    <n v="0.95"/>
    <n v="9.2736181849755468"/>
    <n v="182"/>
    <n v="222"/>
  </r>
  <r>
    <x v="0"/>
    <s v="2023-04-26 17:43:28"/>
    <n v="8"/>
    <x v="10"/>
    <x v="1"/>
    <x v="0"/>
    <n v="0.48838500773485299"/>
    <n v="0"/>
    <s v="Unnamed Projectcomiendo.ScheduledUtilizationScheduled UtilizationResource"/>
    <n v="10"/>
    <n v="0.54567746104498949"/>
    <n v="3.6093067502765995E-2"/>
    <n v="0.95"/>
    <n v="2.5819425095769025E-2"/>
    <n v="0.48838500773485299"/>
    <n v="0.59303053253801696"/>
  </r>
  <r>
    <x v="0"/>
    <s v="2023-04-26 17:43:28"/>
    <n v="8"/>
    <x v="11"/>
    <x v="3"/>
    <x v="2"/>
    <n v="71"/>
    <n v="0"/>
    <s v="Unnamed Projectcpie.NumberInNumber InEntity"/>
    <n v="10"/>
    <n v="77.3"/>
    <n v="11.314199534704651"/>
    <n v="0.95"/>
    <n v="8.0936907726810521"/>
    <n v="64"/>
    <n v="105"/>
  </r>
  <r>
    <x v="0"/>
    <s v="2023-04-26 17:43:28"/>
    <n v="8"/>
    <x v="12"/>
    <x v="2"/>
    <x v="2"/>
    <n v="60"/>
    <n v="0"/>
    <s v="Unnamed Projectcpie.NumberOutNumber OutEntity"/>
    <n v="10"/>
    <n v="67"/>
    <n v="9.5916630466254382"/>
    <n v="0.95"/>
    <n v="6.8614624001471327"/>
    <n v="58"/>
    <n v="92"/>
  </r>
  <r>
    <x v="0"/>
    <s v="2023-04-26 17:43:28"/>
    <n v="9"/>
    <x v="0"/>
    <x v="0"/>
    <x v="0"/>
    <n v="226"/>
    <n v="0"/>
    <s v="Unnamed ProjectLlegada Pedidos.NumberSeizedTotal Number SeizedResource"/>
    <n v="10"/>
    <n v="213.2"/>
    <n v="15.540627757948235"/>
    <n v="0.95"/>
    <n v="11.117095389767675"/>
    <n v="190"/>
    <n v="235"/>
  </r>
  <r>
    <x v="0"/>
    <s v="2023-04-26 17:43:28"/>
    <n v="9"/>
    <x v="1"/>
    <x v="1"/>
    <x v="0"/>
    <n v="0.70159536378357401"/>
    <n v="0"/>
    <s v="Unnamed ProjectLlegada Pedidos.ScheduledUtilizationScheduled UtilizationResource"/>
    <n v="10"/>
    <n v="0.66170817272124971"/>
    <n v="4.5736088034979056E-2"/>
    <n v="0.95"/>
    <n v="3.2717626427904552E-2"/>
    <n v="0.59604324380846896"/>
    <n v="0.72905379552072003"/>
  </r>
  <r>
    <x v="0"/>
    <s v="2023-04-26 17:43:28"/>
    <n v="9"/>
    <x v="2"/>
    <x v="0"/>
    <x v="0"/>
    <n v="217"/>
    <n v="0"/>
    <s v="Unnamed ProjectRecoger pedidos.NumberSeizedTotal Number SeizedResource"/>
    <n v="10"/>
    <n v="205.3"/>
    <n v="12.944754407352296"/>
    <n v="0.95"/>
    <n v="9.2601194613936642"/>
    <n v="185"/>
    <n v="224"/>
  </r>
  <r>
    <x v="0"/>
    <s v="2023-04-26 17:43:28"/>
    <n v="9"/>
    <x v="3"/>
    <x v="1"/>
    <x v="0"/>
    <n v="0.58195109722648797"/>
    <n v="0"/>
    <s v="Unnamed ProjectRecoger pedidos.ScheduledUtilizationScheduled UtilizationResource"/>
    <n v="10"/>
    <n v="0.55143120740685148"/>
    <n v="3.4243845838583781E-2"/>
    <n v="0.95"/>
    <n v="2.4496571607625712E-2"/>
    <n v="0.49793942474087499"/>
    <n v="0.59360317623750203"/>
  </r>
  <r>
    <x v="0"/>
    <s v="2023-04-26 17:43:28"/>
    <n v="9"/>
    <x v="4"/>
    <x v="2"/>
    <x v="1"/>
    <n v="201"/>
    <n v="0"/>
    <s v="Unnamed ProjectSystem.NumberOutNumber OutSystem"/>
    <n v="10"/>
    <n v="190.4"/>
    <n v="12.029593139882625"/>
    <n v="0.95"/>
    <n v="8.6054525286323678"/>
    <n v="167"/>
    <n v="204"/>
  </r>
  <r>
    <x v="0"/>
    <s v="2023-04-26 17:43:28"/>
    <n v="9"/>
    <x v="5"/>
    <x v="3"/>
    <x v="2"/>
    <n v="31"/>
    <n v="0"/>
    <s v="Unnamed Projectcbus.NumberInNumber InEntity"/>
    <n v="10"/>
    <n v="31.2"/>
    <n v="3.7653389990514556"/>
    <n v="0.95"/>
    <n v="2.6935612562921287"/>
    <n v="26"/>
    <n v="39"/>
  </r>
  <r>
    <x v="0"/>
    <s v="2023-04-26 17:43:28"/>
    <n v="9"/>
    <x v="6"/>
    <x v="2"/>
    <x v="2"/>
    <n v="31"/>
    <n v="0"/>
    <s v="Unnamed Projectcbus.NumberOutNumber OutEntity"/>
    <n v="10"/>
    <n v="31.2"/>
    <n v="3.7653389990514556"/>
    <n v="0.95"/>
    <n v="2.6935612562921287"/>
    <n v="26"/>
    <n v="39"/>
  </r>
  <r>
    <x v="0"/>
    <s v="2023-04-26 17:43:28"/>
    <n v="9"/>
    <x v="7"/>
    <x v="3"/>
    <x v="2"/>
    <n v="94"/>
    <n v="0"/>
    <s v="Unnamed Projectccoche.NumberInNumber InEntity"/>
    <n v="10"/>
    <n v="105.9"/>
    <n v="13.714955340794928"/>
    <n v="0.95"/>
    <n v="9.8110880181169016"/>
    <n v="89"/>
    <n v="125"/>
  </r>
  <r>
    <x v="0"/>
    <s v="2023-04-26 17:43:28"/>
    <n v="9"/>
    <x v="8"/>
    <x v="2"/>
    <x v="2"/>
    <n v="78"/>
    <n v="0"/>
    <s v="Unnamed Projectccoche.NumberOutNumber OutEntity"/>
    <n v="10"/>
    <n v="92.2"/>
    <n v="11.003029885748166"/>
    <n v="0.95"/>
    <n v="7.8710934153715639"/>
    <n v="77"/>
    <n v="111"/>
  </r>
  <r>
    <x v="0"/>
    <s v="2023-04-26 17:43:28"/>
    <n v="9"/>
    <x v="9"/>
    <x v="0"/>
    <x v="0"/>
    <n v="215"/>
    <n v="0"/>
    <s v="Unnamed Projectcomiendo.NumberSeizedTotal Number SeizedResource"/>
    <n v="10"/>
    <n v="203.5"/>
    <n v="12.96362432175337"/>
    <n v="0.95"/>
    <n v="9.2736181849755468"/>
    <n v="182"/>
    <n v="222"/>
  </r>
  <r>
    <x v="0"/>
    <s v="2023-04-26 17:43:28"/>
    <n v="9"/>
    <x v="10"/>
    <x v="1"/>
    <x v="0"/>
    <n v="0.57545560630387704"/>
    <n v="0"/>
    <s v="Unnamed Projectcomiendo.ScheduledUtilizationScheduled UtilizationResource"/>
    <n v="10"/>
    <n v="0.54567746104498949"/>
    <n v="3.6093067502765995E-2"/>
    <n v="0.95"/>
    <n v="2.5819425095769025E-2"/>
    <n v="0.48838500773485299"/>
    <n v="0.59303053253801696"/>
  </r>
  <r>
    <x v="0"/>
    <s v="2023-04-26 17:43:28"/>
    <n v="9"/>
    <x v="11"/>
    <x v="3"/>
    <x v="2"/>
    <n v="105"/>
    <n v="0"/>
    <s v="Unnamed Projectcpie.NumberInNumber InEntity"/>
    <n v="10"/>
    <n v="77.3"/>
    <n v="11.314199534704651"/>
    <n v="0.95"/>
    <n v="8.0936907726810521"/>
    <n v="64"/>
    <n v="105"/>
  </r>
  <r>
    <x v="0"/>
    <s v="2023-04-26 17:43:28"/>
    <n v="9"/>
    <x v="12"/>
    <x v="2"/>
    <x v="2"/>
    <n v="92"/>
    <n v="0"/>
    <s v="Unnamed Projectcpie.NumberOutNumber OutEntity"/>
    <n v="10"/>
    <n v="67"/>
    <n v="9.5916630466254382"/>
    <n v="0.95"/>
    <n v="6.8614624001471327"/>
    <n v="58"/>
    <n v="92"/>
  </r>
  <r>
    <x v="0"/>
    <s v="2023-04-26 17:43:28"/>
    <n v="10"/>
    <x v="0"/>
    <x v="0"/>
    <x v="0"/>
    <n v="201"/>
    <n v="0"/>
    <s v="Unnamed ProjectLlegada Pedidos.NumberSeizedTotal Number SeizedResource"/>
    <n v="10"/>
    <n v="213.2"/>
    <n v="15.540627757948235"/>
    <n v="0.95"/>
    <n v="11.117095389767675"/>
    <n v="190"/>
    <n v="235"/>
  </r>
  <r>
    <x v="0"/>
    <s v="2023-04-26 17:43:28"/>
    <n v="10"/>
    <x v="1"/>
    <x v="1"/>
    <x v="0"/>
    <n v="0.63663958506159302"/>
    <n v="0"/>
    <s v="Unnamed ProjectLlegada Pedidos.ScheduledUtilizationScheduled UtilizationResource"/>
    <n v="10"/>
    <n v="0.66170817272124971"/>
    <n v="4.5736088034979056E-2"/>
    <n v="0.95"/>
    <n v="3.2717626427904552E-2"/>
    <n v="0.59604324380846896"/>
    <n v="0.72905379552072003"/>
  </r>
  <r>
    <x v="0"/>
    <s v="2023-04-26 17:43:28"/>
    <n v="10"/>
    <x v="2"/>
    <x v="0"/>
    <x v="0"/>
    <n v="198"/>
    <n v="0"/>
    <s v="Unnamed ProjectRecoger pedidos.NumberSeizedTotal Number SeizedResource"/>
    <n v="10"/>
    <n v="205.3"/>
    <n v="12.944754407352296"/>
    <n v="0.95"/>
    <n v="9.2601194613936642"/>
    <n v="185"/>
    <n v="224"/>
  </r>
  <r>
    <x v="0"/>
    <s v="2023-04-26 17:43:28"/>
    <n v="10"/>
    <x v="3"/>
    <x v="1"/>
    <x v="0"/>
    <n v="0.51731243167710295"/>
    <n v="0"/>
    <s v="Unnamed ProjectRecoger pedidos.ScheduledUtilizationScheduled UtilizationResource"/>
    <n v="10"/>
    <n v="0.55143120740685148"/>
    <n v="3.4243845838583781E-2"/>
    <n v="0.95"/>
    <n v="2.4496571607625712E-2"/>
    <n v="0.49793942474087499"/>
    <n v="0.59360317623750203"/>
  </r>
  <r>
    <x v="0"/>
    <s v="2023-04-26 17:43:28"/>
    <n v="10"/>
    <x v="4"/>
    <x v="2"/>
    <x v="1"/>
    <n v="190"/>
    <n v="0"/>
    <s v="Unnamed ProjectSystem.NumberOutNumber OutSystem"/>
    <n v="10"/>
    <n v="190.4"/>
    <n v="12.029593139882625"/>
    <n v="0.95"/>
    <n v="8.6054525286323678"/>
    <n v="167"/>
    <n v="204"/>
  </r>
  <r>
    <x v="0"/>
    <s v="2023-04-26 17:43:28"/>
    <n v="10"/>
    <x v="5"/>
    <x v="3"/>
    <x v="2"/>
    <n v="33"/>
    <n v="0"/>
    <s v="Unnamed Projectcbus.NumberInNumber InEntity"/>
    <n v="10"/>
    <n v="31.2"/>
    <n v="3.7653389990514556"/>
    <n v="0.95"/>
    <n v="2.6935612562921287"/>
    <n v="26"/>
    <n v="39"/>
  </r>
  <r>
    <x v="0"/>
    <s v="2023-04-26 17:43:28"/>
    <n v="10"/>
    <x v="6"/>
    <x v="2"/>
    <x v="2"/>
    <n v="33"/>
    <n v="0"/>
    <s v="Unnamed Projectcbus.NumberOutNumber OutEntity"/>
    <n v="10"/>
    <n v="31.2"/>
    <n v="3.7653389990514556"/>
    <n v="0.95"/>
    <n v="2.6935612562921287"/>
    <n v="26"/>
    <n v="39"/>
  </r>
  <r>
    <x v="0"/>
    <s v="2023-04-26 17:43:28"/>
    <n v="10"/>
    <x v="7"/>
    <x v="3"/>
    <x v="2"/>
    <n v="91"/>
    <n v="0"/>
    <s v="Unnamed Projectccoche.NumberInNumber InEntity"/>
    <n v="10"/>
    <n v="105.9"/>
    <n v="13.714955340794928"/>
    <n v="0.95"/>
    <n v="9.8110880181169016"/>
    <n v="89"/>
    <n v="125"/>
  </r>
  <r>
    <x v="0"/>
    <s v="2023-04-26 17:43:28"/>
    <n v="10"/>
    <x v="8"/>
    <x v="2"/>
    <x v="2"/>
    <n v="91"/>
    <n v="0"/>
    <s v="Unnamed Projectccoche.NumberOutNumber OutEntity"/>
    <n v="10"/>
    <n v="92.2"/>
    <n v="11.003029885748166"/>
    <n v="0.95"/>
    <n v="7.8710934153715639"/>
    <n v="77"/>
    <n v="111"/>
  </r>
  <r>
    <x v="0"/>
    <s v="2023-04-26 17:43:28"/>
    <n v="10"/>
    <x v="9"/>
    <x v="0"/>
    <x v="0"/>
    <n v="196"/>
    <n v="0"/>
    <s v="Unnamed Projectcomiendo.NumberSeizedTotal Number SeizedResource"/>
    <n v="10"/>
    <n v="203.5"/>
    <n v="12.96362432175337"/>
    <n v="0.95"/>
    <n v="9.2736181849755468"/>
    <n v="182"/>
    <n v="222"/>
  </r>
  <r>
    <x v="0"/>
    <s v="2023-04-26 17:43:28"/>
    <n v="10"/>
    <x v="10"/>
    <x v="1"/>
    <x v="0"/>
    <n v="0.53422451206924004"/>
    <n v="0"/>
    <s v="Unnamed Projectcomiendo.ScheduledUtilizationScheduled UtilizationResource"/>
    <n v="10"/>
    <n v="0.54567746104498949"/>
    <n v="3.6093067502765995E-2"/>
    <n v="0.95"/>
    <n v="2.5819425095769025E-2"/>
    <n v="0.48838500773485299"/>
    <n v="0.59303053253801696"/>
  </r>
  <r>
    <x v="0"/>
    <s v="2023-04-26 17:43:28"/>
    <n v="10"/>
    <x v="11"/>
    <x v="3"/>
    <x v="2"/>
    <n v="77"/>
    <n v="0"/>
    <s v="Unnamed Projectcpie.NumberInNumber InEntity"/>
    <n v="10"/>
    <n v="77.3"/>
    <n v="11.314199534704651"/>
    <n v="0.95"/>
    <n v="8.0936907726810521"/>
    <n v="64"/>
    <n v="105"/>
  </r>
  <r>
    <x v="0"/>
    <s v="2023-04-26 17:43:28"/>
    <n v="10"/>
    <x v="12"/>
    <x v="2"/>
    <x v="2"/>
    <n v="66"/>
    <n v="0"/>
    <s v="Unnamed Projectcpie.NumberOutNumber OutEntity"/>
    <n v="10"/>
    <n v="67"/>
    <n v="9.5916630466254382"/>
    <n v="0.95"/>
    <n v="6.8614624001471327"/>
    <n v="58"/>
    <n v="9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m="1" x="131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5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 v="3"/>
      <x v="1"/>
    </i>
    <i r="1">
      <x v="128"/>
      <x v="4"/>
      <x/>
    </i>
    <i r="1">
      <x v="129"/>
      <x v="4"/>
      <x/>
    </i>
    <i r="1">
      <x v="130"/>
      <x v="3"/>
      <x v="1"/>
    </i>
    <i r="1">
      <x v="131"/>
      <x/>
      <x v="2"/>
    </i>
    <i r="2">
      <x v="1"/>
      <x v="2"/>
    </i>
    <i r="2">
      <x v="2"/>
      <x v="2"/>
    </i>
    <i r="1">
      <x v="132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4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6">
        <item m="1" x="17"/>
        <item m="1" x="40"/>
        <item m="1" x="12"/>
        <item m="1" x="92"/>
        <item m="1" x="75"/>
        <item m="1" x="45"/>
        <item m="1" x="101"/>
        <item m="1" x="33"/>
        <item m="1" x="37"/>
        <item m="1" x="104"/>
        <item m="1" x="70"/>
        <item m="1" x="82"/>
        <item m="1" x="87"/>
        <item m="1" x="11"/>
        <item m="1" x="39"/>
        <item m="1" x="29"/>
        <item m="1" x="105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12">
        <item x="7"/>
        <item x="0"/>
        <item x="1"/>
        <item x="2"/>
        <item x="3"/>
        <item x="4"/>
        <item x="5"/>
        <item x="6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2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  <i r="1">
      <x v="102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3"/>
      <x/>
      <x v="2"/>
    </i>
    <i r="1">
      <x v="104"/>
      <x v="7"/>
      <x v="1"/>
    </i>
    <i r="1">
      <x v="105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1">
        <item m="1" x="38"/>
        <item m="1" x="14"/>
        <item m="1" x="39"/>
        <item m="1" x="15"/>
        <item m="1" x="40"/>
        <item m="1" x="16"/>
        <item m="1" x="41"/>
        <item m="1" x="17"/>
        <item m="1" x="73"/>
        <item m="1" x="28"/>
        <item x="4"/>
        <item m="1" x="72"/>
        <item m="1" x="59"/>
        <item m="1" x="76"/>
        <item m="1" x="61"/>
        <item m="1" x="77"/>
        <item m="1" x="84"/>
        <item m="1" x="53"/>
        <item m="1" x="21"/>
        <item m="1" x="70"/>
        <item m="1" x="60"/>
        <item m="1" x="58"/>
        <item m="1" x="24"/>
        <item m="1" x="68"/>
        <item m="1" x="33"/>
        <item m="1" x="69"/>
        <item m="1" x="34"/>
        <item m="1" x="67"/>
        <item m="1" x="87"/>
        <item m="1" x="27"/>
        <item m="1" x="90"/>
        <item m="1" x="55"/>
        <item m="1" x="22"/>
        <item m="1" x="85"/>
        <item m="1" x="80"/>
        <item m="1" x="56"/>
        <item m="1" x="23"/>
        <item m="1" x="86"/>
        <item m="1" x="81"/>
        <item m="1" x="18"/>
        <item m="1" x="52"/>
        <item m="1" x="36"/>
        <item m="1" x="26"/>
        <item m="1" x="78"/>
        <item m="1" x="48"/>
        <item m="1" x="79"/>
        <item m="1" x="49"/>
        <item m="1" x="35"/>
        <item m="1" x="30"/>
        <item m="1" x="57"/>
        <item m="1" x="32"/>
        <item m="1" x="89"/>
        <item m="1" x="82"/>
        <item m="1" x="31"/>
        <item m="1" x="29"/>
        <item m="1" x="74"/>
        <item m="1" x="83"/>
        <item m="1" x="19"/>
        <item m="1" x="37"/>
        <item m="1" x="50"/>
        <item m="1" x="71"/>
        <item m="1" x="88"/>
        <item m="1" x="20"/>
        <item m="1" x="47"/>
        <item m="1" x="51"/>
        <item m="1" x="75"/>
        <item m="1" x="54"/>
        <item m="1" x="25"/>
        <item m="1" x="42"/>
        <item m="1" x="62"/>
        <item m="1" x="43"/>
        <item m="1" x="63"/>
        <item m="1" x="44"/>
        <item m="1" x="64"/>
        <item m="1" x="45"/>
        <item m="1" x="65"/>
        <item m="1" x="46"/>
        <item m="1" x="66"/>
        <item m="1" x="13"/>
        <item x="0"/>
        <item x="1"/>
        <item x="2"/>
        <item x="3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3"/>
        <item x="2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  <i r="1">
      <x v="85"/>
      <x/>
      <x/>
    </i>
    <i r="1">
      <x v="86"/>
      <x v="1"/>
      <x/>
    </i>
    <i r="1">
      <x v="87"/>
      <x v="3"/>
      <x v="1"/>
    </i>
    <i r="1">
      <x v="88"/>
      <x v="2"/>
      <x v="1"/>
    </i>
    <i r="1">
      <x v="89"/>
      <x/>
      <x/>
    </i>
    <i r="1">
      <x v="9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21" tableType="queryTable" totalsRowShown="0">
  <autoFilter ref="A1:Y221" xr:uid="{C3D003CA-1AFF-426C-A03D-D3AF5760DF1A}"/>
  <sortState xmlns:xlrd2="http://schemas.microsoft.com/office/spreadsheetml/2017/richdata2" ref="A2:Y221">
    <sortCondition ref="D1:D22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55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54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3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2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1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0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49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48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47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46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45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44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3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2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61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60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59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58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57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56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31" tableType="queryTable" totalsRowShown="0">
  <autoFilter ref="A1:P13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baseColWidth="10" defaultColWidth="8.88671875" defaultRowHeight="14.4" x14ac:dyDescent="0.3"/>
  <cols>
    <col min="1" max="1" width="15.109375" bestFit="1" customWidth="1"/>
    <col min="2" max="2" width="80.88671875" bestFit="1" customWidth="1"/>
    <col min="3" max="3" width="18" bestFit="1" customWidth="1"/>
    <col min="4" max="4" width="11.6640625" bestFit="1" customWidth="1"/>
    <col min="5" max="5" width="22.33203125" bestFit="1" customWidth="1"/>
    <col min="6" max="6" width="24.109375" bestFit="1" customWidth="1"/>
    <col min="7" max="7" width="19.33203125" bestFit="1" customWidth="1"/>
    <col min="8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10</v>
      </c>
      <c r="F2">
        <v>240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4"/>
  <sheetViews>
    <sheetView tabSelected="1" workbookViewId="0"/>
  </sheetViews>
  <sheetFormatPr baseColWidth="10" defaultColWidth="8.88671875" defaultRowHeight="14.4" x14ac:dyDescent="0.3"/>
  <cols>
    <col min="1" max="1" width="33.21875" customWidth="1"/>
    <col min="2" max="2" width="28.6640625" bestFit="1" customWidth="1"/>
    <col min="3" max="4" width="12.5546875" bestFit="1" customWidth="1"/>
    <col min="5" max="5" width="28.5546875" bestFit="1" customWidth="1"/>
    <col min="6" max="6" width="19.44140625" bestFit="1" customWidth="1"/>
    <col min="7" max="7" width="12" bestFit="1" customWidth="1"/>
    <col min="8" max="8" width="26.5546875" bestFit="1" customWidth="1"/>
    <col min="9" max="9" width="26.6640625" bestFit="1" customWidth="1"/>
    <col min="10" max="10" width="27" bestFit="1" customWidth="1"/>
    <col min="11" max="11" width="15.88671875" bestFit="1" customWidth="1"/>
    <col min="12" max="12" width="16.33203125" bestFit="1" customWidth="1"/>
    <col min="13" max="13" width="29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5546875" bestFit="1" customWidth="1"/>
    <col min="20" max="20" width="12" bestFit="1" customWidth="1"/>
    <col min="21" max="21" width="26.5546875" bestFit="1" customWidth="1"/>
    <col min="22" max="22" width="21.6640625" bestFit="1" customWidth="1"/>
    <col min="23" max="23" width="22" bestFit="1" customWidth="1"/>
    <col min="24" max="24" width="15.88671875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0" bestFit="1" customWidth="1"/>
    <col min="31" max="31" width="24.5546875" bestFit="1" customWidth="1"/>
    <col min="32" max="32" width="10.109375" bestFit="1" customWidth="1"/>
    <col min="33" max="33" width="29" bestFit="1" customWidth="1"/>
    <col min="34" max="34" width="19.44140625" bestFit="1" customWidth="1"/>
    <col min="35" max="35" width="19.77734375" bestFit="1" customWidth="1"/>
    <col min="36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5546875" bestFit="1" customWidth="1"/>
    <col min="42" max="42" width="12" bestFit="1" customWidth="1"/>
    <col min="43" max="43" width="29" bestFit="1" customWidth="1"/>
    <col min="44" max="44" width="19.44140625" bestFit="1" customWidth="1"/>
    <col min="45" max="45" width="19.77734375" bestFit="1" customWidth="1"/>
    <col min="46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10" bestFit="1" customWidth="1"/>
    <col min="51" max="51" width="26.109375" bestFit="1" customWidth="1"/>
    <col min="52" max="52" width="26.88671875" bestFit="1" customWidth="1"/>
    <col min="53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76</v>
      </c>
      <c r="C3" t="s">
        <v>77</v>
      </c>
      <c r="D3" t="s">
        <v>78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31.2</v>
      </c>
      <c r="O3" t="s">
        <v>66</v>
      </c>
      <c r="P3" t="s">
        <v>87</v>
      </c>
      <c r="Q3" t="s">
        <v>88</v>
      </c>
      <c r="R3" t="s">
        <v>89</v>
      </c>
      <c r="S3" s="5">
        <v>0.6595273690195278</v>
      </c>
      <c r="T3" s="5">
        <v>3.0944246742323132E-2</v>
      </c>
      <c r="U3" s="5">
        <v>4.3257074173814004E-2</v>
      </c>
      <c r="V3" s="5">
        <v>0.59113797604853702</v>
      </c>
      <c r="W3" s="5">
        <v>0.72596398581696897</v>
      </c>
      <c r="X3" s="5">
        <v>0</v>
      </c>
      <c r="Y3" s="5">
        <v>1</v>
      </c>
      <c r="AA3" t="s">
        <v>114</v>
      </c>
      <c r="AB3" t="s">
        <v>114</v>
      </c>
      <c r="AC3" t="s">
        <v>114</v>
      </c>
      <c r="AD3" t="s">
        <v>114</v>
      </c>
      <c r="AE3" s="5"/>
      <c r="AF3" s="5"/>
      <c r="AG3" s="5"/>
      <c r="AH3" s="5"/>
      <c r="AI3" s="5"/>
      <c r="AK3" t="s">
        <v>66</v>
      </c>
      <c r="AL3" t="s">
        <v>102</v>
      </c>
      <c r="AM3" t="s">
        <v>103</v>
      </c>
      <c r="AN3" t="s">
        <v>104</v>
      </c>
      <c r="AO3" s="5">
        <v>190.4</v>
      </c>
      <c r="AP3" s="5">
        <v>8.6054525286323678</v>
      </c>
      <c r="AQ3" s="5">
        <v>12.029593139882625</v>
      </c>
      <c r="AR3" s="5">
        <v>167</v>
      </c>
      <c r="AS3" s="5">
        <v>204</v>
      </c>
      <c r="AU3" t="s">
        <v>114</v>
      </c>
      <c r="AV3" t="s">
        <v>114</v>
      </c>
      <c r="AW3" t="s">
        <v>114</v>
      </c>
      <c r="AX3" t="s">
        <v>114</v>
      </c>
      <c r="AY3" s="4"/>
      <c r="AZ3" s="4"/>
    </row>
    <row r="4" spans="1:52" x14ac:dyDescent="0.3">
      <c r="C4" t="s">
        <v>79</v>
      </c>
      <c r="D4" t="s">
        <v>78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31.2</v>
      </c>
      <c r="Q4" t="s">
        <v>90</v>
      </c>
      <c r="R4" t="s">
        <v>89</v>
      </c>
      <c r="S4" s="5">
        <v>3.8048219931471854</v>
      </c>
      <c r="T4" s="5">
        <v>0.18812635196045085</v>
      </c>
      <c r="U4" s="5">
        <v>0.26298250620112912</v>
      </c>
      <c r="V4" s="5">
        <v>3.4272486518987</v>
      </c>
      <c r="W4" s="5">
        <v>4.1920593242441404</v>
      </c>
      <c r="X4" s="5">
        <v>0</v>
      </c>
      <c r="Y4" s="5">
        <v>6</v>
      </c>
      <c r="AL4" t="s">
        <v>96</v>
      </c>
      <c r="AM4" t="s">
        <v>97</v>
      </c>
      <c r="AN4" t="s">
        <v>89</v>
      </c>
      <c r="AO4" s="5">
        <v>213.2</v>
      </c>
      <c r="AP4" s="5">
        <v>11.117095389767675</v>
      </c>
      <c r="AQ4" s="5">
        <v>15.540627757948235</v>
      </c>
      <c r="AR4" s="5">
        <v>190</v>
      </c>
      <c r="AS4" s="5">
        <v>235</v>
      </c>
    </row>
    <row r="5" spans="1:52" x14ac:dyDescent="0.3">
      <c r="C5" t="s">
        <v>80</v>
      </c>
      <c r="D5" t="s">
        <v>78</v>
      </c>
      <c r="E5" s="5">
        <v>38.906164156467867</v>
      </c>
      <c r="F5" s="5">
        <v>1</v>
      </c>
      <c r="G5" s="5">
        <v>1.3076424103728945</v>
      </c>
      <c r="H5" s="5">
        <v>1.8279580436824889</v>
      </c>
      <c r="I5" s="5">
        <v>36.343398970582797</v>
      </c>
      <c r="J5" s="5">
        <v>41.3916793980557</v>
      </c>
      <c r="K5" s="5">
        <v>21.5905647950899</v>
      </c>
      <c r="L5" s="5">
        <v>60.085510848846901</v>
      </c>
      <c r="M5" s="5">
        <v>31.2</v>
      </c>
      <c r="Q5" t="s">
        <v>91</v>
      </c>
      <c r="R5" t="s">
        <v>89</v>
      </c>
      <c r="S5" s="5">
        <v>5.75</v>
      </c>
      <c r="T5" s="5">
        <v>0</v>
      </c>
      <c r="U5" s="5">
        <v>0</v>
      </c>
      <c r="V5" s="5">
        <v>5.75</v>
      </c>
      <c r="W5" s="5">
        <v>5.75</v>
      </c>
      <c r="X5" s="5">
        <v>5</v>
      </c>
      <c r="Y5" s="5">
        <v>6</v>
      </c>
      <c r="AL5" t="s">
        <v>98</v>
      </c>
      <c r="AM5" t="s">
        <v>99</v>
      </c>
      <c r="AN5" t="s">
        <v>89</v>
      </c>
      <c r="AO5" s="5">
        <v>0.66170817272124971</v>
      </c>
      <c r="AP5" s="5">
        <v>3.2717626427904552E-2</v>
      </c>
      <c r="AQ5" s="5">
        <v>4.5736088034979056E-2</v>
      </c>
      <c r="AR5" s="5">
        <v>0.59604324380846896</v>
      </c>
      <c r="AS5" s="5">
        <v>0.72905379552072003</v>
      </c>
    </row>
    <row r="6" spans="1:52" x14ac:dyDescent="0.3">
      <c r="C6" t="s">
        <v>81</v>
      </c>
      <c r="D6" t="s">
        <v>78</v>
      </c>
      <c r="E6" s="5">
        <v>2.4758267117727573</v>
      </c>
      <c r="F6" s="5">
        <v>1</v>
      </c>
      <c r="G6" s="5">
        <v>0.20790310648187366</v>
      </c>
      <c r="H6" s="5">
        <v>0.29062850270491319</v>
      </c>
      <c r="I6" s="5">
        <v>1.9664936967620199</v>
      </c>
      <c r="J6" s="5">
        <v>2.9622895045267401</v>
      </c>
      <c r="K6" s="5">
        <v>0.24044410972067001</v>
      </c>
      <c r="L6" s="5">
        <v>9.0397657436027608</v>
      </c>
      <c r="M6" s="5">
        <v>31.2</v>
      </c>
      <c r="P6" t="s">
        <v>72</v>
      </c>
      <c r="Q6" t="s">
        <v>92</v>
      </c>
      <c r="R6" t="s">
        <v>74</v>
      </c>
      <c r="S6" s="5">
        <v>3.4276072930460231</v>
      </c>
      <c r="T6" s="5">
        <v>0.91607041091680408</v>
      </c>
      <c r="U6" s="5">
        <v>1.2805781327766621</v>
      </c>
      <c r="V6" s="5">
        <v>1.4388039171548199</v>
      </c>
      <c r="W6" s="5">
        <v>5.2886106373322104</v>
      </c>
      <c r="X6" s="5">
        <v>0</v>
      </c>
      <c r="Y6" s="5">
        <v>36</v>
      </c>
      <c r="AL6" t="s">
        <v>100</v>
      </c>
      <c r="AM6" t="s">
        <v>97</v>
      </c>
      <c r="AN6" t="s">
        <v>89</v>
      </c>
      <c r="AO6" s="5">
        <v>205.3</v>
      </c>
      <c r="AP6" s="5">
        <v>9.2601194613936642</v>
      </c>
      <c r="AQ6" s="5">
        <v>12.944754407352296</v>
      </c>
      <c r="AR6" s="5">
        <v>185</v>
      </c>
      <c r="AS6" s="5">
        <v>224</v>
      </c>
    </row>
    <row r="7" spans="1:52" x14ac:dyDescent="0.3">
      <c r="C7" t="s">
        <v>82</v>
      </c>
      <c r="D7" t="s">
        <v>78</v>
      </c>
      <c r="E7" s="5">
        <v>25.515113070670481</v>
      </c>
      <c r="F7" s="5">
        <v>1</v>
      </c>
      <c r="G7" s="5">
        <v>0.49625638833326502</v>
      </c>
      <c r="H7" s="5">
        <v>0.69371859583839046</v>
      </c>
      <c r="I7" s="5">
        <v>24.693613478441701</v>
      </c>
      <c r="J7" s="5">
        <v>26.663484139011398</v>
      </c>
      <c r="K7" s="5">
        <v>16.436283991791001</v>
      </c>
      <c r="L7" s="5">
        <v>36.383869759363698</v>
      </c>
      <c r="M7" s="5">
        <v>31.2</v>
      </c>
      <c r="P7" t="s">
        <v>93</v>
      </c>
      <c r="Q7" t="s">
        <v>88</v>
      </c>
      <c r="R7" t="s">
        <v>89</v>
      </c>
      <c r="S7" s="5">
        <v>0.5604361436219214</v>
      </c>
      <c r="T7" s="5">
        <v>2.5263396899939575E-2</v>
      </c>
      <c r="U7" s="5">
        <v>3.5315793681560653E-2</v>
      </c>
      <c r="V7" s="5">
        <v>0.51502488611470398</v>
      </c>
      <c r="W7" s="5">
        <v>0.60298436758055496</v>
      </c>
      <c r="X7" s="5">
        <v>0</v>
      </c>
      <c r="Y7" s="5">
        <v>1</v>
      </c>
      <c r="AL7" t="s">
        <v>101</v>
      </c>
      <c r="AM7" t="s">
        <v>99</v>
      </c>
      <c r="AN7" t="s">
        <v>89</v>
      </c>
      <c r="AO7" s="5">
        <v>0.55143120740685148</v>
      </c>
      <c r="AP7" s="5">
        <v>2.4496571607625712E-2</v>
      </c>
      <c r="AQ7" s="5">
        <v>3.4243845838583781E-2</v>
      </c>
      <c r="AR7" s="5">
        <v>0.49793942474087499</v>
      </c>
      <c r="AS7" s="5">
        <v>0.59360317623750203</v>
      </c>
    </row>
    <row r="8" spans="1:52" x14ac:dyDescent="0.3">
      <c r="C8" t="s">
        <v>83</v>
      </c>
      <c r="D8" t="s">
        <v>78</v>
      </c>
      <c r="E8" s="5">
        <v>10.915224374024641</v>
      </c>
      <c r="F8" s="5">
        <v>1</v>
      </c>
      <c r="G8" s="5">
        <v>1.1248522898490634</v>
      </c>
      <c r="H8" s="5">
        <v>1.5724350746607474</v>
      </c>
      <c r="I8" s="5">
        <v>8.6624511665201407</v>
      </c>
      <c r="J8" s="5">
        <v>13.3543995277</v>
      </c>
      <c r="K8" s="5">
        <v>0</v>
      </c>
      <c r="L8" s="5">
        <v>25.723574494566702</v>
      </c>
      <c r="M8" s="5">
        <v>31.2</v>
      </c>
      <c r="Q8" t="s">
        <v>90</v>
      </c>
      <c r="R8" t="s">
        <v>89</v>
      </c>
      <c r="S8" s="5">
        <v>1.0569098141964663</v>
      </c>
      <c r="T8" s="5">
        <v>4.695176224794953E-2</v>
      </c>
      <c r="U8" s="5">
        <v>6.5634037857285929E-2</v>
      </c>
      <c r="V8" s="5">
        <v>0.95438389742001095</v>
      </c>
      <c r="W8" s="5">
        <v>1.1377394211218801</v>
      </c>
      <c r="X8" s="5">
        <v>0</v>
      </c>
      <c r="Y8" s="5">
        <v>2</v>
      </c>
      <c r="AL8" t="s">
        <v>105</v>
      </c>
      <c r="AM8" t="s">
        <v>106</v>
      </c>
      <c r="AN8" t="s">
        <v>78</v>
      </c>
      <c r="AO8" s="5">
        <v>31.2</v>
      </c>
      <c r="AP8" s="5">
        <v>2.6935612562921287</v>
      </c>
      <c r="AQ8" s="5">
        <v>3.7653389990514556</v>
      </c>
      <c r="AR8" s="5">
        <v>26</v>
      </c>
      <c r="AS8" s="5">
        <v>39</v>
      </c>
    </row>
    <row r="9" spans="1:52" x14ac:dyDescent="0.3">
      <c r="B9" t="s">
        <v>84</v>
      </c>
      <c r="C9" t="s">
        <v>77</v>
      </c>
      <c r="D9" t="s">
        <v>78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92.2</v>
      </c>
      <c r="Q9" t="s">
        <v>91</v>
      </c>
      <c r="R9" t="s">
        <v>89</v>
      </c>
      <c r="S9" s="5">
        <v>1.9166666666666701</v>
      </c>
      <c r="T9" s="5">
        <v>0</v>
      </c>
      <c r="U9" s="5">
        <v>0</v>
      </c>
      <c r="V9" s="5">
        <v>1.9166666666666701</v>
      </c>
      <c r="W9" s="5">
        <v>1.9166666666666701</v>
      </c>
      <c r="X9" s="5">
        <v>1</v>
      </c>
      <c r="Y9" s="5">
        <v>2</v>
      </c>
      <c r="AL9" t="s">
        <v>107</v>
      </c>
      <c r="AM9" t="s">
        <v>103</v>
      </c>
      <c r="AN9" t="s">
        <v>78</v>
      </c>
      <c r="AO9" s="5">
        <v>31.2</v>
      </c>
      <c r="AP9" s="5">
        <v>2.6935612562921287</v>
      </c>
      <c r="AQ9" s="5">
        <v>3.7653389990514556</v>
      </c>
      <c r="AR9" s="5">
        <v>26</v>
      </c>
      <c r="AS9" s="5">
        <v>39</v>
      </c>
    </row>
    <row r="10" spans="1:52" x14ac:dyDescent="0.3">
      <c r="C10" t="s">
        <v>79</v>
      </c>
      <c r="D10" t="s">
        <v>78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92.2</v>
      </c>
      <c r="P10" t="s">
        <v>75</v>
      </c>
      <c r="Q10" t="s">
        <v>92</v>
      </c>
      <c r="R10" t="s">
        <v>74</v>
      </c>
      <c r="S10" s="5">
        <v>0.4031279969367848</v>
      </c>
      <c r="T10" s="5">
        <v>0.15244637529508648</v>
      </c>
      <c r="U10" s="5">
        <v>0.21310533808048257</v>
      </c>
      <c r="V10" s="5">
        <v>0.136826810923111</v>
      </c>
      <c r="W10" s="5">
        <v>0.81622840356734405</v>
      </c>
      <c r="X10" s="5">
        <v>0</v>
      </c>
      <c r="Y10" s="5">
        <v>16</v>
      </c>
      <c r="AL10" t="s">
        <v>108</v>
      </c>
      <c r="AM10" t="s">
        <v>106</v>
      </c>
      <c r="AN10" t="s">
        <v>78</v>
      </c>
      <c r="AO10" s="5">
        <v>105.9</v>
      </c>
      <c r="AP10" s="5">
        <v>9.8110880181169016</v>
      </c>
      <c r="AQ10" s="5">
        <v>13.714955340794928</v>
      </c>
      <c r="AR10" s="5">
        <v>89</v>
      </c>
      <c r="AS10" s="5">
        <v>125</v>
      </c>
    </row>
    <row r="11" spans="1:52" x14ac:dyDescent="0.3">
      <c r="C11" t="s">
        <v>80</v>
      </c>
      <c r="D11" t="s">
        <v>78</v>
      </c>
      <c r="E11" s="5">
        <v>30.950376875851003</v>
      </c>
      <c r="F11" s="5">
        <v>1</v>
      </c>
      <c r="G11" s="5">
        <v>1.4302319121557625</v>
      </c>
      <c r="H11" s="5">
        <v>1.9993263505509704</v>
      </c>
      <c r="I11" s="5">
        <v>28.464283487368299</v>
      </c>
      <c r="J11" s="5">
        <v>34.395838299094002</v>
      </c>
      <c r="K11" s="5">
        <v>16.9612949634746</v>
      </c>
      <c r="L11" s="5">
        <v>57.955299021337602</v>
      </c>
      <c r="M11" s="5">
        <v>92.2</v>
      </c>
      <c r="P11" t="s">
        <v>76</v>
      </c>
      <c r="Q11" t="s">
        <v>94</v>
      </c>
      <c r="R11" t="s">
        <v>78</v>
      </c>
      <c r="S11" s="5">
        <v>5.0665845774105804</v>
      </c>
      <c r="T11" s="5">
        <v>0.50888229435753596</v>
      </c>
      <c r="U11" s="5">
        <v>0.71136839542638619</v>
      </c>
      <c r="V11" s="5">
        <v>3.9372015551464701</v>
      </c>
      <c r="W11" s="5">
        <v>6.3088136459921804</v>
      </c>
      <c r="X11" s="5">
        <v>0</v>
      </c>
      <c r="Y11" s="5">
        <v>39</v>
      </c>
      <c r="AL11" t="s">
        <v>109</v>
      </c>
      <c r="AM11" t="s">
        <v>103</v>
      </c>
      <c r="AN11" t="s">
        <v>78</v>
      </c>
      <c r="AO11" s="5">
        <v>92.2</v>
      </c>
      <c r="AP11" s="5">
        <v>7.8710934153715639</v>
      </c>
      <c r="AQ11" s="5">
        <v>11.003029885748166</v>
      </c>
      <c r="AR11" s="5">
        <v>77</v>
      </c>
      <c r="AS11" s="5">
        <v>111</v>
      </c>
    </row>
    <row r="12" spans="1:52" x14ac:dyDescent="0.3">
      <c r="C12" t="s">
        <v>81</v>
      </c>
      <c r="D12" t="s">
        <v>78</v>
      </c>
      <c r="E12" s="5">
        <v>2.4122023910527979</v>
      </c>
      <c r="F12" s="5">
        <v>1</v>
      </c>
      <c r="G12" s="5">
        <v>9.7015860224325318E-2</v>
      </c>
      <c r="H12" s="5">
        <v>0.13561882105923745</v>
      </c>
      <c r="I12" s="5">
        <v>2.1913891918054</v>
      </c>
      <c r="J12" s="5">
        <v>2.5692093376609502</v>
      </c>
      <c r="K12" s="5">
        <v>0.36312028717973999</v>
      </c>
      <c r="L12" s="5">
        <v>8.4843904124971594</v>
      </c>
      <c r="M12" s="5">
        <v>92.2</v>
      </c>
      <c r="P12" t="s">
        <v>84</v>
      </c>
      <c r="Q12" t="s">
        <v>94</v>
      </c>
      <c r="R12" t="s">
        <v>78</v>
      </c>
      <c r="S12" s="5">
        <v>12.759236186141919</v>
      </c>
      <c r="T12" s="5">
        <v>1.2237128409017237</v>
      </c>
      <c r="U12" s="5">
        <v>1.7106325956849093</v>
      </c>
      <c r="V12" s="5">
        <v>10.2386187303012</v>
      </c>
      <c r="W12" s="5">
        <v>15.1535027543102</v>
      </c>
      <c r="X12" s="5">
        <v>0</v>
      </c>
      <c r="Y12" s="5">
        <v>35</v>
      </c>
      <c r="AL12" t="s">
        <v>110</v>
      </c>
      <c r="AM12" t="s">
        <v>97</v>
      </c>
      <c r="AN12" t="s">
        <v>89</v>
      </c>
      <c r="AO12" s="5">
        <v>203.5</v>
      </c>
      <c r="AP12" s="5">
        <v>9.2736181849755468</v>
      </c>
      <c r="AQ12" s="5">
        <v>12.96362432175337</v>
      </c>
      <c r="AR12" s="5">
        <v>182</v>
      </c>
      <c r="AS12" s="5">
        <v>222</v>
      </c>
    </row>
    <row r="13" spans="1:52" x14ac:dyDescent="0.3">
      <c r="C13" t="s">
        <v>82</v>
      </c>
      <c r="D13" t="s">
        <v>78</v>
      </c>
      <c r="E13" s="5">
        <v>25.360603041724492</v>
      </c>
      <c r="F13" s="5">
        <v>1</v>
      </c>
      <c r="G13" s="5">
        <v>0.37363740232377263</v>
      </c>
      <c r="H13" s="5">
        <v>0.52230907286312656</v>
      </c>
      <c r="I13" s="5">
        <v>24.277210692927799</v>
      </c>
      <c r="J13" s="5">
        <v>25.996125025017601</v>
      </c>
      <c r="K13" s="5">
        <v>14.719284550891301</v>
      </c>
      <c r="L13" s="5">
        <v>35.729769906199898</v>
      </c>
      <c r="M13" s="5">
        <v>92.2</v>
      </c>
      <c r="P13" t="s">
        <v>85</v>
      </c>
      <c r="Q13" t="s">
        <v>92</v>
      </c>
      <c r="R13" t="s">
        <v>74</v>
      </c>
      <c r="S13" s="5">
        <v>2.0890695640067989E-2</v>
      </c>
      <c r="T13" s="5">
        <v>1.5661838400412763E-2</v>
      </c>
      <c r="U13" s="5">
        <v>2.1893740410825115E-2</v>
      </c>
      <c r="V13" s="5">
        <v>0</v>
      </c>
      <c r="W13" s="5">
        <v>6.7580541961583807E-2</v>
      </c>
      <c r="X13" s="5">
        <v>0</v>
      </c>
      <c r="Y13" s="5">
        <v>5</v>
      </c>
      <c r="AL13" t="s">
        <v>111</v>
      </c>
      <c r="AM13" t="s">
        <v>99</v>
      </c>
      <c r="AN13" t="s">
        <v>89</v>
      </c>
      <c r="AO13" s="5">
        <v>0.54567746104498949</v>
      </c>
      <c r="AP13" s="5">
        <v>2.5819425095769025E-2</v>
      </c>
      <c r="AQ13" s="5">
        <v>3.6093067502765995E-2</v>
      </c>
      <c r="AR13" s="5">
        <v>0.48838500773485299</v>
      </c>
      <c r="AS13" s="5">
        <v>0.59303053253801696</v>
      </c>
    </row>
    <row r="14" spans="1:52" x14ac:dyDescent="0.3">
      <c r="C14" t="s">
        <v>83</v>
      </c>
      <c r="D14" t="s">
        <v>78</v>
      </c>
      <c r="E14" s="5">
        <v>3.1775714430736928</v>
      </c>
      <c r="F14" s="5">
        <v>1</v>
      </c>
      <c r="G14" s="5">
        <v>1.2706462804254293</v>
      </c>
      <c r="H14" s="5">
        <v>1.7762410201398626</v>
      </c>
      <c r="I14" s="5">
        <v>0.88565751366582501</v>
      </c>
      <c r="J14" s="5">
        <v>6.1361268437010104</v>
      </c>
      <c r="K14" s="5">
        <v>0</v>
      </c>
      <c r="L14" s="5">
        <v>25.063412031878201</v>
      </c>
      <c r="M14" s="5">
        <v>92.2</v>
      </c>
      <c r="P14" t="s">
        <v>95</v>
      </c>
      <c r="Q14" t="s">
        <v>88</v>
      </c>
      <c r="R14" t="s">
        <v>89</v>
      </c>
      <c r="S14" s="5">
        <v>0.54567746104498926</v>
      </c>
      <c r="T14" s="5">
        <v>2.5819425095769202E-2</v>
      </c>
      <c r="U14" s="5">
        <v>3.6093067502766238E-2</v>
      </c>
      <c r="V14" s="5">
        <v>0.48838500773485199</v>
      </c>
      <c r="W14" s="5">
        <v>0.59303053253801696</v>
      </c>
      <c r="X14" s="5">
        <v>0</v>
      </c>
      <c r="Y14" s="5">
        <v>1</v>
      </c>
      <c r="AL14" t="s">
        <v>112</v>
      </c>
      <c r="AM14" t="s">
        <v>106</v>
      </c>
      <c r="AN14" t="s">
        <v>78</v>
      </c>
      <c r="AO14" s="5">
        <v>77.3</v>
      </c>
      <c r="AP14" s="5">
        <v>8.0936907726810521</v>
      </c>
      <c r="AQ14" s="5">
        <v>11.314199534704651</v>
      </c>
      <c r="AR14" s="5">
        <v>64</v>
      </c>
      <c r="AS14" s="5">
        <v>105</v>
      </c>
    </row>
    <row r="15" spans="1:52" x14ac:dyDescent="0.3">
      <c r="B15" t="s">
        <v>85</v>
      </c>
      <c r="C15" t="s">
        <v>73</v>
      </c>
      <c r="D15" t="s">
        <v>74</v>
      </c>
      <c r="E15" s="5">
        <v>2.4227127635592708E-2</v>
      </c>
      <c r="F15" s="5">
        <v>1</v>
      </c>
      <c r="G15" s="5">
        <v>1.7811564342019148E-2</v>
      </c>
      <c r="H15" s="5">
        <v>2.4898850061216244E-2</v>
      </c>
      <c r="I15" s="5">
        <v>0</v>
      </c>
      <c r="J15" s="5">
        <v>7.7604450099426403E-2</v>
      </c>
      <c r="K15" s="5">
        <v>0</v>
      </c>
      <c r="L15" s="5">
        <v>3.3974362425698201</v>
      </c>
      <c r="M15" s="5">
        <v>203.5</v>
      </c>
      <c r="Q15" t="s">
        <v>90</v>
      </c>
      <c r="R15" t="s">
        <v>89</v>
      </c>
      <c r="S15" s="5">
        <v>16.370323831349687</v>
      </c>
      <c r="T15" s="5">
        <v>0.77458275287306733</v>
      </c>
      <c r="U15" s="5">
        <v>1.082792025082975</v>
      </c>
      <c r="V15" s="5">
        <v>14.651550232045601</v>
      </c>
      <c r="W15" s="5">
        <v>17.7909159761405</v>
      </c>
      <c r="X15" s="5">
        <v>0</v>
      </c>
      <c r="Y15" s="5">
        <v>30</v>
      </c>
      <c r="AL15" t="s">
        <v>113</v>
      </c>
      <c r="AM15" t="s">
        <v>103</v>
      </c>
      <c r="AN15" t="s">
        <v>78</v>
      </c>
      <c r="AO15" s="5">
        <v>67</v>
      </c>
      <c r="AP15" s="5">
        <v>6.8614624001471327</v>
      </c>
      <c r="AQ15" s="5">
        <v>9.5916630466254382</v>
      </c>
      <c r="AR15" s="5">
        <v>58</v>
      </c>
      <c r="AS15" s="5">
        <v>92</v>
      </c>
    </row>
    <row r="16" spans="1:52" x14ac:dyDescent="0.3">
      <c r="B16" t="s">
        <v>86</v>
      </c>
      <c r="C16" t="s">
        <v>77</v>
      </c>
      <c r="D16" t="s">
        <v>78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67</v>
      </c>
      <c r="Q16" t="s">
        <v>91</v>
      </c>
      <c r="R16" t="s">
        <v>89</v>
      </c>
      <c r="S16" s="5">
        <v>30</v>
      </c>
      <c r="T16" s="5">
        <v>0</v>
      </c>
      <c r="U16" s="5">
        <v>0</v>
      </c>
      <c r="V16" s="5">
        <v>30</v>
      </c>
      <c r="W16" s="5">
        <v>30</v>
      </c>
      <c r="X16" s="5">
        <v>30</v>
      </c>
      <c r="Y16" s="5">
        <v>30</v>
      </c>
    </row>
    <row r="17" spans="2:25" x14ac:dyDescent="0.3">
      <c r="C17" t="s">
        <v>79</v>
      </c>
      <c r="D17" t="s">
        <v>78</v>
      </c>
      <c r="E17" s="5">
        <v>0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67</v>
      </c>
      <c r="P17" t="s">
        <v>86</v>
      </c>
      <c r="Q17" t="s">
        <v>94</v>
      </c>
      <c r="R17" t="s">
        <v>78</v>
      </c>
      <c r="S17" s="5">
        <v>9.2908605330386465</v>
      </c>
      <c r="T17" s="5">
        <v>1.0614188602794625</v>
      </c>
      <c r="U17" s="5">
        <v>1.4837612545855385</v>
      </c>
      <c r="V17" s="5">
        <v>7.9237289708550103</v>
      </c>
      <c r="W17" s="5">
        <v>13.0648519439402</v>
      </c>
      <c r="X17" s="5">
        <v>0</v>
      </c>
      <c r="Y17" s="5">
        <v>26</v>
      </c>
    </row>
    <row r="18" spans="2:25" x14ac:dyDescent="0.3">
      <c r="C18" t="s">
        <v>80</v>
      </c>
      <c r="D18" t="s">
        <v>78</v>
      </c>
      <c r="E18" s="5">
        <v>30.710008191377348</v>
      </c>
      <c r="F18" s="5">
        <v>1</v>
      </c>
      <c r="G18" s="5">
        <v>0.89964312426775084</v>
      </c>
      <c r="H18" s="5">
        <v>1.2576143694971798</v>
      </c>
      <c r="I18" s="5">
        <v>28.925581864127</v>
      </c>
      <c r="J18" s="5">
        <v>32.505934667489903</v>
      </c>
      <c r="K18" s="5">
        <v>18.519681455649799</v>
      </c>
      <c r="L18" s="5">
        <v>58.876806417318797</v>
      </c>
      <c r="M18" s="5">
        <v>67</v>
      </c>
    </row>
    <row r="19" spans="2:25" x14ac:dyDescent="0.3">
      <c r="C19" t="s">
        <v>81</v>
      </c>
      <c r="D19" t="s">
        <v>78</v>
      </c>
      <c r="E19" s="5">
        <v>2.4077000562047193</v>
      </c>
      <c r="F19" s="5">
        <v>1</v>
      </c>
      <c r="G19" s="5">
        <v>0.12027473189536579</v>
      </c>
      <c r="H19" s="5">
        <v>0.16813248169061223</v>
      </c>
      <c r="I19" s="5">
        <v>2.0140315890509899</v>
      </c>
      <c r="J19" s="5">
        <v>2.55700117291943</v>
      </c>
      <c r="K19" s="5">
        <v>0.26876574377970303</v>
      </c>
      <c r="L19" s="5">
        <v>9.9374909967615004</v>
      </c>
      <c r="M19" s="5">
        <v>67</v>
      </c>
    </row>
    <row r="20" spans="2:25" x14ac:dyDescent="0.3">
      <c r="C20" t="s">
        <v>82</v>
      </c>
      <c r="D20" t="s">
        <v>78</v>
      </c>
      <c r="E20" s="5">
        <v>25.471029076100852</v>
      </c>
      <c r="F20" s="5">
        <v>1</v>
      </c>
      <c r="G20" s="5">
        <v>0.45778469144479561</v>
      </c>
      <c r="H20" s="5">
        <v>0.63993887194480858</v>
      </c>
      <c r="I20" s="5">
        <v>24.657838117625399</v>
      </c>
      <c r="J20" s="5">
        <v>26.361767472037901</v>
      </c>
      <c r="K20" s="5">
        <v>15.8969173608491</v>
      </c>
      <c r="L20" s="5">
        <v>35.759788120996703</v>
      </c>
      <c r="M20" s="5">
        <v>67</v>
      </c>
    </row>
    <row r="21" spans="2:25" x14ac:dyDescent="0.3">
      <c r="C21" t="s">
        <v>83</v>
      </c>
      <c r="D21" t="s">
        <v>78</v>
      </c>
      <c r="E21" s="5">
        <v>2.8312790590717629</v>
      </c>
      <c r="F21" s="5">
        <v>1</v>
      </c>
      <c r="G21" s="5">
        <v>1.0167886604041443</v>
      </c>
      <c r="H21" s="5">
        <v>1.4213725371455919</v>
      </c>
      <c r="I21" s="5">
        <v>1.12606854775072</v>
      </c>
      <c r="J21" s="5">
        <v>5.39412105784809</v>
      </c>
      <c r="K21" s="5">
        <v>0</v>
      </c>
      <c r="L21" s="5">
        <v>25.526730890480898</v>
      </c>
      <c r="M21" s="5">
        <v>67</v>
      </c>
    </row>
    <row r="22" spans="2:25" x14ac:dyDescent="0.3">
      <c r="B22" t="s">
        <v>69</v>
      </c>
      <c r="C22" t="s">
        <v>70</v>
      </c>
      <c r="D22" t="s">
        <v>71</v>
      </c>
      <c r="E22" s="5">
        <v>32.16980212320518</v>
      </c>
      <c r="F22" s="5">
        <v>1</v>
      </c>
      <c r="G22" s="5">
        <v>1.0749430326472504</v>
      </c>
      <c r="H22" s="5">
        <v>1.5026667439362524</v>
      </c>
      <c r="I22" s="5">
        <v>29.816383413619299</v>
      </c>
      <c r="J22" s="5">
        <v>34.496974950564898</v>
      </c>
      <c r="K22" s="5">
        <v>16.9612949634746</v>
      </c>
      <c r="L22" s="5">
        <v>60.085510848846901</v>
      </c>
      <c r="M22" s="5">
        <v>190.4</v>
      </c>
    </row>
    <row r="23" spans="2:25" x14ac:dyDescent="0.3">
      <c r="B23" t="s">
        <v>72</v>
      </c>
      <c r="C23" t="s">
        <v>73</v>
      </c>
      <c r="D23" t="s">
        <v>74</v>
      </c>
      <c r="E23" s="5">
        <v>3.8298527546690715</v>
      </c>
      <c r="F23" s="5">
        <v>1</v>
      </c>
      <c r="G23" s="5">
        <v>0.97921242578187129</v>
      </c>
      <c r="H23" s="5">
        <v>1.3688445831849239</v>
      </c>
      <c r="I23" s="5">
        <v>1.72656470058578</v>
      </c>
      <c r="J23" s="5">
        <v>5.7675146164842701</v>
      </c>
      <c r="K23" s="5">
        <v>0</v>
      </c>
      <c r="L23" s="5">
        <v>25.3173495921314</v>
      </c>
      <c r="M23" s="5">
        <v>213.2</v>
      </c>
    </row>
    <row r="24" spans="2:25" x14ac:dyDescent="0.3">
      <c r="B24" t="s">
        <v>75</v>
      </c>
      <c r="C24" t="s">
        <v>73</v>
      </c>
      <c r="D24" t="s">
        <v>74</v>
      </c>
      <c r="E24" s="5">
        <v>0.40408048989607864</v>
      </c>
      <c r="F24" s="5">
        <v>1</v>
      </c>
      <c r="G24" s="5">
        <v>9.0823290410940533E-2</v>
      </c>
      <c r="H24" s="5">
        <v>0.12696220537313863</v>
      </c>
      <c r="I24" s="5">
        <v>0.171033513653889</v>
      </c>
      <c r="J24" s="5">
        <v>0.60923287020565198</v>
      </c>
      <c r="K24" s="5">
        <v>0</v>
      </c>
      <c r="L24" s="5">
        <v>10.1511957579729</v>
      </c>
      <c r="M24" s="5">
        <v>205.3</v>
      </c>
    </row>
  </sheetData>
  <dataConsolidate/>
  <conditionalFormatting pivot="1" sqref="G3:G24">
    <cfRule type="expression" dxfId="37" priority="10">
      <formula>G3=200000000000000000000</formula>
    </cfRule>
  </conditionalFormatting>
  <conditionalFormatting pivot="1" sqref="T3:T17">
    <cfRule type="expression" dxfId="36" priority="9">
      <formula>T3=200000000000000000000</formula>
    </cfRule>
  </conditionalFormatting>
  <conditionalFormatting pivot="1" sqref="T3:T17">
    <cfRule type="expression" dxfId="35" priority="8">
      <formula>T3=300000000000000000000</formula>
    </cfRule>
  </conditionalFormatting>
  <conditionalFormatting pivot="1" sqref="G3:G24">
    <cfRule type="expression" dxfId="34" priority="7">
      <formula>G3=300000000000000000000</formula>
    </cfRule>
  </conditionalFormatting>
  <conditionalFormatting pivot="1" sqref="F3:F24">
    <cfRule type="expression" dxfId="33" priority="6">
      <formula>F3=0</formula>
    </cfRule>
  </conditionalFormatting>
  <conditionalFormatting pivot="1" sqref="F3:F24">
    <cfRule type="expression" dxfId="32" priority="5">
      <formula>F3=1</formula>
    </cfRule>
  </conditionalFormatting>
  <conditionalFormatting pivot="1" sqref="T3:T17">
    <cfRule type="expression" dxfId="31" priority="4">
      <formula>T3=400000000000000000000</formula>
    </cfRule>
  </conditionalFormatting>
  <conditionalFormatting pivot="1" sqref="AP3:AP15">
    <cfRule type="expression" dxfId="30" priority="3">
      <formula>AP3=400000000000000000000</formula>
    </cfRule>
  </conditionalFormatting>
  <conditionalFormatting pivot="1" sqref="AF3">
    <cfRule type="expression" dxfId="29" priority="2">
      <formula>AF3=400000000000000000000</formula>
    </cfRule>
  </conditionalFormatting>
  <conditionalFormatting pivot="1" sqref="G3:G24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21"/>
  <sheetViews>
    <sheetView workbookViewId="0">
      <selection activeCell="K2" sqref="K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19.109375" bestFit="1" customWidth="1"/>
    <col min="5" max="5" width="12.21875" bestFit="1" customWidth="1"/>
    <col min="6" max="6" width="12.5546875" bestFit="1" customWidth="1"/>
    <col min="7" max="7" width="12" bestFit="1" customWidth="1"/>
    <col min="8" max="8" width="22.21875" bestFit="1" customWidth="1"/>
    <col min="9" max="10" width="12" bestFit="1" customWidth="1"/>
    <col min="11" max="11" width="21.21875" bestFit="1" customWidth="1"/>
    <col min="12" max="12" width="49.88671875" bestFit="1" customWidth="1"/>
    <col min="13" max="13" width="16.109375" bestFit="1" customWidth="1"/>
    <col min="14" max="14" width="19.109375" customWidth="1"/>
    <col min="15" max="15" width="17" bestFit="1" customWidth="1"/>
    <col min="16" max="16" width="19.33203125" bestFit="1" customWidth="1"/>
    <col min="17" max="17" width="12" bestFit="1" customWidth="1"/>
    <col min="18" max="18" width="18.44140625" bestFit="1" customWidth="1"/>
    <col min="19" max="19" width="18.77734375" customWidth="1"/>
    <col min="20" max="20" width="17.33203125" bestFit="1" customWidth="1"/>
    <col min="21" max="21" width="17.6640625" bestFit="1" customWidth="1"/>
    <col min="22" max="22" width="28.21875" bestFit="1" customWidth="1"/>
    <col min="23" max="23" width="19.88671875" bestFit="1" customWidth="1"/>
    <col min="24" max="24" width="22.6640625" bestFit="1" customWidth="1"/>
    <col min="25" max="25" width="21.2187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76</v>
      </c>
      <c r="E2" t="s">
        <v>77</v>
      </c>
      <c r="F2" t="s">
        <v>78</v>
      </c>
      <c r="G2">
        <v>0</v>
      </c>
      <c r="H2">
        <v>2E+20</v>
      </c>
      <c r="I2">
        <v>0</v>
      </c>
      <c r="J2">
        <v>0</v>
      </c>
      <c r="K2">
        <v>26</v>
      </c>
      <c r="L2" t="str">
        <f>DiscreteStatsTable[[#This Row],[ProjectName]]&amp;DiscreteStatsTable[[#This Row],[Name]]&amp;DiscreteStatsTable[[#This Row],[Type]]&amp;DiscreteStatsTable[[#This Row],[Source]]</f>
        <v>Unnamed ProjectcbusNVA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31.2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76</v>
      </c>
      <c r="E3" t="s">
        <v>79</v>
      </c>
      <c r="F3" t="s">
        <v>78</v>
      </c>
      <c r="G3">
        <v>0</v>
      </c>
      <c r="H3">
        <v>2E+20</v>
      </c>
      <c r="I3">
        <v>0</v>
      </c>
      <c r="J3">
        <v>0</v>
      </c>
      <c r="K3">
        <v>26</v>
      </c>
      <c r="L3" t="str">
        <f>DiscreteStatsTable[[#This Row],[ProjectName]]&amp;DiscreteStatsTable[[#This Row],[Name]]&amp;DiscreteStatsTable[[#This Row],[Type]]&amp;DiscreteStatsTable[[#This Row],[Source]]</f>
        <v>Unnamed ProjectcbusOther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31.2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76</v>
      </c>
      <c r="E4" t="s">
        <v>80</v>
      </c>
      <c r="F4" t="s">
        <v>78</v>
      </c>
      <c r="G4">
        <v>36.343398970582797</v>
      </c>
      <c r="H4">
        <v>2E+20</v>
      </c>
      <c r="I4">
        <v>27.3476774856424</v>
      </c>
      <c r="J4">
        <v>50.906211260051201</v>
      </c>
      <c r="K4">
        <v>26</v>
      </c>
      <c r="L4" t="str">
        <f>DiscreteStatsTable[[#This Row],[ProjectName]]&amp;DiscreteStatsTable[[#This Row],[Name]]&amp;DiscreteStatsTable[[#This Row],[Type]]&amp;DiscreteStatsTable[[#This Row],[Source]]</f>
        <v>Unnamed ProjectcbusTotal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38.906164156467867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1.8279580436824889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1.3076424103728945</v>
      </c>
      <c r="R4" cm="1">
        <f t="array" ref="R4">MIN(IF((DiscreteStatsTable[GroupByKey]=DiscreteStatsTable[[#This Row],[GroupByKey]]),(DiscreteStatsTable[GroupByKey]=DiscreteStatsTable[[#This Row],[GroupByKey]])*DiscreteStatsTable[Average]))</f>
        <v>36.343398970582797</v>
      </c>
      <c r="S4" cm="1">
        <f t="array" ref="S4">MAX(IF((DiscreteStatsTable[GroupByKey]=DiscreteStatsTable[[#This Row],[GroupByKey]]),(DiscreteStatsTable[GroupByKey]=DiscreteStatsTable[[#This Row],[GroupByKey]])*DiscreteStatsTable[Average]))</f>
        <v>41.3916793980557</v>
      </c>
      <c r="T4" cm="1">
        <f t="array" ref="T4">MIN(IF((DiscreteStatsTable[GroupByKey]=DiscreteStatsTable[[#This Row],[GroupByKey]]),(DiscreteStatsTable[GroupByKey]=DiscreteStatsTable[[#This Row],[GroupByKey]])*DiscreteStatsTable[Minimum]))</f>
        <v>21.5905647950899</v>
      </c>
      <c r="U4" cm="1">
        <f t="array" ref="U4">MAX(IF((DiscreteStatsTable[GroupByKey]=DiscreteStatsTable[[#This Row],[GroupByKey]]),(DiscreteStatsTable[GroupByKey]=DiscreteStatsTable[[#This Row],[GroupByKey]])*DiscreteStatsTable[Maximum]))</f>
        <v>60.085510848846901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31.2</v>
      </c>
      <c r="W4">
        <f>IF((DiscreteStatsTable[[#This Row],[RepsRequested]]&gt;1),DiscreteStatsTable[[#This Row],[HalfWidth]],DiscreteStatsTable[[#This Row],[BatchMeansHalfWidth]])</f>
        <v>1.3076424103728945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76</v>
      </c>
      <c r="E5" t="s">
        <v>81</v>
      </c>
      <c r="F5" t="s">
        <v>78</v>
      </c>
      <c r="G5">
        <v>2.3814974784721401</v>
      </c>
      <c r="H5">
        <v>2E+20</v>
      </c>
      <c r="I5">
        <v>0.46723471809710299</v>
      </c>
      <c r="J5">
        <v>8.24762906489876</v>
      </c>
      <c r="K5">
        <v>26</v>
      </c>
      <c r="L5" t="str">
        <f>DiscreteStatsTable[[#This Row],[ProjectName]]&amp;DiscreteStatsTable[[#This Row],[Name]]&amp;DiscreteStatsTable[[#This Row],[Type]]&amp;DiscreteStatsTable[[#This Row],[Source]]</f>
        <v>Unnamed ProjectcbusTransfer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2.4758267117727573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0.29062850270491319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0.20790310648187366</v>
      </c>
      <c r="R5" cm="1">
        <f t="array" ref="R5">MIN(IF((DiscreteStatsTable[GroupByKey]=DiscreteStatsTable[[#This Row],[GroupByKey]]),(DiscreteStatsTable[GroupByKey]=DiscreteStatsTable[[#This Row],[GroupByKey]])*DiscreteStatsTable[Average]))</f>
        <v>1.9664936967620199</v>
      </c>
      <c r="S5" cm="1">
        <f t="array" ref="S5">MAX(IF((DiscreteStatsTable[GroupByKey]=DiscreteStatsTable[[#This Row],[GroupByKey]]),(DiscreteStatsTable[GroupByKey]=DiscreteStatsTable[[#This Row],[GroupByKey]])*DiscreteStatsTable[Average]))</f>
        <v>2.9622895045267401</v>
      </c>
      <c r="T5" cm="1">
        <f t="array" ref="T5">MIN(IF((DiscreteStatsTable[GroupByKey]=DiscreteStatsTable[[#This Row],[GroupByKey]]),(DiscreteStatsTable[GroupByKey]=DiscreteStatsTable[[#This Row],[GroupByKey]])*DiscreteStatsTable[Minimum]))</f>
        <v>0.24044410972067001</v>
      </c>
      <c r="U5" cm="1">
        <f t="array" ref="U5">MAX(IF((DiscreteStatsTable[GroupByKey]=DiscreteStatsTable[[#This Row],[GroupByKey]]),(DiscreteStatsTable[GroupByKey]=DiscreteStatsTable[[#This Row],[GroupByKey]])*DiscreteStatsTable[Maximum]))</f>
        <v>9.0397657436027608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31.2</v>
      </c>
      <c r="W5">
        <f>IF((DiscreteStatsTable[[#This Row],[RepsRequested]]&gt;1),DiscreteStatsTable[[#This Row],[HalfWidth]],DiscreteStatsTable[[#This Row],[BatchMeansHalfWidth]])</f>
        <v>0.20790310648187366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76</v>
      </c>
      <c r="E6" t="s">
        <v>82</v>
      </c>
      <c r="F6" t="s">
        <v>78</v>
      </c>
      <c r="G6">
        <v>24.693613478441701</v>
      </c>
      <c r="H6">
        <v>2E+20</v>
      </c>
      <c r="I6">
        <v>16.660464814784401</v>
      </c>
      <c r="J6">
        <v>36.383869759363698</v>
      </c>
      <c r="K6">
        <v>26</v>
      </c>
      <c r="L6" t="str">
        <f>DiscreteStatsTable[[#This Row],[ProjectName]]&amp;DiscreteStatsTable[[#This Row],[Name]]&amp;DiscreteStatsTable[[#This Row],[Type]]&amp;DiscreteStatsTable[[#This Row],[Source]]</f>
        <v>Unnamed ProjectcbusVA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25.515113070670481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0.69371859583839046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0.49625638833326502</v>
      </c>
      <c r="R6" cm="1">
        <f t="array" ref="R6">MIN(IF((DiscreteStatsTable[GroupByKey]=DiscreteStatsTable[[#This Row],[GroupByKey]]),(DiscreteStatsTable[GroupByKey]=DiscreteStatsTable[[#This Row],[GroupByKey]])*DiscreteStatsTable[Average]))</f>
        <v>24.693613478441701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26.663484139011398</v>
      </c>
      <c r="T6" cm="1">
        <f t="array" ref="T6">MIN(IF((DiscreteStatsTable[GroupByKey]=DiscreteStatsTable[[#This Row],[GroupByKey]]),(DiscreteStatsTable[GroupByKey]=DiscreteStatsTable[[#This Row],[GroupByKey]])*DiscreteStatsTable[Minimum]))</f>
        <v>16.436283991791001</v>
      </c>
      <c r="U6" cm="1">
        <f t="array" ref="U6">MAX(IF((DiscreteStatsTable[GroupByKey]=DiscreteStatsTable[[#This Row],[GroupByKey]]),(DiscreteStatsTable[GroupByKey]=DiscreteStatsTable[[#This Row],[GroupByKey]])*DiscreteStatsTable[Maximum]))</f>
        <v>36.383869759363698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31.2</v>
      </c>
      <c r="W6">
        <f>IF((DiscreteStatsTable[[#This Row],[RepsRequested]]&gt;1),DiscreteStatsTable[[#This Row],[HalfWidth]],DiscreteStatsTable[[#This Row],[BatchMeansHalfWidth]])</f>
        <v>0.49625638833326502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76</v>
      </c>
      <c r="E7" t="s">
        <v>83</v>
      </c>
      <c r="F7" t="s">
        <v>78</v>
      </c>
      <c r="G7">
        <v>9.2682880136690002</v>
      </c>
      <c r="H7">
        <v>2E+20</v>
      </c>
      <c r="I7">
        <v>0</v>
      </c>
      <c r="J7">
        <v>16.9253360184996</v>
      </c>
      <c r="K7">
        <v>26</v>
      </c>
      <c r="L7" t="str">
        <f>DiscreteStatsTable[[#This Row],[ProjectName]]&amp;DiscreteStatsTable[[#This Row],[Name]]&amp;DiscreteStatsTable[[#This Row],[Type]]&amp;DiscreteStatsTable[[#This Row],[Source]]</f>
        <v>Unnamed ProjectcbusWait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10.915224374024641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1.5724350746607474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1.1248522898490634</v>
      </c>
      <c r="R7" cm="1">
        <f t="array" ref="R7">MIN(IF((DiscreteStatsTable[GroupByKey]=DiscreteStatsTable[[#This Row],[GroupByKey]]),(DiscreteStatsTable[GroupByKey]=DiscreteStatsTable[[#This Row],[GroupByKey]])*DiscreteStatsTable[Average]))</f>
        <v>8.6624511665201407</v>
      </c>
      <c r="S7" cm="1">
        <f t="array" ref="S7">MAX(IF((DiscreteStatsTable[GroupByKey]=DiscreteStatsTable[[#This Row],[GroupByKey]]),(DiscreteStatsTable[GroupByKey]=DiscreteStatsTable[[#This Row],[GroupByKey]])*DiscreteStatsTable[Average]))</f>
        <v>13.3543995277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25.723574494566702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31.2</v>
      </c>
      <c r="W7">
        <f>IF((DiscreteStatsTable[[#This Row],[RepsRequested]]&gt;1),DiscreteStatsTable[[#This Row],[HalfWidth]],DiscreteStatsTable[[#This Row],[BatchMeansHalfWidth]])</f>
        <v>1.1248522898490634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76</v>
      </c>
      <c r="E8" t="s">
        <v>77</v>
      </c>
      <c r="F8" t="s">
        <v>78</v>
      </c>
      <c r="G8">
        <v>0</v>
      </c>
      <c r="H8">
        <v>2E+20</v>
      </c>
      <c r="I8">
        <v>0</v>
      </c>
      <c r="J8">
        <v>0</v>
      </c>
      <c r="K8">
        <v>39</v>
      </c>
      <c r="L8" t="str">
        <f>DiscreteStatsTable[[#This Row],[ProjectName]]&amp;DiscreteStatsTable[[#This Row],[Name]]&amp;DiscreteStatsTable[[#This Row],[Type]]&amp;DiscreteStatsTable[[#This Row],[Source]]</f>
        <v>Unnamed ProjectcbusNVA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31.2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76</v>
      </c>
      <c r="E9" t="s">
        <v>79</v>
      </c>
      <c r="F9" t="s">
        <v>78</v>
      </c>
      <c r="G9">
        <v>0</v>
      </c>
      <c r="H9">
        <v>2E+20</v>
      </c>
      <c r="I9">
        <v>0</v>
      </c>
      <c r="J9">
        <v>0</v>
      </c>
      <c r="K9">
        <v>39</v>
      </c>
      <c r="L9" t="str">
        <f>DiscreteStatsTable[[#This Row],[ProjectName]]&amp;DiscreteStatsTable[[#This Row],[Name]]&amp;DiscreteStatsTable[[#This Row],[Type]]&amp;DiscreteStatsTable[[#This Row],[Source]]</f>
        <v>Unnamed ProjectcbusOther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31.2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76</v>
      </c>
      <c r="E10" t="s">
        <v>80</v>
      </c>
      <c r="F10" t="s">
        <v>78</v>
      </c>
      <c r="G10">
        <v>38.823468590721099</v>
      </c>
      <c r="H10">
        <v>2E+20</v>
      </c>
      <c r="I10">
        <v>21.5905647950899</v>
      </c>
      <c r="J10">
        <v>56.9011641063124</v>
      </c>
      <c r="K10">
        <v>39</v>
      </c>
      <c r="L10" t="str">
        <f>DiscreteStatsTable[[#This Row],[ProjectName]]&amp;DiscreteStatsTable[[#This Row],[Name]]&amp;DiscreteStatsTable[[#This Row],[Type]]&amp;DiscreteStatsTable[[#This Row],[Source]]</f>
        <v>Unnamed ProjectcbusTotal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38.906164156467867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1.8279580436824889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1.3076424103728945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36.343398970582797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41.3916793980557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21.5905647950899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60.085510848846901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31.2</v>
      </c>
      <c r="W10">
        <f>IF((DiscreteStatsTable[[#This Row],[RepsRequested]]&gt;1),DiscreteStatsTable[[#This Row],[HalfWidth]],DiscreteStatsTable[[#This Row],[BatchMeansHalfWidth]])</f>
        <v>1.3076424103728945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76</v>
      </c>
      <c r="E11" t="s">
        <v>81</v>
      </c>
      <c r="F11" t="s">
        <v>78</v>
      </c>
      <c r="G11">
        <v>2.40275368864671</v>
      </c>
      <c r="H11">
        <v>2E+20</v>
      </c>
      <c r="I11">
        <v>0.24044410972067001</v>
      </c>
      <c r="J11">
        <v>5.2424899363282096</v>
      </c>
      <c r="K11">
        <v>39</v>
      </c>
      <c r="L11" t="str">
        <f>DiscreteStatsTable[[#This Row],[ProjectName]]&amp;DiscreteStatsTable[[#This Row],[Name]]&amp;DiscreteStatsTable[[#This Row],[Type]]&amp;DiscreteStatsTable[[#This Row],[Source]]</f>
        <v>Unnamed ProjectcbusTransfer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2.4758267117727573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0.29062850270491319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0.20790310648187366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1.9664936967620199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2.9622895045267401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0.24044410972067001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9.0397657436027608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31.2</v>
      </c>
      <c r="W11">
        <f>IF((DiscreteStatsTable[[#This Row],[RepsRequested]]&gt;1),DiscreteStatsTable[[#This Row],[HalfWidth]],DiscreteStatsTable[[#This Row],[BatchMeansHalfWidth]])</f>
        <v>0.20790310648187366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76</v>
      </c>
      <c r="E12" t="s">
        <v>82</v>
      </c>
      <c r="F12" t="s">
        <v>78</v>
      </c>
      <c r="G12">
        <v>24.718487060707599</v>
      </c>
      <c r="H12">
        <v>2E+20</v>
      </c>
      <c r="I12">
        <v>16.540529898405499</v>
      </c>
      <c r="J12">
        <v>31.6846344127283</v>
      </c>
      <c r="K12">
        <v>39</v>
      </c>
      <c r="L12" t="str">
        <f>DiscreteStatsTable[[#This Row],[ProjectName]]&amp;DiscreteStatsTable[[#This Row],[Name]]&amp;DiscreteStatsTable[[#This Row],[Type]]&amp;DiscreteStatsTable[[#This Row],[Source]]</f>
        <v>Unnamed ProjectcbusVA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25.515113070670481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0.69371859583839046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0.49625638833326502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24.693613478441701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26.663484139011398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16.436283991791001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36.383869759363698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31.2</v>
      </c>
      <c r="W12">
        <f>IF((DiscreteStatsTable[[#This Row],[RepsRequested]]&gt;1),DiscreteStatsTable[[#This Row],[HalfWidth]],DiscreteStatsTable[[#This Row],[BatchMeansHalfWidth]])</f>
        <v>0.49625638833326502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76</v>
      </c>
      <c r="E13" t="s">
        <v>83</v>
      </c>
      <c r="F13" t="s">
        <v>78</v>
      </c>
      <c r="G13">
        <v>11.702227841366801</v>
      </c>
      <c r="H13">
        <v>2E+20</v>
      </c>
      <c r="I13">
        <v>0</v>
      </c>
      <c r="J13">
        <v>24.927129744372198</v>
      </c>
      <c r="K13">
        <v>39</v>
      </c>
      <c r="L13" t="str">
        <f>DiscreteStatsTable[[#This Row],[ProjectName]]&amp;DiscreteStatsTable[[#This Row],[Name]]&amp;DiscreteStatsTable[[#This Row],[Type]]&amp;DiscreteStatsTable[[#This Row],[Source]]</f>
        <v>Unnamed ProjectcbusWait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10.915224374024641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1.5724350746607474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1.1248522898490634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8.6624511665201407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13.3543995277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25.723574494566702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31.2</v>
      </c>
      <c r="W13">
        <f>IF((DiscreteStatsTable[[#This Row],[RepsRequested]]&gt;1),DiscreteStatsTable[[#This Row],[HalfWidth]],DiscreteStatsTable[[#This Row],[BatchMeansHalfWidth]])</f>
        <v>1.1248522898490634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76</v>
      </c>
      <c r="E14" t="s">
        <v>77</v>
      </c>
      <c r="F14" t="s">
        <v>78</v>
      </c>
      <c r="G14">
        <v>0</v>
      </c>
      <c r="H14">
        <v>2E+20</v>
      </c>
      <c r="I14">
        <v>0</v>
      </c>
      <c r="J14">
        <v>0</v>
      </c>
      <c r="K14">
        <v>27</v>
      </c>
      <c r="L14" t="str">
        <f>DiscreteStatsTable[[#This Row],[ProjectName]]&amp;DiscreteStatsTable[[#This Row],[Name]]&amp;DiscreteStatsTable[[#This Row],[Type]]&amp;DiscreteStatsTable[[#This Row],[Source]]</f>
        <v>Unnamed ProjectcbusNVA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31.2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76</v>
      </c>
      <c r="E15" t="s">
        <v>79</v>
      </c>
      <c r="F15" t="s">
        <v>78</v>
      </c>
      <c r="G15">
        <v>0</v>
      </c>
      <c r="H15">
        <v>2E+20</v>
      </c>
      <c r="I15">
        <v>0</v>
      </c>
      <c r="J15">
        <v>0</v>
      </c>
      <c r="K15">
        <v>27</v>
      </c>
      <c r="L15" t="str">
        <f>DiscreteStatsTable[[#This Row],[ProjectName]]&amp;DiscreteStatsTable[[#This Row],[Name]]&amp;DiscreteStatsTable[[#This Row],[Type]]&amp;DiscreteStatsTable[[#This Row],[Source]]</f>
        <v>Unnamed ProjectcbusOther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31.2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76</v>
      </c>
      <c r="E16" t="s">
        <v>80</v>
      </c>
      <c r="F16" t="s">
        <v>78</v>
      </c>
      <c r="G16">
        <v>36.517983191613702</v>
      </c>
      <c r="H16">
        <v>2E+20</v>
      </c>
      <c r="I16">
        <v>25.189647807439599</v>
      </c>
      <c r="J16">
        <v>49.927750451978099</v>
      </c>
      <c r="K16">
        <v>27</v>
      </c>
      <c r="L16" t="str">
        <f>DiscreteStatsTable[[#This Row],[ProjectName]]&amp;DiscreteStatsTable[[#This Row],[Name]]&amp;DiscreteStatsTable[[#This Row],[Type]]&amp;DiscreteStatsTable[[#This Row],[Source]]</f>
        <v>Unnamed ProjectcbusTotal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38.906164156467867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1.8279580436824889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1.3076424103728945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36.343398970582797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41.3916793980557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21.5905647950899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60.085510848846901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31.2</v>
      </c>
      <c r="W16">
        <f>IF((DiscreteStatsTable[[#This Row],[RepsRequested]]&gt;1),DiscreteStatsTable[[#This Row],[HalfWidth]],DiscreteStatsTable[[#This Row],[BatchMeansHalfWidth]])</f>
        <v>1.3076424103728945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76</v>
      </c>
      <c r="E17" t="s">
        <v>81</v>
      </c>
      <c r="F17" t="s">
        <v>78</v>
      </c>
      <c r="G17">
        <v>2.4770202140828199</v>
      </c>
      <c r="H17">
        <v>2E+20</v>
      </c>
      <c r="I17">
        <v>0.70530384785803302</v>
      </c>
      <c r="J17">
        <v>5.95709262374152</v>
      </c>
      <c r="K17">
        <v>27</v>
      </c>
      <c r="L17" t="str">
        <f>DiscreteStatsTable[[#This Row],[ProjectName]]&amp;DiscreteStatsTable[[#This Row],[Name]]&amp;DiscreteStatsTable[[#This Row],[Type]]&amp;DiscreteStatsTable[[#This Row],[Source]]</f>
        <v>Unnamed ProjectcbusTransfer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2.4758267117727573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0.29062850270491319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0.20790310648187366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1.9664936967620199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2.9622895045267401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0.24044410972067001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9.0397657436027608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31.2</v>
      </c>
      <c r="W17">
        <f>IF((DiscreteStatsTable[[#This Row],[RepsRequested]]&gt;1),DiscreteStatsTable[[#This Row],[HalfWidth]],DiscreteStatsTable[[#This Row],[BatchMeansHalfWidth]])</f>
        <v>0.20790310648187366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76</v>
      </c>
      <c r="E18" t="s">
        <v>82</v>
      </c>
      <c r="F18" t="s">
        <v>78</v>
      </c>
      <c r="G18">
        <v>25.378511811010799</v>
      </c>
      <c r="H18">
        <v>2E+20</v>
      </c>
      <c r="I18">
        <v>19.3092740939443</v>
      </c>
      <c r="J18">
        <v>32.542830001053197</v>
      </c>
      <c r="K18">
        <v>27</v>
      </c>
      <c r="L18" t="str">
        <f>DiscreteStatsTable[[#This Row],[ProjectName]]&amp;DiscreteStatsTable[[#This Row],[Name]]&amp;DiscreteStatsTable[[#This Row],[Type]]&amp;DiscreteStatsTable[[#This Row],[Source]]</f>
        <v>Unnamed ProjectcbusVA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25.515113070670481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0.69371859583839046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0.49625638833326502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24.693613478441701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26.663484139011398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16.436283991791001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36.383869759363698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31.2</v>
      </c>
      <c r="W18">
        <f>IF((DiscreteStatsTable[[#This Row],[RepsRequested]]&gt;1),DiscreteStatsTable[[#This Row],[HalfWidth]],DiscreteStatsTable[[#This Row],[BatchMeansHalfWidth]])</f>
        <v>0.49625638833326502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76</v>
      </c>
      <c r="E19" t="s">
        <v>83</v>
      </c>
      <c r="F19" t="s">
        <v>78</v>
      </c>
      <c r="G19">
        <v>8.6624511665201407</v>
      </c>
      <c r="H19">
        <v>2E+20</v>
      </c>
      <c r="I19">
        <v>0</v>
      </c>
      <c r="J19">
        <v>16.8161544952162</v>
      </c>
      <c r="K19">
        <v>27</v>
      </c>
      <c r="L19" t="str">
        <f>DiscreteStatsTable[[#This Row],[ProjectName]]&amp;DiscreteStatsTable[[#This Row],[Name]]&amp;DiscreteStatsTable[[#This Row],[Type]]&amp;DiscreteStatsTable[[#This Row],[Source]]</f>
        <v>Unnamed ProjectcbusWait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10.915224374024641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1.5724350746607474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1.1248522898490634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8.6624511665201407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13.3543995277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25.723574494566702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31.2</v>
      </c>
      <c r="W19">
        <f>IF((DiscreteStatsTable[[#This Row],[RepsRequested]]&gt;1),DiscreteStatsTable[[#This Row],[HalfWidth]],DiscreteStatsTable[[#This Row],[BatchMeansHalfWidth]])</f>
        <v>1.1248522898490634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76</v>
      </c>
      <c r="E20" t="s">
        <v>77</v>
      </c>
      <c r="F20" t="s">
        <v>78</v>
      </c>
      <c r="G20">
        <v>0</v>
      </c>
      <c r="H20">
        <v>2E+20</v>
      </c>
      <c r="I20">
        <v>0</v>
      </c>
      <c r="J20">
        <v>0</v>
      </c>
      <c r="K20">
        <v>33</v>
      </c>
      <c r="L20" t="str">
        <f>DiscreteStatsTable[[#This Row],[ProjectName]]&amp;DiscreteStatsTable[[#This Row],[Name]]&amp;DiscreteStatsTable[[#This Row],[Type]]&amp;DiscreteStatsTable[[#This Row],[Source]]</f>
        <v>Unnamed ProjectcbusNVA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31.2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76</v>
      </c>
      <c r="E21" t="s">
        <v>79</v>
      </c>
      <c r="F21" t="s">
        <v>78</v>
      </c>
      <c r="G21">
        <v>0</v>
      </c>
      <c r="H21">
        <v>2E+20</v>
      </c>
      <c r="I21">
        <v>0</v>
      </c>
      <c r="J21">
        <v>0</v>
      </c>
      <c r="K21">
        <v>33</v>
      </c>
      <c r="L21" t="str">
        <f>DiscreteStatsTable[[#This Row],[ProjectName]]&amp;DiscreteStatsTable[[#This Row],[Name]]&amp;DiscreteStatsTable[[#This Row],[Type]]&amp;DiscreteStatsTable[[#This Row],[Source]]</f>
        <v>Unnamed ProjectcbusOther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31.2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76</v>
      </c>
      <c r="E22" t="s">
        <v>80</v>
      </c>
      <c r="F22" t="s">
        <v>78</v>
      </c>
      <c r="G22">
        <v>37.831098728190597</v>
      </c>
      <c r="H22">
        <v>2E+20</v>
      </c>
      <c r="I22">
        <v>24.9503707657429</v>
      </c>
      <c r="J22">
        <v>52.030772064263999</v>
      </c>
      <c r="K22">
        <v>33</v>
      </c>
      <c r="L22" t="str">
        <f>DiscreteStatsTable[[#This Row],[ProjectName]]&amp;DiscreteStatsTable[[#This Row],[Name]]&amp;DiscreteStatsTable[[#This Row],[Type]]&amp;DiscreteStatsTable[[#This Row],[Source]]</f>
        <v>Unnamed ProjectcbusTotal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38.906164156467867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1.8279580436824889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1.3076424103728945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36.343398970582797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41.3916793980557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21.5905647950899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60.085510848846901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31.2</v>
      </c>
      <c r="W22">
        <f>IF((DiscreteStatsTable[[#This Row],[RepsRequested]]&gt;1),DiscreteStatsTable[[#This Row],[HalfWidth]],DiscreteStatsTable[[#This Row],[BatchMeansHalfWidth]])</f>
        <v>1.3076424103728945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76</v>
      </c>
      <c r="E23" t="s">
        <v>81</v>
      </c>
      <c r="F23" t="s">
        <v>78</v>
      </c>
      <c r="G23">
        <v>2.4246695624633001</v>
      </c>
      <c r="H23">
        <v>2E+20</v>
      </c>
      <c r="I23">
        <v>0.660773241994974</v>
      </c>
      <c r="J23">
        <v>6.39315001772533</v>
      </c>
      <c r="K23">
        <v>33</v>
      </c>
      <c r="L23" t="str">
        <f>DiscreteStatsTable[[#This Row],[ProjectName]]&amp;DiscreteStatsTable[[#This Row],[Name]]&amp;DiscreteStatsTable[[#This Row],[Type]]&amp;DiscreteStatsTable[[#This Row],[Source]]</f>
        <v>Unnamed ProjectcbusTransfer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2.4758267117727573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0.29062850270491319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0.20790310648187366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1.9664936967620199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2.9622895045267401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0.24044410972067001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9.0397657436027608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31.2</v>
      </c>
      <c r="W23">
        <f>IF((DiscreteStatsTable[[#This Row],[RepsRequested]]&gt;1),DiscreteStatsTable[[#This Row],[HalfWidth]],DiscreteStatsTable[[#This Row],[BatchMeansHalfWidth]])</f>
        <v>0.20790310648187366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76</v>
      </c>
      <c r="E24" t="s">
        <v>82</v>
      </c>
      <c r="F24" t="s">
        <v>78</v>
      </c>
      <c r="G24">
        <v>25.126036200857001</v>
      </c>
      <c r="H24">
        <v>2E+20</v>
      </c>
      <c r="I24">
        <v>17.779342728097099</v>
      </c>
      <c r="J24">
        <v>34.693496329123199</v>
      </c>
      <c r="K24">
        <v>33</v>
      </c>
      <c r="L24" t="str">
        <f>DiscreteStatsTable[[#This Row],[ProjectName]]&amp;DiscreteStatsTable[[#This Row],[Name]]&amp;DiscreteStatsTable[[#This Row],[Type]]&amp;DiscreteStatsTable[[#This Row],[Source]]</f>
        <v>Unnamed ProjectcbusVA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25.515113070670481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0.69371859583839046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0.49625638833326502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24.693613478441701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26.663484139011398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16.436283991791001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36.383869759363698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31.2</v>
      </c>
      <c r="W24">
        <f>IF((DiscreteStatsTable[[#This Row],[RepsRequested]]&gt;1),DiscreteStatsTable[[#This Row],[HalfWidth]],DiscreteStatsTable[[#This Row],[BatchMeansHalfWidth]])</f>
        <v>0.49625638833326502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76</v>
      </c>
      <c r="E25" t="s">
        <v>83</v>
      </c>
      <c r="F25" t="s">
        <v>78</v>
      </c>
      <c r="G25">
        <v>10.2803929648703</v>
      </c>
      <c r="H25">
        <v>2E+20</v>
      </c>
      <c r="I25">
        <v>0</v>
      </c>
      <c r="J25">
        <v>22.311936774203801</v>
      </c>
      <c r="K25">
        <v>33</v>
      </c>
      <c r="L25" t="str">
        <f>DiscreteStatsTable[[#This Row],[ProjectName]]&amp;DiscreteStatsTable[[#This Row],[Name]]&amp;DiscreteStatsTable[[#This Row],[Type]]&amp;DiscreteStatsTable[[#This Row],[Source]]</f>
        <v>Unnamed ProjectcbusWait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10.915224374024641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1.5724350746607474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1.1248522898490634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8.6624511665201407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13.3543995277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25.723574494566702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31.2</v>
      </c>
      <c r="W25">
        <f>IF((DiscreteStatsTable[[#This Row],[RepsRequested]]&gt;1),DiscreteStatsTable[[#This Row],[HalfWidth]],DiscreteStatsTable[[#This Row],[BatchMeansHalfWidth]])</f>
        <v>1.1248522898490634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76</v>
      </c>
      <c r="E26" t="s">
        <v>77</v>
      </c>
      <c r="F26" t="s">
        <v>78</v>
      </c>
      <c r="G26">
        <v>0</v>
      </c>
      <c r="H26">
        <v>2E+20</v>
      </c>
      <c r="I26">
        <v>0</v>
      </c>
      <c r="J26">
        <v>0</v>
      </c>
      <c r="K26">
        <v>33</v>
      </c>
      <c r="L26" t="str">
        <f>DiscreteStatsTable[[#This Row],[ProjectName]]&amp;DiscreteStatsTable[[#This Row],[Name]]&amp;DiscreteStatsTable[[#This Row],[Type]]&amp;DiscreteStatsTable[[#This Row],[Source]]</f>
        <v>Unnamed ProjectcbusNVA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31.2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76</v>
      </c>
      <c r="E27" t="s">
        <v>79</v>
      </c>
      <c r="F27" t="s">
        <v>78</v>
      </c>
      <c r="G27">
        <v>0</v>
      </c>
      <c r="H27">
        <v>2E+20</v>
      </c>
      <c r="I27">
        <v>0</v>
      </c>
      <c r="J27">
        <v>0</v>
      </c>
      <c r="K27">
        <v>33</v>
      </c>
      <c r="L27" t="str">
        <f>DiscreteStatsTable[[#This Row],[ProjectName]]&amp;DiscreteStatsTable[[#This Row],[Name]]&amp;DiscreteStatsTable[[#This Row],[Type]]&amp;DiscreteStatsTable[[#This Row],[Source]]</f>
        <v>Unnamed ProjectcbusOther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31.2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76</v>
      </c>
      <c r="E28" t="s">
        <v>80</v>
      </c>
      <c r="F28" t="s">
        <v>78</v>
      </c>
      <c r="G28">
        <v>37.500744118110902</v>
      </c>
      <c r="H28">
        <v>2E+20</v>
      </c>
      <c r="I28">
        <v>23.985483534154</v>
      </c>
      <c r="J28">
        <v>55.6917325795621</v>
      </c>
      <c r="K28">
        <v>33</v>
      </c>
      <c r="L28" t="str">
        <f>DiscreteStatsTable[[#This Row],[ProjectName]]&amp;DiscreteStatsTable[[#This Row],[Name]]&amp;DiscreteStatsTable[[#This Row],[Type]]&amp;DiscreteStatsTable[[#This Row],[Source]]</f>
        <v>Unnamed ProjectcbusTotal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38.906164156467867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1.8279580436824889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1.3076424103728945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36.343398970582797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41.3916793980557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21.5905647950899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60.085510848846901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31.2</v>
      </c>
      <c r="W28">
        <f>IF((DiscreteStatsTable[[#This Row],[RepsRequested]]&gt;1),DiscreteStatsTable[[#This Row],[HalfWidth]],DiscreteStatsTable[[#This Row],[BatchMeansHalfWidth]])</f>
        <v>1.3076424103728945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76</v>
      </c>
      <c r="E29" t="s">
        <v>81</v>
      </c>
      <c r="F29" t="s">
        <v>78</v>
      </c>
      <c r="G29">
        <v>2.7706212014971698</v>
      </c>
      <c r="H29">
        <v>2E+20</v>
      </c>
      <c r="I29">
        <v>0.76629778668939297</v>
      </c>
      <c r="J29">
        <v>8.0567775153498093</v>
      </c>
      <c r="K29">
        <v>33</v>
      </c>
      <c r="L29" t="str">
        <f>DiscreteStatsTable[[#This Row],[ProjectName]]&amp;DiscreteStatsTable[[#This Row],[Name]]&amp;DiscreteStatsTable[[#This Row],[Type]]&amp;DiscreteStatsTable[[#This Row],[Source]]</f>
        <v>Unnamed ProjectcbusTransfer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2.4758267117727573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0.29062850270491319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0.20790310648187366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1.9664936967620199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2.9622895045267401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0.24044410972067001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9.0397657436027608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31.2</v>
      </c>
      <c r="W29">
        <f>IF((DiscreteStatsTable[[#This Row],[RepsRequested]]&gt;1),DiscreteStatsTable[[#This Row],[HalfWidth]],DiscreteStatsTable[[#This Row],[BatchMeansHalfWidth]])</f>
        <v>0.20790310648187366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76</v>
      </c>
      <c r="E30" t="s">
        <v>82</v>
      </c>
      <c r="F30" t="s">
        <v>78</v>
      </c>
      <c r="G30">
        <v>24.8667395849013</v>
      </c>
      <c r="H30">
        <v>2E+20</v>
      </c>
      <c r="I30">
        <v>17.014590412230699</v>
      </c>
      <c r="J30">
        <v>34.452630776823199</v>
      </c>
      <c r="K30">
        <v>33</v>
      </c>
      <c r="L30" t="str">
        <f>DiscreteStatsTable[[#This Row],[ProjectName]]&amp;DiscreteStatsTable[[#This Row],[Name]]&amp;DiscreteStatsTable[[#This Row],[Type]]&amp;DiscreteStatsTable[[#This Row],[Source]]</f>
        <v>Unnamed ProjectcbusVA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25.515113070670481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0.69371859583839046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0.49625638833326502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24.693613478441701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26.663484139011398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16.436283991791001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36.383869759363698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31.2</v>
      </c>
      <c r="W30">
        <f>IF((DiscreteStatsTable[[#This Row],[RepsRequested]]&gt;1),DiscreteStatsTable[[#This Row],[HalfWidth]],DiscreteStatsTable[[#This Row],[BatchMeansHalfWidth]])</f>
        <v>0.49625638833326502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76</v>
      </c>
      <c r="E31" t="s">
        <v>83</v>
      </c>
      <c r="F31" t="s">
        <v>78</v>
      </c>
      <c r="G31">
        <v>9.8633833317124608</v>
      </c>
      <c r="H31">
        <v>2E+20</v>
      </c>
      <c r="I31">
        <v>0</v>
      </c>
      <c r="J31">
        <v>21.470374299830901</v>
      </c>
      <c r="K31">
        <v>33</v>
      </c>
      <c r="L31" t="str">
        <f>DiscreteStatsTable[[#This Row],[ProjectName]]&amp;DiscreteStatsTable[[#This Row],[Name]]&amp;DiscreteStatsTable[[#This Row],[Type]]&amp;DiscreteStatsTable[[#This Row],[Source]]</f>
        <v>Unnamed ProjectcbusWait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10.915224374024641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1.5724350746607474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1.1248522898490634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8.6624511665201407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13.3543995277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25.723574494566702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31.2</v>
      </c>
      <c r="W31">
        <f>IF((DiscreteStatsTable[[#This Row],[RepsRequested]]&gt;1),DiscreteStatsTable[[#This Row],[HalfWidth]],DiscreteStatsTable[[#This Row],[BatchMeansHalfWidth]])</f>
        <v>1.1248522898490634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76</v>
      </c>
      <c r="E32" t="s">
        <v>77</v>
      </c>
      <c r="F32" t="s">
        <v>78</v>
      </c>
      <c r="G32">
        <v>0</v>
      </c>
      <c r="H32">
        <v>2E+20</v>
      </c>
      <c r="I32">
        <v>0</v>
      </c>
      <c r="J32">
        <v>0</v>
      </c>
      <c r="K32">
        <v>32</v>
      </c>
      <c r="L32" t="str">
        <f>DiscreteStatsTable[[#This Row],[ProjectName]]&amp;DiscreteStatsTable[[#This Row],[Name]]&amp;DiscreteStatsTable[[#This Row],[Type]]&amp;DiscreteStatsTable[[#This Row],[Source]]</f>
        <v>Unnamed ProjectcbusNVA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31.2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76</v>
      </c>
      <c r="E33" t="s">
        <v>79</v>
      </c>
      <c r="F33" t="s">
        <v>78</v>
      </c>
      <c r="G33">
        <v>0</v>
      </c>
      <c r="H33">
        <v>2E+20</v>
      </c>
      <c r="I33">
        <v>0</v>
      </c>
      <c r="J33">
        <v>0</v>
      </c>
      <c r="K33">
        <v>32</v>
      </c>
      <c r="L33" t="str">
        <f>DiscreteStatsTable[[#This Row],[ProjectName]]&amp;DiscreteStatsTable[[#This Row],[Name]]&amp;DiscreteStatsTable[[#This Row],[Type]]&amp;DiscreteStatsTable[[#This Row],[Source]]</f>
        <v>Unnamed ProjectcbusOther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31.2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76</v>
      </c>
      <c r="E34" t="s">
        <v>80</v>
      </c>
      <c r="F34" t="s">
        <v>78</v>
      </c>
      <c r="G34">
        <v>40.774394200925599</v>
      </c>
      <c r="H34">
        <v>2E+20</v>
      </c>
      <c r="I34">
        <v>27.404912683769499</v>
      </c>
      <c r="J34">
        <v>56.724274024402902</v>
      </c>
      <c r="K34">
        <v>32</v>
      </c>
      <c r="L34" t="str">
        <f>DiscreteStatsTable[[#This Row],[ProjectName]]&amp;DiscreteStatsTable[[#This Row],[Name]]&amp;DiscreteStatsTable[[#This Row],[Type]]&amp;DiscreteStatsTable[[#This Row],[Source]]</f>
        <v>Unnamed ProjectcbusTotal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38.906164156467867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1.8279580436824889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1.3076424103728945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36.343398970582797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41.3916793980557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21.5905647950899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60.085510848846901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31.2</v>
      </c>
      <c r="W34">
        <f>IF((DiscreteStatsTable[[#This Row],[RepsRequested]]&gt;1),DiscreteStatsTable[[#This Row],[HalfWidth]],DiscreteStatsTable[[#This Row],[BatchMeansHalfWidth]])</f>
        <v>1.3076424103728945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76</v>
      </c>
      <c r="E35" t="s">
        <v>81</v>
      </c>
      <c r="F35" t="s">
        <v>78</v>
      </c>
      <c r="G35">
        <v>1.9664936967620199</v>
      </c>
      <c r="H35">
        <v>2E+20</v>
      </c>
      <c r="I35">
        <v>0.53395355454762194</v>
      </c>
      <c r="J35">
        <v>4.1319043533736401</v>
      </c>
      <c r="K35">
        <v>32</v>
      </c>
      <c r="L35" t="str">
        <f>DiscreteStatsTable[[#This Row],[ProjectName]]&amp;DiscreteStatsTable[[#This Row],[Name]]&amp;DiscreteStatsTable[[#This Row],[Type]]&amp;DiscreteStatsTable[[#This Row],[Source]]</f>
        <v>Unnamed ProjectcbusTransfer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2.4758267117727573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0.29062850270491319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0.20790310648187366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1.9664936967620199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2.9622895045267401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0.24044410972067001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9.0397657436027608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31.2</v>
      </c>
      <c r="W35">
        <f>IF((DiscreteStatsTable[[#This Row],[RepsRequested]]&gt;1),DiscreteStatsTable[[#This Row],[HalfWidth]],DiscreteStatsTable[[#This Row],[BatchMeansHalfWidth]])</f>
        <v>0.20790310648187366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76</v>
      </c>
      <c r="E36" t="s">
        <v>82</v>
      </c>
      <c r="F36" t="s">
        <v>78</v>
      </c>
      <c r="G36">
        <v>26.4798937380822</v>
      </c>
      <c r="H36">
        <v>2E+20</v>
      </c>
      <c r="I36">
        <v>16.683961763483001</v>
      </c>
      <c r="J36">
        <v>33.356282754548502</v>
      </c>
      <c r="K36">
        <v>32</v>
      </c>
      <c r="L36" t="str">
        <f>DiscreteStatsTable[[#This Row],[ProjectName]]&amp;DiscreteStatsTable[[#This Row],[Name]]&amp;DiscreteStatsTable[[#This Row],[Type]]&amp;DiscreteStatsTable[[#This Row],[Source]]</f>
        <v>Unnamed ProjectcbusVA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25.515113070670481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0.69371859583839046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0.49625638833326502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24.693613478441701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26.663484139011398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16.436283991791001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36.383869759363698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31.2</v>
      </c>
      <c r="W36">
        <f>IF((DiscreteStatsTable[[#This Row],[RepsRequested]]&gt;1),DiscreteStatsTable[[#This Row],[HalfWidth]],DiscreteStatsTable[[#This Row],[BatchMeansHalfWidth]])</f>
        <v>0.49625638833326502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76</v>
      </c>
      <c r="E37" t="s">
        <v>83</v>
      </c>
      <c r="F37" t="s">
        <v>78</v>
      </c>
      <c r="G37">
        <v>12.328006766081399</v>
      </c>
      <c r="H37">
        <v>2E+20</v>
      </c>
      <c r="I37">
        <v>0.82332932867666397</v>
      </c>
      <c r="J37">
        <v>23.143549145430399</v>
      </c>
      <c r="K37">
        <v>32</v>
      </c>
      <c r="L37" t="str">
        <f>DiscreteStatsTable[[#This Row],[ProjectName]]&amp;DiscreteStatsTable[[#This Row],[Name]]&amp;DiscreteStatsTable[[#This Row],[Type]]&amp;DiscreteStatsTable[[#This Row],[Source]]</f>
        <v>Unnamed ProjectcbusWait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10.915224374024641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1.5724350746607474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1.1248522898490634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8.6624511665201407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13.3543995277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25.723574494566702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31.2</v>
      </c>
      <c r="W37">
        <f>IF((DiscreteStatsTable[[#This Row],[RepsRequested]]&gt;1),DiscreteStatsTable[[#This Row],[HalfWidth]],DiscreteStatsTable[[#This Row],[BatchMeansHalfWidth]])</f>
        <v>1.1248522898490634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76</v>
      </c>
      <c r="E38" t="s">
        <v>77</v>
      </c>
      <c r="F38" t="s">
        <v>78</v>
      </c>
      <c r="G38">
        <v>0</v>
      </c>
      <c r="H38">
        <v>2E+20</v>
      </c>
      <c r="I38">
        <v>0</v>
      </c>
      <c r="J38">
        <v>0</v>
      </c>
      <c r="K38">
        <v>28</v>
      </c>
      <c r="L38" t="str">
        <f>DiscreteStatsTable[[#This Row],[ProjectName]]&amp;DiscreteStatsTable[[#This Row],[Name]]&amp;DiscreteStatsTable[[#This Row],[Type]]&amp;DiscreteStatsTable[[#This Row],[Source]]</f>
        <v>Unnamed ProjectcbusNVA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31.2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76</v>
      </c>
      <c r="E39" t="s">
        <v>79</v>
      </c>
      <c r="F39" t="s">
        <v>78</v>
      </c>
      <c r="G39">
        <v>0</v>
      </c>
      <c r="H39">
        <v>2E+20</v>
      </c>
      <c r="I39">
        <v>0</v>
      </c>
      <c r="J39">
        <v>0</v>
      </c>
      <c r="K39">
        <v>28</v>
      </c>
      <c r="L39" t="str">
        <f>DiscreteStatsTable[[#This Row],[ProjectName]]&amp;DiscreteStatsTable[[#This Row],[Name]]&amp;DiscreteStatsTable[[#This Row],[Type]]&amp;DiscreteStatsTable[[#This Row],[Source]]</f>
        <v>Unnamed ProjectcbusOther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31.2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76</v>
      </c>
      <c r="E40" t="s">
        <v>80</v>
      </c>
      <c r="F40" t="s">
        <v>78</v>
      </c>
      <c r="G40">
        <v>39.175499388448898</v>
      </c>
      <c r="H40">
        <v>2E+20</v>
      </c>
      <c r="I40">
        <v>28.4809989681487</v>
      </c>
      <c r="J40">
        <v>53.190125922723396</v>
      </c>
      <c r="K40">
        <v>28</v>
      </c>
      <c r="L40" t="str">
        <f>DiscreteStatsTable[[#This Row],[ProjectName]]&amp;DiscreteStatsTable[[#This Row],[Name]]&amp;DiscreteStatsTable[[#This Row],[Type]]&amp;DiscreteStatsTable[[#This Row],[Source]]</f>
        <v>Unnamed ProjectcbusTotal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38.906164156467867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1.8279580436824889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1.3076424103728945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36.343398970582797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41.3916793980557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21.5905647950899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60.085510848846901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31.2</v>
      </c>
      <c r="W40">
        <f>IF((DiscreteStatsTable[[#This Row],[RepsRequested]]&gt;1),DiscreteStatsTable[[#This Row],[HalfWidth]],DiscreteStatsTable[[#This Row],[BatchMeansHalfWidth]])</f>
        <v>1.3076424103728945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76</v>
      </c>
      <c r="E41" t="s">
        <v>81</v>
      </c>
      <c r="F41" t="s">
        <v>78</v>
      </c>
      <c r="G41">
        <v>2.9622895045267401</v>
      </c>
      <c r="H41">
        <v>2E+20</v>
      </c>
      <c r="I41">
        <v>0.59177749429014204</v>
      </c>
      <c r="J41">
        <v>6.8301263246886199</v>
      </c>
      <c r="K41">
        <v>28</v>
      </c>
      <c r="L41" t="str">
        <f>DiscreteStatsTable[[#This Row],[ProjectName]]&amp;DiscreteStatsTable[[#This Row],[Name]]&amp;DiscreteStatsTable[[#This Row],[Type]]&amp;DiscreteStatsTable[[#This Row],[Source]]</f>
        <v>Unnamed ProjectcbusTransfer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2.4758267117727573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0.29062850270491319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0.20790310648187366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1.9664936967620199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2.9622895045267401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0.24044410972067001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9.0397657436027608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31.2</v>
      </c>
      <c r="W41">
        <f>IF((DiscreteStatsTable[[#This Row],[RepsRequested]]&gt;1),DiscreteStatsTable[[#This Row],[HalfWidth]],DiscreteStatsTable[[#This Row],[BatchMeansHalfWidth]])</f>
        <v>0.20790310648187366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76</v>
      </c>
      <c r="E42" t="s">
        <v>82</v>
      </c>
      <c r="F42" t="s">
        <v>78</v>
      </c>
      <c r="G42">
        <v>25.712071886433101</v>
      </c>
      <c r="H42">
        <v>2E+20</v>
      </c>
      <c r="I42">
        <v>18.508154835389401</v>
      </c>
      <c r="J42">
        <v>33.2486606818157</v>
      </c>
      <c r="K42">
        <v>28</v>
      </c>
      <c r="L42" t="str">
        <f>DiscreteStatsTable[[#This Row],[ProjectName]]&amp;DiscreteStatsTable[[#This Row],[Name]]&amp;DiscreteStatsTable[[#This Row],[Type]]&amp;DiscreteStatsTable[[#This Row],[Source]]</f>
        <v>Unnamed ProjectcbusVA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25.515113070670481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0.69371859583839046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0.49625638833326502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24.693613478441701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26.663484139011398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16.436283991791001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36.383869759363698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31.2</v>
      </c>
      <c r="W42">
        <f>IF((DiscreteStatsTable[[#This Row],[RepsRequested]]&gt;1),DiscreteStatsTable[[#This Row],[HalfWidth]],DiscreteStatsTable[[#This Row],[BatchMeansHalfWidth]])</f>
        <v>0.49625638833326502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76</v>
      </c>
      <c r="E43" t="s">
        <v>83</v>
      </c>
      <c r="F43" t="s">
        <v>78</v>
      </c>
      <c r="G43">
        <v>10.501137997489</v>
      </c>
      <c r="H43">
        <v>2E+20</v>
      </c>
      <c r="I43">
        <v>1.4865178844843601</v>
      </c>
      <c r="J43">
        <v>22.426956232166301</v>
      </c>
      <c r="K43">
        <v>28</v>
      </c>
      <c r="L43" t="str">
        <f>DiscreteStatsTable[[#This Row],[ProjectName]]&amp;DiscreteStatsTable[[#This Row],[Name]]&amp;DiscreteStatsTable[[#This Row],[Type]]&amp;DiscreteStatsTable[[#This Row],[Source]]</f>
        <v>Unnamed ProjectcbusWait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10.915224374024641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1.5724350746607474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1.1248522898490634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8.6624511665201407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13.3543995277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25.723574494566702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31.2</v>
      </c>
      <c r="W43">
        <f>IF((DiscreteStatsTable[[#This Row],[RepsRequested]]&gt;1),DiscreteStatsTable[[#This Row],[HalfWidth]],DiscreteStatsTable[[#This Row],[BatchMeansHalfWidth]])</f>
        <v>1.1248522898490634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76</v>
      </c>
      <c r="E44" t="s">
        <v>77</v>
      </c>
      <c r="F44" t="s">
        <v>78</v>
      </c>
      <c r="G44">
        <v>0</v>
      </c>
      <c r="H44">
        <v>2E+20</v>
      </c>
      <c r="I44">
        <v>0</v>
      </c>
      <c r="J44">
        <v>0</v>
      </c>
      <c r="K44">
        <v>30</v>
      </c>
      <c r="L44" t="str">
        <f>DiscreteStatsTable[[#This Row],[ProjectName]]&amp;DiscreteStatsTable[[#This Row],[Name]]&amp;DiscreteStatsTable[[#This Row],[Type]]&amp;DiscreteStatsTable[[#This Row],[Source]]</f>
        <v>Unnamed ProjectcbusNVA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31.2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76</v>
      </c>
      <c r="E45" t="s">
        <v>79</v>
      </c>
      <c r="F45" t="s">
        <v>78</v>
      </c>
      <c r="G45">
        <v>0</v>
      </c>
      <c r="H45">
        <v>2E+20</v>
      </c>
      <c r="I45">
        <v>0</v>
      </c>
      <c r="J45">
        <v>0</v>
      </c>
      <c r="K45">
        <v>30</v>
      </c>
      <c r="L45" t="str">
        <f>DiscreteStatsTable[[#This Row],[ProjectName]]&amp;DiscreteStatsTable[[#This Row],[Name]]&amp;DiscreteStatsTable[[#This Row],[Type]]&amp;DiscreteStatsTable[[#This Row],[Source]]</f>
        <v>Unnamed ProjectcbusOther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31.2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76</v>
      </c>
      <c r="E46" t="s">
        <v>80</v>
      </c>
      <c r="F46" t="s">
        <v>78</v>
      </c>
      <c r="G46">
        <v>39.741685170097803</v>
      </c>
      <c r="H46">
        <v>2E+20</v>
      </c>
      <c r="I46">
        <v>25.3269971834324</v>
      </c>
      <c r="J46">
        <v>54.881721659379402</v>
      </c>
      <c r="K46">
        <v>30</v>
      </c>
      <c r="L46" t="str">
        <f>DiscreteStatsTable[[#This Row],[ProjectName]]&amp;DiscreteStatsTable[[#This Row],[Name]]&amp;DiscreteStatsTable[[#This Row],[Type]]&amp;DiscreteStatsTable[[#This Row],[Source]]</f>
        <v>Unnamed ProjectcbusTotal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38.906164156467867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1.8279580436824889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1.3076424103728945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36.343398970582797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41.3916793980557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21.5905647950899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60.085510848846901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31.2</v>
      </c>
      <c r="W46">
        <f>IF((DiscreteStatsTable[[#This Row],[RepsRequested]]&gt;1),DiscreteStatsTable[[#This Row],[HalfWidth]],DiscreteStatsTable[[#This Row],[BatchMeansHalfWidth]])</f>
        <v>1.3076424103728945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76</v>
      </c>
      <c r="E47" t="s">
        <v>81</v>
      </c>
      <c r="F47" t="s">
        <v>78</v>
      </c>
      <c r="G47">
        <v>2.76537901642893</v>
      </c>
      <c r="H47">
        <v>2E+20</v>
      </c>
      <c r="I47">
        <v>0.38459332196114798</v>
      </c>
      <c r="J47">
        <v>5.4614266566225798</v>
      </c>
      <c r="K47">
        <v>30</v>
      </c>
      <c r="L47" t="str">
        <f>DiscreteStatsTable[[#This Row],[ProjectName]]&amp;DiscreteStatsTable[[#This Row],[Name]]&amp;DiscreteStatsTable[[#This Row],[Type]]&amp;DiscreteStatsTable[[#This Row],[Source]]</f>
        <v>Unnamed ProjectcbusTransfer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2.4758267117727573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0.29062850270491319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0.20790310648187366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1.9664936967620199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2.9622895045267401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0.24044410972067001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9.0397657436027608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31.2</v>
      </c>
      <c r="W47">
        <f>IF((DiscreteStatsTable[[#This Row],[RepsRequested]]&gt;1),DiscreteStatsTable[[#This Row],[HalfWidth]],DiscreteStatsTable[[#This Row],[BatchMeansHalfWidth]])</f>
        <v>0.20790310648187366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76</v>
      </c>
      <c r="E48" t="s">
        <v>82</v>
      </c>
      <c r="F48" t="s">
        <v>78</v>
      </c>
      <c r="G48">
        <v>26.663484139011398</v>
      </c>
      <c r="H48">
        <v>2E+20</v>
      </c>
      <c r="I48">
        <v>20.0617672267303</v>
      </c>
      <c r="J48">
        <v>32.465529786041998</v>
      </c>
      <c r="K48">
        <v>30</v>
      </c>
      <c r="L48" t="str">
        <f>DiscreteStatsTable[[#This Row],[ProjectName]]&amp;DiscreteStatsTable[[#This Row],[Name]]&amp;DiscreteStatsTable[[#This Row],[Type]]&amp;DiscreteStatsTable[[#This Row],[Source]]</f>
        <v>Unnamed ProjectcbusVA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25.515113070670481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0.69371859583839046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0.49625638833326502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24.693613478441701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26.663484139011398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16.436283991791001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36.383869759363698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31.2</v>
      </c>
      <c r="W48">
        <f>IF((DiscreteStatsTable[[#This Row],[RepsRequested]]&gt;1),DiscreteStatsTable[[#This Row],[HalfWidth]],DiscreteStatsTable[[#This Row],[BatchMeansHalfWidth]])</f>
        <v>0.49625638833326502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76</v>
      </c>
      <c r="E49" t="s">
        <v>83</v>
      </c>
      <c r="F49" t="s">
        <v>78</v>
      </c>
      <c r="G49">
        <v>10.312822014657399</v>
      </c>
      <c r="H49">
        <v>2E+20</v>
      </c>
      <c r="I49">
        <v>0</v>
      </c>
      <c r="J49">
        <v>21.0895405799405</v>
      </c>
      <c r="K49">
        <v>30</v>
      </c>
      <c r="L49" t="str">
        <f>DiscreteStatsTable[[#This Row],[ProjectName]]&amp;DiscreteStatsTable[[#This Row],[Name]]&amp;DiscreteStatsTable[[#This Row],[Type]]&amp;DiscreteStatsTable[[#This Row],[Source]]</f>
        <v>Unnamed ProjectcbusWait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10.915224374024641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1.5724350746607474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1.1248522898490634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8.6624511665201407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13.3543995277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25.723574494566702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31.2</v>
      </c>
      <c r="W49">
        <f>IF((DiscreteStatsTable[[#This Row],[RepsRequested]]&gt;1),DiscreteStatsTable[[#This Row],[HalfWidth]],DiscreteStatsTable[[#This Row],[BatchMeansHalfWidth]])</f>
        <v>1.1248522898490634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76</v>
      </c>
      <c r="E50" t="s">
        <v>77</v>
      </c>
      <c r="F50" t="s">
        <v>78</v>
      </c>
      <c r="G50">
        <v>0</v>
      </c>
      <c r="H50">
        <v>2E+20</v>
      </c>
      <c r="I50">
        <v>0</v>
      </c>
      <c r="J50">
        <v>0</v>
      </c>
      <c r="K50">
        <v>31</v>
      </c>
      <c r="L50" t="str">
        <f>DiscreteStatsTable[[#This Row],[ProjectName]]&amp;DiscreteStatsTable[[#This Row],[Name]]&amp;DiscreteStatsTable[[#This Row],[Type]]&amp;DiscreteStatsTable[[#This Row],[Source]]</f>
        <v>Unnamed ProjectcbusNVA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31.2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76</v>
      </c>
      <c r="E51" t="s">
        <v>79</v>
      </c>
      <c r="F51" t="s">
        <v>78</v>
      </c>
      <c r="G51">
        <v>0</v>
      </c>
      <c r="H51">
        <v>2E+20</v>
      </c>
      <c r="I51">
        <v>0</v>
      </c>
      <c r="J51">
        <v>0</v>
      </c>
      <c r="K51">
        <v>31</v>
      </c>
      <c r="L51" t="str">
        <f>DiscreteStatsTable[[#This Row],[ProjectName]]&amp;DiscreteStatsTable[[#This Row],[Name]]&amp;DiscreteStatsTable[[#This Row],[Type]]&amp;DiscreteStatsTable[[#This Row],[Source]]</f>
        <v>Unnamed ProjectcbusOther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31.2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76</v>
      </c>
      <c r="E52" t="s">
        <v>80</v>
      </c>
      <c r="F52" t="s">
        <v>78</v>
      </c>
      <c r="G52">
        <v>41.3916793980557</v>
      </c>
      <c r="H52">
        <v>2E+20</v>
      </c>
      <c r="I52">
        <v>24.724778774624902</v>
      </c>
      <c r="J52">
        <v>55.340303304356198</v>
      </c>
      <c r="K52">
        <v>31</v>
      </c>
      <c r="L52" t="str">
        <f>DiscreteStatsTable[[#This Row],[ProjectName]]&amp;DiscreteStatsTable[[#This Row],[Name]]&amp;DiscreteStatsTable[[#This Row],[Type]]&amp;DiscreteStatsTable[[#This Row],[Source]]</f>
        <v>Unnamed ProjectcbusTotal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38.906164156467867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1.8279580436824889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1.3076424103728945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36.343398970582797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41.3916793980557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21.5905647950899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60.085510848846901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31.2</v>
      </c>
      <c r="W52">
        <f>IF((DiscreteStatsTable[[#This Row],[RepsRequested]]&gt;1),DiscreteStatsTable[[#This Row],[HalfWidth]],DiscreteStatsTable[[#This Row],[BatchMeansHalfWidth]])</f>
        <v>1.3076424103728945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76</v>
      </c>
      <c r="E53" t="s">
        <v>81</v>
      </c>
      <c r="F53" t="s">
        <v>78</v>
      </c>
      <c r="G53">
        <v>2.3968079738526198</v>
      </c>
      <c r="H53">
        <v>2E+20</v>
      </c>
      <c r="I53">
        <v>0.48268011009901102</v>
      </c>
      <c r="J53">
        <v>9.0397657436027608</v>
      </c>
      <c r="K53">
        <v>31</v>
      </c>
      <c r="L53" t="str">
        <f>DiscreteStatsTable[[#This Row],[ProjectName]]&amp;DiscreteStatsTable[[#This Row],[Name]]&amp;DiscreteStatsTable[[#This Row],[Type]]&amp;DiscreteStatsTable[[#This Row],[Source]]</f>
        <v>Unnamed ProjectcbusTransfer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2.4758267117727573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0.29062850270491319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0.20790310648187366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1.9664936967620199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2.9622895045267401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0.24044410972067001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9.0397657436027608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31.2</v>
      </c>
      <c r="W53">
        <f>IF((DiscreteStatsTable[[#This Row],[RepsRequested]]&gt;1),DiscreteStatsTable[[#This Row],[HalfWidth]],DiscreteStatsTable[[#This Row],[BatchMeansHalfWidth]])</f>
        <v>0.20790310648187366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76</v>
      </c>
      <c r="E54" t="s">
        <v>82</v>
      </c>
      <c r="F54" t="s">
        <v>78</v>
      </c>
      <c r="G54">
        <v>25.640471896503101</v>
      </c>
      <c r="H54">
        <v>2E+20</v>
      </c>
      <c r="I54">
        <v>16.436283991791001</v>
      </c>
      <c r="J54">
        <v>32.738755457908397</v>
      </c>
      <c r="K54">
        <v>31</v>
      </c>
      <c r="L54" t="str">
        <f>DiscreteStatsTable[[#This Row],[ProjectName]]&amp;DiscreteStatsTable[[#This Row],[Name]]&amp;DiscreteStatsTable[[#This Row],[Type]]&amp;DiscreteStatsTable[[#This Row],[Source]]</f>
        <v>Unnamed ProjectcbusVA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25.515113070670481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0.69371859583839046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0.49625638833326502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24.693613478441701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26.663484139011398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16.436283991791001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36.383869759363698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31.2</v>
      </c>
      <c r="W54">
        <f>IF((DiscreteStatsTable[[#This Row],[RepsRequested]]&gt;1),DiscreteStatsTable[[#This Row],[HalfWidth]],DiscreteStatsTable[[#This Row],[BatchMeansHalfWidth]])</f>
        <v>0.49625638833326502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76</v>
      </c>
      <c r="E55" t="s">
        <v>83</v>
      </c>
      <c r="F55" t="s">
        <v>78</v>
      </c>
      <c r="G55">
        <v>13.3543995277</v>
      </c>
      <c r="H55">
        <v>2E+20</v>
      </c>
      <c r="I55">
        <v>2.1753352553105301E-2</v>
      </c>
      <c r="J55">
        <v>25.723574494566702</v>
      </c>
      <c r="K55">
        <v>31</v>
      </c>
      <c r="L55" t="str">
        <f>DiscreteStatsTable[[#This Row],[ProjectName]]&amp;DiscreteStatsTable[[#This Row],[Name]]&amp;DiscreteStatsTable[[#This Row],[Type]]&amp;DiscreteStatsTable[[#This Row],[Source]]</f>
        <v>Unnamed ProjectcbusWait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10.915224374024641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1.5724350746607474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1.1248522898490634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8.6624511665201407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13.3543995277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25.723574494566702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31.2</v>
      </c>
      <c r="W55">
        <f>IF((DiscreteStatsTable[[#This Row],[RepsRequested]]&gt;1),DiscreteStatsTable[[#This Row],[HalfWidth]],DiscreteStatsTable[[#This Row],[BatchMeansHalfWidth]])</f>
        <v>1.1248522898490634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76</v>
      </c>
      <c r="E56" t="s">
        <v>77</v>
      </c>
      <c r="F56" t="s">
        <v>78</v>
      </c>
      <c r="G56">
        <v>0</v>
      </c>
      <c r="H56">
        <v>2E+20</v>
      </c>
      <c r="I56">
        <v>0</v>
      </c>
      <c r="J56">
        <v>0</v>
      </c>
      <c r="K56">
        <v>33</v>
      </c>
      <c r="L56" t="str">
        <f>DiscreteStatsTable[[#This Row],[ProjectName]]&amp;DiscreteStatsTable[[#This Row],[Name]]&amp;DiscreteStatsTable[[#This Row],[Type]]&amp;DiscreteStatsTable[[#This Row],[Source]]</f>
        <v>Unnamed ProjectcbusNVA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31.2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76</v>
      </c>
      <c r="E57" t="s">
        <v>79</v>
      </c>
      <c r="F57" t="s">
        <v>78</v>
      </c>
      <c r="G57">
        <v>0</v>
      </c>
      <c r="H57">
        <v>2E+20</v>
      </c>
      <c r="I57">
        <v>0</v>
      </c>
      <c r="J57">
        <v>0</v>
      </c>
      <c r="K57">
        <v>33</v>
      </c>
      <c r="L57" t="str">
        <f>DiscreteStatsTable[[#This Row],[ProjectName]]&amp;DiscreteStatsTable[[#This Row],[Name]]&amp;DiscreteStatsTable[[#This Row],[Type]]&amp;DiscreteStatsTable[[#This Row],[Source]]</f>
        <v>Unnamed ProjectcbusOther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31.2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76</v>
      </c>
      <c r="E58" t="s">
        <v>80</v>
      </c>
      <c r="F58" t="s">
        <v>78</v>
      </c>
      <c r="G58">
        <v>40.961689807931599</v>
      </c>
      <c r="H58">
        <v>2E+20</v>
      </c>
      <c r="I58">
        <v>26.637775959952201</v>
      </c>
      <c r="J58">
        <v>60.085510848846901</v>
      </c>
      <c r="K58">
        <v>33</v>
      </c>
      <c r="L58" t="str">
        <f>DiscreteStatsTable[[#This Row],[ProjectName]]&amp;DiscreteStatsTable[[#This Row],[Name]]&amp;DiscreteStatsTable[[#This Row],[Type]]&amp;DiscreteStatsTable[[#This Row],[Source]]</f>
        <v>Unnamed ProjectcbusTotal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38.906164156467867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1.8279580436824889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1.3076424103728945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36.343398970582797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41.3916793980557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21.5905647950899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60.085510848846901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31.2</v>
      </c>
      <c r="W58">
        <f>IF((DiscreteStatsTable[[#This Row],[RepsRequested]]&gt;1),DiscreteStatsTable[[#This Row],[HalfWidth]],DiscreteStatsTable[[#This Row],[BatchMeansHalfWidth]])</f>
        <v>1.3076424103728945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76</v>
      </c>
      <c r="E59" t="s">
        <v>81</v>
      </c>
      <c r="F59" t="s">
        <v>78</v>
      </c>
      <c r="G59">
        <v>2.2107347809951201</v>
      </c>
      <c r="H59">
        <v>2E+20</v>
      </c>
      <c r="I59">
        <v>0.51831900829347399</v>
      </c>
      <c r="J59">
        <v>5.1072197851420604</v>
      </c>
      <c r="K59">
        <v>33</v>
      </c>
      <c r="L59" t="str">
        <f>DiscreteStatsTable[[#This Row],[ProjectName]]&amp;DiscreteStatsTable[[#This Row],[Name]]&amp;DiscreteStatsTable[[#This Row],[Type]]&amp;DiscreteStatsTable[[#This Row],[Source]]</f>
        <v>Unnamed ProjectcbusTransfer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2.4758267117727573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0.29062850270491319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0.20790310648187366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1.9664936967620199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2.9622895045267401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0.24044410972067001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9.0397657436027608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31.2</v>
      </c>
      <c r="W59">
        <f>IF((DiscreteStatsTable[[#This Row],[RepsRequested]]&gt;1),DiscreteStatsTable[[#This Row],[HalfWidth]],DiscreteStatsTable[[#This Row],[BatchMeansHalfWidth]])</f>
        <v>0.20790310648187366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76</v>
      </c>
      <c r="E60" t="s">
        <v>82</v>
      </c>
      <c r="F60" t="s">
        <v>78</v>
      </c>
      <c r="G60">
        <v>25.8718209107566</v>
      </c>
      <c r="H60">
        <v>2E+20</v>
      </c>
      <c r="I60">
        <v>16.6576465507415</v>
      </c>
      <c r="J60">
        <v>33.347167759117298</v>
      </c>
      <c r="K60">
        <v>33</v>
      </c>
      <c r="L60" t="str">
        <f>DiscreteStatsTable[[#This Row],[ProjectName]]&amp;DiscreteStatsTable[[#This Row],[Name]]&amp;DiscreteStatsTable[[#This Row],[Type]]&amp;DiscreteStatsTable[[#This Row],[Source]]</f>
        <v>Unnamed ProjectcbusVA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25.515113070670481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0.69371859583839046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0.49625638833326502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24.693613478441701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26.663484139011398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16.436283991791001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36.383869759363698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31.2</v>
      </c>
      <c r="W60">
        <f>IF((DiscreteStatsTable[[#This Row],[RepsRequested]]&gt;1),DiscreteStatsTable[[#This Row],[HalfWidth]],DiscreteStatsTable[[#This Row],[BatchMeansHalfWidth]])</f>
        <v>0.49625638833326502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76</v>
      </c>
      <c r="E61" t="s">
        <v>83</v>
      </c>
      <c r="F61" t="s">
        <v>78</v>
      </c>
      <c r="G61">
        <v>12.8791341161799</v>
      </c>
      <c r="H61">
        <v>2E+20</v>
      </c>
      <c r="I61">
        <v>0.70632723809958997</v>
      </c>
      <c r="J61">
        <v>25.526886920259301</v>
      </c>
      <c r="K61">
        <v>33</v>
      </c>
      <c r="L61" t="str">
        <f>DiscreteStatsTable[[#This Row],[ProjectName]]&amp;DiscreteStatsTable[[#This Row],[Name]]&amp;DiscreteStatsTable[[#This Row],[Type]]&amp;DiscreteStatsTable[[#This Row],[Source]]</f>
        <v>Unnamed ProjectcbusWait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10.915224374024641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1.5724350746607474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1.1248522898490634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8.6624511665201407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13.3543995277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25.723574494566702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31.2</v>
      </c>
      <c r="W61">
        <f>IF((DiscreteStatsTable[[#This Row],[RepsRequested]]&gt;1),DiscreteStatsTable[[#This Row],[HalfWidth]],DiscreteStatsTable[[#This Row],[BatchMeansHalfWidth]])</f>
        <v>1.1248522898490634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</v>
      </c>
      <c r="D62" t="s">
        <v>84</v>
      </c>
      <c r="E62" t="s">
        <v>77</v>
      </c>
      <c r="F62" t="s">
        <v>78</v>
      </c>
      <c r="G62">
        <v>0</v>
      </c>
      <c r="H62">
        <v>2E+20</v>
      </c>
      <c r="I62">
        <v>0</v>
      </c>
      <c r="J62">
        <v>0</v>
      </c>
      <c r="K62">
        <v>111</v>
      </c>
      <c r="L62" t="str">
        <f>DiscreteStatsTable[[#This Row],[ProjectName]]&amp;DiscreteStatsTable[[#This Row],[Name]]&amp;DiscreteStatsTable[[#This Row],[Type]]&amp;DiscreteStatsTable[[#This Row],[Source]]</f>
        <v>Unnamed ProjectccocheNVA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92.2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</v>
      </c>
      <c r="D63" t="s">
        <v>84</v>
      </c>
      <c r="E63" t="s">
        <v>79</v>
      </c>
      <c r="F63" t="s">
        <v>78</v>
      </c>
      <c r="G63">
        <v>0</v>
      </c>
      <c r="H63">
        <v>2E+20</v>
      </c>
      <c r="I63">
        <v>0</v>
      </c>
      <c r="J63">
        <v>0</v>
      </c>
      <c r="K63">
        <v>111</v>
      </c>
      <c r="L63" t="str">
        <f>DiscreteStatsTable[[#This Row],[ProjectName]]&amp;DiscreteStatsTable[[#This Row],[Name]]&amp;DiscreteStatsTable[[#This Row],[Type]]&amp;DiscreteStatsTable[[#This Row],[Source]]</f>
        <v>Unnamed ProjectccocheOther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92.2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</v>
      </c>
      <c r="D64" t="s">
        <v>84</v>
      </c>
      <c r="E64" t="s">
        <v>80</v>
      </c>
      <c r="F64" t="s">
        <v>78</v>
      </c>
      <c r="G64">
        <v>30.530615007912299</v>
      </c>
      <c r="H64">
        <v>2E+20</v>
      </c>
      <c r="I64">
        <v>18.004440220051698</v>
      </c>
      <c r="J64">
        <v>50.379703479060304</v>
      </c>
      <c r="K64">
        <v>111</v>
      </c>
      <c r="L64" t="str">
        <f>DiscreteStatsTable[[#This Row],[ProjectName]]&amp;DiscreteStatsTable[[#This Row],[Name]]&amp;DiscreteStatsTable[[#This Row],[Type]]&amp;DiscreteStatsTable[[#This Row],[Source]]</f>
        <v>Unnamed ProjectccocheTotal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30.950376875851003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1.9993263505509704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1.4302319121557625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28.464283487368299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34.395838299094002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16.9612949634746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57.955299021337602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92.2</v>
      </c>
      <c r="W64">
        <f>IF((DiscreteStatsTable[[#This Row],[RepsRequested]]&gt;1),DiscreteStatsTable[[#This Row],[HalfWidth]],DiscreteStatsTable[[#This Row],[BatchMeansHalfWidth]])</f>
        <v>1.4302319121557625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</v>
      </c>
      <c r="D65" t="s">
        <v>84</v>
      </c>
      <c r="E65" t="s">
        <v>81</v>
      </c>
      <c r="F65" t="s">
        <v>78</v>
      </c>
      <c r="G65">
        <v>2.5050016186606499</v>
      </c>
      <c r="H65">
        <v>2E+20</v>
      </c>
      <c r="I65">
        <v>0.54866191003537801</v>
      </c>
      <c r="J65">
        <v>6.5897542072131703</v>
      </c>
      <c r="K65">
        <v>111</v>
      </c>
      <c r="L65" t="str">
        <f>DiscreteStatsTable[[#This Row],[ProjectName]]&amp;DiscreteStatsTable[[#This Row],[Name]]&amp;DiscreteStatsTable[[#This Row],[Type]]&amp;DiscreteStatsTable[[#This Row],[Source]]</f>
        <v>Unnamed ProjectccocheTransfer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2.4122023910527979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0.13561882105923745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9.7015860224325318E-2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2.1913891918054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2.5692093376609502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0.36312028717973999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8.4843904124971594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92.2</v>
      </c>
      <c r="W65">
        <f>IF((DiscreteStatsTable[[#This Row],[RepsRequested]]&gt;1),DiscreteStatsTable[[#This Row],[HalfWidth]],DiscreteStatsTable[[#This Row],[BatchMeansHalfWidth]])</f>
        <v>9.7015860224325318E-2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</v>
      </c>
      <c r="D66" t="s">
        <v>84</v>
      </c>
      <c r="E66" t="s">
        <v>82</v>
      </c>
      <c r="F66" t="s">
        <v>78</v>
      </c>
      <c r="G66">
        <v>24.865944378242201</v>
      </c>
      <c r="H66">
        <v>2E+20</v>
      </c>
      <c r="I66">
        <v>15.3329795401794</v>
      </c>
      <c r="J66">
        <v>35.497653724860598</v>
      </c>
      <c r="K66">
        <v>111</v>
      </c>
      <c r="L66" t="str">
        <f>DiscreteStatsTable[[#This Row],[ProjectName]]&amp;DiscreteStatsTable[[#This Row],[Name]]&amp;DiscreteStatsTable[[#This Row],[Type]]&amp;DiscreteStatsTable[[#This Row],[Source]]</f>
        <v>Unnamed ProjectccocheVA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25.360603041724492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0.52230907286312656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0.37363740232377263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24.277210692927799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25.996125025017601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14.719284550891301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35.729769906199898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92.2</v>
      </c>
      <c r="W66">
        <f>IF((DiscreteStatsTable[[#This Row],[RepsRequested]]&gt;1),DiscreteStatsTable[[#This Row],[HalfWidth]],DiscreteStatsTable[[#This Row],[BatchMeansHalfWidth]])</f>
        <v>0.37363740232377263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</v>
      </c>
      <c r="D67" t="s">
        <v>84</v>
      </c>
      <c r="E67" t="s">
        <v>83</v>
      </c>
      <c r="F67" t="s">
        <v>78</v>
      </c>
      <c r="G67">
        <v>3.1596690110094801</v>
      </c>
      <c r="H67">
        <v>2E+20</v>
      </c>
      <c r="I67">
        <v>0</v>
      </c>
      <c r="J67">
        <v>21.461420694737001</v>
      </c>
      <c r="K67">
        <v>111</v>
      </c>
      <c r="L67" t="str">
        <f>DiscreteStatsTable[[#This Row],[ProjectName]]&amp;DiscreteStatsTable[[#This Row],[Name]]&amp;DiscreteStatsTable[[#This Row],[Type]]&amp;DiscreteStatsTable[[#This Row],[Source]]</f>
        <v>Unnamed ProjectccocheWait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3.1775714430736928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1.7762410201398626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1.2706462804254293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0.88565751366582501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6.1361268437010104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25.063412031878201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92.2</v>
      </c>
      <c r="W67">
        <f>IF((DiscreteStatsTable[[#This Row],[RepsRequested]]&gt;1),DiscreteStatsTable[[#This Row],[HalfWidth]],DiscreteStatsTable[[#This Row],[BatchMeansHalfWidth]])</f>
        <v>1.2706462804254293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2</v>
      </c>
      <c r="D68" t="s">
        <v>84</v>
      </c>
      <c r="E68" t="s">
        <v>77</v>
      </c>
      <c r="F68" t="s">
        <v>78</v>
      </c>
      <c r="G68">
        <v>0</v>
      </c>
      <c r="H68">
        <v>2E+20</v>
      </c>
      <c r="I68">
        <v>0</v>
      </c>
      <c r="J68">
        <v>0</v>
      </c>
      <c r="K68">
        <v>85</v>
      </c>
      <c r="L68" t="str">
        <f>DiscreteStatsTable[[#This Row],[ProjectName]]&amp;DiscreteStatsTable[[#This Row],[Name]]&amp;DiscreteStatsTable[[#This Row],[Type]]&amp;DiscreteStatsTable[[#This Row],[Source]]</f>
        <v>Unnamed ProjectccocheNVA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92.2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2</v>
      </c>
      <c r="D69" t="s">
        <v>84</v>
      </c>
      <c r="E69" t="s">
        <v>79</v>
      </c>
      <c r="F69" t="s">
        <v>78</v>
      </c>
      <c r="G69">
        <v>0</v>
      </c>
      <c r="H69">
        <v>2E+20</v>
      </c>
      <c r="I69">
        <v>0</v>
      </c>
      <c r="J69">
        <v>0</v>
      </c>
      <c r="K69">
        <v>85</v>
      </c>
      <c r="L69" t="str">
        <f>DiscreteStatsTable[[#This Row],[ProjectName]]&amp;DiscreteStatsTable[[#This Row],[Name]]&amp;DiscreteStatsTable[[#This Row],[Type]]&amp;DiscreteStatsTable[[#This Row],[Source]]</f>
        <v>Unnamed ProjectccocheOther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92.2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2</v>
      </c>
      <c r="D70" t="s">
        <v>84</v>
      </c>
      <c r="E70" t="s">
        <v>80</v>
      </c>
      <c r="F70" t="s">
        <v>78</v>
      </c>
      <c r="G70">
        <v>28.5682216405289</v>
      </c>
      <c r="H70">
        <v>2E+20</v>
      </c>
      <c r="I70">
        <v>16.9612949634746</v>
      </c>
      <c r="J70">
        <v>39.394503116221003</v>
      </c>
      <c r="K70">
        <v>85</v>
      </c>
      <c r="L70" t="str">
        <f>DiscreteStatsTable[[#This Row],[ProjectName]]&amp;DiscreteStatsTable[[#This Row],[Name]]&amp;DiscreteStatsTable[[#This Row],[Type]]&amp;DiscreteStatsTable[[#This Row],[Source]]</f>
        <v>Unnamed ProjectccocheTotal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30.950376875851003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1.9993263505509704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1.4302319121557625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28.464283487368299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34.395838299094002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16.9612949634746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57.955299021337602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92.2</v>
      </c>
      <c r="W70">
        <f>IF((DiscreteStatsTable[[#This Row],[RepsRequested]]&gt;1),DiscreteStatsTable[[#This Row],[HalfWidth]],DiscreteStatsTable[[#This Row],[BatchMeansHalfWidth]])</f>
        <v>1.4302319121557625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2</v>
      </c>
      <c r="D71" t="s">
        <v>84</v>
      </c>
      <c r="E71" t="s">
        <v>81</v>
      </c>
      <c r="F71" t="s">
        <v>78</v>
      </c>
      <c r="G71">
        <v>2.3852569252035698</v>
      </c>
      <c r="H71">
        <v>2E+20</v>
      </c>
      <c r="I71">
        <v>0.37553742255786898</v>
      </c>
      <c r="J71">
        <v>6.2011387256534301</v>
      </c>
      <c r="K71">
        <v>85</v>
      </c>
      <c r="L71" t="str">
        <f>DiscreteStatsTable[[#This Row],[ProjectName]]&amp;DiscreteStatsTable[[#This Row],[Name]]&amp;DiscreteStatsTable[[#This Row],[Type]]&amp;DiscreteStatsTable[[#This Row],[Source]]</f>
        <v>Unnamed ProjectccocheTransfer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2.4122023910527979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0.13561882105923745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9.7015860224325318E-2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2.1913891918054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2.5692093376609502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0.36312028717973999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8.4843904124971594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92.2</v>
      </c>
      <c r="W71">
        <f>IF((DiscreteStatsTable[[#This Row],[RepsRequested]]&gt;1),DiscreteStatsTable[[#This Row],[HalfWidth]],DiscreteStatsTable[[#This Row],[BatchMeansHalfWidth]])</f>
        <v>9.7015860224325318E-2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2</v>
      </c>
      <c r="D72" t="s">
        <v>84</v>
      </c>
      <c r="E72" t="s">
        <v>82</v>
      </c>
      <c r="F72" t="s">
        <v>78</v>
      </c>
      <c r="G72">
        <v>25.270077527130901</v>
      </c>
      <c r="H72">
        <v>2E+20</v>
      </c>
      <c r="I72">
        <v>14.719284550891301</v>
      </c>
      <c r="J72">
        <v>34.862316333538303</v>
      </c>
      <c r="K72">
        <v>85</v>
      </c>
      <c r="L72" t="str">
        <f>DiscreteStatsTable[[#This Row],[ProjectName]]&amp;DiscreteStatsTable[[#This Row],[Name]]&amp;DiscreteStatsTable[[#This Row],[Type]]&amp;DiscreteStatsTable[[#This Row],[Source]]</f>
        <v>Unnamed ProjectccocheVA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25.360603041724492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0.52230907286312656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0.37363740232377263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24.277210692927799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25.996125025017601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14.719284550891301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35.729769906199898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92.2</v>
      </c>
      <c r="W72">
        <f>IF((DiscreteStatsTable[[#This Row],[RepsRequested]]&gt;1),DiscreteStatsTable[[#This Row],[HalfWidth]],DiscreteStatsTable[[#This Row],[BatchMeansHalfWidth]])</f>
        <v>0.37363740232377263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2</v>
      </c>
      <c r="D73" t="s">
        <v>84</v>
      </c>
      <c r="E73" t="s">
        <v>83</v>
      </c>
      <c r="F73" t="s">
        <v>78</v>
      </c>
      <c r="G73">
        <v>0.91288718819440096</v>
      </c>
      <c r="H73">
        <v>2E+20</v>
      </c>
      <c r="I73">
        <v>0</v>
      </c>
      <c r="J73">
        <v>6.2731336024339601</v>
      </c>
      <c r="K73">
        <v>85</v>
      </c>
      <c r="L73" t="str">
        <f>DiscreteStatsTable[[#This Row],[ProjectName]]&amp;DiscreteStatsTable[[#This Row],[Name]]&amp;DiscreteStatsTable[[#This Row],[Type]]&amp;DiscreteStatsTable[[#This Row],[Source]]</f>
        <v>Unnamed ProjectccocheWait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3.1775714430736928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1.7762410201398626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1.2706462804254293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0.88565751366582501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6.1361268437010104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25.063412031878201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92.2</v>
      </c>
      <c r="W73">
        <f>IF((DiscreteStatsTable[[#This Row],[RepsRequested]]&gt;1),DiscreteStatsTable[[#This Row],[HalfWidth]],DiscreteStatsTable[[#This Row],[BatchMeansHalfWidth]])</f>
        <v>1.2706462804254293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3</v>
      </c>
      <c r="D74" t="s">
        <v>84</v>
      </c>
      <c r="E74" t="s">
        <v>77</v>
      </c>
      <c r="F74" t="s">
        <v>78</v>
      </c>
      <c r="G74">
        <v>0</v>
      </c>
      <c r="H74">
        <v>2E+20</v>
      </c>
      <c r="I74">
        <v>0</v>
      </c>
      <c r="J74">
        <v>0</v>
      </c>
      <c r="K74">
        <v>91</v>
      </c>
      <c r="L74" t="str">
        <f>DiscreteStatsTable[[#This Row],[ProjectName]]&amp;DiscreteStatsTable[[#This Row],[Name]]&amp;DiscreteStatsTable[[#This Row],[Type]]&amp;DiscreteStatsTable[[#This Row],[Source]]</f>
        <v>Unnamed ProjectccocheNVA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92.2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3</v>
      </c>
      <c r="D75" t="s">
        <v>84</v>
      </c>
      <c r="E75" t="s">
        <v>79</v>
      </c>
      <c r="F75" t="s">
        <v>78</v>
      </c>
      <c r="G75">
        <v>0</v>
      </c>
      <c r="H75">
        <v>2E+20</v>
      </c>
      <c r="I75">
        <v>0</v>
      </c>
      <c r="J75">
        <v>0</v>
      </c>
      <c r="K75">
        <v>91</v>
      </c>
      <c r="L75" t="str">
        <f>DiscreteStatsTable[[#This Row],[ProjectName]]&amp;DiscreteStatsTable[[#This Row],[Name]]&amp;DiscreteStatsTable[[#This Row],[Type]]&amp;DiscreteStatsTable[[#This Row],[Source]]</f>
        <v>Unnamed ProjectccocheOther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92.2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3</v>
      </c>
      <c r="D76" t="s">
        <v>84</v>
      </c>
      <c r="E76" t="s">
        <v>80</v>
      </c>
      <c r="F76" t="s">
        <v>78</v>
      </c>
      <c r="G76">
        <v>28.464283487368299</v>
      </c>
      <c r="H76">
        <v>2E+20</v>
      </c>
      <c r="I76">
        <v>19.3400259068592</v>
      </c>
      <c r="J76">
        <v>36.472088105072103</v>
      </c>
      <c r="K76">
        <v>91</v>
      </c>
      <c r="L76" t="str">
        <f>DiscreteStatsTable[[#This Row],[ProjectName]]&amp;DiscreteStatsTable[[#This Row],[Name]]&amp;DiscreteStatsTable[[#This Row],[Type]]&amp;DiscreteStatsTable[[#This Row],[Source]]</f>
        <v>Unnamed ProjectccocheTotal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30.950376875851003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1.9993263505509704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1.4302319121557625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28.464283487368299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34.395838299094002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16.9612949634746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57.955299021337602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92.2</v>
      </c>
      <c r="W76">
        <f>IF((DiscreteStatsTable[[#This Row],[RepsRequested]]&gt;1),DiscreteStatsTable[[#This Row],[HalfWidth]],DiscreteStatsTable[[#This Row],[BatchMeansHalfWidth]])</f>
        <v>1.4302319121557625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3</v>
      </c>
      <c r="D77" t="s">
        <v>84</v>
      </c>
      <c r="E77" t="s">
        <v>81</v>
      </c>
      <c r="F77" t="s">
        <v>78</v>
      </c>
      <c r="G77">
        <v>2.4941918509073302</v>
      </c>
      <c r="H77">
        <v>2E+20</v>
      </c>
      <c r="I77">
        <v>0.48274249060114</v>
      </c>
      <c r="J77">
        <v>7.0101358451919102</v>
      </c>
      <c r="K77">
        <v>91</v>
      </c>
      <c r="L77" t="str">
        <f>DiscreteStatsTable[[#This Row],[ProjectName]]&amp;DiscreteStatsTable[[#This Row],[Name]]&amp;DiscreteStatsTable[[#This Row],[Type]]&amp;DiscreteStatsTable[[#This Row],[Source]]</f>
        <v>Unnamed ProjectccocheTransfer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2.4122023910527979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0.13561882105923745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9.7015860224325318E-2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2.1913891918054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2.5692093376609502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0.36312028717973999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8.4843904124971594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92.2</v>
      </c>
      <c r="W77">
        <f>IF((DiscreteStatsTable[[#This Row],[RepsRequested]]&gt;1),DiscreteStatsTable[[#This Row],[HalfWidth]],DiscreteStatsTable[[#This Row],[BatchMeansHalfWidth]])</f>
        <v>9.7015860224325318E-2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3</v>
      </c>
      <c r="D78" t="s">
        <v>84</v>
      </c>
      <c r="E78" t="s">
        <v>82</v>
      </c>
      <c r="F78" t="s">
        <v>78</v>
      </c>
      <c r="G78">
        <v>25.084434122795098</v>
      </c>
      <c r="H78">
        <v>2E+20</v>
      </c>
      <c r="I78">
        <v>16.654573483539998</v>
      </c>
      <c r="J78">
        <v>33.401172266055198</v>
      </c>
      <c r="K78">
        <v>91</v>
      </c>
      <c r="L78" t="str">
        <f>DiscreteStatsTable[[#This Row],[ProjectName]]&amp;DiscreteStatsTable[[#This Row],[Name]]&amp;DiscreteStatsTable[[#This Row],[Type]]&amp;DiscreteStatsTable[[#This Row],[Source]]</f>
        <v>Unnamed ProjectccocheVA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25.360603041724492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0.52230907286312656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0.37363740232377263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24.277210692927799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25.996125025017601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14.719284550891301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35.729769906199898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92.2</v>
      </c>
      <c r="W78">
        <f>IF((DiscreteStatsTable[[#This Row],[RepsRequested]]&gt;1),DiscreteStatsTable[[#This Row],[HalfWidth]],DiscreteStatsTable[[#This Row],[BatchMeansHalfWidth]])</f>
        <v>0.37363740232377263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3</v>
      </c>
      <c r="D79" t="s">
        <v>84</v>
      </c>
      <c r="E79" t="s">
        <v>83</v>
      </c>
      <c r="F79" t="s">
        <v>78</v>
      </c>
      <c r="G79">
        <v>0.88565751366582501</v>
      </c>
      <c r="H79">
        <v>2E+20</v>
      </c>
      <c r="I79">
        <v>0</v>
      </c>
      <c r="J79">
        <v>6.4437937992799199</v>
      </c>
      <c r="K79">
        <v>91</v>
      </c>
      <c r="L79" t="str">
        <f>DiscreteStatsTable[[#This Row],[ProjectName]]&amp;DiscreteStatsTable[[#This Row],[Name]]&amp;DiscreteStatsTable[[#This Row],[Type]]&amp;DiscreteStatsTable[[#This Row],[Source]]</f>
        <v>Unnamed ProjectccocheWait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3.1775714430736928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1.7762410201398626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1.2706462804254293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0.88565751366582501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6.1361268437010104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25.063412031878201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92.2</v>
      </c>
      <c r="W79">
        <f>IF((DiscreteStatsTable[[#This Row],[RepsRequested]]&gt;1),DiscreteStatsTable[[#This Row],[HalfWidth]],DiscreteStatsTable[[#This Row],[BatchMeansHalfWidth]])</f>
        <v>1.2706462804254293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4</v>
      </c>
      <c r="D80" t="s">
        <v>84</v>
      </c>
      <c r="E80" t="s">
        <v>77</v>
      </c>
      <c r="F80" t="s">
        <v>78</v>
      </c>
      <c r="G80">
        <v>0</v>
      </c>
      <c r="H80">
        <v>2E+20</v>
      </c>
      <c r="I80">
        <v>0</v>
      </c>
      <c r="J80">
        <v>0</v>
      </c>
      <c r="K80">
        <v>88</v>
      </c>
      <c r="L80" t="str">
        <f>DiscreteStatsTable[[#This Row],[ProjectName]]&amp;DiscreteStatsTable[[#This Row],[Name]]&amp;DiscreteStatsTable[[#This Row],[Type]]&amp;DiscreteStatsTable[[#This Row],[Source]]</f>
        <v>Unnamed ProjectccocheNVA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92.2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4</v>
      </c>
      <c r="D81" t="s">
        <v>84</v>
      </c>
      <c r="E81" t="s">
        <v>79</v>
      </c>
      <c r="F81" t="s">
        <v>78</v>
      </c>
      <c r="G81">
        <v>0</v>
      </c>
      <c r="H81">
        <v>2E+20</v>
      </c>
      <c r="I81">
        <v>0</v>
      </c>
      <c r="J81">
        <v>0</v>
      </c>
      <c r="K81">
        <v>88</v>
      </c>
      <c r="L81" t="str">
        <f>DiscreteStatsTable[[#This Row],[ProjectName]]&amp;DiscreteStatsTable[[#This Row],[Name]]&amp;DiscreteStatsTable[[#This Row],[Type]]&amp;DiscreteStatsTable[[#This Row],[Source]]</f>
        <v>Unnamed ProjectccocheOther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92.2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4</v>
      </c>
      <c r="D82" t="s">
        <v>84</v>
      </c>
      <c r="E82" t="s">
        <v>80</v>
      </c>
      <c r="F82" t="s">
        <v>78</v>
      </c>
      <c r="G82">
        <v>29.665943721581002</v>
      </c>
      <c r="H82">
        <v>2E+20</v>
      </c>
      <c r="I82">
        <v>18.841985006000701</v>
      </c>
      <c r="J82">
        <v>54.111347046278098</v>
      </c>
      <c r="K82">
        <v>88</v>
      </c>
      <c r="L82" t="str">
        <f>DiscreteStatsTable[[#This Row],[ProjectName]]&amp;DiscreteStatsTable[[#This Row],[Name]]&amp;DiscreteStatsTable[[#This Row],[Type]]&amp;DiscreteStatsTable[[#This Row],[Source]]</f>
        <v>Unnamed ProjectccocheTotal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30.950376875851003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1.9993263505509704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1.4302319121557625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28.464283487368299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34.395838299094002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16.9612949634746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57.955299021337602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92.2</v>
      </c>
      <c r="W82">
        <f>IF((DiscreteStatsTable[[#This Row],[RepsRequested]]&gt;1),DiscreteStatsTable[[#This Row],[HalfWidth]],DiscreteStatsTable[[#This Row],[BatchMeansHalfWidth]])</f>
        <v>1.4302319121557625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4</v>
      </c>
      <c r="D83" t="s">
        <v>84</v>
      </c>
      <c r="E83" t="s">
        <v>81</v>
      </c>
      <c r="F83" t="s">
        <v>78</v>
      </c>
      <c r="G83">
        <v>2.2311600411275299</v>
      </c>
      <c r="H83">
        <v>2E+20</v>
      </c>
      <c r="I83">
        <v>0.49054044849589901</v>
      </c>
      <c r="J83">
        <v>7.41855808251543</v>
      </c>
      <c r="K83">
        <v>88</v>
      </c>
      <c r="L83" t="str">
        <f>DiscreteStatsTable[[#This Row],[ProjectName]]&amp;DiscreteStatsTable[[#This Row],[Name]]&amp;DiscreteStatsTable[[#This Row],[Type]]&amp;DiscreteStatsTable[[#This Row],[Source]]</f>
        <v>Unnamed ProjectccocheTransfer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2.4122023910527979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0.13561882105923745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9.7015860224325318E-2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2.1913891918054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2.5692093376609502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0.36312028717973999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8.4843904124971594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92.2</v>
      </c>
      <c r="W83">
        <f>IF((DiscreteStatsTable[[#This Row],[RepsRequested]]&gt;1),DiscreteStatsTable[[#This Row],[HalfWidth]],DiscreteStatsTable[[#This Row],[BatchMeansHalfWidth]])</f>
        <v>9.7015860224325318E-2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4</v>
      </c>
      <c r="D84" t="s">
        <v>84</v>
      </c>
      <c r="E84" t="s">
        <v>82</v>
      </c>
      <c r="F84" t="s">
        <v>78</v>
      </c>
      <c r="G84">
        <v>24.277210692927799</v>
      </c>
      <c r="H84">
        <v>2E+20</v>
      </c>
      <c r="I84">
        <v>16.3402486553763</v>
      </c>
      <c r="J84">
        <v>33.167145679467602</v>
      </c>
      <c r="K84">
        <v>88</v>
      </c>
      <c r="L84" t="str">
        <f>DiscreteStatsTable[[#This Row],[ProjectName]]&amp;DiscreteStatsTable[[#This Row],[Name]]&amp;DiscreteStatsTable[[#This Row],[Type]]&amp;DiscreteStatsTable[[#This Row],[Source]]</f>
        <v>Unnamed ProjectccocheVA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25.360603041724492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0.52230907286312656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0.37363740232377263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24.277210692927799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25.996125025017601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14.719284550891301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35.729769906199898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92.2</v>
      </c>
      <c r="W84">
        <f>IF((DiscreteStatsTable[[#This Row],[RepsRequested]]&gt;1),DiscreteStatsTable[[#This Row],[HalfWidth]],DiscreteStatsTable[[#This Row],[BatchMeansHalfWidth]])</f>
        <v>0.37363740232377263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4</v>
      </c>
      <c r="D85" t="s">
        <v>84</v>
      </c>
      <c r="E85" t="s">
        <v>83</v>
      </c>
      <c r="F85" t="s">
        <v>78</v>
      </c>
      <c r="G85">
        <v>3.1575729875256102</v>
      </c>
      <c r="H85">
        <v>2E+20</v>
      </c>
      <c r="I85">
        <v>0</v>
      </c>
      <c r="J85">
        <v>23.217374419680301</v>
      </c>
      <c r="K85">
        <v>88</v>
      </c>
      <c r="L85" t="str">
        <f>DiscreteStatsTable[[#This Row],[ProjectName]]&amp;DiscreteStatsTable[[#This Row],[Name]]&amp;DiscreteStatsTable[[#This Row],[Type]]&amp;DiscreteStatsTable[[#This Row],[Source]]</f>
        <v>Unnamed ProjectccocheWait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3.1775714430736928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1.7762410201398626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1.2706462804254293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0.88565751366582501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6.1361268437010104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25.063412031878201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92.2</v>
      </c>
      <c r="W85">
        <f>IF((DiscreteStatsTable[[#This Row],[RepsRequested]]&gt;1),DiscreteStatsTable[[#This Row],[HalfWidth]],DiscreteStatsTable[[#This Row],[BatchMeansHalfWidth]])</f>
        <v>1.2706462804254293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5</v>
      </c>
      <c r="D86" t="s">
        <v>84</v>
      </c>
      <c r="E86" t="s">
        <v>77</v>
      </c>
      <c r="F86" t="s">
        <v>78</v>
      </c>
      <c r="G86">
        <v>0</v>
      </c>
      <c r="H86">
        <v>2E+20</v>
      </c>
      <c r="I86">
        <v>0</v>
      </c>
      <c r="J86">
        <v>0</v>
      </c>
      <c r="K86">
        <v>98</v>
      </c>
      <c r="L86" t="str">
        <f>DiscreteStatsTable[[#This Row],[ProjectName]]&amp;DiscreteStatsTable[[#This Row],[Name]]&amp;DiscreteStatsTable[[#This Row],[Type]]&amp;DiscreteStatsTable[[#This Row],[Source]]</f>
        <v>Unnamed ProjectccocheNVA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92.2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5</v>
      </c>
      <c r="D87" t="s">
        <v>84</v>
      </c>
      <c r="E87" t="s">
        <v>79</v>
      </c>
      <c r="F87" t="s">
        <v>78</v>
      </c>
      <c r="G87">
        <v>0</v>
      </c>
      <c r="H87">
        <v>2E+20</v>
      </c>
      <c r="I87">
        <v>0</v>
      </c>
      <c r="J87">
        <v>0</v>
      </c>
      <c r="K87">
        <v>98</v>
      </c>
      <c r="L87" t="str">
        <f>DiscreteStatsTable[[#This Row],[ProjectName]]&amp;DiscreteStatsTable[[#This Row],[Name]]&amp;DiscreteStatsTable[[#This Row],[Type]]&amp;DiscreteStatsTable[[#This Row],[Source]]</f>
        <v>Unnamed ProjectccocheOther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92.2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5</v>
      </c>
      <c r="D88" t="s">
        <v>84</v>
      </c>
      <c r="E88" t="s">
        <v>80</v>
      </c>
      <c r="F88" t="s">
        <v>78</v>
      </c>
      <c r="G88">
        <v>32.978374977011597</v>
      </c>
      <c r="H88">
        <v>2E+20</v>
      </c>
      <c r="I88">
        <v>18.084302520493001</v>
      </c>
      <c r="J88">
        <v>54.732576359625398</v>
      </c>
      <c r="K88">
        <v>98</v>
      </c>
      <c r="L88" t="str">
        <f>DiscreteStatsTable[[#This Row],[ProjectName]]&amp;DiscreteStatsTable[[#This Row],[Name]]&amp;DiscreteStatsTable[[#This Row],[Type]]&amp;DiscreteStatsTable[[#This Row],[Source]]</f>
        <v>Unnamed ProjectccocheTotal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30.950376875851003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1.9993263505509704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1.4302319121557625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28.464283487368299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34.395838299094002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16.9612949634746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57.955299021337602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92.2</v>
      </c>
      <c r="W88">
        <f>IF((DiscreteStatsTable[[#This Row],[RepsRequested]]&gt;1),DiscreteStatsTable[[#This Row],[HalfWidth]],DiscreteStatsTable[[#This Row],[BatchMeansHalfWidth]])</f>
        <v>1.4302319121557625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5</v>
      </c>
      <c r="D89" t="s">
        <v>84</v>
      </c>
      <c r="E89" t="s">
        <v>81</v>
      </c>
      <c r="F89" t="s">
        <v>78</v>
      </c>
      <c r="G89">
        <v>2.4743983349397198</v>
      </c>
      <c r="H89">
        <v>2E+20</v>
      </c>
      <c r="I89">
        <v>0.39301718996810597</v>
      </c>
      <c r="J89">
        <v>8.4843904124971594</v>
      </c>
      <c r="K89">
        <v>98</v>
      </c>
      <c r="L89" t="str">
        <f>DiscreteStatsTable[[#This Row],[ProjectName]]&amp;DiscreteStatsTable[[#This Row],[Name]]&amp;DiscreteStatsTable[[#This Row],[Type]]&amp;DiscreteStatsTable[[#This Row],[Source]]</f>
        <v>Unnamed ProjectccocheTransfer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2.4122023910527979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0.13561882105923745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9.7015860224325318E-2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2.1913891918054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2.5692093376609502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0.36312028717973999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8.4843904124971594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92.2</v>
      </c>
      <c r="W89">
        <f>IF((DiscreteStatsTable[[#This Row],[RepsRequested]]&gt;1),DiscreteStatsTable[[#This Row],[HalfWidth]],DiscreteStatsTable[[#This Row],[BatchMeansHalfWidth]])</f>
        <v>9.7015860224325318E-2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5</v>
      </c>
      <c r="D90" t="s">
        <v>84</v>
      </c>
      <c r="E90" t="s">
        <v>82</v>
      </c>
      <c r="F90" t="s">
        <v>78</v>
      </c>
      <c r="G90">
        <v>25.4579293024848</v>
      </c>
      <c r="H90">
        <v>2E+20</v>
      </c>
      <c r="I90">
        <v>14.946104708800799</v>
      </c>
      <c r="J90">
        <v>35.729769906199898</v>
      </c>
      <c r="K90">
        <v>98</v>
      </c>
      <c r="L90" t="str">
        <f>DiscreteStatsTable[[#This Row],[ProjectName]]&amp;DiscreteStatsTable[[#This Row],[Name]]&amp;DiscreteStatsTable[[#This Row],[Type]]&amp;DiscreteStatsTable[[#This Row],[Source]]</f>
        <v>Unnamed ProjectccocheVA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25.360603041724492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0.52230907286312656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0.37363740232377263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24.277210692927799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25.996125025017601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14.719284550891301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35.729769906199898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92.2</v>
      </c>
      <c r="W90">
        <f>IF((DiscreteStatsTable[[#This Row],[RepsRequested]]&gt;1),DiscreteStatsTable[[#This Row],[HalfWidth]],DiscreteStatsTable[[#This Row],[BatchMeansHalfWidth]])</f>
        <v>0.37363740232377263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5</v>
      </c>
      <c r="D91" t="s">
        <v>84</v>
      </c>
      <c r="E91" t="s">
        <v>83</v>
      </c>
      <c r="F91" t="s">
        <v>78</v>
      </c>
      <c r="G91">
        <v>5.0460473395870702</v>
      </c>
      <c r="H91">
        <v>2E+20</v>
      </c>
      <c r="I91">
        <v>0</v>
      </c>
      <c r="J91">
        <v>21.5756521986577</v>
      </c>
      <c r="K91">
        <v>98</v>
      </c>
      <c r="L91" t="str">
        <f>DiscreteStatsTable[[#This Row],[ProjectName]]&amp;DiscreteStatsTable[[#This Row],[Name]]&amp;DiscreteStatsTable[[#This Row],[Type]]&amp;DiscreteStatsTable[[#This Row],[Source]]</f>
        <v>Unnamed ProjectccocheWait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3.1775714430736928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1.7762410201398626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1.2706462804254293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0.88565751366582501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6.1361268437010104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25.063412031878201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92.2</v>
      </c>
      <c r="W91">
        <f>IF((DiscreteStatsTable[[#This Row],[RepsRequested]]&gt;1),DiscreteStatsTable[[#This Row],[HalfWidth]],DiscreteStatsTable[[#This Row],[BatchMeansHalfWidth]])</f>
        <v>1.2706462804254293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6</v>
      </c>
      <c r="D92" t="s">
        <v>84</v>
      </c>
      <c r="E92" t="s">
        <v>77</v>
      </c>
      <c r="F92" t="s">
        <v>78</v>
      </c>
      <c r="G92">
        <v>0</v>
      </c>
      <c r="H92">
        <v>2E+20</v>
      </c>
      <c r="I92">
        <v>0</v>
      </c>
      <c r="J92">
        <v>0</v>
      </c>
      <c r="K92">
        <v>98</v>
      </c>
      <c r="L92" t="str">
        <f>DiscreteStatsTable[[#This Row],[ProjectName]]&amp;DiscreteStatsTable[[#This Row],[Name]]&amp;DiscreteStatsTable[[#This Row],[Type]]&amp;DiscreteStatsTable[[#This Row],[Source]]</f>
        <v>Unnamed ProjectccocheNVA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92.2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6</v>
      </c>
      <c r="D93" t="s">
        <v>84</v>
      </c>
      <c r="E93" t="s">
        <v>79</v>
      </c>
      <c r="F93" t="s">
        <v>78</v>
      </c>
      <c r="G93">
        <v>0</v>
      </c>
      <c r="H93">
        <v>2E+20</v>
      </c>
      <c r="I93">
        <v>0</v>
      </c>
      <c r="J93">
        <v>0</v>
      </c>
      <c r="K93">
        <v>98</v>
      </c>
      <c r="L93" t="str">
        <f>DiscreteStatsTable[[#This Row],[ProjectName]]&amp;DiscreteStatsTable[[#This Row],[Name]]&amp;DiscreteStatsTable[[#This Row],[Type]]&amp;DiscreteStatsTable[[#This Row],[Source]]</f>
        <v>Unnamed ProjectccocheOther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92.2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6</v>
      </c>
      <c r="D94" t="s">
        <v>84</v>
      </c>
      <c r="E94" t="s">
        <v>80</v>
      </c>
      <c r="F94" t="s">
        <v>78</v>
      </c>
      <c r="G94">
        <v>31.104944730575799</v>
      </c>
      <c r="H94">
        <v>2E+20</v>
      </c>
      <c r="I94">
        <v>17.1645142804181</v>
      </c>
      <c r="J94">
        <v>50.207995676004998</v>
      </c>
      <c r="K94">
        <v>98</v>
      </c>
      <c r="L94" t="str">
        <f>DiscreteStatsTable[[#This Row],[ProjectName]]&amp;DiscreteStatsTable[[#This Row],[Name]]&amp;DiscreteStatsTable[[#This Row],[Type]]&amp;DiscreteStatsTable[[#This Row],[Source]]</f>
        <v>Unnamed ProjectccocheTotal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30.950376875851003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1.9993263505509704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1.4302319121557625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28.464283487368299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34.395838299094002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16.9612949634746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57.955299021337602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92.2</v>
      </c>
      <c r="W94">
        <f>IF((DiscreteStatsTable[[#This Row],[RepsRequested]]&gt;1),DiscreteStatsTable[[#This Row],[HalfWidth]],DiscreteStatsTable[[#This Row],[BatchMeansHalfWidth]])</f>
        <v>1.4302319121557625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6</v>
      </c>
      <c r="D95" t="s">
        <v>84</v>
      </c>
      <c r="E95" t="s">
        <v>81</v>
      </c>
      <c r="F95" t="s">
        <v>78</v>
      </c>
      <c r="G95">
        <v>2.1913891918054</v>
      </c>
      <c r="H95">
        <v>2E+20</v>
      </c>
      <c r="I95">
        <v>0.36312028717973999</v>
      </c>
      <c r="J95">
        <v>5.8747723609378699</v>
      </c>
      <c r="K95">
        <v>98</v>
      </c>
      <c r="L95" t="str">
        <f>DiscreteStatsTable[[#This Row],[ProjectName]]&amp;DiscreteStatsTable[[#This Row],[Name]]&amp;DiscreteStatsTable[[#This Row],[Type]]&amp;DiscreteStatsTable[[#This Row],[Source]]</f>
        <v>Unnamed ProjectccocheTransfer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2.4122023910527979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0.13561882105923745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9.7015860224325318E-2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2.1913891918054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2.5692093376609502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0.36312028717973999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8.4843904124971594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92.2</v>
      </c>
      <c r="W95">
        <f>IF((DiscreteStatsTable[[#This Row],[RepsRequested]]&gt;1),DiscreteStatsTable[[#This Row],[HalfWidth]],DiscreteStatsTable[[#This Row],[BatchMeansHalfWidth]])</f>
        <v>9.7015860224325318E-2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6</v>
      </c>
      <c r="D96" t="s">
        <v>84</v>
      </c>
      <c r="E96" t="s">
        <v>82</v>
      </c>
      <c r="F96" t="s">
        <v>78</v>
      </c>
      <c r="G96">
        <v>25.5551510724897</v>
      </c>
      <c r="H96">
        <v>2E+20</v>
      </c>
      <c r="I96">
        <v>15.4494949871751</v>
      </c>
      <c r="J96">
        <v>33.388237975753299</v>
      </c>
      <c r="K96">
        <v>98</v>
      </c>
      <c r="L96" t="str">
        <f>DiscreteStatsTable[[#This Row],[ProjectName]]&amp;DiscreteStatsTable[[#This Row],[Name]]&amp;DiscreteStatsTable[[#This Row],[Type]]&amp;DiscreteStatsTable[[#This Row],[Source]]</f>
        <v>Unnamed ProjectccocheVA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25.360603041724492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0.52230907286312656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0.37363740232377263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24.277210692927799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25.996125025017601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14.719284550891301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35.729769906199898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92.2</v>
      </c>
      <c r="W96">
        <f>IF((DiscreteStatsTable[[#This Row],[RepsRequested]]&gt;1),DiscreteStatsTable[[#This Row],[HalfWidth]],DiscreteStatsTable[[#This Row],[BatchMeansHalfWidth]])</f>
        <v>0.37363740232377263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6</v>
      </c>
      <c r="D97" t="s">
        <v>84</v>
      </c>
      <c r="E97" t="s">
        <v>83</v>
      </c>
      <c r="F97" t="s">
        <v>78</v>
      </c>
      <c r="G97">
        <v>3.35840446628066</v>
      </c>
      <c r="H97">
        <v>2E+20</v>
      </c>
      <c r="I97">
        <v>0</v>
      </c>
      <c r="J97">
        <v>20.1086581407151</v>
      </c>
      <c r="K97">
        <v>98</v>
      </c>
      <c r="L97" t="str">
        <f>DiscreteStatsTable[[#This Row],[ProjectName]]&amp;DiscreteStatsTable[[#This Row],[Name]]&amp;DiscreteStatsTable[[#This Row],[Type]]&amp;DiscreteStatsTable[[#This Row],[Source]]</f>
        <v>Unnamed ProjectccocheWait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3.1775714430736928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1.7762410201398626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1.2706462804254293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0.88565751366582501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6.1361268437010104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25.063412031878201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92.2</v>
      </c>
      <c r="W97">
        <f>IF((DiscreteStatsTable[[#This Row],[RepsRequested]]&gt;1),DiscreteStatsTable[[#This Row],[HalfWidth]],DiscreteStatsTable[[#This Row],[BatchMeansHalfWidth]])</f>
        <v>1.2706462804254293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7</v>
      </c>
      <c r="D98" t="s">
        <v>84</v>
      </c>
      <c r="E98" t="s">
        <v>77</v>
      </c>
      <c r="F98" t="s">
        <v>78</v>
      </c>
      <c r="G98">
        <v>0</v>
      </c>
      <c r="H98">
        <v>2E+20</v>
      </c>
      <c r="I98">
        <v>0</v>
      </c>
      <c r="J98">
        <v>0</v>
      </c>
      <c r="K98">
        <v>105</v>
      </c>
      <c r="L98" t="str">
        <f>DiscreteStatsTable[[#This Row],[ProjectName]]&amp;DiscreteStatsTable[[#This Row],[Name]]&amp;DiscreteStatsTable[[#This Row],[Type]]&amp;DiscreteStatsTable[[#This Row],[Source]]</f>
        <v>Unnamed ProjectccocheNVA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92.2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7</v>
      </c>
      <c r="D99" t="s">
        <v>84</v>
      </c>
      <c r="E99" t="s">
        <v>79</v>
      </c>
      <c r="F99" t="s">
        <v>78</v>
      </c>
      <c r="G99">
        <v>0</v>
      </c>
      <c r="H99">
        <v>2E+20</v>
      </c>
      <c r="I99">
        <v>0</v>
      </c>
      <c r="J99">
        <v>0</v>
      </c>
      <c r="K99">
        <v>105</v>
      </c>
      <c r="L99" t="str">
        <f>DiscreteStatsTable[[#This Row],[ProjectName]]&amp;DiscreteStatsTable[[#This Row],[Name]]&amp;DiscreteStatsTable[[#This Row],[Type]]&amp;DiscreteStatsTable[[#This Row],[Source]]</f>
        <v>Unnamed ProjectccocheOther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92.2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7</v>
      </c>
      <c r="D100" t="s">
        <v>84</v>
      </c>
      <c r="E100" t="s">
        <v>80</v>
      </c>
      <c r="F100" t="s">
        <v>78</v>
      </c>
      <c r="G100">
        <v>30.633534304751599</v>
      </c>
      <c r="H100">
        <v>2E+20</v>
      </c>
      <c r="I100">
        <v>21.3543746813322</v>
      </c>
      <c r="J100">
        <v>42.7455636828915</v>
      </c>
      <c r="K100">
        <v>105</v>
      </c>
      <c r="L100" t="str">
        <f>DiscreteStatsTable[[#This Row],[ProjectName]]&amp;DiscreteStatsTable[[#This Row],[Name]]&amp;DiscreteStatsTable[[#This Row],[Type]]&amp;DiscreteStatsTable[[#This Row],[Source]]</f>
        <v>Unnamed ProjectccocheTotal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30.950376875851003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1.9993263505509704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1.4302319121557625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28.464283487368299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34.395838299094002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16.9612949634746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57.955299021337602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92.2</v>
      </c>
      <c r="W100">
        <f>IF((DiscreteStatsTable[[#This Row],[RepsRequested]]&gt;1),DiscreteStatsTable[[#This Row],[HalfWidth]],DiscreteStatsTable[[#This Row],[BatchMeansHalfWidth]])</f>
        <v>1.4302319121557625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7</v>
      </c>
      <c r="D101" t="s">
        <v>84</v>
      </c>
      <c r="E101" t="s">
        <v>81</v>
      </c>
      <c r="F101" t="s">
        <v>78</v>
      </c>
      <c r="G101">
        <v>2.5324642022561301</v>
      </c>
      <c r="H101">
        <v>2E+20</v>
      </c>
      <c r="I101">
        <v>0.61580893439463602</v>
      </c>
      <c r="J101">
        <v>8.3447155429799604</v>
      </c>
      <c r="K101">
        <v>105</v>
      </c>
      <c r="L101" t="str">
        <f>DiscreteStatsTable[[#This Row],[ProjectName]]&amp;DiscreteStatsTable[[#This Row],[Name]]&amp;DiscreteStatsTable[[#This Row],[Type]]&amp;DiscreteStatsTable[[#This Row],[Source]]</f>
        <v>Unnamed ProjectccocheTransfer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2.4122023910527979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0.13561882105923745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9.7015860224325318E-2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2.1913891918054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2.5692093376609502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0.36312028717973999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8.4843904124971594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92.2</v>
      </c>
      <c r="W101">
        <f>IF((DiscreteStatsTable[[#This Row],[RepsRequested]]&gt;1),DiscreteStatsTable[[#This Row],[HalfWidth]],DiscreteStatsTable[[#This Row],[BatchMeansHalfWidth]])</f>
        <v>9.7015860224325318E-2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7</v>
      </c>
      <c r="D102" t="s">
        <v>84</v>
      </c>
      <c r="E102" t="s">
        <v>82</v>
      </c>
      <c r="F102" t="s">
        <v>78</v>
      </c>
      <c r="G102">
        <v>25.996125025017601</v>
      </c>
      <c r="H102">
        <v>2E+20</v>
      </c>
      <c r="I102">
        <v>16.9319976644245</v>
      </c>
      <c r="J102">
        <v>35.516278937206202</v>
      </c>
      <c r="K102">
        <v>105</v>
      </c>
      <c r="L102" t="str">
        <f>DiscreteStatsTable[[#This Row],[ProjectName]]&amp;DiscreteStatsTable[[#This Row],[Name]]&amp;DiscreteStatsTable[[#This Row],[Type]]&amp;DiscreteStatsTable[[#This Row],[Source]]</f>
        <v>Unnamed ProjectccocheVA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25.360603041724492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0.52230907286312656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0.37363740232377263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24.277210692927799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25.996125025017601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14.719284550891301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35.729769906199898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92.2</v>
      </c>
      <c r="W102">
        <f>IF((DiscreteStatsTable[[#This Row],[RepsRequested]]&gt;1),DiscreteStatsTable[[#This Row],[HalfWidth]],DiscreteStatsTable[[#This Row],[BatchMeansHalfWidth]])</f>
        <v>0.37363740232377263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7</v>
      </c>
      <c r="D103" t="s">
        <v>84</v>
      </c>
      <c r="E103" t="s">
        <v>83</v>
      </c>
      <c r="F103" t="s">
        <v>78</v>
      </c>
      <c r="G103">
        <v>2.1049450774778999</v>
      </c>
      <c r="H103">
        <v>2E+20</v>
      </c>
      <c r="I103">
        <v>0</v>
      </c>
      <c r="J103">
        <v>17.509382716997699</v>
      </c>
      <c r="K103">
        <v>105</v>
      </c>
      <c r="L103" t="str">
        <f>DiscreteStatsTable[[#This Row],[ProjectName]]&amp;DiscreteStatsTable[[#This Row],[Name]]&amp;DiscreteStatsTable[[#This Row],[Type]]&amp;DiscreteStatsTable[[#This Row],[Source]]</f>
        <v>Unnamed ProjectccocheWait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3.1775714430736928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1.7762410201398626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1.2706462804254293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0.88565751366582501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6.1361268437010104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25.063412031878201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92.2</v>
      </c>
      <c r="W103">
        <f>IF((DiscreteStatsTable[[#This Row],[RepsRequested]]&gt;1),DiscreteStatsTable[[#This Row],[HalfWidth]],DiscreteStatsTable[[#This Row],[BatchMeansHalfWidth]])</f>
        <v>1.2706462804254293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8</v>
      </c>
      <c r="D104" t="s">
        <v>84</v>
      </c>
      <c r="E104" t="s">
        <v>77</v>
      </c>
      <c r="F104" t="s">
        <v>78</v>
      </c>
      <c r="G104">
        <v>0</v>
      </c>
      <c r="H104">
        <v>2E+20</v>
      </c>
      <c r="I104">
        <v>0</v>
      </c>
      <c r="J104">
        <v>0</v>
      </c>
      <c r="K104">
        <v>77</v>
      </c>
      <c r="L104" t="str">
        <f>DiscreteStatsTable[[#This Row],[ProjectName]]&amp;DiscreteStatsTable[[#This Row],[Name]]&amp;DiscreteStatsTable[[#This Row],[Type]]&amp;DiscreteStatsTable[[#This Row],[Source]]</f>
        <v>Unnamed ProjectccocheNVA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92.2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8</v>
      </c>
      <c r="D105" t="s">
        <v>84</v>
      </c>
      <c r="E105" t="s">
        <v>79</v>
      </c>
      <c r="F105" t="s">
        <v>78</v>
      </c>
      <c r="G105">
        <v>0</v>
      </c>
      <c r="H105">
        <v>2E+20</v>
      </c>
      <c r="I105">
        <v>0</v>
      </c>
      <c r="J105">
        <v>0</v>
      </c>
      <c r="K105">
        <v>77</v>
      </c>
      <c r="L105" t="str">
        <f>DiscreteStatsTable[[#This Row],[ProjectName]]&amp;DiscreteStatsTable[[#This Row],[Name]]&amp;DiscreteStatsTable[[#This Row],[Type]]&amp;DiscreteStatsTable[[#This Row],[Source]]</f>
        <v>Unnamed ProjectccocheOther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92.2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8</v>
      </c>
      <c r="D106" t="s">
        <v>84</v>
      </c>
      <c r="E106" t="s">
        <v>80</v>
      </c>
      <c r="F106" t="s">
        <v>78</v>
      </c>
      <c r="G106">
        <v>29.939237101726398</v>
      </c>
      <c r="H106">
        <v>2E+20</v>
      </c>
      <c r="I106">
        <v>19.2230606975303</v>
      </c>
      <c r="J106">
        <v>48.357907404470502</v>
      </c>
      <c r="K106">
        <v>77</v>
      </c>
      <c r="L106" t="str">
        <f>DiscreteStatsTable[[#This Row],[ProjectName]]&amp;DiscreteStatsTable[[#This Row],[Name]]&amp;DiscreteStatsTable[[#This Row],[Type]]&amp;DiscreteStatsTable[[#This Row],[Source]]</f>
        <v>Unnamed ProjectccocheTotal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30.950376875851003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1.9993263505509704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1.4302319121557625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28.464283487368299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34.395838299094002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16.9612949634746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57.955299021337602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92.2</v>
      </c>
      <c r="W106">
        <f>IF((DiscreteStatsTable[[#This Row],[RepsRequested]]&gt;1),DiscreteStatsTable[[#This Row],[HalfWidth]],DiscreteStatsTable[[#This Row],[BatchMeansHalfWidth]])</f>
        <v>1.4302319121557625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8</v>
      </c>
      <c r="D107" t="s">
        <v>84</v>
      </c>
      <c r="E107" t="s">
        <v>81</v>
      </c>
      <c r="F107" t="s">
        <v>78</v>
      </c>
      <c r="G107">
        <v>2.47268443966095</v>
      </c>
      <c r="H107">
        <v>2E+20</v>
      </c>
      <c r="I107">
        <v>0.493047373850374</v>
      </c>
      <c r="J107">
        <v>6.1050698536493098</v>
      </c>
      <c r="K107">
        <v>77</v>
      </c>
      <c r="L107" t="str">
        <f>DiscreteStatsTable[[#This Row],[ProjectName]]&amp;DiscreteStatsTable[[#This Row],[Name]]&amp;DiscreteStatsTable[[#This Row],[Type]]&amp;DiscreteStatsTable[[#This Row],[Source]]</f>
        <v>Unnamed ProjectccocheTransfer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2.4122023910527979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0.13561882105923745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9.7015860224325318E-2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2.1913891918054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2.5692093376609502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0.36312028717973999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8.4843904124971594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92.2</v>
      </c>
      <c r="W107">
        <f>IF((DiscreteStatsTable[[#This Row],[RepsRequested]]&gt;1),DiscreteStatsTable[[#This Row],[HalfWidth]],DiscreteStatsTable[[#This Row],[BatchMeansHalfWidth]])</f>
        <v>9.7015860224325318E-2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8</v>
      </c>
      <c r="D108" t="s">
        <v>84</v>
      </c>
      <c r="E108" t="s">
        <v>82</v>
      </c>
      <c r="F108" t="s">
        <v>78</v>
      </c>
      <c r="G108">
        <v>25.437205869506499</v>
      </c>
      <c r="H108">
        <v>2E+20</v>
      </c>
      <c r="I108">
        <v>15.9865804099647</v>
      </c>
      <c r="J108">
        <v>34.121013134048397</v>
      </c>
      <c r="K108">
        <v>77</v>
      </c>
      <c r="L108" t="str">
        <f>DiscreteStatsTable[[#This Row],[ProjectName]]&amp;DiscreteStatsTable[[#This Row],[Name]]&amp;DiscreteStatsTable[[#This Row],[Type]]&amp;DiscreteStatsTable[[#This Row],[Source]]</f>
        <v>Unnamed ProjectccocheVA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25.360603041724492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0.52230907286312656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0.37363740232377263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24.277210692927799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25.996125025017601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14.719284550891301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35.729769906199898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92.2</v>
      </c>
      <c r="W108">
        <f>IF((DiscreteStatsTable[[#This Row],[RepsRequested]]&gt;1),DiscreteStatsTable[[#This Row],[HalfWidth]],DiscreteStatsTable[[#This Row],[BatchMeansHalfWidth]])</f>
        <v>0.37363740232377263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8</v>
      </c>
      <c r="D109" t="s">
        <v>84</v>
      </c>
      <c r="E109" t="s">
        <v>83</v>
      </c>
      <c r="F109" t="s">
        <v>78</v>
      </c>
      <c r="G109">
        <v>2.0293467925589699</v>
      </c>
      <c r="H109">
        <v>2E+20</v>
      </c>
      <c r="I109">
        <v>0</v>
      </c>
      <c r="J109">
        <v>18.882882798025701</v>
      </c>
      <c r="K109">
        <v>77</v>
      </c>
      <c r="L109" t="str">
        <f>DiscreteStatsTable[[#This Row],[ProjectName]]&amp;DiscreteStatsTable[[#This Row],[Name]]&amp;DiscreteStatsTable[[#This Row],[Type]]&amp;DiscreteStatsTable[[#This Row],[Source]]</f>
        <v>Unnamed ProjectccocheWait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3.1775714430736928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1.7762410201398626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1.2706462804254293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0.88565751366582501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6.1361268437010104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25.063412031878201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92.2</v>
      </c>
      <c r="W109">
        <f>IF((DiscreteStatsTable[[#This Row],[RepsRequested]]&gt;1),DiscreteStatsTable[[#This Row],[HalfWidth]],DiscreteStatsTable[[#This Row],[BatchMeansHalfWidth]])</f>
        <v>1.2706462804254293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9</v>
      </c>
      <c r="D110" t="s">
        <v>84</v>
      </c>
      <c r="E110" t="s">
        <v>77</v>
      </c>
      <c r="F110" t="s">
        <v>78</v>
      </c>
      <c r="G110">
        <v>0</v>
      </c>
      <c r="H110">
        <v>2E+20</v>
      </c>
      <c r="I110">
        <v>0</v>
      </c>
      <c r="J110">
        <v>0</v>
      </c>
      <c r="K110">
        <v>78</v>
      </c>
      <c r="L110" t="str">
        <f>DiscreteStatsTable[[#This Row],[ProjectName]]&amp;DiscreteStatsTable[[#This Row],[Name]]&amp;DiscreteStatsTable[[#This Row],[Type]]&amp;DiscreteStatsTable[[#This Row],[Source]]</f>
        <v>Unnamed ProjectccocheNVA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92.2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9</v>
      </c>
      <c r="D111" t="s">
        <v>84</v>
      </c>
      <c r="E111" t="s">
        <v>79</v>
      </c>
      <c r="F111" t="s">
        <v>78</v>
      </c>
      <c r="G111">
        <v>0</v>
      </c>
      <c r="H111">
        <v>2E+20</v>
      </c>
      <c r="I111">
        <v>0</v>
      </c>
      <c r="J111">
        <v>0</v>
      </c>
      <c r="K111">
        <v>78</v>
      </c>
      <c r="L111" t="str">
        <f>DiscreteStatsTable[[#This Row],[ProjectName]]&amp;DiscreteStatsTable[[#This Row],[Name]]&amp;DiscreteStatsTable[[#This Row],[Type]]&amp;DiscreteStatsTable[[#This Row],[Source]]</f>
        <v>Unnamed ProjectccocheOther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92.2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9</v>
      </c>
      <c r="D112" t="s">
        <v>84</v>
      </c>
      <c r="E112" t="s">
        <v>80</v>
      </c>
      <c r="F112" t="s">
        <v>78</v>
      </c>
      <c r="G112">
        <v>34.395838299094002</v>
      </c>
      <c r="H112">
        <v>2E+20</v>
      </c>
      <c r="I112">
        <v>21.574633340431099</v>
      </c>
      <c r="J112">
        <v>55.623756350486701</v>
      </c>
      <c r="K112">
        <v>78</v>
      </c>
      <c r="L112" t="str">
        <f>DiscreteStatsTable[[#This Row],[ProjectName]]&amp;DiscreteStatsTable[[#This Row],[Name]]&amp;DiscreteStatsTable[[#This Row],[Type]]&amp;DiscreteStatsTable[[#This Row],[Source]]</f>
        <v>Unnamed ProjectccocheTotal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30.950376875851003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1.9993263505509704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1.4302319121557625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28.464283487368299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34.395838299094002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16.9612949634746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57.955299021337602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92.2</v>
      </c>
      <c r="W112">
        <f>IF((DiscreteStatsTable[[#This Row],[RepsRequested]]&gt;1),DiscreteStatsTable[[#This Row],[HalfWidth]],DiscreteStatsTable[[#This Row],[BatchMeansHalfWidth]])</f>
        <v>1.4302319121557625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9</v>
      </c>
      <c r="D113" t="s">
        <v>84</v>
      </c>
      <c r="E113" t="s">
        <v>81</v>
      </c>
      <c r="F113" t="s">
        <v>78</v>
      </c>
      <c r="G113">
        <v>2.2662679683057498</v>
      </c>
      <c r="H113">
        <v>2E+20</v>
      </c>
      <c r="I113">
        <v>0.47372439458138199</v>
      </c>
      <c r="J113">
        <v>6.7071672800737003</v>
      </c>
      <c r="K113">
        <v>78</v>
      </c>
      <c r="L113" t="str">
        <f>DiscreteStatsTable[[#This Row],[ProjectName]]&amp;DiscreteStatsTable[[#This Row],[Name]]&amp;DiscreteStatsTable[[#This Row],[Type]]&amp;DiscreteStatsTable[[#This Row],[Source]]</f>
        <v>Unnamed ProjectccocheTransfer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2.4122023910527979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0.13561882105923745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9.7015860224325318E-2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2.1913891918054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2.5692093376609502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0.36312028717973999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8.4843904124971594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92.2</v>
      </c>
      <c r="W113">
        <f>IF((DiscreteStatsTable[[#This Row],[RepsRequested]]&gt;1),DiscreteStatsTable[[#This Row],[HalfWidth]],DiscreteStatsTable[[#This Row],[BatchMeansHalfWidth]])</f>
        <v>9.7015860224325318E-2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9</v>
      </c>
      <c r="D114" t="s">
        <v>84</v>
      </c>
      <c r="E114" t="s">
        <v>82</v>
      </c>
      <c r="F114" t="s">
        <v>78</v>
      </c>
      <c r="G114">
        <v>25.993443487087202</v>
      </c>
      <c r="H114">
        <v>2E+20</v>
      </c>
      <c r="I114">
        <v>18.432329523831498</v>
      </c>
      <c r="J114">
        <v>34.752128903886401</v>
      </c>
      <c r="K114">
        <v>78</v>
      </c>
      <c r="L114" t="str">
        <f>DiscreteStatsTable[[#This Row],[ProjectName]]&amp;DiscreteStatsTable[[#This Row],[Name]]&amp;DiscreteStatsTable[[#This Row],[Type]]&amp;DiscreteStatsTable[[#This Row],[Source]]</f>
        <v>Unnamed ProjectccocheVA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25.360603041724492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0.52230907286312656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0.37363740232377263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24.277210692927799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25.996125025017601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14.719284550891301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35.729769906199898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92.2</v>
      </c>
      <c r="W114">
        <f>IF((DiscreteStatsTable[[#This Row],[RepsRequested]]&gt;1),DiscreteStatsTable[[#This Row],[HalfWidth]],DiscreteStatsTable[[#This Row],[BatchMeansHalfWidth]])</f>
        <v>0.37363740232377263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9</v>
      </c>
      <c r="D115" t="s">
        <v>84</v>
      </c>
      <c r="E115" t="s">
        <v>83</v>
      </c>
      <c r="F115" t="s">
        <v>78</v>
      </c>
      <c r="G115">
        <v>6.1361268437010104</v>
      </c>
      <c r="H115">
        <v>2E+20</v>
      </c>
      <c r="I115">
        <v>0</v>
      </c>
      <c r="J115">
        <v>21.397167498930902</v>
      </c>
      <c r="K115">
        <v>78</v>
      </c>
      <c r="L115" t="str">
        <f>DiscreteStatsTable[[#This Row],[ProjectName]]&amp;DiscreteStatsTable[[#This Row],[Name]]&amp;DiscreteStatsTable[[#This Row],[Type]]&amp;DiscreteStatsTable[[#This Row],[Source]]</f>
        <v>Unnamed ProjectccocheWait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3.1775714430736928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1.7762410201398626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1.2706462804254293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0.88565751366582501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6.1361268437010104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25.063412031878201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92.2</v>
      </c>
      <c r="W115">
        <f>IF((DiscreteStatsTable[[#This Row],[RepsRequested]]&gt;1),DiscreteStatsTable[[#This Row],[HalfWidth]],DiscreteStatsTable[[#This Row],[BatchMeansHalfWidth]])</f>
        <v>1.2706462804254293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10</v>
      </c>
      <c r="D116" t="s">
        <v>84</v>
      </c>
      <c r="E116" t="s">
        <v>77</v>
      </c>
      <c r="F116" t="s">
        <v>78</v>
      </c>
      <c r="G116">
        <v>0</v>
      </c>
      <c r="H116">
        <v>2E+20</v>
      </c>
      <c r="I116">
        <v>0</v>
      </c>
      <c r="J116">
        <v>0</v>
      </c>
      <c r="K116">
        <v>91</v>
      </c>
      <c r="L116" t="str">
        <f>DiscreteStatsTable[[#This Row],[ProjectName]]&amp;DiscreteStatsTable[[#This Row],[Name]]&amp;DiscreteStatsTable[[#This Row],[Type]]&amp;DiscreteStatsTable[[#This Row],[Source]]</f>
        <v>Unnamed ProjectccocheNVA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92.2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10</v>
      </c>
      <c r="D117" t="s">
        <v>84</v>
      </c>
      <c r="E117" t="s">
        <v>79</v>
      </c>
      <c r="F117" t="s">
        <v>78</v>
      </c>
      <c r="G117">
        <v>0</v>
      </c>
      <c r="H117">
        <v>2E+20</v>
      </c>
      <c r="I117">
        <v>0</v>
      </c>
      <c r="J117">
        <v>0</v>
      </c>
      <c r="K117">
        <v>91</v>
      </c>
      <c r="L117" t="str">
        <f>DiscreteStatsTable[[#This Row],[ProjectName]]&amp;DiscreteStatsTable[[#This Row],[Name]]&amp;DiscreteStatsTable[[#This Row],[Type]]&amp;DiscreteStatsTable[[#This Row],[Source]]</f>
        <v>Unnamed ProjectccocheOther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92.2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10</v>
      </c>
      <c r="D118" t="s">
        <v>84</v>
      </c>
      <c r="E118" t="s">
        <v>80</v>
      </c>
      <c r="F118" t="s">
        <v>78</v>
      </c>
      <c r="G118">
        <v>33.222775487960099</v>
      </c>
      <c r="H118">
        <v>2E+20</v>
      </c>
      <c r="I118">
        <v>19.362190664085801</v>
      </c>
      <c r="J118">
        <v>57.955299021337602</v>
      </c>
      <c r="K118">
        <v>91</v>
      </c>
      <c r="L118" t="str">
        <f>DiscreteStatsTable[[#This Row],[ProjectName]]&amp;DiscreteStatsTable[[#This Row],[Name]]&amp;DiscreteStatsTable[[#This Row],[Type]]&amp;DiscreteStatsTable[[#This Row],[Source]]</f>
        <v>Unnamed ProjectccocheTotal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30.950376875851003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1.9993263505509704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1.4302319121557625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28.464283487368299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34.395838299094002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16.9612949634746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57.955299021337602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92.2</v>
      </c>
      <c r="W118">
        <f>IF((DiscreteStatsTable[[#This Row],[RepsRequested]]&gt;1),DiscreteStatsTable[[#This Row],[HalfWidth]],DiscreteStatsTable[[#This Row],[BatchMeansHalfWidth]])</f>
        <v>1.4302319121557625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10</v>
      </c>
      <c r="D119" t="s">
        <v>84</v>
      </c>
      <c r="E119" t="s">
        <v>81</v>
      </c>
      <c r="F119" t="s">
        <v>78</v>
      </c>
      <c r="G119">
        <v>2.5692093376609502</v>
      </c>
      <c r="H119">
        <v>2E+20</v>
      </c>
      <c r="I119">
        <v>0.57447822927298398</v>
      </c>
      <c r="J119">
        <v>7.6084810624713004</v>
      </c>
      <c r="K119">
        <v>91</v>
      </c>
      <c r="L119" t="str">
        <f>DiscreteStatsTable[[#This Row],[ProjectName]]&amp;DiscreteStatsTable[[#This Row],[Name]]&amp;DiscreteStatsTable[[#This Row],[Type]]&amp;DiscreteStatsTable[[#This Row],[Source]]</f>
        <v>Unnamed ProjectccocheTransfer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2.4122023910527979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0.13561882105923745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9.7015860224325318E-2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2.1913891918054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2.5692093376609502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0.36312028717973999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8.4843904124971594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92.2</v>
      </c>
      <c r="W119">
        <f>IF((DiscreteStatsTable[[#This Row],[RepsRequested]]&gt;1),DiscreteStatsTable[[#This Row],[HalfWidth]],DiscreteStatsTable[[#This Row],[BatchMeansHalfWidth]])</f>
        <v>9.7015860224325318E-2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10</v>
      </c>
      <c r="D120" t="s">
        <v>84</v>
      </c>
      <c r="E120" t="s">
        <v>82</v>
      </c>
      <c r="F120" t="s">
        <v>78</v>
      </c>
      <c r="G120">
        <v>25.6685089395631</v>
      </c>
      <c r="H120">
        <v>2E+20</v>
      </c>
      <c r="I120">
        <v>16.8504650999968</v>
      </c>
      <c r="J120">
        <v>34.5722489909747</v>
      </c>
      <c r="K120">
        <v>91</v>
      </c>
      <c r="L120" t="str">
        <f>DiscreteStatsTable[[#This Row],[ProjectName]]&amp;DiscreteStatsTable[[#This Row],[Name]]&amp;DiscreteStatsTable[[#This Row],[Type]]&amp;DiscreteStatsTable[[#This Row],[Source]]</f>
        <v>Unnamed ProjectccocheVA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25.360603041724492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0.52230907286312656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0.37363740232377263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24.277210692927799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25.996125025017601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14.719284550891301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35.729769906199898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92.2</v>
      </c>
      <c r="W120">
        <f>IF((DiscreteStatsTable[[#This Row],[RepsRequested]]&gt;1),DiscreteStatsTable[[#This Row],[HalfWidth]],DiscreteStatsTable[[#This Row],[BatchMeansHalfWidth]])</f>
        <v>0.37363740232377263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10</v>
      </c>
      <c r="D121" t="s">
        <v>84</v>
      </c>
      <c r="E121" t="s">
        <v>83</v>
      </c>
      <c r="F121" t="s">
        <v>78</v>
      </c>
      <c r="G121">
        <v>4.9850572107359996</v>
      </c>
      <c r="H121">
        <v>2E+20</v>
      </c>
      <c r="I121">
        <v>0</v>
      </c>
      <c r="J121">
        <v>25.063412031878201</v>
      </c>
      <c r="K121">
        <v>91</v>
      </c>
      <c r="L121" t="str">
        <f>DiscreteStatsTable[[#This Row],[ProjectName]]&amp;DiscreteStatsTable[[#This Row],[Name]]&amp;DiscreteStatsTable[[#This Row],[Type]]&amp;DiscreteStatsTable[[#This Row],[Source]]</f>
        <v>Unnamed ProjectccocheWait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3.1775714430736928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1.7762410201398626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1.2706462804254293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0.88565751366582501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6.1361268437010104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25.063412031878201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92.2</v>
      </c>
      <c r="W121">
        <f>IF((DiscreteStatsTable[[#This Row],[RepsRequested]]&gt;1),DiscreteStatsTable[[#This Row],[HalfWidth]],DiscreteStatsTable[[#This Row],[BatchMeansHalfWidth]])</f>
        <v>1.2706462804254293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1</v>
      </c>
      <c r="D122" t="s">
        <v>85</v>
      </c>
      <c r="E122" t="s">
        <v>73</v>
      </c>
      <c r="F122" t="s">
        <v>74</v>
      </c>
      <c r="G122">
        <v>1.70970735912707E-2</v>
      </c>
      <c r="H122">
        <v>2E+20</v>
      </c>
      <c r="I122">
        <v>0</v>
      </c>
      <c r="J122">
        <v>1.6079643014884899</v>
      </c>
      <c r="K122">
        <v>222</v>
      </c>
      <c r="L122" s="5" t="str">
        <f>DiscreteStatsTable[[#This Row],[ProjectName]]&amp;DiscreteStatsTable[[#This Row],[Name]]&amp;DiscreteStatsTable[[#This Row],[Type]]&amp;DiscreteStatsTable[[#This Row],[Source]]</f>
        <v>Unnamed Projectcomer.QueueWaiting TimeQueue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2.4227127635592708E-2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2.4898850061216244E-2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1.7811564342019148E-2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7.7604450099426403E-2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3.3974362425698201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203.5</v>
      </c>
      <c r="W122" s="5">
        <f>IF((DiscreteStatsTable[[#This Row],[RepsRequested]]&gt;1),DiscreteStatsTable[[#This Row],[HalfWidth]],DiscreteStatsTable[[#This Row],[BatchMeansHalfWidth]])</f>
        <v>1.7811564342019148E-2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</v>
      </c>
      <c r="D123" t="s">
        <v>85</v>
      </c>
      <c r="E123" t="s">
        <v>73</v>
      </c>
      <c r="F123" t="s">
        <v>74</v>
      </c>
      <c r="G123">
        <v>0</v>
      </c>
      <c r="H123">
        <v>2E+20</v>
      </c>
      <c r="I123">
        <v>0</v>
      </c>
      <c r="J123">
        <v>0</v>
      </c>
      <c r="K123">
        <v>191</v>
      </c>
      <c r="L123" s="5" t="str">
        <f>DiscreteStatsTable[[#This Row],[ProjectName]]&amp;DiscreteStatsTable[[#This Row],[Name]]&amp;DiscreteStatsTable[[#This Row],[Type]]&amp;DiscreteStatsTable[[#This Row],[Source]]</f>
        <v>Unnamed Projectcomer.QueueWaiting TimeQueue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2.4227127635592708E-2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2.4898850061216244E-2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1.7811564342019148E-2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7.7604450099426403E-2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3.3974362425698201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203.5</v>
      </c>
      <c r="W123" s="5">
        <f>IF((DiscreteStatsTable[[#This Row],[RepsRequested]]&gt;1),DiscreteStatsTable[[#This Row],[HalfWidth]],DiscreteStatsTable[[#This Row],[BatchMeansHalfWidth]])</f>
        <v>1.7811564342019148E-2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3</v>
      </c>
      <c r="D124" t="s">
        <v>85</v>
      </c>
      <c r="E124" t="s">
        <v>73</v>
      </c>
      <c r="F124" t="s">
        <v>74</v>
      </c>
      <c r="G124">
        <v>6.17393721070531E-3</v>
      </c>
      <c r="H124">
        <v>2E+20</v>
      </c>
      <c r="I124">
        <v>0</v>
      </c>
      <c r="J124">
        <v>0.79576581647776801</v>
      </c>
      <c r="K124">
        <v>194</v>
      </c>
      <c r="L124" s="5" t="str">
        <f>DiscreteStatsTable[[#This Row],[ProjectName]]&amp;DiscreteStatsTable[[#This Row],[Name]]&amp;DiscreteStatsTable[[#This Row],[Type]]&amp;DiscreteStatsTable[[#This Row],[Source]]</f>
        <v>Unnamed Projectcomer.QueueWaiting TimeQueue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2.4227127635592708E-2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2.4898850061216244E-2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1.7811564342019148E-2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7.7604450099426403E-2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3.3974362425698201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203.5</v>
      </c>
      <c r="W124" s="5">
        <f>IF((DiscreteStatsTable[[#This Row],[RepsRequested]]&gt;1),DiscreteStatsTable[[#This Row],[HalfWidth]],DiscreteStatsTable[[#This Row],[BatchMeansHalfWidth]])</f>
        <v>1.7811564342019148E-2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4</v>
      </c>
      <c r="D125" t="s">
        <v>85</v>
      </c>
      <c r="E125" t="s">
        <v>73</v>
      </c>
      <c r="F125" t="s">
        <v>74</v>
      </c>
      <c r="G125">
        <v>5.2586146562006797E-3</v>
      </c>
      <c r="H125">
        <v>2E+20</v>
      </c>
      <c r="I125">
        <v>0</v>
      </c>
      <c r="J125">
        <v>0.62287103010427802</v>
      </c>
      <c r="K125">
        <v>200</v>
      </c>
      <c r="L125" s="5" t="str">
        <f>DiscreteStatsTable[[#This Row],[ProjectName]]&amp;DiscreteStatsTable[[#This Row],[Name]]&amp;DiscreteStatsTable[[#This Row],[Type]]&amp;DiscreteStatsTable[[#This Row],[Source]]</f>
        <v>Unnamed Projectcomer.QueueWaiting TimeQueue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2.4227127635592708E-2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2.4898850061216244E-2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1.7811564342019148E-2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7.7604450099426403E-2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3.3974362425698201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203.5</v>
      </c>
      <c r="W125" s="5">
        <f>IF((DiscreteStatsTable[[#This Row],[RepsRequested]]&gt;1),DiscreteStatsTable[[#This Row],[HalfWidth]],DiscreteStatsTable[[#This Row],[BatchMeansHalfWidth]])</f>
        <v>1.7811564342019148E-2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5</v>
      </c>
      <c r="D126" t="s">
        <v>85</v>
      </c>
      <c r="E126" t="s">
        <v>73</v>
      </c>
      <c r="F126" t="s">
        <v>74</v>
      </c>
      <c r="G126">
        <v>1.11249223617152E-2</v>
      </c>
      <c r="H126">
        <v>2E+20</v>
      </c>
      <c r="I126">
        <v>0</v>
      </c>
      <c r="J126">
        <v>0.81177490235472805</v>
      </c>
      <c r="K126">
        <v>208</v>
      </c>
      <c r="L126" s="5" t="str">
        <f>DiscreteStatsTable[[#This Row],[ProjectName]]&amp;DiscreteStatsTable[[#This Row],[Name]]&amp;DiscreteStatsTable[[#This Row],[Type]]&amp;DiscreteStatsTable[[#This Row],[Source]]</f>
        <v>Unnamed Projectcomer.QueueWaiting TimeQueue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2.4227127635592708E-2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2.4898850061216244E-2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1.7811564342019148E-2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7.7604450099426403E-2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3.3974362425698201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203.5</v>
      </c>
      <c r="W126" s="5">
        <f>IF((DiscreteStatsTable[[#This Row],[RepsRequested]]&gt;1),DiscreteStatsTable[[#This Row],[HalfWidth]],DiscreteStatsTable[[#This Row],[BatchMeansHalfWidth]])</f>
        <v>1.7811564342019148E-2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6</v>
      </c>
      <c r="D127" t="s">
        <v>85</v>
      </c>
      <c r="E127" t="s">
        <v>73</v>
      </c>
      <c r="F127" t="s">
        <v>74</v>
      </c>
      <c r="G127">
        <v>1.4943201633598999E-2</v>
      </c>
      <c r="H127">
        <v>2E+20</v>
      </c>
      <c r="I127">
        <v>0</v>
      </c>
      <c r="J127">
        <v>0.58120875181890597</v>
      </c>
      <c r="K127">
        <v>218</v>
      </c>
      <c r="L127" s="5" t="str">
        <f>DiscreteStatsTable[[#This Row],[ProjectName]]&amp;DiscreteStatsTable[[#This Row],[Name]]&amp;DiscreteStatsTable[[#This Row],[Type]]&amp;DiscreteStatsTable[[#This Row],[Source]]</f>
        <v>Unnamed Projectcomer.QueueWaiting TimeQueue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2.4227127635592708E-2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2.4898850061216244E-2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1.7811564342019148E-2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7.7604450099426403E-2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3.3974362425698201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203.5</v>
      </c>
      <c r="W127" s="5">
        <f>IF((DiscreteStatsTable[[#This Row],[RepsRequested]]&gt;1),DiscreteStatsTable[[#This Row],[HalfWidth]],DiscreteStatsTable[[#This Row],[BatchMeansHalfWidth]])</f>
        <v>1.7811564342019148E-2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7</v>
      </c>
      <c r="D128" t="s">
        <v>85</v>
      </c>
      <c r="E128" t="s">
        <v>73</v>
      </c>
      <c r="F128" t="s">
        <v>74</v>
      </c>
      <c r="G128">
        <v>7.7604450099426403E-2</v>
      </c>
      <c r="H128">
        <v>2E+20</v>
      </c>
      <c r="I128">
        <v>0</v>
      </c>
      <c r="J128">
        <v>3.3974362425698201</v>
      </c>
      <c r="K128">
        <v>209</v>
      </c>
      <c r="L128" s="5" t="str">
        <f>DiscreteStatsTable[[#This Row],[ProjectName]]&amp;DiscreteStatsTable[[#This Row],[Name]]&amp;DiscreteStatsTable[[#This Row],[Type]]&amp;DiscreteStatsTable[[#This Row],[Source]]</f>
        <v>Unnamed Projectcomer.QueueWaiting TimeQueue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2.4227127635592708E-2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2.4898850061216244E-2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1.7811564342019148E-2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7.7604450099426403E-2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3.3974362425698201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203.5</v>
      </c>
      <c r="W128" s="5">
        <f>IF((DiscreteStatsTable[[#This Row],[RepsRequested]]&gt;1),DiscreteStatsTable[[#This Row],[HalfWidth]],DiscreteStatsTable[[#This Row],[BatchMeansHalfWidth]])</f>
        <v>1.7811564342019148E-2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8</v>
      </c>
      <c r="D129" t="s">
        <v>85</v>
      </c>
      <c r="E129" t="s">
        <v>73</v>
      </c>
      <c r="F129" t="s">
        <v>74</v>
      </c>
      <c r="G129">
        <v>2.6721652106941201E-2</v>
      </c>
      <c r="H129">
        <v>2E+20</v>
      </c>
      <c r="I129">
        <v>0</v>
      </c>
      <c r="J129">
        <v>1.13063270483414</v>
      </c>
      <c r="K129">
        <v>182</v>
      </c>
      <c r="L129" s="5" t="str">
        <f>DiscreteStatsTable[[#This Row],[ProjectName]]&amp;DiscreteStatsTable[[#This Row],[Name]]&amp;DiscreteStatsTable[[#This Row],[Type]]&amp;DiscreteStatsTable[[#This Row],[Source]]</f>
        <v>Unnamed Projectcomer.QueueWaiting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2.4227127635592708E-2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2.4898850061216244E-2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1.7811564342019148E-2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7.7604450099426403E-2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3.3974362425698201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203.5</v>
      </c>
      <c r="W129" s="5">
        <f>IF((DiscreteStatsTable[[#This Row],[RepsRequested]]&gt;1),DiscreteStatsTable[[#This Row],[HalfWidth]],DiscreteStatsTable[[#This Row],[BatchMeansHalfWidth]])</f>
        <v>1.7811564342019148E-2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9</v>
      </c>
      <c r="D130" t="s">
        <v>85</v>
      </c>
      <c r="E130" t="s">
        <v>73</v>
      </c>
      <c r="F130" t="s">
        <v>74</v>
      </c>
      <c r="G130">
        <v>5.8014981407889001E-2</v>
      </c>
      <c r="H130">
        <v>2E+20</v>
      </c>
      <c r="I130">
        <v>0</v>
      </c>
      <c r="J130">
        <v>3.1392357742487298</v>
      </c>
      <c r="K130">
        <v>215</v>
      </c>
      <c r="L130" s="5" t="str">
        <f>DiscreteStatsTable[[#This Row],[ProjectName]]&amp;DiscreteStatsTable[[#This Row],[Name]]&amp;DiscreteStatsTable[[#This Row],[Type]]&amp;DiscreteStatsTable[[#This Row],[Source]]</f>
        <v>Unnamed Projectcomer.QueueWaiting TimeQueue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2.4227127635592708E-2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2.4898850061216244E-2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1.7811564342019148E-2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7.7604450099426403E-2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3.3974362425698201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203.5</v>
      </c>
      <c r="W130" s="5">
        <f>IF((DiscreteStatsTable[[#This Row],[RepsRequested]]&gt;1),DiscreteStatsTable[[#This Row],[HalfWidth]],DiscreteStatsTable[[#This Row],[BatchMeansHalfWidth]])</f>
        <v>1.7811564342019148E-2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10</v>
      </c>
      <c r="D131" t="s">
        <v>85</v>
      </c>
      <c r="E131" t="s">
        <v>73</v>
      </c>
      <c r="F131" t="s">
        <v>74</v>
      </c>
      <c r="G131">
        <v>2.5332443288179601E-2</v>
      </c>
      <c r="H131">
        <v>2E+20</v>
      </c>
      <c r="I131">
        <v>0</v>
      </c>
      <c r="J131">
        <v>1.0430929571801899</v>
      </c>
      <c r="K131">
        <v>196</v>
      </c>
      <c r="L131" s="5" t="str">
        <f>DiscreteStatsTable[[#This Row],[ProjectName]]&amp;DiscreteStatsTable[[#This Row],[Name]]&amp;DiscreteStatsTable[[#This Row],[Type]]&amp;DiscreteStatsTable[[#This Row],[Source]]</f>
        <v>Unnamed Projectcomer.QueueWaiting TimeQueue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2.4227127635592708E-2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2.4898850061216244E-2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1.7811564342019148E-2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7.7604450099426403E-2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3.3974362425698201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203.5</v>
      </c>
      <c r="W131" s="5">
        <f>IF((DiscreteStatsTable[[#This Row],[RepsRequested]]&gt;1),DiscreteStatsTable[[#This Row],[HalfWidth]],DiscreteStatsTable[[#This Row],[BatchMeansHalfWidth]])</f>
        <v>1.7811564342019148E-2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1</v>
      </c>
      <c r="D132" t="s">
        <v>86</v>
      </c>
      <c r="E132" t="s">
        <v>77</v>
      </c>
      <c r="F132" t="s">
        <v>78</v>
      </c>
      <c r="G132">
        <v>0</v>
      </c>
      <c r="H132">
        <v>2E+20</v>
      </c>
      <c r="I132">
        <v>0</v>
      </c>
      <c r="J132">
        <v>0</v>
      </c>
      <c r="K132">
        <v>67</v>
      </c>
      <c r="L132" s="5" t="str">
        <f>DiscreteStatsTable[[#This Row],[ProjectName]]&amp;DiscreteStatsTable[[#This Row],[Name]]&amp;DiscreteStatsTable[[#This Row],[Type]]&amp;DiscreteStatsTable[[#This Row],[Source]]</f>
        <v>Unnamed ProjectcpieNVA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67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1</v>
      </c>
      <c r="D133" t="s">
        <v>86</v>
      </c>
      <c r="E133" t="s">
        <v>79</v>
      </c>
      <c r="F133" t="s">
        <v>78</v>
      </c>
      <c r="G133">
        <v>0</v>
      </c>
      <c r="H133">
        <v>2E+20</v>
      </c>
      <c r="I133">
        <v>0</v>
      </c>
      <c r="J133">
        <v>0</v>
      </c>
      <c r="K133">
        <v>67</v>
      </c>
      <c r="L133" s="5" t="str">
        <f>DiscreteStatsTable[[#This Row],[ProjectName]]&amp;DiscreteStatsTable[[#This Row],[Name]]&amp;DiscreteStatsTable[[#This Row],[Type]]&amp;DiscreteStatsTable[[#This Row],[Source]]</f>
        <v>Unnamed ProjectcpieOther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67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1</v>
      </c>
      <c r="D134" t="s">
        <v>86</v>
      </c>
      <c r="E134" t="s">
        <v>80</v>
      </c>
      <c r="F134" t="s">
        <v>78</v>
      </c>
      <c r="G134">
        <v>29.917424370908101</v>
      </c>
      <c r="H134">
        <v>2E+20</v>
      </c>
      <c r="I134">
        <v>20.207443621181501</v>
      </c>
      <c r="J134">
        <v>50.769184470164497</v>
      </c>
      <c r="K134">
        <v>67</v>
      </c>
      <c r="L134" s="5" t="str">
        <f>DiscreteStatsTable[[#This Row],[ProjectName]]&amp;DiscreteStatsTable[[#This Row],[Name]]&amp;DiscreteStatsTable[[#This Row],[Type]]&amp;DiscreteStatsTable[[#This Row],[Source]]</f>
        <v>Unnamed ProjectcpieTotal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30.710008191377348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1.2576143694971798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0.89964312426775084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28.925581864127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32.505934667489903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18.519681455649799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58.876806417318797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67</v>
      </c>
      <c r="W134" s="5">
        <f>IF((DiscreteStatsTable[[#This Row],[RepsRequested]]&gt;1),DiscreteStatsTable[[#This Row],[HalfWidth]],DiscreteStatsTable[[#This Row],[BatchMeansHalfWidth]])</f>
        <v>0.89964312426775084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1</v>
      </c>
      <c r="D135" t="s">
        <v>86</v>
      </c>
      <c r="E135" t="s">
        <v>81</v>
      </c>
      <c r="F135" t="s">
        <v>78</v>
      </c>
      <c r="G135">
        <v>2.4948585582312801</v>
      </c>
      <c r="H135">
        <v>2E+20</v>
      </c>
      <c r="I135">
        <v>0.45491198832780799</v>
      </c>
      <c r="J135">
        <v>7.7109806429363301</v>
      </c>
      <c r="K135">
        <v>67</v>
      </c>
      <c r="L135" s="5" t="str">
        <f>DiscreteStatsTable[[#This Row],[ProjectName]]&amp;DiscreteStatsTable[[#This Row],[Name]]&amp;DiscreteStatsTable[[#This Row],[Type]]&amp;DiscreteStatsTable[[#This Row],[Source]]</f>
        <v>Unnamed ProjectcpieTransfer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2.4077000562047193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0.16813248169061223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0.12027473189536579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2.0140315890509899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2.55700117291943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0.26876574377970303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9.9374909967615004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67</v>
      </c>
      <c r="W135" s="5">
        <f>IF((DiscreteStatsTable[[#This Row],[RepsRequested]]&gt;1),DiscreteStatsTable[[#This Row],[HalfWidth]],DiscreteStatsTable[[#This Row],[BatchMeansHalfWidth]])</f>
        <v>0.12027473189536579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1</v>
      </c>
      <c r="D136" t="s">
        <v>86</v>
      </c>
      <c r="E136" t="s">
        <v>82</v>
      </c>
      <c r="F136" t="s">
        <v>78</v>
      </c>
      <c r="G136">
        <v>24.909369606216099</v>
      </c>
      <c r="H136">
        <v>2E+20</v>
      </c>
      <c r="I136">
        <v>16.257098373866601</v>
      </c>
      <c r="J136">
        <v>33.5975364855748</v>
      </c>
      <c r="K136">
        <v>67</v>
      </c>
      <c r="L136" s="5" t="str">
        <f>DiscreteStatsTable[[#This Row],[ProjectName]]&amp;DiscreteStatsTable[[#This Row],[Name]]&amp;DiscreteStatsTable[[#This Row],[Type]]&amp;DiscreteStatsTable[[#This Row],[Source]]</f>
        <v>Unnamed ProjectcpieVA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25.471029076100852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0.63993887194480858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0.45778469144479561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24.657838117625399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26.361767472037901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15.8969173608491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35.759788120996703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67</v>
      </c>
      <c r="W136" s="5">
        <f>IF((DiscreteStatsTable[[#This Row],[RepsRequested]]&gt;1),DiscreteStatsTable[[#This Row],[HalfWidth]],DiscreteStatsTable[[#This Row],[BatchMeansHalfWidth]])</f>
        <v>0.45778469144479561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1</v>
      </c>
      <c r="D137" t="s">
        <v>86</v>
      </c>
      <c r="E137" t="s">
        <v>83</v>
      </c>
      <c r="F137" t="s">
        <v>78</v>
      </c>
      <c r="G137">
        <v>2.5131962064607101</v>
      </c>
      <c r="H137">
        <v>2E+20</v>
      </c>
      <c r="I137">
        <v>0</v>
      </c>
      <c r="J137">
        <v>17.358811902591</v>
      </c>
      <c r="K137">
        <v>67</v>
      </c>
      <c r="L137" s="5" t="str">
        <f>DiscreteStatsTable[[#This Row],[ProjectName]]&amp;DiscreteStatsTable[[#This Row],[Name]]&amp;DiscreteStatsTable[[#This Row],[Type]]&amp;DiscreteStatsTable[[#This Row],[Source]]</f>
        <v>Unnamed ProjectcpieWait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2.8312790590717629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1.4213725371455919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1.0167886604041443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1.12606854775072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5.39412105784809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25.526730890480898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67</v>
      </c>
      <c r="W137" s="5">
        <f>IF((DiscreteStatsTable[[#This Row],[RepsRequested]]&gt;1),DiscreteStatsTable[[#This Row],[HalfWidth]],DiscreteStatsTable[[#This Row],[BatchMeansHalfWidth]])</f>
        <v>1.0167886604041443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</v>
      </c>
      <c r="D138" t="s">
        <v>86</v>
      </c>
      <c r="E138" t="s">
        <v>77</v>
      </c>
      <c r="F138" t="s">
        <v>78</v>
      </c>
      <c r="G138">
        <v>0</v>
      </c>
      <c r="H138">
        <v>2E+20</v>
      </c>
      <c r="I138">
        <v>0</v>
      </c>
      <c r="J138">
        <v>0</v>
      </c>
      <c r="K138">
        <v>58</v>
      </c>
      <c r="L138" s="5" t="str">
        <f>DiscreteStatsTable[[#This Row],[ProjectName]]&amp;DiscreteStatsTable[[#This Row],[Name]]&amp;DiscreteStatsTable[[#This Row],[Type]]&amp;DiscreteStatsTable[[#This Row],[Source]]</f>
        <v>Unnamed ProjectcpieNVA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67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</v>
      </c>
      <c r="D139" t="s">
        <v>86</v>
      </c>
      <c r="E139" t="s">
        <v>79</v>
      </c>
      <c r="F139" t="s">
        <v>78</v>
      </c>
      <c r="G139">
        <v>0</v>
      </c>
      <c r="H139">
        <v>2E+20</v>
      </c>
      <c r="I139">
        <v>0</v>
      </c>
      <c r="J139">
        <v>0</v>
      </c>
      <c r="K139">
        <v>58</v>
      </c>
      <c r="L139" s="5" t="str">
        <f>DiscreteStatsTable[[#This Row],[ProjectName]]&amp;DiscreteStatsTable[[#This Row],[Name]]&amp;DiscreteStatsTable[[#This Row],[Type]]&amp;DiscreteStatsTable[[#This Row],[Source]]</f>
        <v>Unnamed ProjectcpieOther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67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</v>
      </c>
      <c r="D140" t="s">
        <v>86</v>
      </c>
      <c r="E140" t="s">
        <v>80</v>
      </c>
      <c r="F140" t="s">
        <v>78</v>
      </c>
      <c r="G140">
        <v>31.337290237550501</v>
      </c>
      <c r="H140">
        <v>2E+20</v>
      </c>
      <c r="I140">
        <v>19.286341318116001</v>
      </c>
      <c r="J140">
        <v>55.431160343408401</v>
      </c>
      <c r="K140">
        <v>58</v>
      </c>
      <c r="L140" s="5" t="str">
        <f>DiscreteStatsTable[[#This Row],[ProjectName]]&amp;DiscreteStatsTable[[#This Row],[Name]]&amp;DiscreteStatsTable[[#This Row],[Type]]&amp;DiscreteStatsTable[[#This Row],[Source]]</f>
        <v>Unnamed ProjectcpieTotal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30.710008191377348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1.2576143694971798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0.89964312426775084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28.925581864127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32.505934667489903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18.519681455649799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58.876806417318797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67</v>
      </c>
      <c r="W140" s="5">
        <f>IF((DiscreteStatsTable[[#This Row],[RepsRequested]]&gt;1),DiscreteStatsTable[[#This Row],[HalfWidth]],DiscreteStatsTable[[#This Row],[BatchMeansHalfWidth]])</f>
        <v>0.89964312426775084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</v>
      </c>
      <c r="D141" t="s">
        <v>86</v>
      </c>
      <c r="E141" t="s">
        <v>81</v>
      </c>
      <c r="F141" t="s">
        <v>78</v>
      </c>
      <c r="G141">
        <v>2.55700117291943</v>
      </c>
      <c r="H141">
        <v>2E+20</v>
      </c>
      <c r="I141">
        <v>0.55467395525872099</v>
      </c>
      <c r="J141">
        <v>5.7559803083062899</v>
      </c>
      <c r="K141">
        <v>58</v>
      </c>
      <c r="L141" s="5" t="str">
        <f>DiscreteStatsTable[[#This Row],[ProjectName]]&amp;DiscreteStatsTable[[#This Row],[Name]]&amp;DiscreteStatsTable[[#This Row],[Type]]&amp;DiscreteStatsTable[[#This Row],[Source]]</f>
        <v>Unnamed ProjectcpieTransfer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2.4077000562047193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0.16813248169061223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0.12027473189536579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2.0140315890509899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2.55700117291943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0.26876574377970303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9.9374909967615004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67</v>
      </c>
      <c r="W141" s="5">
        <f>IF((DiscreteStatsTable[[#This Row],[RepsRequested]]&gt;1),DiscreteStatsTable[[#This Row],[HalfWidth]],DiscreteStatsTable[[#This Row],[BatchMeansHalfWidth]])</f>
        <v>0.12027473189536579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</v>
      </c>
      <c r="D142" t="s">
        <v>86</v>
      </c>
      <c r="E142" t="s">
        <v>82</v>
      </c>
      <c r="F142" t="s">
        <v>78</v>
      </c>
      <c r="G142">
        <v>26.2588536879177</v>
      </c>
      <c r="H142">
        <v>2E+20</v>
      </c>
      <c r="I142">
        <v>16.337796448174299</v>
      </c>
      <c r="J142">
        <v>34.981498918114902</v>
      </c>
      <c r="K142">
        <v>58</v>
      </c>
      <c r="L142" s="5" t="str">
        <f>DiscreteStatsTable[[#This Row],[ProjectName]]&amp;DiscreteStatsTable[[#This Row],[Name]]&amp;DiscreteStatsTable[[#This Row],[Type]]&amp;DiscreteStatsTable[[#This Row],[Source]]</f>
        <v>Unnamed ProjectcpieVA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25.471029076100852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0.63993887194480858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0.45778469144479561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24.657838117625399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26.361767472037901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15.8969173608491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35.759788120996703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67</v>
      </c>
      <c r="W142" s="5">
        <f>IF((DiscreteStatsTable[[#This Row],[RepsRequested]]&gt;1),DiscreteStatsTable[[#This Row],[HalfWidth]],DiscreteStatsTable[[#This Row],[BatchMeansHalfWidth]])</f>
        <v>0.45778469144479561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</v>
      </c>
      <c r="D143" t="s">
        <v>86</v>
      </c>
      <c r="E143" t="s">
        <v>83</v>
      </c>
      <c r="F143" t="s">
        <v>78</v>
      </c>
      <c r="G143">
        <v>2.5214353767134199</v>
      </c>
      <c r="H143">
        <v>2E+20</v>
      </c>
      <c r="I143">
        <v>0</v>
      </c>
      <c r="J143">
        <v>25.448315510424599</v>
      </c>
      <c r="K143">
        <v>58</v>
      </c>
      <c r="L143" s="5" t="str">
        <f>DiscreteStatsTable[[#This Row],[ProjectName]]&amp;DiscreteStatsTable[[#This Row],[Name]]&amp;DiscreteStatsTable[[#This Row],[Type]]&amp;DiscreteStatsTable[[#This Row],[Source]]</f>
        <v>Unnamed ProjectcpieWait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2.8312790590717629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1.4213725371455919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1.0167886604041443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1.12606854775072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5.39412105784809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25.526730890480898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67</v>
      </c>
      <c r="W143" s="5">
        <f>IF((DiscreteStatsTable[[#This Row],[RepsRequested]]&gt;1),DiscreteStatsTable[[#This Row],[HalfWidth]],DiscreteStatsTable[[#This Row],[BatchMeansHalfWidth]])</f>
        <v>1.0167886604041443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3</v>
      </c>
      <c r="D144" t="s">
        <v>86</v>
      </c>
      <c r="E144" t="s">
        <v>77</v>
      </c>
      <c r="F144" t="s">
        <v>78</v>
      </c>
      <c r="G144">
        <v>0</v>
      </c>
      <c r="H144">
        <v>2E+20</v>
      </c>
      <c r="I144">
        <v>0</v>
      </c>
      <c r="J144">
        <v>0</v>
      </c>
      <c r="K144">
        <v>65</v>
      </c>
      <c r="L144" s="5" t="str">
        <f>DiscreteStatsTable[[#This Row],[ProjectName]]&amp;DiscreteStatsTable[[#This Row],[Name]]&amp;DiscreteStatsTable[[#This Row],[Type]]&amp;DiscreteStatsTable[[#This Row],[Source]]</f>
        <v>Unnamed ProjectcpieNVA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67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3</v>
      </c>
      <c r="D145" t="s">
        <v>86</v>
      </c>
      <c r="E145" t="s">
        <v>79</v>
      </c>
      <c r="F145" t="s">
        <v>78</v>
      </c>
      <c r="G145">
        <v>0</v>
      </c>
      <c r="H145">
        <v>2E+20</v>
      </c>
      <c r="I145">
        <v>0</v>
      </c>
      <c r="J145">
        <v>0</v>
      </c>
      <c r="K145">
        <v>65</v>
      </c>
      <c r="L145" s="5" t="str">
        <f>DiscreteStatsTable[[#This Row],[ProjectName]]&amp;DiscreteStatsTable[[#This Row],[Name]]&amp;DiscreteStatsTable[[#This Row],[Type]]&amp;DiscreteStatsTable[[#This Row],[Source]]</f>
        <v>Unnamed ProjectcpieOther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67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3</v>
      </c>
      <c r="D146" t="s">
        <v>86</v>
      </c>
      <c r="E146" t="s">
        <v>80</v>
      </c>
      <c r="F146" t="s">
        <v>78</v>
      </c>
      <c r="G146">
        <v>28.925581864127</v>
      </c>
      <c r="H146">
        <v>2E+20</v>
      </c>
      <c r="I146">
        <v>20.1583872533879</v>
      </c>
      <c r="J146">
        <v>41.033535776343399</v>
      </c>
      <c r="K146">
        <v>65</v>
      </c>
      <c r="L146" s="5" t="str">
        <f>DiscreteStatsTable[[#This Row],[ProjectName]]&amp;DiscreteStatsTable[[#This Row],[Name]]&amp;DiscreteStatsTable[[#This Row],[Type]]&amp;DiscreteStatsTable[[#This Row],[Source]]</f>
        <v>Unnamed ProjectcpieTotal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30.710008191377348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1.2576143694971798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0.89964312426775084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28.925581864127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32.505934667489903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18.519681455649799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58.876806417318797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67</v>
      </c>
      <c r="W146" s="5">
        <f>IF((DiscreteStatsTable[[#This Row],[RepsRequested]]&gt;1),DiscreteStatsTable[[#This Row],[HalfWidth]],DiscreteStatsTable[[#This Row],[BatchMeansHalfWidth]])</f>
        <v>0.89964312426775084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3</v>
      </c>
      <c r="D147" t="s">
        <v>86</v>
      </c>
      <c r="E147" t="s">
        <v>81</v>
      </c>
      <c r="F147" t="s">
        <v>78</v>
      </c>
      <c r="G147">
        <v>2.5259342685933701</v>
      </c>
      <c r="H147">
        <v>2E+20</v>
      </c>
      <c r="I147">
        <v>0.67716343737825502</v>
      </c>
      <c r="J147">
        <v>7.4810076286008096</v>
      </c>
      <c r="K147">
        <v>65</v>
      </c>
      <c r="L147" s="5" t="str">
        <f>DiscreteStatsTable[[#This Row],[ProjectName]]&amp;DiscreteStatsTable[[#This Row],[Name]]&amp;DiscreteStatsTable[[#This Row],[Type]]&amp;DiscreteStatsTable[[#This Row],[Source]]</f>
        <v>Unnamed ProjectcpieTransfer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2.4077000562047193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0.16813248169061223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0.12027473189536579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2.0140315890509899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2.55700117291943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0.26876574377970303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9.9374909967615004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67</v>
      </c>
      <c r="W147" s="5">
        <f>IF((DiscreteStatsTable[[#This Row],[RepsRequested]]&gt;1),DiscreteStatsTable[[#This Row],[HalfWidth]],DiscreteStatsTable[[#This Row],[BatchMeansHalfWidth]])</f>
        <v>0.12027473189536579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3</v>
      </c>
      <c r="D148" t="s">
        <v>86</v>
      </c>
      <c r="E148" t="s">
        <v>82</v>
      </c>
      <c r="F148" t="s">
        <v>78</v>
      </c>
      <c r="G148">
        <v>25.273579047782899</v>
      </c>
      <c r="H148">
        <v>2E+20</v>
      </c>
      <c r="I148">
        <v>17.927187628669301</v>
      </c>
      <c r="J148">
        <v>35.759788120996703</v>
      </c>
      <c r="K148">
        <v>65</v>
      </c>
      <c r="L148" s="5" t="str">
        <f>DiscreteStatsTable[[#This Row],[ProjectName]]&amp;DiscreteStatsTable[[#This Row],[Name]]&amp;DiscreteStatsTable[[#This Row],[Type]]&amp;DiscreteStatsTable[[#This Row],[Source]]</f>
        <v>Unnamed ProjectcpieVA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25.471029076100852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0.63993887194480858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0.45778469144479561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24.657838117625399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26.361767472037901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15.8969173608491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35.759788120996703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67</v>
      </c>
      <c r="W148" s="5">
        <f>IF((DiscreteStatsTable[[#This Row],[RepsRequested]]&gt;1),DiscreteStatsTable[[#This Row],[HalfWidth]],DiscreteStatsTable[[#This Row],[BatchMeansHalfWidth]])</f>
        <v>0.45778469144479561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3</v>
      </c>
      <c r="D149" t="s">
        <v>86</v>
      </c>
      <c r="E149" t="s">
        <v>83</v>
      </c>
      <c r="F149" t="s">
        <v>78</v>
      </c>
      <c r="G149">
        <v>1.12606854775072</v>
      </c>
      <c r="H149">
        <v>2E+20</v>
      </c>
      <c r="I149">
        <v>0</v>
      </c>
      <c r="J149">
        <v>14.4420263081391</v>
      </c>
      <c r="K149">
        <v>65</v>
      </c>
      <c r="L149" s="5" t="str">
        <f>DiscreteStatsTable[[#This Row],[ProjectName]]&amp;DiscreteStatsTable[[#This Row],[Name]]&amp;DiscreteStatsTable[[#This Row],[Type]]&amp;DiscreteStatsTable[[#This Row],[Source]]</f>
        <v>Unnamed ProjectcpieWait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2.8312790590717629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1.4213725371455919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1.0167886604041443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1.12606854775072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5.39412105784809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25.526730890480898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67</v>
      </c>
      <c r="W149" s="5">
        <f>IF((DiscreteStatsTable[[#This Row],[RepsRequested]]&gt;1),DiscreteStatsTable[[#This Row],[HalfWidth]],DiscreteStatsTable[[#This Row],[BatchMeansHalfWidth]])</f>
        <v>1.0167886604041443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4</v>
      </c>
      <c r="D150" t="s">
        <v>86</v>
      </c>
      <c r="E150" t="s">
        <v>77</v>
      </c>
      <c r="F150" t="s">
        <v>78</v>
      </c>
      <c r="G150">
        <v>0</v>
      </c>
      <c r="H150">
        <v>2E+20</v>
      </c>
      <c r="I150">
        <v>0</v>
      </c>
      <c r="J150">
        <v>0</v>
      </c>
      <c r="K150">
        <v>59</v>
      </c>
      <c r="L150" s="5" t="str">
        <f>DiscreteStatsTable[[#This Row],[ProjectName]]&amp;DiscreteStatsTable[[#This Row],[Name]]&amp;DiscreteStatsTable[[#This Row],[Type]]&amp;DiscreteStatsTable[[#This Row],[Source]]</f>
        <v>Unnamed ProjectcpieNVA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67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4</v>
      </c>
      <c r="D151" t="s">
        <v>86</v>
      </c>
      <c r="E151" t="s">
        <v>79</v>
      </c>
      <c r="F151" t="s">
        <v>78</v>
      </c>
      <c r="G151">
        <v>0</v>
      </c>
      <c r="H151">
        <v>2E+20</v>
      </c>
      <c r="I151">
        <v>0</v>
      </c>
      <c r="J151">
        <v>0</v>
      </c>
      <c r="K151">
        <v>59</v>
      </c>
      <c r="L151" s="5" t="str">
        <f>DiscreteStatsTable[[#This Row],[ProjectName]]&amp;DiscreteStatsTable[[#This Row],[Name]]&amp;DiscreteStatsTable[[#This Row],[Type]]&amp;DiscreteStatsTable[[#This Row],[Source]]</f>
        <v>Unnamed ProjectcpieOther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67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4</v>
      </c>
      <c r="D152" t="s">
        <v>86</v>
      </c>
      <c r="E152" t="s">
        <v>80</v>
      </c>
      <c r="F152" t="s">
        <v>78</v>
      </c>
      <c r="G152">
        <v>29.364060732002599</v>
      </c>
      <c r="H152">
        <v>2E+20</v>
      </c>
      <c r="I152">
        <v>18.519681455649799</v>
      </c>
      <c r="J152">
        <v>51.770639481383</v>
      </c>
      <c r="K152">
        <v>59</v>
      </c>
      <c r="L152" s="5" t="str">
        <f>DiscreteStatsTable[[#This Row],[ProjectName]]&amp;DiscreteStatsTable[[#This Row],[Name]]&amp;DiscreteStatsTable[[#This Row],[Type]]&amp;DiscreteStatsTable[[#This Row],[Source]]</f>
        <v>Unnamed ProjectcpieTotal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30.710008191377348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1.2576143694971798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0.89964312426775084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28.925581864127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32.505934667489903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18.519681455649799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58.876806417318797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67</v>
      </c>
      <c r="W152" s="5">
        <f>IF((DiscreteStatsTable[[#This Row],[RepsRequested]]&gt;1),DiscreteStatsTable[[#This Row],[HalfWidth]],DiscreteStatsTable[[#This Row],[BatchMeansHalfWidth]])</f>
        <v>0.89964312426775084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4</v>
      </c>
      <c r="D153" t="s">
        <v>86</v>
      </c>
      <c r="E153" t="s">
        <v>81</v>
      </c>
      <c r="F153" t="s">
        <v>78</v>
      </c>
      <c r="G153">
        <v>2.53787602727262</v>
      </c>
      <c r="H153">
        <v>2E+20</v>
      </c>
      <c r="I153">
        <v>0.67899882304027404</v>
      </c>
      <c r="J153">
        <v>6.3509827948423103</v>
      </c>
      <c r="K153">
        <v>59</v>
      </c>
      <c r="L153" s="5" t="str">
        <f>DiscreteStatsTable[[#This Row],[ProjectName]]&amp;DiscreteStatsTable[[#This Row],[Name]]&amp;DiscreteStatsTable[[#This Row],[Type]]&amp;DiscreteStatsTable[[#This Row],[Source]]</f>
        <v>Unnamed ProjectcpieTransfer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2.4077000562047193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0.16813248169061223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0.12027473189536579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2.0140315890509899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2.55700117291943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0.26876574377970303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9.9374909967615004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67</v>
      </c>
      <c r="W153" s="5">
        <f>IF((DiscreteStatsTable[[#This Row],[RepsRequested]]&gt;1),DiscreteStatsTable[[#This Row],[HalfWidth]],DiscreteStatsTable[[#This Row],[BatchMeansHalfWidth]])</f>
        <v>0.12027473189536579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4</v>
      </c>
      <c r="D154" t="s">
        <v>86</v>
      </c>
      <c r="E154" t="s">
        <v>82</v>
      </c>
      <c r="F154" t="s">
        <v>78</v>
      </c>
      <c r="G154">
        <v>24.709036046729199</v>
      </c>
      <c r="H154">
        <v>2E+20</v>
      </c>
      <c r="I154">
        <v>16.0979878878981</v>
      </c>
      <c r="J154">
        <v>34.325487444021803</v>
      </c>
      <c r="K154">
        <v>59</v>
      </c>
      <c r="L154" s="5" t="str">
        <f>DiscreteStatsTable[[#This Row],[ProjectName]]&amp;DiscreteStatsTable[[#This Row],[Name]]&amp;DiscreteStatsTable[[#This Row],[Type]]&amp;DiscreteStatsTable[[#This Row],[Source]]</f>
        <v>Unnamed ProjectcpieVA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25.471029076100852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0.63993887194480858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0.45778469144479561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24.657838117625399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26.361767472037901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15.8969173608491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35.759788120996703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67</v>
      </c>
      <c r="W154" s="5">
        <f>IF((DiscreteStatsTable[[#This Row],[RepsRequested]]&gt;1),DiscreteStatsTable[[#This Row],[HalfWidth]],DiscreteStatsTable[[#This Row],[BatchMeansHalfWidth]])</f>
        <v>0.45778469144479561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4</v>
      </c>
      <c r="D155" t="s">
        <v>86</v>
      </c>
      <c r="E155" t="s">
        <v>83</v>
      </c>
      <c r="F155" t="s">
        <v>78</v>
      </c>
      <c r="G155">
        <v>2.1171486580007</v>
      </c>
      <c r="H155">
        <v>2E+20</v>
      </c>
      <c r="I155">
        <v>0</v>
      </c>
      <c r="J155">
        <v>23.4465171005745</v>
      </c>
      <c r="K155">
        <v>59</v>
      </c>
      <c r="L155" s="5" t="str">
        <f>DiscreteStatsTable[[#This Row],[ProjectName]]&amp;DiscreteStatsTable[[#This Row],[Name]]&amp;DiscreteStatsTable[[#This Row],[Type]]&amp;DiscreteStatsTable[[#This Row],[Source]]</f>
        <v>Unnamed ProjectcpieWait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2.8312790590717629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1.4213725371455919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1.0167886604041443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1.12606854775072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5.39412105784809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25.526730890480898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67</v>
      </c>
      <c r="W155" s="5">
        <f>IF((DiscreteStatsTable[[#This Row],[RepsRequested]]&gt;1),DiscreteStatsTable[[#This Row],[HalfWidth]],DiscreteStatsTable[[#This Row],[BatchMeansHalfWidth]])</f>
        <v>1.0167886604041443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5</v>
      </c>
      <c r="D156" t="s">
        <v>86</v>
      </c>
      <c r="E156" t="s">
        <v>77</v>
      </c>
      <c r="F156" t="s">
        <v>78</v>
      </c>
      <c r="G156">
        <v>0</v>
      </c>
      <c r="H156">
        <v>2E+20</v>
      </c>
      <c r="I156">
        <v>0</v>
      </c>
      <c r="J156">
        <v>0</v>
      </c>
      <c r="K156">
        <v>67</v>
      </c>
      <c r="L156" s="5" t="str">
        <f>DiscreteStatsTable[[#This Row],[ProjectName]]&amp;DiscreteStatsTable[[#This Row],[Name]]&amp;DiscreteStatsTable[[#This Row],[Type]]&amp;DiscreteStatsTable[[#This Row],[Source]]</f>
        <v>Unnamed ProjectcpieNVA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67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5</v>
      </c>
      <c r="D157" t="s">
        <v>86</v>
      </c>
      <c r="E157" t="s">
        <v>79</v>
      </c>
      <c r="F157" t="s">
        <v>78</v>
      </c>
      <c r="G157">
        <v>0</v>
      </c>
      <c r="H157">
        <v>2E+20</v>
      </c>
      <c r="I157">
        <v>0</v>
      </c>
      <c r="J157">
        <v>0</v>
      </c>
      <c r="K157">
        <v>67</v>
      </c>
      <c r="L157" s="5" t="str">
        <f>DiscreteStatsTable[[#This Row],[ProjectName]]&amp;DiscreteStatsTable[[#This Row],[Name]]&amp;DiscreteStatsTable[[#This Row],[Type]]&amp;DiscreteStatsTable[[#This Row],[Source]]</f>
        <v>Unnamed ProjectcpieOther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67</v>
      </c>
      <c r="W157" s="5">
        <f>IF((DiscreteStatsTable[[#This Row],[RepsRequested]]&gt;1),DiscreteStatsTable[[#This Row],[HalfWidth]],DiscreteStatsTable[[#This Row],[BatchMeansHalfWidth]])</f>
        <v>0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5</v>
      </c>
      <c r="D158" t="s">
        <v>86</v>
      </c>
      <c r="E158" t="s">
        <v>80</v>
      </c>
      <c r="F158" t="s">
        <v>78</v>
      </c>
      <c r="G158">
        <v>32.023633285685101</v>
      </c>
      <c r="H158">
        <v>2E+20</v>
      </c>
      <c r="I158">
        <v>19.384859814781699</v>
      </c>
      <c r="J158">
        <v>47.883719896699297</v>
      </c>
      <c r="K158">
        <v>67</v>
      </c>
      <c r="L158" s="5" t="str">
        <f>DiscreteStatsTable[[#This Row],[ProjectName]]&amp;DiscreteStatsTable[[#This Row],[Name]]&amp;DiscreteStatsTable[[#This Row],[Type]]&amp;DiscreteStatsTable[[#This Row],[Source]]</f>
        <v>Unnamed ProjectcpieTotal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30.710008191377348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1.2576143694971798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0.89964312426775084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28.925581864127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32.505934667489903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18.519681455649799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58.876806417318797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67</v>
      </c>
      <c r="W158" s="5">
        <f>IF((DiscreteStatsTable[[#This Row],[RepsRequested]]&gt;1),DiscreteStatsTable[[#This Row],[HalfWidth]],DiscreteStatsTable[[#This Row],[BatchMeansHalfWidth]])</f>
        <v>0.89964312426775084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5</v>
      </c>
      <c r="D159" t="s">
        <v>86</v>
      </c>
      <c r="E159" t="s">
        <v>81</v>
      </c>
      <c r="F159" t="s">
        <v>78</v>
      </c>
      <c r="G159">
        <v>2.3168968034575999</v>
      </c>
      <c r="H159">
        <v>2E+20</v>
      </c>
      <c r="I159">
        <v>0.40153899415037098</v>
      </c>
      <c r="J159">
        <v>9.9374909967615004</v>
      </c>
      <c r="K159">
        <v>67</v>
      </c>
      <c r="L159" s="5" t="str">
        <f>DiscreteStatsTable[[#This Row],[ProjectName]]&amp;DiscreteStatsTable[[#This Row],[Name]]&amp;DiscreteStatsTable[[#This Row],[Type]]&amp;DiscreteStatsTable[[#This Row],[Source]]</f>
        <v>Unnamed ProjectcpieTransfer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2.4077000562047193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0.16813248169061223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0.12027473189536579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2.0140315890509899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2.55700117291943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0.26876574377970303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9.9374909967615004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67</v>
      </c>
      <c r="W159" s="5">
        <f>IF((DiscreteStatsTable[[#This Row],[RepsRequested]]&gt;1),DiscreteStatsTable[[#This Row],[HalfWidth]],DiscreteStatsTable[[#This Row],[BatchMeansHalfWidth]])</f>
        <v>0.12027473189536579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5</v>
      </c>
      <c r="D160" t="s">
        <v>86</v>
      </c>
      <c r="E160" t="s">
        <v>82</v>
      </c>
      <c r="F160" t="s">
        <v>78</v>
      </c>
      <c r="G160">
        <v>25.639454116837499</v>
      </c>
      <c r="H160">
        <v>2E+20</v>
      </c>
      <c r="I160">
        <v>17.820190674194301</v>
      </c>
      <c r="J160">
        <v>32.466168493243103</v>
      </c>
      <c r="K160">
        <v>67</v>
      </c>
      <c r="L160" s="5" t="str">
        <f>DiscreteStatsTable[[#This Row],[ProjectName]]&amp;DiscreteStatsTable[[#This Row],[Name]]&amp;DiscreteStatsTable[[#This Row],[Type]]&amp;DiscreteStatsTable[[#This Row],[Source]]</f>
        <v>Unnamed ProjectcpieVA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25.471029076100852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0.63993887194480858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0.45778469144479561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24.657838117625399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26.361767472037901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15.8969173608491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35.759788120996703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67</v>
      </c>
      <c r="W160" s="5">
        <f>IF((DiscreteStatsTable[[#This Row],[RepsRequested]]&gt;1),DiscreteStatsTable[[#This Row],[HalfWidth]],DiscreteStatsTable[[#This Row],[BatchMeansHalfWidth]])</f>
        <v>0.45778469144479561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5</v>
      </c>
      <c r="D161" t="s">
        <v>86</v>
      </c>
      <c r="E161" t="s">
        <v>83</v>
      </c>
      <c r="F161" t="s">
        <v>78</v>
      </c>
      <c r="G161">
        <v>4.0672823653900201</v>
      </c>
      <c r="H161">
        <v>2E+20</v>
      </c>
      <c r="I161">
        <v>0</v>
      </c>
      <c r="J161">
        <v>18.046336168714902</v>
      </c>
      <c r="K161">
        <v>67</v>
      </c>
      <c r="L161" s="5" t="str">
        <f>DiscreteStatsTable[[#This Row],[ProjectName]]&amp;DiscreteStatsTable[[#This Row],[Name]]&amp;DiscreteStatsTable[[#This Row],[Type]]&amp;DiscreteStatsTable[[#This Row],[Source]]</f>
        <v>Unnamed ProjectcpieWait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2.8312790590717629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1.4213725371455919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1.0167886604041443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1.12606854775072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5.39412105784809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25.526730890480898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67</v>
      </c>
      <c r="W161" s="5">
        <f>IF((DiscreteStatsTable[[#This Row],[RepsRequested]]&gt;1),DiscreteStatsTable[[#This Row],[HalfWidth]],DiscreteStatsTable[[#This Row],[BatchMeansHalfWidth]])</f>
        <v>1.0167886604041443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6</v>
      </c>
      <c r="D162" t="s">
        <v>86</v>
      </c>
      <c r="E162" t="s">
        <v>77</v>
      </c>
      <c r="F162" t="s">
        <v>78</v>
      </c>
      <c r="G162">
        <v>0</v>
      </c>
      <c r="H162">
        <v>2E+20</v>
      </c>
      <c r="I162">
        <v>0</v>
      </c>
      <c r="J162">
        <v>0</v>
      </c>
      <c r="K162">
        <v>69</v>
      </c>
      <c r="L162" s="5" t="str">
        <f>DiscreteStatsTable[[#This Row],[ProjectName]]&amp;DiscreteStatsTable[[#This Row],[Name]]&amp;DiscreteStatsTable[[#This Row],[Type]]&amp;DiscreteStatsTable[[#This Row],[Source]]</f>
        <v>Unnamed ProjectcpieNVA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67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6</v>
      </c>
      <c r="D163" t="s">
        <v>86</v>
      </c>
      <c r="E163" t="s">
        <v>79</v>
      </c>
      <c r="F163" t="s">
        <v>78</v>
      </c>
      <c r="G163">
        <v>0</v>
      </c>
      <c r="H163">
        <v>2E+20</v>
      </c>
      <c r="I163">
        <v>0</v>
      </c>
      <c r="J163">
        <v>0</v>
      </c>
      <c r="K163">
        <v>69</v>
      </c>
      <c r="L163" s="5" t="str">
        <f>DiscreteStatsTable[[#This Row],[ProjectName]]&amp;DiscreteStatsTable[[#This Row],[Name]]&amp;DiscreteStatsTable[[#This Row],[Type]]&amp;DiscreteStatsTable[[#This Row],[Source]]</f>
        <v>Unnamed ProjectcpieOther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67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6</v>
      </c>
      <c r="D164" t="s">
        <v>86</v>
      </c>
      <c r="E164" t="s">
        <v>80</v>
      </c>
      <c r="F164" t="s">
        <v>78</v>
      </c>
      <c r="G164">
        <v>30.527781913080499</v>
      </c>
      <c r="H164">
        <v>2E+20</v>
      </c>
      <c r="I164">
        <v>20.8152447613733</v>
      </c>
      <c r="J164">
        <v>54.704016548049204</v>
      </c>
      <c r="K164">
        <v>69</v>
      </c>
      <c r="L164" s="5" t="str">
        <f>DiscreteStatsTable[[#This Row],[ProjectName]]&amp;DiscreteStatsTable[[#This Row],[Name]]&amp;DiscreteStatsTable[[#This Row],[Type]]&amp;DiscreteStatsTable[[#This Row],[Source]]</f>
        <v>Unnamed ProjectcpieTotal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30.710008191377348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1.2576143694971798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0.89964312426775084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28.925581864127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32.505934667489903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18.519681455649799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58.876806417318797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67</v>
      </c>
      <c r="W164" s="5">
        <f>IF((DiscreteStatsTable[[#This Row],[RepsRequested]]&gt;1),DiscreteStatsTable[[#This Row],[HalfWidth]],DiscreteStatsTable[[#This Row],[BatchMeansHalfWidth]])</f>
        <v>0.89964312426775084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6</v>
      </c>
      <c r="D165" t="s">
        <v>86</v>
      </c>
      <c r="E165" t="s">
        <v>81</v>
      </c>
      <c r="F165" t="s">
        <v>78</v>
      </c>
      <c r="G165">
        <v>2.0140315890509899</v>
      </c>
      <c r="H165">
        <v>2E+20</v>
      </c>
      <c r="I165">
        <v>0.26876574377970303</v>
      </c>
      <c r="J165">
        <v>4.95356684514599</v>
      </c>
      <c r="K165">
        <v>69</v>
      </c>
      <c r="L165" s="5" t="str">
        <f>DiscreteStatsTable[[#This Row],[ProjectName]]&amp;DiscreteStatsTable[[#This Row],[Name]]&amp;DiscreteStatsTable[[#This Row],[Type]]&amp;DiscreteStatsTable[[#This Row],[Source]]</f>
        <v>Unnamed ProjectcpieTransfer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2.4077000562047193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0.16813248169061223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0.12027473189536579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2.0140315890509899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2.55700117291943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0.26876574377970303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9.9374909967615004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67</v>
      </c>
      <c r="W165" s="5">
        <f>IF((DiscreteStatsTable[[#This Row],[RepsRequested]]&gt;1),DiscreteStatsTable[[#This Row],[HalfWidth]],DiscreteStatsTable[[#This Row],[BatchMeansHalfWidth]])</f>
        <v>0.12027473189536579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6</v>
      </c>
      <c r="D166" t="s">
        <v>86</v>
      </c>
      <c r="E166" t="s">
        <v>82</v>
      </c>
      <c r="F166" t="s">
        <v>78</v>
      </c>
      <c r="G166">
        <v>25.980978591562799</v>
      </c>
      <c r="H166">
        <v>2E+20</v>
      </c>
      <c r="I166">
        <v>17.3093196255629</v>
      </c>
      <c r="J166">
        <v>34.116242985602803</v>
      </c>
      <c r="K166">
        <v>69</v>
      </c>
      <c r="L166" s="5" t="str">
        <f>DiscreteStatsTable[[#This Row],[ProjectName]]&amp;DiscreteStatsTable[[#This Row],[Name]]&amp;DiscreteStatsTable[[#This Row],[Type]]&amp;DiscreteStatsTable[[#This Row],[Source]]</f>
        <v>Unnamed ProjectcpieVA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25.471029076100852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0.63993887194480858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0.45778469144479561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24.657838117625399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26.361767472037901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15.8969173608491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35.759788120996703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67</v>
      </c>
      <c r="W166" s="5">
        <f>IF((DiscreteStatsTable[[#This Row],[RepsRequested]]&gt;1),DiscreteStatsTable[[#This Row],[HalfWidth]],DiscreteStatsTable[[#This Row],[BatchMeansHalfWidth]])</f>
        <v>0.45778469144479561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6</v>
      </c>
      <c r="D167" t="s">
        <v>86</v>
      </c>
      <c r="E167" t="s">
        <v>83</v>
      </c>
      <c r="F167" t="s">
        <v>78</v>
      </c>
      <c r="G167">
        <v>2.5327717324666099</v>
      </c>
      <c r="H167">
        <v>2E+20</v>
      </c>
      <c r="I167">
        <v>0</v>
      </c>
      <c r="J167">
        <v>21.230765671533099</v>
      </c>
      <c r="K167">
        <v>69</v>
      </c>
      <c r="L167" s="5" t="str">
        <f>DiscreteStatsTable[[#This Row],[ProjectName]]&amp;DiscreteStatsTable[[#This Row],[Name]]&amp;DiscreteStatsTable[[#This Row],[Type]]&amp;DiscreteStatsTable[[#This Row],[Source]]</f>
        <v>Unnamed ProjectcpieWait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2.8312790590717629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1.4213725371455919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1.0167886604041443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1.12606854775072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5.39412105784809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25.526730890480898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67</v>
      </c>
      <c r="W167" s="5">
        <f>IF((DiscreteStatsTable[[#This Row],[RepsRequested]]&gt;1),DiscreteStatsTable[[#This Row],[HalfWidth]],DiscreteStatsTable[[#This Row],[BatchMeansHalfWidth]])</f>
        <v>1.0167886604041443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7</v>
      </c>
      <c r="D168" t="s">
        <v>86</v>
      </c>
      <c r="E168" t="s">
        <v>77</v>
      </c>
      <c r="F168" t="s">
        <v>78</v>
      </c>
      <c r="G168">
        <v>0</v>
      </c>
      <c r="H168">
        <v>2E+20</v>
      </c>
      <c r="I168">
        <v>0</v>
      </c>
      <c r="J168">
        <v>0</v>
      </c>
      <c r="K168">
        <v>67</v>
      </c>
      <c r="L168" s="5" t="str">
        <f>DiscreteStatsTable[[#This Row],[ProjectName]]&amp;DiscreteStatsTable[[#This Row],[Name]]&amp;DiscreteStatsTable[[#This Row],[Type]]&amp;DiscreteStatsTable[[#This Row],[Source]]</f>
        <v>Unnamed ProjectcpieNVA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67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7</v>
      </c>
      <c r="D169" t="s">
        <v>86</v>
      </c>
      <c r="E169" t="s">
        <v>79</v>
      </c>
      <c r="F169" t="s">
        <v>78</v>
      </c>
      <c r="G169">
        <v>0</v>
      </c>
      <c r="H169">
        <v>2E+20</v>
      </c>
      <c r="I169">
        <v>0</v>
      </c>
      <c r="J169">
        <v>0</v>
      </c>
      <c r="K169">
        <v>67</v>
      </c>
      <c r="L169" s="5" t="str">
        <f>DiscreteStatsTable[[#This Row],[ProjectName]]&amp;DiscreteStatsTable[[#This Row],[Name]]&amp;DiscreteStatsTable[[#This Row],[Type]]&amp;DiscreteStatsTable[[#This Row],[Source]]</f>
        <v>Unnamed ProjectcpieOther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67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7</v>
      </c>
      <c r="D170" t="s">
        <v>86</v>
      </c>
      <c r="E170" t="s">
        <v>80</v>
      </c>
      <c r="F170" t="s">
        <v>78</v>
      </c>
      <c r="G170">
        <v>30.378524939216401</v>
      </c>
      <c r="H170">
        <v>2E+20</v>
      </c>
      <c r="I170">
        <v>20.871327774422902</v>
      </c>
      <c r="J170">
        <v>50.860776250669304</v>
      </c>
      <c r="K170">
        <v>67</v>
      </c>
      <c r="L170" s="5" t="str">
        <f>DiscreteStatsTable[[#This Row],[ProjectName]]&amp;DiscreteStatsTable[[#This Row],[Name]]&amp;DiscreteStatsTable[[#This Row],[Type]]&amp;DiscreteStatsTable[[#This Row],[Source]]</f>
        <v>Unnamed ProjectcpieTotal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30.710008191377348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1.2576143694971798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0.89964312426775084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28.925581864127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32.505934667489903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18.519681455649799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58.876806417318797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67</v>
      </c>
      <c r="W170" s="5">
        <f>IF((DiscreteStatsTable[[#This Row],[RepsRequested]]&gt;1),DiscreteStatsTable[[#This Row],[HalfWidth]],DiscreteStatsTable[[#This Row],[BatchMeansHalfWidth]])</f>
        <v>0.89964312426775084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7</v>
      </c>
      <c r="D171" t="s">
        <v>86</v>
      </c>
      <c r="E171" t="s">
        <v>81</v>
      </c>
      <c r="F171" t="s">
        <v>78</v>
      </c>
      <c r="G171">
        <v>2.2752718545986501</v>
      </c>
      <c r="H171">
        <v>2E+20</v>
      </c>
      <c r="I171">
        <v>0.61932084987915903</v>
      </c>
      <c r="J171">
        <v>5.6131335015737003</v>
      </c>
      <c r="K171">
        <v>67</v>
      </c>
      <c r="L171" s="5" t="str">
        <f>DiscreteStatsTable[[#This Row],[ProjectName]]&amp;DiscreteStatsTable[[#This Row],[Name]]&amp;DiscreteStatsTable[[#This Row],[Type]]&amp;DiscreteStatsTable[[#This Row],[Source]]</f>
        <v>Unnamed ProjectcpieTransfer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2.4077000562047193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0.16813248169061223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0.12027473189536579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2.0140315890509899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2.55700117291943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0.26876574377970303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9.9374909967615004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67</v>
      </c>
      <c r="W171" s="5">
        <f>IF((DiscreteStatsTable[[#This Row],[RepsRequested]]&gt;1),DiscreteStatsTable[[#This Row],[HalfWidth]],DiscreteStatsTable[[#This Row],[BatchMeansHalfWidth]])</f>
        <v>0.12027473189536579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7</v>
      </c>
      <c r="D172" t="s">
        <v>86</v>
      </c>
      <c r="E172" t="s">
        <v>82</v>
      </c>
      <c r="F172" t="s">
        <v>78</v>
      </c>
      <c r="G172">
        <v>26.361767472037901</v>
      </c>
      <c r="H172">
        <v>2E+20</v>
      </c>
      <c r="I172">
        <v>17.709105136584299</v>
      </c>
      <c r="J172">
        <v>35.433669609503298</v>
      </c>
      <c r="K172">
        <v>67</v>
      </c>
      <c r="L172" s="5" t="str">
        <f>DiscreteStatsTable[[#This Row],[ProjectName]]&amp;DiscreteStatsTable[[#This Row],[Name]]&amp;DiscreteStatsTable[[#This Row],[Type]]&amp;DiscreteStatsTable[[#This Row],[Source]]</f>
        <v>Unnamed ProjectcpieVA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10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25.471029076100852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0.63993887194480858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0.45778469144479561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24.657838117625399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26.361767472037901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15.8969173608491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35.759788120996703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67</v>
      </c>
      <c r="W172" s="5">
        <f>IF((DiscreteStatsTable[[#This Row],[RepsRequested]]&gt;1),DiscreteStatsTable[[#This Row],[HalfWidth]],DiscreteStatsTable[[#This Row],[BatchMeansHalfWidth]])</f>
        <v>0.45778469144479561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10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7</v>
      </c>
      <c r="D173" t="s">
        <v>86</v>
      </c>
      <c r="E173" t="s">
        <v>83</v>
      </c>
      <c r="F173" t="s">
        <v>78</v>
      </c>
      <c r="G173">
        <v>1.7414856125798399</v>
      </c>
      <c r="H173">
        <v>2E+20</v>
      </c>
      <c r="I173">
        <v>0</v>
      </c>
      <c r="J173">
        <v>20.440974705602599</v>
      </c>
      <c r="K173">
        <v>67</v>
      </c>
      <c r="L173" s="5" t="str">
        <f>DiscreteStatsTable[[#This Row],[ProjectName]]&amp;DiscreteStatsTable[[#This Row],[Name]]&amp;DiscreteStatsTable[[#This Row],[Type]]&amp;DiscreteStatsTable[[#This Row],[Source]]</f>
        <v>Unnamed ProjectcpieWait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10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2.8312790590717629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1.4213725371455919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1.0167886604041443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1.12606854775072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5.39412105784809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25.526730890480898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67</v>
      </c>
      <c r="W173" s="5">
        <f>IF((DiscreteStatsTable[[#This Row],[RepsRequested]]&gt;1),DiscreteStatsTable[[#This Row],[HalfWidth]],DiscreteStatsTable[[#This Row],[BatchMeansHalfWidth]])</f>
        <v>1.0167886604041443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10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8</v>
      </c>
      <c r="D174" t="s">
        <v>86</v>
      </c>
      <c r="E174" t="s">
        <v>77</v>
      </c>
      <c r="F174" t="s">
        <v>78</v>
      </c>
      <c r="G174">
        <v>0</v>
      </c>
      <c r="H174">
        <v>2E+20</v>
      </c>
      <c r="I174">
        <v>0</v>
      </c>
      <c r="J174">
        <v>0</v>
      </c>
      <c r="K174">
        <v>60</v>
      </c>
      <c r="L174" s="5" t="str">
        <f>DiscreteStatsTable[[#This Row],[ProjectName]]&amp;DiscreteStatsTable[[#This Row],[Name]]&amp;DiscreteStatsTable[[#This Row],[Type]]&amp;DiscreteStatsTable[[#This Row],[Source]]</f>
        <v>Unnamed ProjectcpieNVA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10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67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10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8</v>
      </c>
      <c r="D175" t="s">
        <v>86</v>
      </c>
      <c r="E175" t="s">
        <v>79</v>
      </c>
      <c r="F175" t="s">
        <v>78</v>
      </c>
      <c r="G175">
        <v>0</v>
      </c>
      <c r="H175">
        <v>2E+20</v>
      </c>
      <c r="I175">
        <v>0</v>
      </c>
      <c r="J175">
        <v>0</v>
      </c>
      <c r="K175">
        <v>60</v>
      </c>
      <c r="L175" s="5" t="str">
        <f>DiscreteStatsTable[[#This Row],[ProjectName]]&amp;DiscreteStatsTable[[#This Row],[Name]]&amp;DiscreteStatsTable[[#This Row],[Type]]&amp;DiscreteStatsTable[[#This Row],[Source]]</f>
        <v>Unnamed ProjectcpieOther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10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67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10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8</v>
      </c>
      <c r="D176" t="s">
        <v>86</v>
      </c>
      <c r="E176" t="s">
        <v>80</v>
      </c>
      <c r="F176" t="s">
        <v>78</v>
      </c>
      <c r="G176">
        <v>29.860344290729898</v>
      </c>
      <c r="H176">
        <v>2E+20</v>
      </c>
      <c r="I176">
        <v>19.234663120327099</v>
      </c>
      <c r="J176">
        <v>50.413010826269897</v>
      </c>
      <c r="K176">
        <v>60</v>
      </c>
      <c r="L176" s="5" t="str">
        <f>DiscreteStatsTable[[#This Row],[ProjectName]]&amp;DiscreteStatsTable[[#This Row],[Name]]&amp;DiscreteStatsTable[[#This Row],[Type]]&amp;DiscreteStatsTable[[#This Row],[Source]]</f>
        <v>Unnamed ProjectcpieTotal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10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30.710008191377348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1.2576143694971798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0.89964312426775084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28.925581864127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32.505934667489903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18.519681455649799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58.876806417318797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67</v>
      </c>
      <c r="W176" s="5">
        <f>IF((DiscreteStatsTable[[#This Row],[RepsRequested]]&gt;1),DiscreteStatsTable[[#This Row],[HalfWidth]],DiscreteStatsTable[[#This Row],[BatchMeansHalfWidth]])</f>
        <v>0.89964312426775084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10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8</v>
      </c>
      <c r="D177" t="s">
        <v>86</v>
      </c>
      <c r="E177" t="s">
        <v>81</v>
      </c>
      <c r="F177" t="s">
        <v>78</v>
      </c>
      <c r="G177">
        <v>2.3912959839482402</v>
      </c>
      <c r="H177">
        <v>2E+20</v>
      </c>
      <c r="I177">
        <v>0.56571502849635602</v>
      </c>
      <c r="J177">
        <v>5.5144288768279903</v>
      </c>
      <c r="K177">
        <v>60</v>
      </c>
      <c r="L177" s="5" t="str">
        <f>DiscreteStatsTable[[#This Row],[ProjectName]]&amp;DiscreteStatsTable[[#This Row],[Name]]&amp;DiscreteStatsTable[[#This Row],[Type]]&amp;DiscreteStatsTable[[#This Row],[Source]]</f>
        <v>Unnamed ProjectcpieTransfer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10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2.4077000562047193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0.16813248169061223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0.12027473189536579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2.0140315890509899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2.55700117291943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0.26876574377970303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9.9374909967615004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67</v>
      </c>
      <c r="W177" s="5">
        <f>IF((DiscreteStatsTable[[#This Row],[RepsRequested]]&gt;1),DiscreteStatsTable[[#This Row],[HalfWidth]],DiscreteStatsTable[[#This Row],[BatchMeansHalfWidth]])</f>
        <v>0.12027473189536579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10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8</v>
      </c>
      <c r="D178" t="s">
        <v>86</v>
      </c>
      <c r="E178" t="s">
        <v>82</v>
      </c>
      <c r="F178" t="s">
        <v>78</v>
      </c>
      <c r="G178">
        <v>25.899355000924398</v>
      </c>
      <c r="H178">
        <v>2E+20</v>
      </c>
      <c r="I178">
        <v>17.9918209320671</v>
      </c>
      <c r="J178">
        <v>34.059327069541403</v>
      </c>
      <c r="K178">
        <v>60</v>
      </c>
      <c r="L178" s="5" t="str">
        <f>DiscreteStatsTable[[#This Row],[ProjectName]]&amp;DiscreteStatsTable[[#This Row],[Name]]&amp;DiscreteStatsTable[[#This Row],[Type]]&amp;DiscreteStatsTable[[#This Row],[Source]]</f>
        <v>Unnamed ProjectcpieVA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10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25.471029076100852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0.63993887194480858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0.45778469144479561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24.657838117625399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26.361767472037901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15.8969173608491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35.759788120996703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67</v>
      </c>
      <c r="W178" s="5">
        <f>IF((DiscreteStatsTable[[#This Row],[RepsRequested]]&gt;1),DiscreteStatsTable[[#This Row],[HalfWidth]],DiscreteStatsTable[[#This Row],[BatchMeansHalfWidth]])</f>
        <v>0.45778469144479561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10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8</v>
      </c>
      <c r="D179" t="s">
        <v>86</v>
      </c>
      <c r="E179" t="s">
        <v>83</v>
      </c>
      <c r="F179" t="s">
        <v>78</v>
      </c>
      <c r="G179">
        <v>1.5696933058572999</v>
      </c>
      <c r="H179">
        <v>2E+20</v>
      </c>
      <c r="I179">
        <v>0</v>
      </c>
      <c r="J179">
        <v>19.3194649926713</v>
      </c>
      <c r="K179">
        <v>60</v>
      </c>
      <c r="L179" s="5" t="str">
        <f>DiscreteStatsTable[[#This Row],[ProjectName]]&amp;DiscreteStatsTable[[#This Row],[Name]]&amp;DiscreteStatsTable[[#This Row],[Type]]&amp;DiscreteStatsTable[[#This Row],[Source]]</f>
        <v>Unnamed ProjectcpieWait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10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2.8312790590717629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1.4213725371455919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1.0167886604041443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1.12606854775072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5.39412105784809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25.526730890480898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67</v>
      </c>
      <c r="W179" s="5">
        <f>IF((DiscreteStatsTable[[#This Row],[RepsRequested]]&gt;1),DiscreteStatsTable[[#This Row],[HalfWidth]],DiscreteStatsTable[[#This Row],[BatchMeansHalfWidth]])</f>
        <v>1.0167886604041443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10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9</v>
      </c>
      <c r="D180" t="s">
        <v>86</v>
      </c>
      <c r="E180" t="s">
        <v>77</v>
      </c>
      <c r="F180" t="s">
        <v>78</v>
      </c>
      <c r="G180">
        <v>0</v>
      </c>
      <c r="H180">
        <v>2E+20</v>
      </c>
      <c r="I180">
        <v>0</v>
      </c>
      <c r="J180">
        <v>0</v>
      </c>
      <c r="K180">
        <v>92</v>
      </c>
      <c r="L180" s="5" t="str">
        <f>DiscreteStatsTable[[#This Row],[ProjectName]]&amp;DiscreteStatsTable[[#This Row],[Name]]&amp;DiscreteStatsTable[[#This Row],[Type]]&amp;DiscreteStatsTable[[#This Row],[Source]]</f>
        <v>Unnamed ProjectcpieNVA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10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67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10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9</v>
      </c>
      <c r="D181" t="s">
        <v>86</v>
      </c>
      <c r="E181" t="s">
        <v>79</v>
      </c>
      <c r="F181" t="s">
        <v>78</v>
      </c>
      <c r="G181">
        <v>0</v>
      </c>
      <c r="H181">
        <v>2E+20</v>
      </c>
      <c r="I181">
        <v>0</v>
      </c>
      <c r="J181">
        <v>0</v>
      </c>
      <c r="K181">
        <v>92</v>
      </c>
      <c r="L181" s="5" t="str">
        <f>DiscreteStatsTable[[#This Row],[ProjectName]]&amp;DiscreteStatsTable[[#This Row],[Name]]&amp;DiscreteStatsTable[[#This Row],[Type]]&amp;DiscreteStatsTable[[#This Row],[Source]]</f>
        <v>Unnamed ProjectcpieOther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10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67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10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9</v>
      </c>
      <c r="D182" t="s">
        <v>86</v>
      </c>
      <c r="E182" t="s">
        <v>80</v>
      </c>
      <c r="F182" t="s">
        <v>78</v>
      </c>
      <c r="G182">
        <v>32.259505612983503</v>
      </c>
      <c r="H182">
        <v>2E+20</v>
      </c>
      <c r="I182">
        <v>18.834088937050598</v>
      </c>
      <c r="J182">
        <v>58.876806417318797</v>
      </c>
      <c r="K182">
        <v>92</v>
      </c>
      <c r="L182" s="5" t="str">
        <f>DiscreteStatsTable[[#This Row],[ProjectName]]&amp;DiscreteStatsTable[[#This Row],[Name]]&amp;DiscreteStatsTable[[#This Row],[Type]]&amp;DiscreteStatsTable[[#This Row],[Source]]</f>
        <v>Unnamed ProjectcpieTotal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10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30.710008191377348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1.2576143694971798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0.89964312426775084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28.925581864127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32.505934667489903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18.519681455649799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58.876806417318797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67</v>
      </c>
      <c r="W182" s="5">
        <f>IF((DiscreteStatsTable[[#This Row],[RepsRequested]]&gt;1),DiscreteStatsTable[[#This Row],[HalfWidth]],DiscreteStatsTable[[#This Row],[BatchMeansHalfWidth]])</f>
        <v>0.89964312426775084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10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9</v>
      </c>
      <c r="D183" t="s">
        <v>86</v>
      </c>
      <c r="E183" t="s">
        <v>81</v>
      </c>
      <c r="F183" t="s">
        <v>78</v>
      </c>
      <c r="G183">
        <v>2.5098588119586598</v>
      </c>
      <c r="H183">
        <v>2E+20</v>
      </c>
      <c r="I183">
        <v>0.56498349380007096</v>
      </c>
      <c r="J183">
        <v>5.7956378624934404</v>
      </c>
      <c r="K183">
        <v>92</v>
      </c>
      <c r="L183" s="5" t="str">
        <f>DiscreteStatsTable[[#This Row],[ProjectName]]&amp;DiscreteStatsTable[[#This Row],[Name]]&amp;DiscreteStatsTable[[#This Row],[Type]]&amp;DiscreteStatsTable[[#This Row],[Source]]</f>
        <v>Unnamed ProjectcpieTransfer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10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2.4077000562047193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0.16813248169061223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0.12027473189536579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2.0140315890509899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2.55700117291943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0.26876574377970303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9.9374909967615004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67</v>
      </c>
      <c r="W183" s="5">
        <f>IF((DiscreteStatsTable[[#This Row],[RepsRequested]]&gt;1),DiscreteStatsTable[[#This Row],[HalfWidth]],DiscreteStatsTable[[#This Row],[BatchMeansHalfWidth]])</f>
        <v>0.12027473189536579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10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9</v>
      </c>
      <c r="D184" t="s">
        <v>86</v>
      </c>
      <c r="E184" t="s">
        <v>82</v>
      </c>
      <c r="F184" t="s">
        <v>78</v>
      </c>
      <c r="G184">
        <v>25.0200590733746</v>
      </c>
      <c r="H184">
        <v>2E+20</v>
      </c>
      <c r="I184">
        <v>15.8969173608491</v>
      </c>
      <c r="J184">
        <v>34.441618434594503</v>
      </c>
      <c r="K184">
        <v>92</v>
      </c>
      <c r="L184" s="5" t="str">
        <f>DiscreteStatsTable[[#This Row],[ProjectName]]&amp;DiscreteStatsTable[[#This Row],[Name]]&amp;DiscreteStatsTable[[#This Row],[Type]]&amp;DiscreteStatsTable[[#This Row],[Source]]</f>
        <v>Unnamed ProjectcpieVA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10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25.471029076100852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0.63993887194480858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0.45778469144479561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24.657838117625399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26.361767472037901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15.8969173608491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35.759788120996703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67</v>
      </c>
      <c r="W184" s="5">
        <f>IF((DiscreteStatsTable[[#This Row],[RepsRequested]]&gt;1),DiscreteStatsTable[[#This Row],[HalfWidth]],DiscreteStatsTable[[#This Row],[BatchMeansHalfWidth]])</f>
        <v>0.45778469144479561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10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9</v>
      </c>
      <c r="D185" t="s">
        <v>86</v>
      </c>
      <c r="E185" t="s">
        <v>83</v>
      </c>
      <c r="F185" t="s">
        <v>78</v>
      </c>
      <c r="G185">
        <v>4.7295877276502196</v>
      </c>
      <c r="H185">
        <v>2E+20</v>
      </c>
      <c r="I185">
        <v>0</v>
      </c>
      <c r="J185">
        <v>25.526730890480898</v>
      </c>
      <c r="K185">
        <v>92</v>
      </c>
      <c r="L185" s="5" t="str">
        <f>DiscreteStatsTable[[#This Row],[ProjectName]]&amp;DiscreteStatsTable[[#This Row],[Name]]&amp;DiscreteStatsTable[[#This Row],[Type]]&amp;DiscreteStatsTable[[#This Row],[Source]]</f>
        <v>Unnamed ProjectcpieWait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10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2.8312790590717629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1.4213725371455919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1.0167886604041443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1.12606854775072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5.39412105784809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25.526730890480898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67</v>
      </c>
      <c r="W185" s="5">
        <f>IF((DiscreteStatsTable[[#This Row],[RepsRequested]]&gt;1),DiscreteStatsTable[[#This Row],[HalfWidth]],DiscreteStatsTable[[#This Row],[BatchMeansHalfWidth]])</f>
        <v>1.0167886604041443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10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10</v>
      </c>
      <c r="D186" t="s">
        <v>86</v>
      </c>
      <c r="E186" t="s">
        <v>77</v>
      </c>
      <c r="F186" t="s">
        <v>78</v>
      </c>
      <c r="G186">
        <v>0</v>
      </c>
      <c r="H186">
        <v>2E+20</v>
      </c>
      <c r="I186">
        <v>0</v>
      </c>
      <c r="J186">
        <v>0</v>
      </c>
      <c r="K186">
        <v>66</v>
      </c>
      <c r="L186" s="5" t="str">
        <f>DiscreteStatsTable[[#This Row],[ProjectName]]&amp;DiscreteStatsTable[[#This Row],[Name]]&amp;DiscreteStatsTable[[#This Row],[Type]]&amp;DiscreteStatsTable[[#This Row],[Source]]</f>
        <v>Unnamed ProjectcpieNVA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10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67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10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10</v>
      </c>
      <c r="D187" t="s">
        <v>86</v>
      </c>
      <c r="E187" t="s">
        <v>79</v>
      </c>
      <c r="F187" t="s">
        <v>78</v>
      </c>
      <c r="G187">
        <v>0</v>
      </c>
      <c r="H187">
        <v>2E+20</v>
      </c>
      <c r="I187">
        <v>0</v>
      </c>
      <c r="J187">
        <v>0</v>
      </c>
      <c r="K187">
        <v>66</v>
      </c>
      <c r="L187" s="5" t="str">
        <f>DiscreteStatsTable[[#This Row],[ProjectName]]&amp;DiscreteStatsTable[[#This Row],[Name]]&amp;DiscreteStatsTable[[#This Row],[Type]]&amp;DiscreteStatsTable[[#This Row],[Source]]</f>
        <v>Unnamed ProjectcpieOther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10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67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10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10</v>
      </c>
      <c r="D188" t="s">
        <v>86</v>
      </c>
      <c r="E188" t="s">
        <v>80</v>
      </c>
      <c r="F188" t="s">
        <v>78</v>
      </c>
      <c r="G188">
        <v>32.505934667489903</v>
      </c>
      <c r="H188">
        <v>2E+20</v>
      </c>
      <c r="I188">
        <v>21.041192732331702</v>
      </c>
      <c r="J188">
        <v>58.182881140125303</v>
      </c>
      <c r="K188">
        <v>66</v>
      </c>
      <c r="L188" s="5" t="str">
        <f>DiscreteStatsTable[[#This Row],[ProjectName]]&amp;DiscreteStatsTable[[#This Row],[Name]]&amp;DiscreteStatsTable[[#This Row],[Type]]&amp;DiscreteStatsTable[[#This Row],[Source]]</f>
        <v>Unnamed ProjectcpieTotal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10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30.710008191377348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1.2576143694971798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0.89964312426775084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28.925581864127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32.505934667489903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18.519681455649799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58.876806417318797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67</v>
      </c>
      <c r="W188" s="5">
        <f>IF((DiscreteStatsTable[[#This Row],[RepsRequested]]&gt;1),DiscreteStatsTable[[#This Row],[HalfWidth]],DiscreteStatsTable[[#This Row],[BatchMeansHalfWidth]])</f>
        <v>0.89964312426775084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10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10</v>
      </c>
      <c r="D189" t="s">
        <v>86</v>
      </c>
      <c r="E189" t="s">
        <v>81</v>
      </c>
      <c r="F189" t="s">
        <v>78</v>
      </c>
      <c r="G189">
        <v>2.4539754920163501</v>
      </c>
      <c r="H189">
        <v>2E+20</v>
      </c>
      <c r="I189">
        <v>0.63057251452601504</v>
      </c>
      <c r="J189">
        <v>8.5661101285732393</v>
      </c>
      <c r="K189">
        <v>66</v>
      </c>
      <c r="L189" s="5" t="str">
        <f>DiscreteStatsTable[[#This Row],[ProjectName]]&amp;DiscreteStatsTable[[#This Row],[Name]]&amp;DiscreteStatsTable[[#This Row],[Type]]&amp;DiscreteStatsTable[[#This Row],[Source]]</f>
        <v>Unnamed ProjectcpieTransfer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10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2.4077000562047193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0.16813248169061223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0.12027473189536579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2.0140315890509899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2.55700117291943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0.26876574377970303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9.9374909967615004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67</v>
      </c>
      <c r="W189" s="5">
        <f>IF((DiscreteStatsTable[[#This Row],[RepsRequested]]&gt;1),DiscreteStatsTable[[#This Row],[HalfWidth]],DiscreteStatsTable[[#This Row],[BatchMeansHalfWidth]])</f>
        <v>0.12027473189536579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10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10</v>
      </c>
      <c r="D190" t="s">
        <v>86</v>
      </c>
      <c r="E190" t="s">
        <v>82</v>
      </c>
      <c r="F190" t="s">
        <v>78</v>
      </c>
      <c r="G190">
        <v>24.657838117625399</v>
      </c>
      <c r="H190">
        <v>2E+20</v>
      </c>
      <c r="I190">
        <v>16.323316741760699</v>
      </c>
      <c r="J190">
        <v>32.893398534990801</v>
      </c>
      <c r="K190">
        <v>66</v>
      </c>
      <c r="L190" s="5" t="str">
        <f>DiscreteStatsTable[[#This Row],[ProjectName]]&amp;DiscreteStatsTable[[#This Row],[Name]]&amp;DiscreteStatsTable[[#This Row],[Type]]&amp;DiscreteStatsTable[[#This Row],[Source]]</f>
        <v>Unnamed ProjectcpieVA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10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25.471029076100852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0.63993887194480858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0.45778469144479561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24.657838117625399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26.361767472037901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15.8969173608491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35.759788120996703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67</v>
      </c>
      <c r="W190" s="5">
        <f>IF((DiscreteStatsTable[[#This Row],[RepsRequested]]&gt;1),DiscreteStatsTable[[#This Row],[HalfWidth]],DiscreteStatsTable[[#This Row],[BatchMeansHalfWidth]])</f>
        <v>0.45778469144479561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10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86</v>
      </c>
      <c r="E191" t="s">
        <v>83</v>
      </c>
      <c r="F191" t="s">
        <v>78</v>
      </c>
      <c r="G191">
        <v>5.39412105784809</v>
      </c>
      <c r="H191">
        <v>2E+20</v>
      </c>
      <c r="I191">
        <v>0</v>
      </c>
      <c r="J191">
        <v>25.4300450577371</v>
      </c>
      <c r="K191">
        <v>66</v>
      </c>
      <c r="L191" s="5" t="str">
        <f>DiscreteStatsTable[[#This Row],[ProjectName]]&amp;DiscreteStatsTable[[#This Row],[Name]]&amp;DiscreteStatsTable[[#This Row],[Type]]&amp;DiscreteStatsTable[[#This Row],[Source]]</f>
        <v>Unnamed ProjectcpieWait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10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2.8312790590717629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1.4213725371455919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1.0167886604041443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1.12606854775072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5.39412105784809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25.526730890480898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67</v>
      </c>
      <c r="W191" s="5">
        <f>IF((DiscreteStatsTable[[#This Row],[RepsRequested]]&gt;1),DiscreteStatsTable[[#This Row],[HalfWidth]],DiscreteStatsTable[[#This Row],[BatchMeansHalfWidth]])</f>
        <v>1.0167886604041443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10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</v>
      </c>
      <c r="D192" t="s">
        <v>69</v>
      </c>
      <c r="E192" t="s">
        <v>70</v>
      </c>
      <c r="F192" t="s">
        <v>71</v>
      </c>
      <c r="G192">
        <v>31.070068980216998</v>
      </c>
      <c r="H192">
        <v>2E+20</v>
      </c>
      <c r="I192">
        <v>18.004440220051698</v>
      </c>
      <c r="J192">
        <v>50.906211260051201</v>
      </c>
      <c r="K192">
        <v>204</v>
      </c>
      <c r="L192" s="5" t="str">
        <f>DiscreteStatsTable[[#This Row],[ProjectName]]&amp;DiscreteStatsTable[[#This Row],[Name]]&amp;DiscreteStatsTable[[#This Row],[Type]]&amp;DiscreteStatsTable[[#This Row],[Source]]</f>
        <v>Unnamed ProjectIntervaloIntervalUser Specified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10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32.16980212320518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1.5026667439362524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1.0749430326472504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29.816383413619299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34.496974950564898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16.9612949634746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60.085510848846901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190.4</v>
      </c>
      <c r="W192" s="5">
        <f>IF((DiscreteStatsTable[[#This Row],[RepsRequested]]&gt;1),DiscreteStatsTable[[#This Row],[HalfWidth]],DiscreteStatsTable[[#This Row],[BatchMeansHalfWidth]])</f>
        <v>1.0749430326472504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10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2</v>
      </c>
      <c r="D193" t="s">
        <v>69</v>
      </c>
      <c r="E193" t="s">
        <v>70</v>
      </c>
      <c r="F193" t="s">
        <v>71</v>
      </c>
      <c r="G193">
        <v>31.648224990445101</v>
      </c>
      <c r="H193">
        <v>2E+20</v>
      </c>
      <c r="I193">
        <v>16.9612949634746</v>
      </c>
      <c r="J193">
        <v>56.9011641063124</v>
      </c>
      <c r="K193">
        <v>182</v>
      </c>
      <c r="L193" s="5" t="str">
        <f>DiscreteStatsTable[[#This Row],[ProjectName]]&amp;DiscreteStatsTable[[#This Row],[Name]]&amp;DiscreteStatsTable[[#This Row],[Type]]&amp;DiscreteStatsTable[[#This Row],[Source]]</f>
        <v>Unnamed ProjectIntervaloIntervalUser Specified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10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32.16980212320518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1.5026667439362524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1.0749430326472504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29.816383413619299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34.496974950564898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16.9612949634746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60.085510848846901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190.4</v>
      </c>
      <c r="W193" s="5">
        <f>IF((DiscreteStatsTable[[#This Row],[RepsRequested]]&gt;1),DiscreteStatsTable[[#This Row],[HalfWidth]],DiscreteStatsTable[[#This Row],[BatchMeansHalfWidth]])</f>
        <v>1.0749430326472504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10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3</v>
      </c>
      <c r="D194" t="s">
        <v>69</v>
      </c>
      <c r="E194" t="s">
        <v>70</v>
      </c>
      <c r="F194" t="s">
        <v>71</v>
      </c>
      <c r="G194">
        <v>29.816383413619299</v>
      </c>
      <c r="H194">
        <v>2E+20</v>
      </c>
      <c r="I194">
        <v>19.3400259068592</v>
      </c>
      <c r="J194">
        <v>49.927750451978099</v>
      </c>
      <c r="K194">
        <v>183</v>
      </c>
      <c r="L194" s="5" t="str">
        <f>DiscreteStatsTable[[#This Row],[ProjectName]]&amp;DiscreteStatsTable[[#This Row],[Name]]&amp;DiscreteStatsTable[[#This Row],[Type]]&amp;DiscreteStatsTable[[#This Row],[Source]]</f>
        <v>Unnamed ProjectIntervaloIntervalUser Specified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10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32.16980212320518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1.5026667439362524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1.0749430326472504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29.816383413619299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34.496974950564898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16.9612949634746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60.085510848846901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190.4</v>
      </c>
      <c r="W194" s="5">
        <f>IF((DiscreteStatsTable[[#This Row],[RepsRequested]]&gt;1),DiscreteStatsTable[[#This Row],[HalfWidth]],DiscreteStatsTable[[#This Row],[BatchMeansHalfWidth]])</f>
        <v>1.0749430326472504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10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4</v>
      </c>
      <c r="D195" t="s">
        <v>69</v>
      </c>
      <c r="E195" t="s">
        <v>70</v>
      </c>
      <c r="F195" t="s">
        <v>71</v>
      </c>
      <c r="G195">
        <v>31.0639382706532</v>
      </c>
      <c r="H195">
        <v>2E+20</v>
      </c>
      <c r="I195">
        <v>18.519681455649799</v>
      </c>
      <c r="J195">
        <v>54.111347046278098</v>
      </c>
      <c r="K195">
        <v>180</v>
      </c>
      <c r="L195" s="5" t="str">
        <f>DiscreteStatsTable[[#This Row],[ProjectName]]&amp;DiscreteStatsTable[[#This Row],[Name]]&amp;DiscreteStatsTable[[#This Row],[Type]]&amp;DiscreteStatsTable[[#This Row],[Source]]</f>
        <v>Unnamed ProjectIntervaloIntervalUser Specified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10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32.16980212320518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1.5026667439362524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1.0749430326472504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29.816383413619299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34.496974950564898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16.9612949634746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60.085510848846901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190.4</v>
      </c>
      <c r="W195" s="5">
        <f>IF((DiscreteStatsTable[[#This Row],[RepsRequested]]&gt;1),DiscreteStatsTable[[#This Row],[HalfWidth]],DiscreteStatsTable[[#This Row],[BatchMeansHalfWidth]])</f>
        <v>1.0749430326472504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10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5</v>
      </c>
      <c r="D196" t="s">
        <v>69</v>
      </c>
      <c r="E196" t="s">
        <v>70</v>
      </c>
      <c r="F196" t="s">
        <v>71</v>
      </c>
      <c r="G196">
        <v>33.409034009018697</v>
      </c>
      <c r="H196">
        <v>2E+20</v>
      </c>
      <c r="I196">
        <v>18.084302520493001</v>
      </c>
      <c r="J196">
        <v>55.6917325795621</v>
      </c>
      <c r="K196">
        <v>198</v>
      </c>
      <c r="L196" s="5" t="str">
        <f>DiscreteStatsTable[[#This Row],[ProjectName]]&amp;DiscreteStatsTable[[#This Row],[Name]]&amp;DiscreteStatsTable[[#This Row],[Type]]&amp;DiscreteStatsTable[[#This Row],[Source]]</f>
        <v>Unnamed ProjectIntervaloIntervalUser Specified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10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32.16980212320518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1.5026667439362524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1.0749430326472504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29.816383413619299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34.496974950564898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16.9612949634746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60.085510848846901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190.4</v>
      </c>
      <c r="W196" s="5">
        <f>IF((DiscreteStatsTable[[#This Row],[RepsRequested]]&gt;1),DiscreteStatsTable[[#This Row],[HalfWidth]],DiscreteStatsTable[[#This Row],[BatchMeansHalfWidth]])</f>
        <v>1.0749430326472504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10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6</v>
      </c>
      <c r="D197" t="s">
        <v>69</v>
      </c>
      <c r="E197" t="s">
        <v>70</v>
      </c>
      <c r="F197" t="s">
        <v>71</v>
      </c>
      <c r="G197">
        <v>32.459709296626102</v>
      </c>
      <c r="H197">
        <v>2E+20</v>
      </c>
      <c r="I197">
        <v>17.1645142804181</v>
      </c>
      <c r="J197">
        <v>56.724274024402902</v>
      </c>
      <c r="K197">
        <v>199</v>
      </c>
      <c r="L197" s="5" t="str">
        <f>DiscreteStatsTable[[#This Row],[ProjectName]]&amp;DiscreteStatsTable[[#This Row],[Name]]&amp;DiscreteStatsTable[[#This Row],[Type]]&amp;DiscreteStatsTable[[#This Row],[Source]]</f>
        <v>Unnamed ProjectIntervaloIntervalUser Specified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10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32.16980212320518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1.5026667439362524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1.0749430326472504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29.816383413619299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34.496974950564898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16.9612949634746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60.085510848846901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190.4</v>
      </c>
      <c r="W197" s="5">
        <f>IF((DiscreteStatsTable[[#This Row],[RepsRequested]]&gt;1),DiscreteStatsTable[[#This Row],[HalfWidth]],DiscreteStatsTable[[#This Row],[BatchMeansHalfWidth]])</f>
        <v>1.0749430326472504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10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7</v>
      </c>
      <c r="D198" t="s">
        <v>69</v>
      </c>
      <c r="E198" t="s">
        <v>70</v>
      </c>
      <c r="F198" t="s">
        <v>71</v>
      </c>
      <c r="G198">
        <v>31.7439812790149</v>
      </c>
      <c r="H198">
        <v>2E+20</v>
      </c>
      <c r="I198">
        <v>20.871327774422902</v>
      </c>
      <c r="J198">
        <v>53.190125922723396</v>
      </c>
      <c r="K198">
        <v>200</v>
      </c>
      <c r="L198" s="5" t="str">
        <f>DiscreteStatsTable[[#This Row],[ProjectName]]&amp;DiscreteStatsTable[[#This Row],[Name]]&amp;DiscreteStatsTable[[#This Row],[Type]]&amp;DiscreteStatsTable[[#This Row],[Source]]</f>
        <v>Unnamed ProjectIntervaloIntervalUser Specified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10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32.16980212320518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1.5026667439362524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1.0749430326472504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29.816383413619299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34.496974950564898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16.9612949634746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60.085510848846901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190.4</v>
      </c>
      <c r="W198" s="5">
        <f>IF((DiscreteStatsTable[[#This Row],[RepsRequested]]&gt;1),DiscreteStatsTable[[#This Row],[HalfWidth]],DiscreteStatsTable[[#This Row],[BatchMeansHalfWidth]])</f>
        <v>1.0749430326472504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10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8</v>
      </c>
      <c r="D199" t="s">
        <v>69</v>
      </c>
      <c r="E199" t="s">
        <v>70</v>
      </c>
      <c r="F199" t="s">
        <v>71</v>
      </c>
      <c r="G199">
        <v>31.6718111938902</v>
      </c>
      <c r="H199">
        <v>2E+20</v>
      </c>
      <c r="I199">
        <v>19.2230606975303</v>
      </c>
      <c r="J199">
        <v>54.881721659379402</v>
      </c>
      <c r="K199">
        <v>167</v>
      </c>
      <c r="L199" s="5" t="str">
        <f>DiscreteStatsTable[[#This Row],[ProjectName]]&amp;DiscreteStatsTable[[#This Row],[Name]]&amp;DiscreteStatsTable[[#This Row],[Type]]&amp;DiscreteStatsTable[[#This Row],[Source]]</f>
        <v>Unnamed ProjectIntervaloIntervalUser Specified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10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32.16980212320518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1.5026667439362524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1.0749430326472504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29.816383413619299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34.496974950564898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16.9612949634746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60.085510848846901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190.4</v>
      </c>
      <c r="W199" s="5">
        <f>IF((DiscreteStatsTable[[#This Row],[RepsRequested]]&gt;1),DiscreteStatsTable[[#This Row],[HalfWidth]],DiscreteStatsTable[[#This Row],[BatchMeansHalfWidth]])</f>
        <v>1.0749430326472504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10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9</v>
      </c>
      <c r="D200" t="s">
        <v>69</v>
      </c>
      <c r="E200" t="s">
        <v>70</v>
      </c>
      <c r="F200" t="s">
        <v>71</v>
      </c>
      <c r="G200">
        <v>34.496974950564898</v>
      </c>
      <c r="H200">
        <v>2E+20</v>
      </c>
      <c r="I200">
        <v>18.834088937050598</v>
      </c>
      <c r="J200">
        <v>58.876806417318797</v>
      </c>
      <c r="K200">
        <v>201</v>
      </c>
      <c r="L200" s="5" t="str">
        <f>DiscreteStatsTable[[#This Row],[ProjectName]]&amp;DiscreteStatsTable[[#This Row],[Name]]&amp;DiscreteStatsTable[[#This Row],[Type]]&amp;DiscreteStatsTable[[#This Row],[Source]]</f>
        <v>Unnamed ProjectIntervaloIntervalUser Specified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10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32.16980212320518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1.5026667439362524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1.0749430326472504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29.816383413619299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34.496974950564898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16.9612949634746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60.085510848846901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190.4</v>
      </c>
      <c r="W200" s="5">
        <f>IF((DiscreteStatsTable[[#This Row],[RepsRequested]]&gt;1),DiscreteStatsTable[[#This Row],[HalfWidth]],DiscreteStatsTable[[#This Row],[BatchMeansHalfWidth]])</f>
        <v>1.0749430326472504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10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10</v>
      </c>
      <c r="D201" t="s">
        <v>69</v>
      </c>
      <c r="E201" t="s">
        <v>70</v>
      </c>
      <c r="F201" t="s">
        <v>71</v>
      </c>
      <c r="G201">
        <v>34.317894848002403</v>
      </c>
      <c r="H201">
        <v>2E+20</v>
      </c>
      <c r="I201">
        <v>19.362190664085801</v>
      </c>
      <c r="J201">
        <v>60.085510848846901</v>
      </c>
      <c r="K201">
        <v>190</v>
      </c>
      <c r="L201" s="5" t="str">
        <f>DiscreteStatsTable[[#This Row],[ProjectName]]&amp;DiscreteStatsTable[[#This Row],[Name]]&amp;DiscreteStatsTable[[#This Row],[Type]]&amp;DiscreteStatsTable[[#This Row],[Source]]</f>
        <v>Unnamed ProjectIntervaloIntervalUser Specified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10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32.16980212320518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1.5026667439362524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1.0749430326472504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29.816383413619299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34.496974950564898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16.9612949634746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60.085510848846901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190.4</v>
      </c>
      <c r="W201" s="5">
        <f>IF((DiscreteStatsTable[[#This Row],[RepsRequested]]&gt;1),DiscreteStatsTable[[#This Row],[HalfWidth]],DiscreteStatsTable[[#This Row],[BatchMeansHalfWidth]])</f>
        <v>1.0749430326472504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10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1</v>
      </c>
      <c r="D202" t="s">
        <v>72</v>
      </c>
      <c r="E202" t="s">
        <v>73</v>
      </c>
      <c r="F202" t="s">
        <v>74</v>
      </c>
      <c r="G202">
        <v>3.0954418553948702</v>
      </c>
      <c r="H202">
        <v>2E+20</v>
      </c>
      <c r="I202">
        <v>0</v>
      </c>
      <c r="J202">
        <v>19.675047299443602</v>
      </c>
      <c r="K202">
        <v>230</v>
      </c>
      <c r="L202" s="5" t="str">
        <f>DiscreteStatsTable[[#This Row],[ProjectName]]&amp;DiscreteStatsTable[[#This Row],[Name]]&amp;DiscreteStatsTable[[#This Row],[Type]]&amp;DiscreteStatsTable[[#This Row],[Source]]</f>
        <v>Unnamed ProjectPedidosCobros.QueueWaiting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10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3.8298527546690715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1.3688445831849239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0.97921242578187129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1.72656470058578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5.7675146164842701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25.3173495921314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213.2</v>
      </c>
      <c r="W202" s="5">
        <f>IF((DiscreteStatsTable[[#This Row],[RepsRequested]]&gt;1),DiscreteStatsTable[[#This Row],[HalfWidth]],DiscreteStatsTable[[#This Row],[BatchMeansHalfWidth]])</f>
        <v>0.97921242578187129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10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</v>
      </c>
      <c r="D203" t="s">
        <v>72</v>
      </c>
      <c r="E203" t="s">
        <v>73</v>
      </c>
      <c r="F203" t="s">
        <v>74</v>
      </c>
      <c r="G203">
        <v>3.28286660259353</v>
      </c>
      <c r="H203">
        <v>2E+20</v>
      </c>
      <c r="I203">
        <v>0</v>
      </c>
      <c r="J203">
        <v>24.389606472168101</v>
      </c>
      <c r="K203">
        <v>198</v>
      </c>
      <c r="L203" s="5" t="str">
        <f>DiscreteStatsTable[[#This Row],[ProjectName]]&amp;DiscreteStatsTable[[#This Row],[Name]]&amp;DiscreteStatsTable[[#This Row],[Type]]&amp;DiscreteStatsTable[[#This Row],[Source]]</f>
        <v>Unnamed ProjectPedidosCobros.QueueWaiting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10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3.8298527546690715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1.3688445831849239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0.97921242578187129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1.72656470058578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5.7675146164842701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25.3173495921314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213.2</v>
      </c>
      <c r="W203" s="5">
        <f>IF((DiscreteStatsTable[[#This Row],[RepsRequested]]&gt;1),DiscreteStatsTable[[#This Row],[HalfWidth]],DiscreteStatsTable[[#This Row],[BatchMeansHalfWidth]])</f>
        <v>0.97921242578187129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10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3</v>
      </c>
      <c r="D204" t="s">
        <v>72</v>
      </c>
      <c r="E204" t="s">
        <v>73</v>
      </c>
      <c r="F204" t="s">
        <v>74</v>
      </c>
      <c r="G204">
        <v>1.72656470058578</v>
      </c>
      <c r="H204">
        <v>2E+20</v>
      </c>
      <c r="I204">
        <v>0</v>
      </c>
      <c r="J204">
        <v>16.8161544952162</v>
      </c>
      <c r="K204">
        <v>200</v>
      </c>
      <c r="L204" s="5" t="str">
        <f>DiscreteStatsTable[[#This Row],[ProjectName]]&amp;DiscreteStatsTable[[#This Row],[Name]]&amp;DiscreteStatsTable[[#This Row],[Type]]&amp;DiscreteStatsTable[[#This Row],[Source]]</f>
        <v>Unnamed ProjectPedidosCobros.QueueWaiting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10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3.8298527546690715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1.3688445831849239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0.97921242578187129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1.72656470058578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5.7675146164842701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25.3173495921314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213.2</v>
      </c>
      <c r="W204" s="5">
        <f>IF((DiscreteStatsTable[[#This Row],[RepsRequested]]&gt;1),DiscreteStatsTable[[#This Row],[HalfWidth]],DiscreteStatsTable[[#This Row],[BatchMeansHalfWidth]])</f>
        <v>0.97921242578187129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10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4</v>
      </c>
      <c r="D205" t="s">
        <v>72</v>
      </c>
      <c r="E205" t="s">
        <v>73</v>
      </c>
      <c r="F205" t="s">
        <v>74</v>
      </c>
      <c r="G205">
        <v>4.6452167055180498</v>
      </c>
      <c r="H205">
        <v>2E+20</v>
      </c>
      <c r="I205">
        <v>0</v>
      </c>
      <c r="J205">
        <v>23.4465171005745</v>
      </c>
      <c r="K205">
        <v>223</v>
      </c>
      <c r="L205" s="5" t="str">
        <f>DiscreteStatsTable[[#This Row],[ProjectName]]&amp;DiscreteStatsTable[[#This Row],[Name]]&amp;DiscreteStatsTable[[#This Row],[Type]]&amp;DiscreteStatsTable[[#This Row],[Source]]</f>
        <v>Unnamed ProjectPedidosCobros.QueueWaiting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10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3.8298527546690715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1.3688445831849239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0.97921242578187129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1.72656470058578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5.7675146164842701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25.3173495921314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213.2</v>
      </c>
      <c r="W205" s="5">
        <f>IF((DiscreteStatsTable[[#This Row],[RepsRequested]]&gt;1),DiscreteStatsTable[[#This Row],[HalfWidth]],DiscreteStatsTable[[#This Row],[BatchMeansHalfWidth]])</f>
        <v>0.97921242578187129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10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5</v>
      </c>
      <c r="D206" t="s">
        <v>72</v>
      </c>
      <c r="E206" t="s">
        <v>73</v>
      </c>
      <c r="F206" t="s">
        <v>74</v>
      </c>
      <c r="G206">
        <v>4.8450487286322499</v>
      </c>
      <c r="H206">
        <v>2E+20</v>
      </c>
      <c r="I206">
        <v>0</v>
      </c>
      <c r="J206">
        <v>21.322772698060799</v>
      </c>
      <c r="K206">
        <v>209</v>
      </c>
      <c r="L206" s="5" t="str">
        <f>DiscreteStatsTable[[#This Row],[ProjectName]]&amp;DiscreteStatsTable[[#This Row],[Name]]&amp;DiscreteStatsTable[[#This Row],[Type]]&amp;DiscreteStatsTable[[#This Row],[Source]]</f>
        <v>Unnamed ProjectPedidosCobros.QueueWaiting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10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3.8298527546690715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1.3688445831849239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0.97921242578187129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1.72656470058578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5.7675146164842701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25.3173495921314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213.2</v>
      </c>
      <c r="W206" s="5">
        <f>IF((DiscreteStatsTable[[#This Row],[RepsRequested]]&gt;1),DiscreteStatsTable[[#This Row],[HalfWidth]],DiscreteStatsTable[[#This Row],[BatchMeansHalfWidth]])</f>
        <v>0.97921242578187129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10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6</v>
      </c>
      <c r="D207" t="s">
        <v>72</v>
      </c>
      <c r="E207" t="s">
        <v>73</v>
      </c>
      <c r="F207" t="s">
        <v>74</v>
      </c>
      <c r="G207">
        <v>4.0648975781301804</v>
      </c>
      <c r="H207">
        <v>2E+20</v>
      </c>
      <c r="I207">
        <v>0</v>
      </c>
      <c r="J207">
        <v>21.0616747577849</v>
      </c>
      <c r="K207">
        <v>235</v>
      </c>
      <c r="L207" s="5" t="str">
        <f>DiscreteStatsTable[[#This Row],[ProjectName]]&amp;DiscreteStatsTable[[#This Row],[Name]]&amp;DiscreteStatsTable[[#This Row],[Type]]&amp;DiscreteStatsTable[[#This Row],[Source]]</f>
        <v>Unnamed ProjectPedidosCobros.QueueWaiting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10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3.8298527546690715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1.3688445831849239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0.97921242578187129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1.72656470058578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5.7675146164842701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25.3173495921314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213.2</v>
      </c>
      <c r="W207" s="5">
        <f>IF((DiscreteStatsTable[[#This Row],[RepsRequested]]&gt;1),DiscreteStatsTable[[#This Row],[HalfWidth]],DiscreteStatsTable[[#This Row],[BatchMeansHalfWidth]])</f>
        <v>0.97921242578187129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10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7</v>
      </c>
      <c r="D208" t="s">
        <v>72</v>
      </c>
      <c r="E208" t="s">
        <v>73</v>
      </c>
      <c r="F208" t="s">
        <v>74</v>
      </c>
      <c r="G208">
        <v>2.5467366936576101</v>
      </c>
      <c r="H208">
        <v>2E+20</v>
      </c>
      <c r="I208">
        <v>0</v>
      </c>
      <c r="J208">
        <v>18.941118150872001</v>
      </c>
      <c r="K208">
        <v>220</v>
      </c>
      <c r="L208" s="5" t="str">
        <f>DiscreteStatsTable[[#This Row],[ProjectName]]&amp;DiscreteStatsTable[[#This Row],[Name]]&amp;DiscreteStatsTable[[#This Row],[Type]]&amp;DiscreteStatsTable[[#This Row],[Source]]</f>
        <v>Unnamed ProjectPedidosCobros.QueueWaiting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10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3.8298527546690715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1.3688445831849239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0.97921242578187129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1.72656470058578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5.7675146164842701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25.3173495921314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213.2</v>
      </c>
      <c r="W208" s="5">
        <f>IF((DiscreteStatsTable[[#This Row],[RepsRequested]]&gt;1),DiscreteStatsTable[[#This Row],[HalfWidth]],DiscreteStatsTable[[#This Row],[BatchMeansHalfWidth]])</f>
        <v>0.97921242578187129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10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8</v>
      </c>
      <c r="D209" t="s">
        <v>72</v>
      </c>
      <c r="E209" t="s">
        <v>73</v>
      </c>
      <c r="F209" t="s">
        <v>74</v>
      </c>
      <c r="G209">
        <v>2.7080163800316401</v>
      </c>
      <c r="H209">
        <v>2E+20</v>
      </c>
      <c r="I209">
        <v>0</v>
      </c>
      <c r="J209">
        <v>20.094523828811099</v>
      </c>
      <c r="K209">
        <v>190</v>
      </c>
      <c r="L209" s="5" t="str">
        <f>DiscreteStatsTable[[#This Row],[ProjectName]]&amp;DiscreteStatsTable[[#This Row],[Name]]&amp;DiscreteStatsTable[[#This Row],[Type]]&amp;DiscreteStatsTable[[#This Row],[Source]]</f>
        <v>Unnamed ProjectPedidosCobros.QueueWaiting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10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3.8298527546690715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1.3688445831849239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0.97921242578187129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1.72656470058578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5.7675146164842701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25.3173495921314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213.2</v>
      </c>
      <c r="W209" s="5">
        <f>IF((DiscreteStatsTable[[#This Row],[RepsRequested]]&gt;1),DiscreteStatsTable[[#This Row],[HalfWidth]],DiscreteStatsTable[[#This Row],[BatchMeansHalfWidth]])</f>
        <v>0.97921242578187129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10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9</v>
      </c>
      <c r="D210" t="s">
        <v>72</v>
      </c>
      <c r="E210" t="s">
        <v>73</v>
      </c>
      <c r="F210" t="s">
        <v>74</v>
      </c>
      <c r="G210">
        <v>5.6162236856625301</v>
      </c>
      <c r="H210">
        <v>2E+20</v>
      </c>
      <c r="I210">
        <v>0</v>
      </c>
      <c r="J210">
        <v>24.4439729805197</v>
      </c>
      <c r="K210">
        <v>226</v>
      </c>
      <c r="L210" s="5" t="str">
        <f>DiscreteStatsTable[[#This Row],[ProjectName]]&amp;DiscreteStatsTable[[#This Row],[Name]]&amp;DiscreteStatsTable[[#This Row],[Type]]&amp;DiscreteStatsTable[[#This Row],[Source]]</f>
        <v>Unnamed ProjectPedidosCobros.QueueWaiting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10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3.8298527546690715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1.3688445831849239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0.97921242578187129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1.72656470058578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5.7675146164842701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25.3173495921314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213.2</v>
      </c>
      <c r="W210" s="5">
        <f>IF((DiscreteStatsTable[[#This Row],[RepsRequested]]&gt;1),DiscreteStatsTable[[#This Row],[HalfWidth]],DiscreteStatsTable[[#This Row],[BatchMeansHalfWidth]])</f>
        <v>0.97921242578187129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10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10</v>
      </c>
      <c r="D211" t="s">
        <v>72</v>
      </c>
      <c r="E211" t="s">
        <v>73</v>
      </c>
      <c r="F211" t="s">
        <v>74</v>
      </c>
      <c r="G211">
        <v>5.7675146164842701</v>
      </c>
      <c r="H211">
        <v>2E+20</v>
      </c>
      <c r="I211">
        <v>0</v>
      </c>
      <c r="J211">
        <v>25.3173495921314</v>
      </c>
      <c r="K211">
        <v>201</v>
      </c>
      <c r="L211" s="5" t="str">
        <f>DiscreteStatsTable[[#This Row],[ProjectName]]&amp;DiscreteStatsTable[[#This Row],[Name]]&amp;DiscreteStatsTable[[#This Row],[Type]]&amp;DiscreteStatsTable[[#This Row],[Source]]</f>
        <v>Unnamed ProjectPedidosCobros.QueueWaiting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10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3.8298527546690715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1.3688445831849239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0.97921242578187129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1.72656470058578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5.7675146164842701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25.3173495921314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213.2</v>
      </c>
      <c r="W211" s="5">
        <f>IF((DiscreteStatsTable[[#This Row],[RepsRequested]]&gt;1),DiscreteStatsTable[[#This Row],[HalfWidth]],DiscreteStatsTable[[#This Row],[BatchMeansHalfWidth]])</f>
        <v>0.97921242578187129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10</v>
      </c>
      <c r="Y211" s="5">
        <f>IF(DiscreteStatsTable[[#This Row],[RepsRequested]]=DiscreteStatsTable[[#This Row],[RepsWithStatObserved]],1,0)</f>
        <v>1</v>
      </c>
    </row>
    <row r="212" spans="1:25" x14ac:dyDescent="0.3">
      <c r="A212" t="s">
        <v>66</v>
      </c>
      <c r="B212" t="s">
        <v>68</v>
      </c>
      <c r="C212">
        <v>1</v>
      </c>
      <c r="D212" t="s">
        <v>75</v>
      </c>
      <c r="E212" t="s">
        <v>73</v>
      </c>
      <c r="F212" t="s">
        <v>74</v>
      </c>
      <c r="G212">
        <v>0.43302055344795298</v>
      </c>
      <c r="H212">
        <v>2E+20</v>
      </c>
      <c r="I212">
        <v>0</v>
      </c>
      <c r="J212">
        <v>6.2992445157670103</v>
      </c>
      <c r="K212">
        <v>224</v>
      </c>
      <c r="L212" s="5" t="str">
        <f>DiscreteStatsTable[[#This Row],[ProjectName]]&amp;DiscreteStatsTable[[#This Row],[Name]]&amp;DiscreteStatsTable[[#This Row],[Type]]&amp;DiscreteStatsTable[[#This Row],[Source]]</f>
        <v>Unnamed ProjectRecoger.QueueWaiting TimeQueue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10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0.40408048989607864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0.12696220537313863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9.0823290410940533E-2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0.171033513653889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0.60923287020565198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10.1511957579729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205.3</v>
      </c>
      <c r="W212" s="5">
        <f>IF((DiscreteStatsTable[[#This Row],[RepsRequested]]&gt;1),DiscreteStatsTable[[#This Row],[HalfWidth]],DiscreteStatsTable[[#This Row],[BatchMeansHalfWidth]])</f>
        <v>9.0823290410940533E-2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10</v>
      </c>
      <c r="Y212" s="5">
        <f>IF(DiscreteStatsTable[[#This Row],[RepsRequested]]=DiscreteStatsTable[[#This Row],[RepsWithStatObserved]],1,0)</f>
        <v>1</v>
      </c>
    </row>
    <row r="213" spans="1:25" x14ac:dyDescent="0.3">
      <c r="A213" t="s">
        <v>66</v>
      </c>
      <c r="B213" t="s">
        <v>68</v>
      </c>
      <c r="C213">
        <v>2</v>
      </c>
      <c r="D213" t="s">
        <v>75</v>
      </c>
      <c r="E213" t="s">
        <v>73</v>
      </c>
      <c r="F213" t="s">
        <v>74</v>
      </c>
      <c r="G213">
        <v>0.171033513653889</v>
      </c>
      <c r="H213">
        <v>2E+20</v>
      </c>
      <c r="I213">
        <v>0</v>
      </c>
      <c r="J213">
        <v>1.5019745793255499</v>
      </c>
      <c r="K213">
        <v>192</v>
      </c>
      <c r="L213" s="5" t="str">
        <f>DiscreteStatsTable[[#This Row],[ProjectName]]&amp;DiscreteStatsTable[[#This Row],[Name]]&amp;DiscreteStatsTable[[#This Row],[Type]]&amp;DiscreteStatsTable[[#This Row],[Source]]</f>
        <v>Unnamed ProjectRecoger.QueueWaiting TimeQueue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10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0.40408048989607864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0.12696220537313863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9.0823290410940533E-2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0.171033513653889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0.60923287020565198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10.1511957579729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205.3</v>
      </c>
      <c r="W213" s="5">
        <f>IF((DiscreteStatsTable[[#This Row],[RepsRequested]]&gt;1),DiscreteStatsTable[[#This Row],[HalfWidth]],DiscreteStatsTable[[#This Row],[BatchMeansHalfWidth]])</f>
        <v>9.0823290410940533E-2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10</v>
      </c>
      <c r="Y213" s="5">
        <f>IF(DiscreteStatsTable[[#This Row],[RepsRequested]]=DiscreteStatsTable[[#This Row],[RepsWithStatObserved]],1,0)</f>
        <v>1</v>
      </c>
    </row>
    <row r="214" spans="1:25" x14ac:dyDescent="0.3">
      <c r="A214" t="s">
        <v>66</v>
      </c>
      <c r="B214" t="s">
        <v>68</v>
      </c>
      <c r="C214">
        <v>3</v>
      </c>
      <c r="D214" t="s">
        <v>75</v>
      </c>
      <c r="E214" t="s">
        <v>73</v>
      </c>
      <c r="F214" t="s">
        <v>74</v>
      </c>
      <c r="G214">
        <v>0.258849636929049</v>
      </c>
      <c r="H214">
        <v>2E+20</v>
      </c>
      <c r="I214">
        <v>0</v>
      </c>
      <c r="J214">
        <v>2.3996284229889802</v>
      </c>
      <c r="K214">
        <v>195</v>
      </c>
      <c r="L214" s="5" t="str">
        <f>DiscreteStatsTable[[#This Row],[ProjectName]]&amp;DiscreteStatsTable[[#This Row],[Name]]&amp;DiscreteStatsTable[[#This Row],[Type]]&amp;DiscreteStatsTable[[#This Row],[Source]]</f>
        <v>Unnamed ProjectRecoger.QueueWaiting TimeQueue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10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0.40408048989607864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0.12696220537313863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9.0823290410940533E-2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0.171033513653889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0.60923287020565198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10.1511957579729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205.3</v>
      </c>
      <c r="W214" s="5">
        <f>IF((DiscreteStatsTable[[#This Row],[RepsRequested]]&gt;1),DiscreteStatsTable[[#This Row],[HalfWidth]],DiscreteStatsTable[[#This Row],[BatchMeansHalfWidth]])</f>
        <v>9.0823290410940533E-2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10</v>
      </c>
      <c r="Y214" s="5">
        <f>IF(DiscreteStatsTable[[#This Row],[RepsRequested]]=DiscreteStatsTable[[#This Row],[RepsWithStatObserved]],1,0)</f>
        <v>1</v>
      </c>
    </row>
    <row r="215" spans="1:25" x14ac:dyDescent="0.3">
      <c r="A215" t="s">
        <v>66</v>
      </c>
      <c r="B215" t="s">
        <v>68</v>
      </c>
      <c r="C215">
        <v>4</v>
      </c>
      <c r="D215" t="s">
        <v>75</v>
      </c>
      <c r="E215" t="s">
        <v>73</v>
      </c>
      <c r="F215" t="s">
        <v>74</v>
      </c>
      <c r="G215">
        <v>0.55842772285605302</v>
      </c>
      <c r="H215">
        <v>2E+20</v>
      </c>
      <c r="I215">
        <v>0</v>
      </c>
      <c r="J215">
        <v>10.1511957579729</v>
      </c>
      <c r="K215">
        <v>202</v>
      </c>
      <c r="L215" s="5" t="str">
        <f>DiscreteStatsTable[[#This Row],[ProjectName]]&amp;DiscreteStatsTable[[#This Row],[Name]]&amp;DiscreteStatsTable[[#This Row],[Type]]&amp;DiscreteStatsTable[[#This Row],[Source]]</f>
        <v>Unnamed ProjectRecoger.QueueWaiting TimeQueue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10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0.40408048989607864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0.12696220537313863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9.0823290410940533E-2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0.171033513653889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0.60923287020565198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10.1511957579729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205.3</v>
      </c>
      <c r="W215" s="5">
        <f>IF((DiscreteStatsTable[[#This Row],[RepsRequested]]&gt;1),DiscreteStatsTable[[#This Row],[HalfWidth]],DiscreteStatsTable[[#This Row],[BatchMeansHalfWidth]])</f>
        <v>9.0823290410940533E-2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10</v>
      </c>
      <c r="Y215" s="5">
        <f>IF(DiscreteStatsTable[[#This Row],[RepsRequested]]=DiscreteStatsTable[[#This Row],[RepsWithStatObserved]],1,0)</f>
        <v>1</v>
      </c>
    </row>
    <row r="216" spans="1:25" x14ac:dyDescent="0.3">
      <c r="A216" t="s">
        <v>66</v>
      </c>
      <c r="B216" t="s">
        <v>68</v>
      </c>
      <c r="C216">
        <v>5</v>
      </c>
      <c r="D216" t="s">
        <v>75</v>
      </c>
      <c r="E216" t="s">
        <v>73</v>
      </c>
      <c r="F216" t="s">
        <v>74</v>
      </c>
      <c r="G216">
        <v>0.38934531906594999</v>
      </c>
      <c r="H216">
        <v>2E+20</v>
      </c>
      <c r="I216">
        <v>0</v>
      </c>
      <c r="J216">
        <v>2.6391601604406398</v>
      </c>
      <c r="K216">
        <v>209</v>
      </c>
      <c r="L216" s="5" t="str">
        <f>DiscreteStatsTable[[#This Row],[ProjectName]]&amp;DiscreteStatsTable[[#This Row],[Name]]&amp;DiscreteStatsTable[[#This Row],[Type]]&amp;DiscreteStatsTable[[#This Row],[Source]]</f>
        <v>Unnamed ProjectRecoger.QueueWaiting TimeQueue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10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0.40408048989607864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0.12696220537313863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9.0823290410940533E-2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0.171033513653889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0.60923287020565198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10.1511957579729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205.3</v>
      </c>
      <c r="W216" s="5">
        <f>IF((DiscreteStatsTable[[#This Row],[RepsRequested]]&gt;1),DiscreteStatsTable[[#This Row],[HalfWidth]],DiscreteStatsTable[[#This Row],[BatchMeansHalfWidth]])</f>
        <v>9.0823290410940533E-2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10</v>
      </c>
      <c r="Y216" s="5">
        <f>IF(DiscreteStatsTable[[#This Row],[RepsRequested]]=DiscreteStatsTable[[#This Row],[RepsWithStatObserved]],1,0)</f>
        <v>1</v>
      </c>
    </row>
    <row r="217" spans="1:25" x14ac:dyDescent="0.3">
      <c r="A217" t="s">
        <v>66</v>
      </c>
      <c r="B217" t="s">
        <v>68</v>
      </c>
      <c r="C217">
        <v>6</v>
      </c>
      <c r="D217" t="s">
        <v>75</v>
      </c>
      <c r="E217" t="s">
        <v>73</v>
      </c>
      <c r="F217" t="s">
        <v>74</v>
      </c>
      <c r="G217">
        <v>0.60923287020565198</v>
      </c>
      <c r="H217">
        <v>2E+20</v>
      </c>
      <c r="I217">
        <v>0</v>
      </c>
      <c r="J217">
        <v>8.6438803624831699</v>
      </c>
      <c r="K217">
        <v>220</v>
      </c>
      <c r="L217" s="5" t="str">
        <f>DiscreteStatsTable[[#This Row],[ProjectName]]&amp;DiscreteStatsTable[[#This Row],[Name]]&amp;DiscreteStatsTable[[#This Row],[Type]]&amp;DiscreteStatsTable[[#This Row],[Source]]</f>
        <v>Unnamed ProjectRecoger.QueueWaiting TimeQueue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10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0.40408048989607864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0.12696220537313863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9.0823290410940533E-2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0.171033513653889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0.60923287020565198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10.1511957579729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205.3</v>
      </c>
      <c r="W217" s="5">
        <f>IF((DiscreteStatsTable[[#This Row],[RepsRequested]]&gt;1),DiscreteStatsTable[[#This Row],[HalfWidth]],DiscreteStatsTable[[#This Row],[BatchMeansHalfWidth]])</f>
        <v>9.0823290410940533E-2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10</v>
      </c>
      <c r="Y217" s="5">
        <f>IF(DiscreteStatsTable[[#This Row],[RepsRequested]]=DiscreteStatsTable[[#This Row],[RepsWithStatObserved]],1,0)</f>
        <v>1</v>
      </c>
    </row>
    <row r="218" spans="1:25" x14ac:dyDescent="0.3">
      <c r="A218" t="s">
        <v>66</v>
      </c>
      <c r="B218" t="s">
        <v>68</v>
      </c>
      <c r="C218">
        <v>7</v>
      </c>
      <c r="D218" t="s">
        <v>75</v>
      </c>
      <c r="E218" t="s">
        <v>73</v>
      </c>
      <c r="F218" t="s">
        <v>74</v>
      </c>
      <c r="G218">
        <v>0.38798986331219498</v>
      </c>
      <c r="H218">
        <v>2E+20</v>
      </c>
      <c r="I218">
        <v>0</v>
      </c>
      <c r="J218">
        <v>4.4248266406833601</v>
      </c>
      <c r="K218">
        <v>211</v>
      </c>
      <c r="L218" s="5" t="str">
        <f>DiscreteStatsTable[[#This Row],[ProjectName]]&amp;DiscreteStatsTable[[#This Row],[Name]]&amp;DiscreteStatsTable[[#This Row],[Type]]&amp;DiscreteStatsTable[[#This Row],[Source]]</f>
        <v>Unnamed ProjectRecoger.QueueWaiting TimeQueue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10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0.40408048989607864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0.12696220537313863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9.0823290410940533E-2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0.171033513653889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0.60923287020565198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10.1511957579729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205.3</v>
      </c>
      <c r="W218" s="5">
        <f>IF((DiscreteStatsTable[[#This Row],[RepsRequested]]&gt;1),DiscreteStatsTable[[#This Row],[HalfWidth]],DiscreteStatsTable[[#This Row],[BatchMeansHalfWidth]])</f>
        <v>9.0823290410940533E-2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10</v>
      </c>
      <c r="Y218" s="5">
        <f>IF(DiscreteStatsTable[[#This Row],[RepsRequested]]=DiscreteStatsTable[[#This Row],[RepsWithStatObserved]],1,0)</f>
        <v>1</v>
      </c>
    </row>
    <row r="219" spans="1:25" x14ac:dyDescent="0.3">
      <c r="A219" t="s">
        <v>66</v>
      </c>
      <c r="B219" t="s">
        <v>68</v>
      </c>
      <c r="C219">
        <v>8</v>
      </c>
      <c r="D219" t="s">
        <v>75</v>
      </c>
      <c r="E219" t="s">
        <v>73</v>
      </c>
      <c r="F219" t="s">
        <v>74</v>
      </c>
      <c r="G219">
        <v>0.45008877604338599</v>
      </c>
      <c r="H219">
        <v>2E+20</v>
      </c>
      <c r="I219">
        <v>0</v>
      </c>
      <c r="J219">
        <v>4.7764400074298701</v>
      </c>
      <c r="K219">
        <v>185</v>
      </c>
      <c r="L219" s="5" t="str">
        <f>DiscreteStatsTable[[#This Row],[ProjectName]]&amp;DiscreteStatsTable[[#This Row],[Name]]&amp;DiscreteStatsTable[[#This Row],[Type]]&amp;DiscreteStatsTable[[#This Row],[Source]]</f>
        <v>Unnamed ProjectRecoger.QueueWaiting TimeQueue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10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0.40408048989607864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0.12696220537313863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9.0823290410940533E-2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0.171033513653889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0.60923287020565198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10.1511957579729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205.3</v>
      </c>
      <c r="W219" s="5">
        <f>IF((DiscreteStatsTable[[#This Row],[RepsRequested]]&gt;1),DiscreteStatsTable[[#This Row],[HalfWidth]],DiscreteStatsTable[[#This Row],[BatchMeansHalfWidth]])</f>
        <v>9.0823290410940533E-2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10</v>
      </c>
      <c r="Y219" s="5">
        <f>IF(DiscreteStatsTable[[#This Row],[RepsRequested]]=DiscreteStatsTable[[#This Row],[RepsWithStatObserved]],1,0)</f>
        <v>1</v>
      </c>
    </row>
    <row r="220" spans="1:25" x14ac:dyDescent="0.3">
      <c r="A220" t="s">
        <v>66</v>
      </c>
      <c r="B220" t="s">
        <v>68</v>
      </c>
      <c r="C220">
        <v>9</v>
      </c>
      <c r="D220" t="s">
        <v>75</v>
      </c>
      <c r="E220" t="s">
        <v>73</v>
      </c>
      <c r="F220" t="s">
        <v>74</v>
      </c>
      <c r="G220">
        <v>0.38921034624512202</v>
      </c>
      <c r="H220">
        <v>2E+20</v>
      </c>
      <c r="I220">
        <v>0</v>
      </c>
      <c r="J220">
        <v>6.17969846913567</v>
      </c>
      <c r="K220">
        <v>217</v>
      </c>
      <c r="L220" s="5" t="str">
        <f>DiscreteStatsTable[[#This Row],[ProjectName]]&amp;DiscreteStatsTable[[#This Row],[Name]]&amp;DiscreteStatsTable[[#This Row],[Type]]&amp;DiscreteStatsTable[[#This Row],[Source]]</f>
        <v>Unnamed ProjectRecoger.QueueWaiting TimeQueue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10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0.40408048989607864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0.12696220537313863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9.0823290410940533E-2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0.171033513653889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0.60923287020565198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10.1511957579729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205.3</v>
      </c>
      <c r="W220" s="5">
        <f>IF((DiscreteStatsTable[[#This Row],[RepsRequested]]&gt;1),DiscreteStatsTable[[#This Row],[HalfWidth]],DiscreteStatsTable[[#This Row],[BatchMeansHalfWidth]])</f>
        <v>9.0823290410940533E-2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10</v>
      </c>
      <c r="Y220" s="5">
        <f>IF(DiscreteStatsTable[[#This Row],[RepsRequested]]=DiscreteStatsTable[[#This Row],[RepsWithStatObserved]],1,0)</f>
        <v>1</v>
      </c>
    </row>
    <row r="221" spans="1:25" x14ac:dyDescent="0.3">
      <c r="A221" t="s">
        <v>66</v>
      </c>
      <c r="B221" t="s">
        <v>68</v>
      </c>
      <c r="C221">
        <v>10</v>
      </c>
      <c r="D221" t="s">
        <v>75</v>
      </c>
      <c r="E221" t="s">
        <v>73</v>
      </c>
      <c r="F221" t="s">
        <v>74</v>
      </c>
      <c r="G221">
        <v>0.393606297201537</v>
      </c>
      <c r="H221">
        <v>2E+20</v>
      </c>
      <c r="I221">
        <v>0</v>
      </c>
      <c r="J221">
        <v>2.47181380366629</v>
      </c>
      <c r="K221">
        <v>198</v>
      </c>
      <c r="L221" s="5" t="str">
        <f>DiscreteStatsTable[[#This Row],[ProjectName]]&amp;DiscreteStatsTable[[#This Row],[Name]]&amp;DiscreteStatsTable[[#This Row],[Type]]&amp;DiscreteStatsTable[[#This Row],[Source]]</f>
        <v>Unnamed ProjectRecoger.QueueWaiting TimeQueue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10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0.40408048989607864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0.12696220537313863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9.0823290410940533E-2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0.171033513653889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0.60923287020565198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10.1511957579729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205.3</v>
      </c>
      <c r="W221" s="5">
        <f>IF((DiscreteStatsTable[[#This Row],[RepsRequested]]&gt;1),DiscreteStatsTable[[#This Row],[HalfWidth]],DiscreteStatsTable[[#This Row],[BatchMeansHalfWidth]])</f>
        <v>9.0823290410940533E-2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10</v>
      </c>
      <c r="Y221" s="5">
        <f>IF(DiscreteStatsTable[[#This Row],[RepsRequested]]=DiscreteStatsTable[[#This Row],[RepsWithStatObserved]],1,0)</f>
        <v>1</v>
      </c>
    </row>
  </sheetData>
  <phoneticPr fontId="2" type="noConversion"/>
  <conditionalFormatting sqref="H2:H221 Q2:Q221">
    <cfRule type="expression" dxfId="27" priority="23">
      <formula>H2=200000000000000000000</formula>
    </cfRule>
  </conditionalFormatting>
  <conditionalFormatting sqref="H2:H221">
    <cfRule type="expression" dxfId="26" priority="21">
      <formula>H2=300000000000000000000</formula>
    </cfRule>
  </conditionalFormatting>
  <conditionalFormatting sqref="L2:Y221">
    <cfRule type="expression" dxfId="25" priority="19">
      <formula>MOD(ROW(),2)=0</formula>
    </cfRule>
  </conditionalFormatting>
  <conditionalFormatting sqref="Y2:Y221">
    <cfRule type="expression" dxfId="24" priority="14">
      <formula>Y2=0</formula>
    </cfRule>
    <cfRule type="expression" dxfId="23" priority="16">
      <formula>Y2=1</formula>
    </cfRule>
  </conditionalFormatting>
  <conditionalFormatting sqref="Y3:Y221">
    <cfRule type="expression" dxfId="22" priority="15">
      <formula>Y3=1</formula>
    </cfRule>
  </conditionalFormatting>
  <conditionalFormatting sqref="W2:W22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21 W2:W22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51"/>
  <sheetViews>
    <sheetView workbookViewId="0">
      <selection activeCell="D2" sqref="D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19.109375" bestFit="1" customWidth="1"/>
    <col min="5" max="5" width="21.5546875" bestFit="1" customWidth="1"/>
    <col min="6" max="6" width="9" bestFit="1" customWidth="1"/>
    <col min="7" max="7" width="12" bestFit="1" customWidth="1"/>
    <col min="8" max="8" width="22.21875" bestFit="1" customWidth="1"/>
    <col min="9" max="9" width="11.44140625" bestFit="1" customWidth="1"/>
    <col min="10" max="10" width="12" bestFit="1" customWidth="1"/>
    <col min="11" max="11" width="19.44140625" bestFit="1" customWidth="1"/>
    <col min="12" max="12" width="11.33203125" bestFit="1" customWidth="1"/>
    <col min="13" max="13" width="57.44140625" bestFit="1" customWidth="1"/>
    <col min="14" max="14" width="16.109375" bestFit="1" customWidth="1"/>
    <col min="15" max="15" width="19.109375" bestFit="1" customWidth="1"/>
    <col min="16" max="16" width="17" bestFit="1" customWidth="1"/>
    <col min="17" max="17" width="19.332031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1" width="19.8867187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0.70039167926375501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ProjectLlegada PedidosInstantaneous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0.6595273690195278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4.3257074173814004E-2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3.0944246742323132E-2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0.59113797604853702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0.72596398581696897</v>
      </c>
      <c r="U2">
        <f>IF((ContinuousStatsTable[[#This Row],[RepsRequested]]&gt;1),ContinuousStatsTable[[#This Row],[HalfWidth]],ContinuousStatsTable[[#This Row],[BatchMeansHalfWidth]])</f>
        <v>3.0944246742323132E-2</v>
      </c>
    </row>
    <row r="3" spans="1:21" x14ac:dyDescent="0.3">
      <c r="A3" t="s">
        <v>66</v>
      </c>
      <c r="B3" t="s">
        <v>68</v>
      </c>
      <c r="C3">
        <v>1</v>
      </c>
      <c r="D3" t="s">
        <v>87</v>
      </c>
      <c r="E3" t="s">
        <v>90</v>
      </c>
      <c r="F3" t="s">
        <v>89</v>
      </c>
      <c r="G3">
        <v>4.07239934381907</v>
      </c>
      <c r="H3">
        <v>2E+20</v>
      </c>
      <c r="I3">
        <v>0</v>
      </c>
      <c r="J3">
        <v>6</v>
      </c>
      <c r="K3">
        <v>6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ProjectLlegada PedidosNumber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3.8048219931471854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0.26298250620112912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0.18812635196045085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3.4272486518987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4.1920593242441404</v>
      </c>
      <c r="U3">
        <f>IF((ContinuousStatsTable[[#This Row],[RepsRequested]]&gt;1),ContinuousStatsTable[[#This Row],[HalfWidth]],ContinuousStatsTable[[#This Row],[BatchMeansHalfWidth]])</f>
        <v>0.18812635196045085</v>
      </c>
    </row>
    <row r="4" spans="1:21" x14ac:dyDescent="0.3">
      <c r="A4" t="s">
        <v>66</v>
      </c>
      <c r="B4" t="s">
        <v>68</v>
      </c>
      <c r="C4">
        <v>1</v>
      </c>
      <c r="D4" t="s">
        <v>87</v>
      </c>
      <c r="E4" t="s">
        <v>91</v>
      </c>
      <c r="F4" t="s">
        <v>89</v>
      </c>
      <c r="G4">
        <v>5.75</v>
      </c>
      <c r="H4">
        <v>2E+20</v>
      </c>
      <c r="I4">
        <v>5</v>
      </c>
      <c r="J4">
        <v>6</v>
      </c>
      <c r="K4">
        <v>6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ProjectLlegada PedidosNumber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5.75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5.75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5.75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">
      <c r="A5" t="s">
        <v>66</v>
      </c>
      <c r="B5" t="s">
        <v>68</v>
      </c>
      <c r="C5">
        <v>1</v>
      </c>
      <c r="D5" t="s">
        <v>72</v>
      </c>
      <c r="E5" t="s">
        <v>92</v>
      </c>
      <c r="F5" t="s">
        <v>74</v>
      </c>
      <c r="G5">
        <v>2.9664651114200802</v>
      </c>
      <c r="H5">
        <v>2E+20</v>
      </c>
      <c r="I5">
        <v>0</v>
      </c>
      <c r="J5">
        <v>28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ProjectPedidosCobros.QueueNumber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3.4276072930460231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1.2805781327766621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0.91607041091680408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1.4388039171548199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5.2886106373322104</v>
      </c>
      <c r="U5">
        <f>IF((ContinuousStatsTable[[#This Row],[RepsRequested]]&gt;1),ContinuousStatsTable[[#This Row],[HalfWidth]],ContinuousStatsTable[[#This Row],[BatchMeansHalfWidth]])</f>
        <v>0.91607041091680408</v>
      </c>
    </row>
    <row r="6" spans="1:21" x14ac:dyDescent="0.3">
      <c r="A6" t="s">
        <v>66</v>
      </c>
      <c r="B6" t="s">
        <v>68</v>
      </c>
      <c r="C6">
        <v>1</v>
      </c>
      <c r="D6" t="s">
        <v>93</v>
      </c>
      <c r="E6" t="s">
        <v>88</v>
      </c>
      <c r="F6" t="s">
        <v>89</v>
      </c>
      <c r="G6">
        <v>0.60298436758055496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ProjectRecoger pedidosInstantaneous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0.5604361436219214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3.5315793681560653E-2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2.5263396899939575E-2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0.51502488611470398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0.60298436758055496</v>
      </c>
      <c r="U6">
        <f>IF((ContinuousStatsTable[[#This Row],[RepsRequested]]&gt;1),ContinuousStatsTable[[#This Row],[HalfWidth]],ContinuousStatsTable[[#This Row],[BatchMeansHalfWidth]])</f>
        <v>2.5263396899939575E-2</v>
      </c>
    </row>
    <row r="7" spans="1:21" x14ac:dyDescent="0.3">
      <c r="A7" t="s">
        <v>66</v>
      </c>
      <c r="B7" t="s">
        <v>68</v>
      </c>
      <c r="C7">
        <v>1</v>
      </c>
      <c r="D7" t="s">
        <v>93</v>
      </c>
      <c r="E7" t="s">
        <v>90</v>
      </c>
      <c r="F7" t="s">
        <v>89</v>
      </c>
      <c r="G7">
        <v>1.12263540182778</v>
      </c>
      <c r="H7">
        <v>2E+20</v>
      </c>
      <c r="I7">
        <v>0</v>
      </c>
      <c r="J7">
        <v>2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ProjectRecoger pedidosNumber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1.0569098141964663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6.5634037857285929E-2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4.695176224794953E-2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0.95438389742001095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1.1377394211218801</v>
      </c>
      <c r="U7">
        <f>IF((ContinuousStatsTable[[#This Row],[RepsRequested]]&gt;1),ContinuousStatsTable[[#This Row],[HalfWidth]],ContinuousStatsTable[[#This Row],[BatchMeansHalfWidth]])</f>
        <v>4.695176224794953E-2</v>
      </c>
    </row>
    <row r="8" spans="1:21" x14ac:dyDescent="0.3">
      <c r="A8" t="s">
        <v>66</v>
      </c>
      <c r="B8" t="s">
        <v>68</v>
      </c>
      <c r="C8">
        <v>1</v>
      </c>
      <c r="D8" t="s">
        <v>93</v>
      </c>
      <c r="E8" t="s">
        <v>91</v>
      </c>
      <c r="F8" t="s">
        <v>89</v>
      </c>
      <c r="G8">
        <v>1.9166666666666701</v>
      </c>
      <c r="H8">
        <v>2E+20</v>
      </c>
      <c r="I8">
        <v>1</v>
      </c>
      <c r="J8">
        <v>2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ProjectRecoger pedidosNumber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1.9166666666666701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1.9166666666666701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1.9166666666666701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3">
      <c r="A9" t="s">
        <v>66</v>
      </c>
      <c r="B9" t="s">
        <v>68</v>
      </c>
      <c r="C9">
        <v>1</v>
      </c>
      <c r="D9" t="s">
        <v>75</v>
      </c>
      <c r="E9" t="s">
        <v>92</v>
      </c>
      <c r="F9" t="s">
        <v>74</v>
      </c>
      <c r="G9">
        <v>0.40415251655142298</v>
      </c>
      <c r="H9">
        <v>2E+20</v>
      </c>
      <c r="I9">
        <v>0</v>
      </c>
      <c r="J9">
        <v>4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ProjectRecoger.QueueNumber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0.4031279969367848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0.21310533808048257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0.15244637529508648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0.136826810923111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0.81622840356734405</v>
      </c>
      <c r="U9">
        <f>IF((ContinuousStatsTable[[#This Row],[RepsRequested]]&gt;1),ContinuousStatsTable[[#This Row],[HalfWidth]],ContinuousStatsTable[[#This Row],[BatchMeansHalfWidth]])</f>
        <v>0.15244637529508648</v>
      </c>
    </row>
    <row r="10" spans="1:21" x14ac:dyDescent="0.3">
      <c r="A10" t="s">
        <v>66</v>
      </c>
      <c r="B10" t="s">
        <v>68</v>
      </c>
      <c r="C10">
        <v>1</v>
      </c>
      <c r="D10" t="s">
        <v>76</v>
      </c>
      <c r="E10" t="s">
        <v>94</v>
      </c>
      <c r="F10" t="s">
        <v>78</v>
      </c>
      <c r="G10">
        <v>3.9372015551464701</v>
      </c>
      <c r="H10">
        <v>2E+20</v>
      </c>
      <c r="I10">
        <v>0</v>
      </c>
      <c r="J10">
        <v>26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ProjectcbusWIPEntity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5.0665845774105804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0.71136839542638619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0.50888229435753596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3.9372015551464701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6.3088136459921804</v>
      </c>
      <c r="U10">
        <f>IF((ContinuousStatsTable[[#This Row],[RepsRequested]]&gt;1),ContinuousStatsTable[[#This Row],[HalfWidth]],ContinuousStatsTable[[#This Row],[BatchMeansHalfWidth]])</f>
        <v>0.50888229435753596</v>
      </c>
    </row>
    <row r="11" spans="1:21" x14ac:dyDescent="0.3">
      <c r="A11" t="s">
        <v>66</v>
      </c>
      <c r="B11" t="s">
        <v>68</v>
      </c>
      <c r="C11">
        <v>1</v>
      </c>
      <c r="D11" t="s">
        <v>84</v>
      </c>
      <c r="E11" t="s">
        <v>94</v>
      </c>
      <c r="F11" t="s">
        <v>78</v>
      </c>
      <c r="G11">
        <v>15.1535027543102</v>
      </c>
      <c r="H11">
        <v>2E+20</v>
      </c>
      <c r="I11">
        <v>0</v>
      </c>
      <c r="J11">
        <v>30</v>
      </c>
      <c r="K11">
        <v>14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ProjectccocheWIPEntity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12.759236186141919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1.7106325956849093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1.2237128409017237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10.2386187303012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15.1535027543102</v>
      </c>
      <c r="U11">
        <f>IF((ContinuousStatsTable[[#This Row],[RepsRequested]]&gt;1),ContinuousStatsTable[[#This Row],[HalfWidth]],ContinuousStatsTable[[#This Row],[BatchMeansHalfWidth]])</f>
        <v>1.2237128409017237</v>
      </c>
    </row>
    <row r="12" spans="1:21" x14ac:dyDescent="0.3">
      <c r="A12" t="s">
        <v>66</v>
      </c>
      <c r="B12" t="s">
        <v>68</v>
      </c>
      <c r="C12">
        <v>1</v>
      </c>
      <c r="D12" t="s">
        <v>85</v>
      </c>
      <c r="E12" t="s">
        <v>92</v>
      </c>
      <c r="F12" t="s">
        <v>74</v>
      </c>
      <c r="G12">
        <v>1.58147930719254E-2</v>
      </c>
      <c r="H12">
        <v>2E+20</v>
      </c>
      <c r="I12">
        <v>0</v>
      </c>
      <c r="J12">
        <v>2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Projectcomer.QueueNumber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2.0890695640067989E-2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2.1893740410825115E-2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1.5661838400412763E-2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6.7580541961583807E-2</v>
      </c>
      <c r="U12">
        <f>IF((ContinuousStatsTable[[#This Row],[RepsRequested]]&gt;1),ContinuousStatsTable[[#This Row],[HalfWidth]],ContinuousStatsTable[[#This Row],[BatchMeansHalfWidth]])</f>
        <v>1.5661838400412763E-2</v>
      </c>
    </row>
    <row r="13" spans="1:21" x14ac:dyDescent="0.3">
      <c r="A13" t="s">
        <v>66</v>
      </c>
      <c r="B13" t="s">
        <v>68</v>
      </c>
      <c r="C13">
        <v>1</v>
      </c>
      <c r="D13" t="s">
        <v>95</v>
      </c>
      <c r="E13" t="s">
        <v>88</v>
      </c>
      <c r="F13" t="s">
        <v>89</v>
      </c>
      <c r="G13">
        <v>0.57730945130657196</v>
      </c>
      <c r="H13">
        <v>3E+20</v>
      </c>
      <c r="I13">
        <v>0</v>
      </c>
      <c r="J13">
        <v>1</v>
      </c>
      <c r="K13">
        <v>0.6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ProjectcomiendoInstantaneous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0.54567746104498926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3.6093067502766238E-2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2.5819425095769202E-2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0.48838500773485199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0.59303053253801696</v>
      </c>
      <c r="U13">
        <f>IF((ContinuousStatsTable[[#This Row],[RepsRequested]]&gt;1),ContinuousStatsTable[[#This Row],[HalfWidth]],ContinuousStatsTable[[#This Row],[BatchMeansHalfWidth]])</f>
        <v>2.5819425095769202E-2</v>
      </c>
    </row>
    <row r="14" spans="1:21" x14ac:dyDescent="0.3">
      <c r="A14" t="s">
        <v>66</v>
      </c>
      <c r="B14" t="s">
        <v>68</v>
      </c>
      <c r="C14">
        <v>1</v>
      </c>
      <c r="D14" t="s">
        <v>95</v>
      </c>
      <c r="E14" t="s">
        <v>90</v>
      </c>
      <c r="F14" t="s">
        <v>89</v>
      </c>
      <c r="G14">
        <v>17.319283539197201</v>
      </c>
      <c r="H14">
        <v>3E+20</v>
      </c>
      <c r="I14">
        <v>0</v>
      </c>
      <c r="J14">
        <v>30</v>
      </c>
      <c r="K14">
        <v>18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ProjectcomiendoNumber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16.370323831349687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1.082792025082975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0.77458275287306733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14.651550232045601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17.7909159761405</v>
      </c>
      <c r="U14">
        <f>IF((ContinuousStatsTable[[#This Row],[RepsRequested]]&gt;1),ContinuousStatsTable[[#This Row],[HalfWidth]],ContinuousStatsTable[[#This Row],[BatchMeansHalfWidth]])</f>
        <v>0.77458275287306733</v>
      </c>
    </row>
    <row r="15" spans="1:21" x14ac:dyDescent="0.3">
      <c r="A15" t="s">
        <v>66</v>
      </c>
      <c r="B15" t="s">
        <v>68</v>
      </c>
      <c r="C15">
        <v>1</v>
      </c>
      <c r="D15" t="s">
        <v>95</v>
      </c>
      <c r="E15" t="s">
        <v>91</v>
      </c>
      <c r="F15" t="s">
        <v>89</v>
      </c>
      <c r="G15">
        <v>30</v>
      </c>
      <c r="H15">
        <v>2E+20</v>
      </c>
      <c r="I15">
        <v>30</v>
      </c>
      <c r="J15">
        <v>30</v>
      </c>
      <c r="K15">
        <v>30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ProjectcomiendoNumber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30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30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30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1</v>
      </c>
      <c r="D16" t="s">
        <v>86</v>
      </c>
      <c r="E16" t="s">
        <v>94</v>
      </c>
      <c r="F16" t="s">
        <v>78</v>
      </c>
      <c r="G16">
        <v>9.0476015183399401</v>
      </c>
      <c r="H16">
        <v>2E+20</v>
      </c>
      <c r="I16">
        <v>0</v>
      </c>
      <c r="J16">
        <v>16</v>
      </c>
      <c r="K16">
        <v>12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ProjectcpieWIPEntity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9.2908605330386465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1.4837612545855385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1.0614188602794625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7.9237289708550103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13.0648519439402</v>
      </c>
      <c r="U16">
        <f>IF((ContinuousStatsTable[[#This Row],[RepsRequested]]&gt;1),ContinuousStatsTable[[#This Row],[HalfWidth]],ContinuousStatsTable[[#This Row],[BatchMeansHalfWidth]])</f>
        <v>1.0614188602794625</v>
      </c>
    </row>
    <row r="17" spans="1:21" x14ac:dyDescent="0.3">
      <c r="A17" t="s">
        <v>66</v>
      </c>
      <c r="B17" t="s">
        <v>68</v>
      </c>
      <c r="C17">
        <v>2</v>
      </c>
      <c r="D17" t="s">
        <v>87</v>
      </c>
      <c r="E17" t="s">
        <v>88</v>
      </c>
      <c r="F17" t="s">
        <v>89</v>
      </c>
      <c r="G17">
        <v>0.61729336028116999</v>
      </c>
      <c r="H17">
        <v>2E+20</v>
      </c>
      <c r="I17">
        <v>0</v>
      </c>
      <c r="J17">
        <v>1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ProjectLlegada PedidosInstantaneous UtilizationResource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0.6595273690195278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4.3257074173814004E-2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3.0944246742323132E-2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0.59113797604853702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0.72596398581696897</v>
      </c>
      <c r="U17">
        <f>IF((ContinuousStatsTable[[#This Row],[RepsRequested]]&gt;1),ContinuousStatsTable[[#This Row],[HalfWidth]],ContinuousStatsTable[[#This Row],[BatchMeansHalfWidth]])</f>
        <v>3.0944246742323132E-2</v>
      </c>
    </row>
    <row r="18" spans="1:21" x14ac:dyDescent="0.3">
      <c r="A18" t="s">
        <v>66</v>
      </c>
      <c r="B18" t="s">
        <v>68</v>
      </c>
      <c r="C18">
        <v>2</v>
      </c>
      <c r="D18" t="s">
        <v>87</v>
      </c>
      <c r="E18" t="s">
        <v>90</v>
      </c>
      <c r="F18" t="s">
        <v>89</v>
      </c>
      <c r="G18">
        <v>3.52604997538069</v>
      </c>
      <c r="H18">
        <v>2E+20</v>
      </c>
      <c r="I18">
        <v>0</v>
      </c>
      <c r="J18">
        <v>6</v>
      </c>
      <c r="K18">
        <v>6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ProjectLlegada PedidosNumber BusyResource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3.8048219931471854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0.26298250620112912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0.18812635196045085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3.4272486518987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4.1920593242441404</v>
      </c>
      <c r="U18">
        <f>IF((ContinuousStatsTable[[#This Row],[RepsRequested]]&gt;1),ContinuousStatsTable[[#This Row],[HalfWidth]],ContinuousStatsTable[[#This Row],[BatchMeansHalfWidth]])</f>
        <v>0.18812635196045085</v>
      </c>
    </row>
    <row r="19" spans="1:21" x14ac:dyDescent="0.3">
      <c r="A19" t="s">
        <v>66</v>
      </c>
      <c r="B19" t="s">
        <v>68</v>
      </c>
      <c r="C19">
        <v>2</v>
      </c>
      <c r="D19" t="s">
        <v>87</v>
      </c>
      <c r="E19" t="s">
        <v>91</v>
      </c>
      <c r="F19" t="s">
        <v>89</v>
      </c>
      <c r="G19">
        <v>5.75</v>
      </c>
      <c r="H19">
        <v>2E+20</v>
      </c>
      <c r="I19">
        <v>5</v>
      </c>
      <c r="J19">
        <v>6</v>
      </c>
      <c r="K19">
        <v>6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ProjectLlegada PedidosNumber ScheduledResource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5.75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5.75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5.75</v>
      </c>
      <c r="U19">
        <f>IF((ContinuousStatsTable[[#This Row],[RepsRequested]]&gt;1),ContinuousStatsTable[[#This Row],[HalfWidth]],ContinuousStatsTable[[#This Row],[BatchMeansHalfWidth]])</f>
        <v>0</v>
      </c>
    </row>
    <row r="20" spans="1:21" x14ac:dyDescent="0.3">
      <c r="A20" t="s">
        <v>66</v>
      </c>
      <c r="B20" t="s">
        <v>68</v>
      </c>
      <c r="C20">
        <v>2</v>
      </c>
      <c r="D20" t="s">
        <v>72</v>
      </c>
      <c r="E20" t="s">
        <v>92</v>
      </c>
      <c r="F20" t="s">
        <v>74</v>
      </c>
      <c r="G20">
        <v>2.7120760041646501</v>
      </c>
      <c r="H20">
        <v>2E+20</v>
      </c>
      <c r="I20">
        <v>0</v>
      </c>
      <c r="J20">
        <v>34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ProjectPedidosCobros.QueueNumber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3.4276072930460231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1.2805781327766621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0.91607041091680408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1.4388039171548199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5.2886106373322104</v>
      </c>
      <c r="U20">
        <f>IF((ContinuousStatsTable[[#This Row],[RepsRequested]]&gt;1),ContinuousStatsTable[[#This Row],[HalfWidth]],ContinuousStatsTable[[#This Row],[BatchMeansHalfWidth]])</f>
        <v>0.91607041091680408</v>
      </c>
    </row>
    <row r="21" spans="1:21" x14ac:dyDescent="0.3">
      <c r="A21" t="s">
        <v>66</v>
      </c>
      <c r="B21" t="s">
        <v>68</v>
      </c>
      <c r="C21">
        <v>2</v>
      </c>
      <c r="D21" t="s">
        <v>93</v>
      </c>
      <c r="E21" t="s">
        <v>88</v>
      </c>
      <c r="F21" t="s">
        <v>89</v>
      </c>
      <c r="G21">
        <v>0.52140268946801405</v>
      </c>
      <c r="H21">
        <v>2E+20</v>
      </c>
      <c r="I21">
        <v>0</v>
      </c>
      <c r="J21">
        <v>1</v>
      </c>
      <c r="K21">
        <v>0.5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ProjectRecoger pedidosInstantaneous UtilizationResource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0.5604361436219214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3.5315793681560653E-2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2.5263396899939575E-2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0.51502488611470398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0.60298436758055496</v>
      </c>
      <c r="U21">
        <f>IF((ContinuousStatsTable[[#This Row],[RepsRequested]]&gt;1),ContinuousStatsTable[[#This Row],[HalfWidth]],ContinuousStatsTable[[#This Row],[BatchMeansHalfWidth]])</f>
        <v>2.5263396899939575E-2</v>
      </c>
    </row>
    <row r="22" spans="1:21" x14ac:dyDescent="0.3">
      <c r="A22" t="s">
        <v>66</v>
      </c>
      <c r="B22" t="s">
        <v>68</v>
      </c>
      <c r="C22">
        <v>2</v>
      </c>
      <c r="D22" t="s">
        <v>93</v>
      </c>
      <c r="E22" t="s">
        <v>90</v>
      </c>
      <c r="F22" t="s">
        <v>89</v>
      </c>
      <c r="G22">
        <v>0.99292459162855795</v>
      </c>
      <c r="H22">
        <v>2E+20</v>
      </c>
      <c r="I22">
        <v>0</v>
      </c>
      <c r="J22">
        <v>2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ProjectRecoger pedidosNumber BusyResource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1.0569098141964663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6.5634037857285929E-2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4.695176224794953E-2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0.95438389742001095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1.1377394211218801</v>
      </c>
      <c r="U22">
        <f>IF((ContinuousStatsTable[[#This Row],[RepsRequested]]&gt;1),ContinuousStatsTable[[#This Row],[HalfWidth]],ContinuousStatsTable[[#This Row],[BatchMeansHalfWidth]])</f>
        <v>4.695176224794953E-2</v>
      </c>
    </row>
    <row r="23" spans="1:21" x14ac:dyDescent="0.3">
      <c r="A23" t="s">
        <v>66</v>
      </c>
      <c r="B23" t="s">
        <v>68</v>
      </c>
      <c r="C23">
        <v>2</v>
      </c>
      <c r="D23" t="s">
        <v>93</v>
      </c>
      <c r="E23" t="s">
        <v>91</v>
      </c>
      <c r="F23" t="s">
        <v>89</v>
      </c>
      <c r="G23">
        <v>1.9166666666666701</v>
      </c>
      <c r="H23">
        <v>2E+20</v>
      </c>
      <c r="I23">
        <v>1</v>
      </c>
      <c r="J23">
        <v>2</v>
      </c>
      <c r="K23">
        <v>2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ProjectRecoger pedidosNumber ScheduledResource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1.9166666666666701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1.9166666666666701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1.9166666666666701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3">
      <c r="A24" t="s">
        <v>66</v>
      </c>
      <c r="B24" t="s">
        <v>68</v>
      </c>
      <c r="C24">
        <v>2</v>
      </c>
      <c r="D24" t="s">
        <v>75</v>
      </c>
      <c r="E24" t="s">
        <v>92</v>
      </c>
      <c r="F24" t="s">
        <v>74</v>
      </c>
      <c r="G24">
        <v>0.136826810923111</v>
      </c>
      <c r="H24">
        <v>2E+20</v>
      </c>
      <c r="I24">
        <v>0</v>
      </c>
      <c r="J24">
        <v>3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ProjectRecoger.QueueNumber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0.4031279969367848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0.21310533808048257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0.15244637529508648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0.136826810923111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0.81622840356734405</v>
      </c>
      <c r="U24">
        <f>IF((ContinuousStatsTable[[#This Row],[RepsRequested]]&gt;1),ContinuousStatsTable[[#This Row],[HalfWidth]],ContinuousStatsTable[[#This Row],[BatchMeansHalfWidth]])</f>
        <v>0.15244637529508648</v>
      </c>
    </row>
    <row r="25" spans="1:21" x14ac:dyDescent="0.3">
      <c r="A25" t="s">
        <v>66</v>
      </c>
      <c r="B25" t="s">
        <v>68</v>
      </c>
      <c r="C25">
        <v>2</v>
      </c>
      <c r="D25" t="s">
        <v>76</v>
      </c>
      <c r="E25" t="s">
        <v>94</v>
      </c>
      <c r="F25" t="s">
        <v>78</v>
      </c>
      <c r="G25">
        <v>6.3088136459921804</v>
      </c>
      <c r="H25">
        <v>2E+20</v>
      </c>
      <c r="I25">
        <v>0</v>
      </c>
      <c r="J25">
        <v>39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ProjectcbusWIPEntity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5.0665845774105804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0.71136839542638619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0.50888229435753596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3.9372015551464701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6.3088136459921804</v>
      </c>
      <c r="U25">
        <f>IF((ContinuousStatsTable[[#This Row],[RepsRequested]]&gt;1),ContinuousStatsTable[[#This Row],[HalfWidth]],ContinuousStatsTable[[#This Row],[BatchMeansHalfWidth]])</f>
        <v>0.50888229435753596</v>
      </c>
    </row>
    <row r="26" spans="1:21" x14ac:dyDescent="0.3">
      <c r="A26" t="s">
        <v>66</v>
      </c>
      <c r="B26" t="s">
        <v>68</v>
      </c>
      <c r="C26">
        <v>2</v>
      </c>
      <c r="D26" t="s">
        <v>84</v>
      </c>
      <c r="E26" t="s">
        <v>94</v>
      </c>
      <c r="F26" t="s">
        <v>78</v>
      </c>
      <c r="G26">
        <v>10.482161082377001</v>
      </c>
      <c r="H26">
        <v>2E+20</v>
      </c>
      <c r="I26">
        <v>0</v>
      </c>
      <c r="J26">
        <v>26</v>
      </c>
      <c r="K26">
        <v>13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ProjectccocheWIPEntity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12.759236186141919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1.7106325956849093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1.2237128409017237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10.2386187303012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15.1535027543102</v>
      </c>
      <c r="U26">
        <f>IF((ContinuousStatsTable[[#This Row],[RepsRequested]]&gt;1),ContinuousStatsTable[[#This Row],[HalfWidth]],ContinuousStatsTable[[#This Row],[BatchMeansHalfWidth]])</f>
        <v>1.2237128409017237</v>
      </c>
    </row>
    <row r="27" spans="1:21" x14ac:dyDescent="0.3">
      <c r="A27" t="s">
        <v>66</v>
      </c>
      <c r="B27" t="s">
        <v>68</v>
      </c>
      <c r="C27">
        <v>2</v>
      </c>
      <c r="D27" t="s">
        <v>85</v>
      </c>
      <c r="E27" t="s">
        <v>92</v>
      </c>
      <c r="F27" t="s">
        <v>74</v>
      </c>
      <c r="G27">
        <v>0</v>
      </c>
      <c r="H27">
        <v>2E+20</v>
      </c>
      <c r="I27">
        <v>0</v>
      </c>
      <c r="J27">
        <v>0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Projectcomer.QueueNumber WaitingQueue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2.0890695640067989E-2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2.1893740410825115E-2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1.5661838400412763E-2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6.7580541961583807E-2</v>
      </c>
      <c r="U27">
        <f>IF((ContinuousStatsTable[[#This Row],[RepsRequested]]&gt;1),ContinuousStatsTable[[#This Row],[HalfWidth]],ContinuousStatsTable[[#This Row],[BatchMeansHalfWidth]])</f>
        <v>1.5661838400412763E-2</v>
      </c>
    </row>
    <row r="28" spans="1:21" x14ac:dyDescent="0.3">
      <c r="A28" t="s">
        <v>66</v>
      </c>
      <c r="B28" t="s">
        <v>68</v>
      </c>
      <c r="C28">
        <v>2</v>
      </c>
      <c r="D28" t="s">
        <v>95</v>
      </c>
      <c r="E28" t="s">
        <v>88</v>
      </c>
      <c r="F28" t="s">
        <v>89</v>
      </c>
      <c r="G28">
        <v>0.51387739349088901</v>
      </c>
      <c r="H28">
        <v>3E+20</v>
      </c>
      <c r="I28">
        <v>0</v>
      </c>
      <c r="J28">
        <v>0.93333333333333302</v>
      </c>
      <c r="K28">
        <v>0.3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ProjectcomiendoInstantaneous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0.54567746104498926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3.6093067502766238E-2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2.5819425095769202E-2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0.48838500773485199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0.59303053253801696</v>
      </c>
      <c r="U28">
        <f>IF((ContinuousStatsTable[[#This Row],[RepsRequested]]&gt;1),ContinuousStatsTable[[#This Row],[HalfWidth]],ContinuousStatsTable[[#This Row],[BatchMeansHalfWidth]])</f>
        <v>2.5819425095769202E-2</v>
      </c>
    </row>
    <row r="29" spans="1:21" x14ac:dyDescent="0.3">
      <c r="A29" t="s">
        <v>66</v>
      </c>
      <c r="B29" t="s">
        <v>68</v>
      </c>
      <c r="C29">
        <v>2</v>
      </c>
      <c r="D29" t="s">
        <v>95</v>
      </c>
      <c r="E29" t="s">
        <v>90</v>
      </c>
      <c r="F29" t="s">
        <v>89</v>
      </c>
      <c r="G29">
        <v>15.416321804726699</v>
      </c>
      <c r="H29">
        <v>3E+20</v>
      </c>
      <c r="I29">
        <v>0</v>
      </c>
      <c r="J29">
        <v>28</v>
      </c>
      <c r="K29">
        <v>9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ProjectcomiendoNumber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16.370323831349687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1.082792025082975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0.77458275287306733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14.651550232045601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17.7909159761405</v>
      </c>
      <c r="U29">
        <f>IF((ContinuousStatsTable[[#This Row],[RepsRequested]]&gt;1),ContinuousStatsTable[[#This Row],[HalfWidth]],ContinuousStatsTable[[#This Row],[BatchMeansHalfWidth]])</f>
        <v>0.77458275287306733</v>
      </c>
    </row>
    <row r="30" spans="1:21" x14ac:dyDescent="0.3">
      <c r="A30" t="s">
        <v>66</v>
      </c>
      <c r="B30" t="s">
        <v>68</v>
      </c>
      <c r="C30">
        <v>2</v>
      </c>
      <c r="D30" t="s">
        <v>95</v>
      </c>
      <c r="E30" t="s">
        <v>91</v>
      </c>
      <c r="F30" t="s">
        <v>89</v>
      </c>
      <c r="G30">
        <v>30</v>
      </c>
      <c r="H30">
        <v>2E+20</v>
      </c>
      <c r="I30">
        <v>30</v>
      </c>
      <c r="J30">
        <v>30</v>
      </c>
      <c r="K30">
        <v>30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ProjectcomiendoNumber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30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30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30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2</v>
      </c>
      <c r="D31" t="s">
        <v>86</v>
      </c>
      <c r="E31" t="s">
        <v>94</v>
      </c>
      <c r="F31" t="s">
        <v>78</v>
      </c>
      <c r="G31">
        <v>7.9237289708550103</v>
      </c>
      <c r="H31">
        <v>2E+20</v>
      </c>
      <c r="I31">
        <v>0</v>
      </c>
      <c r="J31">
        <v>16</v>
      </c>
      <c r="K31">
        <v>6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ProjectcpieWIPEntity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9.2908605330386465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1.4837612545855385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1.0614188602794625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7.9237289708550103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13.0648519439402</v>
      </c>
      <c r="U31">
        <f>IF((ContinuousStatsTable[[#This Row],[RepsRequested]]&gt;1),ContinuousStatsTable[[#This Row],[HalfWidth]],ContinuousStatsTable[[#This Row],[BatchMeansHalfWidth]])</f>
        <v>1.0614188602794625</v>
      </c>
    </row>
    <row r="32" spans="1:21" x14ac:dyDescent="0.3">
      <c r="A32" t="s">
        <v>66</v>
      </c>
      <c r="B32" t="s">
        <v>68</v>
      </c>
      <c r="C32">
        <v>3</v>
      </c>
      <c r="D32" t="s">
        <v>87</v>
      </c>
      <c r="E32" t="s">
        <v>88</v>
      </c>
      <c r="F32" t="s">
        <v>89</v>
      </c>
      <c r="G32">
        <v>0.61964331576710496</v>
      </c>
      <c r="H32">
        <v>2E+20</v>
      </c>
      <c r="I32">
        <v>0</v>
      </c>
      <c r="J32">
        <v>1</v>
      </c>
      <c r="K32">
        <v>0.83333333333333304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ProjectLlegada PedidosInstantaneous UtilizationResource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0.6595273690195278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4.3257074173814004E-2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3.0944246742323132E-2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0.59113797604853702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0.72596398581696897</v>
      </c>
      <c r="U32">
        <f>IF((ContinuousStatsTable[[#This Row],[RepsRequested]]&gt;1),ContinuousStatsTable[[#This Row],[HalfWidth]],ContinuousStatsTable[[#This Row],[BatchMeansHalfWidth]])</f>
        <v>3.0944246742323132E-2</v>
      </c>
    </row>
    <row r="33" spans="1:21" x14ac:dyDescent="0.3">
      <c r="A33" t="s">
        <v>66</v>
      </c>
      <c r="B33" t="s">
        <v>68</v>
      </c>
      <c r="C33">
        <v>3</v>
      </c>
      <c r="D33" t="s">
        <v>87</v>
      </c>
      <c r="E33" t="s">
        <v>90</v>
      </c>
      <c r="F33" t="s">
        <v>89</v>
      </c>
      <c r="G33">
        <v>3.53734884268213</v>
      </c>
      <c r="H33">
        <v>2E+20</v>
      </c>
      <c r="I33">
        <v>0</v>
      </c>
      <c r="J33">
        <v>6</v>
      </c>
      <c r="K33">
        <v>5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ProjectLlegada PedidosNumber BusyResource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3.8048219931471854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0.26298250620112912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0.18812635196045085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3.4272486518987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4.1920593242441404</v>
      </c>
      <c r="U33">
        <f>IF((ContinuousStatsTable[[#This Row],[RepsRequested]]&gt;1),ContinuousStatsTable[[#This Row],[HalfWidth]],ContinuousStatsTable[[#This Row],[BatchMeansHalfWidth]])</f>
        <v>0.18812635196045085</v>
      </c>
    </row>
    <row r="34" spans="1:21" x14ac:dyDescent="0.3">
      <c r="A34" t="s">
        <v>66</v>
      </c>
      <c r="B34" t="s">
        <v>68</v>
      </c>
      <c r="C34">
        <v>3</v>
      </c>
      <c r="D34" t="s">
        <v>87</v>
      </c>
      <c r="E34" t="s">
        <v>91</v>
      </c>
      <c r="F34" t="s">
        <v>89</v>
      </c>
      <c r="G34">
        <v>5.75</v>
      </c>
      <c r="H34">
        <v>2E+20</v>
      </c>
      <c r="I34">
        <v>5</v>
      </c>
      <c r="J34">
        <v>6</v>
      </c>
      <c r="K34">
        <v>6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ProjectLlegada PedidosNumber ScheduledResource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5.75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5.75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5.75</v>
      </c>
      <c r="U34">
        <f>IF((ContinuousStatsTable[[#This Row],[RepsRequested]]&gt;1),ContinuousStatsTable[[#This Row],[HalfWidth]],ContinuousStatsTable[[#This Row],[BatchMeansHalfWidth]])</f>
        <v>0</v>
      </c>
    </row>
    <row r="35" spans="1:21" x14ac:dyDescent="0.3">
      <c r="A35" t="s">
        <v>66</v>
      </c>
      <c r="B35" t="s">
        <v>68</v>
      </c>
      <c r="C35">
        <v>3</v>
      </c>
      <c r="D35" t="s">
        <v>72</v>
      </c>
      <c r="E35" t="s">
        <v>92</v>
      </c>
      <c r="F35" t="s">
        <v>74</v>
      </c>
      <c r="G35">
        <v>1.4388039171548199</v>
      </c>
      <c r="H35">
        <v>2E+20</v>
      </c>
      <c r="I35">
        <v>0</v>
      </c>
      <c r="J35">
        <v>24</v>
      </c>
      <c r="K35">
        <v>0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ProjectPedidosCobros.QueueNumber WaitingQueue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3.4276072930460231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1.2805781327766621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0.91607041091680408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1.4388039171548199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5.2886106373322104</v>
      </c>
      <c r="U35">
        <f>IF((ContinuousStatsTable[[#This Row],[RepsRequested]]&gt;1),ContinuousStatsTable[[#This Row],[HalfWidth]],ContinuousStatsTable[[#This Row],[BatchMeansHalfWidth]])</f>
        <v>0.91607041091680408</v>
      </c>
    </row>
    <row r="36" spans="1:21" x14ac:dyDescent="0.3">
      <c r="A36" t="s">
        <v>66</v>
      </c>
      <c r="B36" t="s">
        <v>68</v>
      </c>
      <c r="C36">
        <v>3</v>
      </c>
      <c r="D36" t="s">
        <v>93</v>
      </c>
      <c r="E36" t="s">
        <v>88</v>
      </c>
      <c r="F36" t="s">
        <v>89</v>
      </c>
      <c r="G36">
        <v>0.53960646688641101</v>
      </c>
      <c r="H36">
        <v>2E+20</v>
      </c>
      <c r="I36">
        <v>0</v>
      </c>
      <c r="J36">
        <v>1</v>
      </c>
      <c r="K36">
        <v>0.5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ProjectRecoger pedidosInstantaneous UtilizationResource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0.5604361436219214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3.5315793681560653E-2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2.5263396899939575E-2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0.51502488611470398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0.60298436758055496</v>
      </c>
      <c r="U36">
        <f>IF((ContinuousStatsTable[[#This Row],[RepsRequested]]&gt;1),ContinuousStatsTable[[#This Row],[HalfWidth]],ContinuousStatsTable[[#This Row],[BatchMeansHalfWidth]])</f>
        <v>2.5263396899939575E-2</v>
      </c>
    </row>
    <row r="37" spans="1:21" x14ac:dyDescent="0.3">
      <c r="A37" t="s">
        <v>66</v>
      </c>
      <c r="B37" t="s">
        <v>68</v>
      </c>
      <c r="C37">
        <v>3</v>
      </c>
      <c r="D37" t="s">
        <v>93</v>
      </c>
      <c r="E37" t="s">
        <v>90</v>
      </c>
      <c r="F37" t="s">
        <v>89</v>
      </c>
      <c r="G37">
        <v>1.0297332622016999</v>
      </c>
      <c r="H37">
        <v>2E+20</v>
      </c>
      <c r="I37">
        <v>0</v>
      </c>
      <c r="J37">
        <v>2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ProjectRecoger pedidosNumber BusyResource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1.0569098141964663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6.5634037857285929E-2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4.695176224794953E-2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0.95438389742001095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1.1377394211218801</v>
      </c>
      <c r="U37">
        <f>IF((ContinuousStatsTable[[#This Row],[RepsRequested]]&gt;1),ContinuousStatsTable[[#This Row],[HalfWidth]],ContinuousStatsTable[[#This Row],[BatchMeansHalfWidth]])</f>
        <v>4.695176224794953E-2</v>
      </c>
    </row>
    <row r="38" spans="1:21" x14ac:dyDescent="0.3">
      <c r="A38" t="s">
        <v>66</v>
      </c>
      <c r="B38" t="s">
        <v>68</v>
      </c>
      <c r="C38">
        <v>3</v>
      </c>
      <c r="D38" t="s">
        <v>93</v>
      </c>
      <c r="E38" t="s">
        <v>91</v>
      </c>
      <c r="F38" t="s">
        <v>89</v>
      </c>
      <c r="G38">
        <v>1.9166666666666701</v>
      </c>
      <c r="H38">
        <v>2E+20</v>
      </c>
      <c r="I38">
        <v>1</v>
      </c>
      <c r="J38">
        <v>2</v>
      </c>
      <c r="K38">
        <v>2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ProjectRecoger pedidosNumber ScheduledResource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1.9166666666666701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1.9166666666666701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1.9166666666666701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3">
      <c r="A39" t="s">
        <v>66</v>
      </c>
      <c r="B39" t="s">
        <v>68</v>
      </c>
      <c r="C39">
        <v>3</v>
      </c>
      <c r="D39" t="s">
        <v>75</v>
      </c>
      <c r="E39" t="s">
        <v>92</v>
      </c>
      <c r="F39" t="s">
        <v>74</v>
      </c>
      <c r="G39">
        <v>0.210315330004852</v>
      </c>
      <c r="H39">
        <v>2E+20</v>
      </c>
      <c r="I39">
        <v>0</v>
      </c>
      <c r="J39">
        <v>4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ProjectRecoger.QueueNumber WaitingQueue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0.4031279969367848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0.21310533808048257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0.15244637529508648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0.136826810923111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0.81622840356734405</v>
      </c>
      <c r="U39">
        <f>IF((ContinuousStatsTable[[#This Row],[RepsRequested]]&gt;1),ContinuousStatsTable[[#This Row],[HalfWidth]],ContinuousStatsTable[[#This Row],[BatchMeansHalfWidth]])</f>
        <v>0.15244637529508648</v>
      </c>
    </row>
    <row r="40" spans="1:21" x14ac:dyDescent="0.3">
      <c r="A40" t="s">
        <v>66</v>
      </c>
      <c r="B40" t="s">
        <v>68</v>
      </c>
      <c r="C40">
        <v>3</v>
      </c>
      <c r="D40" t="s">
        <v>76</v>
      </c>
      <c r="E40" t="s">
        <v>94</v>
      </c>
      <c r="F40" t="s">
        <v>78</v>
      </c>
      <c r="G40">
        <v>4.1082731090565501</v>
      </c>
      <c r="H40">
        <v>2E+20</v>
      </c>
      <c r="I40">
        <v>0</v>
      </c>
      <c r="J40">
        <v>27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ProjectcbusWIPEntity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5.0665845774105804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0.71136839542638619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0.50888229435753596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3.9372015551464701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6.3088136459921804</v>
      </c>
      <c r="U40">
        <f>IF((ContinuousStatsTable[[#This Row],[RepsRequested]]&gt;1),ContinuousStatsTable[[#This Row],[HalfWidth]],ContinuousStatsTable[[#This Row],[BatchMeansHalfWidth]])</f>
        <v>0.50888229435753596</v>
      </c>
    </row>
    <row r="41" spans="1:21" x14ac:dyDescent="0.3">
      <c r="A41" t="s">
        <v>66</v>
      </c>
      <c r="B41" t="s">
        <v>68</v>
      </c>
      <c r="C41">
        <v>3</v>
      </c>
      <c r="D41" t="s">
        <v>84</v>
      </c>
      <c r="E41" t="s">
        <v>94</v>
      </c>
      <c r="F41" t="s">
        <v>78</v>
      </c>
      <c r="G41">
        <v>11.4221809463043</v>
      </c>
      <c r="H41">
        <v>2E+20</v>
      </c>
      <c r="I41">
        <v>0</v>
      </c>
      <c r="J41">
        <v>23</v>
      </c>
      <c r="K41">
        <v>10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ProjectccocheWIPEntity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12.759236186141919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1.7106325956849093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1.2237128409017237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10.2386187303012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15.1535027543102</v>
      </c>
      <c r="U41">
        <f>IF((ContinuousStatsTable[[#This Row],[RepsRequested]]&gt;1),ContinuousStatsTable[[#This Row],[HalfWidth]],ContinuousStatsTable[[#This Row],[BatchMeansHalfWidth]])</f>
        <v>1.2237128409017237</v>
      </c>
    </row>
    <row r="42" spans="1:21" x14ac:dyDescent="0.3">
      <c r="A42" t="s">
        <v>66</v>
      </c>
      <c r="B42" t="s">
        <v>68</v>
      </c>
      <c r="C42">
        <v>3</v>
      </c>
      <c r="D42" t="s">
        <v>85</v>
      </c>
      <c r="E42" t="s">
        <v>92</v>
      </c>
      <c r="F42" t="s">
        <v>74</v>
      </c>
      <c r="G42">
        <v>4.9905992453201297E-3</v>
      </c>
      <c r="H42">
        <v>2E+20</v>
      </c>
      <c r="I42">
        <v>0</v>
      </c>
      <c r="J42">
        <v>1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Projectcomer.QueueNumber WaitingQueue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2.0890695640067989E-2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2.1893740410825115E-2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1.5661838400412763E-2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6.7580541961583807E-2</v>
      </c>
      <c r="U42">
        <f>IF((ContinuousStatsTable[[#This Row],[RepsRequested]]&gt;1),ContinuousStatsTable[[#This Row],[HalfWidth]],ContinuousStatsTable[[#This Row],[BatchMeansHalfWidth]])</f>
        <v>1.5661838400412763E-2</v>
      </c>
    </row>
    <row r="43" spans="1:21" x14ac:dyDescent="0.3">
      <c r="A43" t="s">
        <v>66</v>
      </c>
      <c r="B43" t="s">
        <v>68</v>
      </c>
      <c r="C43">
        <v>3</v>
      </c>
      <c r="D43" t="s">
        <v>95</v>
      </c>
      <c r="E43" t="s">
        <v>88</v>
      </c>
      <c r="F43" t="s">
        <v>89</v>
      </c>
      <c r="G43">
        <v>0.51857512758874302</v>
      </c>
      <c r="H43">
        <v>3E+20</v>
      </c>
      <c r="I43">
        <v>0</v>
      </c>
      <c r="J43">
        <v>1</v>
      </c>
      <c r="K43">
        <v>0.33333333333333298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ProjectcomiendoInstantaneous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0.54567746104498926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3.6093067502766238E-2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2.5819425095769202E-2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0.48838500773485199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0.59303053253801696</v>
      </c>
      <c r="U43">
        <f>IF((ContinuousStatsTable[[#This Row],[RepsRequested]]&gt;1),ContinuousStatsTable[[#This Row],[HalfWidth]],ContinuousStatsTable[[#This Row],[BatchMeansHalfWidth]])</f>
        <v>2.5819425095769202E-2</v>
      </c>
    </row>
    <row r="44" spans="1:21" x14ac:dyDescent="0.3">
      <c r="A44" t="s">
        <v>66</v>
      </c>
      <c r="B44" t="s">
        <v>68</v>
      </c>
      <c r="C44">
        <v>3</v>
      </c>
      <c r="D44" t="s">
        <v>95</v>
      </c>
      <c r="E44" t="s">
        <v>90</v>
      </c>
      <c r="F44" t="s">
        <v>89</v>
      </c>
      <c r="G44">
        <v>15.557253827662301</v>
      </c>
      <c r="H44">
        <v>3E+20</v>
      </c>
      <c r="I44">
        <v>0</v>
      </c>
      <c r="J44">
        <v>30</v>
      </c>
      <c r="K44">
        <v>10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ProjectcomiendoNumber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16.370323831349687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1.082792025082975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0.77458275287306733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14.651550232045601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17.7909159761405</v>
      </c>
      <c r="U44">
        <f>IF((ContinuousStatsTable[[#This Row],[RepsRequested]]&gt;1),ContinuousStatsTable[[#This Row],[HalfWidth]],ContinuousStatsTable[[#This Row],[BatchMeansHalfWidth]])</f>
        <v>0.77458275287306733</v>
      </c>
    </row>
    <row r="45" spans="1:21" x14ac:dyDescent="0.3">
      <c r="A45" t="s">
        <v>66</v>
      </c>
      <c r="B45" t="s">
        <v>68</v>
      </c>
      <c r="C45">
        <v>3</v>
      </c>
      <c r="D45" t="s">
        <v>95</v>
      </c>
      <c r="E45" t="s">
        <v>91</v>
      </c>
      <c r="F45" t="s">
        <v>89</v>
      </c>
      <c r="G45">
        <v>30</v>
      </c>
      <c r="H45">
        <v>2E+20</v>
      </c>
      <c r="I45">
        <v>30</v>
      </c>
      <c r="J45">
        <v>30</v>
      </c>
      <c r="K45">
        <v>30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ProjectcomiendoNumber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30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30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30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3</v>
      </c>
      <c r="D46" t="s">
        <v>86</v>
      </c>
      <c r="E46" t="s">
        <v>94</v>
      </c>
      <c r="F46" t="s">
        <v>78</v>
      </c>
      <c r="G46">
        <v>8.2430938173966304</v>
      </c>
      <c r="H46">
        <v>2E+20</v>
      </c>
      <c r="I46">
        <v>0</v>
      </c>
      <c r="J46">
        <v>13</v>
      </c>
      <c r="K46">
        <v>7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ProjectcpieWIPEntity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9.2908605330386465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1.4837612545855385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1.0614188602794625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7.9237289708550103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13.0648519439402</v>
      </c>
      <c r="U46">
        <f>IF((ContinuousStatsTable[[#This Row],[RepsRequested]]&gt;1),ContinuousStatsTable[[#This Row],[HalfWidth]],ContinuousStatsTable[[#This Row],[BatchMeansHalfWidth]])</f>
        <v>1.0614188602794625</v>
      </c>
    </row>
    <row r="47" spans="1:21" x14ac:dyDescent="0.3">
      <c r="A47" t="s">
        <v>66</v>
      </c>
      <c r="B47" t="s">
        <v>68</v>
      </c>
      <c r="C47">
        <v>4</v>
      </c>
      <c r="D47" t="s">
        <v>87</v>
      </c>
      <c r="E47" t="s">
        <v>88</v>
      </c>
      <c r="F47" t="s">
        <v>89</v>
      </c>
      <c r="G47">
        <v>0.66925794833252505</v>
      </c>
      <c r="H47">
        <v>2E+20</v>
      </c>
      <c r="I47">
        <v>0</v>
      </c>
      <c r="J47">
        <v>1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ProjectLlegada PedidosInstantaneous UtilizationResource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0.6595273690195278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4.3257074173814004E-2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3.0944246742323132E-2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0.59113797604853702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0.72596398581696897</v>
      </c>
      <c r="U47">
        <f>IF((ContinuousStatsTable[[#This Row],[RepsRequested]]&gt;1),ContinuousStatsTable[[#This Row],[HalfWidth]],ContinuousStatsTable[[#This Row],[BatchMeansHalfWidth]])</f>
        <v>3.0944246742323132E-2</v>
      </c>
    </row>
    <row r="48" spans="1:21" x14ac:dyDescent="0.3">
      <c r="A48" t="s">
        <v>66</v>
      </c>
      <c r="B48" t="s">
        <v>68</v>
      </c>
      <c r="C48">
        <v>4</v>
      </c>
      <c r="D48" t="s">
        <v>87</v>
      </c>
      <c r="E48" t="s">
        <v>90</v>
      </c>
      <c r="F48" t="s">
        <v>89</v>
      </c>
      <c r="G48">
        <v>3.90999407398323</v>
      </c>
      <c r="H48">
        <v>2E+20</v>
      </c>
      <c r="I48">
        <v>0</v>
      </c>
      <c r="J48">
        <v>6</v>
      </c>
      <c r="K48">
        <v>6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ProjectLlegada PedidosNumber BusyResource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3.8048219931471854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0.26298250620112912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0.18812635196045085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3.4272486518987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4.1920593242441404</v>
      </c>
      <c r="U48">
        <f>IF((ContinuousStatsTable[[#This Row],[RepsRequested]]&gt;1),ContinuousStatsTable[[#This Row],[HalfWidth]],ContinuousStatsTable[[#This Row],[BatchMeansHalfWidth]])</f>
        <v>0.18812635196045085</v>
      </c>
    </row>
    <row r="49" spans="1:21" x14ac:dyDescent="0.3">
      <c r="A49" t="s">
        <v>66</v>
      </c>
      <c r="B49" t="s">
        <v>68</v>
      </c>
      <c r="C49">
        <v>4</v>
      </c>
      <c r="D49" t="s">
        <v>87</v>
      </c>
      <c r="E49" t="s">
        <v>91</v>
      </c>
      <c r="F49" t="s">
        <v>89</v>
      </c>
      <c r="G49">
        <v>5.75</v>
      </c>
      <c r="H49">
        <v>2E+20</v>
      </c>
      <c r="I49">
        <v>5</v>
      </c>
      <c r="J49">
        <v>6</v>
      </c>
      <c r="K49">
        <v>6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ProjectLlegada PedidosNumber ScheduledResource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5.75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5.75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5.75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3">
      <c r="A50" t="s">
        <v>66</v>
      </c>
      <c r="B50" t="s">
        <v>68</v>
      </c>
      <c r="C50">
        <v>4</v>
      </c>
      <c r="D50" t="s">
        <v>72</v>
      </c>
      <c r="E50" t="s">
        <v>92</v>
      </c>
      <c r="F50" t="s">
        <v>74</v>
      </c>
      <c r="G50">
        <v>4.3620266859353203</v>
      </c>
      <c r="H50">
        <v>2E+20</v>
      </c>
      <c r="I50">
        <v>0</v>
      </c>
      <c r="J50">
        <v>34</v>
      </c>
      <c r="K50">
        <v>3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ProjectPedidosCobros.QueueNumber WaitingQueue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3.4276072930460231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1.2805781327766621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0.91607041091680408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1.4388039171548199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5.2886106373322104</v>
      </c>
      <c r="U50">
        <f>IF((ContinuousStatsTable[[#This Row],[RepsRequested]]&gt;1),ContinuousStatsTable[[#This Row],[HalfWidth]],ContinuousStatsTable[[#This Row],[BatchMeansHalfWidth]])</f>
        <v>0.91607041091680408</v>
      </c>
    </row>
    <row r="51" spans="1:21" x14ac:dyDescent="0.3">
      <c r="A51" t="s">
        <v>66</v>
      </c>
      <c r="B51" t="s">
        <v>68</v>
      </c>
      <c r="C51">
        <v>4</v>
      </c>
      <c r="D51" t="s">
        <v>93</v>
      </c>
      <c r="E51" t="s">
        <v>88</v>
      </c>
      <c r="F51" t="s">
        <v>89</v>
      </c>
      <c r="G51">
        <v>0.55233823103475599</v>
      </c>
      <c r="H51">
        <v>2E+20</v>
      </c>
      <c r="I51">
        <v>0</v>
      </c>
      <c r="J51">
        <v>1</v>
      </c>
      <c r="K51">
        <v>1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ProjectRecoger pedidosInstantaneous UtilizationResource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0.5604361436219214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3.5315793681560653E-2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2.5263396899939575E-2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0.51502488611470398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0.60298436758055496</v>
      </c>
      <c r="U51">
        <f>IF((ContinuousStatsTable[[#This Row],[RepsRequested]]&gt;1),ContinuousStatsTable[[#This Row],[HalfWidth]],ContinuousStatsTable[[#This Row],[BatchMeansHalfWidth]])</f>
        <v>2.5263396899939575E-2</v>
      </c>
    </row>
    <row r="52" spans="1:21" x14ac:dyDescent="0.3">
      <c r="A52" t="s">
        <v>66</v>
      </c>
      <c r="B52" t="s">
        <v>68</v>
      </c>
      <c r="C52">
        <v>4</v>
      </c>
      <c r="D52" t="s">
        <v>93</v>
      </c>
      <c r="E52" t="s">
        <v>90</v>
      </c>
      <c r="F52" t="s">
        <v>89</v>
      </c>
      <c r="G52">
        <v>1.02391949994034</v>
      </c>
      <c r="H52">
        <v>2E+20</v>
      </c>
      <c r="I52">
        <v>0</v>
      </c>
      <c r="J52">
        <v>2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ProjectRecoger pedidosNumber BusyResource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1.0569098141964663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6.5634037857285929E-2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4.695176224794953E-2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0.95438389742001095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1.1377394211218801</v>
      </c>
      <c r="U52">
        <f>IF((ContinuousStatsTable[[#This Row],[RepsRequested]]&gt;1),ContinuousStatsTable[[#This Row],[HalfWidth]],ContinuousStatsTable[[#This Row],[BatchMeansHalfWidth]])</f>
        <v>4.695176224794953E-2</v>
      </c>
    </row>
    <row r="53" spans="1:21" x14ac:dyDescent="0.3">
      <c r="A53" t="s">
        <v>66</v>
      </c>
      <c r="B53" t="s">
        <v>68</v>
      </c>
      <c r="C53">
        <v>4</v>
      </c>
      <c r="D53" t="s">
        <v>93</v>
      </c>
      <c r="E53" t="s">
        <v>91</v>
      </c>
      <c r="F53" t="s">
        <v>89</v>
      </c>
      <c r="G53">
        <v>1.9166666666666701</v>
      </c>
      <c r="H53">
        <v>2E+20</v>
      </c>
      <c r="I53">
        <v>1</v>
      </c>
      <c r="J53">
        <v>2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ProjectRecoger pedidosNumber ScheduledResource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1.9166666666666701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1.9166666666666701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1.9166666666666701</v>
      </c>
      <c r="U53">
        <f>IF((ContinuousStatsTable[[#This Row],[RepsRequested]]&gt;1),ContinuousStatsTable[[#This Row],[HalfWidth]],ContinuousStatsTable[[#This Row],[BatchMeansHalfWidth]])</f>
        <v>0</v>
      </c>
    </row>
    <row r="54" spans="1:21" x14ac:dyDescent="0.3">
      <c r="A54" t="s">
        <v>66</v>
      </c>
      <c r="B54" t="s">
        <v>68</v>
      </c>
      <c r="C54">
        <v>4</v>
      </c>
      <c r="D54" t="s">
        <v>75</v>
      </c>
      <c r="E54" t="s">
        <v>92</v>
      </c>
      <c r="F54" t="s">
        <v>74</v>
      </c>
      <c r="G54">
        <v>0.81622840356734405</v>
      </c>
      <c r="H54">
        <v>2E+20</v>
      </c>
      <c r="I54">
        <v>0</v>
      </c>
      <c r="J54">
        <v>16</v>
      </c>
      <c r="K54">
        <v>15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ProjectRecoger.QueueNumber WaitingQueue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0.4031279969367848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0.21310533808048257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0.15244637529508648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0.136826810923111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0.81622840356734405</v>
      </c>
      <c r="U54">
        <f>IF((ContinuousStatsTable[[#This Row],[RepsRequested]]&gt;1),ContinuousStatsTable[[#This Row],[HalfWidth]],ContinuousStatsTable[[#This Row],[BatchMeansHalfWidth]])</f>
        <v>0.15244637529508648</v>
      </c>
    </row>
    <row r="55" spans="1:21" x14ac:dyDescent="0.3">
      <c r="A55" t="s">
        <v>66</v>
      </c>
      <c r="B55" t="s">
        <v>68</v>
      </c>
      <c r="C55">
        <v>4</v>
      </c>
      <c r="D55" t="s">
        <v>76</v>
      </c>
      <c r="E55" t="s">
        <v>94</v>
      </c>
      <c r="F55" t="s">
        <v>78</v>
      </c>
      <c r="G55">
        <v>5.2017760751262099</v>
      </c>
      <c r="H55">
        <v>2E+20</v>
      </c>
      <c r="I55">
        <v>0</v>
      </c>
      <c r="J55">
        <v>33</v>
      </c>
      <c r="K55">
        <v>0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ProjectcbusWIPEntity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5.0665845774105804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0.71136839542638619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0.50888229435753596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3.9372015551464701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6.3088136459921804</v>
      </c>
      <c r="U55">
        <f>IF((ContinuousStatsTable[[#This Row],[RepsRequested]]&gt;1),ContinuousStatsTable[[#This Row],[HalfWidth]],ContinuousStatsTable[[#This Row],[BatchMeansHalfWidth]])</f>
        <v>0.50888229435753596</v>
      </c>
    </row>
    <row r="56" spans="1:21" x14ac:dyDescent="0.3">
      <c r="A56" t="s">
        <v>66</v>
      </c>
      <c r="B56" t="s">
        <v>68</v>
      </c>
      <c r="C56">
        <v>4</v>
      </c>
      <c r="D56" t="s">
        <v>84</v>
      </c>
      <c r="E56" t="s">
        <v>94</v>
      </c>
      <c r="F56" t="s">
        <v>78</v>
      </c>
      <c r="G56">
        <v>13.5372452713921</v>
      </c>
      <c r="H56">
        <v>2E+20</v>
      </c>
      <c r="I56">
        <v>0</v>
      </c>
      <c r="J56">
        <v>33</v>
      </c>
      <c r="K56">
        <v>31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ProjectccocheWIPEntity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12.759236186141919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1.7106325956849093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1.2237128409017237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10.2386187303012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15.1535027543102</v>
      </c>
      <c r="U56">
        <f>IF((ContinuousStatsTable[[#This Row],[RepsRequested]]&gt;1),ContinuousStatsTable[[#This Row],[HalfWidth]],ContinuousStatsTable[[#This Row],[BatchMeansHalfWidth]])</f>
        <v>1.2237128409017237</v>
      </c>
    </row>
    <row r="57" spans="1:21" x14ac:dyDescent="0.3">
      <c r="A57" t="s">
        <v>66</v>
      </c>
      <c r="B57" t="s">
        <v>68</v>
      </c>
      <c r="C57">
        <v>4</v>
      </c>
      <c r="D57" t="s">
        <v>85</v>
      </c>
      <c r="E57" t="s">
        <v>92</v>
      </c>
      <c r="F57" t="s">
        <v>74</v>
      </c>
      <c r="G57">
        <v>4.3821788801672304E-3</v>
      </c>
      <c r="H57">
        <v>2E+20</v>
      </c>
      <c r="I57">
        <v>0</v>
      </c>
      <c r="J57">
        <v>2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Projectcomer.QueueNumber WaitingQueue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2.0890695640067989E-2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2.1893740410825115E-2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1.5661838400412763E-2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6.7580541961583807E-2</v>
      </c>
      <c r="U57">
        <f>IF((ContinuousStatsTable[[#This Row],[RepsRequested]]&gt;1),ContinuousStatsTable[[#This Row],[HalfWidth]],ContinuousStatsTable[[#This Row],[BatchMeansHalfWidth]])</f>
        <v>1.5661838400412763E-2</v>
      </c>
    </row>
    <row r="58" spans="1:21" x14ac:dyDescent="0.3">
      <c r="A58" t="s">
        <v>66</v>
      </c>
      <c r="B58" t="s">
        <v>68</v>
      </c>
      <c r="C58">
        <v>4</v>
      </c>
      <c r="D58" t="s">
        <v>95</v>
      </c>
      <c r="E58" t="s">
        <v>88</v>
      </c>
      <c r="F58" t="s">
        <v>89</v>
      </c>
      <c r="G58">
        <v>0.51436349886460897</v>
      </c>
      <c r="H58">
        <v>3E+20</v>
      </c>
      <c r="I58">
        <v>0</v>
      </c>
      <c r="J58">
        <v>1</v>
      </c>
      <c r="K58">
        <v>0.56666666666666698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ProjectcomiendoInstantaneous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0.54567746104498926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3.6093067502766238E-2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2.5819425095769202E-2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0.48838500773485199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0.59303053253801696</v>
      </c>
      <c r="U58">
        <f>IF((ContinuousStatsTable[[#This Row],[RepsRequested]]&gt;1),ContinuousStatsTable[[#This Row],[HalfWidth]],ContinuousStatsTable[[#This Row],[BatchMeansHalfWidth]])</f>
        <v>2.5819425095769202E-2</v>
      </c>
    </row>
    <row r="59" spans="1:21" x14ac:dyDescent="0.3">
      <c r="A59" t="s">
        <v>66</v>
      </c>
      <c r="B59" t="s">
        <v>68</v>
      </c>
      <c r="C59">
        <v>4</v>
      </c>
      <c r="D59" t="s">
        <v>95</v>
      </c>
      <c r="E59" t="s">
        <v>90</v>
      </c>
      <c r="F59" t="s">
        <v>89</v>
      </c>
      <c r="G59">
        <v>15.4309049659383</v>
      </c>
      <c r="H59">
        <v>3E+20</v>
      </c>
      <c r="I59">
        <v>0</v>
      </c>
      <c r="J59">
        <v>30</v>
      </c>
      <c r="K59">
        <v>17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ProjectcomiendoNumber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16.370323831349687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1.082792025082975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0.77458275287306733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14.651550232045601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17.7909159761405</v>
      </c>
      <c r="U59">
        <f>IF((ContinuousStatsTable[[#This Row],[RepsRequested]]&gt;1),ContinuousStatsTable[[#This Row],[HalfWidth]],ContinuousStatsTable[[#This Row],[BatchMeansHalfWidth]])</f>
        <v>0.77458275287306733</v>
      </c>
    </row>
    <row r="60" spans="1:21" x14ac:dyDescent="0.3">
      <c r="A60" t="s">
        <v>66</v>
      </c>
      <c r="B60" t="s">
        <v>68</v>
      </c>
      <c r="C60">
        <v>4</v>
      </c>
      <c r="D60" t="s">
        <v>95</v>
      </c>
      <c r="E60" t="s">
        <v>91</v>
      </c>
      <c r="F60" t="s">
        <v>89</v>
      </c>
      <c r="G60">
        <v>30</v>
      </c>
      <c r="H60">
        <v>2E+20</v>
      </c>
      <c r="I60">
        <v>30</v>
      </c>
      <c r="J60">
        <v>30</v>
      </c>
      <c r="K60">
        <v>30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ProjectcomiendoNumber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30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30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30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4</v>
      </c>
      <c r="D61" t="s">
        <v>86</v>
      </c>
      <c r="E61" t="s">
        <v>94</v>
      </c>
      <c r="F61" t="s">
        <v>78</v>
      </c>
      <c r="G61">
        <v>8.7766386927774693</v>
      </c>
      <c r="H61">
        <v>2E+20</v>
      </c>
      <c r="I61">
        <v>0</v>
      </c>
      <c r="J61">
        <v>17</v>
      </c>
      <c r="K61">
        <v>15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ProjectcpieWIPEntity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9.2908605330386465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1.4837612545855385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1.0614188602794625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7.9237289708550103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13.0648519439402</v>
      </c>
      <c r="U61">
        <f>IF((ContinuousStatsTable[[#This Row],[RepsRequested]]&gt;1),ContinuousStatsTable[[#This Row],[HalfWidth]],ContinuousStatsTable[[#This Row],[BatchMeansHalfWidth]])</f>
        <v>1.0614188602794625</v>
      </c>
    </row>
    <row r="62" spans="1:21" x14ac:dyDescent="0.3">
      <c r="A62" t="s">
        <v>66</v>
      </c>
      <c r="B62" t="s">
        <v>68</v>
      </c>
      <c r="C62">
        <v>5</v>
      </c>
      <c r="D62" t="s">
        <v>87</v>
      </c>
      <c r="E62" t="s">
        <v>88</v>
      </c>
      <c r="F62" t="s">
        <v>89</v>
      </c>
      <c r="G62">
        <v>0.65552193599712805</v>
      </c>
      <c r="H62">
        <v>2E+20</v>
      </c>
      <c r="I62">
        <v>0</v>
      </c>
      <c r="J62">
        <v>1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ProjectLlegada PedidosInstantaneous UtilizationResource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0.6595273690195278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4.3257074173814004E-2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3.0944246742323132E-2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0.59113797604853702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0.72596398581696897</v>
      </c>
      <c r="U62">
        <f>IF((ContinuousStatsTable[[#This Row],[RepsRequested]]&gt;1),ContinuousStatsTable[[#This Row],[HalfWidth]],ContinuousStatsTable[[#This Row],[BatchMeansHalfWidth]])</f>
        <v>3.0944246742323132E-2</v>
      </c>
    </row>
    <row r="63" spans="1:21" x14ac:dyDescent="0.3">
      <c r="A63" t="s">
        <v>66</v>
      </c>
      <c r="B63" t="s">
        <v>68</v>
      </c>
      <c r="C63">
        <v>5</v>
      </c>
      <c r="D63" t="s">
        <v>87</v>
      </c>
      <c r="E63" t="s">
        <v>90</v>
      </c>
      <c r="F63" t="s">
        <v>89</v>
      </c>
      <c r="G63">
        <v>3.7403588830491401</v>
      </c>
      <c r="H63">
        <v>2E+20</v>
      </c>
      <c r="I63">
        <v>0</v>
      </c>
      <c r="J63">
        <v>6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ProjectLlegada PedidosNumber BusyResource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3.8048219931471854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0.26298250620112912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0.18812635196045085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3.4272486518987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4.1920593242441404</v>
      </c>
      <c r="U63">
        <f>IF((ContinuousStatsTable[[#This Row],[RepsRequested]]&gt;1),ContinuousStatsTable[[#This Row],[HalfWidth]],ContinuousStatsTable[[#This Row],[BatchMeansHalfWidth]])</f>
        <v>0.18812635196045085</v>
      </c>
    </row>
    <row r="64" spans="1:21" x14ac:dyDescent="0.3">
      <c r="A64" t="s">
        <v>66</v>
      </c>
      <c r="B64" t="s">
        <v>68</v>
      </c>
      <c r="C64">
        <v>5</v>
      </c>
      <c r="D64" t="s">
        <v>87</v>
      </c>
      <c r="E64" t="s">
        <v>91</v>
      </c>
      <c r="F64" t="s">
        <v>89</v>
      </c>
      <c r="G64">
        <v>5.75</v>
      </c>
      <c r="H64">
        <v>2E+20</v>
      </c>
      <c r="I64">
        <v>5</v>
      </c>
      <c r="J64">
        <v>6</v>
      </c>
      <c r="K64">
        <v>6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ProjectLlegada PedidosNumber ScheduledResource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5.75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5.75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5.75</v>
      </c>
      <c r="U64">
        <f>IF((ContinuousStatsTable[[#This Row],[RepsRequested]]&gt;1),ContinuousStatsTable[[#This Row],[HalfWidth]],ContinuousStatsTable[[#This Row],[BatchMeansHalfWidth]])</f>
        <v>0</v>
      </c>
    </row>
    <row r="65" spans="1:21" x14ac:dyDescent="0.3">
      <c r="A65" t="s">
        <v>66</v>
      </c>
      <c r="B65" t="s">
        <v>68</v>
      </c>
      <c r="C65">
        <v>5</v>
      </c>
      <c r="D65" t="s">
        <v>72</v>
      </c>
      <c r="E65" t="s">
        <v>92</v>
      </c>
      <c r="F65" t="s">
        <v>74</v>
      </c>
      <c r="G65">
        <v>4.2192299345172497</v>
      </c>
      <c r="H65">
        <v>2E+20</v>
      </c>
      <c r="I65">
        <v>0</v>
      </c>
      <c r="J65">
        <v>30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ProjectPedidosCobros.QueueNumber WaitingQueue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3.4276072930460231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1.2805781327766621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0.91607041091680408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1.4388039171548199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5.2886106373322104</v>
      </c>
      <c r="U65">
        <f>IF((ContinuousStatsTable[[#This Row],[RepsRequested]]&gt;1),ContinuousStatsTable[[#This Row],[HalfWidth]],ContinuousStatsTable[[#This Row],[BatchMeansHalfWidth]])</f>
        <v>0.91607041091680408</v>
      </c>
    </row>
    <row r="66" spans="1:21" x14ac:dyDescent="0.3">
      <c r="A66" t="s">
        <v>66</v>
      </c>
      <c r="B66" t="s">
        <v>68</v>
      </c>
      <c r="C66">
        <v>5</v>
      </c>
      <c r="D66" t="s">
        <v>93</v>
      </c>
      <c r="E66" t="s">
        <v>88</v>
      </c>
      <c r="F66" t="s">
        <v>89</v>
      </c>
      <c r="G66">
        <v>0.57426982712798502</v>
      </c>
      <c r="H66">
        <v>2E+20</v>
      </c>
      <c r="I66">
        <v>0</v>
      </c>
      <c r="J66">
        <v>1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ProjectRecoger pedidosInstantaneous UtilizationResource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0.5604361436219214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3.5315793681560653E-2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2.5263396899939575E-2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0.51502488611470398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0.60298436758055496</v>
      </c>
      <c r="U66">
        <f>IF((ContinuousStatsTable[[#This Row],[RepsRequested]]&gt;1),ContinuousStatsTable[[#This Row],[HalfWidth]],ContinuousStatsTable[[#This Row],[BatchMeansHalfWidth]])</f>
        <v>2.5263396899939575E-2</v>
      </c>
    </row>
    <row r="67" spans="1:21" x14ac:dyDescent="0.3">
      <c r="A67" t="s">
        <v>66</v>
      </c>
      <c r="B67" t="s">
        <v>68</v>
      </c>
      <c r="C67">
        <v>5</v>
      </c>
      <c r="D67" t="s">
        <v>93</v>
      </c>
      <c r="E67" t="s">
        <v>90</v>
      </c>
      <c r="F67" t="s">
        <v>89</v>
      </c>
      <c r="G67">
        <v>1.1003348262711801</v>
      </c>
      <c r="H67">
        <v>2E+20</v>
      </c>
      <c r="I67">
        <v>0</v>
      </c>
      <c r="J67">
        <v>2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ProjectRecoger pedidosNumber BusyResource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1.0569098141964663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6.5634037857285929E-2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4.695176224794953E-2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0.95438389742001095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1.1377394211218801</v>
      </c>
      <c r="U67">
        <f>IF((ContinuousStatsTable[[#This Row],[RepsRequested]]&gt;1),ContinuousStatsTable[[#This Row],[HalfWidth]],ContinuousStatsTable[[#This Row],[BatchMeansHalfWidth]])</f>
        <v>4.695176224794953E-2</v>
      </c>
    </row>
    <row r="68" spans="1:21" x14ac:dyDescent="0.3">
      <c r="A68" t="s">
        <v>66</v>
      </c>
      <c r="B68" t="s">
        <v>68</v>
      </c>
      <c r="C68">
        <v>5</v>
      </c>
      <c r="D68" t="s">
        <v>93</v>
      </c>
      <c r="E68" t="s">
        <v>91</v>
      </c>
      <c r="F68" t="s">
        <v>89</v>
      </c>
      <c r="G68">
        <v>1.9166666666666701</v>
      </c>
      <c r="H68">
        <v>2E+20</v>
      </c>
      <c r="I68">
        <v>1</v>
      </c>
      <c r="J68">
        <v>2</v>
      </c>
      <c r="K68">
        <v>2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ProjectRecoger pedidosNumber ScheduledResource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1.9166666666666701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1.9166666666666701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1.9166666666666701</v>
      </c>
      <c r="U68">
        <f>IF((ContinuousStatsTable[[#This Row],[RepsRequested]]&gt;1),ContinuousStatsTable[[#This Row],[HalfWidth]],ContinuousStatsTable[[#This Row],[BatchMeansHalfWidth]])</f>
        <v>0</v>
      </c>
    </row>
    <row r="69" spans="1:21" x14ac:dyDescent="0.3">
      <c r="A69" t="s">
        <v>66</v>
      </c>
      <c r="B69" t="s">
        <v>68</v>
      </c>
      <c r="C69">
        <v>5</v>
      </c>
      <c r="D69" t="s">
        <v>75</v>
      </c>
      <c r="E69" t="s">
        <v>92</v>
      </c>
      <c r="F69" t="s">
        <v>74</v>
      </c>
      <c r="G69">
        <v>0.339054882019931</v>
      </c>
      <c r="H69">
        <v>2E+20</v>
      </c>
      <c r="I69">
        <v>0</v>
      </c>
      <c r="J69">
        <v>4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ProjectRecoger.QueueNumber WaitingQueue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0.4031279969367848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0.21310533808048257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0.15244637529508648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0.136826810923111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0.81622840356734405</v>
      </c>
      <c r="U69">
        <f>IF((ContinuousStatsTable[[#This Row],[RepsRequested]]&gt;1),ContinuousStatsTable[[#This Row],[HalfWidth]],ContinuousStatsTable[[#This Row],[BatchMeansHalfWidth]])</f>
        <v>0.15244637529508648</v>
      </c>
    </row>
    <row r="70" spans="1:21" x14ac:dyDescent="0.3">
      <c r="A70" t="s">
        <v>66</v>
      </c>
      <c r="B70" t="s">
        <v>68</v>
      </c>
      <c r="C70">
        <v>5</v>
      </c>
      <c r="D70" t="s">
        <v>76</v>
      </c>
      <c r="E70" t="s">
        <v>94</v>
      </c>
      <c r="F70" t="s">
        <v>78</v>
      </c>
      <c r="G70">
        <v>5.15635231624025</v>
      </c>
      <c r="H70">
        <v>2E+20</v>
      </c>
      <c r="I70">
        <v>0</v>
      </c>
      <c r="J70">
        <v>33</v>
      </c>
      <c r="K70">
        <v>0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ProjectcbusWIPEntity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5.0665845774105804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0.71136839542638619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0.50888229435753596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3.9372015551464701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6.3088136459921804</v>
      </c>
      <c r="U70">
        <f>IF((ContinuousStatsTable[[#This Row],[RepsRequested]]&gt;1),ContinuousStatsTable[[#This Row],[HalfWidth]],ContinuousStatsTable[[#This Row],[BatchMeansHalfWidth]])</f>
        <v>0.50888229435753596</v>
      </c>
    </row>
    <row r="71" spans="1:21" x14ac:dyDescent="0.3">
      <c r="A71" t="s">
        <v>66</v>
      </c>
      <c r="B71" t="s">
        <v>68</v>
      </c>
      <c r="C71">
        <v>5</v>
      </c>
      <c r="D71" t="s">
        <v>84</v>
      </c>
      <c r="E71" t="s">
        <v>94</v>
      </c>
      <c r="F71" t="s">
        <v>78</v>
      </c>
      <c r="G71">
        <v>13.7005832904809</v>
      </c>
      <c r="H71">
        <v>2E+20</v>
      </c>
      <c r="I71">
        <v>0</v>
      </c>
      <c r="J71">
        <v>35</v>
      </c>
      <c r="K71">
        <v>4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ProjectccocheWIPEntity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12.759236186141919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1.7106325956849093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1.2237128409017237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10.2386187303012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15.1535027543102</v>
      </c>
      <c r="U71">
        <f>IF((ContinuousStatsTable[[#This Row],[RepsRequested]]&gt;1),ContinuousStatsTable[[#This Row],[HalfWidth]],ContinuousStatsTable[[#This Row],[BatchMeansHalfWidth]])</f>
        <v>1.2237128409017237</v>
      </c>
    </row>
    <row r="72" spans="1:21" x14ac:dyDescent="0.3">
      <c r="A72" t="s">
        <v>66</v>
      </c>
      <c r="B72" t="s">
        <v>68</v>
      </c>
      <c r="C72">
        <v>5</v>
      </c>
      <c r="D72" t="s">
        <v>85</v>
      </c>
      <c r="E72" t="s">
        <v>92</v>
      </c>
      <c r="F72" t="s">
        <v>74</v>
      </c>
      <c r="G72">
        <v>9.64159938015321E-3</v>
      </c>
      <c r="H72">
        <v>2E+20</v>
      </c>
      <c r="I72">
        <v>0</v>
      </c>
      <c r="J72">
        <v>2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Projectcomer.QueueNumber WaitingQueue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2.0890695640067989E-2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2.1893740410825115E-2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1.5661838400412763E-2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6.7580541961583807E-2</v>
      </c>
      <c r="U72">
        <f>IF((ContinuousStatsTable[[#This Row],[RepsRequested]]&gt;1),ContinuousStatsTable[[#This Row],[HalfWidth]],ContinuousStatsTable[[#This Row],[BatchMeansHalfWidth]])</f>
        <v>1.5661838400412763E-2</v>
      </c>
    </row>
    <row r="73" spans="1:21" x14ac:dyDescent="0.3">
      <c r="A73" t="s">
        <v>66</v>
      </c>
      <c r="B73" t="s">
        <v>68</v>
      </c>
      <c r="C73">
        <v>5</v>
      </c>
      <c r="D73" t="s">
        <v>95</v>
      </c>
      <c r="E73" t="s">
        <v>88</v>
      </c>
      <c r="F73" t="s">
        <v>89</v>
      </c>
      <c r="G73">
        <v>0.56090598326492203</v>
      </c>
      <c r="H73">
        <v>3E+20</v>
      </c>
      <c r="I73">
        <v>0</v>
      </c>
      <c r="J73">
        <v>1</v>
      </c>
      <c r="K73">
        <v>0.33333333333333298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ProjectcomiendoInstantaneous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0.54567746104498926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3.6093067502766238E-2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2.5819425095769202E-2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0.48838500773485199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0.59303053253801696</v>
      </c>
      <c r="U73">
        <f>IF((ContinuousStatsTable[[#This Row],[RepsRequested]]&gt;1),ContinuousStatsTable[[#This Row],[HalfWidth]],ContinuousStatsTable[[#This Row],[BatchMeansHalfWidth]])</f>
        <v>2.5819425095769202E-2</v>
      </c>
    </row>
    <row r="74" spans="1:21" x14ac:dyDescent="0.3">
      <c r="A74" t="s">
        <v>66</v>
      </c>
      <c r="B74" t="s">
        <v>68</v>
      </c>
      <c r="C74">
        <v>5</v>
      </c>
      <c r="D74" t="s">
        <v>95</v>
      </c>
      <c r="E74" t="s">
        <v>90</v>
      </c>
      <c r="F74" t="s">
        <v>89</v>
      </c>
      <c r="G74">
        <v>16.827179497947601</v>
      </c>
      <c r="H74">
        <v>3E+20</v>
      </c>
      <c r="I74">
        <v>0</v>
      </c>
      <c r="J74">
        <v>30</v>
      </c>
      <c r="K74">
        <v>10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ProjectcomiendoNumber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16.370323831349687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1.082792025082975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0.77458275287306733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14.651550232045601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17.7909159761405</v>
      </c>
      <c r="U74">
        <f>IF((ContinuousStatsTable[[#This Row],[RepsRequested]]&gt;1),ContinuousStatsTable[[#This Row],[HalfWidth]],ContinuousStatsTable[[#This Row],[BatchMeansHalfWidth]])</f>
        <v>0.77458275287306733</v>
      </c>
    </row>
    <row r="75" spans="1:21" x14ac:dyDescent="0.3">
      <c r="A75" t="s">
        <v>66</v>
      </c>
      <c r="B75" t="s">
        <v>68</v>
      </c>
      <c r="C75">
        <v>5</v>
      </c>
      <c r="D75" t="s">
        <v>95</v>
      </c>
      <c r="E75" t="s">
        <v>91</v>
      </c>
      <c r="F75" t="s">
        <v>89</v>
      </c>
      <c r="G75">
        <v>30</v>
      </c>
      <c r="H75">
        <v>2E+20</v>
      </c>
      <c r="I75">
        <v>30</v>
      </c>
      <c r="J75">
        <v>30</v>
      </c>
      <c r="K75">
        <v>30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ProjectcomiendoNumber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30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30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30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5</v>
      </c>
      <c r="D76" t="s">
        <v>86</v>
      </c>
      <c r="E76" t="s">
        <v>94</v>
      </c>
      <c r="F76" t="s">
        <v>78</v>
      </c>
      <c r="G76">
        <v>9.4739165338873903</v>
      </c>
      <c r="H76">
        <v>2E+20</v>
      </c>
      <c r="I76">
        <v>0</v>
      </c>
      <c r="J76">
        <v>22</v>
      </c>
      <c r="K76">
        <v>7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ProjectcpieWIPEntity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9.2908605330386465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1.4837612545855385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1.0614188602794625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7.9237289708550103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13.0648519439402</v>
      </c>
      <c r="U76">
        <f>IF((ContinuousStatsTable[[#This Row],[RepsRequested]]&gt;1),ContinuousStatsTable[[#This Row],[HalfWidth]],ContinuousStatsTable[[#This Row],[BatchMeansHalfWidth]])</f>
        <v>1.0614188602794625</v>
      </c>
    </row>
    <row r="77" spans="1:21" x14ac:dyDescent="0.3">
      <c r="A77" t="s">
        <v>66</v>
      </c>
      <c r="B77" t="s">
        <v>68</v>
      </c>
      <c r="C77">
        <v>6</v>
      </c>
      <c r="D77" t="s">
        <v>87</v>
      </c>
      <c r="E77" t="s">
        <v>88</v>
      </c>
      <c r="F77" t="s">
        <v>89</v>
      </c>
      <c r="G77">
        <v>0.72596398581696897</v>
      </c>
      <c r="H77">
        <v>2E+20</v>
      </c>
      <c r="I77">
        <v>0</v>
      </c>
      <c r="J77">
        <v>1</v>
      </c>
      <c r="K77">
        <v>0.33333333333333298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ProjectLlegada PedidosInstantaneous UtilizationResource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0.6595273690195278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4.3257074173814004E-2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3.0944246742323132E-2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0.59113797604853702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0.72596398581696897</v>
      </c>
      <c r="U77">
        <f>IF((ContinuousStatsTable[[#This Row],[RepsRequested]]&gt;1),ContinuousStatsTable[[#This Row],[HalfWidth]],ContinuousStatsTable[[#This Row],[BatchMeansHalfWidth]])</f>
        <v>3.0944246742323132E-2</v>
      </c>
    </row>
    <row r="78" spans="1:21" x14ac:dyDescent="0.3">
      <c r="A78" t="s">
        <v>66</v>
      </c>
      <c r="B78" t="s">
        <v>68</v>
      </c>
      <c r="C78">
        <v>6</v>
      </c>
      <c r="D78" t="s">
        <v>87</v>
      </c>
      <c r="E78" t="s">
        <v>90</v>
      </c>
      <c r="F78" t="s">
        <v>89</v>
      </c>
      <c r="G78">
        <v>4.1920593242441404</v>
      </c>
      <c r="H78">
        <v>2E+20</v>
      </c>
      <c r="I78">
        <v>0</v>
      </c>
      <c r="J78">
        <v>6</v>
      </c>
      <c r="K78">
        <v>2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ProjectLlegada PedidosNumber BusyResource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3.8048219931471854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0.26298250620112912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0.18812635196045085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3.4272486518987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4.1920593242441404</v>
      </c>
      <c r="U78">
        <f>IF((ContinuousStatsTable[[#This Row],[RepsRequested]]&gt;1),ContinuousStatsTable[[#This Row],[HalfWidth]],ContinuousStatsTable[[#This Row],[BatchMeansHalfWidth]])</f>
        <v>0.18812635196045085</v>
      </c>
    </row>
    <row r="79" spans="1:21" x14ac:dyDescent="0.3">
      <c r="A79" t="s">
        <v>66</v>
      </c>
      <c r="B79" t="s">
        <v>68</v>
      </c>
      <c r="C79">
        <v>6</v>
      </c>
      <c r="D79" t="s">
        <v>87</v>
      </c>
      <c r="E79" t="s">
        <v>91</v>
      </c>
      <c r="F79" t="s">
        <v>89</v>
      </c>
      <c r="G79">
        <v>5.75</v>
      </c>
      <c r="H79">
        <v>2E+20</v>
      </c>
      <c r="I79">
        <v>5</v>
      </c>
      <c r="J79">
        <v>6</v>
      </c>
      <c r="K79">
        <v>6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ProjectLlegada PedidosNumber ScheduledResource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5.75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5.75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5.75</v>
      </c>
      <c r="U79">
        <f>IF((ContinuousStatsTable[[#This Row],[RepsRequested]]&gt;1),ContinuousStatsTable[[#This Row],[HalfWidth]],ContinuousStatsTable[[#This Row],[BatchMeansHalfWidth]])</f>
        <v>0</v>
      </c>
    </row>
    <row r="80" spans="1:21" x14ac:dyDescent="0.3">
      <c r="A80" t="s">
        <v>66</v>
      </c>
      <c r="B80" t="s">
        <v>68</v>
      </c>
      <c r="C80">
        <v>6</v>
      </c>
      <c r="D80" t="s">
        <v>72</v>
      </c>
      <c r="E80" t="s">
        <v>92</v>
      </c>
      <c r="F80" t="s">
        <v>74</v>
      </c>
      <c r="G80">
        <v>3.9802122119191301</v>
      </c>
      <c r="H80">
        <v>2E+20</v>
      </c>
      <c r="I80">
        <v>0</v>
      </c>
      <c r="J80">
        <v>31</v>
      </c>
      <c r="K80">
        <v>0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ProjectPedidosCobros.QueueNumber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3.4276072930460231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1.2805781327766621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0.91607041091680408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1.4388039171548199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5.2886106373322104</v>
      </c>
      <c r="U80">
        <f>IF((ContinuousStatsTable[[#This Row],[RepsRequested]]&gt;1),ContinuousStatsTable[[#This Row],[HalfWidth]],ContinuousStatsTable[[#This Row],[BatchMeansHalfWidth]])</f>
        <v>0.91607041091680408</v>
      </c>
    </row>
    <row r="81" spans="1:21" x14ac:dyDescent="0.3">
      <c r="A81" t="s">
        <v>66</v>
      </c>
      <c r="B81" t="s">
        <v>68</v>
      </c>
      <c r="C81">
        <v>6</v>
      </c>
      <c r="D81" t="s">
        <v>93</v>
      </c>
      <c r="E81" t="s">
        <v>88</v>
      </c>
      <c r="F81" t="s">
        <v>89</v>
      </c>
      <c r="G81">
        <v>0.59119971861037901</v>
      </c>
      <c r="H81">
        <v>2E+20</v>
      </c>
      <c r="I81">
        <v>0</v>
      </c>
      <c r="J81">
        <v>1</v>
      </c>
      <c r="K81">
        <v>1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ProjectRecoger pedidosInstantaneous UtilizationResource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0.5604361436219214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3.5315793681560653E-2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2.5263396899939575E-2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0.51502488611470398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0.60298436758055496</v>
      </c>
      <c r="U81">
        <f>IF((ContinuousStatsTable[[#This Row],[RepsRequested]]&gt;1),ContinuousStatsTable[[#This Row],[HalfWidth]],ContinuousStatsTable[[#This Row],[BatchMeansHalfWidth]])</f>
        <v>2.5263396899939575E-2</v>
      </c>
    </row>
    <row r="82" spans="1:21" x14ac:dyDescent="0.3">
      <c r="A82" t="s">
        <v>66</v>
      </c>
      <c r="B82" t="s">
        <v>68</v>
      </c>
      <c r="C82">
        <v>6</v>
      </c>
      <c r="D82" t="s">
        <v>93</v>
      </c>
      <c r="E82" t="s">
        <v>90</v>
      </c>
      <c r="F82" t="s">
        <v>89</v>
      </c>
      <c r="G82">
        <v>1.1005054778213299</v>
      </c>
      <c r="H82">
        <v>2E+20</v>
      </c>
      <c r="I82">
        <v>0</v>
      </c>
      <c r="J82">
        <v>2</v>
      </c>
      <c r="K82">
        <v>2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ProjectRecoger pedidosNumber BusyResource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1.0569098141964663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6.5634037857285929E-2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4.695176224794953E-2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0.95438389742001095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1.1377394211218801</v>
      </c>
      <c r="U82">
        <f>IF((ContinuousStatsTable[[#This Row],[RepsRequested]]&gt;1),ContinuousStatsTable[[#This Row],[HalfWidth]],ContinuousStatsTable[[#This Row],[BatchMeansHalfWidth]])</f>
        <v>4.695176224794953E-2</v>
      </c>
    </row>
    <row r="83" spans="1:21" x14ac:dyDescent="0.3">
      <c r="A83" t="s">
        <v>66</v>
      </c>
      <c r="B83" t="s">
        <v>68</v>
      </c>
      <c r="C83">
        <v>6</v>
      </c>
      <c r="D83" t="s">
        <v>93</v>
      </c>
      <c r="E83" t="s">
        <v>91</v>
      </c>
      <c r="F83" t="s">
        <v>89</v>
      </c>
      <c r="G83">
        <v>1.9166666666666701</v>
      </c>
      <c r="H83">
        <v>2E+20</v>
      </c>
      <c r="I83">
        <v>1</v>
      </c>
      <c r="J83">
        <v>2</v>
      </c>
      <c r="K83">
        <v>2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ProjectRecoger pedidosNumber ScheduledResource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1.9166666666666701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1.9166666666666701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1.9166666666666701</v>
      </c>
      <c r="U83">
        <f>IF((ContinuousStatsTable[[#This Row],[RepsRequested]]&gt;1),ContinuousStatsTable[[#This Row],[HalfWidth]],ContinuousStatsTable[[#This Row],[BatchMeansHalfWidth]])</f>
        <v>0</v>
      </c>
    </row>
    <row r="84" spans="1:21" x14ac:dyDescent="0.3">
      <c r="A84" t="s">
        <v>66</v>
      </c>
      <c r="B84" t="s">
        <v>68</v>
      </c>
      <c r="C84">
        <v>6</v>
      </c>
      <c r="D84" t="s">
        <v>75</v>
      </c>
      <c r="E84" t="s">
        <v>92</v>
      </c>
      <c r="F84" t="s">
        <v>74</v>
      </c>
      <c r="G84">
        <v>0.73847192918544802</v>
      </c>
      <c r="H84">
        <v>2E+20</v>
      </c>
      <c r="I84">
        <v>0</v>
      </c>
      <c r="J84">
        <v>12</v>
      </c>
      <c r="K84">
        <v>10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ProjectRecoger.QueueNumber WaitingQueue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0.4031279969367848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0.21310533808048257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0.15244637529508648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0.136826810923111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0.81622840356734405</v>
      </c>
      <c r="U84">
        <f>IF((ContinuousStatsTable[[#This Row],[RepsRequested]]&gt;1),ContinuousStatsTable[[#This Row],[HalfWidth]],ContinuousStatsTable[[#This Row],[BatchMeansHalfWidth]])</f>
        <v>0.15244637529508648</v>
      </c>
    </row>
    <row r="85" spans="1:21" x14ac:dyDescent="0.3">
      <c r="A85" t="s">
        <v>66</v>
      </c>
      <c r="B85" t="s">
        <v>68</v>
      </c>
      <c r="C85">
        <v>6</v>
      </c>
      <c r="D85" t="s">
        <v>76</v>
      </c>
      <c r="E85" t="s">
        <v>94</v>
      </c>
      <c r="F85" t="s">
        <v>78</v>
      </c>
      <c r="G85">
        <v>5.4365858934567504</v>
      </c>
      <c r="H85">
        <v>2E+20</v>
      </c>
      <c r="I85">
        <v>0</v>
      </c>
      <c r="J85">
        <v>32</v>
      </c>
      <c r="K85">
        <v>0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ProjectcbusWIPEntity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5.0665845774105804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0.71136839542638619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0.50888229435753596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3.9372015551464701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6.3088136459921804</v>
      </c>
      <c r="U85">
        <f>IF((ContinuousStatsTable[[#This Row],[RepsRequested]]&gt;1),ContinuousStatsTable[[#This Row],[HalfWidth]],ContinuousStatsTable[[#This Row],[BatchMeansHalfWidth]])</f>
        <v>0.50888229435753596</v>
      </c>
    </row>
    <row r="86" spans="1:21" x14ac:dyDescent="0.3">
      <c r="A86" t="s">
        <v>66</v>
      </c>
      <c r="B86" t="s">
        <v>68</v>
      </c>
      <c r="C86">
        <v>6</v>
      </c>
      <c r="D86" t="s">
        <v>84</v>
      </c>
      <c r="E86" t="s">
        <v>94</v>
      </c>
      <c r="F86" t="s">
        <v>78</v>
      </c>
      <c r="G86">
        <v>14.3462638966206</v>
      </c>
      <c r="H86">
        <v>2E+20</v>
      </c>
      <c r="I86">
        <v>0</v>
      </c>
      <c r="J86">
        <v>25</v>
      </c>
      <c r="K86">
        <v>20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ProjectccocheWIPEntity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12.759236186141919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1.7106325956849093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1.2237128409017237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10.2386187303012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15.1535027543102</v>
      </c>
      <c r="U86">
        <f>IF((ContinuousStatsTable[[#This Row],[RepsRequested]]&gt;1),ContinuousStatsTable[[#This Row],[HalfWidth]],ContinuousStatsTable[[#This Row],[BatchMeansHalfWidth]])</f>
        <v>1.2237128409017237</v>
      </c>
    </row>
    <row r="87" spans="1:21" x14ac:dyDescent="0.3">
      <c r="A87" t="s">
        <v>66</v>
      </c>
      <c r="B87" t="s">
        <v>68</v>
      </c>
      <c r="C87">
        <v>6</v>
      </c>
      <c r="D87" t="s">
        <v>85</v>
      </c>
      <c r="E87" t="s">
        <v>92</v>
      </c>
      <c r="F87" t="s">
        <v>74</v>
      </c>
      <c r="G87">
        <v>1.3573408150519099E-2</v>
      </c>
      <c r="H87">
        <v>2E+20</v>
      </c>
      <c r="I87">
        <v>0</v>
      </c>
      <c r="J87">
        <v>3</v>
      </c>
      <c r="K87">
        <v>0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Projectcomer.QueueNumber WaitingQueue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2.0890695640067989E-2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2.1893740410825115E-2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1.5661838400412763E-2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6.7580541961583807E-2</v>
      </c>
      <c r="U87">
        <f>IF((ContinuousStatsTable[[#This Row],[RepsRequested]]&gt;1),ContinuousStatsTable[[#This Row],[HalfWidth]],ContinuousStatsTable[[#This Row],[BatchMeansHalfWidth]])</f>
        <v>1.5661838400412763E-2</v>
      </c>
    </row>
    <row r="88" spans="1:21" x14ac:dyDescent="0.3">
      <c r="A88" t="s">
        <v>66</v>
      </c>
      <c r="B88" t="s">
        <v>68</v>
      </c>
      <c r="C88">
        <v>6</v>
      </c>
      <c r="D88" t="s">
        <v>95</v>
      </c>
      <c r="E88" t="s">
        <v>88</v>
      </c>
      <c r="F88" t="s">
        <v>89</v>
      </c>
      <c r="G88">
        <v>0.59303053253801696</v>
      </c>
      <c r="H88">
        <v>3E+20</v>
      </c>
      <c r="I88">
        <v>0</v>
      </c>
      <c r="J88">
        <v>1</v>
      </c>
      <c r="K88">
        <v>0.56666666666666698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ProjectcomiendoInstantaneous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0.54567746104498926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3.6093067502766238E-2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2.5819425095769202E-2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0.48838500773485199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0.59303053253801696</v>
      </c>
      <c r="U88">
        <f>IF((ContinuousStatsTable[[#This Row],[RepsRequested]]&gt;1),ContinuousStatsTable[[#This Row],[HalfWidth]],ContinuousStatsTable[[#This Row],[BatchMeansHalfWidth]])</f>
        <v>2.5819425095769202E-2</v>
      </c>
    </row>
    <row r="89" spans="1:21" x14ac:dyDescent="0.3">
      <c r="A89" t="s">
        <v>66</v>
      </c>
      <c r="B89" t="s">
        <v>68</v>
      </c>
      <c r="C89">
        <v>6</v>
      </c>
      <c r="D89" t="s">
        <v>95</v>
      </c>
      <c r="E89" t="s">
        <v>90</v>
      </c>
      <c r="F89" t="s">
        <v>89</v>
      </c>
      <c r="G89">
        <v>17.7909159761405</v>
      </c>
      <c r="H89">
        <v>3E+20</v>
      </c>
      <c r="I89">
        <v>0</v>
      </c>
      <c r="J89">
        <v>30</v>
      </c>
      <c r="K89">
        <v>17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ProjectcomiendoNumber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16.370323831349687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1.082792025082975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0.77458275287306733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14.651550232045601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17.7909159761405</v>
      </c>
      <c r="U89">
        <f>IF((ContinuousStatsTable[[#This Row],[RepsRequested]]&gt;1),ContinuousStatsTable[[#This Row],[HalfWidth]],ContinuousStatsTable[[#This Row],[BatchMeansHalfWidth]])</f>
        <v>0.77458275287306733</v>
      </c>
    </row>
    <row r="90" spans="1:21" x14ac:dyDescent="0.3">
      <c r="A90" t="s">
        <v>66</v>
      </c>
      <c r="B90" t="s">
        <v>68</v>
      </c>
      <c r="C90">
        <v>6</v>
      </c>
      <c r="D90" t="s">
        <v>95</v>
      </c>
      <c r="E90" t="s">
        <v>91</v>
      </c>
      <c r="F90" t="s">
        <v>89</v>
      </c>
      <c r="G90">
        <v>30</v>
      </c>
      <c r="H90">
        <v>2E+20</v>
      </c>
      <c r="I90">
        <v>30</v>
      </c>
      <c r="J90">
        <v>30</v>
      </c>
      <c r="K90">
        <v>30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ProjectcomiendoNumber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30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30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30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6</v>
      </c>
      <c r="D91" t="s">
        <v>86</v>
      </c>
      <c r="E91" t="s">
        <v>94</v>
      </c>
      <c r="F91" t="s">
        <v>78</v>
      </c>
      <c r="G91">
        <v>9.9364437650256896</v>
      </c>
      <c r="H91">
        <v>2E+20</v>
      </c>
      <c r="I91">
        <v>0</v>
      </c>
      <c r="J91">
        <v>26</v>
      </c>
      <c r="K91">
        <v>17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ProjectcpieWIPEntity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9.2908605330386465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1.4837612545855385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1.0614188602794625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7.9237289708550103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13.0648519439402</v>
      </c>
      <c r="U91">
        <f>IF((ContinuousStatsTable[[#This Row],[RepsRequested]]&gt;1),ContinuousStatsTable[[#This Row],[HalfWidth]],ContinuousStatsTable[[#This Row],[BatchMeansHalfWidth]])</f>
        <v>1.0614188602794625</v>
      </c>
    </row>
    <row r="92" spans="1:21" x14ac:dyDescent="0.3">
      <c r="A92" t="s">
        <v>66</v>
      </c>
      <c r="B92" t="s">
        <v>68</v>
      </c>
      <c r="C92">
        <v>7</v>
      </c>
      <c r="D92" t="s">
        <v>87</v>
      </c>
      <c r="E92" t="s">
        <v>88</v>
      </c>
      <c r="F92" t="s">
        <v>89</v>
      </c>
      <c r="G92">
        <v>0.68137244132971297</v>
      </c>
      <c r="H92">
        <v>2E+20</v>
      </c>
      <c r="I92">
        <v>0</v>
      </c>
      <c r="J92">
        <v>1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ProjectLlegada PedidosInstantaneous UtilizationResource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0.6595273690195278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4.3257074173814004E-2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3.0944246742323132E-2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0.59113797604853702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0.72596398581696897</v>
      </c>
      <c r="U92">
        <f>IF((ContinuousStatsTable[[#This Row],[RepsRequested]]&gt;1),ContinuousStatsTable[[#This Row],[HalfWidth]],ContinuousStatsTable[[#This Row],[BatchMeansHalfWidth]])</f>
        <v>3.0944246742323132E-2</v>
      </c>
    </row>
    <row r="93" spans="1:21" x14ac:dyDescent="0.3">
      <c r="A93" t="s">
        <v>66</v>
      </c>
      <c r="B93" t="s">
        <v>68</v>
      </c>
      <c r="C93">
        <v>7</v>
      </c>
      <c r="D93" t="s">
        <v>87</v>
      </c>
      <c r="E93" t="s">
        <v>90</v>
      </c>
      <c r="F93" t="s">
        <v>89</v>
      </c>
      <c r="G93">
        <v>3.9479098805550401</v>
      </c>
      <c r="H93">
        <v>2E+20</v>
      </c>
      <c r="I93">
        <v>0</v>
      </c>
      <c r="J93">
        <v>6</v>
      </c>
      <c r="K93">
        <v>6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ProjectLlegada PedidosNumber BusyResource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3.8048219931471854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0.26298250620112912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0.18812635196045085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3.4272486518987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4.1920593242441404</v>
      </c>
      <c r="U93">
        <f>IF((ContinuousStatsTable[[#This Row],[RepsRequested]]&gt;1),ContinuousStatsTable[[#This Row],[HalfWidth]],ContinuousStatsTable[[#This Row],[BatchMeansHalfWidth]])</f>
        <v>0.18812635196045085</v>
      </c>
    </row>
    <row r="94" spans="1:21" x14ac:dyDescent="0.3">
      <c r="A94" t="s">
        <v>66</v>
      </c>
      <c r="B94" t="s">
        <v>68</v>
      </c>
      <c r="C94">
        <v>7</v>
      </c>
      <c r="D94" t="s">
        <v>87</v>
      </c>
      <c r="E94" t="s">
        <v>91</v>
      </c>
      <c r="F94" t="s">
        <v>89</v>
      </c>
      <c r="G94">
        <v>5.75</v>
      </c>
      <c r="H94">
        <v>2E+20</v>
      </c>
      <c r="I94">
        <v>5</v>
      </c>
      <c r="J94">
        <v>6</v>
      </c>
      <c r="K94">
        <v>6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ProjectLlegada PedidosNumber ScheduledResource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5.75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5.75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5.75</v>
      </c>
      <c r="U94">
        <f>IF((ContinuousStatsTable[[#This Row],[RepsRequested]]&gt;1),ContinuousStatsTable[[#This Row],[HalfWidth]],ContinuousStatsTable[[#This Row],[BatchMeansHalfWidth]])</f>
        <v>0</v>
      </c>
    </row>
    <row r="95" spans="1:21" x14ac:dyDescent="0.3">
      <c r="A95" t="s">
        <v>66</v>
      </c>
      <c r="B95" t="s">
        <v>68</v>
      </c>
      <c r="C95">
        <v>7</v>
      </c>
      <c r="D95" t="s">
        <v>72</v>
      </c>
      <c r="E95" t="s">
        <v>92</v>
      </c>
      <c r="F95" t="s">
        <v>74</v>
      </c>
      <c r="G95">
        <v>2.33450863585281</v>
      </c>
      <c r="H95">
        <v>2E+20</v>
      </c>
      <c r="I95">
        <v>0</v>
      </c>
      <c r="J95">
        <v>29</v>
      </c>
      <c r="K95">
        <v>0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ProjectPedidosCobros.QueueNumber WaitingQueue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3.4276072930460231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1.2805781327766621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0.91607041091680408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1.4388039171548199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5.2886106373322104</v>
      </c>
      <c r="U95">
        <f>IF((ContinuousStatsTable[[#This Row],[RepsRequested]]&gt;1),ContinuousStatsTable[[#This Row],[HalfWidth]],ContinuousStatsTable[[#This Row],[BatchMeansHalfWidth]])</f>
        <v>0.91607041091680408</v>
      </c>
    </row>
    <row r="96" spans="1:21" x14ac:dyDescent="0.3">
      <c r="A96" t="s">
        <v>66</v>
      </c>
      <c r="B96" t="s">
        <v>68</v>
      </c>
      <c r="C96">
        <v>7</v>
      </c>
      <c r="D96" t="s">
        <v>93</v>
      </c>
      <c r="E96" t="s">
        <v>88</v>
      </c>
      <c r="F96" t="s">
        <v>89</v>
      </c>
      <c r="G96">
        <v>0.59700136942440196</v>
      </c>
      <c r="H96">
        <v>2E+20</v>
      </c>
      <c r="I96">
        <v>0</v>
      </c>
      <c r="J96">
        <v>1</v>
      </c>
      <c r="K96">
        <v>1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ProjectRecoger pedidosInstantaneous UtilizationResource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0.5604361436219214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3.5315793681560653E-2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2.5263396899939575E-2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0.51502488611470398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0.60298436758055496</v>
      </c>
      <c r="U96">
        <f>IF((ContinuousStatsTable[[#This Row],[RepsRequested]]&gt;1),ContinuousStatsTable[[#This Row],[HalfWidth]],ContinuousStatsTable[[#This Row],[BatchMeansHalfWidth]])</f>
        <v>2.5263396899939575E-2</v>
      </c>
    </row>
    <row r="97" spans="1:21" x14ac:dyDescent="0.3">
      <c r="A97" t="s">
        <v>66</v>
      </c>
      <c r="B97" t="s">
        <v>68</v>
      </c>
      <c r="C97">
        <v>7</v>
      </c>
      <c r="D97" t="s">
        <v>93</v>
      </c>
      <c r="E97" t="s">
        <v>90</v>
      </c>
      <c r="F97" t="s">
        <v>89</v>
      </c>
      <c r="G97">
        <v>1.1377394211218801</v>
      </c>
      <c r="H97">
        <v>2E+20</v>
      </c>
      <c r="I97">
        <v>0</v>
      </c>
      <c r="J97">
        <v>2</v>
      </c>
      <c r="K97">
        <v>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ProjectRecoger pedidosNumber BusyResource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1.0569098141964663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6.5634037857285929E-2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4.695176224794953E-2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0.95438389742001095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1.1377394211218801</v>
      </c>
      <c r="U97">
        <f>IF((ContinuousStatsTable[[#This Row],[RepsRequested]]&gt;1),ContinuousStatsTable[[#This Row],[HalfWidth]],ContinuousStatsTable[[#This Row],[BatchMeansHalfWidth]])</f>
        <v>4.695176224794953E-2</v>
      </c>
    </row>
    <row r="98" spans="1:21" x14ac:dyDescent="0.3">
      <c r="A98" t="s">
        <v>66</v>
      </c>
      <c r="B98" t="s">
        <v>68</v>
      </c>
      <c r="C98">
        <v>7</v>
      </c>
      <c r="D98" t="s">
        <v>93</v>
      </c>
      <c r="E98" t="s">
        <v>91</v>
      </c>
      <c r="F98" t="s">
        <v>89</v>
      </c>
      <c r="G98">
        <v>1.9166666666666701</v>
      </c>
      <c r="H98">
        <v>2E+20</v>
      </c>
      <c r="I98">
        <v>1</v>
      </c>
      <c r="J98">
        <v>2</v>
      </c>
      <c r="K98">
        <v>2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ProjectRecoger pedidosNumber ScheduledResource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1.9166666666666701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1.9166666666666701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1.9166666666666701</v>
      </c>
      <c r="U98">
        <f>IF((ContinuousStatsTable[[#This Row],[RepsRequested]]&gt;1),ContinuousStatsTable[[#This Row],[HalfWidth]],ContinuousStatsTable[[#This Row],[BatchMeansHalfWidth]])</f>
        <v>0</v>
      </c>
    </row>
    <row r="99" spans="1:21" x14ac:dyDescent="0.3">
      <c r="A99" t="s">
        <v>66</v>
      </c>
      <c r="B99" t="s">
        <v>68</v>
      </c>
      <c r="C99">
        <v>7</v>
      </c>
      <c r="D99" t="s">
        <v>75</v>
      </c>
      <c r="E99" t="s">
        <v>92</v>
      </c>
      <c r="F99" t="s">
        <v>74</v>
      </c>
      <c r="G99">
        <v>0.34993131153302598</v>
      </c>
      <c r="H99">
        <v>2E+20</v>
      </c>
      <c r="I99">
        <v>0</v>
      </c>
      <c r="J99">
        <v>4</v>
      </c>
      <c r="K99">
        <v>3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ProjectRecoger.QueueNumber WaitingQueue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0.4031279969367848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0.21310533808048257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0.15244637529508648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0.136826810923111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0.81622840356734405</v>
      </c>
      <c r="U99">
        <f>IF((ContinuousStatsTable[[#This Row],[RepsRequested]]&gt;1),ContinuousStatsTable[[#This Row],[HalfWidth]],ContinuousStatsTable[[#This Row],[BatchMeansHalfWidth]])</f>
        <v>0.15244637529508648</v>
      </c>
    </row>
    <row r="100" spans="1:21" x14ac:dyDescent="0.3">
      <c r="A100" t="s">
        <v>66</v>
      </c>
      <c r="B100" t="s">
        <v>68</v>
      </c>
      <c r="C100">
        <v>7</v>
      </c>
      <c r="D100" t="s">
        <v>76</v>
      </c>
      <c r="E100" t="s">
        <v>94</v>
      </c>
      <c r="F100" t="s">
        <v>78</v>
      </c>
      <c r="G100">
        <v>4.57047492865237</v>
      </c>
      <c r="H100">
        <v>2E+20</v>
      </c>
      <c r="I100">
        <v>0</v>
      </c>
      <c r="J100">
        <v>28</v>
      </c>
      <c r="K100">
        <v>0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ProjectcbusWIPEntity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5.0665845774105804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0.71136839542638619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0.50888229435753596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3.9372015551464701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6.3088136459921804</v>
      </c>
      <c r="U100">
        <f>IF((ContinuousStatsTable[[#This Row],[RepsRequested]]&gt;1),ContinuousStatsTable[[#This Row],[HalfWidth]],ContinuousStatsTable[[#This Row],[BatchMeansHalfWidth]])</f>
        <v>0.50888229435753596</v>
      </c>
    </row>
    <row r="101" spans="1:21" x14ac:dyDescent="0.3">
      <c r="A101" t="s">
        <v>66</v>
      </c>
      <c r="B101" t="s">
        <v>68</v>
      </c>
      <c r="C101">
        <v>7</v>
      </c>
      <c r="D101" t="s">
        <v>84</v>
      </c>
      <c r="E101" t="s">
        <v>94</v>
      </c>
      <c r="F101" t="s">
        <v>78</v>
      </c>
      <c r="G101">
        <v>14.295020342700001</v>
      </c>
      <c r="H101">
        <v>2E+20</v>
      </c>
      <c r="I101">
        <v>0</v>
      </c>
      <c r="J101">
        <v>28</v>
      </c>
      <c r="K101">
        <v>17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ProjectccocheWIPEntity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12.759236186141919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1.7106325956849093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1.2237128409017237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10.2386187303012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15.1535027543102</v>
      </c>
      <c r="U101">
        <f>IF((ContinuousStatsTable[[#This Row],[RepsRequested]]&gt;1),ContinuousStatsTable[[#This Row],[HalfWidth]],ContinuousStatsTable[[#This Row],[BatchMeansHalfWidth]])</f>
        <v>1.2237128409017237</v>
      </c>
    </row>
    <row r="102" spans="1:21" x14ac:dyDescent="0.3">
      <c r="A102" t="s">
        <v>66</v>
      </c>
      <c r="B102" t="s">
        <v>68</v>
      </c>
      <c r="C102">
        <v>7</v>
      </c>
      <c r="D102" t="s">
        <v>85</v>
      </c>
      <c r="E102" t="s">
        <v>92</v>
      </c>
      <c r="F102" t="s">
        <v>74</v>
      </c>
      <c r="G102">
        <v>6.7580541961583807E-2</v>
      </c>
      <c r="H102">
        <v>2E+20</v>
      </c>
      <c r="I102">
        <v>0</v>
      </c>
      <c r="J102">
        <v>5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Projectcomer.QueueNumber WaitingQueue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2.0890695640067989E-2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2.1893740410825115E-2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1.5661838400412763E-2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6.7580541961583807E-2</v>
      </c>
      <c r="U102">
        <f>IF((ContinuousStatsTable[[#This Row],[RepsRequested]]&gt;1),ContinuousStatsTable[[#This Row],[HalfWidth]],ContinuousStatsTable[[#This Row],[BatchMeansHalfWidth]])</f>
        <v>1.5661838400412763E-2</v>
      </c>
    </row>
    <row r="103" spans="1:21" x14ac:dyDescent="0.3">
      <c r="A103" t="s">
        <v>66</v>
      </c>
      <c r="B103" t="s">
        <v>68</v>
      </c>
      <c r="C103">
        <v>7</v>
      </c>
      <c r="D103" t="s">
        <v>95</v>
      </c>
      <c r="E103" t="s">
        <v>88</v>
      </c>
      <c r="F103" t="s">
        <v>89</v>
      </c>
      <c r="G103">
        <v>0.580647497288172</v>
      </c>
      <c r="H103">
        <v>3E+20</v>
      </c>
      <c r="I103">
        <v>0</v>
      </c>
      <c r="J103">
        <v>1</v>
      </c>
      <c r="K103">
        <v>0.3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ProjectcomiendoInstantaneous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0.54567746104498926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3.6093067502766238E-2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2.5819425095769202E-2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0.48838500773485199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0.59303053253801696</v>
      </c>
      <c r="U103">
        <f>IF((ContinuousStatsTable[[#This Row],[RepsRequested]]&gt;1),ContinuousStatsTable[[#This Row],[HalfWidth]],ContinuousStatsTable[[#This Row],[BatchMeansHalfWidth]])</f>
        <v>2.5819425095769202E-2</v>
      </c>
    </row>
    <row r="104" spans="1:21" x14ac:dyDescent="0.3">
      <c r="A104" t="s">
        <v>66</v>
      </c>
      <c r="B104" t="s">
        <v>68</v>
      </c>
      <c r="C104">
        <v>7</v>
      </c>
      <c r="D104" t="s">
        <v>95</v>
      </c>
      <c r="E104" t="s">
        <v>90</v>
      </c>
      <c r="F104" t="s">
        <v>89</v>
      </c>
      <c r="G104">
        <v>17.419424918645198</v>
      </c>
      <c r="H104">
        <v>3E+20</v>
      </c>
      <c r="I104">
        <v>0</v>
      </c>
      <c r="J104">
        <v>30</v>
      </c>
      <c r="K104">
        <v>9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ProjectcomiendoNumber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16.370323831349687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1.082792025082975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0.77458275287306733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14.651550232045601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17.7909159761405</v>
      </c>
      <c r="U104">
        <f>IF((ContinuousStatsTable[[#This Row],[RepsRequested]]&gt;1),ContinuousStatsTable[[#This Row],[HalfWidth]],ContinuousStatsTable[[#This Row],[BatchMeansHalfWidth]])</f>
        <v>0.77458275287306733</v>
      </c>
    </row>
    <row r="105" spans="1:21" x14ac:dyDescent="0.3">
      <c r="A105" t="s">
        <v>66</v>
      </c>
      <c r="B105" t="s">
        <v>68</v>
      </c>
      <c r="C105">
        <v>7</v>
      </c>
      <c r="D105" t="s">
        <v>95</v>
      </c>
      <c r="E105" t="s">
        <v>91</v>
      </c>
      <c r="F105" t="s">
        <v>89</v>
      </c>
      <c r="G105">
        <v>30</v>
      </c>
      <c r="H105">
        <v>2E+20</v>
      </c>
      <c r="I105">
        <v>30</v>
      </c>
      <c r="J105">
        <v>30</v>
      </c>
      <c r="K105">
        <v>30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ProjectcomiendoNumber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30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30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30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7</v>
      </c>
      <c r="D106" t="s">
        <v>86</v>
      </c>
      <c r="E106" t="s">
        <v>94</v>
      </c>
      <c r="F106" t="s">
        <v>78</v>
      </c>
      <c r="G106">
        <v>8.5768972666124998</v>
      </c>
      <c r="H106">
        <v>2E+20</v>
      </c>
      <c r="I106">
        <v>0</v>
      </c>
      <c r="J106">
        <v>18</v>
      </c>
      <c r="K106">
        <v>4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ProjectcpieWIPEntity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9.2908605330386465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1.4837612545855385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1.0614188602794625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7.9237289708550103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13.0648519439402</v>
      </c>
      <c r="U106">
        <f>IF((ContinuousStatsTable[[#This Row],[RepsRequested]]&gt;1),ContinuousStatsTable[[#This Row],[HalfWidth]],ContinuousStatsTable[[#This Row],[BatchMeansHalfWidth]])</f>
        <v>1.0614188602794625</v>
      </c>
    </row>
    <row r="107" spans="1:21" x14ac:dyDescent="0.3">
      <c r="A107" t="s">
        <v>66</v>
      </c>
      <c r="B107" t="s">
        <v>68</v>
      </c>
      <c r="C107">
        <v>8</v>
      </c>
      <c r="D107" t="s">
        <v>87</v>
      </c>
      <c r="E107" t="s">
        <v>88</v>
      </c>
      <c r="F107" t="s">
        <v>89</v>
      </c>
      <c r="G107">
        <v>0.59113797604853702</v>
      </c>
      <c r="H107">
        <v>2E+20</v>
      </c>
      <c r="I107">
        <v>0</v>
      </c>
      <c r="J107">
        <v>1</v>
      </c>
      <c r="K107">
        <v>0.66666666666666696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ProjectLlegada PedidosInstantaneous UtilizationResource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0.6595273690195278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4.3257074173814004E-2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3.0944246742323132E-2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0.59113797604853702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0.72596398581696897</v>
      </c>
      <c r="U107">
        <f>IF((ContinuousStatsTable[[#This Row],[RepsRequested]]&gt;1),ContinuousStatsTable[[#This Row],[HalfWidth]],ContinuousStatsTable[[#This Row],[BatchMeansHalfWidth]])</f>
        <v>3.0944246742323132E-2</v>
      </c>
    </row>
    <row r="108" spans="1:21" x14ac:dyDescent="0.3">
      <c r="A108" t="s">
        <v>66</v>
      </c>
      <c r="B108" t="s">
        <v>68</v>
      </c>
      <c r="C108">
        <v>8</v>
      </c>
      <c r="D108" t="s">
        <v>87</v>
      </c>
      <c r="E108" t="s">
        <v>90</v>
      </c>
      <c r="F108" t="s">
        <v>89</v>
      </c>
      <c r="G108">
        <v>3.4272486518987</v>
      </c>
      <c r="H108">
        <v>2E+20</v>
      </c>
      <c r="I108">
        <v>0</v>
      </c>
      <c r="J108">
        <v>6</v>
      </c>
      <c r="K108">
        <v>4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ProjectLlegada PedidosNumber BusyResource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3.8048219931471854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0.26298250620112912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0.18812635196045085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3.4272486518987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4.1920593242441404</v>
      </c>
      <c r="U108">
        <f>IF((ContinuousStatsTable[[#This Row],[RepsRequested]]&gt;1),ContinuousStatsTable[[#This Row],[HalfWidth]],ContinuousStatsTable[[#This Row],[BatchMeansHalfWidth]])</f>
        <v>0.18812635196045085</v>
      </c>
    </row>
    <row r="109" spans="1:21" x14ac:dyDescent="0.3">
      <c r="A109" t="s">
        <v>66</v>
      </c>
      <c r="B109" t="s">
        <v>68</v>
      </c>
      <c r="C109">
        <v>8</v>
      </c>
      <c r="D109" t="s">
        <v>87</v>
      </c>
      <c r="E109" t="s">
        <v>91</v>
      </c>
      <c r="F109" t="s">
        <v>89</v>
      </c>
      <c r="G109">
        <v>5.75</v>
      </c>
      <c r="H109">
        <v>2E+20</v>
      </c>
      <c r="I109">
        <v>5</v>
      </c>
      <c r="J109">
        <v>6</v>
      </c>
      <c r="K109">
        <v>6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ProjectLlegada PedidosNumber ScheduledResource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5.75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5.75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5.75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3">
      <c r="A110" t="s">
        <v>66</v>
      </c>
      <c r="B110" t="s">
        <v>68</v>
      </c>
      <c r="C110">
        <v>8</v>
      </c>
      <c r="D110" t="s">
        <v>72</v>
      </c>
      <c r="E110" t="s">
        <v>92</v>
      </c>
      <c r="F110" t="s">
        <v>74</v>
      </c>
      <c r="G110">
        <v>2.1438463008583799</v>
      </c>
      <c r="H110">
        <v>2E+20</v>
      </c>
      <c r="I110">
        <v>0</v>
      </c>
      <c r="J110">
        <v>29</v>
      </c>
      <c r="K110">
        <v>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ProjectPedidosCobros.QueueNumber WaitingQueue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3.4276072930460231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1.2805781327766621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0.91607041091680408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1.4388039171548199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5.2886106373322104</v>
      </c>
      <c r="U110">
        <f>IF((ContinuousStatsTable[[#This Row],[RepsRequested]]&gt;1),ContinuousStatsTable[[#This Row],[HalfWidth]],ContinuousStatsTable[[#This Row],[BatchMeansHalfWidth]])</f>
        <v>0.91607041091680408</v>
      </c>
    </row>
    <row r="111" spans="1:21" x14ac:dyDescent="0.3">
      <c r="A111" t="s">
        <v>66</v>
      </c>
      <c r="B111" t="s">
        <v>68</v>
      </c>
      <c r="C111">
        <v>8</v>
      </c>
      <c r="D111" t="s">
        <v>93</v>
      </c>
      <c r="E111" t="s">
        <v>88</v>
      </c>
      <c r="F111" t="s">
        <v>89</v>
      </c>
      <c r="G111">
        <v>0.51784350949397295</v>
      </c>
      <c r="H111">
        <v>2E+20</v>
      </c>
      <c r="I111">
        <v>0</v>
      </c>
      <c r="J111">
        <v>1</v>
      </c>
      <c r="K111">
        <v>1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ProjectRecoger pedidosInstantaneous UtilizationResource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0.5604361436219214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3.5315793681560653E-2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2.5263396899939575E-2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0.51502488611470398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0.60298436758055496</v>
      </c>
      <c r="U111">
        <f>IF((ContinuousStatsTable[[#This Row],[RepsRequested]]&gt;1),ContinuousStatsTable[[#This Row],[HalfWidth]],ContinuousStatsTable[[#This Row],[BatchMeansHalfWidth]])</f>
        <v>2.5263396899939575E-2</v>
      </c>
    </row>
    <row r="112" spans="1:21" x14ac:dyDescent="0.3">
      <c r="A112" t="s">
        <v>66</v>
      </c>
      <c r="B112" t="s">
        <v>68</v>
      </c>
      <c r="C112">
        <v>8</v>
      </c>
      <c r="D112" t="s">
        <v>93</v>
      </c>
      <c r="E112" t="s">
        <v>90</v>
      </c>
      <c r="F112" t="s">
        <v>89</v>
      </c>
      <c r="G112">
        <v>0.95438389742001095</v>
      </c>
      <c r="H112">
        <v>2E+20</v>
      </c>
      <c r="I112">
        <v>0</v>
      </c>
      <c r="J112">
        <v>2</v>
      </c>
      <c r="K112">
        <v>2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ProjectRecoger pedidosNumber BusyResource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1.0569098141964663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6.5634037857285929E-2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4.695176224794953E-2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0.95438389742001095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1.1377394211218801</v>
      </c>
      <c r="U112">
        <f>IF((ContinuousStatsTable[[#This Row],[RepsRequested]]&gt;1),ContinuousStatsTable[[#This Row],[HalfWidth]],ContinuousStatsTable[[#This Row],[BatchMeansHalfWidth]])</f>
        <v>4.695176224794953E-2</v>
      </c>
    </row>
    <row r="113" spans="1:21" x14ac:dyDescent="0.3">
      <c r="A113" t="s">
        <v>66</v>
      </c>
      <c r="B113" t="s">
        <v>68</v>
      </c>
      <c r="C113">
        <v>8</v>
      </c>
      <c r="D113" t="s">
        <v>93</v>
      </c>
      <c r="E113" t="s">
        <v>91</v>
      </c>
      <c r="F113" t="s">
        <v>89</v>
      </c>
      <c r="G113">
        <v>1.9166666666666701</v>
      </c>
      <c r="H113">
        <v>2E+20</v>
      </c>
      <c r="I113">
        <v>1</v>
      </c>
      <c r="J113">
        <v>2</v>
      </c>
      <c r="K113">
        <v>2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ProjectRecoger pedidosNumber ScheduledResource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1.9166666666666701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1.9166666666666701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1.9166666666666701</v>
      </c>
      <c r="U113">
        <f>IF((ContinuousStatsTable[[#This Row],[RepsRequested]]&gt;1),ContinuousStatsTable[[#This Row],[HalfWidth]],ContinuousStatsTable[[#This Row],[BatchMeansHalfWidth]])</f>
        <v>0</v>
      </c>
    </row>
    <row r="114" spans="1:21" x14ac:dyDescent="0.3">
      <c r="A114" t="s">
        <v>66</v>
      </c>
      <c r="B114" t="s">
        <v>68</v>
      </c>
      <c r="C114">
        <v>8</v>
      </c>
      <c r="D114" t="s">
        <v>75</v>
      </c>
      <c r="E114" t="s">
        <v>92</v>
      </c>
      <c r="F114" t="s">
        <v>74</v>
      </c>
      <c r="G114">
        <v>0.35275642693682202</v>
      </c>
      <c r="H114">
        <v>2E+20</v>
      </c>
      <c r="I114">
        <v>0</v>
      </c>
      <c r="J114">
        <v>6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ProjectRecoger.QueueNumber WaitingQueue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0.4031279969367848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0.21310533808048257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0.15244637529508648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0.136826810923111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0.81622840356734405</v>
      </c>
      <c r="U114">
        <f>IF((ContinuousStatsTable[[#This Row],[RepsRequested]]&gt;1),ContinuousStatsTable[[#This Row],[HalfWidth]],ContinuousStatsTable[[#This Row],[BatchMeansHalfWidth]])</f>
        <v>0.15244637529508648</v>
      </c>
    </row>
    <row r="115" spans="1:21" x14ac:dyDescent="0.3">
      <c r="A115" t="s">
        <v>66</v>
      </c>
      <c r="B115" t="s">
        <v>68</v>
      </c>
      <c r="C115">
        <v>8</v>
      </c>
      <c r="D115" t="s">
        <v>76</v>
      </c>
      <c r="E115" t="s">
        <v>94</v>
      </c>
      <c r="F115" t="s">
        <v>78</v>
      </c>
      <c r="G115">
        <v>4.96771064626222</v>
      </c>
      <c r="H115">
        <v>2E+20</v>
      </c>
      <c r="I115">
        <v>0</v>
      </c>
      <c r="J115">
        <v>30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ProjectcbusWIPEntity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5.0665845774105804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0.71136839542638619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0.50888229435753596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3.9372015551464701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6.3088136459921804</v>
      </c>
      <c r="U115">
        <f>IF((ContinuousStatsTable[[#This Row],[RepsRequested]]&gt;1),ContinuousStatsTable[[#This Row],[HalfWidth]],ContinuousStatsTable[[#This Row],[BatchMeansHalfWidth]])</f>
        <v>0.50888229435753596</v>
      </c>
    </row>
    <row r="116" spans="1:21" x14ac:dyDescent="0.3">
      <c r="A116" t="s">
        <v>66</v>
      </c>
      <c r="B116" t="s">
        <v>68</v>
      </c>
      <c r="C116">
        <v>8</v>
      </c>
      <c r="D116" t="s">
        <v>84</v>
      </c>
      <c r="E116" t="s">
        <v>94</v>
      </c>
      <c r="F116" t="s">
        <v>78</v>
      </c>
      <c r="G116">
        <v>10.2386187303012</v>
      </c>
      <c r="H116">
        <v>2E+20</v>
      </c>
      <c r="I116">
        <v>0</v>
      </c>
      <c r="J116">
        <v>19</v>
      </c>
      <c r="K116">
        <v>12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ProjectccocheWIPEntity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12.759236186141919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1.7106325956849093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1.2237128409017237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10.2386187303012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15.1535027543102</v>
      </c>
      <c r="U116">
        <f>IF((ContinuousStatsTable[[#This Row],[RepsRequested]]&gt;1),ContinuousStatsTable[[#This Row],[HalfWidth]],ContinuousStatsTable[[#This Row],[BatchMeansHalfWidth]])</f>
        <v>1.2237128409017237</v>
      </c>
    </row>
    <row r="117" spans="1:21" x14ac:dyDescent="0.3">
      <c r="A117" t="s">
        <v>66</v>
      </c>
      <c r="B117" t="s">
        <v>68</v>
      </c>
      <c r="C117">
        <v>8</v>
      </c>
      <c r="D117" t="s">
        <v>85</v>
      </c>
      <c r="E117" t="s">
        <v>92</v>
      </c>
      <c r="F117" t="s">
        <v>74</v>
      </c>
      <c r="G117">
        <v>2.0263919514430399E-2</v>
      </c>
      <c r="H117">
        <v>2E+20</v>
      </c>
      <c r="I117">
        <v>0</v>
      </c>
      <c r="J117">
        <v>2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Projectcomer.QueueNumber WaitingQueue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2.0890695640067989E-2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2.1893740410825115E-2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1.5661838400412763E-2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6.7580541961583807E-2</v>
      </c>
      <c r="U117">
        <f>IF((ContinuousStatsTable[[#This Row],[RepsRequested]]&gt;1),ContinuousStatsTable[[#This Row],[HalfWidth]],ContinuousStatsTable[[#This Row],[BatchMeansHalfWidth]])</f>
        <v>1.5661838400412763E-2</v>
      </c>
    </row>
    <row r="118" spans="1:21" x14ac:dyDescent="0.3">
      <c r="A118" t="s">
        <v>66</v>
      </c>
      <c r="B118" t="s">
        <v>68</v>
      </c>
      <c r="C118">
        <v>8</v>
      </c>
      <c r="D118" t="s">
        <v>95</v>
      </c>
      <c r="E118" t="s">
        <v>88</v>
      </c>
      <c r="F118" t="s">
        <v>89</v>
      </c>
      <c r="G118">
        <v>0.48838500773485199</v>
      </c>
      <c r="H118">
        <v>3E+20</v>
      </c>
      <c r="I118">
        <v>0</v>
      </c>
      <c r="J118">
        <v>1</v>
      </c>
      <c r="K118">
        <v>0.5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ProjectcomiendoInstantaneous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0.54567746104498926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3.6093067502766238E-2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2.5819425095769202E-2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0.48838500773485199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0.59303053253801696</v>
      </c>
      <c r="U118">
        <f>IF((ContinuousStatsTable[[#This Row],[RepsRequested]]&gt;1),ContinuousStatsTable[[#This Row],[HalfWidth]],ContinuousStatsTable[[#This Row],[BatchMeansHalfWidth]])</f>
        <v>2.5819425095769202E-2</v>
      </c>
    </row>
    <row r="119" spans="1:21" x14ac:dyDescent="0.3">
      <c r="A119" t="s">
        <v>66</v>
      </c>
      <c r="B119" t="s">
        <v>68</v>
      </c>
      <c r="C119">
        <v>8</v>
      </c>
      <c r="D119" t="s">
        <v>95</v>
      </c>
      <c r="E119" t="s">
        <v>90</v>
      </c>
      <c r="F119" t="s">
        <v>89</v>
      </c>
      <c r="G119">
        <v>14.651550232045601</v>
      </c>
      <c r="H119">
        <v>3E+20</v>
      </c>
      <c r="I119">
        <v>0</v>
      </c>
      <c r="J119">
        <v>30</v>
      </c>
      <c r="K119">
        <v>15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ProjectcomiendoNumber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16.370323831349687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1.082792025082975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0.77458275287306733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14.651550232045601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17.7909159761405</v>
      </c>
      <c r="U119">
        <f>IF((ContinuousStatsTable[[#This Row],[RepsRequested]]&gt;1),ContinuousStatsTable[[#This Row],[HalfWidth]],ContinuousStatsTable[[#This Row],[BatchMeansHalfWidth]])</f>
        <v>0.77458275287306733</v>
      </c>
    </row>
    <row r="120" spans="1:21" x14ac:dyDescent="0.3">
      <c r="A120" t="s">
        <v>66</v>
      </c>
      <c r="B120" t="s">
        <v>68</v>
      </c>
      <c r="C120">
        <v>8</v>
      </c>
      <c r="D120" t="s">
        <v>95</v>
      </c>
      <c r="E120" t="s">
        <v>91</v>
      </c>
      <c r="F120" t="s">
        <v>89</v>
      </c>
      <c r="G120">
        <v>30</v>
      </c>
      <c r="H120">
        <v>2E+20</v>
      </c>
      <c r="I120">
        <v>30</v>
      </c>
      <c r="J120">
        <v>30</v>
      </c>
      <c r="K120">
        <v>30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ProjectcomiendoNumber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30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30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30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8</v>
      </c>
      <c r="D121" t="s">
        <v>86</v>
      </c>
      <c r="E121" t="s">
        <v>94</v>
      </c>
      <c r="F121" t="s">
        <v>78</v>
      </c>
      <c r="G121">
        <v>8.2033715168243706</v>
      </c>
      <c r="H121">
        <v>2E+20</v>
      </c>
      <c r="I121">
        <v>0</v>
      </c>
      <c r="J121">
        <v>17</v>
      </c>
      <c r="K121">
        <v>11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ProjectcpieWIPEntity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9.2908605330386465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1.4837612545855385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1.0614188602794625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7.9237289708550103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13.0648519439402</v>
      </c>
      <c r="U121">
        <f>IF((ContinuousStatsTable[[#This Row],[RepsRequested]]&gt;1),ContinuousStatsTable[[#This Row],[HalfWidth]],ContinuousStatsTable[[#This Row],[BatchMeansHalfWidth]])</f>
        <v>1.0614188602794625</v>
      </c>
    </row>
    <row r="122" spans="1:21" x14ac:dyDescent="0.3">
      <c r="A122" t="s">
        <v>66</v>
      </c>
      <c r="B122" t="s">
        <v>68</v>
      </c>
      <c r="C122">
        <v>9</v>
      </c>
      <c r="D122" t="s">
        <v>87</v>
      </c>
      <c r="E122" t="s">
        <v>88</v>
      </c>
      <c r="F122" t="s">
        <v>89</v>
      </c>
      <c r="G122">
        <v>0.69892965012209696</v>
      </c>
      <c r="H122">
        <v>2E+20</v>
      </c>
      <c r="I122">
        <v>0</v>
      </c>
      <c r="J122">
        <v>1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ProjectLlegada PedidosInstantaneous UtilizationResource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0.6595273690195278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4.3257074173814004E-2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3.0944246742323132E-2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0.59113797604853702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0.72596398581696897</v>
      </c>
      <c r="U122">
        <f>IF((ContinuousStatsTable[[#This Row],[RepsRequested]]&gt;1),ContinuousStatsTable[[#This Row],[HalfWidth]],ContinuousStatsTable[[#This Row],[BatchMeansHalfWidth]])</f>
        <v>3.0944246742323132E-2</v>
      </c>
    </row>
    <row r="123" spans="1:21" x14ac:dyDescent="0.3">
      <c r="A123" t="s">
        <v>66</v>
      </c>
      <c r="B123" t="s">
        <v>68</v>
      </c>
      <c r="C123">
        <v>9</v>
      </c>
      <c r="D123" t="s">
        <v>87</v>
      </c>
      <c r="E123" t="s">
        <v>90</v>
      </c>
      <c r="F123" t="s">
        <v>89</v>
      </c>
      <c r="G123">
        <v>4.0341733417555501</v>
      </c>
      <c r="H123">
        <v>2E+20</v>
      </c>
      <c r="I123">
        <v>0</v>
      </c>
      <c r="J123">
        <v>6</v>
      </c>
      <c r="K123">
        <v>6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ProjectLlegada PedidosNumber BusyResource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3.8048219931471854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0.26298250620112912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0.18812635196045085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3.4272486518987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4.1920593242441404</v>
      </c>
      <c r="U123">
        <f>IF((ContinuousStatsTable[[#This Row],[RepsRequested]]&gt;1),ContinuousStatsTable[[#This Row],[HalfWidth]],ContinuousStatsTable[[#This Row],[BatchMeansHalfWidth]])</f>
        <v>0.18812635196045085</v>
      </c>
    </row>
    <row r="124" spans="1:21" x14ac:dyDescent="0.3">
      <c r="A124" t="s">
        <v>66</v>
      </c>
      <c r="B124" t="s">
        <v>68</v>
      </c>
      <c r="C124">
        <v>9</v>
      </c>
      <c r="D124" t="s">
        <v>87</v>
      </c>
      <c r="E124" t="s">
        <v>91</v>
      </c>
      <c r="F124" t="s">
        <v>89</v>
      </c>
      <c r="G124">
        <v>5.75</v>
      </c>
      <c r="H124">
        <v>2E+20</v>
      </c>
      <c r="I124">
        <v>5</v>
      </c>
      <c r="J124">
        <v>6</v>
      </c>
      <c r="K124">
        <v>6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ProjectLlegada PedidosNumber ScheduledResource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5.75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5.75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5.75</v>
      </c>
      <c r="U124">
        <f>IF((ContinuousStatsTable[[#This Row],[RepsRequested]]&gt;1),ContinuousStatsTable[[#This Row],[HalfWidth]],ContinuousStatsTable[[#This Row],[BatchMeansHalfWidth]])</f>
        <v>0</v>
      </c>
    </row>
    <row r="125" spans="1:21" x14ac:dyDescent="0.3">
      <c r="A125" t="s">
        <v>66</v>
      </c>
      <c r="B125" t="s">
        <v>68</v>
      </c>
      <c r="C125">
        <v>9</v>
      </c>
      <c r="D125" t="s">
        <v>72</v>
      </c>
      <c r="E125" t="s">
        <v>92</v>
      </c>
      <c r="F125" t="s">
        <v>74</v>
      </c>
      <c r="G125">
        <v>5.2886106373322104</v>
      </c>
      <c r="H125">
        <v>2E+20</v>
      </c>
      <c r="I125">
        <v>0</v>
      </c>
      <c r="J125">
        <v>33</v>
      </c>
      <c r="K125">
        <v>0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ProjectPedidosCobros.QueueNumber WaitingQueue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3.4276072930460231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1.2805781327766621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0.91607041091680408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1.4388039171548199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5.2886106373322104</v>
      </c>
      <c r="U125">
        <f>IF((ContinuousStatsTable[[#This Row],[RepsRequested]]&gt;1),ContinuousStatsTable[[#This Row],[HalfWidth]],ContinuousStatsTable[[#This Row],[BatchMeansHalfWidth]])</f>
        <v>0.91607041091680408</v>
      </c>
    </row>
    <row r="126" spans="1:21" x14ac:dyDescent="0.3">
      <c r="A126" t="s">
        <v>66</v>
      </c>
      <c r="B126" t="s">
        <v>68</v>
      </c>
      <c r="C126">
        <v>9</v>
      </c>
      <c r="D126" t="s">
        <v>93</v>
      </c>
      <c r="E126" t="s">
        <v>88</v>
      </c>
      <c r="F126" t="s">
        <v>89</v>
      </c>
      <c r="G126">
        <v>0.59269037047803597</v>
      </c>
      <c r="H126">
        <v>2E+20</v>
      </c>
      <c r="I126">
        <v>0</v>
      </c>
      <c r="J126">
        <v>1</v>
      </c>
      <c r="K126">
        <v>1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ProjectRecoger pedidosInstantaneous UtilizationResource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0.5604361436219214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3.5315793681560653E-2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2.5263396899939575E-2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0.51502488611470398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0.60298436758055496</v>
      </c>
      <c r="U126">
        <f>IF((ContinuousStatsTable[[#This Row],[RepsRequested]]&gt;1),ContinuousStatsTable[[#This Row],[HalfWidth]],ContinuousStatsTable[[#This Row],[BatchMeansHalfWidth]])</f>
        <v>2.5263396899939575E-2</v>
      </c>
    </row>
    <row r="127" spans="1:21" x14ac:dyDescent="0.3">
      <c r="A127" t="s">
        <v>66</v>
      </c>
      <c r="B127" t="s">
        <v>68</v>
      </c>
      <c r="C127">
        <v>9</v>
      </c>
      <c r="D127" t="s">
        <v>93</v>
      </c>
      <c r="E127" t="s">
        <v>90</v>
      </c>
      <c r="F127" t="s">
        <v>89</v>
      </c>
      <c r="G127">
        <v>1.1154062696841001</v>
      </c>
      <c r="H127">
        <v>2E+20</v>
      </c>
      <c r="I127">
        <v>0</v>
      </c>
      <c r="J127">
        <v>2</v>
      </c>
      <c r="K127">
        <v>2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ProjectRecoger pedidosNumber BusyResource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1.0569098141964663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6.5634037857285929E-2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4.695176224794953E-2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0.95438389742001095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1.1377394211218801</v>
      </c>
      <c r="U127">
        <f>IF((ContinuousStatsTable[[#This Row],[RepsRequested]]&gt;1),ContinuousStatsTable[[#This Row],[HalfWidth]],ContinuousStatsTable[[#This Row],[BatchMeansHalfWidth]])</f>
        <v>4.695176224794953E-2</v>
      </c>
    </row>
    <row r="128" spans="1:21" x14ac:dyDescent="0.3">
      <c r="A128" t="s">
        <v>66</v>
      </c>
      <c r="B128" t="s">
        <v>68</v>
      </c>
      <c r="C128">
        <v>9</v>
      </c>
      <c r="D128" t="s">
        <v>93</v>
      </c>
      <c r="E128" t="s">
        <v>91</v>
      </c>
      <c r="F128" t="s">
        <v>89</v>
      </c>
      <c r="G128">
        <v>1.9166666666666701</v>
      </c>
      <c r="H128">
        <v>2E+20</v>
      </c>
      <c r="I128">
        <v>1</v>
      </c>
      <c r="J128">
        <v>2</v>
      </c>
      <c r="K128">
        <v>2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ProjectRecoger pedidosNumber ScheduledResource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1.9166666666666701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1.9166666666666701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1.9166666666666701</v>
      </c>
      <c r="U128">
        <f>IF((ContinuousStatsTable[[#This Row],[RepsRequested]]&gt;1),ContinuousStatsTable[[#This Row],[HalfWidth]],ContinuousStatsTable[[#This Row],[BatchMeansHalfWidth]])</f>
        <v>0</v>
      </c>
    </row>
    <row r="129" spans="1:21" x14ac:dyDescent="0.3">
      <c r="A129" t="s">
        <v>66</v>
      </c>
      <c r="B129" t="s">
        <v>68</v>
      </c>
      <c r="C129">
        <v>9</v>
      </c>
      <c r="D129" t="s">
        <v>75</v>
      </c>
      <c r="E129" t="s">
        <v>92</v>
      </c>
      <c r="F129" t="s">
        <v>74</v>
      </c>
      <c r="G129">
        <v>0.35791903949627102</v>
      </c>
      <c r="H129">
        <v>2E+20</v>
      </c>
      <c r="I129">
        <v>0</v>
      </c>
      <c r="J129">
        <v>5</v>
      </c>
      <c r="K129">
        <v>3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ProjectRecoger.QueueNumber WaitingQueue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0.4031279969367848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0.21310533808048257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0.15244637529508648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0.136826810923111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0.81622840356734405</v>
      </c>
      <c r="U129">
        <f>IF((ContinuousStatsTable[[#This Row],[RepsRequested]]&gt;1),ContinuousStatsTable[[#This Row],[HalfWidth]],ContinuousStatsTable[[#This Row],[BatchMeansHalfWidth]])</f>
        <v>0.15244637529508648</v>
      </c>
    </row>
    <row r="130" spans="1:21" x14ac:dyDescent="0.3">
      <c r="A130" t="s">
        <v>66</v>
      </c>
      <c r="B130" t="s">
        <v>68</v>
      </c>
      <c r="C130">
        <v>9</v>
      </c>
      <c r="D130" t="s">
        <v>76</v>
      </c>
      <c r="E130" t="s">
        <v>94</v>
      </c>
      <c r="F130" t="s">
        <v>78</v>
      </c>
      <c r="G130">
        <v>5.3464252555821998</v>
      </c>
      <c r="H130">
        <v>2E+20</v>
      </c>
      <c r="I130">
        <v>0</v>
      </c>
      <c r="J130">
        <v>31</v>
      </c>
      <c r="K130">
        <v>0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ProjectcbusWIPEntity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5.0665845774105804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0.71136839542638619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0.50888229435753596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3.9372015551464701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6.3088136459921804</v>
      </c>
      <c r="U130">
        <f>IF((ContinuousStatsTable[[#This Row],[RepsRequested]]&gt;1),ContinuousStatsTable[[#This Row],[HalfWidth]],ContinuousStatsTable[[#This Row],[BatchMeansHalfWidth]])</f>
        <v>0.50888229435753596</v>
      </c>
    </row>
    <row r="131" spans="1:21" x14ac:dyDescent="0.3">
      <c r="A131" t="s">
        <v>66</v>
      </c>
      <c r="B131" t="s">
        <v>68</v>
      </c>
      <c r="C131">
        <v>9</v>
      </c>
      <c r="D131" t="s">
        <v>84</v>
      </c>
      <c r="E131" t="s">
        <v>94</v>
      </c>
      <c r="F131" t="s">
        <v>78</v>
      </c>
      <c r="G131">
        <v>11.819816507748</v>
      </c>
      <c r="H131">
        <v>2E+20</v>
      </c>
      <c r="I131">
        <v>0</v>
      </c>
      <c r="J131">
        <v>32</v>
      </c>
      <c r="K131">
        <v>16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ProjectccocheWIPEntity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12.759236186141919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1.7106325956849093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1.2237128409017237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10.2386187303012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15.1535027543102</v>
      </c>
      <c r="U131">
        <f>IF((ContinuousStatsTable[[#This Row],[RepsRequested]]&gt;1),ContinuousStatsTable[[#This Row],[HalfWidth]],ContinuousStatsTable[[#This Row],[BatchMeansHalfWidth]])</f>
        <v>1.2237128409017237</v>
      </c>
    </row>
    <row r="132" spans="1:21" x14ac:dyDescent="0.3">
      <c r="A132" t="s">
        <v>66</v>
      </c>
      <c r="B132" t="s">
        <v>68</v>
      </c>
      <c r="C132">
        <v>9</v>
      </c>
      <c r="D132" t="s">
        <v>85</v>
      </c>
      <c r="E132" t="s">
        <v>92</v>
      </c>
      <c r="F132" t="s">
        <v>74</v>
      </c>
      <c r="G132">
        <v>5.1971754177900599E-2</v>
      </c>
      <c r="H132">
        <v>2E+20</v>
      </c>
      <c r="I132">
        <v>0</v>
      </c>
      <c r="J132">
        <v>3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Projectcomer.QueueNumber WaitingQueue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2.0890695640067989E-2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2.1893740410825115E-2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1.5661838400412763E-2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6.7580541961583807E-2</v>
      </c>
      <c r="U132">
        <f>IF((ContinuousStatsTable[[#This Row],[RepsRequested]]&gt;1),ContinuousStatsTable[[#This Row],[HalfWidth]],ContinuousStatsTable[[#This Row],[BatchMeansHalfWidth]])</f>
        <v>1.5661838400412763E-2</v>
      </c>
    </row>
    <row r="133" spans="1:21" x14ac:dyDescent="0.3">
      <c r="A133" t="s">
        <v>66</v>
      </c>
      <c r="B133" t="s">
        <v>68</v>
      </c>
      <c r="C133">
        <v>9</v>
      </c>
      <c r="D133" t="s">
        <v>95</v>
      </c>
      <c r="E133" t="s">
        <v>88</v>
      </c>
      <c r="F133" t="s">
        <v>89</v>
      </c>
      <c r="G133">
        <v>0.57545560630387704</v>
      </c>
      <c r="H133">
        <v>3E+20</v>
      </c>
      <c r="I133">
        <v>0</v>
      </c>
      <c r="J133">
        <v>1</v>
      </c>
      <c r="K133">
        <v>0.46666666666666701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ProjectcomiendoInstantaneous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0.54567746104498926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3.6093067502766238E-2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2.5819425095769202E-2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0.48838500773485199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0.59303053253801696</v>
      </c>
      <c r="U133">
        <f>IF((ContinuousStatsTable[[#This Row],[RepsRequested]]&gt;1),ContinuousStatsTable[[#This Row],[HalfWidth]],ContinuousStatsTable[[#This Row],[BatchMeansHalfWidth]])</f>
        <v>2.5819425095769202E-2</v>
      </c>
    </row>
    <row r="134" spans="1:21" x14ac:dyDescent="0.3">
      <c r="A134" t="s">
        <v>66</v>
      </c>
      <c r="B134" t="s">
        <v>68</v>
      </c>
      <c r="C134">
        <v>9</v>
      </c>
      <c r="D134" t="s">
        <v>95</v>
      </c>
      <c r="E134" t="s">
        <v>90</v>
      </c>
      <c r="F134" t="s">
        <v>89</v>
      </c>
      <c r="G134">
        <v>17.263668189116299</v>
      </c>
      <c r="H134">
        <v>3E+20</v>
      </c>
      <c r="I134">
        <v>0</v>
      </c>
      <c r="J134">
        <v>30</v>
      </c>
      <c r="K134">
        <v>14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ProjectcomiendoNumber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16.370323831349687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1.082792025082975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0.77458275287306733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14.651550232045601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17.7909159761405</v>
      </c>
      <c r="U134">
        <f>IF((ContinuousStatsTable[[#This Row],[RepsRequested]]&gt;1),ContinuousStatsTable[[#This Row],[HalfWidth]],ContinuousStatsTable[[#This Row],[BatchMeansHalfWidth]])</f>
        <v>0.77458275287306733</v>
      </c>
    </row>
    <row r="135" spans="1:21" x14ac:dyDescent="0.3">
      <c r="A135" t="s">
        <v>66</v>
      </c>
      <c r="B135" t="s">
        <v>68</v>
      </c>
      <c r="C135">
        <v>9</v>
      </c>
      <c r="D135" t="s">
        <v>95</v>
      </c>
      <c r="E135" t="s">
        <v>91</v>
      </c>
      <c r="F135" t="s">
        <v>89</v>
      </c>
      <c r="G135">
        <v>30</v>
      </c>
      <c r="H135">
        <v>2E+20</v>
      </c>
      <c r="I135">
        <v>30</v>
      </c>
      <c r="J135">
        <v>30</v>
      </c>
      <c r="K135">
        <v>30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ProjectcomiendoNumber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30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30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30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9</v>
      </c>
      <c r="D136" t="s">
        <v>86</v>
      </c>
      <c r="E136" t="s">
        <v>94</v>
      </c>
      <c r="F136" t="s">
        <v>78</v>
      </c>
      <c r="G136">
        <v>13.0648519439402</v>
      </c>
      <c r="H136">
        <v>2E+20</v>
      </c>
      <c r="I136">
        <v>0</v>
      </c>
      <c r="J136">
        <v>21</v>
      </c>
      <c r="K136">
        <v>13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ProjectcpieWIPEntity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9.2908605330386465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1.4837612545855385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1.0614188602794625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7.9237289708550103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13.0648519439402</v>
      </c>
      <c r="U136">
        <f>IF((ContinuousStatsTable[[#This Row],[RepsRequested]]&gt;1),ContinuousStatsTable[[#This Row],[HalfWidth]],ContinuousStatsTable[[#This Row],[BatchMeansHalfWidth]])</f>
        <v>1.0614188602794625</v>
      </c>
    </row>
    <row r="137" spans="1:21" x14ac:dyDescent="0.3">
      <c r="A137" t="s">
        <v>66</v>
      </c>
      <c r="B137" t="s">
        <v>68</v>
      </c>
      <c r="C137">
        <v>10</v>
      </c>
      <c r="D137" t="s">
        <v>87</v>
      </c>
      <c r="E137" t="s">
        <v>88</v>
      </c>
      <c r="F137" t="s">
        <v>89</v>
      </c>
      <c r="G137">
        <v>0.635761397236279</v>
      </c>
      <c r="H137">
        <v>2E+20</v>
      </c>
      <c r="I137">
        <v>0</v>
      </c>
      <c r="J137">
        <v>1</v>
      </c>
      <c r="K137">
        <v>0.33333333333333298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ProjectLlegada PedidosInstantaneous UtilizationResource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0.6595273690195278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4.3257074173814004E-2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3.0944246742323132E-2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0.59113797604853702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0.72596398581696897</v>
      </c>
      <c r="U137">
        <f>IF((ContinuousStatsTable[[#This Row],[RepsRequested]]&gt;1),ContinuousStatsTable[[#This Row],[HalfWidth]],ContinuousStatsTable[[#This Row],[BatchMeansHalfWidth]])</f>
        <v>3.0944246742323132E-2</v>
      </c>
    </row>
    <row r="138" spans="1:21" x14ac:dyDescent="0.3">
      <c r="A138" t="s">
        <v>66</v>
      </c>
      <c r="B138" t="s">
        <v>68</v>
      </c>
      <c r="C138">
        <v>10</v>
      </c>
      <c r="D138" t="s">
        <v>87</v>
      </c>
      <c r="E138" t="s">
        <v>90</v>
      </c>
      <c r="F138" t="s">
        <v>89</v>
      </c>
      <c r="G138">
        <v>3.6606776141041601</v>
      </c>
      <c r="H138">
        <v>2E+20</v>
      </c>
      <c r="I138">
        <v>0</v>
      </c>
      <c r="J138">
        <v>6</v>
      </c>
      <c r="K138">
        <v>2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ProjectLlegada PedidosNumber BusyResource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3.8048219931471854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0.26298250620112912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0.18812635196045085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3.4272486518987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4.1920593242441404</v>
      </c>
      <c r="U138">
        <f>IF((ContinuousStatsTable[[#This Row],[RepsRequested]]&gt;1),ContinuousStatsTable[[#This Row],[HalfWidth]],ContinuousStatsTable[[#This Row],[BatchMeansHalfWidth]])</f>
        <v>0.18812635196045085</v>
      </c>
    </row>
    <row r="139" spans="1:21" x14ac:dyDescent="0.3">
      <c r="A139" t="s">
        <v>66</v>
      </c>
      <c r="B139" t="s">
        <v>68</v>
      </c>
      <c r="C139">
        <v>10</v>
      </c>
      <c r="D139" t="s">
        <v>87</v>
      </c>
      <c r="E139" t="s">
        <v>91</v>
      </c>
      <c r="F139" t="s">
        <v>89</v>
      </c>
      <c r="G139">
        <v>5.75</v>
      </c>
      <c r="H139">
        <v>2E+20</v>
      </c>
      <c r="I139">
        <v>5</v>
      </c>
      <c r="J139">
        <v>6</v>
      </c>
      <c r="K139">
        <v>6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ProjectLlegada PedidosNumber ScheduledResource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5.75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5.75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5.75</v>
      </c>
      <c r="U139">
        <f>IF((ContinuousStatsTable[[#This Row],[RepsRequested]]&gt;1),ContinuousStatsTable[[#This Row],[HalfWidth]],ContinuousStatsTable[[#This Row],[BatchMeansHalfWidth]])</f>
        <v>0</v>
      </c>
    </row>
    <row r="140" spans="1:21" x14ac:dyDescent="0.3">
      <c r="A140" t="s">
        <v>66</v>
      </c>
      <c r="B140" t="s">
        <v>68</v>
      </c>
      <c r="C140">
        <v>10</v>
      </c>
      <c r="D140" t="s">
        <v>72</v>
      </c>
      <c r="E140" t="s">
        <v>92</v>
      </c>
      <c r="F140" t="s">
        <v>74</v>
      </c>
      <c r="G140">
        <v>4.8302934913055804</v>
      </c>
      <c r="H140">
        <v>2E+20</v>
      </c>
      <c r="I140">
        <v>0</v>
      </c>
      <c r="J140">
        <v>36</v>
      </c>
      <c r="K140">
        <v>0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ProjectPedidosCobros.QueueNumber WaitingQueue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3.4276072930460231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1.2805781327766621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0.91607041091680408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1.4388039171548199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5.2886106373322104</v>
      </c>
      <c r="U140">
        <f>IF((ContinuousStatsTable[[#This Row],[RepsRequested]]&gt;1),ContinuousStatsTable[[#This Row],[HalfWidth]],ContinuousStatsTable[[#This Row],[BatchMeansHalfWidth]])</f>
        <v>0.91607041091680408</v>
      </c>
    </row>
    <row r="141" spans="1:21" x14ac:dyDescent="0.3">
      <c r="A141" t="s">
        <v>66</v>
      </c>
      <c r="B141" t="s">
        <v>68</v>
      </c>
      <c r="C141">
        <v>10</v>
      </c>
      <c r="D141" t="s">
        <v>93</v>
      </c>
      <c r="E141" t="s">
        <v>88</v>
      </c>
      <c r="F141" t="s">
        <v>89</v>
      </c>
      <c r="G141">
        <v>0.51502488611470398</v>
      </c>
      <c r="H141">
        <v>2E+20</v>
      </c>
      <c r="I141">
        <v>0</v>
      </c>
      <c r="J141">
        <v>1</v>
      </c>
      <c r="K141">
        <v>1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ProjectRecoger pedidosInstantaneous UtilizationResource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0.5604361436219214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3.5315793681560653E-2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2.5263396899939575E-2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0.51502488611470398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0.60298436758055496</v>
      </c>
      <c r="U141">
        <f>IF((ContinuousStatsTable[[#This Row],[RepsRequested]]&gt;1),ContinuousStatsTable[[#This Row],[HalfWidth]],ContinuousStatsTable[[#This Row],[BatchMeansHalfWidth]])</f>
        <v>2.5263396899939575E-2</v>
      </c>
    </row>
    <row r="142" spans="1:21" x14ac:dyDescent="0.3">
      <c r="A142" t="s">
        <v>66</v>
      </c>
      <c r="B142" t="s">
        <v>68</v>
      </c>
      <c r="C142">
        <v>10</v>
      </c>
      <c r="D142" t="s">
        <v>93</v>
      </c>
      <c r="E142" t="s">
        <v>90</v>
      </c>
      <c r="F142" t="s">
        <v>89</v>
      </c>
      <c r="G142">
        <v>0.99151549404778105</v>
      </c>
      <c r="H142">
        <v>2E+20</v>
      </c>
      <c r="I142">
        <v>0</v>
      </c>
      <c r="J142">
        <v>2</v>
      </c>
      <c r="K142">
        <v>2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ProjectRecoger pedidosNumber BusyResource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1.0569098141964663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6.5634037857285929E-2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4.695176224794953E-2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0.95438389742001095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1.1377394211218801</v>
      </c>
      <c r="U142">
        <f>IF((ContinuousStatsTable[[#This Row],[RepsRequested]]&gt;1),ContinuousStatsTable[[#This Row],[HalfWidth]],ContinuousStatsTable[[#This Row],[BatchMeansHalfWidth]])</f>
        <v>4.695176224794953E-2</v>
      </c>
    </row>
    <row r="143" spans="1:21" x14ac:dyDescent="0.3">
      <c r="A143" t="s">
        <v>66</v>
      </c>
      <c r="B143" t="s">
        <v>68</v>
      </c>
      <c r="C143">
        <v>10</v>
      </c>
      <c r="D143" t="s">
        <v>93</v>
      </c>
      <c r="E143" t="s">
        <v>91</v>
      </c>
      <c r="F143" t="s">
        <v>89</v>
      </c>
      <c r="G143">
        <v>1.9166666666666701</v>
      </c>
      <c r="H143">
        <v>2E+20</v>
      </c>
      <c r="I143">
        <v>1</v>
      </c>
      <c r="J143">
        <v>2</v>
      </c>
      <c r="K143">
        <v>2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ProjectRecoger pedidosNumber ScheduledResource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1.9166666666666701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1.9166666666666701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1.9166666666666701</v>
      </c>
      <c r="U143">
        <f>IF((ContinuousStatsTable[[#This Row],[RepsRequested]]&gt;1),ContinuousStatsTable[[#This Row],[HalfWidth]],ContinuousStatsTable[[#This Row],[BatchMeansHalfWidth]])</f>
        <v>0</v>
      </c>
    </row>
    <row r="144" spans="1:21" x14ac:dyDescent="0.3">
      <c r="A144" t="s">
        <v>66</v>
      </c>
      <c r="B144" t="s">
        <v>68</v>
      </c>
      <c r="C144">
        <v>10</v>
      </c>
      <c r="D144" t="s">
        <v>75</v>
      </c>
      <c r="E144" t="s">
        <v>92</v>
      </c>
      <c r="F144" t="s">
        <v>74</v>
      </c>
      <c r="G144">
        <v>0.32562331914962001</v>
      </c>
      <c r="H144">
        <v>2E+20</v>
      </c>
      <c r="I144">
        <v>0</v>
      </c>
      <c r="J144">
        <v>4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ProjectRecoger.QueueNumber WaitingQueue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0.4031279969367848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0.21310533808048257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0.15244637529508648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0.136826810923111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0.81622840356734405</v>
      </c>
      <c r="U144">
        <f>IF((ContinuousStatsTable[[#This Row],[RepsRequested]]&gt;1),ContinuousStatsTable[[#This Row],[HalfWidth]],ContinuousStatsTable[[#This Row],[BatchMeansHalfWidth]])</f>
        <v>0.15244637529508648</v>
      </c>
    </row>
    <row r="145" spans="1:21" x14ac:dyDescent="0.3">
      <c r="A145" t="s">
        <v>66</v>
      </c>
      <c r="B145" t="s">
        <v>68</v>
      </c>
      <c r="C145">
        <v>10</v>
      </c>
      <c r="D145" t="s">
        <v>76</v>
      </c>
      <c r="E145" t="s">
        <v>94</v>
      </c>
      <c r="F145" t="s">
        <v>78</v>
      </c>
      <c r="G145">
        <v>5.6322323485906001</v>
      </c>
      <c r="H145">
        <v>2E+20</v>
      </c>
      <c r="I145">
        <v>0</v>
      </c>
      <c r="J145">
        <v>33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ProjectcbusWIPEntity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5.0665845774105804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0.71136839542638619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0.50888229435753596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3.9372015551464701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6.3088136459921804</v>
      </c>
      <c r="U145">
        <f>IF((ContinuousStatsTable[[#This Row],[RepsRequested]]&gt;1),ContinuousStatsTable[[#This Row],[HalfWidth]],ContinuousStatsTable[[#This Row],[BatchMeansHalfWidth]])</f>
        <v>0.50888229435753596</v>
      </c>
    </row>
    <row r="146" spans="1:21" x14ac:dyDescent="0.3">
      <c r="A146" t="s">
        <v>66</v>
      </c>
      <c r="B146" t="s">
        <v>68</v>
      </c>
      <c r="C146">
        <v>10</v>
      </c>
      <c r="D146" t="s">
        <v>84</v>
      </c>
      <c r="E146" t="s">
        <v>94</v>
      </c>
      <c r="F146" t="s">
        <v>78</v>
      </c>
      <c r="G146">
        <v>12.5969690391849</v>
      </c>
      <c r="H146">
        <v>2E+20</v>
      </c>
      <c r="I146">
        <v>0</v>
      </c>
      <c r="J146">
        <v>27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ProjectccocheWIPEntity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12.759236186141919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1.7106325956849093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1.2237128409017237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10.2386187303012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15.1535027543102</v>
      </c>
      <c r="U146">
        <f>IF((ContinuousStatsTable[[#This Row],[RepsRequested]]&gt;1),ContinuousStatsTable[[#This Row],[HalfWidth]],ContinuousStatsTable[[#This Row],[BatchMeansHalfWidth]])</f>
        <v>1.2237128409017237</v>
      </c>
    </row>
    <row r="147" spans="1:21" x14ac:dyDescent="0.3">
      <c r="A147" t="s">
        <v>66</v>
      </c>
      <c r="B147" t="s">
        <v>68</v>
      </c>
      <c r="C147">
        <v>10</v>
      </c>
      <c r="D147" t="s">
        <v>85</v>
      </c>
      <c r="E147" t="s">
        <v>92</v>
      </c>
      <c r="F147" t="s">
        <v>74</v>
      </c>
      <c r="G147">
        <v>2.0688162018680002E-2</v>
      </c>
      <c r="H147">
        <v>2E+20</v>
      </c>
      <c r="I147">
        <v>0</v>
      </c>
      <c r="J147">
        <v>2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Projectcomer.QueueNumber WaitingQueue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2.0890695640067989E-2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2.1893740410825115E-2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1.5661838400412763E-2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6.7580541961583807E-2</v>
      </c>
      <c r="U147">
        <f>IF((ContinuousStatsTable[[#This Row],[RepsRequested]]&gt;1),ContinuousStatsTable[[#This Row],[HalfWidth]],ContinuousStatsTable[[#This Row],[BatchMeansHalfWidth]])</f>
        <v>1.5661838400412763E-2</v>
      </c>
    </row>
    <row r="148" spans="1:21" x14ac:dyDescent="0.3">
      <c r="A148" t="s">
        <v>66</v>
      </c>
      <c r="B148" t="s">
        <v>68</v>
      </c>
      <c r="C148">
        <v>10</v>
      </c>
      <c r="D148" t="s">
        <v>95</v>
      </c>
      <c r="E148" t="s">
        <v>88</v>
      </c>
      <c r="F148" t="s">
        <v>89</v>
      </c>
      <c r="G148">
        <v>0.53422451206923904</v>
      </c>
      <c r="H148">
        <v>3E+20</v>
      </c>
      <c r="I148">
        <v>0</v>
      </c>
      <c r="J148">
        <v>1</v>
      </c>
      <c r="K148">
        <v>0.16666666666666699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ProjectcomiendoInstantaneous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0.54567746104498926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3.6093067502766238E-2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2.5819425095769202E-2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0.48838500773485199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0.59303053253801696</v>
      </c>
      <c r="U148">
        <f>IF((ContinuousStatsTable[[#This Row],[RepsRequested]]&gt;1),ContinuousStatsTable[[#This Row],[HalfWidth]],ContinuousStatsTable[[#This Row],[BatchMeansHalfWidth]])</f>
        <v>2.5819425095769202E-2</v>
      </c>
    </row>
    <row r="149" spans="1:21" x14ac:dyDescent="0.3">
      <c r="A149" t="s">
        <v>66</v>
      </c>
      <c r="B149" t="s">
        <v>68</v>
      </c>
      <c r="C149">
        <v>10</v>
      </c>
      <c r="D149" t="s">
        <v>95</v>
      </c>
      <c r="E149" t="s">
        <v>90</v>
      </c>
      <c r="F149" t="s">
        <v>89</v>
      </c>
      <c r="G149">
        <v>16.026735362077201</v>
      </c>
      <c r="H149">
        <v>3E+20</v>
      </c>
      <c r="I149">
        <v>0</v>
      </c>
      <c r="J149">
        <v>30</v>
      </c>
      <c r="K149">
        <v>5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ProjectcomiendoNumber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16.370323831349687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1.082792025082975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0.77458275287306733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14.651550232045601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17.7909159761405</v>
      </c>
      <c r="U149">
        <f>IF((ContinuousStatsTable[[#This Row],[RepsRequested]]&gt;1),ContinuousStatsTable[[#This Row],[HalfWidth]],ContinuousStatsTable[[#This Row],[BatchMeansHalfWidth]])</f>
        <v>0.77458275287306733</v>
      </c>
    </row>
    <row r="150" spans="1:21" x14ac:dyDescent="0.3">
      <c r="A150" t="s">
        <v>66</v>
      </c>
      <c r="B150" t="s">
        <v>68</v>
      </c>
      <c r="C150">
        <v>10</v>
      </c>
      <c r="D150" t="s">
        <v>95</v>
      </c>
      <c r="E150" t="s">
        <v>91</v>
      </c>
      <c r="F150" t="s">
        <v>89</v>
      </c>
      <c r="G150">
        <v>30</v>
      </c>
      <c r="H150">
        <v>2E+20</v>
      </c>
      <c r="I150">
        <v>30</v>
      </c>
      <c r="J150">
        <v>30</v>
      </c>
      <c r="K150">
        <v>30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ProjectcomiendoNumber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30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30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30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10</v>
      </c>
      <c r="D151" t="s">
        <v>86</v>
      </c>
      <c r="E151" t="s">
        <v>94</v>
      </c>
      <c r="F151" t="s">
        <v>78</v>
      </c>
      <c r="G151">
        <v>9.6620613047272794</v>
      </c>
      <c r="H151">
        <v>2E+20</v>
      </c>
      <c r="I151">
        <v>0</v>
      </c>
      <c r="J151">
        <v>20</v>
      </c>
      <c r="K151">
        <v>11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ProjectcpieWIPEntity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9.2908605330386465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1.4837612545855385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1.0614188602794625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7.9237289708550103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13.0648519439402</v>
      </c>
      <c r="U151">
        <f>IF((ContinuousStatsTable[[#This Row],[RepsRequested]]&gt;1),ContinuousStatsTable[[#This Row],[HalfWidth]],ContinuousStatsTable[[#This Row],[BatchMeansHalfWidth]])</f>
        <v>1.0614188602794625</v>
      </c>
    </row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" bestFit="1" customWidth="1"/>
    <col min="8" max="8" width="13.6640625" bestFit="1" customWidth="1"/>
    <col min="9" max="9" width="16.109375" bestFit="1" customWidth="1"/>
    <col min="10" max="10" width="10.109375" bestFit="1" customWidth="1"/>
    <col min="11" max="11" width="19" bestFit="1" customWidth="1"/>
    <col min="12" max="12" width="19.332031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31"/>
  <sheetViews>
    <sheetView workbookViewId="0">
      <selection activeCell="H2" sqref="H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32" bestFit="1" customWidth="1"/>
    <col min="5" max="5" width="18.109375" bestFit="1" customWidth="1"/>
    <col min="6" max="6" width="9" bestFit="1" customWidth="1"/>
    <col min="7" max="7" width="16" bestFit="1" customWidth="1"/>
    <col min="8" max="8" width="11.33203125" bestFit="1" customWidth="1"/>
    <col min="9" max="9" width="71.44140625" bestFit="1" customWidth="1"/>
    <col min="10" max="10" width="16.109375" bestFit="1" customWidth="1"/>
    <col min="11" max="11" width="12" customWidth="1"/>
    <col min="12" max="12" width="19" bestFit="1" customWidth="1"/>
    <col min="13" max="13" width="19.332031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96</v>
      </c>
      <c r="E2" t="s">
        <v>97</v>
      </c>
      <c r="F2" t="s">
        <v>89</v>
      </c>
      <c r="G2">
        <v>230</v>
      </c>
      <c r="H2">
        <v>0</v>
      </c>
      <c r="I2" t="str">
        <f>OutputTable[[#This Row],[ProjectName]]&amp;OutputTable[[#This Row],[Name]]&amp;OutputTable[[#This Row],[Type]]&amp;OutputTable[[#This Row],[Source]]</f>
        <v>Unnamed ProjectLlegada Pedidos.NumberSeizedTotal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213.2</v>
      </c>
      <c r="L2" cm="1">
        <f t="array" ref="L2">IFERROR(_xlfn.STDEV.S(IF((OutputTable[GroupByKey]=OutputTable[[#This Row],[GroupByKey]]),(OutputTable[GroupByKey]=OutputTable[[#This Row],[GroupByKey]])*OutputTable[RecordedValue])),0)</f>
        <v>15.540627757948235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11.117095389767675</v>
      </c>
      <c r="O2" cm="1">
        <f t="array" ref="O2">MIN(IF((OutputTable[GroupByKey]=OutputTable[[#This Row],[GroupByKey]]),(OutputTable[GroupByKey]=OutputTable[[#This Row],[GroupByKey]])*OutputTable[RecordedValue]))</f>
        <v>190</v>
      </c>
      <c r="P2" cm="1">
        <f t="array" ref="P2">MAX(IF((OutputTable[GroupByKey]=OutputTable[[#This Row],[GroupByKey]]),(OutputTable[GroupByKey]=OutputTable[[#This Row],[GroupByKey]])*OutputTable[RecordedValue]))</f>
        <v>235</v>
      </c>
    </row>
    <row r="3" spans="1:16" x14ac:dyDescent="0.3">
      <c r="A3" t="s">
        <v>66</v>
      </c>
      <c r="B3" t="s">
        <v>68</v>
      </c>
      <c r="C3">
        <v>1</v>
      </c>
      <c r="D3" t="s">
        <v>98</v>
      </c>
      <c r="E3" t="s">
        <v>99</v>
      </c>
      <c r="F3" t="s">
        <v>89</v>
      </c>
      <c r="G3">
        <v>0.70824336414244804</v>
      </c>
      <c r="H3">
        <v>0</v>
      </c>
      <c r="I3" t="str">
        <f>OutputTable[[#This Row],[ProjectName]]&amp;OutputTable[[#This Row],[Name]]&amp;OutputTable[[#This Row],[Type]]&amp;OutputTable[[#This Row],[Source]]</f>
        <v>Unnamed ProjectLlegada Pedidos.ScheduledUtilizationScheduled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0.66170817272124971</v>
      </c>
      <c r="L3" cm="1">
        <f t="array" ref="L3">IFERROR(_xlfn.STDEV.S(IF((OutputTable[GroupByKey]=OutputTable[[#This Row],[GroupByKey]]),(OutputTable[GroupByKey]=OutputTable[[#This Row],[GroupByKey]])*OutputTable[RecordedValue])),0)</f>
        <v>4.5736088034979056E-2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3.2717626427904552E-2</v>
      </c>
      <c r="O3" cm="1">
        <f t="array" ref="O3">MIN(IF((OutputTable[GroupByKey]=OutputTable[[#This Row],[GroupByKey]]),(OutputTable[GroupByKey]=OutputTable[[#This Row],[GroupByKey]])*OutputTable[RecordedValue]))</f>
        <v>0.59604324380846896</v>
      </c>
      <c r="P3" cm="1">
        <f t="array" ref="P3">MAX(IF((OutputTable[GroupByKey]=OutputTable[[#This Row],[GroupByKey]]),(OutputTable[GroupByKey]=OutputTable[[#This Row],[GroupByKey]])*OutputTable[RecordedValue]))</f>
        <v>0.72905379552072003</v>
      </c>
    </row>
    <row r="4" spans="1:16" x14ac:dyDescent="0.3">
      <c r="A4" t="s">
        <v>66</v>
      </c>
      <c r="B4" t="s">
        <v>68</v>
      </c>
      <c r="C4">
        <v>1</v>
      </c>
      <c r="D4" t="s">
        <v>100</v>
      </c>
      <c r="E4" t="s">
        <v>97</v>
      </c>
      <c r="F4" t="s">
        <v>89</v>
      </c>
      <c r="G4">
        <v>224</v>
      </c>
      <c r="H4">
        <v>0</v>
      </c>
      <c r="I4" t="str">
        <f>OutputTable[[#This Row],[ProjectName]]&amp;OutputTable[[#This Row],[Name]]&amp;OutputTable[[#This Row],[Type]]&amp;OutputTable[[#This Row],[Source]]</f>
        <v>Unnamed ProjectRecoger pedidos.NumberSeizedTotal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205.3</v>
      </c>
      <c r="L4" cm="1">
        <f t="array" ref="L4">IFERROR(_xlfn.STDEV.S(IF((OutputTable[GroupByKey]=OutputTable[[#This Row],[GroupByKey]]),(OutputTable[GroupByKey]=OutputTable[[#This Row],[GroupByKey]])*OutputTable[RecordedValue])),0)</f>
        <v>12.944754407352296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9.2601194613936642</v>
      </c>
      <c r="O4" cm="1">
        <f t="array" ref="O4">MIN(IF((OutputTable[GroupByKey]=OutputTable[[#This Row],[GroupByKey]]),(OutputTable[GroupByKey]=OutputTable[[#This Row],[GroupByKey]])*OutputTable[RecordedValue]))</f>
        <v>185</v>
      </c>
      <c r="P4" cm="1">
        <f t="array" ref="P4">MAX(IF((OutputTable[GroupByKey]=OutputTable[[#This Row],[GroupByKey]]),(OutputTable[GroupByKey]=OutputTable[[#This Row],[GroupByKey]])*OutputTable[RecordedValue]))</f>
        <v>224</v>
      </c>
    </row>
    <row r="5" spans="1:16" x14ac:dyDescent="0.3">
      <c r="A5" t="s">
        <v>66</v>
      </c>
      <c r="B5" t="s">
        <v>68</v>
      </c>
      <c r="C5">
        <v>1</v>
      </c>
      <c r="D5" t="s">
        <v>101</v>
      </c>
      <c r="E5" t="s">
        <v>99</v>
      </c>
      <c r="F5" t="s">
        <v>89</v>
      </c>
      <c r="G5">
        <v>0.58572281834492601</v>
      </c>
      <c r="H5">
        <v>0</v>
      </c>
      <c r="I5" t="str">
        <f>OutputTable[[#This Row],[ProjectName]]&amp;OutputTable[[#This Row],[Name]]&amp;OutputTable[[#This Row],[Type]]&amp;OutputTable[[#This Row],[Source]]</f>
        <v>Unnamed ProjectRecoger pedidos.ScheduledUtilizationScheduled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0.55143120740685148</v>
      </c>
      <c r="L5" cm="1">
        <f t="array" ref="L5">IFERROR(_xlfn.STDEV.S(IF((OutputTable[GroupByKey]=OutputTable[[#This Row],[GroupByKey]]),(OutputTable[GroupByKey]=OutputTable[[#This Row],[GroupByKey]])*OutputTable[RecordedValue])),0)</f>
        <v>3.4243845838583781E-2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2.4496571607625712E-2</v>
      </c>
      <c r="O5" cm="1">
        <f t="array" ref="O5">MIN(IF((OutputTable[GroupByKey]=OutputTable[[#This Row],[GroupByKey]]),(OutputTable[GroupByKey]=OutputTable[[#This Row],[GroupByKey]])*OutputTable[RecordedValue]))</f>
        <v>0.49793942474087499</v>
      </c>
      <c r="P5" cm="1">
        <f t="array" ref="P5">MAX(IF((OutputTable[GroupByKey]=OutputTable[[#This Row],[GroupByKey]]),(OutputTable[GroupByKey]=OutputTable[[#This Row],[GroupByKey]])*OutputTable[RecordedValue]))</f>
        <v>0.59360317623750203</v>
      </c>
    </row>
    <row r="6" spans="1:16" x14ac:dyDescent="0.3">
      <c r="A6" t="s">
        <v>66</v>
      </c>
      <c r="B6" t="s">
        <v>68</v>
      </c>
      <c r="C6">
        <v>1</v>
      </c>
      <c r="D6" t="s">
        <v>102</v>
      </c>
      <c r="E6" t="s">
        <v>103</v>
      </c>
      <c r="F6" t="s">
        <v>104</v>
      </c>
      <c r="G6">
        <v>204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190.4</v>
      </c>
      <c r="L6" cm="1">
        <f t="array" ref="L6">IFERROR(_xlfn.STDEV.S(IF((OutputTable[GroupByKey]=OutputTable[[#This Row],[GroupByKey]]),(OutputTable[GroupByKey]=OutputTable[[#This Row],[GroupByKey]])*OutputTable[RecordedValue])),0)</f>
        <v>12.029593139882625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8.6054525286323678</v>
      </c>
      <c r="O6" cm="1">
        <f t="array" ref="O6">MIN(IF((OutputTable[GroupByKey]=OutputTable[[#This Row],[GroupByKey]]),(OutputTable[GroupByKey]=OutputTable[[#This Row],[GroupByKey]])*OutputTable[RecordedValue]))</f>
        <v>167</v>
      </c>
      <c r="P6" cm="1">
        <f t="array" ref="P6">MAX(IF((OutputTable[GroupByKey]=OutputTable[[#This Row],[GroupByKey]]),(OutputTable[GroupByKey]=OutputTable[[#This Row],[GroupByKey]])*OutputTable[RecordedValue]))</f>
        <v>204</v>
      </c>
    </row>
    <row r="7" spans="1:16" x14ac:dyDescent="0.3">
      <c r="A7" t="s">
        <v>66</v>
      </c>
      <c r="B7" t="s">
        <v>68</v>
      </c>
      <c r="C7">
        <v>1</v>
      </c>
      <c r="D7" t="s">
        <v>105</v>
      </c>
      <c r="E7" t="s">
        <v>106</v>
      </c>
      <c r="F7" t="s">
        <v>78</v>
      </c>
      <c r="G7">
        <v>26</v>
      </c>
      <c r="H7">
        <v>0</v>
      </c>
      <c r="I7" t="str">
        <f>OutputTable[[#This Row],[ProjectName]]&amp;OutputTable[[#This Row],[Name]]&amp;OutputTable[[#This Row],[Type]]&amp;OutputTable[[#This Row],[Source]]</f>
        <v>Unnamed Projectcbus.NumberInNumber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31.2</v>
      </c>
      <c r="L7" cm="1">
        <f t="array" ref="L7">IFERROR(_xlfn.STDEV.S(IF((OutputTable[GroupByKey]=OutputTable[[#This Row],[GroupByKey]]),(OutputTable[GroupByKey]=OutputTable[[#This Row],[GroupByKey]])*OutputTable[RecordedValue])),0)</f>
        <v>3.7653389990514556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7" cm="1">
        <f t="array" ref="O7">MIN(IF((OutputTable[GroupByKey]=OutputTable[[#This Row],[GroupByKey]]),(OutputTable[GroupByKey]=OutputTable[[#This Row],[GroupByKey]])*OutputTable[RecordedValue]))</f>
        <v>26</v>
      </c>
      <c r="P7" cm="1">
        <f t="array" ref="P7">MAX(IF((OutputTable[GroupByKey]=OutputTable[[#This Row],[GroupByKey]]),(OutputTable[GroupByKey]=OutputTable[[#This Row],[GroupByKey]])*OutputTable[RecordedValue]))</f>
        <v>39</v>
      </c>
    </row>
    <row r="8" spans="1:16" x14ac:dyDescent="0.3">
      <c r="A8" t="s">
        <v>66</v>
      </c>
      <c r="B8" t="s">
        <v>68</v>
      </c>
      <c r="C8">
        <v>1</v>
      </c>
      <c r="D8" t="s">
        <v>107</v>
      </c>
      <c r="E8" t="s">
        <v>103</v>
      </c>
      <c r="F8" t="s">
        <v>78</v>
      </c>
      <c r="G8">
        <v>26</v>
      </c>
      <c r="H8">
        <v>0</v>
      </c>
      <c r="I8" t="str">
        <f>OutputTable[[#This Row],[ProjectName]]&amp;OutputTable[[#This Row],[Name]]&amp;OutputTable[[#This Row],[Type]]&amp;OutputTable[[#This Row],[Source]]</f>
        <v>Unnamed Projectcbus.NumberOutNumber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31.2</v>
      </c>
      <c r="L8" cm="1">
        <f t="array" ref="L8">IFERROR(_xlfn.STDEV.S(IF((OutputTable[GroupByKey]=OutputTable[[#This Row],[GroupByKey]]),(OutputTable[GroupByKey]=OutputTable[[#This Row],[GroupByKey]])*OutputTable[RecordedValue])),0)</f>
        <v>3.7653389990514556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8" cm="1">
        <f t="array" ref="O8">MIN(IF((OutputTable[GroupByKey]=OutputTable[[#This Row],[GroupByKey]]),(OutputTable[GroupByKey]=OutputTable[[#This Row],[GroupByKey]])*OutputTable[RecordedValue]))</f>
        <v>26</v>
      </c>
      <c r="P8" cm="1">
        <f t="array" ref="P8">MAX(IF((OutputTable[GroupByKey]=OutputTable[[#This Row],[GroupByKey]]),(OutputTable[GroupByKey]=OutputTable[[#This Row],[GroupByKey]])*OutputTable[RecordedValue]))</f>
        <v>39</v>
      </c>
    </row>
    <row r="9" spans="1:16" x14ac:dyDescent="0.3">
      <c r="A9" t="s">
        <v>66</v>
      </c>
      <c r="B9" t="s">
        <v>68</v>
      </c>
      <c r="C9">
        <v>1</v>
      </c>
      <c r="D9" t="s">
        <v>108</v>
      </c>
      <c r="E9" t="s">
        <v>106</v>
      </c>
      <c r="F9" t="s">
        <v>78</v>
      </c>
      <c r="G9">
        <v>125</v>
      </c>
      <c r="H9">
        <v>0</v>
      </c>
      <c r="I9" t="str">
        <f>OutputTable[[#This Row],[ProjectName]]&amp;OutputTable[[#This Row],[Name]]&amp;OutputTable[[#This Row],[Type]]&amp;OutputTable[[#This Row],[Source]]</f>
        <v>Unnamed Projectccoche.NumberInNumber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105.9</v>
      </c>
      <c r="L9" cm="1">
        <f t="array" ref="L9">IFERROR(_xlfn.STDEV.S(IF((OutputTable[GroupByKey]=OutputTable[[#This Row],[GroupByKey]]),(OutputTable[GroupByKey]=OutputTable[[#This Row],[GroupByKey]])*OutputTable[RecordedValue])),0)</f>
        <v>13.714955340794928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9.8110880181169016</v>
      </c>
      <c r="O9" cm="1">
        <f t="array" ref="O9">MIN(IF((OutputTable[GroupByKey]=OutputTable[[#This Row],[GroupByKey]]),(OutputTable[GroupByKey]=OutputTable[[#This Row],[GroupByKey]])*OutputTable[RecordedValue]))</f>
        <v>89</v>
      </c>
      <c r="P9" cm="1">
        <f t="array" ref="P9">MAX(IF((OutputTable[GroupByKey]=OutputTable[[#This Row],[GroupByKey]]),(OutputTable[GroupByKey]=OutputTable[[#This Row],[GroupByKey]])*OutputTable[RecordedValue]))</f>
        <v>125</v>
      </c>
    </row>
    <row r="10" spans="1:16" x14ac:dyDescent="0.3">
      <c r="A10" t="s">
        <v>66</v>
      </c>
      <c r="B10" t="s">
        <v>68</v>
      </c>
      <c r="C10">
        <v>1</v>
      </c>
      <c r="D10" t="s">
        <v>109</v>
      </c>
      <c r="E10" t="s">
        <v>103</v>
      </c>
      <c r="F10" t="s">
        <v>78</v>
      </c>
      <c r="G10">
        <v>111</v>
      </c>
      <c r="H10">
        <v>0</v>
      </c>
      <c r="I10" t="str">
        <f>OutputTable[[#This Row],[ProjectName]]&amp;OutputTable[[#This Row],[Name]]&amp;OutputTable[[#This Row],[Type]]&amp;OutputTable[[#This Row],[Source]]</f>
        <v>Unnamed Projectccoche.NumberOutNumber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92.2</v>
      </c>
      <c r="L10" cm="1">
        <f t="array" ref="L10">IFERROR(_xlfn.STDEV.S(IF((OutputTable[GroupByKey]=OutputTable[[#This Row],[GroupByKey]]),(OutputTable[GroupByKey]=OutputTable[[#This Row],[GroupByKey]])*OutputTable[RecordedValue])),0)</f>
        <v>11.003029885748166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7.8710934153715639</v>
      </c>
      <c r="O10" cm="1">
        <f t="array" ref="O10">MIN(IF((OutputTable[GroupByKey]=OutputTable[[#This Row],[GroupByKey]]),(OutputTable[GroupByKey]=OutputTable[[#This Row],[GroupByKey]])*OutputTable[RecordedValue]))</f>
        <v>77</v>
      </c>
      <c r="P10" cm="1">
        <f t="array" ref="P10">MAX(IF((OutputTable[GroupByKey]=OutputTable[[#This Row],[GroupByKey]]),(OutputTable[GroupByKey]=OutputTable[[#This Row],[GroupByKey]])*OutputTable[RecordedValue]))</f>
        <v>111</v>
      </c>
    </row>
    <row r="11" spans="1:16" x14ac:dyDescent="0.3">
      <c r="A11" t="s">
        <v>66</v>
      </c>
      <c r="B11" t="s">
        <v>68</v>
      </c>
      <c r="C11">
        <v>1</v>
      </c>
      <c r="D11" t="s">
        <v>110</v>
      </c>
      <c r="E11" t="s">
        <v>97</v>
      </c>
      <c r="F11" t="s">
        <v>89</v>
      </c>
      <c r="G11">
        <v>222</v>
      </c>
      <c r="H11">
        <v>0</v>
      </c>
      <c r="I11" t="str">
        <f>OutputTable[[#This Row],[ProjectName]]&amp;OutputTable[[#This Row],[Name]]&amp;OutputTable[[#This Row],[Type]]&amp;OutputTable[[#This Row],[Source]]</f>
        <v>Unnamed Projectcomiendo.NumberSeizedTotal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203.5</v>
      </c>
      <c r="L11" cm="1">
        <f t="array" ref="L11">IFERROR(_xlfn.STDEV.S(IF((OutputTable[GroupByKey]=OutputTable[[#This Row],[GroupByKey]]),(OutputTable[GroupByKey]=OutputTable[[#This Row],[GroupByKey]])*OutputTable[RecordedValue])),0)</f>
        <v>12.96362432175337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9.2736181849755468</v>
      </c>
      <c r="O11" cm="1">
        <f t="array" ref="O11">MIN(IF((OutputTable[GroupByKey]=OutputTable[[#This Row],[GroupByKey]]),(OutputTable[GroupByKey]=OutputTable[[#This Row],[GroupByKey]])*OutputTable[RecordedValue]))</f>
        <v>182</v>
      </c>
      <c r="P11" cm="1">
        <f t="array" ref="P11">MAX(IF((OutputTable[GroupByKey]=OutputTable[[#This Row],[GroupByKey]]),(OutputTable[GroupByKey]=OutputTable[[#This Row],[GroupByKey]])*OutputTable[RecordedValue]))</f>
        <v>222</v>
      </c>
    </row>
    <row r="12" spans="1:16" x14ac:dyDescent="0.3">
      <c r="A12" t="s">
        <v>66</v>
      </c>
      <c r="B12" t="s">
        <v>68</v>
      </c>
      <c r="C12">
        <v>1</v>
      </c>
      <c r="D12" t="s">
        <v>111</v>
      </c>
      <c r="E12" t="s">
        <v>99</v>
      </c>
      <c r="F12" t="s">
        <v>89</v>
      </c>
      <c r="G12">
        <v>0.57730945130657196</v>
      </c>
      <c r="H12">
        <v>0</v>
      </c>
      <c r="I12" t="str">
        <f>OutputTable[[#This Row],[ProjectName]]&amp;OutputTable[[#This Row],[Name]]&amp;OutputTable[[#This Row],[Type]]&amp;OutputTable[[#This Row],[Source]]</f>
        <v>Unnamed Projectcomiendo.ScheduledUtilizationScheduled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0.54567746104498949</v>
      </c>
      <c r="L12" cm="1">
        <f t="array" ref="L12">IFERROR(_xlfn.STDEV.S(IF((OutputTable[GroupByKey]=OutputTable[[#This Row],[GroupByKey]]),(OutputTable[GroupByKey]=OutputTable[[#This Row],[GroupByKey]])*OutputTable[RecordedValue])),0)</f>
        <v>3.6093067502765995E-2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2.5819425095769025E-2</v>
      </c>
      <c r="O12" cm="1">
        <f t="array" ref="O12">MIN(IF((OutputTable[GroupByKey]=OutputTable[[#This Row],[GroupByKey]]),(OutputTable[GroupByKey]=OutputTable[[#This Row],[GroupByKey]])*OutputTable[RecordedValue]))</f>
        <v>0.48838500773485299</v>
      </c>
      <c r="P12" cm="1">
        <f t="array" ref="P12">MAX(IF((OutputTable[GroupByKey]=OutputTable[[#This Row],[GroupByKey]]),(OutputTable[GroupByKey]=OutputTable[[#This Row],[GroupByKey]])*OutputTable[RecordedValue]))</f>
        <v>0.59303053253801696</v>
      </c>
    </row>
    <row r="13" spans="1:16" x14ac:dyDescent="0.3">
      <c r="A13" t="s">
        <v>66</v>
      </c>
      <c r="B13" t="s">
        <v>68</v>
      </c>
      <c r="C13">
        <v>1</v>
      </c>
      <c r="D13" t="s">
        <v>112</v>
      </c>
      <c r="E13" t="s">
        <v>106</v>
      </c>
      <c r="F13" t="s">
        <v>78</v>
      </c>
      <c r="G13">
        <v>79</v>
      </c>
      <c r="H13">
        <v>0</v>
      </c>
      <c r="I13" t="str">
        <f>OutputTable[[#This Row],[ProjectName]]&amp;OutputTable[[#This Row],[Name]]&amp;OutputTable[[#This Row],[Type]]&amp;OutputTable[[#This Row],[Source]]</f>
        <v>Unnamed Projectcpie.NumberInNumber InEntity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77.3</v>
      </c>
      <c r="L13" cm="1">
        <f t="array" ref="L13">IFERROR(_xlfn.STDEV.S(IF((OutputTable[GroupByKey]=OutputTable[[#This Row],[GroupByKey]]),(OutputTable[GroupByKey]=OutputTable[[#This Row],[GroupByKey]])*OutputTable[RecordedValue])),0)</f>
        <v>11.314199534704651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8.0936907726810521</v>
      </c>
      <c r="O13" cm="1">
        <f t="array" ref="O13">MIN(IF((OutputTable[GroupByKey]=OutputTable[[#This Row],[GroupByKey]]),(OutputTable[GroupByKey]=OutputTable[[#This Row],[GroupByKey]])*OutputTable[RecordedValue]))</f>
        <v>64</v>
      </c>
      <c r="P13" cm="1">
        <f t="array" ref="P13">MAX(IF((OutputTable[GroupByKey]=OutputTable[[#This Row],[GroupByKey]]),(OutputTable[GroupByKey]=OutputTable[[#This Row],[GroupByKey]])*OutputTable[RecordedValue]))</f>
        <v>105</v>
      </c>
    </row>
    <row r="14" spans="1:16" x14ac:dyDescent="0.3">
      <c r="A14" t="s">
        <v>66</v>
      </c>
      <c r="B14" t="s">
        <v>68</v>
      </c>
      <c r="C14">
        <v>1</v>
      </c>
      <c r="D14" t="s">
        <v>113</v>
      </c>
      <c r="E14" t="s">
        <v>103</v>
      </c>
      <c r="F14" t="s">
        <v>78</v>
      </c>
      <c r="G14">
        <v>67</v>
      </c>
      <c r="H14">
        <v>0</v>
      </c>
      <c r="I14" t="str">
        <f>OutputTable[[#This Row],[ProjectName]]&amp;OutputTable[[#This Row],[Name]]&amp;OutputTable[[#This Row],[Type]]&amp;OutputTable[[#This Row],[Source]]</f>
        <v>Unnamed Projectcpie.NumberOutNumber OutEntity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67</v>
      </c>
      <c r="L14" cm="1">
        <f t="array" ref="L14">IFERROR(_xlfn.STDEV.S(IF((OutputTable[GroupByKey]=OutputTable[[#This Row],[GroupByKey]]),(OutputTable[GroupByKey]=OutputTable[[#This Row],[GroupByKey]])*OutputTable[RecordedValue])),0)</f>
        <v>9.5916630466254382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6.8614624001471327</v>
      </c>
      <c r="O14" cm="1">
        <f t="array" ref="O14">MIN(IF((OutputTable[GroupByKey]=OutputTable[[#This Row],[GroupByKey]]),(OutputTable[GroupByKey]=OutputTable[[#This Row],[GroupByKey]])*OutputTable[RecordedValue]))</f>
        <v>58</v>
      </c>
      <c r="P14" cm="1">
        <f t="array" ref="P14">MAX(IF((OutputTable[GroupByKey]=OutputTable[[#This Row],[GroupByKey]]),(OutputTable[GroupByKey]=OutputTable[[#This Row],[GroupByKey]])*OutputTable[RecordedValue]))</f>
        <v>92</v>
      </c>
    </row>
    <row r="15" spans="1:16" x14ac:dyDescent="0.3">
      <c r="A15" t="s">
        <v>66</v>
      </c>
      <c r="B15" t="s">
        <v>68</v>
      </c>
      <c r="C15">
        <v>2</v>
      </c>
      <c r="D15" t="s">
        <v>96</v>
      </c>
      <c r="E15" t="s">
        <v>97</v>
      </c>
      <c r="F15" t="s">
        <v>89</v>
      </c>
      <c r="G15">
        <v>198</v>
      </c>
      <c r="H15">
        <v>0</v>
      </c>
      <c r="I15" t="str">
        <f>OutputTable[[#This Row],[ProjectName]]&amp;OutputTable[[#This Row],[Name]]&amp;OutputTable[[#This Row],[Type]]&amp;OutputTable[[#This Row],[Source]]</f>
        <v>Unnamed ProjectLlegada Pedidos.NumberSeizedTotal Number SeizedResource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213.2</v>
      </c>
      <c r="L15" cm="1">
        <f t="array" ref="L15">IFERROR(_xlfn.STDEV.S(IF((OutputTable[GroupByKey]=OutputTable[[#This Row],[GroupByKey]]),(OutputTable[GroupByKey]=OutputTable[[#This Row],[GroupByKey]])*OutputTable[RecordedValue])),0)</f>
        <v>15.540627757948235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11.117095389767675</v>
      </c>
      <c r="O15" cm="1">
        <f t="array" ref="O15">MIN(IF((OutputTable[GroupByKey]=OutputTable[[#This Row],[GroupByKey]]),(OutputTable[GroupByKey]=OutputTable[[#This Row],[GroupByKey]])*OutputTable[RecordedValue]))</f>
        <v>190</v>
      </c>
      <c r="P15" cm="1">
        <f t="array" ref="P15">MAX(IF((OutputTable[GroupByKey]=OutputTable[[#This Row],[GroupByKey]]),(OutputTable[GroupByKey]=OutputTable[[#This Row],[GroupByKey]])*OutputTable[RecordedValue]))</f>
        <v>235</v>
      </c>
    </row>
    <row r="16" spans="1:16" x14ac:dyDescent="0.3">
      <c r="A16" t="s">
        <v>66</v>
      </c>
      <c r="B16" t="s">
        <v>68</v>
      </c>
      <c r="C16">
        <v>2</v>
      </c>
      <c r="D16" t="s">
        <v>98</v>
      </c>
      <c r="E16" t="s">
        <v>99</v>
      </c>
      <c r="F16" t="s">
        <v>89</v>
      </c>
      <c r="G16">
        <v>0.61322608267490297</v>
      </c>
      <c r="H16">
        <v>0</v>
      </c>
      <c r="I16" t="str">
        <f>OutputTable[[#This Row],[ProjectName]]&amp;OutputTable[[#This Row],[Name]]&amp;OutputTable[[#This Row],[Type]]&amp;OutputTable[[#This Row],[Source]]</f>
        <v>Unnamed ProjectLlegada Pedidos.ScheduledUtilizationScheduled UtilizationResource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0.66170817272124971</v>
      </c>
      <c r="L16" cm="1">
        <f t="array" ref="L16">IFERROR(_xlfn.STDEV.S(IF((OutputTable[GroupByKey]=OutputTable[[#This Row],[GroupByKey]]),(OutputTable[GroupByKey]=OutputTable[[#This Row],[GroupByKey]])*OutputTable[RecordedValue])),0)</f>
        <v>4.5736088034979056E-2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3.2717626427904552E-2</v>
      </c>
      <c r="O16" cm="1">
        <f t="array" ref="O16">MIN(IF((OutputTable[GroupByKey]=OutputTable[[#This Row],[GroupByKey]]),(OutputTable[GroupByKey]=OutputTable[[#This Row],[GroupByKey]])*OutputTable[RecordedValue]))</f>
        <v>0.59604324380846896</v>
      </c>
      <c r="P16" cm="1">
        <f t="array" ref="P16">MAX(IF((OutputTable[GroupByKey]=OutputTable[[#This Row],[GroupByKey]]),(OutputTable[GroupByKey]=OutputTable[[#This Row],[GroupByKey]])*OutputTable[RecordedValue]))</f>
        <v>0.72905379552072003</v>
      </c>
    </row>
    <row r="17" spans="1:16" x14ac:dyDescent="0.3">
      <c r="A17" t="s">
        <v>66</v>
      </c>
      <c r="B17" t="s">
        <v>68</v>
      </c>
      <c r="C17">
        <v>2</v>
      </c>
      <c r="D17" t="s">
        <v>100</v>
      </c>
      <c r="E17" t="s">
        <v>97</v>
      </c>
      <c r="F17" t="s">
        <v>89</v>
      </c>
      <c r="G17">
        <v>192</v>
      </c>
      <c r="H17">
        <v>0</v>
      </c>
      <c r="I17" t="str">
        <f>OutputTable[[#This Row],[ProjectName]]&amp;OutputTable[[#This Row],[Name]]&amp;OutputTable[[#This Row],[Type]]&amp;OutputTable[[#This Row],[Source]]</f>
        <v>Unnamed ProjectRecoger pedidos.NumberSeizedTotal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205.3</v>
      </c>
      <c r="L17" cm="1">
        <f t="array" ref="L17">IFERROR(_xlfn.STDEV.S(IF((OutputTable[GroupByKey]=OutputTable[[#This Row],[GroupByKey]]),(OutputTable[GroupByKey]=OutputTable[[#This Row],[GroupByKey]])*OutputTable[RecordedValue])),0)</f>
        <v>12.944754407352296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9.2601194613936642</v>
      </c>
      <c r="O17" cm="1">
        <f t="array" ref="O17">MIN(IF((OutputTable[GroupByKey]=OutputTable[[#This Row],[GroupByKey]]),(OutputTable[GroupByKey]=OutputTable[[#This Row],[GroupByKey]])*OutputTable[RecordedValue]))</f>
        <v>185</v>
      </c>
      <c r="P17" cm="1">
        <f t="array" ref="P17">MAX(IF((OutputTable[GroupByKey]=OutputTable[[#This Row],[GroupByKey]]),(OutputTable[GroupByKey]=OutputTable[[#This Row],[GroupByKey]])*OutputTable[RecordedValue]))</f>
        <v>224</v>
      </c>
    </row>
    <row r="18" spans="1:16" x14ac:dyDescent="0.3">
      <c r="A18" t="s">
        <v>66</v>
      </c>
      <c r="B18" t="s">
        <v>68</v>
      </c>
      <c r="C18">
        <v>2</v>
      </c>
      <c r="D18" t="s">
        <v>101</v>
      </c>
      <c r="E18" t="s">
        <v>99</v>
      </c>
      <c r="F18" t="s">
        <v>89</v>
      </c>
      <c r="G18">
        <v>0.51804761302359503</v>
      </c>
      <c r="H18">
        <v>0</v>
      </c>
      <c r="I18" t="str">
        <f>OutputTable[[#This Row],[ProjectName]]&amp;OutputTable[[#This Row],[Name]]&amp;OutputTable[[#This Row],[Type]]&amp;OutputTable[[#This Row],[Source]]</f>
        <v>Unnamed ProjectRecoger pedidos.ScheduledUtilizationScheduled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0.55143120740685148</v>
      </c>
      <c r="L18" cm="1">
        <f t="array" ref="L18">IFERROR(_xlfn.STDEV.S(IF((OutputTable[GroupByKey]=OutputTable[[#This Row],[GroupByKey]]),(OutputTable[GroupByKey]=OutputTable[[#This Row],[GroupByKey]])*OutputTable[RecordedValue])),0)</f>
        <v>3.4243845838583781E-2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2.4496571607625712E-2</v>
      </c>
      <c r="O18" cm="1">
        <f t="array" ref="O18">MIN(IF((OutputTable[GroupByKey]=OutputTable[[#This Row],[GroupByKey]]),(OutputTable[GroupByKey]=OutputTable[[#This Row],[GroupByKey]])*OutputTable[RecordedValue]))</f>
        <v>0.49793942474087499</v>
      </c>
      <c r="P18" cm="1">
        <f t="array" ref="P18">MAX(IF((OutputTable[GroupByKey]=OutputTable[[#This Row],[GroupByKey]]),(OutputTable[GroupByKey]=OutputTable[[#This Row],[GroupByKey]])*OutputTable[RecordedValue]))</f>
        <v>0.59360317623750203</v>
      </c>
    </row>
    <row r="19" spans="1:16" x14ac:dyDescent="0.3">
      <c r="A19" t="s">
        <v>66</v>
      </c>
      <c r="B19" t="s">
        <v>68</v>
      </c>
      <c r="C19">
        <v>2</v>
      </c>
      <c r="D19" t="s">
        <v>102</v>
      </c>
      <c r="E19" t="s">
        <v>103</v>
      </c>
      <c r="F19" t="s">
        <v>104</v>
      </c>
      <c r="G19">
        <v>182</v>
      </c>
      <c r="H19">
        <v>0</v>
      </c>
      <c r="I19" t="str">
        <f>OutputTable[[#This Row],[ProjectName]]&amp;OutputTable[[#This Row],[Name]]&amp;OutputTable[[#This Row],[Type]]&amp;OutputTable[[#This Row],[Source]]</f>
        <v>Unnamed ProjectSystem.NumberOutNumber OutSystem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190.4</v>
      </c>
      <c r="L19" cm="1">
        <f t="array" ref="L19">IFERROR(_xlfn.STDEV.S(IF((OutputTable[GroupByKey]=OutputTable[[#This Row],[GroupByKey]]),(OutputTable[GroupByKey]=OutputTable[[#This Row],[GroupByKey]])*OutputTable[RecordedValue])),0)</f>
        <v>12.029593139882625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8.6054525286323678</v>
      </c>
      <c r="O19" cm="1">
        <f t="array" ref="O19">MIN(IF((OutputTable[GroupByKey]=OutputTable[[#This Row],[GroupByKey]]),(OutputTable[GroupByKey]=OutputTable[[#This Row],[GroupByKey]])*OutputTable[RecordedValue]))</f>
        <v>167</v>
      </c>
      <c r="P19" cm="1">
        <f t="array" ref="P19">MAX(IF((OutputTable[GroupByKey]=OutputTable[[#This Row],[GroupByKey]]),(OutputTable[GroupByKey]=OutputTable[[#This Row],[GroupByKey]])*OutputTable[RecordedValue]))</f>
        <v>204</v>
      </c>
    </row>
    <row r="20" spans="1:16" x14ac:dyDescent="0.3">
      <c r="A20" t="s">
        <v>66</v>
      </c>
      <c r="B20" t="s">
        <v>68</v>
      </c>
      <c r="C20">
        <v>2</v>
      </c>
      <c r="D20" t="s">
        <v>105</v>
      </c>
      <c r="E20" t="s">
        <v>106</v>
      </c>
      <c r="F20" t="s">
        <v>78</v>
      </c>
      <c r="G20">
        <v>39</v>
      </c>
      <c r="H20">
        <v>0</v>
      </c>
      <c r="I20" t="str">
        <f>OutputTable[[#This Row],[ProjectName]]&amp;OutputTable[[#This Row],[Name]]&amp;OutputTable[[#This Row],[Type]]&amp;OutputTable[[#This Row],[Source]]</f>
        <v>Unnamed Projectcbus.NumberInNumber InEntity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31.2</v>
      </c>
      <c r="L20" cm="1">
        <f t="array" ref="L20">IFERROR(_xlfn.STDEV.S(IF((OutputTable[GroupByKey]=OutputTable[[#This Row],[GroupByKey]]),(OutputTable[GroupByKey]=OutputTable[[#This Row],[GroupByKey]])*OutputTable[RecordedValue])),0)</f>
        <v>3.7653389990514556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20" cm="1">
        <f t="array" ref="O20">MIN(IF((OutputTable[GroupByKey]=OutputTable[[#This Row],[GroupByKey]]),(OutputTable[GroupByKey]=OutputTable[[#This Row],[GroupByKey]])*OutputTable[RecordedValue]))</f>
        <v>26</v>
      </c>
      <c r="P20" cm="1">
        <f t="array" ref="P20">MAX(IF((OutputTable[GroupByKey]=OutputTable[[#This Row],[GroupByKey]]),(OutputTable[GroupByKey]=OutputTable[[#This Row],[GroupByKey]])*OutputTable[RecordedValue]))</f>
        <v>39</v>
      </c>
    </row>
    <row r="21" spans="1:16" x14ac:dyDescent="0.3">
      <c r="A21" t="s">
        <v>66</v>
      </c>
      <c r="B21" t="s">
        <v>68</v>
      </c>
      <c r="C21">
        <v>2</v>
      </c>
      <c r="D21" t="s">
        <v>107</v>
      </c>
      <c r="E21" t="s">
        <v>103</v>
      </c>
      <c r="F21" t="s">
        <v>78</v>
      </c>
      <c r="G21">
        <v>39</v>
      </c>
      <c r="H21">
        <v>0</v>
      </c>
      <c r="I21" t="str">
        <f>OutputTable[[#This Row],[ProjectName]]&amp;OutputTable[[#This Row],[Name]]&amp;OutputTable[[#This Row],[Type]]&amp;OutputTable[[#This Row],[Source]]</f>
        <v>Unnamed Projectcbus.NumberOutNumber OutEntity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31.2</v>
      </c>
      <c r="L21" cm="1">
        <f t="array" ref="L21">IFERROR(_xlfn.STDEV.S(IF((OutputTable[GroupByKey]=OutputTable[[#This Row],[GroupByKey]]),(OutputTable[GroupByKey]=OutputTable[[#This Row],[GroupByKey]])*OutputTable[RecordedValue])),0)</f>
        <v>3.7653389990514556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21" cm="1">
        <f t="array" ref="O21">MIN(IF((OutputTable[GroupByKey]=OutputTable[[#This Row],[GroupByKey]]),(OutputTable[GroupByKey]=OutputTable[[#This Row],[GroupByKey]])*OutputTable[RecordedValue]))</f>
        <v>26</v>
      </c>
      <c r="P21" cm="1">
        <f t="array" ref="P21">MAX(IF((OutputTable[GroupByKey]=OutputTable[[#This Row],[GroupByKey]]),(OutputTable[GroupByKey]=OutputTable[[#This Row],[GroupByKey]])*OutputTable[RecordedValue]))</f>
        <v>39</v>
      </c>
    </row>
    <row r="22" spans="1:16" x14ac:dyDescent="0.3">
      <c r="A22" t="s">
        <v>66</v>
      </c>
      <c r="B22" t="s">
        <v>68</v>
      </c>
      <c r="C22">
        <v>2</v>
      </c>
      <c r="D22" t="s">
        <v>108</v>
      </c>
      <c r="E22" t="s">
        <v>106</v>
      </c>
      <c r="F22" t="s">
        <v>78</v>
      </c>
      <c r="G22">
        <v>98</v>
      </c>
      <c r="H22">
        <v>0</v>
      </c>
      <c r="I22" t="str">
        <f>OutputTable[[#This Row],[ProjectName]]&amp;OutputTable[[#This Row],[Name]]&amp;OutputTable[[#This Row],[Type]]&amp;OutputTable[[#This Row],[Source]]</f>
        <v>Unnamed Projectccoche.NumberInNumber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105.9</v>
      </c>
      <c r="L22" cm="1">
        <f t="array" ref="L22">IFERROR(_xlfn.STDEV.S(IF((OutputTable[GroupByKey]=OutputTable[[#This Row],[GroupByKey]]),(OutputTable[GroupByKey]=OutputTable[[#This Row],[GroupByKey]])*OutputTable[RecordedValue])),0)</f>
        <v>13.714955340794928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9.8110880181169016</v>
      </c>
      <c r="O22" cm="1">
        <f t="array" ref="O22">MIN(IF((OutputTable[GroupByKey]=OutputTable[[#This Row],[GroupByKey]]),(OutputTable[GroupByKey]=OutputTable[[#This Row],[GroupByKey]])*OutputTable[RecordedValue]))</f>
        <v>89</v>
      </c>
      <c r="P22" cm="1">
        <f t="array" ref="P22">MAX(IF((OutputTable[GroupByKey]=OutputTable[[#This Row],[GroupByKey]]),(OutputTable[GroupByKey]=OutputTable[[#This Row],[GroupByKey]])*OutputTable[RecordedValue]))</f>
        <v>125</v>
      </c>
    </row>
    <row r="23" spans="1:16" x14ac:dyDescent="0.3">
      <c r="A23" t="s">
        <v>66</v>
      </c>
      <c r="B23" t="s">
        <v>68</v>
      </c>
      <c r="C23">
        <v>2</v>
      </c>
      <c r="D23" t="s">
        <v>109</v>
      </c>
      <c r="E23" t="s">
        <v>103</v>
      </c>
      <c r="F23" t="s">
        <v>78</v>
      </c>
      <c r="G23">
        <v>85</v>
      </c>
      <c r="H23">
        <v>0</v>
      </c>
      <c r="I23" t="str">
        <f>OutputTable[[#This Row],[ProjectName]]&amp;OutputTable[[#This Row],[Name]]&amp;OutputTable[[#This Row],[Type]]&amp;OutputTable[[#This Row],[Source]]</f>
        <v>Unnamed Projectccoche.NumberOutNumber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92.2</v>
      </c>
      <c r="L23" cm="1">
        <f t="array" ref="L23">IFERROR(_xlfn.STDEV.S(IF((OutputTable[GroupByKey]=OutputTable[[#This Row],[GroupByKey]]),(OutputTable[GroupByKey]=OutputTable[[#This Row],[GroupByKey]])*OutputTable[RecordedValue])),0)</f>
        <v>11.003029885748166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7.8710934153715639</v>
      </c>
      <c r="O23" cm="1">
        <f t="array" ref="O23">MIN(IF((OutputTable[GroupByKey]=OutputTable[[#This Row],[GroupByKey]]),(OutputTable[GroupByKey]=OutputTable[[#This Row],[GroupByKey]])*OutputTable[RecordedValue]))</f>
        <v>77</v>
      </c>
      <c r="P23" cm="1">
        <f t="array" ref="P23">MAX(IF((OutputTable[GroupByKey]=OutputTable[[#This Row],[GroupByKey]]),(OutputTable[GroupByKey]=OutputTable[[#This Row],[GroupByKey]])*OutputTable[RecordedValue]))</f>
        <v>111</v>
      </c>
    </row>
    <row r="24" spans="1:16" x14ac:dyDescent="0.3">
      <c r="A24" t="s">
        <v>66</v>
      </c>
      <c r="B24" t="s">
        <v>68</v>
      </c>
      <c r="C24">
        <v>2</v>
      </c>
      <c r="D24" t="s">
        <v>110</v>
      </c>
      <c r="E24" t="s">
        <v>97</v>
      </c>
      <c r="F24" t="s">
        <v>89</v>
      </c>
      <c r="G24">
        <v>191</v>
      </c>
      <c r="H24">
        <v>0</v>
      </c>
      <c r="I24" t="str">
        <f>OutputTable[[#This Row],[ProjectName]]&amp;OutputTable[[#This Row],[Name]]&amp;OutputTable[[#This Row],[Type]]&amp;OutputTable[[#This Row],[Source]]</f>
        <v>Unnamed Projectcomiendo.NumberSeizedTotal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203.5</v>
      </c>
      <c r="L24" cm="1">
        <f t="array" ref="L24">IFERROR(_xlfn.STDEV.S(IF((OutputTable[GroupByKey]=OutputTable[[#This Row],[GroupByKey]]),(OutputTable[GroupByKey]=OutputTable[[#This Row],[GroupByKey]])*OutputTable[RecordedValue])),0)</f>
        <v>12.96362432175337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9.2736181849755468</v>
      </c>
      <c r="O24" cm="1">
        <f t="array" ref="O24">MIN(IF((OutputTable[GroupByKey]=OutputTable[[#This Row],[GroupByKey]]),(OutputTable[GroupByKey]=OutputTable[[#This Row],[GroupByKey]])*OutputTable[RecordedValue]))</f>
        <v>182</v>
      </c>
      <c r="P24" cm="1">
        <f t="array" ref="P24">MAX(IF((OutputTable[GroupByKey]=OutputTable[[#This Row],[GroupByKey]]),(OutputTable[GroupByKey]=OutputTable[[#This Row],[GroupByKey]])*OutputTable[RecordedValue]))</f>
        <v>222</v>
      </c>
    </row>
    <row r="25" spans="1:16" x14ac:dyDescent="0.3">
      <c r="A25" t="s">
        <v>66</v>
      </c>
      <c r="B25" t="s">
        <v>68</v>
      </c>
      <c r="C25">
        <v>2</v>
      </c>
      <c r="D25" t="s">
        <v>111</v>
      </c>
      <c r="E25" t="s">
        <v>99</v>
      </c>
      <c r="F25" t="s">
        <v>89</v>
      </c>
      <c r="G25">
        <v>0.51387739349088901</v>
      </c>
      <c r="H25">
        <v>0</v>
      </c>
      <c r="I25" t="str">
        <f>OutputTable[[#This Row],[ProjectName]]&amp;OutputTable[[#This Row],[Name]]&amp;OutputTable[[#This Row],[Type]]&amp;OutputTable[[#This Row],[Source]]</f>
        <v>Unnamed Projectcomiendo.ScheduledUtilizationScheduled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0.54567746104498949</v>
      </c>
      <c r="L25" cm="1">
        <f t="array" ref="L25">IFERROR(_xlfn.STDEV.S(IF((OutputTable[GroupByKey]=OutputTable[[#This Row],[GroupByKey]]),(OutputTable[GroupByKey]=OutputTable[[#This Row],[GroupByKey]])*OutputTable[RecordedValue])),0)</f>
        <v>3.6093067502765995E-2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2.5819425095769025E-2</v>
      </c>
      <c r="O25" cm="1">
        <f t="array" ref="O25">MIN(IF((OutputTable[GroupByKey]=OutputTable[[#This Row],[GroupByKey]]),(OutputTable[GroupByKey]=OutputTable[[#This Row],[GroupByKey]])*OutputTable[RecordedValue]))</f>
        <v>0.48838500773485299</v>
      </c>
      <c r="P25" cm="1">
        <f t="array" ref="P25">MAX(IF((OutputTable[GroupByKey]=OutputTable[[#This Row],[GroupByKey]]),(OutputTable[GroupByKey]=OutputTable[[#This Row],[GroupByKey]])*OutputTable[RecordedValue]))</f>
        <v>0.59303053253801696</v>
      </c>
    </row>
    <row r="26" spans="1:16" x14ac:dyDescent="0.3">
      <c r="A26" t="s">
        <v>66</v>
      </c>
      <c r="B26" t="s">
        <v>68</v>
      </c>
      <c r="C26">
        <v>2</v>
      </c>
      <c r="D26" t="s">
        <v>112</v>
      </c>
      <c r="E26" t="s">
        <v>106</v>
      </c>
      <c r="F26" t="s">
        <v>78</v>
      </c>
      <c r="G26">
        <v>64</v>
      </c>
      <c r="H26">
        <v>0</v>
      </c>
      <c r="I26" t="str">
        <f>OutputTable[[#This Row],[ProjectName]]&amp;OutputTable[[#This Row],[Name]]&amp;OutputTable[[#This Row],[Type]]&amp;OutputTable[[#This Row],[Source]]</f>
        <v>Unnamed Projectcpie.NumberInNumber InEntity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77.3</v>
      </c>
      <c r="L26" cm="1">
        <f t="array" ref="L26">IFERROR(_xlfn.STDEV.S(IF((OutputTable[GroupByKey]=OutputTable[[#This Row],[GroupByKey]]),(OutputTable[GroupByKey]=OutputTable[[#This Row],[GroupByKey]])*OutputTable[RecordedValue])),0)</f>
        <v>11.314199534704651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8.0936907726810521</v>
      </c>
      <c r="O26" cm="1">
        <f t="array" ref="O26">MIN(IF((OutputTable[GroupByKey]=OutputTable[[#This Row],[GroupByKey]]),(OutputTable[GroupByKey]=OutputTable[[#This Row],[GroupByKey]])*OutputTable[RecordedValue]))</f>
        <v>64</v>
      </c>
      <c r="P26" cm="1">
        <f t="array" ref="P26">MAX(IF((OutputTable[GroupByKey]=OutputTable[[#This Row],[GroupByKey]]),(OutputTable[GroupByKey]=OutputTable[[#This Row],[GroupByKey]])*OutputTable[RecordedValue]))</f>
        <v>105</v>
      </c>
    </row>
    <row r="27" spans="1:16" x14ac:dyDescent="0.3">
      <c r="A27" t="s">
        <v>66</v>
      </c>
      <c r="B27" t="s">
        <v>68</v>
      </c>
      <c r="C27">
        <v>2</v>
      </c>
      <c r="D27" t="s">
        <v>113</v>
      </c>
      <c r="E27" t="s">
        <v>103</v>
      </c>
      <c r="F27" t="s">
        <v>78</v>
      </c>
      <c r="G27">
        <v>58</v>
      </c>
      <c r="H27">
        <v>0</v>
      </c>
      <c r="I27" t="str">
        <f>OutputTable[[#This Row],[ProjectName]]&amp;OutputTable[[#This Row],[Name]]&amp;OutputTable[[#This Row],[Type]]&amp;OutputTable[[#This Row],[Source]]</f>
        <v>Unnamed Projectcpie.NumberOutNumber OutEntity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67</v>
      </c>
      <c r="L27" cm="1">
        <f t="array" ref="L27">IFERROR(_xlfn.STDEV.S(IF((OutputTable[GroupByKey]=OutputTable[[#This Row],[GroupByKey]]),(OutputTable[GroupByKey]=OutputTable[[#This Row],[GroupByKey]])*OutputTable[RecordedValue])),0)</f>
        <v>9.5916630466254382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6.8614624001471327</v>
      </c>
      <c r="O27" cm="1">
        <f t="array" ref="O27">MIN(IF((OutputTable[GroupByKey]=OutputTable[[#This Row],[GroupByKey]]),(OutputTable[GroupByKey]=OutputTable[[#This Row],[GroupByKey]])*OutputTable[RecordedValue]))</f>
        <v>58</v>
      </c>
      <c r="P27" cm="1">
        <f t="array" ref="P27">MAX(IF((OutputTable[GroupByKey]=OutputTable[[#This Row],[GroupByKey]]),(OutputTable[GroupByKey]=OutputTable[[#This Row],[GroupByKey]])*OutputTable[RecordedValue]))</f>
        <v>92</v>
      </c>
    </row>
    <row r="28" spans="1:16" x14ac:dyDescent="0.3">
      <c r="A28" t="s">
        <v>66</v>
      </c>
      <c r="B28" t="s">
        <v>68</v>
      </c>
      <c r="C28">
        <v>3</v>
      </c>
      <c r="D28" t="s">
        <v>96</v>
      </c>
      <c r="E28" t="s">
        <v>97</v>
      </c>
      <c r="F28" t="s">
        <v>89</v>
      </c>
      <c r="G28">
        <v>200</v>
      </c>
      <c r="H28">
        <v>0</v>
      </c>
      <c r="I28" t="str">
        <f>OutputTable[[#This Row],[ProjectName]]&amp;OutputTable[[#This Row],[Name]]&amp;OutputTable[[#This Row],[Type]]&amp;OutputTable[[#This Row],[Source]]</f>
        <v>Unnamed ProjectLlegada Pedidos.NumberSeizedTotal Number SeizedResource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213.2</v>
      </c>
      <c r="L28" cm="1">
        <f t="array" ref="L28">IFERROR(_xlfn.STDEV.S(IF((OutputTable[GroupByKey]=OutputTable[[#This Row],[GroupByKey]]),(OutputTable[GroupByKey]=OutputTable[[#This Row],[GroupByKey]])*OutputTable[RecordedValue])),0)</f>
        <v>15.540627757948235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11.117095389767675</v>
      </c>
      <c r="O28" cm="1">
        <f t="array" ref="O28">MIN(IF((OutputTable[GroupByKey]=OutputTable[[#This Row],[GroupByKey]]),(OutputTable[GroupByKey]=OutputTable[[#This Row],[GroupByKey]])*OutputTable[RecordedValue]))</f>
        <v>190</v>
      </c>
      <c r="P28" cm="1">
        <f t="array" ref="P28">MAX(IF((OutputTable[GroupByKey]=OutputTable[[#This Row],[GroupByKey]]),(OutputTable[GroupByKey]=OutputTable[[#This Row],[GroupByKey]])*OutputTable[RecordedValue]))</f>
        <v>235</v>
      </c>
    </row>
    <row r="29" spans="1:16" x14ac:dyDescent="0.3">
      <c r="A29" t="s">
        <v>66</v>
      </c>
      <c r="B29" t="s">
        <v>68</v>
      </c>
      <c r="C29">
        <v>3</v>
      </c>
      <c r="D29" t="s">
        <v>98</v>
      </c>
      <c r="E29" t="s">
        <v>99</v>
      </c>
      <c r="F29" t="s">
        <v>89</v>
      </c>
      <c r="G29">
        <v>0.61519110307515401</v>
      </c>
      <c r="H29">
        <v>0</v>
      </c>
      <c r="I29" t="str">
        <f>OutputTable[[#This Row],[ProjectName]]&amp;OutputTable[[#This Row],[Name]]&amp;OutputTable[[#This Row],[Type]]&amp;OutputTable[[#This Row],[Source]]</f>
        <v>Unnamed ProjectLlegada Pedidos.ScheduledUtilizationScheduled UtilizationResource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0.66170817272124971</v>
      </c>
      <c r="L29" cm="1">
        <f t="array" ref="L29">IFERROR(_xlfn.STDEV.S(IF((OutputTable[GroupByKey]=OutputTable[[#This Row],[GroupByKey]]),(OutputTable[GroupByKey]=OutputTable[[#This Row],[GroupByKey]])*OutputTable[RecordedValue])),0)</f>
        <v>4.5736088034979056E-2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3.2717626427904552E-2</v>
      </c>
      <c r="O29" cm="1">
        <f t="array" ref="O29">MIN(IF((OutputTable[GroupByKey]=OutputTable[[#This Row],[GroupByKey]]),(OutputTable[GroupByKey]=OutputTable[[#This Row],[GroupByKey]])*OutputTable[RecordedValue]))</f>
        <v>0.59604324380846896</v>
      </c>
      <c r="P29" cm="1">
        <f t="array" ref="P29">MAX(IF((OutputTable[GroupByKey]=OutputTable[[#This Row],[GroupByKey]]),(OutputTable[GroupByKey]=OutputTable[[#This Row],[GroupByKey]])*OutputTable[RecordedValue]))</f>
        <v>0.72905379552072003</v>
      </c>
    </row>
    <row r="30" spans="1:16" x14ac:dyDescent="0.3">
      <c r="A30" t="s">
        <v>66</v>
      </c>
      <c r="B30" t="s">
        <v>68</v>
      </c>
      <c r="C30">
        <v>3</v>
      </c>
      <c r="D30" t="s">
        <v>100</v>
      </c>
      <c r="E30" t="s">
        <v>97</v>
      </c>
      <c r="F30" t="s">
        <v>89</v>
      </c>
      <c r="G30">
        <v>195</v>
      </c>
      <c r="H30">
        <v>0</v>
      </c>
      <c r="I30" t="str">
        <f>OutputTable[[#This Row],[ProjectName]]&amp;OutputTable[[#This Row],[Name]]&amp;OutputTable[[#This Row],[Type]]&amp;OutputTable[[#This Row],[Source]]</f>
        <v>Unnamed ProjectRecoger pedidos.NumberSeizedTotal Number SeizedResource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205.3</v>
      </c>
      <c r="L30" cm="1">
        <f t="array" ref="L30">IFERROR(_xlfn.STDEV.S(IF((OutputTable[GroupByKey]=OutputTable[[#This Row],[GroupByKey]]),(OutputTable[GroupByKey]=OutputTable[[#This Row],[GroupByKey]])*OutputTable[RecordedValue])),0)</f>
        <v>12.944754407352296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9.2601194613936642</v>
      </c>
      <c r="O30" cm="1">
        <f t="array" ref="O30">MIN(IF((OutputTable[GroupByKey]=OutputTable[[#This Row],[GroupByKey]]),(OutputTable[GroupByKey]=OutputTable[[#This Row],[GroupByKey]])*OutputTable[RecordedValue]))</f>
        <v>185</v>
      </c>
      <c r="P30" cm="1">
        <f t="array" ref="P30">MAX(IF((OutputTable[GroupByKey]=OutputTable[[#This Row],[GroupByKey]]),(OutputTable[GroupByKey]=OutputTable[[#This Row],[GroupByKey]])*OutputTable[RecordedValue]))</f>
        <v>224</v>
      </c>
    </row>
    <row r="31" spans="1:16" x14ac:dyDescent="0.3">
      <c r="A31" t="s">
        <v>66</v>
      </c>
      <c r="B31" t="s">
        <v>68</v>
      </c>
      <c r="C31">
        <v>3</v>
      </c>
      <c r="D31" t="s">
        <v>101</v>
      </c>
      <c r="E31" t="s">
        <v>99</v>
      </c>
      <c r="F31" t="s">
        <v>89</v>
      </c>
      <c r="G31">
        <v>0.53725213680088901</v>
      </c>
      <c r="H31">
        <v>0</v>
      </c>
      <c r="I31" t="str">
        <f>OutputTable[[#This Row],[ProjectName]]&amp;OutputTable[[#This Row],[Name]]&amp;OutputTable[[#This Row],[Type]]&amp;OutputTable[[#This Row],[Source]]</f>
        <v>Unnamed ProjectRecoger pedidos.ScheduledUtilizationScheduled UtilizationResource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0.55143120740685148</v>
      </c>
      <c r="L31" cm="1">
        <f t="array" ref="L31">IFERROR(_xlfn.STDEV.S(IF((OutputTable[GroupByKey]=OutputTable[[#This Row],[GroupByKey]]),(OutputTable[GroupByKey]=OutputTable[[#This Row],[GroupByKey]])*OutputTable[RecordedValue])),0)</f>
        <v>3.4243845838583781E-2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2.4496571607625712E-2</v>
      </c>
      <c r="O31" cm="1">
        <f t="array" ref="O31">MIN(IF((OutputTable[GroupByKey]=OutputTable[[#This Row],[GroupByKey]]),(OutputTable[GroupByKey]=OutputTable[[#This Row],[GroupByKey]])*OutputTable[RecordedValue]))</f>
        <v>0.49793942474087499</v>
      </c>
      <c r="P31" cm="1">
        <f t="array" ref="P31">MAX(IF((OutputTable[GroupByKey]=OutputTable[[#This Row],[GroupByKey]]),(OutputTable[GroupByKey]=OutputTable[[#This Row],[GroupByKey]])*OutputTable[RecordedValue]))</f>
        <v>0.59360317623750203</v>
      </c>
    </row>
    <row r="32" spans="1:16" x14ac:dyDescent="0.3">
      <c r="A32" t="s">
        <v>66</v>
      </c>
      <c r="B32" t="s">
        <v>68</v>
      </c>
      <c r="C32">
        <v>3</v>
      </c>
      <c r="D32" t="s">
        <v>102</v>
      </c>
      <c r="E32" t="s">
        <v>103</v>
      </c>
      <c r="F32" t="s">
        <v>104</v>
      </c>
      <c r="G32">
        <v>183</v>
      </c>
      <c r="H32">
        <v>0</v>
      </c>
      <c r="I32" t="str">
        <f>OutputTable[[#This Row],[ProjectName]]&amp;OutputTable[[#This Row],[Name]]&amp;OutputTable[[#This Row],[Type]]&amp;OutputTable[[#This Row],[Source]]</f>
        <v>Unnamed ProjectSystem.NumberOutNumber OutSystem</v>
      </c>
      <c r="J32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cm="1">
        <f t="array" ref="K32">IFERROR(AVERAGE(IF((OutputTable[GroupByKey]=OutputTable[[#This Row],[GroupByKey]]),(OutputTable[GroupByKey]=OutputTable[[#This Row],[GroupByKey]])*OutputTable[RecordedValue])),0)</f>
        <v>190.4</v>
      </c>
      <c r="L32" cm="1">
        <f t="array" ref="L32">IFERROR(_xlfn.STDEV.S(IF((OutputTable[GroupByKey]=OutputTable[[#This Row],[GroupByKey]]),(OutputTable[GroupByKey]=OutputTable[[#This Row],[GroupByKey]])*OutputTable[RecordedValue])),0)</f>
        <v>12.029593139882625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8.6054525286323678</v>
      </c>
      <c r="O32" cm="1">
        <f t="array" ref="O32">MIN(IF((OutputTable[GroupByKey]=OutputTable[[#This Row],[GroupByKey]]),(OutputTable[GroupByKey]=OutputTable[[#This Row],[GroupByKey]])*OutputTable[RecordedValue]))</f>
        <v>167</v>
      </c>
      <c r="P32" cm="1">
        <f t="array" ref="P32">MAX(IF((OutputTable[GroupByKey]=OutputTable[[#This Row],[GroupByKey]]),(OutputTable[GroupByKey]=OutputTable[[#This Row],[GroupByKey]])*OutputTable[RecordedValue]))</f>
        <v>204</v>
      </c>
    </row>
    <row r="33" spans="1:16" x14ac:dyDescent="0.3">
      <c r="A33" t="s">
        <v>66</v>
      </c>
      <c r="B33" t="s">
        <v>68</v>
      </c>
      <c r="C33">
        <v>3</v>
      </c>
      <c r="D33" t="s">
        <v>105</v>
      </c>
      <c r="E33" t="s">
        <v>106</v>
      </c>
      <c r="F33" t="s">
        <v>78</v>
      </c>
      <c r="G33">
        <v>27</v>
      </c>
      <c r="H33">
        <v>0</v>
      </c>
      <c r="I33" t="str">
        <f>OutputTable[[#This Row],[ProjectName]]&amp;OutputTable[[#This Row],[Name]]&amp;OutputTable[[#This Row],[Type]]&amp;OutputTable[[#This Row],[Source]]</f>
        <v>Unnamed Projectcbus.NumberInNumber InEntity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cm="1">
        <f t="array" ref="K33">IFERROR(AVERAGE(IF((OutputTable[GroupByKey]=OutputTable[[#This Row],[GroupByKey]]),(OutputTable[GroupByKey]=OutputTable[[#This Row],[GroupByKey]])*OutputTable[RecordedValue])),0)</f>
        <v>31.2</v>
      </c>
      <c r="L33" cm="1">
        <f t="array" ref="L33">IFERROR(_xlfn.STDEV.S(IF((OutputTable[GroupByKey]=OutputTable[[#This Row],[GroupByKey]]),(OutputTable[GroupByKey]=OutputTable[[#This Row],[GroupByKey]])*OutputTable[RecordedValue])),0)</f>
        <v>3.7653389990514556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33" cm="1">
        <f t="array" ref="O33">MIN(IF((OutputTable[GroupByKey]=OutputTable[[#This Row],[GroupByKey]]),(OutputTable[GroupByKey]=OutputTable[[#This Row],[GroupByKey]])*OutputTable[RecordedValue]))</f>
        <v>26</v>
      </c>
      <c r="P33" cm="1">
        <f t="array" ref="P33">MAX(IF((OutputTable[GroupByKey]=OutputTable[[#This Row],[GroupByKey]]),(OutputTable[GroupByKey]=OutputTable[[#This Row],[GroupByKey]])*OutputTable[RecordedValue]))</f>
        <v>39</v>
      </c>
    </row>
    <row r="34" spans="1:16" x14ac:dyDescent="0.3">
      <c r="A34" t="s">
        <v>66</v>
      </c>
      <c r="B34" t="s">
        <v>68</v>
      </c>
      <c r="C34">
        <v>3</v>
      </c>
      <c r="D34" t="s">
        <v>107</v>
      </c>
      <c r="E34" t="s">
        <v>103</v>
      </c>
      <c r="F34" t="s">
        <v>78</v>
      </c>
      <c r="G34">
        <v>27</v>
      </c>
      <c r="H34">
        <v>0</v>
      </c>
      <c r="I34" t="str">
        <f>OutputTable[[#This Row],[ProjectName]]&amp;OutputTable[[#This Row],[Name]]&amp;OutputTable[[#This Row],[Type]]&amp;OutputTable[[#This Row],[Source]]</f>
        <v>Unnamed Projectcbus.NumberOutNumber OutEntity</v>
      </c>
      <c r="J34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cm="1">
        <f t="array" ref="K34">IFERROR(AVERAGE(IF((OutputTable[GroupByKey]=OutputTable[[#This Row],[GroupByKey]]),(OutputTable[GroupByKey]=OutputTable[[#This Row],[GroupByKey]])*OutputTable[RecordedValue])),0)</f>
        <v>31.2</v>
      </c>
      <c r="L34" cm="1">
        <f t="array" ref="L34">IFERROR(_xlfn.STDEV.S(IF((OutputTable[GroupByKey]=OutputTable[[#This Row],[GroupByKey]]),(OutputTable[GroupByKey]=OutputTable[[#This Row],[GroupByKey]])*OutputTable[RecordedValue])),0)</f>
        <v>3.7653389990514556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34" cm="1">
        <f t="array" ref="O34">MIN(IF((OutputTable[GroupByKey]=OutputTable[[#This Row],[GroupByKey]]),(OutputTable[GroupByKey]=OutputTable[[#This Row],[GroupByKey]])*OutputTable[RecordedValue]))</f>
        <v>26</v>
      </c>
      <c r="P34" cm="1">
        <f t="array" ref="P34">MAX(IF((OutputTable[GroupByKey]=OutputTable[[#This Row],[GroupByKey]]),(OutputTable[GroupByKey]=OutputTable[[#This Row],[GroupByKey]])*OutputTable[RecordedValue]))</f>
        <v>39</v>
      </c>
    </row>
    <row r="35" spans="1:16" x14ac:dyDescent="0.3">
      <c r="A35" t="s">
        <v>66</v>
      </c>
      <c r="B35" t="s">
        <v>68</v>
      </c>
      <c r="C35">
        <v>3</v>
      </c>
      <c r="D35" t="s">
        <v>108</v>
      </c>
      <c r="E35" t="s">
        <v>106</v>
      </c>
      <c r="F35" t="s">
        <v>78</v>
      </c>
      <c r="G35">
        <v>101</v>
      </c>
      <c r="H35">
        <v>0</v>
      </c>
      <c r="I35" t="str">
        <f>OutputTable[[#This Row],[ProjectName]]&amp;OutputTable[[#This Row],[Name]]&amp;OutputTable[[#This Row],[Type]]&amp;OutputTable[[#This Row],[Source]]</f>
        <v>Unnamed Projectccoche.NumberInNumber InEntity</v>
      </c>
      <c r="J3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cm="1">
        <f t="array" ref="K35">IFERROR(AVERAGE(IF((OutputTable[GroupByKey]=OutputTable[[#This Row],[GroupByKey]]),(OutputTable[GroupByKey]=OutputTable[[#This Row],[GroupByKey]])*OutputTable[RecordedValue])),0)</f>
        <v>105.9</v>
      </c>
      <c r="L35" cm="1">
        <f t="array" ref="L35">IFERROR(_xlfn.STDEV.S(IF((OutputTable[GroupByKey]=OutputTable[[#This Row],[GroupByKey]]),(OutputTable[GroupByKey]=OutputTable[[#This Row],[GroupByKey]])*OutputTable[RecordedValue])),0)</f>
        <v>13.714955340794928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9.8110880181169016</v>
      </c>
      <c r="O35" cm="1">
        <f t="array" ref="O35">MIN(IF((OutputTable[GroupByKey]=OutputTable[[#This Row],[GroupByKey]]),(OutputTable[GroupByKey]=OutputTable[[#This Row],[GroupByKey]])*OutputTable[RecordedValue]))</f>
        <v>89</v>
      </c>
      <c r="P35" cm="1">
        <f t="array" ref="P35">MAX(IF((OutputTable[GroupByKey]=OutputTable[[#This Row],[GroupByKey]]),(OutputTable[GroupByKey]=OutputTable[[#This Row],[GroupByKey]])*OutputTable[RecordedValue]))</f>
        <v>125</v>
      </c>
    </row>
    <row r="36" spans="1:16" x14ac:dyDescent="0.3">
      <c r="A36" t="s">
        <v>66</v>
      </c>
      <c r="B36" t="s">
        <v>68</v>
      </c>
      <c r="C36">
        <v>3</v>
      </c>
      <c r="D36" t="s">
        <v>109</v>
      </c>
      <c r="E36" t="s">
        <v>103</v>
      </c>
      <c r="F36" t="s">
        <v>78</v>
      </c>
      <c r="G36">
        <v>91</v>
      </c>
      <c r="H36">
        <v>0</v>
      </c>
      <c r="I36" t="str">
        <f>OutputTable[[#This Row],[ProjectName]]&amp;OutputTable[[#This Row],[Name]]&amp;OutputTable[[#This Row],[Type]]&amp;OutputTable[[#This Row],[Source]]</f>
        <v>Unnamed Projectccoche.NumberOutNumber OutEntity</v>
      </c>
      <c r="J36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cm="1">
        <f t="array" ref="K36">IFERROR(AVERAGE(IF((OutputTable[GroupByKey]=OutputTable[[#This Row],[GroupByKey]]),(OutputTable[GroupByKey]=OutputTable[[#This Row],[GroupByKey]])*OutputTable[RecordedValue])),0)</f>
        <v>92.2</v>
      </c>
      <c r="L36" cm="1">
        <f t="array" ref="L36">IFERROR(_xlfn.STDEV.S(IF((OutputTable[GroupByKey]=OutputTable[[#This Row],[GroupByKey]]),(OutputTable[GroupByKey]=OutputTable[[#This Row],[GroupByKey]])*OutputTable[RecordedValue])),0)</f>
        <v>11.003029885748166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7.8710934153715639</v>
      </c>
      <c r="O36" cm="1">
        <f t="array" ref="O36">MIN(IF((OutputTable[GroupByKey]=OutputTable[[#This Row],[GroupByKey]]),(OutputTable[GroupByKey]=OutputTable[[#This Row],[GroupByKey]])*OutputTable[RecordedValue]))</f>
        <v>77</v>
      </c>
      <c r="P36" cm="1">
        <f t="array" ref="P36">MAX(IF((OutputTable[GroupByKey]=OutputTable[[#This Row],[GroupByKey]]),(OutputTable[GroupByKey]=OutputTable[[#This Row],[GroupByKey]])*OutputTable[RecordedValue]))</f>
        <v>111</v>
      </c>
    </row>
    <row r="37" spans="1:16" x14ac:dyDescent="0.3">
      <c r="A37" t="s">
        <v>66</v>
      </c>
      <c r="B37" t="s">
        <v>68</v>
      </c>
      <c r="C37">
        <v>3</v>
      </c>
      <c r="D37" t="s">
        <v>110</v>
      </c>
      <c r="E37" t="s">
        <v>97</v>
      </c>
      <c r="F37" t="s">
        <v>89</v>
      </c>
      <c r="G37">
        <v>194</v>
      </c>
      <c r="H37">
        <v>0</v>
      </c>
      <c r="I37" t="str">
        <f>OutputTable[[#This Row],[ProjectName]]&amp;OutputTable[[#This Row],[Name]]&amp;OutputTable[[#This Row],[Type]]&amp;OutputTable[[#This Row],[Source]]</f>
        <v>Unnamed Projectcomiendo.NumberSeizedTotal Number SeizedResource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cm="1">
        <f t="array" ref="K37">IFERROR(AVERAGE(IF((OutputTable[GroupByKey]=OutputTable[[#This Row],[GroupByKey]]),(OutputTable[GroupByKey]=OutputTable[[#This Row],[GroupByKey]])*OutputTable[RecordedValue])),0)</f>
        <v>203.5</v>
      </c>
      <c r="L37" cm="1">
        <f t="array" ref="L37">IFERROR(_xlfn.STDEV.S(IF((OutputTable[GroupByKey]=OutputTable[[#This Row],[GroupByKey]]),(OutputTable[GroupByKey]=OutputTable[[#This Row],[GroupByKey]])*OutputTable[RecordedValue])),0)</f>
        <v>12.96362432175337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9.2736181849755468</v>
      </c>
      <c r="O37" cm="1">
        <f t="array" ref="O37">MIN(IF((OutputTable[GroupByKey]=OutputTable[[#This Row],[GroupByKey]]),(OutputTable[GroupByKey]=OutputTable[[#This Row],[GroupByKey]])*OutputTable[RecordedValue]))</f>
        <v>182</v>
      </c>
      <c r="P37" cm="1">
        <f t="array" ref="P37">MAX(IF((OutputTable[GroupByKey]=OutputTable[[#This Row],[GroupByKey]]),(OutputTable[GroupByKey]=OutputTable[[#This Row],[GroupByKey]])*OutputTable[RecordedValue]))</f>
        <v>222</v>
      </c>
    </row>
    <row r="38" spans="1:16" x14ac:dyDescent="0.3">
      <c r="A38" t="s">
        <v>66</v>
      </c>
      <c r="B38" t="s">
        <v>68</v>
      </c>
      <c r="C38">
        <v>3</v>
      </c>
      <c r="D38" t="s">
        <v>111</v>
      </c>
      <c r="E38" t="s">
        <v>99</v>
      </c>
      <c r="F38" t="s">
        <v>89</v>
      </c>
      <c r="G38">
        <v>0.51857512758874302</v>
      </c>
      <c r="H38">
        <v>0</v>
      </c>
      <c r="I38" t="str">
        <f>OutputTable[[#This Row],[ProjectName]]&amp;OutputTable[[#This Row],[Name]]&amp;OutputTable[[#This Row],[Type]]&amp;OutputTable[[#This Row],[Source]]</f>
        <v>Unnamed Projectcomiendo.ScheduledUtilizationScheduled UtilizationResource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cm="1">
        <f t="array" ref="K38">IFERROR(AVERAGE(IF((OutputTable[GroupByKey]=OutputTable[[#This Row],[GroupByKey]]),(OutputTable[GroupByKey]=OutputTable[[#This Row],[GroupByKey]])*OutputTable[RecordedValue])),0)</f>
        <v>0.54567746104498949</v>
      </c>
      <c r="L38" cm="1">
        <f t="array" ref="L38">IFERROR(_xlfn.STDEV.S(IF((OutputTable[GroupByKey]=OutputTable[[#This Row],[GroupByKey]]),(OutputTable[GroupByKey]=OutputTable[[#This Row],[GroupByKey]])*OutputTable[RecordedValue])),0)</f>
        <v>3.6093067502765995E-2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2.5819425095769025E-2</v>
      </c>
      <c r="O38" cm="1">
        <f t="array" ref="O38">MIN(IF((OutputTable[GroupByKey]=OutputTable[[#This Row],[GroupByKey]]),(OutputTable[GroupByKey]=OutputTable[[#This Row],[GroupByKey]])*OutputTable[RecordedValue]))</f>
        <v>0.48838500773485299</v>
      </c>
      <c r="P38" cm="1">
        <f t="array" ref="P38">MAX(IF((OutputTable[GroupByKey]=OutputTable[[#This Row],[GroupByKey]]),(OutputTable[GroupByKey]=OutputTable[[#This Row],[GroupByKey]])*OutputTable[RecordedValue]))</f>
        <v>0.59303053253801696</v>
      </c>
    </row>
    <row r="39" spans="1:16" x14ac:dyDescent="0.3">
      <c r="A39" t="s">
        <v>66</v>
      </c>
      <c r="B39" t="s">
        <v>68</v>
      </c>
      <c r="C39">
        <v>3</v>
      </c>
      <c r="D39" t="s">
        <v>112</v>
      </c>
      <c r="E39" t="s">
        <v>106</v>
      </c>
      <c r="F39" t="s">
        <v>78</v>
      </c>
      <c r="G39">
        <v>72</v>
      </c>
      <c r="H39">
        <v>0</v>
      </c>
      <c r="I39" t="str">
        <f>OutputTable[[#This Row],[ProjectName]]&amp;OutputTable[[#This Row],[Name]]&amp;OutputTable[[#This Row],[Type]]&amp;OutputTable[[#This Row],[Source]]</f>
        <v>Unnamed Projectcpie.NumberInNumber InEntity</v>
      </c>
      <c r="J39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cm="1">
        <f t="array" ref="K39">IFERROR(AVERAGE(IF((OutputTable[GroupByKey]=OutputTable[[#This Row],[GroupByKey]]),(OutputTable[GroupByKey]=OutputTable[[#This Row],[GroupByKey]])*OutputTable[RecordedValue])),0)</f>
        <v>77.3</v>
      </c>
      <c r="L39" cm="1">
        <f t="array" ref="L39">IFERROR(_xlfn.STDEV.S(IF((OutputTable[GroupByKey]=OutputTable[[#This Row],[GroupByKey]]),(OutputTable[GroupByKey]=OutputTable[[#This Row],[GroupByKey]])*OutputTable[RecordedValue])),0)</f>
        <v>11.314199534704651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8.0936907726810521</v>
      </c>
      <c r="O39" cm="1">
        <f t="array" ref="O39">MIN(IF((OutputTable[GroupByKey]=OutputTable[[#This Row],[GroupByKey]]),(OutputTable[GroupByKey]=OutputTable[[#This Row],[GroupByKey]])*OutputTable[RecordedValue]))</f>
        <v>64</v>
      </c>
      <c r="P39" cm="1">
        <f t="array" ref="P39">MAX(IF((OutputTable[GroupByKey]=OutputTable[[#This Row],[GroupByKey]]),(OutputTable[GroupByKey]=OutputTable[[#This Row],[GroupByKey]])*OutputTable[RecordedValue]))</f>
        <v>105</v>
      </c>
    </row>
    <row r="40" spans="1:16" x14ac:dyDescent="0.3">
      <c r="A40" t="s">
        <v>66</v>
      </c>
      <c r="B40" t="s">
        <v>68</v>
      </c>
      <c r="C40">
        <v>3</v>
      </c>
      <c r="D40" t="s">
        <v>113</v>
      </c>
      <c r="E40" t="s">
        <v>103</v>
      </c>
      <c r="F40" t="s">
        <v>78</v>
      </c>
      <c r="G40">
        <v>65</v>
      </c>
      <c r="H40">
        <v>0</v>
      </c>
      <c r="I40" t="str">
        <f>OutputTable[[#This Row],[ProjectName]]&amp;OutputTable[[#This Row],[Name]]&amp;OutputTable[[#This Row],[Type]]&amp;OutputTable[[#This Row],[Source]]</f>
        <v>Unnamed Projectcpie.NumberOutNumber OutEntity</v>
      </c>
      <c r="J40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cm="1">
        <f t="array" ref="K40">IFERROR(AVERAGE(IF((OutputTable[GroupByKey]=OutputTable[[#This Row],[GroupByKey]]),(OutputTable[GroupByKey]=OutputTable[[#This Row],[GroupByKey]])*OutputTable[RecordedValue])),0)</f>
        <v>67</v>
      </c>
      <c r="L40" cm="1">
        <f t="array" ref="L40">IFERROR(_xlfn.STDEV.S(IF((OutputTable[GroupByKey]=OutputTable[[#This Row],[GroupByKey]]),(OutputTable[GroupByKey]=OutputTable[[#This Row],[GroupByKey]])*OutputTable[RecordedValue])),0)</f>
        <v>9.5916630466254382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6.8614624001471327</v>
      </c>
      <c r="O40" cm="1">
        <f t="array" ref="O40">MIN(IF((OutputTable[GroupByKey]=OutputTable[[#This Row],[GroupByKey]]),(OutputTable[GroupByKey]=OutputTable[[#This Row],[GroupByKey]])*OutputTable[RecordedValue]))</f>
        <v>58</v>
      </c>
      <c r="P40" cm="1">
        <f t="array" ref="P40">MAX(IF((OutputTable[GroupByKey]=OutputTable[[#This Row],[GroupByKey]]),(OutputTable[GroupByKey]=OutputTable[[#This Row],[GroupByKey]])*OutputTable[RecordedValue]))</f>
        <v>92</v>
      </c>
    </row>
    <row r="41" spans="1:16" x14ac:dyDescent="0.3">
      <c r="A41" t="s">
        <v>66</v>
      </c>
      <c r="B41" t="s">
        <v>68</v>
      </c>
      <c r="C41">
        <v>4</v>
      </c>
      <c r="D41" t="s">
        <v>96</v>
      </c>
      <c r="E41" t="s">
        <v>97</v>
      </c>
      <c r="F41" t="s">
        <v>89</v>
      </c>
      <c r="G41">
        <v>223</v>
      </c>
      <c r="H41">
        <v>0</v>
      </c>
      <c r="I41" t="str">
        <f>OutputTable[[#This Row],[ProjectName]]&amp;OutputTable[[#This Row],[Name]]&amp;OutputTable[[#This Row],[Type]]&amp;OutputTable[[#This Row],[Source]]</f>
        <v>Unnamed ProjectLlegada Pedidos.NumberSeizedTotal Number SeizedResource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cm="1">
        <f t="array" ref="K41">IFERROR(AVERAGE(IF((OutputTable[GroupByKey]=OutputTable[[#This Row],[GroupByKey]]),(OutputTable[GroupByKey]=OutputTable[[#This Row],[GroupByKey]])*OutputTable[RecordedValue])),0)</f>
        <v>213.2</v>
      </c>
      <c r="L41" cm="1">
        <f t="array" ref="L41">IFERROR(_xlfn.STDEV.S(IF((OutputTable[GroupByKey]=OutputTable[[#This Row],[GroupByKey]]),(OutputTable[GroupByKey]=OutputTable[[#This Row],[GroupByKey]])*OutputTable[RecordedValue])),0)</f>
        <v>15.540627757948235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11.117095389767675</v>
      </c>
      <c r="O41" cm="1">
        <f t="array" ref="O41">MIN(IF((OutputTable[GroupByKey]=OutputTable[[#This Row],[GroupByKey]]),(OutputTable[GroupByKey]=OutputTable[[#This Row],[GroupByKey]])*OutputTable[RecordedValue]))</f>
        <v>190</v>
      </c>
      <c r="P41" cm="1">
        <f t="array" ref="P41">MAX(IF((OutputTable[GroupByKey]=OutputTable[[#This Row],[GroupByKey]]),(OutputTable[GroupByKey]=OutputTable[[#This Row],[GroupByKey]])*OutputTable[RecordedValue]))</f>
        <v>235</v>
      </c>
    </row>
    <row r="42" spans="1:16" x14ac:dyDescent="0.3">
      <c r="A42" t="s">
        <v>66</v>
      </c>
      <c r="B42" t="s">
        <v>68</v>
      </c>
      <c r="C42">
        <v>4</v>
      </c>
      <c r="D42" t="s">
        <v>98</v>
      </c>
      <c r="E42" t="s">
        <v>99</v>
      </c>
      <c r="F42" t="s">
        <v>89</v>
      </c>
      <c r="G42">
        <v>0.679998969388387</v>
      </c>
      <c r="H42">
        <v>0</v>
      </c>
      <c r="I42" t="str">
        <f>OutputTable[[#This Row],[ProjectName]]&amp;OutputTable[[#This Row],[Name]]&amp;OutputTable[[#This Row],[Type]]&amp;OutputTable[[#This Row],[Source]]</f>
        <v>Unnamed ProjectLlegada Pedidos.ScheduledUtilizationScheduled UtilizationResource</v>
      </c>
      <c r="J42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cm="1">
        <f t="array" ref="K42">IFERROR(AVERAGE(IF((OutputTable[GroupByKey]=OutputTable[[#This Row],[GroupByKey]]),(OutputTable[GroupByKey]=OutputTable[[#This Row],[GroupByKey]])*OutputTable[RecordedValue])),0)</f>
        <v>0.66170817272124971</v>
      </c>
      <c r="L42" cm="1">
        <f t="array" ref="L42">IFERROR(_xlfn.STDEV.S(IF((OutputTable[GroupByKey]=OutputTable[[#This Row],[GroupByKey]]),(OutputTable[GroupByKey]=OutputTable[[#This Row],[GroupByKey]])*OutputTable[RecordedValue])),0)</f>
        <v>4.5736088034979056E-2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3.2717626427904552E-2</v>
      </c>
      <c r="O42" cm="1">
        <f t="array" ref="O42">MIN(IF((OutputTable[GroupByKey]=OutputTable[[#This Row],[GroupByKey]]),(OutputTable[GroupByKey]=OutputTable[[#This Row],[GroupByKey]])*OutputTable[RecordedValue]))</f>
        <v>0.59604324380846896</v>
      </c>
      <c r="P42" cm="1">
        <f t="array" ref="P42">MAX(IF((OutputTable[GroupByKey]=OutputTable[[#This Row],[GroupByKey]]),(OutputTable[GroupByKey]=OutputTable[[#This Row],[GroupByKey]])*OutputTable[RecordedValue]))</f>
        <v>0.72905379552072003</v>
      </c>
    </row>
    <row r="43" spans="1:16" x14ac:dyDescent="0.3">
      <c r="A43" t="s">
        <v>66</v>
      </c>
      <c r="B43" t="s">
        <v>68</v>
      </c>
      <c r="C43">
        <v>4</v>
      </c>
      <c r="D43" t="s">
        <v>100</v>
      </c>
      <c r="E43" t="s">
        <v>97</v>
      </c>
      <c r="F43" t="s">
        <v>89</v>
      </c>
      <c r="G43">
        <v>202</v>
      </c>
      <c r="H43">
        <v>0</v>
      </c>
      <c r="I43" t="str">
        <f>OutputTable[[#This Row],[ProjectName]]&amp;OutputTable[[#This Row],[Name]]&amp;OutputTable[[#This Row],[Type]]&amp;OutputTable[[#This Row],[Source]]</f>
        <v>Unnamed ProjectRecoger pedidos.NumberSeizedTotal Number SeizedResource</v>
      </c>
      <c r="J43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cm="1">
        <f t="array" ref="K43">IFERROR(AVERAGE(IF((OutputTable[GroupByKey]=OutputTable[[#This Row],[GroupByKey]]),(OutputTable[GroupByKey]=OutputTable[[#This Row],[GroupByKey]])*OutputTable[RecordedValue])),0)</f>
        <v>205.3</v>
      </c>
      <c r="L43" cm="1">
        <f t="array" ref="L43">IFERROR(_xlfn.STDEV.S(IF((OutputTable[GroupByKey]=OutputTable[[#This Row],[GroupByKey]]),(OutputTable[GroupByKey]=OutputTable[[#This Row],[GroupByKey]])*OutputTable[RecordedValue])),0)</f>
        <v>12.944754407352296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9.2601194613936642</v>
      </c>
      <c r="O43" cm="1">
        <f t="array" ref="O43">MIN(IF((OutputTable[GroupByKey]=OutputTable[[#This Row],[GroupByKey]]),(OutputTable[GroupByKey]=OutputTable[[#This Row],[GroupByKey]])*OutputTable[RecordedValue]))</f>
        <v>185</v>
      </c>
      <c r="P43" cm="1">
        <f t="array" ref="P43">MAX(IF((OutputTable[GroupByKey]=OutputTable[[#This Row],[GroupByKey]]),(OutputTable[GroupByKey]=OutputTable[[#This Row],[GroupByKey]])*OutputTable[RecordedValue]))</f>
        <v>224</v>
      </c>
    </row>
    <row r="44" spans="1:16" x14ac:dyDescent="0.3">
      <c r="A44" t="s">
        <v>66</v>
      </c>
      <c r="B44" t="s">
        <v>68</v>
      </c>
      <c r="C44">
        <v>4</v>
      </c>
      <c r="D44" t="s">
        <v>101</v>
      </c>
      <c r="E44" t="s">
        <v>99</v>
      </c>
      <c r="F44" t="s">
        <v>89</v>
      </c>
      <c r="G44">
        <v>0.53421886953408804</v>
      </c>
      <c r="H44">
        <v>0</v>
      </c>
      <c r="I44" t="str">
        <f>OutputTable[[#This Row],[ProjectName]]&amp;OutputTable[[#This Row],[Name]]&amp;OutputTable[[#This Row],[Type]]&amp;OutputTable[[#This Row],[Source]]</f>
        <v>Unnamed ProjectRecoger pedidos.ScheduledUtilizationScheduled UtilizationResource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cm="1">
        <f t="array" ref="K44">IFERROR(AVERAGE(IF((OutputTable[GroupByKey]=OutputTable[[#This Row],[GroupByKey]]),(OutputTable[GroupByKey]=OutputTable[[#This Row],[GroupByKey]])*OutputTable[RecordedValue])),0)</f>
        <v>0.55143120740685148</v>
      </c>
      <c r="L44" cm="1">
        <f t="array" ref="L44">IFERROR(_xlfn.STDEV.S(IF((OutputTable[GroupByKey]=OutputTable[[#This Row],[GroupByKey]]),(OutputTable[GroupByKey]=OutputTable[[#This Row],[GroupByKey]])*OutputTable[RecordedValue])),0)</f>
        <v>3.4243845838583781E-2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2.4496571607625712E-2</v>
      </c>
      <c r="O44" cm="1">
        <f t="array" ref="O44">MIN(IF((OutputTable[GroupByKey]=OutputTable[[#This Row],[GroupByKey]]),(OutputTable[GroupByKey]=OutputTable[[#This Row],[GroupByKey]])*OutputTable[RecordedValue]))</f>
        <v>0.49793942474087499</v>
      </c>
      <c r="P44" cm="1">
        <f t="array" ref="P44">MAX(IF((OutputTable[GroupByKey]=OutputTable[[#This Row],[GroupByKey]]),(OutputTable[GroupByKey]=OutputTable[[#This Row],[GroupByKey]])*OutputTable[RecordedValue]))</f>
        <v>0.59360317623750203</v>
      </c>
    </row>
    <row r="45" spans="1:16" x14ac:dyDescent="0.3">
      <c r="A45" t="s">
        <v>66</v>
      </c>
      <c r="B45" t="s">
        <v>68</v>
      </c>
      <c r="C45">
        <v>4</v>
      </c>
      <c r="D45" t="s">
        <v>102</v>
      </c>
      <c r="E45" t="s">
        <v>103</v>
      </c>
      <c r="F45" t="s">
        <v>104</v>
      </c>
      <c r="G45">
        <v>180</v>
      </c>
      <c r="H45">
        <v>0</v>
      </c>
      <c r="I45" t="str">
        <f>OutputTable[[#This Row],[ProjectName]]&amp;OutputTable[[#This Row],[Name]]&amp;OutputTable[[#This Row],[Type]]&amp;OutputTable[[#This Row],[Source]]</f>
        <v>Unnamed ProjectSystem.NumberOutNumber OutSystem</v>
      </c>
      <c r="J4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cm="1">
        <f t="array" ref="K45">IFERROR(AVERAGE(IF((OutputTable[GroupByKey]=OutputTable[[#This Row],[GroupByKey]]),(OutputTable[GroupByKey]=OutputTable[[#This Row],[GroupByKey]])*OutputTable[RecordedValue])),0)</f>
        <v>190.4</v>
      </c>
      <c r="L45" cm="1">
        <f t="array" ref="L45">IFERROR(_xlfn.STDEV.S(IF((OutputTable[GroupByKey]=OutputTable[[#This Row],[GroupByKey]]),(OutputTable[GroupByKey]=OutputTable[[#This Row],[GroupByKey]])*OutputTable[RecordedValue])),0)</f>
        <v>12.029593139882625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8.6054525286323678</v>
      </c>
      <c r="O45" cm="1">
        <f t="array" ref="O45">MIN(IF((OutputTable[GroupByKey]=OutputTable[[#This Row],[GroupByKey]]),(OutputTable[GroupByKey]=OutputTable[[#This Row],[GroupByKey]])*OutputTable[RecordedValue]))</f>
        <v>167</v>
      </c>
      <c r="P45" cm="1">
        <f t="array" ref="P45">MAX(IF((OutputTable[GroupByKey]=OutputTable[[#This Row],[GroupByKey]]),(OutputTable[GroupByKey]=OutputTable[[#This Row],[GroupByKey]])*OutputTable[RecordedValue]))</f>
        <v>204</v>
      </c>
    </row>
    <row r="46" spans="1:16" x14ac:dyDescent="0.3">
      <c r="A46" t="s">
        <v>66</v>
      </c>
      <c r="B46" t="s">
        <v>68</v>
      </c>
      <c r="C46">
        <v>4</v>
      </c>
      <c r="D46" t="s">
        <v>105</v>
      </c>
      <c r="E46" t="s">
        <v>106</v>
      </c>
      <c r="F46" t="s">
        <v>78</v>
      </c>
      <c r="G46">
        <v>33</v>
      </c>
      <c r="H46">
        <v>0</v>
      </c>
      <c r="I46" t="str">
        <f>OutputTable[[#This Row],[ProjectName]]&amp;OutputTable[[#This Row],[Name]]&amp;OutputTable[[#This Row],[Type]]&amp;OutputTable[[#This Row],[Source]]</f>
        <v>Unnamed Projectcbus.NumberInNumber InEntity</v>
      </c>
      <c r="J46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cm="1">
        <f t="array" ref="K46">IFERROR(AVERAGE(IF((OutputTable[GroupByKey]=OutputTable[[#This Row],[GroupByKey]]),(OutputTable[GroupByKey]=OutputTable[[#This Row],[GroupByKey]])*OutputTable[RecordedValue])),0)</f>
        <v>31.2</v>
      </c>
      <c r="L46" cm="1">
        <f t="array" ref="L46">IFERROR(_xlfn.STDEV.S(IF((OutputTable[GroupByKey]=OutputTable[[#This Row],[GroupByKey]]),(OutputTable[GroupByKey]=OutputTable[[#This Row],[GroupByKey]])*OutputTable[RecordedValue])),0)</f>
        <v>3.7653389990514556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46" cm="1">
        <f t="array" ref="O46">MIN(IF((OutputTable[GroupByKey]=OutputTable[[#This Row],[GroupByKey]]),(OutputTable[GroupByKey]=OutputTable[[#This Row],[GroupByKey]])*OutputTable[RecordedValue]))</f>
        <v>26</v>
      </c>
      <c r="P46" cm="1">
        <f t="array" ref="P46">MAX(IF((OutputTable[GroupByKey]=OutputTable[[#This Row],[GroupByKey]]),(OutputTable[GroupByKey]=OutputTable[[#This Row],[GroupByKey]])*OutputTable[RecordedValue]))</f>
        <v>39</v>
      </c>
    </row>
    <row r="47" spans="1:16" x14ac:dyDescent="0.3">
      <c r="A47" t="s">
        <v>66</v>
      </c>
      <c r="B47" t="s">
        <v>68</v>
      </c>
      <c r="C47">
        <v>4</v>
      </c>
      <c r="D47" t="s">
        <v>107</v>
      </c>
      <c r="E47" t="s">
        <v>103</v>
      </c>
      <c r="F47" t="s">
        <v>78</v>
      </c>
      <c r="G47">
        <v>33</v>
      </c>
      <c r="H47">
        <v>0</v>
      </c>
      <c r="I47" t="str">
        <f>OutputTable[[#This Row],[ProjectName]]&amp;OutputTable[[#This Row],[Name]]&amp;OutputTable[[#This Row],[Type]]&amp;OutputTable[[#This Row],[Source]]</f>
        <v>Unnamed Projectcbus.NumberOutNumber OutEntity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cm="1">
        <f t="array" ref="K47">IFERROR(AVERAGE(IF((OutputTable[GroupByKey]=OutputTable[[#This Row],[GroupByKey]]),(OutputTable[GroupByKey]=OutputTable[[#This Row],[GroupByKey]])*OutputTable[RecordedValue])),0)</f>
        <v>31.2</v>
      </c>
      <c r="L47" cm="1">
        <f t="array" ref="L47">IFERROR(_xlfn.STDEV.S(IF((OutputTable[GroupByKey]=OutputTable[[#This Row],[GroupByKey]]),(OutputTable[GroupByKey]=OutputTable[[#This Row],[GroupByKey]])*OutputTable[RecordedValue])),0)</f>
        <v>3.7653389990514556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47" cm="1">
        <f t="array" ref="O47">MIN(IF((OutputTable[GroupByKey]=OutputTable[[#This Row],[GroupByKey]]),(OutputTable[GroupByKey]=OutputTable[[#This Row],[GroupByKey]])*OutputTable[RecordedValue]))</f>
        <v>26</v>
      </c>
      <c r="P47" cm="1">
        <f t="array" ref="P47">MAX(IF((OutputTable[GroupByKey]=OutputTable[[#This Row],[GroupByKey]]),(OutputTable[GroupByKey]=OutputTable[[#This Row],[GroupByKey]])*OutputTable[RecordedValue]))</f>
        <v>39</v>
      </c>
    </row>
    <row r="48" spans="1:16" x14ac:dyDescent="0.3">
      <c r="A48" t="s">
        <v>66</v>
      </c>
      <c r="B48" t="s">
        <v>68</v>
      </c>
      <c r="C48">
        <v>4</v>
      </c>
      <c r="D48" t="s">
        <v>108</v>
      </c>
      <c r="E48" t="s">
        <v>106</v>
      </c>
      <c r="F48" t="s">
        <v>78</v>
      </c>
      <c r="G48">
        <v>119</v>
      </c>
      <c r="H48">
        <v>0</v>
      </c>
      <c r="I48" t="str">
        <f>OutputTable[[#This Row],[ProjectName]]&amp;OutputTable[[#This Row],[Name]]&amp;OutputTable[[#This Row],[Type]]&amp;OutputTable[[#This Row],[Source]]</f>
        <v>Unnamed Projectccoche.NumberInNumber InEntity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cm="1">
        <f t="array" ref="K48">IFERROR(AVERAGE(IF((OutputTable[GroupByKey]=OutputTable[[#This Row],[GroupByKey]]),(OutputTable[GroupByKey]=OutputTable[[#This Row],[GroupByKey]])*OutputTable[RecordedValue])),0)</f>
        <v>105.9</v>
      </c>
      <c r="L48" cm="1">
        <f t="array" ref="L48">IFERROR(_xlfn.STDEV.S(IF((OutputTable[GroupByKey]=OutputTable[[#This Row],[GroupByKey]]),(OutputTable[GroupByKey]=OutputTable[[#This Row],[GroupByKey]])*OutputTable[RecordedValue])),0)</f>
        <v>13.714955340794928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9.8110880181169016</v>
      </c>
      <c r="O48" cm="1">
        <f t="array" ref="O48">MIN(IF((OutputTable[GroupByKey]=OutputTable[[#This Row],[GroupByKey]]),(OutputTable[GroupByKey]=OutputTable[[#This Row],[GroupByKey]])*OutputTable[RecordedValue]))</f>
        <v>89</v>
      </c>
      <c r="P48" cm="1">
        <f t="array" ref="P48">MAX(IF((OutputTable[GroupByKey]=OutputTable[[#This Row],[GroupByKey]]),(OutputTable[GroupByKey]=OutputTable[[#This Row],[GroupByKey]])*OutputTable[RecordedValue]))</f>
        <v>125</v>
      </c>
    </row>
    <row r="49" spans="1:16" x14ac:dyDescent="0.3">
      <c r="A49" t="s">
        <v>66</v>
      </c>
      <c r="B49" t="s">
        <v>68</v>
      </c>
      <c r="C49">
        <v>4</v>
      </c>
      <c r="D49" t="s">
        <v>109</v>
      </c>
      <c r="E49" t="s">
        <v>103</v>
      </c>
      <c r="F49" t="s">
        <v>78</v>
      </c>
      <c r="G49">
        <v>88</v>
      </c>
      <c r="H49">
        <v>0</v>
      </c>
      <c r="I49" t="str">
        <f>OutputTable[[#This Row],[ProjectName]]&amp;OutputTable[[#This Row],[Name]]&amp;OutputTable[[#This Row],[Type]]&amp;OutputTable[[#This Row],[Source]]</f>
        <v>Unnamed Projectccoche.NumberOutNumber OutEntity</v>
      </c>
      <c r="J49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cm="1">
        <f t="array" ref="K49">IFERROR(AVERAGE(IF((OutputTable[GroupByKey]=OutputTable[[#This Row],[GroupByKey]]),(OutputTable[GroupByKey]=OutputTable[[#This Row],[GroupByKey]])*OutputTable[RecordedValue])),0)</f>
        <v>92.2</v>
      </c>
      <c r="L49" cm="1">
        <f t="array" ref="L49">IFERROR(_xlfn.STDEV.S(IF((OutputTable[GroupByKey]=OutputTable[[#This Row],[GroupByKey]]),(OutputTable[GroupByKey]=OutputTable[[#This Row],[GroupByKey]])*OutputTable[RecordedValue])),0)</f>
        <v>11.003029885748166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7.8710934153715639</v>
      </c>
      <c r="O49" cm="1">
        <f t="array" ref="O49">MIN(IF((OutputTable[GroupByKey]=OutputTable[[#This Row],[GroupByKey]]),(OutputTable[GroupByKey]=OutputTable[[#This Row],[GroupByKey]])*OutputTable[RecordedValue]))</f>
        <v>77</v>
      </c>
      <c r="P49" cm="1">
        <f t="array" ref="P49">MAX(IF((OutputTable[GroupByKey]=OutputTable[[#This Row],[GroupByKey]]),(OutputTable[GroupByKey]=OutputTable[[#This Row],[GroupByKey]])*OutputTable[RecordedValue]))</f>
        <v>111</v>
      </c>
    </row>
    <row r="50" spans="1:16" x14ac:dyDescent="0.3">
      <c r="A50" t="s">
        <v>66</v>
      </c>
      <c r="B50" t="s">
        <v>68</v>
      </c>
      <c r="C50">
        <v>4</v>
      </c>
      <c r="D50" t="s">
        <v>110</v>
      </c>
      <c r="E50" t="s">
        <v>97</v>
      </c>
      <c r="F50" t="s">
        <v>89</v>
      </c>
      <c r="G50">
        <v>200</v>
      </c>
      <c r="H50">
        <v>0</v>
      </c>
      <c r="I50" t="str">
        <f>OutputTable[[#This Row],[ProjectName]]&amp;OutputTable[[#This Row],[Name]]&amp;OutputTable[[#This Row],[Type]]&amp;OutputTable[[#This Row],[Source]]</f>
        <v>Unnamed Projectcomiendo.NumberSeizedTotal Number SeizedResource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cm="1">
        <f t="array" ref="K50">IFERROR(AVERAGE(IF((OutputTable[GroupByKey]=OutputTable[[#This Row],[GroupByKey]]),(OutputTable[GroupByKey]=OutputTable[[#This Row],[GroupByKey]])*OutputTable[RecordedValue])),0)</f>
        <v>203.5</v>
      </c>
      <c r="L50" cm="1">
        <f t="array" ref="L50">IFERROR(_xlfn.STDEV.S(IF((OutputTable[GroupByKey]=OutputTable[[#This Row],[GroupByKey]]),(OutputTable[GroupByKey]=OutputTable[[#This Row],[GroupByKey]])*OutputTable[RecordedValue])),0)</f>
        <v>12.96362432175337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9.2736181849755468</v>
      </c>
      <c r="O50" cm="1">
        <f t="array" ref="O50">MIN(IF((OutputTable[GroupByKey]=OutputTable[[#This Row],[GroupByKey]]),(OutputTable[GroupByKey]=OutputTable[[#This Row],[GroupByKey]])*OutputTable[RecordedValue]))</f>
        <v>182</v>
      </c>
      <c r="P50" cm="1">
        <f t="array" ref="P50">MAX(IF((OutputTable[GroupByKey]=OutputTable[[#This Row],[GroupByKey]]),(OutputTable[GroupByKey]=OutputTable[[#This Row],[GroupByKey]])*OutputTable[RecordedValue]))</f>
        <v>222</v>
      </c>
    </row>
    <row r="51" spans="1:16" x14ac:dyDescent="0.3">
      <c r="A51" t="s">
        <v>66</v>
      </c>
      <c r="B51" t="s">
        <v>68</v>
      </c>
      <c r="C51">
        <v>4</v>
      </c>
      <c r="D51" t="s">
        <v>111</v>
      </c>
      <c r="E51" t="s">
        <v>99</v>
      </c>
      <c r="F51" t="s">
        <v>89</v>
      </c>
      <c r="G51">
        <v>0.51436349886460997</v>
      </c>
      <c r="H51">
        <v>0</v>
      </c>
      <c r="I51" t="str">
        <f>OutputTable[[#This Row],[ProjectName]]&amp;OutputTable[[#This Row],[Name]]&amp;OutputTable[[#This Row],[Type]]&amp;OutputTable[[#This Row],[Source]]</f>
        <v>Unnamed Projectcomiendo.ScheduledUtilizationScheduled UtilizationResource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cm="1">
        <f t="array" ref="K51">IFERROR(AVERAGE(IF((OutputTable[GroupByKey]=OutputTable[[#This Row],[GroupByKey]]),(OutputTable[GroupByKey]=OutputTable[[#This Row],[GroupByKey]])*OutputTable[RecordedValue])),0)</f>
        <v>0.54567746104498949</v>
      </c>
      <c r="L51" cm="1">
        <f t="array" ref="L51">IFERROR(_xlfn.STDEV.S(IF((OutputTable[GroupByKey]=OutputTable[[#This Row],[GroupByKey]]),(OutputTable[GroupByKey]=OutputTable[[#This Row],[GroupByKey]])*OutputTable[RecordedValue])),0)</f>
        <v>3.6093067502765995E-2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2.5819425095769025E-2</v>
      </c>
      <c r="O51" cm="1">
        <f t="array" ref="O51">MIN(IF((OutputTable[GroupByKey]=OutputTable[[#This Row],[GroupByKey]]),(OutputTable[GroupByKey]=OutputTable[[#This Row],[GroupByKey]])*OutputTable[RecordedValue]))</f>
        <v>0.48838500773485299</v>
      </c>
      <c r="P51" cm="1">
        <f t="array" ref="P51">MAX(IF((OutputTable[GroupByKey]=OutputTable[[#This Row],[GroupByKey]]),(OutputTable[GroupByKey]=OutputTable[[#This Row],[GroupByKey]])*OutputTable[RecordedValue]))</f>
        <v>0.59303053253801696</v>
      </c>
    </row>
    <row r="52" spans="1:16" x14ac:dyDescent="0.3">
      <c r="A52" t="s">
        <v>66</v>
      </c>
      <c r="B52" t="s">
        <v>68</v>
      </c>
      <c r="C52">
        <v>4</v>
      </c>
      <c r="D52" t="s">
        <v>112</v>
      </c>
      <c r="E52" t="s">
        <v>106</v>
      </c>
      <c r="F52" t="s">
        <v>78</v>
      </c>
      <c r="G52">
        <v>74</v>
      </c>
      <c r="H52">
        <v>0</v>
      </c>
      <c r="I52" t="str">
        <f>OutputTable[[#This Row],[ProjectName]]&amp;OutputTable[[#This Row],[Name]]&amp;OutputTable[[#This Row],[Type]]&amp;OutputTable[[#This Row],[Source]]</f>
        <v>Unnamed Projectcpie.NumberInNumber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cm="1">
        <f t="array" ref="K52">IFERROR(AVERAGE(IF((OutputTable[GroupByKey]=OutputTable[[#This Row],[GroupByKey]]),(OutputTable[GroupByKey]=OutputTable[[#This Row],[GroupByKey]])*OutputTable[RecordedValue])),0)</f>
        <v>77.3</v>
      </c>
      <c r="L52" cm="1">
        <f t="array" ref="L52">IFERROR(_xlfn.STDEV.S(IF((OutputTable[GroupByKey]=OutputTable[[#This Row],[GroupByKey]]),(OutputTable[GroupByKey]=OutputTable[[#This Row],[GroupByKey]])*OutputTable[RecordedValue])),0)</f>
        <v>11.314199534704651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8.0936907726810521</v>
      </c>
      <c r="O52" cm="1">
        <f t="array" ref="O52">MIN(IF((OutputTable[GroupByKey]=OutputTable[[#This Row],[GroupByKey]]),(OutputTable[GroupByKey]=OutputTable[[#This Row],[GroupByKey]])*OutputTable[RecordedValue]))</f>
        <v>64</v>
      </c>
      <c r="P52" cm="1">
        <f t="array" ref="P52">MAX(IF((OutputTable[GroupByKey]=OutputTable[[#This Row],[GroupByKey]]),(OutputTable[GroupByKey]=OutputTable[[#This Row],[GroupByKey]])*OutputTable[RecordedValue]))</f>
        <v>105</v>
      </c>
    </row>
    <row r="53" spans="1:16" x14ac:dyDescent="0.3">
      <c r="A53" t="s">
        <v>66</v>
      </c>
      <c r="B53" t="s">
        <v>68</v>
      </c>
      <c r="C53">
        <v>4</v>
      </c>
      <c r="D53" t="s">
        <v>113</v>
      </c>
      <c r="E53" t="s">
        <v>103</v>
      </c>
      <c r="F53" t="s">
        <v>78</v>
      </c>
      <c r="G53">
        <v>59</v>
      </c>
      <c r="H53">
        <v>0</v>
      </c>
      <c r="I53" t="str">
        <f>OutputTable[[#This Row],[ProjectName]]&amp;OutputTable[[#This Row],[Name]]&amp;OutputTable[[#This Row],[Type]]&amp;OutputTable[[#This Row],[Source]]</f>
        <v>Unnamed Projectcpie.NumberOutNumber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cm="1">
        <f t="array" ref="K53">IFERROR(AVERAGE(IF((OutputTable[GroupByKey]=OutputTable[[#This Row],[GroupByKey]]),(OutputTable[GroupByKey]=OutputTable[[#This Row],[GroupByKey]])*OutputTable[RecordedValue])),0)</f>
        <v>67</v>
      </c>
      <c r="L53" cm="1">
        <f t="array" ref="L53">IFERROR(_xlfn.STDEV.S(IF((OutputTable[GroupByKey]=OutputTable[[#This Row],[GroupByKey]]),(OutputTable[GroupByKey]=OutputTable[[#This Row],[GroupByKey]])*OutputTable[RecordedValue])),0)</f>
        <v>9.5916630466254382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6.8614624001471327</v>
      </c>
      <c r="O53" cm="1">
        <f t="array" ref="O53">MIN(IF((OutputTable[GroupByKey]=OutputTable[[#This Row],[GroupByKey]]),(OutputTable[GroupByKey]=OutputTable[[#This Row],[GroupByKey]])*OutputTable[RecordedValue]))</f>
        <v>58</v>
      </c>
      <c r="P53" cm="1">
        <f t="array" ref="P53">MAX(IF((OutputTable[GroupByKey]=OutputTable[[#This Row],[GroupByKey]]),(OutputTable[GroupByKey]=OutputTable[[#This Row],[GroupByKey]])*OutputTable[RecordedValue]))</f>
        <v>92</v>
      </c>
    </row>
    <row r="54" spans="1:16" x14ac:dyDescent="0.3">
      <c r="A54" t="s">
        <v>66</v>
      </c>
      <c r="B54" t="s">
        <v>68</v>
      </c>
      <c r="C54">
        <v>5</v>
      </c>
      <c r="D54" t="s">
        <v>96</v>
      </c>
      <c r="E54" t="s">
        <v>97</v>
      </c>
      <c r="F54" t="s">
        <v>89</v>
      </c>
      <c r="G54">
        <v>209</v>
      </c>
      <c r="H54">
        <v>0</v>
      </c>
      <c r="I54" t="str">
        <f>OutputTable[[#This Row],[ProjectName]]&amp;OutputTable[[#This Row],[Name]]&amp;OutputTable[[#This Row],[Type]]&amp;OutputTable[[#This Row],[Source]]</f>
        <v>Unnamed ProjectLlegada Pedidos.NumberSeizedTotal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cm="1">
        <f t="array" ref="K54">IFERROR(AVERAGE(IF((OutputTable[GroupByKey]=OutputTable[[#This Row],[GroupByKey]]),(OutputTable[GroupByKey]=OutputTable[[#This Row],[GroupByKey]])*OutputTable[RecordedValue])),0)</f>
        <v>213.2</v>
      </c>
      <c r="L54" cm="1">
        <f t="array" ref="L54">IFERROR(_xlfn.STDEV.S(IF((OutputTable[GroupByKey]=OutputTable[[#This Row],[GroupByKey]]),(OutputTable[GroupByKey]=OutputTable[[#This Row],[GroupByKey]])*OutputTable[RecordedValue])),0)</f>
        <v>15.540627757948235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11.117095389767675</v>
      </c>
      <c r="O54" cm="1">
        <f t="array" ref="O54">MIN(IF((OutputTable[GroupByKey]=OutputTable[[#This Row],[GroupByKey]]),(OutputTable[GroupByKey]=OutputTable[[#This Row],[GroupByKey]])*OutputTable[RecordedValue]))</f>
        <v>190</v>
      </c>
      <c r="P54" cm="1">
        <f t="array" ref="P54">MAX(IF((OutputTable[GroupByKey]=OutputTable[[#This Row],[GroupByKey]]),(OutputTable[GroupByKey]=OutputTable[[#This Row],[GroupByKey]])*OutputTable[RecordedValue]))</f>
        <v>235</v>
      </c>
    </row>
    <row r="55" spans="1:16" x14ac:dyDescent="0.3">
      <c r="A55" t="s">
        <v>66</v>
      </c>
      <c r="B55" t="s">
        <v>68</v>
      </c>
      <c r="C55">
        <v>5</v>
      </c>
      <c r="D55" t="s">
        <v>98</v>
      </c>
      <c r="E55" t="s">
        <v>99</v>
      </c>
      <c r="F55" t="s">
        <v>89</v>
      </c>
      <c r="G55">
        <v>0.65049719705202402</v>
      </c>
      <c r="H55">
        <v>0</v>
      </c>
      <c r="I55" t="str">
        <f>OutputTable[[#This Row],[ProjectName]]&amp;OutputTable[[#This Row],[Name]]&amp;OutputTable[[#This Row],[Type]]&amp;OutputTable[[#This Row],[Source]]</f>
        <v>Unnamed ProjectLlegada Pedidos.ScheduledUtilizationScheduled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cm="1">
        <f t="array" ref="K55">IFERROR(AVERAGE(IF((OutputTable[GroupByKey]=OutputTable[[#This Row],[GroupByKey]]),(OutputTable[GroupByKey]=OutputTable[[#This Row],[GroupByKey]])*OutputTable[RecordedValue])),0)</f>
        <v>0.66170817272124971</v>
      </c>
      <c r="L55" cm="1">
        <f t="array" ref="L55">IFERROR(_xlfn.STDEV.S(IF((OutputTable[GroupByKey]=OutputTable[[#This Row],[GroupByKey]]),(OutputTable[GroupByKey]=OutputTable[[#This Row],[GroupByKey]])*OutputTable[RecordedValue])),0)</f>
        <v>4.5736088034979056E-2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3.2717626427904552E-2</v>
      </c>
      <c r="O55" cm="1">
        <f t="array" ref="O55">MIN(IF((OutputTable[GroupByKey]=OutputTable[[#This Row],[GroupByKey]]),(OutputTable[GroupByKey]=OutputTable[[#This Row],[GroupByKey]])*OutputTable[RecordedValue]))</f>
        <v>0.59604324380846896</v>
      </c>
      <c r="P55" cm="1">
        <f t="array" ref="P55">MAX(IF((OutputTable[GroupByKey]=OutputTable[[#This Row],[GroupByKey]]),(OutputTable[GroupByKey]=OutputTable[[#This Row],[GroupByKey]])*OutputTable[RecordedValue]))</f>
        <v>0.72905379552072003</v>
      </c>
    </row>
    <row r="56" spans="1:16" x14ac:dyDescent="0.3">
      <c r="A56" t="s">
        <v>66</v>
      </c>
      <c r="B56" t="s">
        <v>68</v>
      </c>
      <c r="C56">
        <v>5</v>
      </c>
      <c r="D56" t="s">
        <v>100</v>
      </c>
      <c r="E56" t="s">
        <v>97</v>
      </c>
      <c r="F56" t="s">
        <v>89</v>
      </c>
      <c r="G56">
        <v>209</v>
      </c>
      <c r="H56">
        <v>0</v>
      </c>
      <c r="I56" t="str">
        <f>OutputTable[[#This Row],[ProjectName]]&amp;OutputTable[[#This Row],[Name]]&amp;OutputTable[[#This Row],[Type]]&amp;OutputTable[[#This Row],[Source]]</f>
        <v>Unnamed ProjectRecoger pedidos.NumberSeizedTotal Number SeizedResource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cm="1">
        <f t="array" ref="K56">IFERROR(AVERAGE(IF((OutputTable[GroupByKey]=OutputTable[[#This Row],[GroupByKey]]),(OutputTable[GroupByKey]=OutputTable[[#This Row],[GroupByKey]])*OutputTable[RecordedValue])),0)</f>
        <v>205.3</v>
      </c>
      <c r="L56" cm="1">
        <f t="array" ref="L56">IFERROR(_xlfn.STDEV.S(IF((OutputTable[GroupByKey]=OutputTable[[#This Row],[GroupByKey]]),(OutputTable[GroupByKey]=OutputTable[[#This Row],[GroupByKey]])*OutputTable[RecordedValue])),0)</f>
        <v>12.944754407352296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9.2601194613936642</v>
      </c>
      <c r="O56" cm="1">
        <f t="array" ref="O56">MIN(IF((OutputTable[GroupByKey]=OutputTable[[#This Row],[GroupByKey]]),(OutputTable[GroupByKey]=OutputTable[[#This Row],[GroupByKey]])*OutputTable[RecordedValue]))</f>
        <v>185</v>
      </c>
      <c r="P56" cm="1">
        <f t="array" ref="P56">MAX(IF((OutputTable[GroupByKey]=OutputTable[[#This Row],[GroupByKey]]),(OutputTable[GroupByKey]=OutputTable[[#This Row],[GroupByKey]])*OutputTable[RecordedValue]))</f>
        <v>224</v>
      </c>
    </row>
    <row r="57" spans="1:16" x14ac:dyDescent="0.3">
      <c r="A57" t="s">
        <v>66</v>
      </c>
      <c r="B57" t="s">
        <v>68</v>
      </c>
      <c r="C57">
        <v>5</v>
      </c>
      <c r="D57" t="s">
        <v>101</v>
      </c>
      <c r="E57" t="s">
        <v>99</v>
      </c>
      <c r="F57" t="s">
        <v>89</v>
      </c>
      <c r="G57">
        <v>0.57408773544583303</v>
      </c>
      <c r="H57">
        <v>0</v>
      </c>
      <c r="I57" t="str">
        <f>OutputTable[[#This Row],[ProjectName]]&amp;OutputTable[[#This Row],[Name]]&amp;OutputTable[[#This Row],[Type]]&amp;OutputTable[[#This Row],[Source]]</f>
        <v>Unnamed ProjectRecoger pedidos.ScheduledUtilizationScheduled UtilizationResource</v>
      </c>
      <c r="J57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cm="1">
        <f t="array" ref="K57">IFERROR(AVERAGE(IF((OutputTable[GroupByKey]=OutputTable[[#This Row],[GroupByKey]]),(OutputTable[GroupByKey]=OutputTable[[#This Row],[GroupByKey]])*OutputTable[RecordedValue])),0)</f>
        <v>0.55143120740685148</v>
      </c>
      <c r="L57" cm="1">
        <f t="array" ref="L57">IFERROR(_xlfn.STDEV.S(IF((OutputTable[GroupByKey]=OutputTable[[#This Row],[GroupByKey]]),(OutputTable[GroupByKey]=OutputTable[[#This Row],[GroupByKey]])*OutputTable[RecordedValue])),0)</f>
        <v>3.4243845838583781E-2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2.4496571607625712E-2</v>
      </c>
      <c r="O57" cm="1">
        <f t="array" ref="O57">MIN(IF((OutputTable[GroupByKey]=OutputTable[[#This Row],[GroupByKey]]),(OutputTable[GroupByKey]=OutputTable[[#This Row],[GroupByKey]])*OutputTable[RecordedValue]))</f>
        <v>0.49793942474087499</v>
      </c>
      <c r="P57" cm="1">
        <f t="array" ref="P57">MAX(IF((OutputTable[GroupByKey]=OutputTable[[#This Row],[GroupByKey]]),(OutputTable[GroupByKey]=OutputTable[[#This Row],[GroupByKey]])*OutputTable[RecordedValue]))</f>
        <v>0.59360317623750203</v>
      </c>
    </row>
    <row r="58" spans="1:16" x14ac:dyDescent="0.3">
      <c r="A58" t="s">
        <v>66</v>
      </c>
      <c r="B58" t="s">
        <v>68</v>
      </c>
      <c r="C58">
        <v>5</v>
      </c>
      <c r="D58" t="s">
        <v>102</v>
      </c>
      <c r="E58" t="s">
        <v>103</v>
      </c>
      <c r="F58" t="s">
        <v>104</v>
      </c>
      <c r="G58">
        <v>198</v>
      </c>
      <c r="H58">
        <v>0</v>
      </c>
      <c r="I58" t="str">
        <f>OutputTable[[#This Row],[ProjectName]]&amp;OutputTable[[#This Row],[Name]]&amp;OutputTable[[#This Row],[Type]]&amp;OutputTable[[#This Row],[Source]]</f>
        <v>Unnamed ProjectSystem.NumberOutNumber OutSystem</v>
      </c>
      <c r="J58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cm="1">
        <f t="array" ref="K58">IFERROR(AVERAGE(IF((OutputTable[GroupByKey]=OutputTable[[#This Row],[GroupByKey]]),(OutputTable[GroupByKey]=OutputTable[[#This Row],[GroupByKey]])*OutputTable[RecordedValue])),0)</f>
        <v>190.4</v>
      </c>
      <c r="L58" cm="1">
        <f t="array" ref="L58">IFERROR(_xlfn.STDEV.S(IF((OutputTable[GroupByKey]=OutputTable[[#This Row],[GroupByKey]]),(OutputTable[GroupByKey]=OutputTable[[#This Row],[GroupByKey]])*OutputTable[RecordedValue])),0)</f>
        <v>12.029593139882625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8.6054525286323678</v>
      </c>
      <c r="O58" cm="1">
        <f t="array" ref="O58">MIN(IF((OutputTable[GroupByKey]=OutputTable[[#This Row],[GroupByKey]]),(OutputTable[GroupByKey]=OutputTable[[#This Row],[GroupByKey]])*OutputTable[RecordedValue]))</f>
        <v>167</v>
      </c>
      <c r="P58" cm="1">
        <f t="array" ref="P58">MAX(IF((OutputTable[GroupByKey]=OutputTable[[#This Row],[GroupByKey]]),(OutputTable[GroupByKey]=OutputTable[[#This Row],[GroupByKey]])*OutputTable[RecordedValue]))</f>
        <v>204</v>
      </c>
    </row>
    <row r="59" spans="1:16" x14ac:dyDescent="0.3">
      <c r="A59" t="s">
        <v>66</v>
      </c>
      <c r="B59" t="s">
        <v>68</v>
      </c>
      <c r="C59">
        <v>5</v>
      </c>
      <c r="D59" t="s">
        <v>105</v>
      </c>
      <c r="E59" t="s">
        <v>106</v>
      </c>
      <c r="F59" t="s">
        <v>78</v>
      </c>
      <c r="G59">
        <v>33</v>
      </c>
      <c r="H59">
        <v>0</v>
      </c>
      <c r="I59" t="str">
        <f>OutputTable[[#This Row],[ProjectName]]&amp;OutputTable[[#This Row],[Name]]&amp;OutputTable[[#This Row],[Type]]&amp;OutputTable[[#This Row],[Source]]</f>
        <v>Unnamed Projectcbus.NumberInNumber InEntity</v>
      </c>
      <c r="J59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cm="1">
        <f t="array" ref="K59">IFERROR(AVERAGE(IF((OutputTable[GroupByKey]=OutputTable[[#This Row],[GroupByKey]]),(OutputTable[GroupByKey]=OutputTable[[#This Row],[GroupByKey]])*OutputTable[RecordedValue])),0)</f>
        <v>31.2</v>
      </c>
      <c r="L59" cm="1">
        <f t="array" ref="L59">IFERROR(_xlfn.STDEV.S(IF((OutputTable[GroupByKey]=OutputTable[[#This Row],[GroupByKey]]),(OutputTable[GroupByKey]=OutputTable[[#This Row],[GroupByKey]])*OutputTable[RecordedValue])),0)</f>
        <v>3.7653389990514556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59" cm="1">
        <f t="array" ref="O59">MIN(IF((OutputTable[GroupByKey]=OutputTable[[#This Row],[GroupByKey]]),(OutputTable[GroupByKey]=OutputTable[[#This Row],[GroupByKey]])*OutputTable[RecordedValue]))</f>
        <v>26</v>
      </c>
      <c r="P59" cm="1">
        <f t="array" ref="P59">MAX(IF((OutputTable[GroupByKey]=OutputTable[[#This Row],[GroupByKey]]),(OutputTable[GroupByKey]=OutputTable[[#This Row],[GroupByKey]])*OutputTable[RecordedValue]))</f>
        <v>39</v>
      </c>
    </row>
    <row r="60" spans="1:16" x14ac:dyDescent="0.3">
      <c r="A60" t="s">
        <v>66</v>
      </c>
      <c r="B60" t="s">
        <v>68</v>
      </c>
      <c r="C60">
        <v>5</v>
      </c>
      <c r="D60" t="s">
        <v>107</v>
      </c>
      <c r="E60" t="s">
        <v>103</v>
      </c>
      <c r="F60" t="s">
        <v>78</v>
      </c>
      <c r="G60">
        <v>33</v>
      </c>
      <c r="H60">
        <v>0</v>
      </c>
      <c r="I60" t="str">
        <f>OutputTable[[#This Row],[ProjectName]]&amp;OutputTable[[#This Row],[Name]]&amp;OutputTable[[#This Row],[Type]]&amp;OutputTable[[#This Row],[Source]]</f>
        <v>Unnamed Projectcbus.NumberOutNumber OutEntity</v>
      </c>
      <c r="J60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cm="1">
        <f t="array" ref="K60">IFERROR(AVERAGE(IF((OutputTable[GroupByKey]=OutputTable[[#This Row],[GroupByKey]]),(OutputTable[GroupByKey]=OutputTable[[#This Row],[GroupByKey]])*OutputTable[RecordedValue])),0)</f>
        <v>31.2</v>
      </c>
      <c r="L60" cm="1">
        <f t="array" ref="L60">IFERROR(_xlfn.STDEV.S(IF((OutputTable[GroupByKey]=OutputTable[[#This Row],[GroupByKey]]),(OutputTable[GroupByKey]=OutputTable[[#This Row],[GroupByKey]])*OutputTable[RecordedValue])),0)</f>
        <v>3.7653389990514556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60" cm="1">
        <f t="array" ref="O60">MIN(IF((OutputTable[GroupByKey]=OutputTable[[#This Row],[GroupByKey]]),(OutputTable[GroupByKey]=OutputTable[[#This Row],[GroupByKey]])*OutputTable[RecordedValue]))</f>
        <v>26</v>
      </c>
      <c r="P60" cm="1">
        <f t="array" ref="P60">MAX(IF((OutputTable[GroupByKey]=OutputTable[[#This Row],[GroupByKey]]),(OutputTable[GroupByKey]=OutputTable[[#This Row],[GroupByKey]])*OutputTable[RecordedValue]))</f>
        <v>39</v>
      </c>
    </row>
    <row r="61" spans="1:16" x14ac:dyDescent="0.3">
      <c r="A61" t="s">
        <v>66</v>
      </c>
      <c r="B61" t="s">
        <v>68</v>
      </c>
      <c r="C61">
        <v>5</v>
      </c>
      <c r="D61" t="s">
        <v>108</v>
      </c>
      <c r="E61" t="s">
        <v>106</v>
      </c>
      <c r="F61" t="s">
        <v>78</v>
      </c>
      <c r="G61">
        <v>102</v>
      </c>
      <c r="H61">
        <v>0</v>
      </c>
      <c r="I61" t="str">
        <f>OutputTable[[#This Row],[ProjectName]]&amp;OutputTable[[#This Row],[Name]]&amp;OutputTable[[#This Row],[Type]]&amp;OutputTable[[#This Row],[Source]]</f>
        <v>Unnamed Projectccoche.NumberInNumber InEntity</v>
      </c>
      <c r="J61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cm="1">
        <f t="array" ref="K61">IFERROR(AVERAGE(IF((OutputTable[GroupByKey]=OutputTable[[#This Row],[GroupByKey]]),(OutputTable[GroupByKey]=OutputTable[[#This Row],[GroupByKey]])*OutputTable[RecordedValue])),0)</f>
        <v>105.9</v>
      </c>
      <c r="L61" cm="1">
        <f t="array" ref="L61">IFERROR(_xlfn.STDEV.S(IF((OutputTable[GroupByKey]=OutputTable[[#This Row],[GroupByKey]]),(OutputTable[GroupByKey]=OutputTable[[#This Row],[GroupByKey]])*OutputTable[RecordedValue])),0)</f>
        <v>13.714955340794928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9.8110880181169016</v>
      </c>
      <c r="O61" cm="1">
        <f t="array" ref="O61">MIN(IF((OutputTable[GroupByKey]=OutputTable[[#This Row],[GroupByKey]]),(OutputTable[GroupByKey]=OutputTable[[#This Row],[GroupByKey]])*OutputTable[RecordedValue]))</f>
        <v>89</v>
      </c>
      <c r="P61" cm="1">
        <f t="array" ref="P61">MAX(IF((OutputTable[GroupByKey]=OutputTable[[#This Row],[GroupByKey]]),(OutputTable[GroupByKey]=OutputTable[[#This Row],[GroupByKey]])*OutputTable[RecordedValue]))</f>
        <v>125</v>
      </c>
    </row>
    <row r="62" spans="1:16" x14ac:dyDescent="0.3">
      <c r="A62" t="s">
        <v>66</v>
      </c>
      <c r="B62" t="s">
        <v>68</v>
      </c>
      <c r="C62">
        <v>5</v>
      </c>
      <c r="D62" t="s">
        <v>109</v>
      </c>
      <c r="E62" t="s">
        <v>103</v>
      </c>
      <c r="F62" t="s">
        <v>78</v>
      </c>
      <c r="G62">
        <v>98</v>
      </c>
      <c r="H62">
        <v>0</v>
      </c>
      <c r="I62" t="str">
        <f>OutputTable[[#This Row],[ProjectName]]&amp;OutputTable[[#This Row],[Name]]&amp;OutputTable[[#This Row],[Type]]&amp;OutputTable[[#This Row],[Source]]</f>
        <v>Unnamed Projectccoche.NumberOutNumber OutEntity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cm="1">
        <f t="array" ref="K62">IFERROR(AVERAGE(IF((OutputTable[GroupByKey]=OutputTable[[#This Row],[GroupByKey]]),(OutputTable[GroupByKey]=OutputTable[[#This Row],[GroupByKey]])*OutputTable[RecordedValue])),0)</f>
        <v>92.2</v>
      </c>
      <c r="L62" cm="1">
        <f t="array" ref="L62">IFERROR(_xlfn.STDEV.S(IF((OutputTable[GroupByKey]=OutputTable[[#This Row],[GroupByKey]]),(OutputTable[GroupByKey]=OutputTable[[#This Row],[GroupByKey]])*OutputTable[RecordedValue])),0)</f>
        <v>11.003029885748166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7.8710934153715639</v>
      </c>
      <c r="O62" cm="1">
        <f t="array" ref="O62">MIN(IF((OutputTable[GroupByKey]=OutputTable[[#This Row],[GroupByKey]]),(OutputTable[GroupByKey]=OutputTable[[#This Row],[GroupByKey]])*OutputTable[RecordedValue]))</f>
        <v>77</v>
      </c>
      <c r="P62" cm="1">
        <f t="array" ref="P62">MAX(IF((OutputTable[GroupByKey]=OutputTable[[#This Row],[GroupByKey]]),(OutputTable[GroupByKey]=OutputTable[[#This Row],[GroupByKey]])*OutputTable[RecordedValue]))</f>
        <v>111</v>
      </c>
    </row>
    <row r="63" spans="1:16" x14ac:dyDescent="0.3">
      <c r="A63" t="s">
        <v>66</v>
      </c>
      <c r="B63" t="s">
        <v>68</v>
      </c>
      <c r="C63">
        <v>5</v>
      </c>
      <c r="D63" t="s">
        <v>110</v>
      </c>
      <c r="E63" t="s">
        <v>97</v>
      </c>
      <c r="F63" t="s">
        <v>89</v>
      </c>
      <c r="G63">
        <v>208</v>
      </c>
      <c r="H63">
        <v>0</v>
      </c>
      <c r="I63" t="str">
        <f>OutputTable[[#This Row],[ProjectName]]&amp;OutputTable[[#This Row],[Name]]&amp;OutputTable[[#This Row],[Type]]&amp;OutputTable[[#This Row],[Source]]</f>
        <v>Unnamed Projectcomiendo.NumberSeizedTotal Number SeizedResource</v>
      </c>
      <c r="J63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cm="1">
        <f t="array" ref="K63">IFERROR(AVERAGE(IF((OutputTable[GroupByKey]=OutputTable[[#This Row],[GroupByKey]]),(OutputTable[GroupByKey]=OutputTable[[#This Row],[GroupByKey]])*OutputTable[RecordedValue])),0)</f>
        <v>203.5</v>
      </c>
      <c r="L63" cm="1">
        <f t="array" ref="L63">IFERROR(_xlfn.STDEV.S(IF((OutputTable[GroupByKey]=OutputTable[[#This Row],[GroupByKey]]),(OutputTable[GroupByKey]=OutputTable[[#This Row],[GroupByKey]])*OutputTable[RecordedValue])),0)</f>
        <v>12.96362432175337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9.2736181849755468</v>
      </c>
      <c r="O63" cm="1">
        <f t="array" ref="O63">MIN(IF((OutputTable[GroupByKey]=OutputTable[[#This Row],[GroupByKey]]),(OutputTable[GroupByKey]=OutputTable[[#This Row],[GroupByKey]])*OutputTable[RecordedValue]))</f>
        <v>182</v>
      </c>
      <c r="P63" cm="1">
        <f t="array" ref="P63">MAX(IF((OutputTable[GroupByKey]=OutputTable[[#This Row],[GroupByKey]]),(OutputTable[GroupByKey]=OutputTable[[#This Row],[GroupByKey]])*OutputTable[RecordedValue]))</f>
        <v>222</v>
      </c>
    </row>
    <row r="64" spans="1:16" x14ac:dyDescent="0.3">
      <c r="A64" t="s">
        <v>66</v>
      </c>
      <c r="B64" t="s">
        <v>68</v>
      </c>
      <c r="C64">
        <v>5</v>
      </c>
      <c r="D64" t="s">
        <v>111</v>
      </c>
      <c r="E64" t="s">
        <v>99</v>
      </c>
      <c r="F64" t="s">
        <v>89</v>
      </c>
      <c r="G64">
        <v>0.56090598326492103</v>
      </c>
      <c r="H64">
        <v>0</v>
      </c>
      <c r="I64" t="str">
        <f>OutputTable[[#This Row],[ProjectName]]&amp;OutputTable[[#This Row],[Name]]&amp;OutputTable[[#This Row],[Type]]&amp;OutputTable[[#This Row],[Source]]</f>
        <v>Unnamed Projectcomiendo.ScheduledUtilizationScheduled UtilizationResource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cm="1">
        <f t="array" ref="K64">IFERROR(AVERAGE(IF((OutputTable[GroupByKey]=OutputTable[[#This Row],[GroupByKey]]),(OutputTable[GroupByKey]=OutputTable[[#This Row],[GroupByKey]])*OutputTable[RecordedValue])),0)</f>
        <v>0.54567746104498949</v>
      </c>
      <c r="L64" cm="1">
        <f t="array" ref="L64">IFERROR(_xlfn.STDEV.S(IF((OutputTable[GroupByKey]=OutputTable[[#This Row],[GroupByKey]]),(OutputTable[GroupByKey]=OutputTable[[#This Row],[GroupByKey]])*OutputTable[RecordedValue])),0)</f>
        <v>3.6093067502765995E-2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2.5819425095769025E-2</v>
      </c>
      <c r="O64" cm="1">
        <f t="array" ref="O64">MIN(IF((OutputTable[GroupByKey]=OutputTable[[#This Row],[GroupByKey]]),(OutputTable[GroupByKey]=OutputTable[[#This Row],[GroupByKey]])*OutputTable[RecordedValue]))</f>
        <v>0.48838500773485299</v>
      </c>
      <c r="P64" cm="1">
        <f t="array" ref="P64">MAX(IF((OutputTable[GroupByKey]=OutputTable[[#This Row],[GroupByKey]]),(OutputTable[GroupByKey]=OutputTable[[#This Row],[GroupByKey]])*OutputTable[RecordedValue]))</f>
        <v>0.59303053253801696</v>
      </c>
    </row>
    <row r="65" spans="1:16" x14ac:dyDescent="0.3">
      <c r="A65" t="s">
        <v>66</v>
      </c>
      <c r="B65" t="s">
        <v>68</v>
      </c>
      <c r="C65">
        <v>5</v>
      </c>
      <c r="D65" t="s">
        <v>112</v>
      </c>
      <c r="E65" t="s">
        <v>106</v>
      </c>
      <c r="F65" t="s">
        <v>78</v>
      </c>
      <c r="G65">
        <v>74</v>
      </c>
      <c r="H65">
        <v>0</v>
      </c>
      <c r="I65" t="str">
        <f>OutputTable[[#This Row],[ProjectName]]&amp;OutputTable[[#This Row],[Name]]&amp;OutputTable[[#This Row],[Type]]&amp;OutputTable[[#This Row],[Source]]</f>
        <v>Unnamed Projectcpie.NumberInNumber InEntity</v>
      </c>
      <c r="J6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cm="1">
        <f t="array" ref="K65">IFERROR(AVERAGE(IF((OutputTable[GroupByKey]=OutputTable[[#This Row],[GroupByKey]]),(OutputTable[GroupByKey]=OutputTable[[#This Row],[GroupByKey]])*OutputTable[RecordedValue])),0)</f>
        <v>77.3</v>
      </c>
      <c r="L65" cm="1">
        <f t="array" ref="L65">IFERROR(_xlfn.STDEV.S(IF((OutputTable[GroupByKey]=OutputTable[[#This Row],[GroupByKey]]),(OutputTable[GroupByKey]=OutputTable[[#This Row],[GroupByKey]])*OutputTable[RecordedValue])),0)</f>
        <v>11.314199534704651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8.0936907726810521</v>
      </c>
      <c r="O65" cm="1">
        <f t="array" ref="O65">MIN(IF((OutputTable[GroupByKey]=OutputTable[[#This Row],[GroupByKey]]),(OutputTable[GroupByKey]=OutputTable[[#This Row],[GroupByKey]])*OutputTable[RecordedValue]))</f>
        <v>64</v>
      </c>
      <c r="P65" cm="1">
        <f t="array" ref="P65">MAX(IF((OutputTable[GroupByKey]=OutputTable[[#This Row],[GroupByKey]]),(OutputTable[GroupByKey]=OutputTable[[#This Row],[GroupByKey]])*OutputTable[RecordedValue]))</f>
        <v>105</v>
      </c>
    </row>
    <row r="66" spans="1:16" x14ac:dyDescent="0.3">
      <c r="A66" t="s">
        <v>66</v>
      </c>
      <c r="B66" t="s">
        <v>68</v>
      </c>
      <c r="C66">
        <v>5</v>
      </c>
      <c r="D66" t="s">
        <v>113</v>
      </c>
      <c r="E66" t="s">
        <v>103</v>
      </c>
      <c r="F66" t="s">
        <v>78</v>
      </c>
      <c r="G66">
        <v>67</v>
      </c>
      <c r="H66">
        <v>0</v>
      </c>
      <c r="I66" t="str">
        <f>OutputTable[[#This Row],[ProjectName]]&amp;OutputTable[[#This Row],[Name]]&amp;OutputTable[[#This Row],[Type]]&amp;OutputTable[[#This Row],[Source]]</f>
        <v>Unnamed Projectcpie.NumberOutNumber OutEntity</v>
      </c>
      <c r="J66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cm="1">
        <f t="array" ref="K66">IFERROR(AVERAGE(IF((OutputTable[GroupByKey]=OutputTable[[#This Row],[GroupByKey]]),(OutputTable[GroupByKey]=OutputTable[[#This Row],[GroupByKey]])*OutputTable[RecordedValue])),0)</f>
        <v>67</v>
      </c>
      <c r="L66" cm="1">
        <f t="array" ref="L66">IFERROR(_xlfn.STDEV.S(IF((OutputTable[GroupByKey]=OutputTable[[#This Row],[GroupByKey]]),(OutputTable[GroupByKey]=OutputTable[[#This Row],[GroupByKey]])*OutputTable[RecordedValue])),0)</f>
        <v>9.5916630466254382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6.8614624001471327</v>
      </c>
      <c r="O66" cm="1">
        <f t="array" ref="O66">MIN(IF((OutputTable[GroupByKey]=OutputTable[[#This Row],[GroupByKey]]),(OutputTable[GroupByKey]=OutputTable[[#This Row],[GroupByKey]])*OutputTable[RecordedValue]))</f>
        <v>58</v>
      </c>
      <c r="P66" cm="1">
        <f t="array" ref="P66">MAX(IF((OutputTable[GroupByKey]=OutputTable[[#This Row],[GroupByKey]]),(OutputTable[GroupByKey]=OutputTable[[#This Row],[GroupByKey]])*OutputTable[RecordedValue]))</f>
        <v>92</v>
      </c>
    </row>
    <row r="67" spans="1:16" x14ac:dyDescent="0.3">
      <c r="A67" t="s">
        <v>66</v>
      </c>
      <c r="B67" t="s">
        <v>68</v>
      </c>
      <c r="C67">
        <v>6</v>
      </c>
      <c r="D67" t="s">
        <v>96</v>
      </c>
      <c r="E67" t="s">
        <v>97</v>
      </c>
      <c r="F67" t="s">
        <v>89</v>
      </c>
      <c r="G67">
        <v>235</v>
      </c>
      <c r="H67">
        <v>0</v>
      </c>
      <c r="I67" t="str">
        <f>OutputTable[[#This Row],[ProjectName]]&amp;OutputTable[[#This Row],[Name]]&amp;OutputTable[[#This Row],[Type]]&amp;OutputTable[[#This Row],[Source]]</f>
        <v>Unnamed ProjectLlegada Pedidos.NumberSeizedTotal Number SeizedResource</v>
      </c>
      <c r="J67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cm="1">
        <f t="array" ref="K67">IFERROR(AVERAGE(IF((OutputTable[GroupByKey]=OutputTable[[#This Row],[GroupByKey]]),(OutputTable[GroupByKey]=OutputTable[[#This Row],[GroupByKey]])*OutputTable[RecordedValue])),0)</f>
        <v>213.2</v>
      </c>
      <c r="L67" cm="1">
        <f t="array" ref="L67">IFERROR(_xlfn.STDEV.S(IF((OutputTable[GroupByKey]=OutputTable[[#This Row],[GroupByKey]]),(OutputTable[GroupByKey]=OutputTable[[#This Row],[GroupByKey]])*OutputTable[RecordedValue])),0)</f>
        <v>15.540627757948235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11.117095389767675</v>
      </c>
      <c r="O67" cm="1">
        <f t="array" ref="O67">MIN(IF((OutputTable[GroupByKey]=OutputTable[[#This Row],[GroupByKey]]),(OutputTable[GroupByKey]=OutputTable[[#This Row],[GroupByKey]])*OutputTable[RecordedValue]))</f>
        <v>190</v>
      </c>
      <c r="P67" cm="1">
        <f t="array" ref="P67">MAX(IF((OutputTable[GroupByKey]=OutputTable[[#This Row],[GroupByKey]]),(OutputTable[GroupByKey]=OutputTable[[#This Row],[GroupByKey]])*OutputTable[RecordedValue]))</f>
        <v>235</v>
      </c>
    </row>
    <row r="68" spans="1:16" x14ac:dyDescent="0.3">
      <c r="A68" t="s">
        <v>66</v>
      </c>
      <c r="B68" t="s">
        <v>68</v>
      </c>
      <c r="C68">
        <v>6</v>
      </c>
      <c r="D68" t="s">
        <v>98</v>
      </c>
      <c r="E68" t="s">
        <v>99</v>
      </c>
      <c r="F68" t="s">
        <v>89</v>
      </c>
      <c r="G68">
        <v>0.72905379552072003</v>
      </c>
      <c r="H68">
        <v>0</v>
      </c>
      <c r="I68" t="str">
        <f>OutputTable[[#This Row],[ProjectName]]&amp;OutputTable[[#This Row],[Name]]&amp;OutputTable[[#This Row],[Type]]&amp;OutputTable[[#This Row],[Source]]</f>
        <v>Unnamed ProjectLlegada Pedidos.ScheduledUtilizationScheduled UtilizationResource</v>
      </c>
      <c r="J68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cm="1">
        <f t="array" ref="K68">IFERROR(AVERAGE(IF((OutputTable[GroupByKey]=OutputTable[[#This Row],[GroupByKey]]),(OutputTable[GroupByKey]=OutputTable[[#This Row],[GroupByKey]])*OutputTable[RecordedValue])),0)</f>
        <v>0.66170817272124971</v>
      </c>
      <c r="L68" cm="1">
        <f t="array" ref="L68">IFERROR(_xlfn.STDEV.S(IF((OutputTable[GroupByKey]=OutputTable[[#This Row],[GroupByKey]]),(OutputTable[GroupByKey]=OutputTable[[#This Row],[GroupByKey]])*OutputTable[RecordedValue])),0)</f>
        <v>4.5736088034979056E-2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3.2717626427904552E-2</v>
      </c>
      <c r="O68" cm="1">
        <f t="array" ref="O68">MIN(IF((OutputTable[GroupByKey]=OutputTable[[#This Row],[GroupByKey]]),(OutputTable[GroupByKey]=OutputTable[[#This Row],[GroupByKey]])*OutputTable[RecordedValue]))</f>
        <v>0.59604324380846896</v>
      </c>
      <c r="P68" cm="1">
        <f t="array" ref="P68">MAX(IF((OutputTable[GroupByKey]=OutputTable[[#This Row],[GroupByKey]]),(OutputTable[GroupByKey]=OutputTable[[#This Row],[GroupByKey]])*OutputTable[RecordedValue]))</f>
        <v>0.72905379552072003</v>
      </c>
    </row>
    <row r="69" spans="1:16" x14ac:dyDescent="0.3">
      <c r="A69" t="s">
        <v>66</v>
      </c>
      <c r="B69" t="s">
        <v>68</v>
      </c>
      <c r="C69">
        <v>6</v>
      </c>
      <c r="D69" t="s">
        <v>100</v>
      </c>
      <c r="E69" t="s">
        <v>97</v>
      </c>
      <c r="F69" t="s">
        <v>89</v>
      </c>
      <c r="G69">
        <v>220</v>
      </c>
      <c r="H69">
        <v>0</v>
      </c>
      <c r="I69" t="str">
        <f>OutputTable[[#This Row],[ProjectName]]&amp;OutputTable[[#This Row],[Name]]&amp;OutputTable[[#This Row],[Type]]&amp;OutputTable[[#This Row],[Source]]</f>
        <v>Unnamed ProjectRecoger pedidos.NumberSeizedTotal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cm="1">
        <f t="array" ref="K69">IFERROR(AVERAGE(IF((OutputTable[GroupByKey]=OutputTable[[#This Row],[GroupByKey]]),(OutputTable[GroupByKey]=OutputTable[[#This Row],[GroupByKey]])*OutputTable[RecordedValue])),0)</f>
        <v>205.3</v>
      </c>
      <c r="L69" cm="1">
        <f t="array" ref="L69">IFERROR(_xlfn.STDEV.S(IF((OutputTable[GroupByKey]=OutputTable[[#This Row],[GroupByKey]]),(OutputTable[GroupByKey]=OutputTable[[#This Row],[GroupByKey]])*OutputTable[RecordedValue])),0)</f>
        <v>12.944754407352296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9.2601194613936642</v>
      </c>
      <c r="O69" cm="1">
        <f t="array" ref="O69">MIN(IF((OutputTable[GroupByKey]=OutputTable[[#This Row],[GroupByKey]]),(OutputTable[GroupByKey]=OutputTable[[#This Row],[GroupByKey]])*OutputTable[RecordedValue]))</f>
        <v>185</v>
      </c>
      <c r="P69" cm="1">
        <f t="array" ref="P69">MAX(IF((OutputTable[GroupByKey]=OutputTable[[#This Row],[GroupByKey]]),(OutputTable[GroupByKey]=OutputTable[[#This Row],[GroupByKey]])*OutputTable[RecordedValue]))</f>
        <v>224</v>
      </c>
    </row>
    <row r="70" spans="1:16" x14ac:dyDescent="0.3">
      <c r="A70" t="s">
        <v>66</v>
      </c>
      <c r="B70" t="s">
        <v>68</v>
      </c>
      <c r="C70">
        <v>6</v>
      </c>
      <c r="D70" t="s">
        <v>101</v>
      </c>
      <c r="E70" t="s">
        <v>99</v>
      </c>
      <c r="F70" t="s">
        <v>89</v>
      </c>
      <c r="G70">
        <v>0.57417677103721498</v>
      </c>
      <c r="H70">
        <v>0</v>
      </c>
      <c r="I70" t="str">
        <f>OutputTable[[#This Row],[ProjectName]]&amp;OutputTable[[#This Row],[Name]]&amp;OutputTable[[#This Row],[Type]]&amp;OutputTable[[#This Row],[Source]]</f>
        <v>Unnamed ProjectRecoger pedidos.ScheduledUtilizationScheduled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cm="1">
        <f t="array" ref="K70">IFERROR(AVERAGE(IF((OutputTable[GroupByKey]=OutputTable[[#This Row],[GroupByKey]]),(OutputTable[GroupByKey]=OutputTable[[#This Row],[GroupByKey]])*OutputTable[RecordedValue])),0)</f>
        <v>0.55143120740685148</v>
      </c>
      <c r="L70" cm="1">
        <f t="array" ref="L70">IFERROR(_xlfn.STDEV.S(IF((OutputTable[GroupByKey]=OutputTable[[#This Row],[GroupByKey]]),(OutputTable[GroupByKey]=OutputTable[[#This Row],[GroupByKey]])*OutputTable[RecordedValue])),0)</f>
        <v>3.4243845838583781E-2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2.4496571607625712E-2</v>
      </c>
      <c r="O70" cm="1">
        <f t="array" ref="O70">MIN(IF((OutputTable[GroupByKey]=OutputTable[[#This Row],[GroupByKey]]),(OutputTable[GroupByKey]=OutputTable[[#This Row],[GroupByKey]])*OutputTable[RecordedValue]))</f>
        <v>0.49793942474087499</v>
      </c>
      <c r="P70" cm="1">
        <f t="array" ref="P70">MAX(IF((OutputTable[GroupByKey]=OutputTable[[#This Row],[GroupByKey]]),(OutputTable[GroupByKey]=OutputTable[[#This Row],[GroupByKey]])*OutputTable[RecordedValue]))</f>
        <v>0.59360317623750203</v>
      </c>
    </row>
    <row r="71" spans="1:16" x14ac:dyDescent="0.3">
      <c r="A71" t="s">
        <v>66</v>
      </c>
      <c r="B71" t="s">
        <v>68</v>
      </c>
      <c r="C71">
        <v>6</v>
      </c>
      <c r="D71" t="s">
        <v>102</v>
      </c>
      <c r="E71" t="s">
        <v>103</v>
      </c>
      <c r="F71" t="s">
        <v>104</v>
      </c>
      <c r="G71">
        <v>199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cm="1">
        <f t="array" ref="K71">IFERROR(AVERAGE(IF((OutputTable[GroupByKey]=OutputTable[[#This Row],[GroupByKey]]),(OutputTable[GroupByKey]=OutputTable[[#This Row],[GroupByKey]])*OutputTable[RecordedValue])),0)</f>
        <v>190.4</v>
      </c>
      <c r="L71" cm="1">
        <f t="array" ref="L71">IFERROR(_xlfn.STDEV.S(IF((OutputTable[GroupByKey]=OutputTable[[#This Row],[GroupByKey]]),(OutputTable[GroupByKey]=OutputTable[[#This Row],[GroupByKey]])*OutputTable[RecordedValue])),0)</f>
        <v>12.029593139882625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8.6054525286323678</v>
      </c>
      <c r="O71" cm="1">
        <f t="array" ref="O71">MIN(IF((OutputTable[GroupByKey]=OutputTable[[#This Row],[GroupByKey]]),(OutputTable[GroupByKey]=OutputTable[[#This Row],[GroupByKey]])*OutputTable[RecordedValue]))</f>
        <v>167</v>
      </c>
      <c r="P71" cm="1">
        <f t="array" ref="P71">MAX(IF((OutputTable[GroupByKey]=OutputTable[[#This Row],[GroupByKey]]),(OutputTable[GroupByKey]=OutputTable[[#This Row],[GroupByKey]])*OutputTable[RecordedValue]))</f>
        <v>204</v>
      </c>
    </row>
    <row r="72" spans="1:16" x14ac:dyDescent="0.3">
      <c r="A72" t="s">
        <v>66</v>
      </c>
      <c r="B72" t="s">
        <v>68</v>
      </c>
      <c r="C72">
        <v>6</v>
      </c>
      <c r="D72" t="s">
        <v>105</v>
      </c>
      <c r="E72" t="s">
        <v>106</v>
      </c>
      <c r="F72" t="s">
        <v>78</v>
      </c>
      <c r="G72">
        <v>32</v>
      </c>
      <c r="H72">
        <v>0</v>
      </c>
      <c r="I72" t="str">
        <f>OutputTable[[#This Row],[ProjectName]]&amp;OutputTable[[#This Row],[Name]]&amp;OutputTable[[#This Row],[Type]]&amp;OutputTable[[#This Row],[Source]]</f>
        <v>Unnamed Projectcbus.NumberInNumber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cm="1">
        <f t="array" ref="K72">IFERROR(AVERAGE(IF((OutputTable[GroupByKey]=OutputTable[[#This Row],[GroupByKey]]),(OutputTable[GroupByKey]=OutputTable[[#This Row],[GroupByKey]])*OutputTable[RecordedValue])),0)</f>
        <v>31.2</v>
      </c>
      <c r="L72" cm="1">
        <f t="array" ref="L72">IFERROR(_xlfn.STDEV.S(IF((OutputTable[GroupByKey]=OutputTable[[#This Row],[GroupByKey]]),(OutputTable[GroupByKey]=OutputTable[[#This Row],[GroupByKey]])*OutputTable[RecordedValue])),0)</f>
        <v>3.7653389990514556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72" cm="1">
        <f t="array" ref="O72">MIN(IF((OutputTable[GroupByKey]=OutputTable[[#This Row],[GroupByKey]]),(OutputTable[GroupByKey]=OutputTable[[#This Row],[GroupByKey]])*OutputTable[RecordedValue]))</f>
        <v>26</v>
      </c>
      <c r="P72" cm="1">
        <f t="array" ref="P72">MAX(IF((OutputTable[GroupByKey]=OutputTable[[#This Row],[GroupByKey]]),(OutputTable[GroupByKey]=OutputTable[[#This Row],[GroupByKey]])*OutputTable[RecordedValue]))</f>
        <v>39</v>
      </c>
    </row>
    <row r="73" spans="1:16" x14ac:dyDescent="0.3">
      <c r="A73" t="s">
        <v>66</v>
      </c>
      <c r="B73" t="s">
        <v>68</v>
      </c>
      <c r="C73">
        <v>6</v>
      </c>
      <c r="D73" t="s">
        <v>107</v>
      </c>
      <c r="E73" t="s">
        <v>103</v>
      </c>
      <c r="F73" t="s">
        <v>78</v>
      </c>
      <c r="G73">
        <v>32</v>
      </c>
      <c r="H73">
        <v>0</v>
      </c>
      <c r="I73" t="str">
        <f>OutputTable[[#This Row],[ProjectName]]&amp;OutputTable[[#This Row],[Name]]&amp;OutputTable[[#This Row],[Type]]&amp;OutputTable[[#This Row],[Source]]</f>
        <v>Unnamed Projectcbus.NumberOutNumber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cm="1">
        <f t="array" ref="K73">IFERROR(AVERAGE(IF((OutputTable[GroupByKey]=OutputTable[[#This Row],[GroupByKey]]),(OutputTable[GroupByKey]=OutputTable[[#This Row],[GroupByKey]])*OutputTable[RecordedValue])),0)</f>
        <v>31.2</v>
      </c>
      <c r="L73" cm="1">
        <f t="array" ref="L73">IFERROR(_xlfn.STDEV.S(IF((OutputTable[GroupByKey]=OutputTable[[#This Row],[GroupByKey]]),(OutputTable[GroupByKey]=OutputTable[[#This Row],[GroupByKey]])*OutputTable[RecordedValue])),0)</f>
        <v>3.7653389990514556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73" cm="1">
        <f t="array" ref="O73">MIN(IF((OutputTable[GroupByKey]=OutputTable[[#This Row],[GroupByKey]]),(OutputTable[GroupByKey]=OutputTable[[#This Row],[GroupByKey]])*OutputTable[RecordedValue]))</f>
        <v>26</v>
      </c>
      <c r="P73" cm="1">
        <f t="array" ref="P73">MAX(IF((OutputTable[GroupByKey]=OutputTable[[#This Row],[GroupByKey]]),(OutputTable[GroupByKey]=OutputTable[[#This Row],[GroupByKey]])*OutputTable[RecordedValue]))</f>
        <v>39</v>
      </c>
    </row>
    <row r="74" spans="1:16" x14ac:dyDescent="0.3">
      <c r="A74" t="s">
        <v>66</v>
      </c>
      <c r="B74" t="s">
        <v>68</v>
      </c>
      <c r="C74">
        <v>6</v>
      </c>
      <c r="D74" t="s">
        <v>108</v>
      </c>
      <c r="E74" t="s">
        <v>106</v>
      </c>
      <c r="F74" t="s">
        <v>78</v>
      </c>
      <c r="G74">
        <v>118</v>
      </c>
      <c r="H74">
        <v>0</v>
      </c>
      <c r="I74" t="str">
        <f>OutputTable[[#This Row],[ProjectName]]&amp;OutputTable[[#This Row],[Name]]&amp;OutputTable[[#This Row],[Type]]&amp;OutputTable[[#This Row],[Source]]</f>
        <v>Unnamed Projectccoche.NumberInNumber InEntity</v>
      </c>
      <c r="J74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cm="1">
        <f t="array" ref="K74">IFERROR(AVERAGE(IF((OutputTable[GroupByKey]=OutputTable[[#This Row],[GroupByKey]]),(OutputTable[GroupByKey]=OutputTable[[#This Row],[GroupByKey]])*OutputTable[RecordedValue])),0)</f>
        <v>105.9</v>
      </c>
      <c r="L74" cm="1">
        <f t="array" ref="L74">IFERROR(_xlfn.STDEV.S(IF((OutputTable[GroupByKey]=OutputTable[[#This Row],[GroupByKey]]),(OutputTable[GroupByKey]=OutputTable[[#This Row],[GroupByKey]])*OutputTable[RecordedValue])),0)</f>
        <v>13.714955340794928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9.8110880181169016</v>
      </c>
      <c r="O74" cm="1">
        <f t="array" ref="O74">MIN(IF((OutputTable[GroupByKey]=OutputTable[[#This Row],[GroupByKey]]),(OutputTable[GroupByKey]=OutputTable[[#This Row],[GroupByKey]])*OutputTable[RecordedValue]))</f>
        <v>89</v>
      </c>
      <c r="P74" cm="1">
        <f t="array" ref="P74">MAX(IF((OutputTable[GroupByKey]=OutputTable[[#This Row],[GroupByKey]]),(OutputTable[GroupByKey]=OutputTable[[#This Row],[GroupByKey]])*OutputTable[RecordedValue]))</f>
        <v>125</v>
      </c>
    </row>
    <row r="75" spans="1:16" x14ac:dyDescent="0.3">
      <c r="A75" t="s">
        <v>66</v>
      </c>
      <c r="B75" t="s">
        <v>68</v>
      </c>
      <c r="C75">
        <v>6</v>
      </c>
      <c r="D75" t="s">
        <v>109</v>
      </c>
      <c r="E75" t="s">
        <v>103</v>
      </c>
      <c r="F75" t="s">
        <v>78</v>
      </c>
      <c r="G75">
        <v>98</v>
      </c>
      <c r="H75">
        <v>0</v>
      </c>
      <c r="I75" t="str">
        <f>OutputTable[[#This Row],[ProjectName]]&amp;OutputTable[[#This Row],[Name]]&amp;OutputTable[[#This Row],[Type]]&amp;OutputTable[[#This Row],[Source]]</f>
        <v>Unnamed Projectccoche.NumberOutNumber OutEntity</v>
      </c>
      <c r="J7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cm="1">
        <f t="array" ref="K75">IFERROR(AVERAGE(IF((OutputTable[GroupByKey]=OutputTable[[#This Row],[GroupByKey]]),(OutputTable[GroupByKey]=OutputTable[[#This Row],[GroupByKey]])*OutputTable[RecordedValue])),0)</f>
        <v>92.2</v>
      </c>
      <c r="L75" cm="1">
        <f t="array" ref="L75">IFERROR(_xlfn.STDEV.S(IF((OutputTable[GroupByKey]=OutputTable[[#This Row],[GroupByKey]]),(OutputTable[GroupByKey]=OutputTable[[#This Row],[GroupByKey]])*OutputTable[RecordedValue])),0)</f>
        <v>11.003029885748166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7.8710934153715639</v>
      </c>
      <c r="O75" cm="1">
        <f t="array" ref="O75">MIN(IF((OutputTable[GroupByKey]=OutputTable[[#This Row],[GroupByKey]]),(OutputTable[GroupByKey]=OutputTable[[#This Row],[GroupByKey]])*OutputTable[RecordedValue]))</f>
        <v>77</v>
      </c>
      <c r="P75" cm="1">
        <f t="array" ref="P75">MAX(IF((OutputTable[GroupByKey]=OutputTable[[#This Row],[GroupByKey]]),(OutputTable[GroupByKey]=OutputTable[[#This Row],[GroupByKey]])*OutputTable[RecordedValue]))</f>
        <v>111</v>
      </c>
    </row>
    <row r="76" spans="1:16" x14ac:dyDescent="0.3">
      <c r="A76" t="s">
        <v>66</v>
      </c>
      <c r="B76" t="s">
        <v>68</v>
      </c>
      <c r="C76">
        <v>6</v>
      </c>
      <c r="D76" t="s">
        <v>110</v>
      </c>
      <c r="E76" t="s">
        <v>97</v>
      </c>
      <c r="F76" t="s">
        <v>89</v>
      </c>
      <c r="G76">
        <v>218</v>
      </c>
      <c r="H76">
        <v>0</v>
      </c>
      <c r="I76" t="str">
        <f>OutputTable[[#This Row],[ProjectName]]&amp;OutputTable[[#This Row],[Name]]&amp;OutputTable[[#This Row],[Type]]&amp;OutputTable[[#This Row],[Source]]</f>
        <v>Unnamed Projectcomiendo.NumberSeizedTotal Number SeizedResource</v>
      </c>
      <c r="J76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cm="1">
        <f t="array" ref="K76">IFERROR(AVERAGE(IF((OutputTable[GroupByKey]=OutputTable[[#This Row],[GroupByKey]]),(OutputTable[GroupByKey]=OutputTable[[#This Row],[GroupByKey]])*OutputTable[RecordedValue])),0)</f>
        <v>203.5</v>
      </c>
      <c r="L76" cm="1">
        <f t="array" ref="L76">IFERROR(_xlfn.STDEV.S(IF((OutputTable[GroupByKey]=OutputTable[[#This Row],[GroupByKey]]),(OutputTable[GroupByKey]=OutputTable[[#This Row],[GroupByKey]])*OutputTable[RecordedValue])),0)</f>
        <v>12.96362432175337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9.2736181849755468</v>
      </c>
      <c r="O76" cm="1">
        <f t="array" ref="O76">MIN(IF((OutputTable[GroupByKey]=OutputTable[[#This Row],[GroupByKey]]),(OutputTable[GroupByKey]=OutputTable[[#This Row],[GroupByKey]])*OutputTable[RecordedValue]))</f>
        <v>182</v>
      </c>
      <c r="P76" cm="1">
        <f t="array" ref="P76">MAX(IF((OutputTable[GroupByKey]=OutputTable[[#This Row],[GroupByKey]]),(OutputTable[GroupByKey]=OutputTable[[#This Row],[GroupByKey]])*OutputTable[RecordedValue]))</f>
        <v>222</v>
      </c>
    </row>
    <row r="77" spans="1:16" x14ac:dyDescent="0.3">
      <c r="A77" t="s">
        <v>66</v>
      </c>
      <c r="B77" t="s">
        <v>68</v>
      </c>
      <c r="C77">
        <v>6</v>
      </c>
      <c r="D77" t="s">
        <v>111</v>
      </c>
      <c r="E77" t="s">
        <v>99</v>
      </c>
      <c r="F77" t="s">
        <v>89</v>
      </c>
      <c r="G77">
        <v>0.59303053253801696</v>
      </c>
      <c r="H77">
        <v>0</v>
      </c>
      <c r="I77" t="str">
        <f>OutputTable[[#This Row],[ProjectName]]&amp;OutputTable[[#This Row],[Name]]&amp;OutputTable[[#This Row],[Type]]&amp;OutputTable[[#This Row],[Source]]</f>
        <v>Unnamed Projectcomiendo.ScheduledUtilizationScheduled UtilizationResource</v>
      </c>
      <c r="J77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cm="1">
        <f t="array" ref="K77">IFERROR(AVERAGE(IF((OutputTable[GroupByKey]=OutputTable[[#This Row],[GroupByKey]]),(OutputTable[GroupByKey]=OutputTable[[#This Row],[GroupByKey]])*OutputTable[RecordedValue])),0)</f>
        <v>0.54567746104498949</v>
      </c>
      <c r="L77" cm="1">
        <f t="array" ref="L77">IFERROR(_xlfn.STDEV.S(IF((OutputTable[GroupByKey]=OutputTable[[#This Row],[GroupByKey]]),(OutputTable[GroupByKey]=OutputTable[[#This Row],[GroupByKey]])*OutputTable[RecordedValue])),0)</f>
        <v>3.6093067502765995E-2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2.5819425095769025E-2</v>
      </c>
      <c r="O77" cm="1">
        <f t="array" ref="O77">MIN(IF((OutputTable[GroupByKey]=OutputTable[[#This Row],[GroupByKey]]),(OutputTable[GroupByKey]=OutputTable[[#This Row],[GroupByKey]])*OutputTable[RecordedValue]))</f>
        <v>0.48838500773485299</v>
      </c>
      <c r="P77" cm="1">
        <f t="array" ref="P77">MAX(IF((OutputTable[GroupByKey]=OutputTable[[#This Row],[GroupByKey]]),(OutputTable[GroupByKey]=OutputTable[[#This Row],[GroupByKey]])*OutputTable[RecordedValue]))</f>
        <v>0.59303053253801696</v>
      </c>
    </row>
    <row r="78" spans="1:16" x14ac:dyDescent="0.3">
      <c r="A78" t="s">
        <v>66</v>
      </c>
      <c r="B78" t="s">
        <v>68</v>
      </c>
      <c r="C78">
        <v>6</v>
      </c>
      <c r="D78" t="s">
        <v>112</v>
      </c>
      <c r="E78" t="s">
        <v>106</v>
      </c>
      <c r="F78" t="s">
        <v>78</v>
      </c>
      <c r="G78">
        <v>86</v>
      </c>
      <c r="H78">
        <v>0</v>
      </c>
      <c r="I78" t="str">
        <f>OutputTable[[#This Row],[ProjectName]]&amp;OutputTable[[#This Row],[Name]]&amp;OutputTable[[#This Row],[Type]]&amp;OutputTable[[#This Row],[Source]]</f>
        <v>Unnamed Projectcpie.NumberInNumber InEntity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cm="1">
        <f t="array" ref="K78">IFERROR(AVERAGE(IF((OutputTable[GroupByKey]=OutputTable[[#This Row],[GroupByKey]]),(OutputTable[GroupByKey]=OutputTable[[#This Row],[GroupByKey]])*OutputTable[RecordedValue])),0)</f>
        <v>77.3</v>
      </c>
      <c r="L78" cm="1">
        <f t="array" ref="L78">IFERROR(_xlfn.STDEV.S(IF((OutputTable[GroupByKey]=OutputTable[[#This Row],[GroupByKey]]),(OutputTable[GroupByKey]=OutputTable[[#This Row],[GroupByKey]])*OutputTable[RecordedValue])),0)</f>
        <v>11.314199534704651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8.0936907726810521</v>
      </c>
      <c r="O78" cm="1">
        <f t="array" ref="O78">MIN(IF((OutputTable[GroupByKey]=OutputTable[[#This Row],[GroupByKey]]),(OutputTable[GroupByKey]=OutputTable[[#This Row],[GroupByKey]])*OutputTable[RecordedValue]))</f>
        <v>64</v>
      </c>
      <c r="P78" cm="1">
        <f t="array" ref="P78">MAX(IF((OutputTable[GroupByKey]=OutputTable[[#This Row],[GroupByKey]]),(OutputTable[GroupByKey]=OutputTable[[#This Row],[GroupByKey]])*OutputTable[RecordedValue]))</f>
        <v>105</v>
      </c>
    </row>
    <row r="79" spans="1:16" x14ac:dyDescent="0.3">
      <c r="A79" t="s">
        <v>66</v>
      </c>
      <c r="B79" t="s">
        <v>68</v>
      </c>
      <c r="C79">
        <v>6</v>
      </c>
      <c r="D79" t="s">
        <v>113</v>
      </c>
      <c r="E79" t="s">
        <v>103</v>
      </c>
      <c r="F79" t="s">
        <v>78</v>
      </c>
      <c r="G79">
        <v>69</v>
      </c>
      <c r="H79">
        <v>0</v>
      </c>
      <c r="I79" t="str">
        <f>OutputTable[[#This Row],[ProjectName]]&amp;OutputTable[[#This Row],[Name]]&amp;OutputTable[[#This Row],[Type]]&amp;OutputTable[[#This Row],[Source]]</f>
        <v>Unnamed Projectcpie.NumberOutNumber OutEntity</v>
      </c>
      <c r="J79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cm="1">
        <f t="array" ref="K79">IFERROR(AVERAGE(IF((OutputTable[GroupByKey]=OutputTable[[#This Row],[GroupByKey]]),(OutputTable[GroupByKey]=OutputTable[[#This Row],[GroupByKey]])*OutputTable[RecordedValue])),0)</f>
        <v>67</v>
      </c>
      <c r="L79" cm="1">
        <f t="array" ref="L79">IFERROR(_xlfn.STDEV.S(IF((OutputTable[GroupByKey]=OutputTable[[#This Row],[GroupByKey]]),(OutputTable[GroupByKey]=OutputTable[[#This Row],[GroupByKey]])*OutputTable[RecordedValue])),0)</f>
        <v>9.5916630466254382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6.8614624001471327</v>
      </c>
      <c r="O79" cm="1">
        <f t="array" ref="O79">MIN(IF((OutputTable[GroupByKey]=OutputTable[[#This Row],[GroupByKey]]),(OutputTable[GroupByKey]=OutputTable[[#This Row],[GroupByKey]])*OutputTable[RecordedValue]))</f>
        <v>58</v>
      </c>
      <c r="P79" cm="1">
        <f t="array" ref="P79">MAX(IF((OutputTable[GroupByKey]=OutputTable[[#This Row],[GroupByKey]]),(OutputTable[GroupByKey]=OutputTable[[#This Row],[GroupByKey]])*OutputTable[RecordedValue]))</f>
        <v>92</v>
      </c>
    </row>
    <row r="80" spans="1:16" x14ac:dyDescent="0.3">
      <c r="A80" t="s">
        <v>66</v>
      </c>
      <c r="B80" t="s">
        <v>68</v>
      </c>
      <c r="C80">
        <v>7</v>
      </c>
      <c r="D80" t="s">
        <v>96</v>
      </c>
      <c r="E80" t="s">
        <v>97</v>
      </c>
      <c r="F80" t="s">
        <v>89</v>
      </c>
      <c r="G80">
        <v>220</v>
      </c>
      <c r="H80">
        <v>0</v>
      </c>
      <c r="I80" t="str">
        <f>OutputTable[[#This Row],[ProjectName]]&amp;OutputTable[[#This Row],[Name]]&amp;OutputTable[[#This Row],[Type]]&amp;OutputTable[[#This Row],[Source]]</f>
        <v>Unnamed ProjectLlegada Pedidos.NumberSeizedTotal Number SeizedResource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cm="1">
        <f t="array" ref="K80">IFERROR(AVERAGE(IF((OutputTable[GroupByKey]=OutputTable[[#This Row],[GroupByKey]]),(OutputTable[GroupByKey]=OutputTable[[#This Row],[GroupByKey]])*OutputTable[RecordedValue])),0)</f>
        <v>213.2</v>
      </c>
      <c r="L80" cm="1">
        <f t="array" ref="L80">IFERROR(_xlfn.STDEV.S(IF((OutputTable[GroupByKey]=OutputTable[[#This Row],[GroupByKey]]),(OutputTable[GroupByKey]=OutputTable[[#This Row],[GroupByKey]])*OutputTable[RecordedValue])),0)</f>
        <v>15.540627757948235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11.117095389767675</v>
      </c>
      <c r="O80" cm="1">
        <f t="array" ref="O80">MIN(IF((OutputTable[GroupByKey]=OutputTable[[#This Row],[GroupByKey]]),(OutputTable[GroupByKey]=OutputTable[[#This Row],[GroupByKey]])*OutputTable[RecordedValue]))</f>
        <v>190</v>
      </c>
      <c r="P80" cm="1">
        <f t="array" ref="P80">MAX(IF((OutputTable[GroupByKey]=OutputTable[[#This Row],[GroupByKey]]),(OutputTable[GroupByKey]=OutputTable[[#This Row],[GroupByKey]])*OutputTable[RecordedValue]))</f>
        <v>235</v>
      </c>
    </row>
    <row r="81" spans="1:16" x14ac:dyDescent="0.3">
      <c r="A81" t="s">
        <v>66</v>
      </c>
      <c r="B81" t="s">
        <v>68</v>
      </c>
      <c r="C81">
        <v>7</v>
      </c>
      <c r="D81" t="s">
        <v>98</v>
      </c>
      <c r="E81" t="s">
        <v>99</v>
      </c>
      <c r="F81" t="s">
        <v>89</v>
      </c>
      <c r="G81">
        <v>0.68659302270522504</v>
      </c>
      <c r="H81">
        <v>0</v>
      </c>
      <c r="I81" t="str">
        <f>OutputTable[[#This Row],[ProjectName]]&amp;OutputTable[[#This Row],[Name]]&amp;OutputTable[[#This Row],[Type]]&amp;OutputTable[[#This Row],[Source]]</f>
        <v>Unnamed ProjectLlegada Pedidos.ScheduledUtilizationScheduled UtilizationResource</v>
      </c>
      <c r="J81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cm="1">
        <f t="array" ref="K81">IFERROR(AVERAGE(IF((OutputTable[GroupByKey]=OutputTable[[#This Row],[GroupByKey]]),(OutputTable[GroupByKey]=OutputTable[[#This Row],[GroupByKey]])*OutputTable[RecordedValue])),0)</f>
        <v>0.66170817272124971</v>
      </c>
      <c r="L81" cm="1">
        <f t="array" ref="L81">IFERROR(_xlfn.STDEV.S(IF((OutputTable[GroupByKey]=OutputTable[[#This Row],[GroupByKey]]),(OutputTable[GroupByKey]=OutputTable[[#This Row],[GroupByKey]])*OutputTable[RecordedValue])),0)</f>
        <v>4.5736088034979056E-2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3.2717626427904552E-2</v>
      </c>
      <c r="O81" cm="1">
        <f t="array" ref="O81">MIN(IF((OutputTable[GroupByKey]=OutputTable[[#This Row],[GroupByKey]]),(OutputTable[GroupByKey]=OutputTable[[#This Row],[GroupByKey]])*OutputTable[RecordedValue]))</f>
        <v>0.59604324380846896</v>
      </c>
      <c r="P81" cm="1">
        <f t="array" ref="P81">MAX(IF((OutputTable[GroupByKey]=OutputTable[[#This Row],[GroupByKey]]),(OutputTable[GroupByKey]=OutputTable[[#This Row],[GroupByKey]])*OutputTable[RecordedValue]))</f>
        <v>0.72905379552072003</v>
      </c>
    </row>
    <row r="82" spans="1:16" x14ac:dyDescent="0.3">
      <c r="A82" t="s">
        <v>66</v>
      </c>
      <c r="B82" t="s">
        <v>68</v>
      </c>
      <c r="C82">
        <v>7</v>
      </c>
      <c r="D82" t="s">
        <v>100</v>
      </c>
      <c r="E82" t="s">
        <v>97</v>
      </c>
      <c r="F82" t="s">
        <v>89</v>
      </c>
      <c r="G82">
        <v>211</v>
      </c>
      <c r="H82">
        <v>0</v>
      </c>
      <c r="I82" t="str">
        <f>OutputTable[[#This Row],[ProjectName]]&amp;OutputTable[[#This Row],[Name]]&amp;OutputTable[[#This Row],[Type]]&amp;OutputTable[[#This Row],[Source]]</f>
        <v>Unnamed ProjectRecoger pedidos.NumberSeizedTotal Number SeizedResource</v>
      </c>
      <c r="J82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cm="1">
        <f t="array" ref="K82">IFERROR(AVERAGE(IF((OutputTable[GroupByKey]=OutputTable[[#This Row],[GroupByKey]]),(OutputTable[GroupByKey]=OutputTable[[#This Row],[GroupByKey]])*OutputTable[RecordedValue])),0)</f>
        <v>205.3</v>
      </c>
      <c r="L82" cm="1">
        <f t="array" ref="L82">IFERROR(_xlfn.STDEV.S(IF((OutputTable[GroupByKey]=OutputTable[[#This Row],[GroupByKey]]),(OutputTable[GroupByKey]=OutputTable[[#This Row],[GroupByKey]])*OutputTable[RecordedValue])),0)</f>
        <v>12.944754407352296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9.2601194613936642</v>
      </c>
      <c r="O82" cm="1">
        <f t="array" ref="O82">MIN(IF((OutputTable[GroupByKey]=OutputTable[[#This Row],[GroupByKey]]),(OutputTable[GroupByKey]=OutputTable[[#This Row],[GroupByKey]])*OutputTable[RecordedValue]))</f>
        <v>185</v>
      </c>
      <c r="P82" cm="1">
        <f t="array" ref="P82">MAX(IF((OutputTable[GroupByKey]=OutputTable[[#This Row],[GroupByKey]]),(OutputTable[GroupByKey]=OutputTable[[#This Row],[GroupByKey]])*OutputTable[RecordedValue]))</f>
        <v>224</v>
      </c>
    </row>
    <row r="83" spans="1:16" x14ac:dyDescent="0.3">
      <c r="A83" t="s">
        <v>66</v>
      </c>
      <c r="B83" t="s">
        <v>68</v>
      </c>
      <c r="C83">
        <v>7</v>
      </c>
      <c r="D83" t="s">
        <v>101</v>
      </c>
      <c r="E83" t="s">
        <v>99</v>
      </c>
      <c r="F83" t="s">
        <v>89</v>
      </c>
      <c r="G83">
        <v>0.59360317623750203</v>
      </c>
      <c r="H83">
        <v>0</v>
      </c>
      <c r="I83" t="str">
        <f>OutputTable[[#This Row],[ProjectName]]&amp;OutputTable[[#This Row],[Name]]&amp;OutputTable[[#This Row],[Type]]&amp;OutputTable[[#This Row],[Source]]</f>
        <v>Unnamed ProjectRecoger pedidos.ScheduledUtilizationScheduled UtilizationResource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cm="1">
        <f t="array" ref="K83">IFERROR(AVERAGE(IF((OutputTable[GroupByKey]=OutputTable[[#This Row],[GroupByKey]]),(OutputTable[GroupByKey]=OutputTable[[#This Row],[GroupByKey]])*OutputTable[RecordedValue])),0)</f>
        <v>0.55143120740685148</v>
      </c>
      <c r="L83" cm="1">
        <f t="array" ref="L83">IFERROR(_xlfn.STDEV.S(IF((OutputTable[GroupByKey]=OutputTable[[#This Row],[GroupByKey]]),(OutputTable[GroupByKey]=OutputTable[[#This Row],[GroupByKey]])*OutputTable[RecordedValue])),0)</f>
        <v>3.4243845838583781E-2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2.4496571607625712E-2</v>
      </c>
      <c r="O83" cm="1">
        <f t="array" ref="O83">MIN(IF((OutputTable[GroupByKey]=OutputTable[[#This Row],[GroupByKey]]),(OutputTable[GroupByKey]=OutputTable[[#This Row],[GroupByKey]])*OutputTable[RecordedValue]))</f>
        <v>0.49793942474087499</v>
      </c>
      <c r="P83" cm="1">
        <f t="array" ref="P83">MAX(IF((OutputTable[GroupByKey]=OutputTable[[#This Row],[GroupByKey]]),(OutputTable[GroupByKey]=OutputTable[[#This Row],[GroupByKey]])*OutputTable[RecordedValue]))</f>
        <v>0.59360317623750203</v>
      </c>
    </row>
    <row r="84" spans="1:16" x14ac:dyDescent="0.3">
      <c r="A84" t="s">
        <v>66</v>
      </c>
      <c r="B84" t="s">
        <v>68</v>
      </c>
      <c r="C84">
        <v>7</v>
      </c>
      <c r="D84" t="s">
        <v>102</v>
      </c>
      <c r="E84" t="s">
        <v>103</v>
      </c>
      <c r="F84" t="s">
        <v>104</v>
      </c>
      <c r="G84">
        <v>200</v>
      </c>
      <c r="H84">
        <v>0</v>
      </c>
      <c r="I84" t="str">
        <f>OutputTable[[#This Row],[ProjectName]]&amp;OutputTable[[#This Row],[Name]]&amp;OutputTable[[#This Row],[Type]]&amp;OutputTable[[#This Row],[Source]]</f>
        <v>Unnamed ProjectSystem.NumberOutNumber OutSystem</v>
      </c>
      <c r="J84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cm="1">
        <f t="array" ref="K84">IFERROR(AVERAGE(IF((OutputTable[GroupByKey]=OutputTable[[#This Row],[GroupByKey]]),(OutputTable[GroupByKey]=OutputTable[[#This Row],[GroupByKey]])*OutputTable[RecordedValue])),0)</f>
        <v>190.4</v>
      </c>
      <c r="L84" cm="1">
        <f t="array" ref="L84">IFERROR(_xlfn.STDEV.S(IF((OutputTable[GroupByKey]=OutputTable[[#This Row],[GroupByKey]]),(OutputTable[GroupByKey]=OutputTable[[#This Row],[GroupByKey]])*OutputTable[RecordedValue])),0)</f>
        <v>12.029593139882625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8.6054525286323678</v>
      </c>
      <c r="O84" cm="1">
        <f t="array" ref="O84">MIN(IF((OutputTable[GroupByKey]=OutputTable[[#This Row],[GroupByKey]]),(OutputTable[GroupByKey]=OutputTable[[#This Row],[GroupByKey]])*OutputTable[RecordedValue]))</f>
        <v>167</v>
      </c>
      <c r="P84" cm="1">
        <f t="array" ref="P84">MAX(IF((OutputTable[GroupByKey]=OutputTable[[#This Row],[GroupByKey]]),(OutputTable[GroupByKey]=OutputTable[[#This Row],[GroupByKey]])*OutputTable[RecordedValue]))</f>
        <v>204</v>
      </c>
    </row>
    <row r="85" spans="1:16" x14ac:dyDescent="0.3">
      <c r="A85" t="s">
        <v>66</v>
      </c>
      <c r="B85" t="s">
        <v>68</v>
      </c>
      <c r="C85">
        <v>7</v>
      </c>
      <c r="D85" t="s">
        <v>105</v>
      </c>
      <c r="E85" t="s">
        <v>106</v>
      </c>
      <c r="F85" t="s">
        <v>78</v>
      </c>
      <c r="G85">
        <v>28</v>
      </c>
      <c r="H85">
        <v>0</v>
      </c>
      <c r="I85" t="str">
        <f>OutputTable[[#This Row],[ProjectName]]&amp;OutputTable[[#This Row],[Name]]&amp;OutputTable[[#This Row],[Type]]&amp;OutputTable[[#This Row],[Source]]</f>
        <v>Unnamed Projectcbus.NumberInNumber InEntity</v>
      </c>
      <c r="J8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cm="1">
        <f t="array" ref="K85">IFERROR(AVERAGE(IF((OutputTable[GroupByKey]=OutputTable[[#This Row],[GroupByKey]]),(OutputTable[GroupByKey]=OutputTable[[#This Row],[GroupByKey]])*OutputTable[RecordedValue])),0)</f>
        <v>31.2</v>
      </c>
      <c r="L85" cm="1">
        <f t="array" ref="L85">IFERROR(_xlfn.STDEV.S(IF((OutputTable[GroupByKey]=OutputTable[[#This Row],[GroupByKey]]),(OutputTable[GroupByKey]=OutputTable[[#This Row],[GroupByKey]])*OutputTable[RecordedValue])),0)</f>
        <v>3.7653389990514556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85" cm="1">
        <f t="array" ref="O85">MIN(IF((OutputTable[GroupByKey]=OutputTable[[#This Row],[GroupByKey]]),(OutputTable[GroupByKey]=OutputTable[[#This Row],[GroupByKey]])*OutputTable[RecordedValue]))</f>
        <v>26</v>
      </c>
      <c r="P85" cm="1">
        <f t="array" ref="P85">MAX(IF((OutputTable[GroupByKey]=OutputTable[[#This Row],[GroupByKey]]),(OutputTable[GroupByKey]=OutputTable[[#This Row],[GroupByKey]])*OutputTable[RecordedValue]))</f>
        <v>39</v>
      </c>
    </row>
    <row r="86" spans="1:16" x14ac:dyDescent="0.3">
      <c r="A86" t="s">
        <v>66</v>
      </c>
      <c r="B86" t="s">
        <v>68</v>
      </c>
      <c r="C86">
        <v>7</v>
      </c>
      <c r="D86" t="s">
        <v>107</v>
      </c>
      <c r="E86" t="s">
        <v>103</v>
      </c>
      <c r="F86" t="s">
        <v>78</v>
      </c>
      <c r="G86">
        <v>28</v>
      </c>
      <c r="H86">
        <v>0</v>
      </c>
      <c r="I86" t="str">
        <f>OutputTable[[#This Row],[ProjectName]]&amp;OutputTable[[#This Row],[Name]]&amp;OutputTable[[#This Row],[Type]]&amp;OutputTable[[#This Row],[Source]]</f>
        <v>Unnamed Projectcbus.NumberOutNumber OutEntity</v>
      </c>
      <c r="J86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cm="1">
        <f t="array" ref="K86">IFERROR(AVERAGE(IF((OutputTable[GroupByKey]=OutputTable[[#This Row],[GroupByKey]]),(OutputTable[GroupByKey]=OutputTable[[#This Row],[GroupByKey]])*OutputTable[RecordedValue])),0)</f>
        <v>31.2</v>
      </c>
      <c r="L86" cm="1">
        <f t="array" ref="L86">IFERROR(_xlfn.STDEV.S(IF((OutputTable[GroupByKey]=OutputTable[[#This Row],[GroupByKey]]),(OutputTable[GroupByKey]=OutputTable[[#This Row],[GroupByKey]])*OutputTable[RecordedValue])),0)</f>
        <v>3.7653389990514556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86" cm="1">
        <f t="array" ref="O86">MIN(IF((OutputTable[GroupByKey]=OutputTable[[#This Row],[GroupByKey]]),(OutputTable[GroupByKey]=OutputTable[[#This Row],[GroupByKey]])*OutputTable[RecordedValue]))</f>
        <v>26</v>
      </c>
      <c r="P86" cm="1">
        <f t="array" ref="P86">MAX(IF((OutputTable[GroupByKey]=OutputTable[[#This Row],[GroupByKey]]),(OutputTable[GroupByKey]=OutputTable[[#This Row],[GroupByKey]])*OutputTable[RecordedValue]))</f>
        <v>39</v>
      </c>
    </row>
    <row r="87" spans="1:16" x14ac:dyDescent="0.3">
      <c r="A87" t="s">
        <v>66</v>
      </c>
      <c r="B87" t="s">
        <v>68</v>
      </c>
      <c r="C87">
        <v>7</v>
      </c>
      <c r="D87" t="s">
        <v>108</v>
      </c>
      <c r="E87" t="s">
        <v>106</v>
      </c>
      <c r="F87" t="s">
        <v>78</v>
      </c>
      <c r="G87">
        <v>122</v>
      </c>
      <c r="H87">
        <v>0</v>
      </c>
      <c r="I87" t="str">
        <f>OutputTable[[#This Row],[ProjectName]]&amp;OutputTable[[#This Row],[Name]]&amp;OutputTable[[#This Row],[Type]]&amp;OutputTable[[#This Row],[Source]]</f>
        <v>Unnamed Projectccoche.NumberInNumber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cm="1">
        <f t="array" ref="K87">IFERROR(AVERAGE(IF((OutputTable[GroupByKey]=OutputTable[[#This Row],[GroupByKey]]),(OutputTable[GroupByKey]=OutputTable[[#This Row],[GroupByKey]])*OutputTable[RecordedValue])),0)</f>
        <v>105.9</v>
      </c>
      <c r="L87" cm="1">
        <f t="array" ref="L87">IFERROR(_xlfn.STDEV.S(IF((OutputTable[GroupByKey]=OutputTable[[#This Row],[GroupByKey]]),(OutputTable[GroupByKey]=OutputTable[[#This Row],[GroupByKey]])*OutputTable[RecordedValue])),0)</f>
        <v>13.714955340794928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9.8110880181169016</v>
      </c>
      <c r="O87" cm="1">
        <f t="array" ref="O87">MIN(IF((OutputTable[GroupByKey]=OutputTable[[#This Row],[GroupByKey]]),(OutputTable[GroupByKey]=OutputTable[[#This Row],[GroupByKey]])*OutputTable[RecordedValue]))</f>
        <v>89</v>
      </c>
      <c r="P87" cm="1">
        <f t="array" ref="P87">MAX(IF((OutputTable[GroupByKey]=OutputTable[[#This Row],[GroupByKey]]),(OutputTable[GroupByKey]=OutputTable[[#This Row],[GroupByKey]])*OutputTable[RecordedValue]))</f>
        <v>125</v>
      </c>
    </row>
    <row r="88" spans="1:16" x14ac:dyDescent="0.3">
      <c r="A88" t="s">
        <v>66</v>
      </c>
      <c r="B88" t="s">
        <v>68</v>
      </c>
      <c r="C88">
        <v>7</v>
      </c>
      <c r="D88" t="s">
        <v>109</v>
      </c>
      <c r="E88" t="s">
        <v>103</v>
      </c>
      <c r="F88" t="s">
        <v>78</v>
      </c>
      <c r="G88">
        <v>105</v>
      </c>
      <c r="H88">
        <v>0</v>
      </c>
      <c r="I88" t="str">
        <f>OutputTable[[#This Row],[ProjectName]]&amp;OutputTable[[#This Row],[Name]]&amp;OutputTable[[#This Row],[Type]]&amp;OutputTable[[#This Row],[Source]]</f>
        <v>Unnamed Projectccoche.NumberOutNumber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cm="1">
        <f t="array" ref="K88">IFERROR(AVERAGE(IF((OutputTable[GroupByKey]=OutputTable[[#This Row],[GroupByKey]]),(OutputTable[GroupByKey]=OutputTable[[#This Row],[GroupByKey]])*OutputTable[RecordedValue])),0)</f>
        <v>92.2</v>
      </c>
      <c r="L88" cm="1">
        <f t="array" ref="L88">IFERROR(_xlfn.STDEV.S(IF((OutputTable[GroupByKey]=OutputTable[[#This Row],[GroupByKey]]),(OutputTable[GroupByKey]=OutputTable[[#This Row],[GroupByKey]])*OutputTable[RecordedValue])),0)</f>
        <v>11.003029885748166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7.8710934153715639</v>
      </c>
      <c r="O88" cm="1">
        <f t="array" ref="O88">MIN(IF((OutputTable[GroupByKey]=OutputTable[[#This Row],[GroupByKey]]),(OutputTable[GroupByKey]=OutputTable[[#This Row],[GroupByKey]])*OutputTable[RecordedValue]))</f>
        <v>77</v>
      </c>
      <c r="P88" cm="1">
        <f t="array" ref="P88">MAX(IF((OutputTable[GroupByKey]=OutputTable[[#This Row],[GroupByKey]]),(OutputTable[GroupByKey]=OutputTable[[#This Row],[GroupByKey]])*OutputTable[RecordedValue]))</f>
        <v>111</v>
      </c>
    </row>
    <row r="89" spans="1:16" x14ac:dyDescent="0.3">
      <c r="A89" t="s">
        <v>66</v>
      </c>
      <c r="B89" t="s">
        <v>68</v>
      </c>
      <c r="C89">
        <v>7</v>
      </c>
      <c r="D89" t="s">
        <v>110</v>
      </c>
      <c r="E89" t="s">
        <v>97</v>
      </c>
      <c r="F89" t="s">
        <v>89</v>
      </c>
      <c r="G89">
        <v>209</v>
      </c>
      <c r="H89">
        <v>0</v>
      </c>
      <c r="I89" t="str">
        <f>OutputTable[[#This Row],[ProjectName]]&amp;OutputTable[[#This Row],[Name]]&amp;OutputTable[[#This Row],[Type]]&amp;OutputTable[[#This Row],[Source]]</f>
        <v>Unnamed Projectcomiendo.NumberSeizedTotal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cm="1">
        <f t="array" ref="K89">IFERROR(AVERAGE(IF((OutputTable[GroupByKey]=OutputTable[[#This Row],[GroupByKey]]),(OutputTable[GroupByKey]=OutputTable[[#This Row],[GroupByKey]])*OutputTable[RecordedValue])),0)</f>
        <v>203.5</v>
      </c>
      <c r="L89" cm="1">
        <f t="array" ref="L89">IFERROR(_xlfn.STDEV.S(IF((OutputTable[GroupByKey]=OutputTable[[#This Row],[GroupByKey]]),(OutputTable[GroupByKey]=OutputTable[[#This Row],[GroupByKey]])*OutputTable[RecordedValue])),0)</f>
        <v>12.96362432175337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9.2736181849755468</v>
      </c>
      <c r="O89" cm="1">
        <f t="array" ref="O89">MIN(IF((OutputTable[GroupByKey]=OutputTable[[#This Row],[GroupByKey]]),(OutputTable[GroupByKey]=OutputTable[[#This Row],[GroupByKey]])*OutputTable[RecordedValue]))</f>
        <v>182</v>
      </c>
      <c r="P89" cm="1">
        <f t="array" ref="P89">MAX(IF((OutputTable[GroupByKey]=OutputTable[[#This Row],[GroupByKey]]),(OutputTable[GroupByKey]=OutputTable[[#This Row],[GroupByKey]])*OutputTable[RecordedValue]))</f>
        <v>222</v>
      </c>
    </row>
    <row r="90" spans="1:16" x14ac:dyDescent="0.3">
      <c r="A90" t="s">
        <v>66</v>
      </c>
      <c r="B90" t="s">
        <v>68</v>
      </c>
      <c r="C90">
        <v>7</v>
      </c>
      <c r="D90" t="s">
        <v>111</v>
      </c>
      <c r="E90" t="s">
        <v>99</v>
      </c>
      <c r="F90" t="s">
        <v>89</v>
      </c>
      <c r="G90">
        <v>0.580647497288173</v>
      </c>
      <c r="H90">
        <v>0</v>
      </c>
      <c r="I90" t="str">
        <f>OutputTable[[#This Row],[ProjectName]]&amp;OutputTable[[#This Row],[Name]]&amp;OutputTable[[#This Row],[Type]]&amp;OutputTable[[#This Row],[Source]]</f>
        <v>Unnamed Projectcomiendo.ScheduledUtilizationScheduled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cm="1">
        <f t="array" ref="K90">IFERROR(AVERAGE(IF((OutputTable[GroupByKey]=OutputTable[[#This Row],[GroupByKey]]),(OutputTable[GroupByKey]=OutputTable[[#This Row],[GroupByKey]])*OutputTable[RecordedValue])),0)</f>
        <v>0.54567746104498949</v>
      </c>
      <c r="L90" cm="1">
        <f t="array" ref="L90">IFERROR(_xlfn.STDEV.S(IF((OutputTable[GroupByKey]=OutputTable[[#This Row],[GroupByKey]]),(OutputTable[GroupByKey]=OutputTable[[#This Row],[GroupByKey]])*OutputTable[RecordedValue])),0)</f>
        <v>3.6093067502765995E-2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2.5819425095769025E-2</v>
      </c>
      <c r="O90" cm="1">
        <f t="array" ref="O90">MIN(IF((OutputTable[GroupByKey]=OutputTable[[#This Row],[GroupByKey]]),(OutputTable[GroupByKey]=OutputTable[[#This Row],[GroupByKey]])*OutputTable[RecordedValue]))</f>
        <v>0.48838500773485299</v>
      </c>
      <c r="P90" cm="1">
        <f t="array" ref="P90">MAX(IF((OutputTable[GroupByKey]=OutputTable[[#This Row],[GroupByKey]]),(OutputTable[GroupByKey]=OutputTable[[#This Row],[GroupByKey]])*OutputTable[RecordedValue]))</f>
        <v>0.59303053253801696</v>
      </c>
    </row>
    <row r="91" spans="1:16" x14ac:dyDescent="0.3">
      <c r="A91" t="s">
        <v>66</v>
      </c>
      <c r="B91" t="s">
        <v>68</v>
      </c>
      <c r="C91">
        <v>7</v>
      </c>
      <c r="D91" t="s">
        <v>112</v>
      </c>
      <c r="E91" t="s">
        <v>106</v>
      </c>
      <c r="F91" t="s">
        <v>78</v>
      </c>
      <c r="G91">
        <v>71</v>
      </c>
      <c r="H91">
        <v>0</v>
      </c>
      <c r="I91" t="str">
        <f>OutputTable[[#This Row],[ProjectName]]&amp;OutputTable[[#This Row],[Name]]&amp;OutputTable[[#This Row],[Type]]&amp;OutputTable[[#This Row],[Source]]</f>
        <v>Unnamed Projectcpie.NumberInNumber InEntity</v>
      </c>
      <c r="J91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cm="1">
        <f t="array" ref="K91">IFERROR(AVERAGE(IF((OutputTable[GroupByKey]=OutputTable[[#This Row],[GroupByKey]]),(OutputTable[GroupByKey]=OutputTable[[#This Row],[GroupByKey]])*OutputTable[RecordedValue])),0)</f>
        <v>77.3</v>
      </c>
      <c r="L91" cm="1">
        <f t="array" ref="L91">IFERROR(_xlfn.STDEV.S(IF((OutputTable[GroupByKey]=OutputTable[[#This Row],[GroupByKey]]),(OutputTable[GroupByKey]=OutputTable[[#This Row],[GroupByKey]])*OutputTable[RecordedValue])),0)</f>
        <v>11.314199534704651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8.0936907726810521</v>
      </c>
      <c r="O91" cm="1">
        <f t="array" ref="O91">MIN(IF((OutputTable[GroupByKey]=OutputTable[[#This Row],[GroupByKey]]),(OutputTable[GroupByKey]=OutputTable[[#This Row],[GroupByKey]])*OutputTable[RecordedValue]))</f>
        <v>64</v>
      </c>
      <c r="P91" cm="1">
        <f t="array" ref="P91">MAX(IF((OutputTable[GroupByKey]=OutputTable[[#This Row],[GroupByKey]]),(OutputTable[GroupByKey]=OutputTable[[#This Row],[GroupByKey]])*OutputTable[RecordedValue]))</f>
        <v>105</v>
      </c>
    </row>
    <row r="92" spans="1:16" x14ac:dyDescent="0.3">
      <c r="A92" t="s">
        <v>66</v>
      </c>
      <c r="B92" t="s">
        <v>68</v>
      </c>
      <c r="C92">
        <v>7</v>
      </c>
      <c r="D92" t="s">
        <v>113</v>
      </c>
      <c r="E92" t="s">
        <v>103</v>
      </c>
      <c r="F92" t="s">
        <v>78</v>
      </c>
      <c r="G92">
        <v>67</v>
      </c>
      <c r="H92">
        <v>0</v>
      </c>
      <c r="I92" t="str">
        <f>OutputTable[[#This Row],[ProjectName]]&amp;OutputTable[[#This Row],[Name]]&amp;OutputTable[[#This Row],[Type]]&amp;OutputTable[[#This Row],[Source]]</f>
        <v>Unnamed Projectcpie.NumberOutNumber OutEntity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cm="1">
        <f t="array" ref="K92">IFERROR(AVERAGE(IF((OutputTable[GroupByKey]=OutputTable[[#This Row],[GroupByKey]]),(OutputTable[GroupByKey]=OutputTable[[#This Row],[GroupByKey]])*OutputTable[RecordedValue])),0)</f>
        <v>67</v>
      </c>
      <c r="L92" cm="1">
        <f t="array" ref="L92">IFERROR(_xlfn.STDEV.S(IF((OutputTable[GroupByKey]=OutputTable[[#This Row],[GroupByKey]]),(OutputTable[GroupByKey]=OutputTable[[#This Row],[GroupByKey]])*OutputTable[RecordedValue])),0)</f>
        <v>9.5916630466254382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6.8614624001471327</v>
      </c>
      <c r="O92" cm="1">
        <f t="array" ref="O92">MIN(IF((OutputTable[GroupByKey]=OutputTable[[#This Row],[GroupByKey]]),(OutputTable[GroupByKey]=OutputTable[[#This Row],[GroupByKey]])*OutputTable[RecordedValue]))</f>
        <v>58</v>
      </c>
      <c r="P92" cm="1">
        <f t="array" ref="P92">MAX(IF((OutputTable[GroupByKey]=OutputTable[[#This Row],[GroupByKey]]),(OutputTable[GroupByKey]=OutputTable[[#This Row],[GroupByKey]])*OutputTable[RecordedValue]))</f>
        <v>92</v>
      </c>
    </row>
    <row r="93" spans="1:16" x14ac:dyDescent="0.3">
      <c r="A93" t="s">
        <v>66</v>
      </c>
      <c r="B93" t="s">
        <v>68</v>
      </c>
      <c r="C93">
        <v>8</v>
      </c>
      <c r="D93" t="s">
        <v>96</v>
      </c>
      <c r="E93" t="s">
        <v>97</v>
      </c>
      <c r="F93" t="s">
        <v>89</v>
      </c>
      <c r="G93">
        <v>190</v>
      </c>
      <c r="H93">
        <v>0</v>
      </c>
      <c r="I93" t="str">
        <f>OutputTable[[#This Row],[ProjectName]]&amp;OutputTable[[#This Row],[Name]]&amp;OutputTable[[#This Row],[Type]]&amp;OutputTable[[#This Row],[Source]]</f>
        <v>Unnamed ProjectLlegada Pedidos.NumberSeizedTotal Number SeizedResource</v>
      </c>
      <c r="J93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cm="1">
        <f t="array" ref="K93">IFERROR(AVERAGE(IF((OutputTable[GroupByKey]=OutputTable[[#This Row],[GroupByKey]]),(OutputTable[GroupByKey]=OutputTable[[#This Row],[GroupByKey]])*OutputTable[RecordedValue])),0)</f>
        <v>213.2</v>
      </c>
      <c r="L93" cm="1">
        <f t="array" ref="L93">IFERROR(_xlfn.STDEV.S(IF((OutputTable[GroupByKey]=OutputTable[[#This Row],[GroupByKey]]),(OutputTable[GroupByKey]=OutputTable[[#This Row],[GroupByKey]])*OutputTable[RecordedValue])),0)</f>
        <v>15.540627757948235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11.117095389767675</v>
      </c>
      <c r="O93" cm="1">
        <f t="array" ref="O93">MIN(IF((OutputTable[GroupByKey]=OutputTable[[#This Row],[GroupByKey]]),(OutputTable[GroupByKey]=OutputTable[[#This Row],[GroupByKey]])*OutputTable[RecordedValue]))</f>
        <v>190</v>
      </c>
      <c r="P93" cm="1">
        <f t="array" ref="P93">MAX(IF((OutputTable[GroupByKey]=OutputTable[[#This Row],[GroupByKey]]),(OutputTable[GroupByKey]=OutputTable[[#This Row],[GroupByKey]])*OutputTable[RecordedValue]))</f>
        <v>235</v>
      </c>
    </row>
    <row r="94" spans="1:16" x14ac:dyDescent="0.3">
      <c r="A94" t="s">
        <v>66</v>
      </c>
      <c r="B94" t="s">
        <v>68</v>
      </c>
      <c r="C94">
        <v>8</v>
      </c>
      <c r="D94" t="s">
        <v>98</v>
      </c>
      <c r="E94" t="s">
        <v>99</v>
      </c>
      <c r="F94" t="s">
        <v>89</v>
      </c>
      <c r="G94">
        <v>0.59604324380846896</v>
      </c>
      <c r="H94">
        <v>0</v>
      </c>
      <c r="I94" t="str">
        <f>OutputTable[[#This Row],[ProjectName]]&amp;OutputTable[[#This Row],[Name]]&amp;OutputTable[[#This Row],[Type]]&amp;OutputTable[[#This Row],[Source]]</f>
        <v>Unnamed ProjectLlegada Pedidos.ScheduledUtilizationScheduled UtilizationResource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cm="1">
        <f t="array" ref="K94">IFERROR(AVERAGE(IF((OutputTable[GroupByKey]=OutputTable[[#This Row],[GroupByKey]]),(OutputTable[GroupByKey]=OutputTable[[#This Row],[GroupByKey]])*OutputTable[RecordedValue])),0)</f>
        <v>0.66170817272124971</v>
      </c>
      <c r="L94" cm="1">
        <f t="array" ref="L94">IFERROR(_xlfn.STDEV.S(IF((OutputTable[GroupByKey]=OutputTable[[#This Row],[GroupByKey]]),(OutputTable[GroupByKey]=OutputTable[[#This Row],[GroupByKey]])*OutputTable[RecordedValue])),0)</f>
        <v>4.5736088034979056E-2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3.2717626427904552E-2</v>
      </c>
      <c r="O94" cm="1">
        <f t="array" ref="O94">MIN(IF((OutputTable[GroupByKey]=OutputTable[[#This Row],[GroupByKey]]),(OutputTable[GroupByKey]=OutputTable[[#This Row],[GroupByKey]])*OutputTable[RecordedValue]))</f>
        <v>0.59604324380846896</v>
      </c>
      <c r="P94" cm="1">
        <f t="array" ref="P94">MAX(IF((OutputTable[GroupByKey]=OutputTable[[#This Row],[GroupByKey]]),(OutputTable[GroupByKey]=OutputTable[[#This Row],[GroupByKey]])*OutputTable[RecordedValue]))</f>
        <v>0.72905379552072003</v>
      </c>
    </row>
    <row r="95" spans="1:16" x14ac:dyDescent="0.3">
      <c r="A95" t="s">
        <v>66</v>
      </c>
      <c r="B95" t="s">
        <v>68</v>
      </c>
      <c r="C95">
        <v>8</v>
      </c>
      <c r="D95" t="s">
        <v>100</v>
      </c>
      <c r="E95" t="s">
        <v>97</v>
      </c>
      <c r="F95" t="s">
        <v>89</v>
      </c>
      <c r="G95">
        <v>185</v>
      </c>
      <c r="H95">
        <v>0</v>
      </c>
      <c r="I95" t="str">
        <f>OutputTable[[#This Row],[ProjectName]]&amp;OutputTable[[#This Row],[Name]]&amp;OutputTable[[#This Row],[Type]]&amp;OutputTable[[#This Row],[Source]]</f>
        <v>Unnamed ProjectRecoger pedidos.NumberSeizedTotal Number SeizedResource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cm="1">
        <f t="array" ref="K95">IFERROR(AVERAGE(IF((OutputTable[GroupByKey]=OutputTable[[#This Row],[GroupByKey]]),(OutputTable[GroupByKey]=OutputTable[[#This Row],[GroupByKey]])*OutputTable[RecordedValue])),0)</f>
        <v>205.3</v>
      </c>
      <c r="L95" cm="1">
        <f t="array" ref="L95">IFERROR(_xlfn.STDEV.S(IF((OutputTable[GroupByKey]=OutputTable[[#This Row],[GroupByKey]]),(OutputTable[GroupByKey]=OutputTable[[#This Row],[GroupByKey]])*OutputTable[RecordedValue])),0)</f>
        <v>12.944754407352296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9.2601194613936642</v>
      </c>
      <c r="O95" cm="1">
        <f t="array" ref="O95">MIN(IF((OutputTable[GroupByKey]=OutputTable[[#This Row],[GroupByKey]]),(OutputTable[GroupByKey]=OutputTable[[#This Row],[GroupByKey]])*OutputTable[RecordedValue]))</f>
        <v>185</v>
      </c>
      <c r="P95" cm="1">
        <f t="array" ref="P95">MAX(IF((OutputTable[GroupByKey]=OutputTable[[#This Row],[GroupByKey]]),(OutputTable[GroupByKey]=OutputTable[[#This Row],[GroupByKey]])*OutputTable[RecordedValue]))</f>
        <v>224</v>
      </c>
    </row>
    <row r="96" spans="1:16" x14ac:dyDescent="0.3">
      <c r="A96" t="s">
        <v>66</v>
      </c>
      <c r="B96" t="s">
        <v>68</v>
      </c>
      <c r="C96">
        <v>8</v>
      </c>
      <c r="D96" t="s">
        <v>101</v>
      </c>
      <c r="E96" t="s">
        <v>99</v>
      </c>
      <c r="F96" t="s">
        <v>89</v>
      </c>
      <c r="G96">
        <v>0.49793942474087499</v>
      </c>
      <c r="H96">
        <v>0</v>
      </c>
      <c r="I96" t="str">
        <f>OutputTable[[#This Row],[ProjectName]]&amp;OutputTable[[#This Row],[Name]]&amp;OutputTable[[#This Row],[Type]]&amp;OutputTable[[#This Row],[Source]]</f>
        <v>Unnamed ProjectRecoger pedidos.ScheduledUtilizationScheduled UtilizationResource</v>
      </c>
      <c r="J96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cm="1">
        <f t="array" ref="K96">IFERROR(AVERAGE(IF((OutputTable[GroupByKey]=OutputTable[[#This Row],[GroupByKey]]),(OutputTable[GroupByKey]=OutputTable[[#This Row],[GroupByKey]])*OutputTable[RecordedValue])),0)</f>
        <v>0.55143120740685148</v>
      </c>
      <c r="L96" cm="1">
        <f t="array" ref="L96">IFERROR(_xlfn.STDEV.S(IF((OutputTable[GroupByKey]=OutputTable[[#This Row],[GroupByKey]]),(OutputTable[GroupByKey]=OutputTable[[#This Row],[GroupByKey]])*OutputTable[RecordedValue])),0)</f>
        <v>3.4243845838583781E-2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2.4496571607625712E-2</v>
      </c>
      <c r="O96" cm="1">
        <f t="array" ref="O96">MIN(IF((OutputTable[GroupByKey]=OutputTable[[#This Row],[GroupByKey]]),(OutputTable[GroupByKey]=OutputTable[[#This Row],[GroupByKey]])*OutputTable[RecordedValue]))</f>
        <v>0.49793942474087499</v>
      </c>
      <c r="P96" cm="1">
        <f t="array" ref="P96">MAX(IF((OutputTable[GroupByKey]=OutputTable[[#This Row],[GroupByKey]]),(OutputTable[GroupByKey]=OutputTable[[#This Row],[GroupByKey]])*OutputTable[RecordedValue]))</f>
        <v>0.59360317623750203</v>
      </c>
    </row>
    <row r="97" spans="1:16" x14ac:dyDescent="0.3">
      <c r="A97" t="s">
        <v>66</v>
      </c>
      <c r="B97" t="s">
        <v>68</v>
      </c>
      <c r="C97">
        <v>8</v>
      </c>
      <c r="D97" t="s">
        <v>102</v>
      </c>
      <c r="E97" t="s">
        <v>103</v>
      </c>
      <c r="F97" t="s">
        <v>104</v>
      </c>
      <c r="G97">
        <v>167</v>
      </c>
      <c r="H97">
        <v>0</v>
      </c>
      <c r="I97" t="str">
        <f>OutputTable[[#This Row],[ProjectName]]&amp;OutputTable[[#This Row],[Name]]&amp;OutputTable[[#This Row],[Type]]&amp;OutputTable[[#This Row],[Source]]</f>
        <v>Unnamed ProjectSystem.NumberOutNumber OutSystem</v>
      </c>
      <c r="J97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cm="1">
        <f t="array" ref="K97">IFERROR(AVERAGE(IF((OutputTable[GroupByKey]=OutputTable[[#This Row],[GroupByKey]]),(OutputTable[GroupByKey]=OutputTable[[#This Row],[GroupByKey]])*OutputTable[RecordedValue])),0)</f>
        <v>190.4</v>
      </c>
      <c r="L97" cm="1">
        <f t="array" ref="L97">IFERROR(_xlfn.STDEV.S(IF((OutputTable[GroupByKey]=OutputTable[[#This Row],[GroupByKey]]),(OutputTable[GroupByKey]=OutputTable[[#This Row],[GroupByKey]])*OutputTable[RecordedValue])),0)</f>
        <v>12.029593139882625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8.6054525286323678</v>
      </c>
      <c r="O97" cm="1">
        <f t="array" ref="O97">MIN(IF((OutputTable[GroupByKey]=OutputTable[[#This Row],[GroupByKey]]),(OutputTable[GroupByKey]=OutputTable[[#This Row],[GroupByKey]])*OutputTable[RecordedValue]))</f>
        <v>167</v>
      </c>
      <c r="P97" cm="1">
        <f t="array" ref="P97">MAX(IF((OutputTable[GroupByKey]=OutputTable[[#This Row],[GroupByKey]]),(OutputTable[GroupByKey]=OutputTable[[#This Row],[GroupByKey]])*OutputTable[RecordedValue]))</f>
        <v>204</v>
      </c>
    </row>
    <row r="98" spans="1:16" x14ac:dyDescent="0.3">
      <c r="A98" t="s">
        <v>66</v>
      </c>
      <c r="B98" t="s">
        <v>68</v>
      </c>
      <c r="C98">
        <v>8</v>
      </c>
      <c r="D98" t="s">
        <v>105</v>
      </c>
      <c r="E98" t="s">
        <v>106</v>
      </c>
      <c r="F98" t="s">
        <v>78</v>
      </c>
      <c r="G98">
        <v>30</v>
      </c>
      <c r="H98">
        <v>0</v>
      </c>
      <c r="I98" t="str">
        <f>OutputTable[[#This Row],[ProjectName]]&amp;OutputTable[[#This Row],[Name]]&amp;OutputTable[[#This Row],[Type]]&amp;OutputTable[[#This Row],[Source]]</f>
        <v>Unnamed Projectcbus.NumberInNumber InEntity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cm="1">
        <f t="array" ref="K98">IFERROR(AVERAGE(IF((OutputTable[GroupByKey]=OutputTable[[#This Row],[GroupByKey]]),(OutputTable[GroupByKey]=OutputTable[[#This Row],[GroupByKey]])*OutputTable[RecordedValue])),0)</f>
        <v>31.2</v>
      </c>
      <c r="L98" cm="1">
        <f t="array" ref="L98">IFERROR(_xlfn.STDEV.S(IF((OutputTable[GroupByKey]=OutputTable[[#This Row],[GroupByKey]]),(OutputTable[GroupByKey]=OutputTable[[#This Row],[GroupByKey]])*OutputTable[RecordedValue])),0)</f>
        <v>3.7653389990514556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98" cm="1">
        <f t="array" ref="O98">MIN(IF((OutputTable[GroupByKey]=OutputTable[[#This Row],[GroupByKey]]),(OutputTable[GroupByKey]=OutputTable[[#This Row],[GroupByKey]])*OutputTable[RecordedValue]))</f>
        <v>26</v>
      </c>
      <c r="P98" cm="1">
        <f t="array" ref="P98">MAX(IF((OutputTable[GroupByKey]=OutputTable[[#This Row],[GroupByKey]]),(OutputTable[GroupByKey]=OutputTable[[#This Row],[GroupByKey]])*OutputTable[RecordedValue]))</f>
        <v>39</v>
      </c>
    </row>
    <row r="99" spans="1:16" x14ac:dyDescent="0.3">
      <c r="A99" t="s">
        <v>66</v>
      </c>
      <c r="B99" t="s">
        <v>68</v>
      </c>
      <c r="C99">
        <v>8</v>
      </c>
      <c r="D99" t="s">
        <v>107</v>
      </c>
      <c r="E99" t="s">
        <v>103</v>
      </c>
      <c r="F99" t="s">
        <v>78</v>
      </c>
      <c r="G99">
        <v>30</v>
      </c>
      <c r="H99">
        <v>0</v>
      </c>
      <c r="I99" t="str">
        <f>OutputTable[[#This Row],[ProjectName]]&amp;OutputTable[[#This Row],[Name]]&amp;OutputTable[[#This Row],[Type]]&amp;OutputTable[[#This Row],[Source]]</f>
        <v>Unnamed Projectcbus.NumberOutNumber OutEntity</v>
      </c>
      <c r="J99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cm="1">
        <f t="array" ref="K99">IFERROR(AVERAGE(IF((OutputTable[GroupByKey]=OutputTable[[#This Row],[GroupByKey]]),(OutputTable[GroupByKey]=OutputTable[[#This Row],[GroupByKey]])*OutputTable[RecordedValue])),0)</f>
        <v>31.2</v>
      </c>
      <c r="L99" cm="1">
        <f t="array" ref="L99">IFERROR(_xlfn.STDEV.S(IF((OutputTable[GroupByKey]=OutputTable[[#This Row],[GroupByKey]]),(OutputTable[GroupByKey]=OutputTable[[#This Row],[GroupByKey]])*OutputTable[RecordedValue])),0)</f>
        <v>3.7653389990514556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99" cm="1">
        <f t="array" ref="O99">MIN(IF((OutputTable[GroupByKey]=OutputTable[[#This Row],[GroupByKey]]),(OutputTable[GroupByKey]=OutputTable[[#This Row],[GroupByKey]])*OutputTable[RecordedValue]))</f>
        <v>26</v>
      </c>
      <c r="P99" cm="1">
        <f t="array" ref="P99">MAX(IF((OutputTable[GroupByKey]=OutputTable[[#This Row],[GroupByKey]]),(OutputTable[GroupByKey]=OutputTable[[#This Row],[GroupByKey]])*OutputTable[RecordedValue]))</f>
        <v>39</v>
      </c>
    </row>
    <row r="100" spans="1:16" x14ac:dyDescent="0.3">
      <c r="A100" t="s">
        <v>66</v>
      </c>
      <c r="B100" t="s">
        <v>68</v>
      </c>
      <c r="C100">
        <v>8</v>
      </c>
      <c r="D100" t="s">
        <v>108</v>
      </c>
      <c r="E100" t="s">
        <v>106</v>
      </c>
      <c r="F100" t="s">
        <v>78</v>
      </c>
      <c r="G100">
        <v>89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Projectccoche.NumberInNumber InEntity</v>
      </c>
      <c r="J100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cm="1">
        <f t="array" ref="K100">IFERROR(AVERAGE(IF((OutputTable[GroupByKey]=OutputTable[[#This Row],[GroupByKey]]),(OutputTable[GroupByKey]=OutputTable[[#This Row],[GroupByKey]])*OutputTable[RecordedValue])),0)</f>
        <v>105.9</v>
      </c>
      <c r="L100" cm="1">
        <f t="array" ref="L100">IFERROR(_xlfn.STDEV.S(IF((OutputTable[GroupByKey]=OutputTable[[#This Row],[GroupByKey]]),(OutputTable[GroupByKey]=OutputTable[[#This Row],[GroupByKey]])*OutputTable[RecordedValue])),0)</f>
        <v>13.714955340794928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9.8110880181169016</v>
      </c>
      <c r="O100" cm="1">
        <f t="array" ref="O100">MIN(IF((OutputTable[GroupByKey]=OutputTable[[#This Row],[GroupByKey]]),(OutputTable[GroupByKey]=OutputTable[[#This Row],[GroupByKey]])*OutputTable[RecordedValue]))</f>
        <v>89</v>
      </c>
      <c r="P100" cm="1">
        <f t="array" ref="P100">MAX(IF((OutputTable[GroupByKey]=OutputTable[[#This Row],[GroupByKey]]),(OutputTable[GroupByKey]=OutputTable[[#This Row],[GroupByKey]])*OutputTable[RecordedValue]))</f>
        <v>125</v>
      </c>
    </row>
    <row r="101" spans="1:16" x14ac:dyDescent="0.3">
      <c r="A101" t="s">
        <v>66</v>
      </c>
      <c r="B101" t="s">
        <v>68</v>
      </c>
      <c r="C101">
        <v>8</v>
      </c>
      <c r="D101" t="s">
        <v>109</v>
      </c>
      <c r="E101" t="s">
        <v>103</v>
      </c>
      <c r="F101" t="s">
        <v>78</v>
      </c>
      <c r="G101">
        <v>77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Projectccoche.NumberOutNumber OutEntity</v>
      </c>
      <c r="J101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cm="1">
        <f t="array" ref="K101">IFERROR(AVERAGE(IF((OutputTable[GroupByKey]=OutputTable[[#This Row],[GroupByKey]]),(OutputTable[GroupByKey]=OutputTable[[#This Row],[GroupByKey]])*OutputTable[RecordedValue])),0)</f>
        <v>92.2</v>
      </c>
      <c r="L101" cm="1">
        <f t="array" ref="L101">IFERROR(_xlfn.STDEV.S(IF((OutputTable[GroupByKey]=OutputTable[[#This Row],[GroupByKey]]),(OutputTable[GroupByKey]=OutputTable[[#This Row],[GroupByKey]])*OutputTable[RecordedValue])),0)</f>
        <v>11.003029885748166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7.8710934153715639</v>
      </c>
      <c r="O101" cm="1">
        <f t="array" ref="O101">MIN(IF((OutputTable[GroupByKey]=OutputTable[[#This Row],[GroupByKey]]),(OutputTable[GroupByKey]=OutputTable[[#This Row],[GroupByKey]])*OutputTable[RecordedValue]))</f>
        <v>77</v>
      </c>
      <c r="P101" cm="1">
        <f t="array" ref="P101">MAX(IF((OutputTable[GroupByKey]=OutputTable[[#This Row],[GroupByKey]]),(OutputTable[GroupByKey]=OutputTable[[#This Row],[GroupByKey]])*OutputTable[RecordedValue]))</f>
        <v>111</v>
      </c>
    </row>
    <row r="102" spans="1:16" x14ac:dyDescent="0.3">
      <c r="A102" t="s">
        <v>66</v>
      </c>
      <c r="B102" t="s">
        <v>68</v>
      </c>
      <c r="C102">
        <v>8</v>
      </c>
      <c r="D102" t="s">
        <v>110</v>
      </c>
      <c r="E102" t="s">
        <v>97</v>
      </c>
      <c r="F102" t="s">
        <v>89</v>
      </c>
      <c r="G102">
        <v>182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Projectcomiendo.NumberSeizedTotal Number SeizedResource</v>
      </c>
      <c r="J102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cm="1">
        <f t="array" ref="K102">IFERROR(AVERAGE(IF((OutputTable[GroupByKey]=OutputTable[[#This Row],[GroupByKey]]),(OutputTable[GroupByKey]=OutputTable[[#This Row],[GroupByKey]])*OutputTable[RecordedValue])),0)</f>
        <v>203.5</v>
      </c>
      <c r="L102" cm="1">
        <f t="array" ref="L102">IFERROR(_xlfn.STDEV.S(IF((OutputTable[GroupByKey]=OutputTable[[#This Row],[GroupByKey]]),(OutputTable[GroupByKey]=OutputTable[[#This Row],[GroupByKey]])*OutputTable[RecordedValue])),0)</f>
        <v>12.96362432175337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9.2736181849755468</v>
      </c>
      <c r="O102" cm="1">
        <f t="array" ref="O102">MIN(IF((OutputTable[GroupByKey]=OutputTable[[#This Row],[GroupByKey]]),(OutputTable[GroupByKey]=OutputTable[[#This Row],[GroupByKey]])*OutputTable[RecordedValue]))</f>
        <v>182</v>
      </c>
      <c r="P102" cm="1">
        <f t="array" ref="P102">MAX(IF((OutputTable[GroupByKey]=OutputTable[[#This Row],[GroupByKey]]),(OutputTable[GroupByKey]=OutputTable[[#This Row],[GroupByKey]])*OutputTable[RecordedValue]))</f>
        <v>222</v>
      </c>
    </row>
    <row r="103" spans="1:16" x14ac:dyDescent="0.3">
      <c r="A103" t="s">
        <v>66</v>
      </c>
      <c r="B103" t="s">
        <v>68</v>
      </c>
      <c r="C103">
        <v>8</v>
      </c>
      <c r="D103" t="s">
        <v>111</v>
      </c>
      <c r="E103" t="s">
        <v>99</v>
      </c>
      <c r="F103" t="s">
        <v>89</v>
      </c>
      <c r="G103">
        <v>0.48838500773485299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Projectcomiendo.ScheduledUtilizationScheduled UtilizationResource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cm="1">
        <f t="array" ref="K103">IFERROR(AVERAGE(IF((OutputTable[GroupByKey]=OutputTable[[#This Row],[GroupByKey]]),(OutputTable[GroupByKey]=OutputTable[[#This Row],[GroupByKey]])*OutputTable[RecordedValue])),0)</f>
        <v>0.54567746104498949</v>
      </c>
      <c r="L103" cm="1">
        <f t="array" ref="L103">IFERROR(_xlfn.STDEV.S(IF((OutputTable[GroupByKey]=OutputTable[[#This Row],[GroupByKey]]),(OutputTable[GroupByKey]=OutputTable[[#This Row],[GroupByKey]])*OutputTable[RecordedValue])),0)</f>
        <v>3.6093067502765995E-2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2.5819425095769025E-2</v>
      </c>
      <c r="O103" cm="1">
        <f t="array" ref="O103">MIN(IF((OutputTable[GroupByKey]=OutputTable[[#This Row],[GroupByKey]]),(OutputTable[GroupByKey]=OutputTable[[#This Row],[GroupByKey]])*OutputTable[RecordedValue]))</f>
        <v>0.48838500773485299</v>
      </c>
      <c r="P103" cm="1">
        <f t="array" ref="P103">MAX(IF((OutputTable[GroupByKey]=OutputTable[[#This Row],[GroupByKey]]),(OutputTable[GroupByKey]=OutputTable[[#This Row],[GroupByKey]])*OutputTable[RecordedValue]))</f>
        <v>0.59303053253801696</v>
      </c>
    </row>
    <row r="104" spans="1:16" x14ac:dyDescent="0.3">
      <c r="A104" t="s">
        <v>66</v>
      </c>
      <c r="B104" t="s">
        <v>68</v>
      </c>
      <c r="C104">
        <v>8</v>
      </c>
      <c r="D104" t="s">
        <v>112</v>
      </c>
      <c r="E104" t="s">
        <v>106</v>
      </c>
      <c r="F104" t="s">
        <v>78</v>
      </c>
      <c r="G104">
        <v>71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Projectcpie.NumberInNumber InEntity</v>
      </c>
      <c r="J104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cm="1">
        <f t="array" ref="K104">IFERROR(AVERAGE(IF((OutputTable[GroupByKey]=OutputTable[[#This Row],[GroupByKey]]),(OutputTable[GroupByKey]=OutputTable[[#This Row],[GroupByKey]])*OutputTable[RecordedValue])),0)</f>
        <v>77.3</v>
      </c>
      <c r="L104" cm="1">
        <f t="array" ref="L104">IFERROR(_xlfn.STDEV.S(IF((OutputTable[GroupByKey]=OutputTable[[#This Row],[GroupByKey]]),(OutputTable[GroupByKey]=OutputTable[[#This Row],[GroupByKey]])*OutputTable[RecordedValue])),0)</f>
        <v>11.314199534704651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8.0936907726810521</v>
      </c>
      <c r="O104" cm="1">
        <f t="array" ref="O104">MIN(IF((OutputTable[GroupByKey]=OutputTable[[#This Row],[GroupByKey]]),(OutputTable[GroupByKey]=OutputTable[[#This Row],[GroupByKey]])*OutputTable[RecordedValue]))</f>
        <v>64</v>
      </c>
      <c r="P104" cm="1">
        <f t="array" ref="P104">MAX(IF((OutputTable[GroupByKey]=OutputTable[[#This Row],[GroupByKey]]),(OutputTable[GroupByKey]=OutputTable[[#This Row],[GroupByKey]])*OutputTable[RecordedValue]))</f>
        <v>105</v>
      </c>
    </row>
    <row r="105" spans="1:16" x14ac:dyDescent="0.3">
      <c r="A105" t="s">
        <v>66</v>
      </c>
      <c r="B105" t="s">
        <v>68</v>
      </c>
      <c r="C105">
        <v>8</v>
      </c>
      <c r="D105" t="s">
        <v>113</v>
      </c>
      <c r="E105" t="s">
        <v>103</v>
      </c>
      <c r="F105" t="s">
        <v>78</v>
      </c>
      <c r="G105">
        <v>60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Projectcpie.NumberOutNumber OutEntity</v>
      </c>
      <c r="J10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cm="1">
        <f t="array" ref="K105">IFERROR(AVERAGE(IF((OutputTable[GroupByKey]=OutputTable[[#This Row],[GroupByKey]]),(OutputTable[GroupByKey]=OutputTable[[#This Row],[GroupByKey]])*OutputTable[RecordedValue])),0)</f>
        <v>67</v>
      </c>
      <c r="L105" cm="1">
        <f t="array" ref="L105">IFERROR(_xlfn.STDEV.S(IF((OutputTable[GroupByKey]=OutputTable[[#This Row],[GroupByKey]]),(OutputTable[GroupByKey]=OutputTable[[#This Row],[GroupByKey]])*OutputTable[RecordedValue])),0)</f>
        <v>9.5916630466254382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6.8614624001471327</v>
      </c>
      <c r="O105" cm="1">
        <f t="array" ref="O105">MIN(IF((OutputTable[GroupByKey]=OutputTable[[#This Row],[GroupByKey]]),(OutputTable[GroupByKey]=OutputTable[[#This Row],[GroupByKey]])*OutputTable[RecordedValue]))</f>
        <v>58</v>
      </c>
      <c r="P105" cm="1">
        <f t="array" ref="P105">MAX(IF((OutputTable[GroupByKey]=OutputTable[[#This Row],[GroupByKey]]),(OutputTable[GroupByKey]=OutputTable[[#This Row],[GroupByKey]])*OutputTable[RecordedValue]))</f>
        <v>92</v>
      </c>
    </row>
    <row r="106" spans="1:16" x14ac:dyDescent="0.3">
      <c r="A106" t="s">
        <v>66</v>
      </c>
      <c r="B106" t="s">
        <v>68</v>
      </c>
      <c r="C106">
        <v>9</v>
      </c>
      <c r="D106" t="s">
        <v>96</v>
      </c>
      <c r="E106" t="s">
        <v>97</v>
      </c>
      <c r="F106" t="s">
        <v>89</v>
      </c>
      <c r="G106">
        <v>226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ProjectLlegada Pedidos.NumberSeizedTotal Number SeizedResource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cm="1">
        <f t="array" ref="K106">IFERROR(AVERAGE(IF((OutputTable[GroupByKey]=OutputTable[[#This Row],[GroupByKey]]),(OutputTable[GroupByKey]=OutputTable[[#This Row],[GroupByKey]])*OutputTable[RecordedValue])),0)</f>
        <v>213.2</v>
      </c>
      <c r="L106" cm="1">
        <f t="array" ref="L106">IFERROR(_xlfn.STDEV.S(IF((OutputTable[GroupByKey]=OutputTable[[#This Row],[GroupByKey]]),(OutputTable[GroupByKey]=OutputTable[[#This Row],[GroupByKey]])*OutputTable[RecordedValue])),0)</f>
        <v>15.540627757948235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11.117095389767675</v>
      </c>
      <c r="O106" cm="1">
        <f t="array" ref="O106">MIN(IF((OutputTable[GroupByKey]=OutputTable[[#This Row],[GroupByKey]]),(OutputTable[GroupByKey]=OutputTable[[#This Row],[GroupByKey]])*OutputTable[RecordedValue]))</f>
        <v>190</v>
      </c>
      <c r="P106" cm="1">
        <f t="array" ref="P106">MAX(IF((OutputTable[GroupByKey]=OutputTable[[#This Row],[GroupByKey]]),(OutputTable[GroupByKey]=OutputTable[[#This Row],[GroupByKey]])*OutputTable[RecordedValue]))</f>
        <v>235</v>
      </c>
    </row>
    <row r="107" spans="1:16" x14ac:dyDescent="0.3">
      <c r="A107" t="s">
        <v>66</v>
      </c>
      <c r="B107" t="s">
        <v>68</v>
      </c>
      <c r="C107">
        <v>9</v>
      </c>
      <c r="D107" t="s">
        <v>98</v>
      </c>
      <c r="E107" t="s">
        <v>99</v>
      </c>
      <c r="F107" t="s">
        <v>89</v>
      </c>
      <c r="G107">
        <v>0.70159536378357401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ProjectLlegada Pedidos.ScheduledUtilizationScheduled UtilizationResource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cm="1">
        <f t="array" ref="K107">IFERROR(AVERAGE(IF((OutputTable[GroupByKey]=OutputTable[[#This Row],[GroupByKey]]),(OutputTable[GroupByKey]=OutputTable[[#This Row],[GroupByKey]])*OutputTable[RecordedValue])),0)</f>
        <v>0.66170817272124971</v>
      </c>
      <c r="L107" cm="1">
        <f t="array" ref="L107">IFERROR(_xlfn.STDEV.S(IF((OutputTable[GroupByKey]=OutputTable[[#This Row],[GroupByKey]]),(OutputTable[GroupByKey]=OutputTable[[#This Row],[GroupByKey]])*OutputTable[RecordedValue])),0)</f>
        <v>4.5736088034979056E-2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3.2717626427904552E-2</v>
      </c>
      <c r="O107" cm="1">
        <f t="array" ref="O107">MIN(IF((OutputTable[GroupByKey]=OutputTable[[#This Row],[GroupByKey]]),(OutputTable[GroupByKey]=OutputTable[[#This Row],[GroupByKey]])*OutputTable[RecordedValue]))</f>
        <v>0.59604324380846896</v>
      </c>
      <c r="P107" cm="1">
        <f t="array" ref="P107">MAX(IF((OutputTable[GroupByKey]=OutputTable[[#This Row],[GroupByKey]]),(OutputTable[GroupByKey]=OutputTable[[#This Row],[GroupByKey]])*OutputTable[RecordedValue]))</f>
        <v>0.72905379552072003</v>
      </c>
    </row>
    <row r="108" spans="1:16" x14ac:dyDescent="0.3">
      <c r="A108" t="s">
        <v>66</v>
      </c>
      <c r="B108" t="s">
        <v>68</v>
      </c>
      <c r="C108">
        <v>9</v>
      </c>
      <c r="D108" t="s">
        <v>100</v>
      </c>
      <c r="E108" t="s">
        <v>97</v>
      </c>
      <c r="F108" t="s">
        <v>89</v>
      </c>
      <c r="G108">
        <v>217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ProjectRecoger pedidos.NumberSeizedTotal Number SeizedResource</v>
      </c>
      <c r="J108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cm="1">
        <f t="array" ref="K108">IFERROR(AVERAGE(IF((OutputTable[GroupByKey]=OutputTable[[#This Row],[GroupByKey]]),(OutputTable[GroupByKey]=OutputTable[[#This Row],[GroupByKey]])*OutputTable[RecordedValue])),0)</f>
        <v>205.3</v>
      </c>
      <c r="L108" cm="1">
        <f t="array" ref="L108">IFERROR(_xlfn.STDEV.S(IF((OutputTable[GroupByKey]=OutputTable[[#This Row],[GroupByKey]]),(OutputTable[GroupByKey]=OutputTable[[#This Row],[GroupByKey]])*OutputTable[RecordedValue])),0)</f>
        <v>12.944754407352296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9.2601194613936642</v>
      </c>
      <c r="O108" cm="1">
        <f t="array" ref="O108">MIN(IF((OutputTable[GroupByKey]=OutputTable[[#This Row],[GroupByKey]]),(OutputTable[GroupByKey]=OutputTable[[#This Row],[GroupByKey]])*OutputTable[RecordedValue]))</f>
        <v>185</v>
      </c>
      <c r="P108" cm="1">
        <f t="array" ref="P108">MAX(IF((OutputTable[GroupByKey]=OutputTable[[#This Row],[GroupByKey]]),(OutputTable[GroupByKey]=OutputTable[[#This Row],[GroupByKey]])*OutputTable[RecordedValue]))</f>
        <v>224</v>
      </c>
    </row>
    <row r="109" spans="1:16" x14ac:dyDescent="0.3">
      <c r="A109" t="s">
        <v>66</v>
      </c>
      <c r="B109" t="s">
        <v>68</v>
      </c>
      <c r="C109">
        <v>9</v>
      </c>
      <c r="D109" t="s">
        <v>101</v>
      </c>
      <c r="E109" t="s">
        <v>99</v>
      </c>
      <c r="F109" t="s">
        <v>89</v>
      </c>
      <c r="G109">
        <v>0.58195109722648797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ProjectRecoger pedidos.ScheduledUtilizationScheduled UtilizationResource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cm="1">
        <f t="array" ref="K109">IFERROR(AVERAGE(IF((OutputTable[GroupByKey]=OutputTable[[#This Row],[GroupByKey]]),(OutputTable[GroupByKey]=OutputTable[[#This Row],[GroupByKey]])*OutputTable[RecordedValue])),0)</f>
        <v>0.55143120740685148</v>
      </c>
      <c r="L109" cm="1">
        <f t="array" ref="L109">IFERROR(_xlfn.STDEV.S(IF((OutputTable[GroupByKey]=OutputTable[[#This Row],[GroupByKey]]),(OutputTable[GroupByKey]=OutputTable[[#This Row],[GroupByKey]])*OutputTable[RecordedValue])),0)</f>
        <v>3.4243845838583781E-2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2.4496571607625712E-2</v>
      </c>
      <c r="O109" cm="1">
        <f t="array" ref="O109">MIN(IF((OutputTable[GroupByKey]=OutputTable[[#This Row],[GroupByKey]]),(OutputTable[GroupByKey]=OutputTable[[#This Row],[GroupByKey]])*OutputTable[RecordedValue]))</f>
        <v>0.49793942474087499</v>
      </c>
      <c r="P109" cm="1">
        <f t="array" ref="P109">MAX(IF((OutputTable[GroupByKey]=OutputTable[[#This Row],[GroupByKey]]),(OutputTable[GroupByKey]=OutputTable[[#This Row],[GroupByKey]])*OutputTable[RecordedValue]))</f>
        <v>0.59360317623750203</v>
      </c>
    </row>
    <row r="110" spans="1:16" x14ac:dyDescent="0.3">
      <c r="A110" t="s">
        <v>66</v>
      </c>
      <c r="B110" t="s">
        <v>68</v>
      </c>
      <c r="C110">
        <v>9</v>
      </c>
      <c r="D110" t="s">
        <v>102</v>
      </c>
      <c r="E110" t="s">
        <v>103</v>
      </c>
      <c r="F110" t="s">
        <v>104</v>
      </c>
      <c r="G110">
        <v>201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ProjectSystem.NumberOutNumber OutSystem</v>
      </c>
      <c r="J110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cm="1">
        <f t="array" ref="K110">IFERROR(AVERAGE(IF((OutputTable[GroupByKey]=OutputTable[[#This Row],[GroupByKey]]),(OutputTable[GroupByKey]=OutputTable[[#This Row],[GroupByKey]])*OutputTable[RecordedValue])),0)</f>
        <v>190.4</v>
      </c>
      <c r="L110" cm="1">
        <f t="array" ref="L110">IFERROR(_xlfn.STDEV.S(IF((OutputTable[GroupByKey]=OutputTable[[#This Row],[GroupByKey]]),(OutputTable[GroupByKey]=OutputTable[[#This Row],[GroupByKey]])*OutputTable[RecordedValue])),0)</f>
        <v>12.029593139882625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8.6054525286323678</v>
      </c>
      <c r="O110" cm="1">
        <f t="array" ref="O110">MIN(IF((OutputTable[GroupByKey]=OutputTable[[#This Row],[GroupByKey]]),(OutputTable[GroupByKey]=OutputTable[[#This Row],[GroupByKey]])*OutputTable[RecordedValue]))</f>
        <v>167</v>
      </c>
      <c r="P110" cm="1">
        <f t="array" ref="P110">MAX(IF((OutputTable[GroupByKey]=OutputTable[[#This Row],[GroupByKey]]),(OutputTable[GroupByKey]=OutputTable[[#This Row],[GroupByKey]])*OutputTable[RecordedValue]))</f>
        <v>204</v>
      </c>
    </row>
    <row r="111" spans="1:16" x14ac:dyDescent="0.3">
      <c r="A111" t="s">
        <v>66</v>
      </c>
      <c r="B111" t="s">
        <v>68</v>
      </c>
      <c r="C111">
        <v>9</v>
      </c>
      <c r="D111" t="s">
        <v>105</v>
      </c>
      <c r="E111" t="s">
        <v>106</v>
      </c>
      <c r="F111" t="s">
        <v>78</v>
      </c>
      <c r="G111">
        <v>31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Projectcbus.NumberInNumber InEntity</v>
      </c>
      <c r="J111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cm="1">
        <f t="array" ref="K111">IFERROR(AVERAGE(IF((OutputTable[GroupByKey]=OutputTable[[#This Row],[GroupByKey]]),(OutputTable[GroupByKey]=OutputTable[[#This Row],[GroupByKey]])*OutputTable[RecordedValue])),0)</f>
        <v>31.2</v>
      </c>
      <c r="L111" cm="1">
        <f t="array" ref="L111">IFERROR(_xlfn.STDEV.S(IF((OutputTable[GroupByKey]=OutputTable[[#This Row],[GroupByKey]]),(OutputTable[GroupByKey]=OutputTable[[#This Row],[GroupByKey]])*OutputTable[RecordedValue])),0)</f>
        <v>3.7653389990514556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111" cm="1">
        <f t="array" ref="O111">MIN(IF((OutputTable[GroupByKey]=OutputTable[[#This Row],[GroupByKey]]),(OutputTable[GroupByKey]=OutputTable[[#This Row],[GroupByKey]])*OutputTable[RecordedValue]))</f>
        <v>26</v>
      </c>
      <c r="P111" cm="1">
        <f t="array" ref="P111">MAX(IF((OutputTable[GroupByKey]=OutputTable[[#This Row],[GroupByKey]]),(OutputTable[GroupByKey]=OutputTable[[#This Row],[GroupByKey]])*OutputTable[RecordedValue]))</f>
        <v>39</v>
      </c>
    </row>
    <row r="112" spans="1:16" x14ac:dyDescent="0.3">
      <c r="A112" t="s">
        <v>66</v>
      </c>
      <c r="B112" t="s">
        <v>68</v>
      </c>
      <c r="C112">
        <v>9</v>
      </c>
      <c r="D112" t="s">
        <v>107</v>
      </c>
      <c r="E112" t="s">
        <v>103</v>
      </c>
      <c r="F112" t="s">
        <v>78</v>
      </c>
      <c r="G112">
        <v>31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Projectcbus.NumberOutNumber OutEntity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s="5" cm="1">
        <f t="array" ref="K112">IFERROR(AVERAGE(IF((OutputTable[GroupByKey]=OutputTable[[#This Row],[GroupByKey]]),(OutputTable[GroupByKey]=OutputTable[[#This Row],[GroupByKey]])*OutputTable[RecordedValue])),0)</f>
        <v>31.2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3.7653389990514556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112" s="5" cm="1">
        <f t="array" ref="O112">MIN(IF((OutputTable[GroupByKey]=OutputTable[[#This Row],[GroupByKey]]),(OutputTable[GroupByKey]=OutputTable[[#This Row],[GroupByKey]])*OutputTable[RecordedValue]))</f>
        <v>26</v>
      </c>
      <c r="P112" s="5" cm="1">
        <f t="array" ref="P112">MAX(IF((OutputTable[GroupByKey]=OutputTable[[#This Row],[GroupByKey]]),(OutputTable[GroupByKey]=OutputTable[[#This Row],[GroupByKey]])*OutputTable[RecordedValue]))</f>
        <v>39</v>
      </c>
    </row>
    <row r="113" spans="1:16" x14ac:dyDescent="0.3">
      <c r="A113" t="s">
        <v>66</v>
      </c>
      <c r="B113" t="s">
        <v>68</v>
      </c>
      <c r="C113">
        <v>9</v>
      </c>
      <c r="D113" t="s">
        <v>108</v>
      </c>
      <c r="E113" t="s">
        <v>106</v>
      </c>
      <c r="F113" t="s">
        <v>78</v>
      </c>
      <c r="G113">
        <v>94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Projectccoche.NumberInNumber InEntity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s="5" cm="1">
        <f t="array" ref="K113">IFERROR(AVERAGE(IF((OutputTable[GroupByKey]=OutputTable[[#This Row],[GroupByKey]]),(OutputTable[GroupByKey]=OutputTable[[#This Row],[GroupByKey]])*OutputTable[RecordedValue])),0)</f>
        <v>105.9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13.714955340794928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9.8110880181169016</v>
      </c>
      <c r="O113" s="5" cm="1">
        <f t="array" ref="O113">MIN(IF((OutputTable[GroupByKey]=OutputTable[[#This Row],[GroupByKey]]),(OutputTable[GroupByKey]=OutputTable[[#This Row],[GroupByKey]])*OutputTable[RecordedValue]))</f>
        <v>89</v>
      </c>
      <c r="P113" s="5" cm="1">
        <f t="array" ref="P113">MAX(IF((OutputTable[GroupByKey]=OutputTable[[#This Row],[GroupByKey]]),(OutputTable[GroupByKey]=OutputTable[[#This Row],[GroupByKey]])*OutputTable[RecordedValue]))</f>
        <v>125</v>
      </c>
    </row>
    <row r="114" spans="1:16" x14ac:dyDescent="0.3">
      <c r="A114" t="s">
        <v>66</v>
      </c>
      <c r="B114" t="s">
        <v>68</v>
      </c>
      <c r="C114">
        <v>9</v>
      </c>
      <c r="D114" t="s">
        <v>109</v>
      </c>
      <c r="E114" t="s">
        <v>103</v>
      </c>
      <c r="F114" t="s">
        <v>78</v>
      </c>
      <c r="G114">
        <v>78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Projectccoche.NumberOutNumber OutEntity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s="5" cm="1">
        <f t="array" ref="K114">IFERROR(AVERAGE(IF((OutputTable[GroupByKey]=OutputTable[[#This Row],[GroupByKey]]),(OutputTable[GroupByKey]=OutputTable[[#This Row],[GroupByKey]])*OutputTable[RecordedValue])),0)</f>
        <v>92.2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11.003029885748166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7.8710934153715639</v>
      </c>
      <c r="O114" s="5" cm="1">
        <f t="array" ref="O114">MIN(IF((OutputTable[GroupByKey]=OutputTable[[#This Row],[GroupByKey]]),(OutputTable[GroupByKey]=OutputTable[[#This Row],[GroupByKey]])*OutputTable[RecordedValue]))</f>
        <v>77</v>
      </c>
      <c r="P114" s="5" cm="1">
        <f t="array" ref="P114">MAX(IF((OutputTable[GroupByKey]=OutputTable[[#This Row],[GroupByKey]]),(OutputTable[GroupByKey]=OutputTable[[#This Row],[GroupByKey]])*OutputTable[RecordedValue]))</f>
        <v>111</v>
      </c>
    </row>
    <row r="115" spans="1:16" x14ac:dyDescent="0.3">
      <c r="A115" t="s">
        <v>66</v>
      </c>
      <c r="B115" t="s">
        <v>68</v>
      </c>
      <c r="C115">
        <v>9</v>
      </c>
      <c r="D115" t="s">
        <v>110</v>
      </c>
      <c r="E115" t="s">
        <v>97</v>
      </c>
      <c r="F115" t="s">
        <v>89</v>
      </c>
      <c r="G115">
        <v>215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Projectcomiendo.NumberSeizedTotal Number SeizedResource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s="5" cm="1">
        <f t="array" ref="K115">IFERROR(AVERAGE(IF((OutputTable[GroupByKey]=OutputTable[[#This Row],[GroupByKey]]),(OutputTable[GroupByKey]=OutputTable[[#This Row],[GroupByKey]])*OutputTable[RecordedValue])),0)</f>
        <v>203.5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12.96362432175337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9.2736181849755468</v>
      </c>
      <c r="O115" s="5" cm="1">
        <f t="array" ref="O115">MIN(IF((OutputTable[GroupByKey]=OutputTable[[#This Row],[GroupByKey]]),(OutputTable[GroupByKey]=OutputTable[[#This Row],[GroupByKey]])*OutputTable[RecordedValue]))</f>
        <v>182</v>
      </c>
      <c r="P115" s="5" cm="1">
        <f t="array" ref="P115">MAX(IF((OutputTable[GroupByKey]=OutputTable[[#This Row],[GroupByKey]]),(OutputTable[GroupByKey]=OutputTable[[#This Row],[GroupByKey]])*OutputTable[RecordedValue]))</f>
        <v>222</v>
      </c>
    </row>
    <row r="116" spans="1:16" x14ac:dyDescent="0.3">
      <c r="A116" t="s">
        <v>66</v>
      </c>
      <c r="B116" t="s">
        <v>68</v>
      </c>
      <c r="C116">
        <v>9</v>
      </c>
      <c r="D116" t="s">
        <v>111</v>
      </c>
      <c r="E116" t="s">
        <v>99</v>
      </c>
      <c r="F116" t="s">
        <v>89</v>
      </c>
      <c r="G116">
        <v>0.57545560630387704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Projectcomiendo.ScheduledUtilizationScheduled UtilizationResource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s="5" cm="1">
        <f t="array" ref="K116">IFERROR(AVERAGE(IF((OutputTable[GroupByKey]=OutputTable[[#This Row],[GroupByKey]]),(OutputTable[GroupByKey]=OutputTable[[#This Row],[GroupByKey]])*OutputTable[RecordedValue])),0)</f>
        <v>0.54567746104498949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3.6093067502765995E-2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2.5819425095769025E-2</v>
      </c>
      <c r="O116" s="5" cm="1">
        <f t="array" ref="O116">MIN(IF((OutputTable[GroupByKey]=OutputTable[[#This Row],[GroupByKey]]),(OutputTable[GroupByKey]=OutputTable[[#This Row],[GroupByKey]])*OutputTable[RecordedValue]))</f>
        <v>0.48838500773485299</v>
      </c>
      <c r="P116" s="5" cm="1">
        <f t="array" ref="P116">MAX(IF((OutputTable[GroupByKey]=OutputTable[[#This Row],[GroupByKey]]),(OutputTable[GroupByKey]=OutputTable[[#This Row],[GroupByKey]])*OutputTable[RecordedValue]))</f>
        <v>0.59303053253801696</v>
      </c>
    </row>
    <row r="117" spans="1:16" x14ac:dyDescent="0.3">
      <c r="A117" t="s">
        <v>66</v>
      </c>
      <c r="B117" t="s">
        <v>68</v>
      </c>
      <c r="C117">
        <v>9</v>
      </c>
      <c r="D117" t="s">
        <v>112</v>
      </c>
      <c r="E117" t="s">
        <v>106</v>
      </c>
      <c r="F117" t="s">
        <v>78</v>
      </c>
      <c r="G117">
        <v>105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Projectcpie.NumberInNumber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s="5" cm="1">
        <f t="array" ref="K117">IFERROR(AVERAGE(IF((OutputTable[GroupByKey]=OutputTable[[#This Row],[GroupByKey]]),(OutputTable[GroupByKey]=OutputTable[[#This Row],[GroupByKey]])*OutputTable[RecordedValue])),0)</f>
        <v>77.3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11.314199534704651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8.0936907726810521</v>
      </c>
      <c r="O117" s="5" cm="1">
        <f t="array" ref="O117">MIN(IF((OutputTable[GroupByKey]=OutputTable[[#This Row],[GroupByKey]]),(OutputTable[GroupByKey]=OutputTable[[#This Row],[GroupByKey]])*OutputTable[RecordedValue]))</f>
        <v>64</v>
      </c>
      <c r="P117" s="5" cm="1">
        <f t="array" ref="P117">MAX(IF((OutputTable[GroupByKey]=OutputTable[[#This Row],[GroupByKey]]),(OutputTable[GroupByKey]=OutputTable[[#This Row],[GroupByKey]])*OutputTable[RecordedValue]))</f>
        <v>105</v>
      </c>
    </row>
    <row r="118" spans="1:16" x14ac:dyDescent="0.3">
      <c r="A118" t="s">
        <v>66</v>
      </c>
      <c r="B118" t="s">
        <v>68</v>
      </c>
      <c r="C118">
        <v>9</v>
      </c>
      <c r="D118" t="s">
        <v>113</v>
      </c>
      <c r="E118" t="s">
        <v>103</v>
      </c>
      <c r="F118" t="s">
        <v>78</v>
      </c>
      <c r="G118">
        <v>92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Projectcpie.NumberOutNumber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s="5" cm="1">
        <f t="array" ref="K118">IFERROR(AVERAGE(IF((OutputTable[GroupByKey]=OutputTable[[#This Row],[GroupByKey]]),(OutputTable[GroupByKey]=OutputTable[[#This Row],[GroupByKey]])*OutputTable[RecordedValue])),0)</f>
        <v>67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9.5916630466254382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6.8614624001471327</v>
      </c>
      <c r="O118" s="5" cm="1">
        <f t="array" ref="O118">MIN(IF((OutputTable[GroupByKey]=OutputTable[[#This Row],[GroupByKey]]),(OutputTable[GroupByKey]=OutputTable[[#This Row],[GroupByKey]])*OutputTable[RecordedValue]))</f>
        <v>58</v>
      </c>
      <c r="P118" s="5" cm="1">
        <f t="array" ref="P118">MAX(IF((OutputTable[GroupByKey]=OutputTable[[#This Row],[GroupByKey]]),(OutputTable[GroupByKey]=OutputTable[[#This Row],[GroupByKey]])*OutputTable[RecordedValue]))</f>
        <v>92</v>
      </c>
    </row>
    <row r="119" spans="1:16" x14ac:dyDescent="0.3">
      <c r="A119" t="s">
        <v>66</v>
      </c>
      <c r="B119" t="s">
        <v>68</v>
      </c>
      <c r="C119">
        <v>10</v>
      </c>
      <c r="D119" t="s">
        <v>96</v>
      </c>
      <c r="E119" t="s">
        <v>97</v>
      </c>
      <c r="F119" t="s">
        <v>89</v>
      </c>
      <c r="G119">
        <v>201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ProjectLlegada Pedidos.NumberSeizedTotal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s="5" cm="1">
        <f t="array" ref="K119">IFERROR(AVERAGE(IF((OutputTable[GroupByKey]=OutputTable[[#This Row],[GroupByKey]]),(OutputTable[GroupByKey]=OutputTable[[#This Row],[GroupByKey]])*OutputTable[RecordedValue])),0)</f>
        <v>213.2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15.540627757948235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11.117095389767675</v>
      </c>
      <c r="O119" s="5" cm="1">
        <f t="array" ref="O119">MIN(IF((OutputTable[GroupByKey]=OutputTable[[#This Row],[GroupByKey]]),(OutputTable[GroupByKey]=OutputTable[[#This Row],[GroupByKey]])*OutputTable[RecordedValue]))</f>
        <v>190</v>
      </c>
      <c r="P119" s="5" cm="1">
        <f t="array" ref="P119">MAX(IF((OutputTable[GroupByKey]=OutputTable[[#This Row],[GroupByKey]]),(OutputTable[GroupByKey]=OutputTable[[#This Row],[GroupByKey]])*OutputTable[RecordedValue]))</f>
        <v>235</v>
      </c>
    </row>
    <row r="120" spans="1:16" x14ac:dyDescent="0.3">
      <c r="A120" t="s">
        <v>66</v>
      </c>
      <c r="B120" t="s">
        <v>68</v>
      </c>
      <c r="C120">
        <v>10</v>
      </c>
      <c r="D120" t="s">
        <v>98</v>
      </c>
      <c r="E120" t="s">
        <v>99</v>
      </c>
      <c r="F120" t="s">
        <v>89</v>
      </c>
      <c r="G120">
        <v>0.63663958506159302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ProjectLlegada Pedidos.ScheduledUtilizationScheduled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s="5" cm="1">
        <f t="array" ref="K120">IFERROR(AVERAGE(IF((OutputTable[GroupByKey]=OutputTable[[#This Row],[GroupByKey]]),(OutputTable[GroupByKey]=OutputTable[[#This Row],[GroupByKey]])*OutputTable[RecordedValue])),0)</f>
        <v>0.66170817272124971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4.5736088034979056E-2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3.2717626427904552E-2</v>
      </c>
      <c r="O120" s="5" cm="1">
        <f t="array" ref="O120">MIN(IF((OutputTable[GroupByKey]=OutputTable[[#This Row],[GroupByKey]]),(OutputTable[GroupByKey]=OutputTable[[#This Row],[GroupByKey]])*OutputTable[RecordedValue]))</f>
        <v>0.59604324380846896</v>
      </c>
      <c r="P120" s="5" cm="1">
        <f t="array" ref="P120">MAX(IF((OutputTable[GroupByKey]=OutputTable[[#This Row],[GroupByKey]]),(OutputTable[GroupByKey]=OutputTable[[#This Row],[GroupByKey]])*OutputTable[RecordedValue]))</f>
        <v>0.72905379552072003</v>
      </c>
    </row>
    <row r="121" spans="1:16" x14ac:dyDescent="0.3">
      <c r="A121" t="s">
        <v>66</v>
      </c>
      <c r="B121" t="s">
        <v>68</v>
      </c>
      <c r="C121">
        <v>10</v>
      </c>
      <c r="D121" t="s">
        <v>100</v>
      </c>
      <c r="E121" t="s">
        <v>97</v>
      </c>
      <c r="F121" t="s">
        <v>89</v>
      </c>
      <c r="G121">
        <v>198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ProjectRecoger pedidos.NumberSeizedTotal Number SeizedResource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s="5" cm="1">
        <f t="array" ref="K121">IFERROR(AVERAGE(IF((OutputTable[GroupByKey]=OutputTable[[#This Row],[GroupByKey]]),(OutputTable[GroupByKey]=OutputTable[[#This Row],[GroupByKey]])*OutputTable[RecordedValue])),0)</f>
        <v>205.3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12.944754407352296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9.2601194613936642</v>
      </c>
      <c r="O121" s="5" cm="1">
        <f t="array" ref="O121">MIN(IF((OutputTable[GroupByKey]=OutputTable[[#This Row],[GroupByKey]]),(OutputTable[GroupByKey]=OutputTable[[#This Row],[GroupByKey]])*OutputTable[RecordedValue]))</f>
        <v>185</v>
      </c>
      <c r="P121" s="5" cm="1">
        <f t="array" ref="P121">MAX(IF((OutputTable[GroupByKey]=OutputTable[[#This Row],[GroupByKey]]),(OutputTable[GroupByKey]=OutputTable[[#This Row],[GroupByKey]])*OutputTable[RecordedValue]))</f>
        <v>224</v>
      </c>
    </row>
    <row r="122" spans="1:16" x14ac:dyDescent="0.3">
      <c r="A122" t="s">
        <v>66</v>
      </c>
      <c r="B122" t="s">
        <v>68</v>
      </c>
      <c r="C122">
        <v>10</v>
      </c>
      <c r="D122" t="s">
        <v>101</v>
      </c>
      <c r="E122" t="s">
        <v>99</v>
      </c>
      <c r="F122" t="s">
        <v>89</v>
      </c>
      <c r="G122">
        <v>0.51731243167710295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ProjectRecoger pedidos.ScheduledUtilizationScheduled UtilizationResource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s="5" cm="1">
        <f t="array" ref="K122">IFERROR(AVERAGE(IF((OutputTable[GroupByKey]=OutputTable[[#This Row],[GroupByKey]]),(OutputTable[GroupByKey]=OutputTable[[#This Row],[GroupByKey]])*OutputTable[RecordedValue])),0)</f>
        <v>0.55143120740685148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3.4243845838583781E-2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2.4496571607625712E-2</v>
      </c>
      <c r="O122" s="5" cm="1">
        <f t="array" ref="O122">MIN(IF((OutputTable[GroupByKey]=OutputTable[[#This Row],[GroupByKey]]),(OutputTable[GroupByKey]=OutputTable[[#This Row],[GroupByKey]])*OutputTable[RecordedValue]))</f>
        <v>0.49793942474087499</v>
      </c>
      <c r="P122" s="5" cm="1">
        <f t="array" ref="P122">MAX(IF((OutputTable[GroupByKey]=OutputTable[[#This Row],[GroupByKey]]),(OutputTable[GroupByKey]=OutputTable[[#This Row],[GroupByKey]])*OutputTable[RecordedValue]))</f>
        <v>0.59360317623750203</v>
      </c>
    </row>
    <row r="123" spans="1:16" x14ac:dyDescent="0.3">
      <c r="A123" t="s">
        <v>66</v>
      </c>
      <c r="B123" t="s">
        <v>68</v>
      </c>
      <c r="C123">
        <v>10</v>
      </c>
      <c r="D123" t="s">
        <v>102</v>
      </c>
      <c r="E123" t="s">
        <v>103</v>
      </c>
      <c r="F123" t="s">
        <v>104</v>
      </c>
      <c r="G123">
        <v>190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ProjectSystem.NumberOutNumber OutSystem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s="5" cm="1">
        <f t="array" ref="K123">IFERROR(AVERAGE(IF((OutputTable[GroupByKey]=OutputTable[[#This Row],[GroupByKey]]),(OutputTable[GroupByKey]=OutputTable[[#This Row],[GroupByKey]])*OutputTable[RecordedValue])),0)</f>
        <v>190.4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12.029593139882625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8.6054525286323678</v>
      </c>
      <c r="O123" s="5" cm="1">
        <f t="array" ref="O123">MIN(IF((OutputTable[GroupByKey]=OutputTable[[#This Row],[GroupByKey]]),(OutputTable[GroupByKey]=OutputTable[[#This Row],[GroupByKey]])*OutputTable[RecordedValue]))</f>
        <v>167</v>
      </c>
      <c r="P123" s="5" cm="1">
        <f t="array" ref="P123">MAX(IF((OutputTable[GroupByKey]=OutputTable[[#This Row],[GroupByKey]]),(OutputTable[GroupByKey]=OutputTable[[#This Row],[GroupByKey]])*OutputTable[RecordedValue]))</f>
        <v>204</v>
      </c>
    </row>
    <row r="124" spans="1:16" x14ac:dyDescent="0.3">
      <c r="A124" t="s">
        <v>66</v>
      </c>
      <c r="B124" t="s">
        <v>68</v>
      </c>
      <c r="C124">
        <v>10</v>
      </c>
      <c r="D124" t="s">
        <v>105</v>
      </c>
      <c r="E124" t="s">
        <v>106</v>
      </c>
      <c r="F124" t="s">
        <v>78</v>
      </c>
      <c r="G124">
        <v>33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Projectcbus.NumberInNumber InEntity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s="5" cm="1">
        <f t="array" ref="K124">IFERROR(AVERAGE(IF((OutputTable[GroupByKey]=OutputTable[[#This Row],[GroupByKey]]),(OutputTable[GroupByKey]=OutputTable[[#This Row],[GroupByKey]])*OutputTable[RecordedValue])),0)</f>
        <v>31.2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3.7653389990514556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124" s="5" cm="1">
        <f t="array" ref="O124">MIN(IF((OutputTable[GroupByKey]=OutputTable[[#This Row],[GroupByKey]]),(OutputTable[GroupByKey]=OutputTable[[#This Row],[GroupByKey]])*OutputTable[RecordedValue]))</f>
        <v>26</v>
      </c>
      <c r="P124" s="5" cm="1">
        <f t="array" ref="P124">MAX(IF((OutputTable[GroupByKey]=OutputTable[[#This Row],[GroupByKey]]),(OutputTable[GroupByKey]=OutputTable[[#This Row],[GroupByKey]])*OutputTable[RecordedValue]))</f>
        <v>39</v>
      </c>
    </row>
    <row r="125" spans="1:16" x14ac:dyDescent="0.3">
      <c r="A125" t="s">
        <v>66</v>
      </c>
      <c r="B125" t="s">
        <v>68</v>
      </c>
      <c r="C125">
        <v>10</v>
      </c>
      <c r="D125" t="s">
        <v>107</v>
      </c>
      <c r="E125" t="s">
        <v>103</v>
      </c>
      <c r="F125" t="s">
        <v>78</v>
      </c>
      <c r="G125">
        <v>33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Projectcbus.NumberOutNumber OutEntity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s="5" cm="1">
        <f t="array" ref="K125">IFERROR(AVERAGE(IF((OutputTable[GroupByKey]=OutputTable[[#This Row],[GroupByKey]]),(OutputTable[GroupByKey]=OutputTable[[#This Row],[GroupByKey]])*OutputTable[RecordedValue])),0)</f>
        <v>31.2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3.7653389990514556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2.6935612562921287</v>
      </c>
      <c r="O125" s="5" cm="1">
        <f t="array" ref="O125">MIN(IF((OutputTable[GroupByKey]=OutputTable[[#This Row],[GroupByKey]]),(OutputTable[GroupByKey]=OutputTable[[#This Row],[GroupByKey]])*OutputTable[RecordedValue]))</f>
        <v>26</v>
      </c>
      <c r="P125" s="5" cm="1">
        <f t="array" ref="P125">MAX(IF((OutputTable[GroupByKey]=OutputTable[[#This Row],[GroupByKey]]),(OutputTable[GroupByKey]=OutputTable[[#This Row],[GroupByKey]])*OutputTable[RecordedValue]))</f>
        <v>39</v>
      </c>
    </row>
    <row r="126" spans="1:16" x14ac:dyDescent="0.3">
      <c r="A126" t="s">
        <v>66</v>
      </c>
      <c r="B126" t="s">
        <v>68</v>
      </c>
      <c r="C126">
        <v>10</v>
      </c>
      <c r="D126" t="s">
        <v>108</v>
      </c>
      <c r="E126" t="s">
        <v>106</v>
      </c>
      <c r="F126" t="s">
        <v>78</v>
      </c>
      <c r="G126">
        <v>91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Projectccoche.NumberInNumber InEntity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s="5" cm="1">
        <f t="array" ref="K126">IFERROR(AVERAGE(IF((OutputTable[GroupByKey]=OutputTable[[#This Row],[GroupByKey]]),(OutputTable[GroupByKey]=OutputTable[[#This Row],[GroupByKey]])*OutputTable[RecordedValue])),0)</f>
        <v>105.9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13.714955340794928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9.8110880181169016</v>
      </c>
      <c r="O126" s="5" cm="1">
        <f t="array" ref="O126">MIN(IF((OutputTable[GroupByKey]=OutputTable[[#This Row],[GroupByKey]]),(OutputTable[GroupByKey]=OutputTable[[#This Row],[GroupByKey]])*OutputTable[RecordedValue]))</f>
        <v>89</v>
      </c>
      <c r="P126" s="5" cm="1">
        <f t="array" ref="P126">MAX(IF((OutputTable[GroupByKey]=OutputTable[[#This Row],[GroupByKey]]),(OutputTable[GroupByKey]=OutputTable[[#This Row],[GroupByKey]])*OutputTable[RecordedValue]))</f>
        <v>125</v>
      </c>
    </row>
    <row r="127" spans="1:16" x14ac:dyDescent="0.3">
      <c r="A127" t="s">
        <v>66</v>
      </c>
      <c r="B127" t="s">
        <v>68</v>
      </c>
      <c r="C127">
        <v>10</v>
      </c>
      <c r="D127" t="s">
        <v>109</v>
      </c>
      <c r="E127" t="s">
        <v>103</v>
      </c>
      <c r="F127" t="s">
        <v>78</v>
      </c>
      <c r="G127">
        <v>91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Projectccoche.NumberOutNumber OutEntity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s="5" cm="1">
        <f t="array" ref="K127">IFERROR(AVERAGE(IF((OutputTable[GroupByKey]=OutputTable[[#This Row],[GroupByKey]]),(OutputTable[GroupByKey]=OutputTable[[#This Row],[GroupByKey]])*OutputTable[RecordedValue])),0)</f>
        <v>92.2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11.003029885748166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7.8710934153715639</v>
      </c>
      <c r="O127" s="5" cm="1">
        <f t="array" ref="O127">MIN(IF((OutputTable[GroupByKey]=OutputTable[[#This Row],[GroupByKey]]),(OutputTable[GroupByKey]=OutputTable[[#This Row],[GroupByKey]])*OutputTable[RecordedValue]))</f>
        <v>77</v>
      </c>
      <c r="P127" s="5" cm="1">
        <f t="array" ref="P127">MAX(IF((OutputTable[GroupByKey]=OutputTable[[#This Row],[GroupByKey]]),(OutputTable[GroupByKey]=OutputTable[[#This Row],[GroupByKey]])*OutputTable[RecordedValue]))</f>
        <v>111</v>
      </c>
    </row>
    <row r="128" spans="1:16" x14ac:dyDescent="0.3">
      <c r="A128" t="s">
        <v>66</v>
      </c>
      <c r="B128" t="s">
        <v>68</v>
      </c>
      <c r="C128">
        <v>10</v>
      </c>
      <c r="D128" t="s">
        <v>110</v>
      </c>
      <c r="E128" t="s">
        <v>97</v>
      </c>
      <c r="F128" t="s">
        <v>89</v>
      </c>
      <c r="G128">
        <v>196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Projectcomiendo.NumberSeizedTotal Number SeizedResource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s="5" cm="1">
        <f t="array" ref="K128">IFERROR(AVERAGE(IF((OutputTable[GroupByKey]=OutputTable[[#This Row],[GroupByKey]]),(OutputTable[GroupByKey]=OutputTable[[#This Row],[GroupByKey]])*OutputTable[RecordedValue])),0)</f>
        <v>203.5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12.96362432175337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9.2736181849755468</v>
      </c>
      <c r="O128" s="5" cm="1">
        <f t="array" ref="O128">MIN(IF((OutputTable[GroupByKey]=OutputTable[[#This Row],[GroupByKey]]),(OutputTable[GroupByKey]=OutputTable[[#This Row],[GroupByKey]])*OutputTable[RecordedValue]))</f>
        <v>182</v>
      </c>
      <c r="P128" s="5" cm="1">
        <f t="array" ref="P128">MAX(IF((OutputTable[GroupByKey]=OutputTable[[#This Row],[GroupByKey]]),(OutputTable[GroupByKey]=OutputTable[[#This Row],[GroupByKey]])*OutputTable[RecordedValue]))</f>
        <v>222</v>
      </c>
    </row>
    <row r="129" spans="1:16" x14ac:dyDescent="0.3">
      <c r="A129" t="s">
        <v>66</v>
      </c>
      <c r="B129" t="s">
        <v>68</v>
      </c>
      <c r="C129">
        <v>10</v>
      </c>
      <c r="D129" t="s">
        <v>111</v>
      </c>
      <c r="E129" t="s">
        <v>99</v>
      </c>
      <c r="F129" t="s">
        <v>89</v>
      </c>
      <c r="G129">
        <v>0.53422451206924004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Projectcomiendo.ScheduledUtilizationScheduled UtilizationResource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s="5" cm="1">
        <f t="array" ref="K129">IFERROR(AVERAGE(IF((OutputTable[GroupByKey]=OutputTable[[#This Row],[GroupByKey]]),(OutputTable[GroupByKey]=OutputTable[[#This Row],[GroupByKey]])*OutputTable[RecordedValue])),0)</f>
        <v>0.54567746104498949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3.6093067502765995E-2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2.5819425095769025E-2</v>
      </c>
      <c r="O129" s="5" cm="1">
        <f t="array" ref="O129">MIN(IF((OutputTable[GroupByKey]=OutputTable[[#This Row],[GroupByKey]]),(OutputTable[GroupByKey]=OutputTable[[#This Row],[GroupByKey]])*OutputTable[RecordedValue]))</f>
        <v>0.48838500773485299</v>
      </c>
      <c r="P129" s="5" cm="1">
        <f t="array" ref="P129">MAX(IF((OutputTable[GroupByKey]=OutputTable[[#This Row],[GroupByKey]]),(OutputTable[GroupByKey]=OutputTable[[#This Row],[GroupByKey]])*OutputTable[RecordedValue]))</f>
        <v>0.59303053253801696</v>
      </c>
    </row>
    <row r="130" spans="1:16" x14ac:dyDescent="0.3">
      <c r="A130" t="s">
        <v>66</v>
      </c>
      <c r="B130" t="s">
        <v>68</v>
      </c>
      <c r="C130">
        <v>10</v>
      </c>
      <c r="D130" t="s">
        <v>112</v>
      </c>
      <c r="E130" t="s">
        <v>106</v>
      </c>
      <c r="F130" t="s">
        <v>78</v>
      </c>
      <c r="G130">
        <v>77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Projectcpie.NumberInNumber InEntity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s="5" cm="1">
        <f t="array" ref="K130">IFERROR(AVERAGE(IF((OutputTable[GroupByKey]=OutputTable[[#This Row],[GroupByKey]]),(OutputTable[GroupByKey]=OutputTable[[#This Row],[GroupByKey]])*OutputTable[RecordedValue])),0)</f>
        <v>77.3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11.314199534704651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8.0936907726810521</v>
      </c>
      <c r="O130" s="5" cm="1">
        <f t="array" ref="O130">MIN(IF((OutputTable[GroupByKey]=OutputTable[[#This Row],[GroupByKey]]),(OutputTable[GroupByKey]=OutputTable[[#This Row],[GroupByKey]])*OutputTable[RecordedValue]))</f>
        <v>64</v>
      </c>
      <c r="P130" s="5" cm="1">
        <f t="array" ref="P130">MAX(IF((OutputTable[GroupByKey]=OutputTable[[#This Row],[GroupByKey]]),(OutputTable[GroupByKey]=OutputTable[[#This Row],[GroupByKey]])*OutputTable[RecordedValue]))</f>
        <v>105</v>
      </c>
    </row>
    <row r="131" spans="1:16" x14ac:dyDescent="0.3">
      <c r="A131" t="s">
        <v>66</v>
      </c>
      <c r="B131" t="s">
        <v>68</v>
      </c>
      <c r="C131">
        <v>10</v>
      </c>
      <c r="D131" t="s">
        <v>113</v>
      </c>
      <c r="E131" t="s">
        <v>103</v>
      </c>
      <c r="F131" t="s">
        <v>78</v>
      </c>
      <c r="G131">
        <v>66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Projectcpie.NumberOutNumber OutEntity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s="5" cm="1">
        <f t="array" ref="K131">IFERROR(AVERAGE(IF((OutputTable[GroupByKey]=OutputTable[[#This Row],[GroupByKey]]),(OutputTable[GroupByKey]=OutputTable[[#This Row],[GroupByKey]])*OutputTable[RecordedValue])),0)</f>
        <v>67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9.5916630466254382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6.8614624001471327</v>
      </c>
      <c r="O131" s="5" cm="1">
        <f t="array" ref="O131">MIN(IF((OutputTable[GroupByKey]=OutputTable[[#This Row],[GroupByKey]]),(OutputTable[GroupByKey]=OutputTable[[#This Row],[GroupByKey]])*OutputTable[RecordedValue]))</f>
        <v>58</v>
      </c>
      <c r="P131" s="5" cm="1">
        <f t="array" ref="P131">MAX(IF((OutputTable[GroupByKey]=OutputTable[[#This Row],[GroupByKey]]),(OutputTable[GroupByKey]=OutputTable[[#This Row],[GroupByKey]])*OutputTable[RecordedValue]))</f>
        <v>92</v>
      </c>
    </row>
  </sheetData>
  <phoneticPr fontId="2" type="noConversion"/>
  <conditionalFormatting sqref="I2:P131">
    <cfRule type="expression" dxfId="10" priority="2">
      <formula>MOD(ROW(),2)=0</formula>
    </cfRule>
  </conditionalFormatting>
  <conditionalFormatting sqref="N2:N13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44140625" bestFit="1" customWidth="1"/>
    <col min="8" max="8" width="21.109375" bestFit="1" customWidth="1"/>
    <col min="9" max="9" width="23.6640625" bestFit="1" customWidth="1"/>
    <col min="10" max="10" width="24.88671875" bestFit="1" customWidth="1"/>
    <col min="11" max="11" width="13.6640625" bestFit="1" customWidth="1"/>
    <col min="12" max="12" width="28.77734375" bestFit="1" customWidth="1"/>
    <col min="13" max="13" width="29.44140625" bestFit="1" customWidth="1"/>
    <col min="14" max="14" width="16.109375" bestFit="1" customWidth="1"/>
    <col min="15" max="15" width="27.44140625" bestFit="1" customWidth="1"/>
    <col min="16" max="16" width="28.10937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ruben lopez</cp:lastModifiedBy>
  <cp:lastPrinted>2022-03-22T10:33:10Z</cp:lastPrinted>
  <dcterms:created xsi:type="dcterms:W3CDTF">2020-06-29T21:30:31Z</dcterms:created>
  <dcterms:modified xsi:type="dcterms:W3CDTF">2023-04-26T15:43:52Z</dcterms:modified>
</cp:coreProperties>
</file>