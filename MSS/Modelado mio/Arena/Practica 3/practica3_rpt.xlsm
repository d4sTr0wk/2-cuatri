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rub\Desktop\Ruben\UMA\Optativas\Modelado y Simulación de Sistemas\Modelado mio\Arena\Practica 3\"/>
    </mc:Choice>
  </mc:AlternateContent>
  <xr:revisionPtr revIDLastSave="0" documentId="13_ncr:1_{FD81CDFB-7E32-46E6-A196-AC65C5E17015}" xr6:coauthVersionLast="47" xr6:coauthVersionMax="47" xr10:uidLastSave="{00000000-0000-0000-0000-000000000000}"/>
  <bookViews>
    <workbookView xWindow="-108" yWindow="-108" windowWidth="23256" windowHeight="12576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ContinuousTimeStatsByRep!$A$1:$L$391</definedName>
    <definedName name="ExternalData_1" localSheetId="4" hidden="1">CounterStatsByRep!$A$1:$G$21</definedName>
    <definedName name="ExternalData_1" localSheetId="2" hidden="1">DiscreteTimeStatsByRep!$A$1:$K$341</definedName>
    <definedName name="ExternalData_1" localSheetId="6" hidden="1">FrequencyStatsByRep!$A$1:$J$2</definedName>
    <definedName name="ExternalData_1" localSheetId="5" hidden="1">OutputStatsByRep!$A$1:$H$231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0" r:id="rId8"/>
    <pivotCache cacheId="46" r:id="rId9"/>
    <pivotCache cacheId="52" r:id="rId10"/>
    <pivotCache cacheId="58" r:id="rId11"/>
    <pivotCache cacheId="6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K7" i="20" s="1" a="1"/>
  <c r="K7" i="20" s="1"/>
  <c r="I13" i="20"/>
  <c r="I14" i="20"/>
  <c r="I15" i="20"/>
  <c r="I16" i="20"/>
  <c r="I17" i="20"/>
  <c r="I18" i="20"/>
  <c r="I19" i="20"/>
  <c r="I20" i="20"/>
  <c r="I21" i="20"/>
  <c r="I22" i="20"/>
  <c r="I23" i="20"/>
  <c r="I24" i="20"/>
  <c r="L24" i="20" s="1" a="1"/>
  <c r="L24" i="20" s="1"/>
  <c r="N24" i="20" s="1"/>
  <c r="I25" i="20"/>
  <c r="I26" i="20"/>
  <c r="I27" i="20"/>
  <c r="I28" i="20"/>
  <c r="I29" i="20"/>
  <c r="I30" i="20"/>
  <c r="I31" i="20"/>
  <c r="I32" i="20"/>
  <c r="I33" i="20"/>
  <c r="I34" i="20"/>
  <c r="I35" i="20"/>
  <c r="I36" i="20"/>
  <c r="O36" i="20" s="1" a="1"/>
  <c r="O36" i="20" s="1"/>
  <c r="I37" i="20"/>
  <c r="I38" i="20"/>
  <c r="I39" i="20"/>
  <c r="I40" i="20"/>
  <c r="I41" i="20"/>
  <c r="I42" i="20"/>
  <c r="I43" i="20"/>
  <c r="I44" i="20"/>
  <c r="I45" i="20"/>
  <c r="I46" i="20"/>
  <c r="I47" i="20"/>
  <c r="I48" i="20"/>
  <c r="L48" i="20" s="1" a="1"/>
  <c r="L48" i="20" s="1"/>
  <c r="I49" i="20"/>
  <c r="I50" i="20"/>
  <c r="I51" i="20"/>
  <c r="I52" i="20"/>
  <c r="I53" i="20"/>
  <c r="I54" i="20"/>
  <c r="I55" i="20"/>
  <c r="I56" i="20"/>
  <c r="I57" i="20"/>
  <c r="I58" i="20"/>
  <c r="I59" i="20"/>
  <c r="I60" i="20"/>
  <c r="L60" i="20" s="1" a="1"/>
  <c r="L60" i="20" s="1"/>
  <c r="I61" i="20"/>
  <c r="I62" i="20"/>
  <c r="I63" i="20"/>
  <c r="I64" i="20"/>
  <c r="I65" i="20"/>
  <c r="I66" i="20"/>
  <c r="I67" i="20"/>
  <c r="I68" i="20"/>
  <c r="I69" i="20"/>
  <c r="I70" i="20"/>
  <c r="I71" i="20"/>
  <c r="I72" i="20"/>
  <c r="K72" i="20" s="1" a="1"/>
  <c r="K72" i="20" s="1"/>
  <c r="I73" i="20"/>
  <c r="I74" i="20"/>
  <c r="I75" i="20"/>
  <c r="I76" i="20"/>
  <c r="I77" i="20"/>
  <c r="I78" i="20"/>
  <c r="I79" i="20"/>
  <c r="I80" i="20"/>
  <c r="I81" i="20"/>
  <c r="I82" i="20"/>
  <c r="I83" i="20"/>
  <c r="I84" i="20"/>
  <c r="L84" i="20" s="1" a="1"/>
  <c r="L84" i="20" s="1"/>
  <c r="I85" i="20"/>
  <c r="I86" i="20"/>
  <c r="I87" i="20"/>
  <c r="I88" i="20"/>
  <c r="I89" i="20"/>
  <c r="I90" i="20"/>
  <c r="I91" i="20"/>
  <c r="I92" i="20"/>
  <c r="I93" i="20"/>
  <c r="I94" i="20"/>
  <c r="I95" i="20"/>
  <c r="I96" i="20"/>
  <c r="K96" i="20" s="1" a="1"/>
  <c r="K96" i="20" s="1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K108" i="20" s="1" a="1"/>
  <c r="K108" i="20" s="1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K120" i="20" s="1" a="1"/>
  <c r="K120" i="20" s="1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L132" i="20" s="1" a="1"/>
  <c r="L132" i="20" s="1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K144" i="20" s="1" a="1"/>
  <c r="K144" i="20" s="1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L156" i="20" s="1" a="1"/>
  <c r="L156" i="20" s="1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K168" i="20" s="1" a="1"/>
  <c r="K168" i="20" s="1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K180" i="20" s="1" a="1"/>
  <c r="K180" i="20" s="1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K192" i="20" s="1" a="1"/>
  <c r="K192" i="20" s="1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L204" i="20" s="1" a="1"/>
  <c r="L204" i="20" s="1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K216" i="20" s="1" a="1"/>
  <c r="K216" i="20" s="1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L228" i="20" s="1" a="1"/>
  <c r="L228" i="20" s="1"/>
  <c r="I229" i="20"/>
  <c r="I230" i="20"/>
  <c r="I231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J152" i="20" a="1"/>
  <c r="J152" i="20" s="1"/>
  <c r="J153" i="20" a="1"/>
  <c r="J153" i="20" s="1"/>
  <c r="J154" i="20" a="1"/>
  <c r="J154" i="20" s="1"/>
  <c r="J155" i="20" a="1"/>
  <c r="J155" i="20" s="1"/>
  <c r="J156" i="20" a="1"/>
  <c r="J156" i="20" s="1"/>
  <c r="J157" i="20" a="1"/>
  <c r="J157" i="20" s="1"/>
  <c r="J158" i="20" a="1"/>
  <c r="J158" i="20" s="1"/>
  <c r="J159" i="20" a="1"/>
  <c r="J159" i="20" s="1"/>
  <c r="J160" i="20" a="1"/>
  <c r="J160" i="20" s="1"/>
  <c r="J161" i="20" a="1"/>
  <c r="J161" i="20" s="1"/>
  <c r="J162" i="20" a="1"/>
  <c r="J162" i="20" s="1"/>
  <c r="J163" i="20" a="1"/>
  <c r="J163" i="20" s="1"/>
  <c r="J164" i="20" a="1"/>
  <c r="J164" i="20" s="1"/>
  <c r="J165" i="20" a="1"/>
  <c r="J165" i="20"/>
  <c r="J166" i="20" a="1"/>
  <c r="J166" i="20" s="1"/>
  <c r="J167" i="20" a="1"/>
  <c r="J167" i="20" s="1"/>
  <c r="J168" i="20" a="1"/>
  <c r="J168" i="20" s="1"/>
  <c r="J169" i="20" a="1"/>
  <c r="J169" i="20" s="1"/>
  <c r="J170" i="20" a="1"/>
  <c r="J170" i="20" s="1"/>
  <c r="J171" i="20" a="1"/>
  <c r="J171" i="20" s="1"/>
  <c r="J172" i="20" a="1"/>
  <c r="J172" i="20" s="1"/>
  <c r="J173" i="20" a="1"/>
  <c r="J173" i="20" s="1"/>
  <c r="J174" i="20" a="1"/>
  <c r="J174" i="20" s="1"/>
  <c r="J175" i="20" a="1"/>
  <c r="J175" i="20" s="1"/>
  <c r="J176" i="20" a="1"/>
  <c r="J176" i="20" s="1"/>
  <c r="J177" i="20" a="1"/>
  <c r="J177" i="20" s="1"/>
  <c r="J178" i="20" a="1"/>
  <c r="J178" i="20" s="1"/>
  <c r="J179" i="20" a="1"/>
  <c r="J179" i="20" s="1"/>
  <c r="J180" i="20" a="1"/>
  <c r="J180" i="20" s="1"/>
  <c r="J181" i="20" a="1"/>
  <c r="J181" i="20" s="1"/>
  <c r="J182" i="20" a="1"/>
  <c r="J182" i="20" s="1"/>
  <c r="J183" i="20" a="1"/>
  <c r="J183" i="20"/>
  <c r="J184" i="20" a="1"/>
  <c r="J184" i="20" s="1"/>
  <c r="J185" i="20" a="1"/>
  <c r="J185" i="20"/>
  <c r="J186" i="20" a="1"/>
  <c r="J186" i="20" s="1"/>
  <c r="J187" i="20" a="1"/>
  <c r="J187" i="20" s="1"/>
  <c r="J188" i="20" a="1"/>
  <c r="J188" i="20" s="1"/>
  <c r="J189" i="20" a="1"/>
  <c r="J189" i="20" s="1"/>
  <c r="J190" i="20" a="1"/>
  <c r="J190" i="20" s="1"/>
  <c r="J191" i="20" a="1"/>
  <c r="J191" i="20" s="1"/>
  <c r="J192" i="20" a="1"/>
  <c r="J192" i="20" s="1"/>
  <c r="J193" i="20" a="1"/>
  <c r="J193" i="20" s="1"/>
  <c r="J194" i="20" a="1"/>
  <c r="J194" i="20" s="1"/>
  <c r="J195" i="20" a="1"/>
  <c r="J195" i="20" s="1"/>
  <c r="J196" i="20" a="1"/>
  <c r="J196" i="20" s="1"/>
  <c r="J197" i="20" a="1"/>
  <c r="J197" i="20" s="1"/>
  <c r="J198" i="20" a="1"/>
  <c r="J198" i="20" s="1"/>
  <c r="J199" i="20" a="1"/>
  <c r="J199" i="20" s="1"/>
  <c r="J200" i="20" a="1"/>
  <c r="J200" i="20" s="1"/>
  <c r="J201" i="20" a="1"/>
  <c r="J201" i="20" s="1"/>
  <c r="J202" i="20" a="1"/>
  <c r="J202" i="20" s="1"/>
  <c r="J203" i="20" a="1"/>
  <c r="J203" i="20" s="1"/>
  <c r="J204" i="20" a="1"/>
  <c r="J204" i="20" s="1"/>
  <c r="J205" i="20" a="1"/>
  <c r="J205" i="20" s="1"/>
  <c r="J206" i="20" a="1"/>
  <c r="J206" i="20" s="1"/>
  <c r="J207" i="20" a="1"/>
  <c r="J207" i="20"/>
  <c r="J208" i="20" a="1"/>
  <c r="J208" i="20" s="1"/>
  <c r="J209" i="20" a="1"/>
  <c r="J209" i="20"/>
  <c r="J210" i="20" a="1"/>
  <c r="J210" i="20" s="1"/>
  <c r="J211" i="20" a="1"/>
  <c r="J211" i="20" s="1"/>
  <c r="J212" i="20" a="1"/>
  <c r="J212" i="20" s="1"/>
  <c r="J213" i="20" a="1"/>
  <c r="J213" i="20"/>
  <c r="J214" i="20" a="1"/>
  <c r="J214" i="20" s="1"/>
  <c r="J215" i="20" a="1"/>
  <c r="J215" i="20" s="1"/>
  <c r="J216" i="20" a="1"/>
  <c r="J216" i="20" s="1"/>
  <c r="J217" i="20" a="1"/>
  <c r="J217" i="20" s="1"/>
  <c r="J218" i="20" a="1"/>
  <c r="J218" i="20" s="1"/>
  <c r="J219" i="20" a="1"/>
  <c r="J219" i="20"/>
  <c r="J220" i="20" a="1"/>
  <c r="J220" i="20" s="1"/>
  <c r="J221" i="20" a="1"/>
  <c r="J221" i="20" s="1"/>
  <c r="J222" i="20" a="1"/>
  <c r="J222" i="20" s="1"/>
  <c r="J223" i="20" a="1"/>
  <c r="J223" i="20" s="1"/>
  <c r="J224" i="20" a="1"/>
  <c r="J224" i="20" s="1"/>
  <c r="J225" i="20" a="1"/>
  <c r="J225" i="20" s="1"/>
  <c r="J226" i="20" a="1"/>
  <c r="J226" i="20" s="1"/>
  <c r="J227" i="20" a="1"/>
  <c r="J227" i="20" s="1"/>
  <c r="J228" i="20" a="1"/>
  <c r="J228" i="20" s="1"/>
  <c r="J229" i="20" a="1"/>
  <c r="J229" i="20" s="1"/>
  <c r="J230" i="20" a="1"/>
  <c r="J230" i="20" s="1"/>
  <c r="J231" i="20" a="1"/>
  <c r="J231" i="20" s="1"/>
  <c r="K5" i="20" a="1"/>
  <c r="K5" i="20" s="1"/>
  <c r="K16" i="20" a="1"/>
  <c r="K16" i="20" s="1"/>
  <c r="K28" i="20" a="1"/>
  <c r="K28" i="20" s="1"/>
  <c r="K39" i="20" a="1"/>
  <c r="K39" i="20" s="1"/>
  <c r="K50" i="20" a="1"/>
  <c r="K50" i="20" s="1"/>
  <c r="K60" i="20" a="1"/>
  <c r="K60" i="20" s="1"/>
  <c r="K70" i="20" a="1"/>
  <c r="K70" i="20" s="1"/>
  <c r="K80" i="20" a="1"/>
  <c r="K80" i="20" s="1"/>
  <c r="K91" i="20" a="1"/>
  <c r="K91" i="20" s="1"/>
  <c r="K103" i="20" a="1"/>
  <c r="K103" i="20" s="1"/>
  <c r="K114" i="20" a="1"/>
  <c r="K114" i="20" s="1"/>
  <c r="K126" i="20" a="1"/>
  <c r="K126" i="20" s="1"/>
  <c r="K137" i="20" a="1"/>
  <c r="K137" i="20" s="1"/>
  <c r="K147" i="20" a="1"/>
  <c r="K147" i="20" s="1"/>
  <c r="K156" i="20" a="1"/>
  <c r="K156" i="20" s="1"/>
  <c r="K165" i="20" a="1"/>
  <c r="K165" i="20" s="1"/>
  <c r="K176" i="20" a="1"/>
  <c r="K176" i="20" s="1"/>
  <c r="K187" i="20" a="1"/>
  <c r="K187" i="20" s="1"/>
  <c r="K197" i="20" a="1"/>
  <c r="K197" i="20" s="1"/>
  <c r="K208" i="20" a="1"/>
  <c r="K208" i="20" s="1"/>
  <c r="K219" i="20" a="1"/>
  <c r="K219" i="20" s="1"/>
  <c r="K230" i="20" a="1"/>
  <c r="K230" i="20" s="1"/>
  <c r="L12" i="20" a="1"/>
  <c r="L12" i="20" s="1"/>
  <c r="L20" i="20" a="1"/>
  <c r="L20" i="20" s="1"/>
  <c r="L30" i="20" a="1"/>
  <c r="L30" i="20" s="1"/>
  <c r="L38" i="20" a="1"/>
  <c r="L38" i="20" s="1"/>
  <c r="L46" i="20" a="1"/>
  <c r="L46" i="20" s="1"/>
  <c r="L62" i="20" a="1"/>
  <c r="L62" i="20" s="1"/>
  <c r="L97" i="20" a="1"/>
  <c r="L97" i="20" s="1"/>
  <c r="L112" i="20" a="1"/>
  <c r="L112" i="20" s="1"/>
  <c r="L120" i="20" a="1"/>
  <c r="L120" i="20" s="1"/>
  <c r="L129" i="20" a="1"/>
  <c r="L129" i="20" s="1"/>
  <c r="L157" i="20" a="1"/>
  <c r="L157" i="20" s="1"/>
  <c r="L164" i="20" a="1"/>
  <c r="L164" i="20" s="1"/>
  <c r="L173" i="20" a="1"/>
  <c r="L173" i="20" s="1"/>
  <c r="N173" i="20" s="1"/>
  <c r="L183" i="20" a="1"/>
  <c r="L183" i="20" s="1"/>
  <c r="L191" i="20" a="1"/>
  <c r="L191" i="20" s="1"/>
  <c r="L200" i="20" a="1"/>
  <c r="L200" i="20" s="1"/>
  <c r="L209" i="20" a="1"/>
  <c r="L209" i="20" s="1"/>
  <c r="L226" i="20" a="1"/>
  <c r="L226" i="20" s="1"/>
  <c r="L227" i="20" a="1"/>
  <c r="L227" i="20" s="1"/>
  <c r="M2" i="20" a="1"/>
  <c r="M2" i="20" s="1"/>
  <c r="M3" i="20" a="1"/>
  <c r="M3" i="20" s="1"/>
  <c r="M4" i="20" a="1"/>
  <c r="M4" i="20" s="1"/>
  <c r="M5" i="20" a="1"/>
  <c r="M5" i="20"/>
  <c r="M6" i="20" a="1"/>
  <c r="M6" i="20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/>
  <c r="M16" i="20" a="1"/>
  <c r="M16" i="20" s="1"/>
  <c r="M17" i="20" a="1"/>
  <c r="M17" i="20"/>
  <c r="M18" i="20" a="1"/>
  <c r="M18" i="20"/>
  <c r="M19" i="20" a="1"/>
  <c r="M19" i="20" s="1"/>
  <c r="M20" i="20" a="1"/>
  <c r="M20" i="20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/>
  <c r="M27" i="20" a="1"/>
  <c r="M27" i="20"/>
  <c r="M28" i="20" a="1"/>
  <c r="M28" i="20" s="1"/>
  <c r="M29" i="20" a="1"/>
  <c r="M29" i="20" s="1"/>
  <c r="M30" i="20" a="1"/>
  <c r="M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 s="1"/>
  <c r="M36" i="20" a="1"/>
  <c r="M36" i="20"/>
  <c r="M37" i="20" a="1"/>
  <c r="M37" i="20" s="1"/>
  <c r="M38" i="20" a="1"/>
  <c r="M38" i="20" s="1"/>
  <c r="N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/>
  <c r="M44" i="20" a="1"/>
  <c r="M44" i="20" s="1"/>
  <c r="M45" i="20" a="1"/>
  <c r="M45" i="20"/>
  <c r="M46" i="20" a="1"/>
  <c r="M46" i="20" s="1"/>
  <c r="N46" i="20" s="1"/>
  <c r="M47" i="20" a="1"/>
  <c r="M47" i="20" s="1"/>
  <c r="M48" i="20" a="1"/>
  <c r="M48" i="20" s="1"/>
  <c r="M49" i="20" a="1"/>
  <c r="M49" i="20" s="1"/>
  <c r="M50" i="20" a="1"/>
  <c r="M50" i="20" s="1"/>
  <c r="M51" i="20" a="1"/>
  <c r="M51" i="20" s="1"/>
  <c r="M52" i="20" a="1"/>
  <c r="M52" i="20" s="1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 s="1"/>
  <c r="M60" i="20" a="1"/>
  <c r="M60" i="20"/>
  <c r="M61" i="20" a="1"/>
  <c r="M61" i="20" s="1"/>
  <c r="M62" i="20" a="1"/>
  <c r="M62" i="20"/>
  <c r="M63" i="20" a="1"/>
  <c r="M63" i="20" s="1"/>
  <c r="M64" i="20" a="1"/>
  <c r="M64" i="20" s="1"/>
  <c r="M65" i="20" a="1"/>
  <c r="M65" i="20"/>
  <c r="M66" i="20" a="1"/>
  <c r="M66" i="20" s="1"/>
  <c r="M67" i="20" a="1"/>
  <c r="M67" i="20"/>
  <c r="M68" i="20" a="1"/>
  <c r="M68" i="20" s="1"/>
  <c r="M69" i="20" a="1"/>
  <c r="M69" i="20"/>
  <c r="M70" i="20" a="1"/>
  <c r="M70" i="20" s="1"/>
  <c r="M71" i="20" a="1"/>
  <c r="M71" i="20" s="1"/>
  <c r="M72" i="20" a="1"/>
  <c r="M72" i="20" s="1"/>
  <c r="M73" i="20" a="1"/>
  <c r="M73" i="20" s="1"/>
  <c r="M74" i="20" a="1"/>
  <c r="M74" i="20" s="1"/>
  <c r="M75" i="20" a="1"/>
  <c r="M75" i="20"/>
  <c r="M76" i="20" a="1"/>
  <c r="M76" i="20" s="1"/>
  <c r="M77" i="20" a="1"/>
  <c r="M77" i="20"/>
  <c r="M78" i="20" a="1"/>
  <c r="M78" i="20"/>
  <c r="M79" i="20" a="1"/>
  <c r="M79" i="20" s="1"/>
  <c r="M80" i="20" a="1"/>
  <c r="M80" i="20" s="1"/>
  <c r="M81" i="20" a="1"/>
  <c r="M81" i="20" s="1"/>
  <c r="M82" i="20" a="1"/>
  <c r="M82" i="20" s="1"/>
  <c r="M83" i="20" a="1"/>
  <c r="M83" i="20" s="1"/>
  <c r="M84" i="20" a="1"/>
  <c r="M84" i="20" s="1"/>
  <c r="M85" i="20" a="1"/>
  <c r="M85" i="20" s="1"/>
  <c r="M86" i="20" a="1"/>
  <c r="M86" i="20"/>
  <c r="M87" i="20" a="1"/>
  <c r="M87" i="20" s="1"/>
  <c r="M88" i="20" a="1"/>
  <c r="M88" i="20" s="1"/>
  <c r="M89" i="20" a="1"/>
  <c r="M89" i="20" s="1"/>
  <c r="M90" i="20" a="1"/>
  <c r="M90" i="20" s="1"/>
  <c r="M91" i="20" a="1"/>
  <c r="M91" i="20" s="1"/>
  <c r="M92" i="20" a="1"/>
  <c r="M92" i="20"/>
  <c r="M93" i="20" a="1"/>
  <c r="M93" i="20" s="1"/>
  <c r="M94" i="20" a="1"/>
  <c r="M94" i="20" s="1"/>
  <c r="M95" i="20" a="1"/>
  <c r="M95" i="20" s="1"/>
  <c r="M96" i="20" a="1"/>
  <c r="M96" i="20" s="1"/>
  <c r="M97" i="20" a="1"/>
  <c r="M97" i="20" s="1"/>
  <c r="N97" i="20" s="1"/>
  <c r="M98" i="20" a="1"/>
  <c r="M98" i="20"/>
  <c r="M99" i="20" a="1"/>
  <c r="M99" i="20" s="1"/>
  <c r="M100" i="20" a="1"/>
  <c r="M100" i="20" s="1"/>
  <c r="M101" i="20" a="1"/>
  <c r="M101" i="20" s="1"/>
  <c r="M102" i="20" a="1"/>
  <c r="M102" i="20"/>
  <c r="M103" i="20" a="1"/>
  <c r="M103" i="20"/>
  <c r="M104" i="20" a="1"/>
  <c r="M104" i="20"/>
  <c r="M105" i="20" a="1"/>
  <c r="M105" i="20"/>
  <c r="M106" i="20" a="1"/>
  <c r="M106" i="20" s="1"/>
  <c r="M107" i="20" a="1"/>
  <c r="M107" i="20"/>
  <c r="M108" i="20" a="1"/>
  <c r="M108" i="20"/>
  <c r="M109" i="20" a="1"/>
  <c r="M109" i="20" s="1"/>
  <c r="M110" i="20" a="1"/>
  <c r="M110" i="20" s="1"/>
  <c r="M111" i="20" a="1"/>
  <c r="M111" i="20"/>
  <c r="M112" i="20" a="1"/>
  <c r="M112" i="20" s="1"/>
  <c r="M113" i="20" a="1"/>
  <c r="M113" i="20" s="1"/>
  <c r="M114" i="20" a="1"/>
  <c r="M114" i="20" s="1"/>
  <c r="M115" i="20" a="1"/>
  <c r="M115" i="20" s="1"/>
  <c r="M116" i="20" a="1"/>
  <c r="M116" i="20"/>
  <c r="M117" i="20" a="1"/>
  <c r="M117" i="20" s="1"/>
  <c r="M118" i="20" a="1"/>
  <c r="M118" i="20" s="1"/>
  <c r="M119" i="20" a="1"/>
  <c r="M119" i="20" s="1"/>
  <c r="M120" i="20" a="1"/>
  <c r="M120" i="20" s="1"/>
  <c r="M121" i="20" a="1"/>
  <c r="M121" i="20"/>
  <c r="M122" i="20" a="1"/>
  <c r="M122" i="20" s="1"/>
  <c r="M123" i="20" a="1"/>
  <c r="M123" i="20"/>
  <c r="M124" i="20" a="1"/>
  <c r="M124" i="20" s="1"/>
  <c r="M125" i="20" a="1"/>
  <c r="M125" i="20" s="1"/>
  <c r="M126" i="20" a="1"/>
  <c r="M126" i="20" s="1"/>
  <c r="M127" i="20" a="1"/>
  <c r="M127" i="20" s="1"/>
  <c r="M128" i="20" a="1"/>
  <c r="M128" i="20"/>
  <c r="M129" i="20" a="1"/>
  <c r="M129" i="20"/>
  <c r="M130" i="20" a="1"/>
  <c r="M130" i="20" s="1"/>
  <c r="M131" i="20" a="1"/>
  <c r="M131" i="20" s="1"/>
  <c r="M132" i="20" a="1"/>
  <c r="M132" i="20" s="1"/>
  <c r="M133" i="20" a="1"/>
  <c r="M133" i="20" s="1"/>
  <c r="M134" i="20" a="1"/>
  <c r="M134" i="20"/>
  <c r="M135" i="20" a="1"/>
  <c r="M135" i="20" s="1"/>
  <c r="M136" i="20" a="1"/>
  <c r="M136" i="20" s="1"/>
  <c r="M137" i="20" a="1"/>
  <c r="M137" i="20" s="1"/>
  <c r="M138" i="20" a="1"/>
  <c r="M138" i="20"/>
  <c r="M139" i="20" a="1"/>
  <c r="M139" i="20" s="1"/>
  <c r="M140" i="20" a="1"/>
  <c r="M140" i="20" s="1"/>
  <c r="M141" i="20" a="1"/>
  <c r="M141" i="20"/>
  <c r="M142" i="20" a="1"/>
  <c r="M142" i="20" s="1"/>
  <c r="M143" i="20" a="1"/>
  <c r="M143" i="20"/>
  <c r="M144" i="20" a="1"/>
  <c r="M144" i="20" s="1"/>
  <c r="M145" i="20" a="1"/>
  <c r="M145" i="20"/>
  <c r="M146" i="20" a="1"/>
  <c r="M146" i="20" s="1"/>
  <c r="M147" i="20" a="1"/>
  <c r="M147" i="20"/>
  <c r="M148" i="20" a="1"/>
  <c r="M148" i="20" s="1"/>
  <c r="M149" i="20" a="1"/>
  <c r="M149" i="20"/>
  <c r="M150" i="20" a="1"/>
  <c r="M150" i="20" s="1"/>
  <c r="M151" i="20" a="1"/>
  <c r="M151" i="20"/>
  <c r="M152" i="20" a="1"/>
  <c r="M152" i="20" s="1"/>
  <c r="M153" i="20" a="1"/>
  <c r="M153" i="20" s="1"/>
  <c r="M154" i="20" a="1"/>
  <c r="M154" i="20" s="1"/>
  <c r="M155" i="20" a="1"/>
  <c r="M155" i="20" s="1"/>
  <c r="M156" i="20" a="1"/>
  <c r="M156" i="20" s="1"/>
  <c r="M157" i="20" a="1"/>
  <c r="M157" i="20" s="1"/>
  <c r="N157" i="20" s="1"/>
  <c r="M158" i="20" a="1"/>
  <c r="M158" i="20" s="1"/>
  <c r="M159" i="20" a="1"/>
  <c r="M159" i="20" s="1"/>
  <c r="M160" i="20" a="1"/>
  <c r="M160" i="20" s="1"/>
  <c r="M161" i="20" a="1"/>
  <c r="M161" i="20" s="1"/>
  <c r="M162" i="20" a="1"/>
  <c r="M162" i="20"/>
  <c r="M163" i="20" a="1"/>
  <c r="M163" i="20" s="1"/>
  <c r="M164" i="20" a="1"/>
  <c r="M164" i="20" s="1"/>
  <c r="M165" i="20" a="1"/>
  <c r="M165" i="20" s="1"/>
  <c r="M166" i="20" a="1"/>
  <c r="M166" i="20" s="1"/>
  <c r="M167" i="20" a="1"/>
  <c r="M167" i="20" s="1"/>
  <c r="M168" i="20" a="1"/>
  <c r="M168" i="20" s="1"/>
  <c r="M169" i="20" a="1"/>
  <c r="M169" i="20" s="1"/>
  <c r="M170" i="20" a="1"/>
  <c r="M170" i="20" s="1"/>
  <c r="M171" i="20" a="1"/>
  <c r="M171" i="20" s="1"/>
  <c r="M172" i="20" a="1"/>
  <c r="M172" i="20" s="1"/>
  <c r="M173" i="20" a="1"/>
  <c r="M173" i="20" s="1"/>
  <c r="M174" i="20" a="1"/>
  <c r="M174" i="20" s="1"/>
  <c r="M175" i="20" a="1"/>
  <c r="M175" i="20" s="1"/>
  <c r="M176" i="20" a="1"/>
  <c r="M176" i="20" s="1"/>
  <c r="M177" i="20" a="1"/>
  <c r="M177" i="20" s="1"/>
  <c r="M178" i="20" a="1"/>
  <c r="M178" i="20" s="1"/>
  <c r="M179" i="20" a="1"/>
  <c r="M179" i="20" s="1"/>
  <c r="M180" i="20" a="1"/>
  <c r="M180" i="20"/>
  <c r="M181" i="20" a="1"/>
  <c r="M181" i="20" s="1"/>
  <c r="M182" i="20" a="1"/>
  <c r="M182" i="20"/>
  <c r="M183" i="20" a="1"/>
  <c r="M183" i="20" s="1"/>
  <c r="N183" i="20" s="1"/>
  <c r="M184" i="20" a="1"/>
  <c r="M184" i="20" s="1"/>
  <c r="M185" i="20" a="1"/>
  <c r="M185" i="20" s="1"/>
  <c r="M186" i="20" a="1"/>
  <c r="M186" i="20" s="1"/>
  <c r="M187" i="20" a="1"/>
  <c r="M187" i="20"/>
  <c r="M188" i="20" a="1"/>
  <c r="M188" i="20" s="1"/>
  <c r="M189" i="20" a="1"/>
  <c r="M189" i="20"/>
  <c r="M190" i="20" a="1"/>
  <c r="M190" i="20" s="1"/>
  <c r="M191" i="20" a="1"/>
  <c r="M191" i="20" s="1"/>
  <c r="M192" i="20" a="1"/>
  <c r="M192" i="20" s="1"/>
  <c r="M193" i="20" a="1"/>
  <c r="M193" i="20"/>
  <c r="M194" i="20" a="1"/>
  <c r="M194" i="20" s="1"/>
  <c r="M195" i="20" a="1"/>
  <c r="M195" i="20" s="1"/>
  <c r="M196" i="20" a="1"/>
  <c r="M196" i="20" s="1"/>
  <c r="M197" i="20" a="1"/>
  <c r="M197" i="20" s="1"/>
  <c r="M198" i="20" a="1"/>
  <c r="M198" i="20" s="1"/>
  <c r="M199" i="20" a="1"/>
  <c r="M199" i="20" s="1"/>
  <c r="M200" i="20" a="1"/>
  <c r="M200" i="20" s="1"/>
  <c r="N200" i="20" s="1"/>
  <c r="M201" i="20" a="1"/>
  <c r="M201" i="20"/>
  <c r="M202" i="20" a="1"/>
  <c r="M202" i="20" s="1"/>
  <c r="M203" i="20" a="1"/>
  <c r="M203" i="20" s="1"/>
  <c r="M204" i="20" a="1"/>
  <c r="M204" i="20" s="1"/>
  <c r="M205" i="20" a="1"/>
  <c r="M205" i="20" s="1"/>
  <c r="M206" i="20" a="1"/>
  <c r="M206" i="20"/>
  <c r="M207" i="20" a="1"/>
  <c r="M207" i="20" s="1"/>
  <c r="M208" i="20" a="1"/>
  <c r="M208" i="20" s="1"/>
  <c r="M209" i="20" a="1"/>
  <c r="M209" i="20" s="1"/>
  <c r="N209" i="20" s="1"/>
  <c r="M210" i="20" a="1"/>
  <c r="M210" i="20" s="1"/>
  <c r="M211" i="20" a="1"/>
  <c r="M211" i="20" s="1"/>
  <c r="M212" i="20" a="1"/>
  <c r="M212" i="20" s="1"/>
  <c r="M213" i="20" a="1"/>
  <c r="M213" i="20" s="1"/>
  <c r="M214" i="20" a="1"/>
  <c r="M214" i="20" s="1"/>
  <c r="M215" i="20" a="1"/>
  <c r="M215" i="20" s="1"/>
  <c r="M216" i="20" a="1"/>
  <c r="M216" i="20"/>
  <c r="M217" i="20" a="1"/>
  <c r="M217" i="20" s="1"/>
  <c r="M218" i="20" a="1"/>
  <c r="M218" i="20" s="1"/>
  <c r="M219" i="20" a="1"/>
  <c r="M219" i="20" s="1"/>
  <c r="M220" i="20" a="1"/>
  <c r="M220" i="20" s="1"/>
  <c r="M221" i="20" a="1"/>
  <c r="M221" i="20" s="1"/>
  <c r="M222" i="20" a="1"/>
  <c r="M222" i="20"/>
  <c r="M223" i="20" a="1"/>
  <c r="M223" i="20" s="1"/>
  <c r="M224" i="20" a="1"/>
  <c r="M224" i="20"/>
  <c r="M225" i="20" a="1"/>
  <c r="M225" i="20" s="1"/>
  <c r="M226" i="20" a="1"/>
  <c r="M226" i="20" s="1"/>
  <c r="M227" i="20" a="1"/>
  <c r="M227" i="20" s="1"/>
  <c r="N227" i="20" s="1"/>
  <c r="M228" i="20" a="1"/>
  <c r="M228" i="20" s="1"/>
  <c r="N228" i="20" s="1"/>
  <c r="M229" i="20" a="1"/>
  <c r="M229" i="20" s="1"/>
  <c r="M230" i="20" a="1"/>
  <c r="M230" i="20" s="1"/>
  <c r="M231" i="20" a="1"/>
  <c r="M231" i="20" s="1"/>
  <c r="O8" i="20" a="1"/>
  <c r="O8" i="20" s="1"/>
  <c r="O15" i="20" a="1"/>
  <c r="O15" i="20" s="1"/>
  <c r="O16" i="20" a="1"/>
  <c r="O16" i="20" s="1"/>
  <c r="O24" i="20" a="1"/>
  <c r="O24" i="20" s="1"/>
  <c r="O25" i="20" a="1"/>
  <c r="O25" i="20" s="1"/>
  <c r="O32" i="20" a="1"/>
  <c r="O32" i="20" s="1"/>
  <c r="O33" i="20" a="1"/>
  <c r="O33" i="20" s="1"/>
  <c r="O40" i="20" a="1"/>
  <c r="O40" i="20" s="1"/>
  <c r="O41" i="20" a="1"/>
  <c r="O41" i="20" s="1"/>
  <c r="O43" i="20" a="1"/>
  <c r="O43" i="20" s="1"/>
  <c r="O49" i="20" a="1"/>
  <c r="O49" i="20" s="1"/>
  <c r="O50" i="20" a="1"/>
  <c r="O50" i="20" s="1"/>
  <c r="O57" i="20" a="1"/>
  <c r="O57" i="20" s="1"/>
  <c r="O58" i="20" a="1"/>
  <c r="O58" i="20" s="1"/>
  <c r="O60" i="20" a="1"/>
  <c r="O60" i="20" s="1"/>
  <c r="O61" i="20" a="1"/>
  <c r="O61" i="20" s="1"/>
  <c r="O64" i="20" a="1"/>
  <c r="O64" i="20"/>
  <c r="O66" i="20" a="1"/>
  <c r="O66" i="20" s="1"/>
  <c r="O67" i="20" a="1"/>
  <c r="O67" i="20" s="1"/>
  <c r="O68" i="20" a="1"/>
  <c r="O68" i="20" s="1"/>
  <c r="O69" i="20" a="1"/>
  <c r="O69" i="20" s="1"/>
  <c r="O70" i="20" a="1"/>
  <c r="O70" i="20" s="1"/>
  <c r="O72" i="20" a="1"/>
  <c r="O72" i="20" s="1"/>
  <c r="O73" i="20" a="1"/>
  <c r="O73" i="20" s="1"/>
  <c r="O74" i="20" a="1"/>
  <c r="O74" i="20" s="1"/>
  <c r="O75" i="20" a="1"/>
  <c r="O75" i="20" s="1"/>
  <c r="O77" i="20" a="1"/>
  <c r="O77" i="20" s="1"/>
  <c r="O79" i="20" a="1"/>
  <c r="O79" i="20" s="1"/>
  <c r="O80" i="20" a="1"/>
  <c r="O80" i="20"/>
  <c r="O81" i="20" a="1"/>
  <c r="O81" i="20" s="1"/>
  <c r="O83" i="20" a="1"/>
  <c r="O83" i="20" s="1"/>
  <c r="O84" i="20" a="1"/>
  <c r="O84" i="20" s="1"/>
  <c r="O86" i="20" a="1"/>
  <c r="O86" i="20" s="1"/>
  <c r="O87" i="20" a="1"/>
  <c r="O87" i="20" s="1"/>
  <c r="O88" i="20" a="1"/>
  <c r="O88" i="20" s="1"/>
  <c r="O89" i="20" a="1"/>
  <c r="O89" i="20" s="1"/>
  <c r="O91" i="20" a="1"/>
  <c r="O91" i="20" s="1"/>
  <c r="O92" i="20" a="1"/>
  <c r="O92" i="20" s="1"/>
  <c r="O93" i="20" a="1"/>
  <c r="O93" i="20" s="1"/>
  <c r="O94" i="20" a="1"/>
  <c r="O94" i="20" s="1"/>
  <c r="O95" i="20" a="1"/>
  <c r="O95" i="20" s="1"/>
  <c r="O96" i="20" a="1"/>
  <c r="O96" i="20" s="1"/>
  <c r="O97" i="20" a="1"/>
  <c r="O97" i="20" s="1"/>
  <c r="O98" i="20" a="1"/>
  <c r="O98" i="20" s="1"/>
  <c r="O99" i="20" a="1"/>
  <c r="O99" i="20" s="1"/>
  <c r="O100" i="20" a="1"/>
  <c r="O100" i="20" s="1"/>
  <c r="O101" i="20" a="1"/>
  <c r="O101" i="20"/>
  <c r="O102" i="20" a="1"/>
  <c r="O102" i="20" s="1"/>
  <c r="O104" i="20" a="1"/>
  <c r="O104" i="20" s="1"/>
  <c r="O105" i="20" a="1"/>
  <c r="O105" i="20" s="1"/>
  <c r="O106" i="20" a="1"/>
  <c r="O106" i="20" s="1"/>
  <c r="O108" i="20" a="1"/>
  <c r="O108" i="20" s="1"/>
  <c r="O109" i="20" a="1"/>
  <c r="O109" i="20" s="1"/>
  <c r="O110" i="20" a="1"/>
  <c r="O110" i="20" s="1"/>
  <c r="O111" i="20" a="1"/>
  <c r="O111" i="20" s="1"/>
  <c r="O113" i="20" a="1"/>
  <c r="O113" i="20" s="1"/>
  <c r="O114" i="20" a="1"/>
  <c r="O114" i="20" s="1"/>
  <c r="O115" i="20" a="1"/>
  <c r="O115" i="20"/>
  <c r="O116" i="20" a="1"/>
  <c r="O116" i="20" s="1"/>
  <c r="O117" i="20" a="1"/>
  <c r="O117" i="20" s="1"/>
  <c r="O118" i="20" a="1"/>
  <c r="O118" i="20" s="1"/>
  <c r="O119" i="20" a="1"/>
  <c r="O119" i="20" s="1"/>
  <c r="O120" i="20" a="1"/>
  <c r="O120" i="20" s="1"/>
  <c r="O122" i="20" a="1"/>
  <c r="O122" i="20" s="1"/>
  <c r="O123" i="20" a="1"/>
  <c r="O123" i="20" s="1"/>
  <c r="O124" i="20" a="1"/>
  <c r="O124" i="20"/>
  <c r="O125" i="20" a="1"/>
  <c r="O125" i="20" s="1"/>
  <c r="O126" i="20" a="1"/>
  <c r="O126" i="20" s="1"/>
  <c r="O127" i="20" a="1"/>
  <c r="O127" i="20" s="1"/>
  <c r="O128" i="20" a="1"/>
  <c r="O128" i="20"/>
  <c r="O129" i="20" a="1"/>
  <c r="O129" i="20" s="1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/>
  <c r="O137" i="20" a="1"/>
  <c r="O137" i="20"/>
  <c r="O138" i="20" a="1"/>
  <c r="O138" i="20" s="1"/>
  <c r="O139" i="20" a="1"/>
  <c r="O139" i="20"/>
  <c r="O140" i="20" a="1"/>
  <c r="O140" i="20" s="1"/>
  <c r="O141" i="20" a="1"/>
  <c r="O141" i="20"/>
  <c r="O142" i="20" a="1"/>
  <c r="O142" i="20" s="1"/>
  <c r="O143" i="20" a="1"/>
  <c r="O143" i="20" s="1"/>
  <c r="O144" i="20" a="1"/>
  <c r="O144" i="20" s="1"/>
  <c r="O145" i="20" a="1"/>
  <c r="O145" i="20" s="1"/>
  <c r="O146" i="20" a="1"/>
  <c r="O146" i="20" s="1"/>
  <c r="O147" i="20" a="1"/>
  <c r="O147" i="20"/>
  <c r="O148" i="20" a="1"/>
  <c r="O148" i="20" s="1"/>
  <c r="O149" i="20" a="1"/>
  <c r="O149" i="20"/>
  <c r="O150" i="20" a="1"/>
  <c r="O150" i="20" s="1"/>
  <c r="O151" i="20" a="1"/>
  <c r="O151" i="20" s="1"/>
  <c r="O152" i="20" a="1"/>
  <c r="O152" i="20" s="1"/>
  <c r="O153" i="20" a="1"/>
  <c r="O153" i="20" s="1"/>
  <c r="O154" i="20" a="1"/>
  <c r="O154" i="20"/>
  <c r="O155" i="20" a="1"/>
  <c r="O155" i="20" s="1"/>
  <c r="O156" i="20" a="1"/>
  <c r="O156" i="20" s="1"/>
  <c r="O157" i="20" a="1"/>
  <c r="O157" i="20" s="1"/>
  <c r="O158" i="20" a="1"/>
  <c r="O158" i="20"/>
  <c r="O159" i="20" a="1"/>
  <c r="O159" i="20" s="1"/>
  <c r="O160" i="20" a="1"/>
  <c r="O160" i="20" s="1"/>
  <c r="O161" i="20" a="1"/>
  <c r="O161" i="20" s="1"/>
  <c r="O162" i="20" a="1"/>
  <c r="O162" i="20" s="1"/>
  <c r="O163" i="20" a="1"/>
  <c r="O163" i="20" s="1"/>
  <c r="O164" i="20" a="1"/>
  <c r="O164" i="20" s="1"/>
  <c r="O165" i="20" a="1"/>
  <c r="O165" i="20"/>
  <c r="O166" i="20" a="1"/>
  <c r="O166" i="20" s="1"/>
  <c r="O167" i="20" a="1"/>
  <c r="O167" i="20"/>
  <c r="O168" i="20" a="1"/>
  <c r="O168" i="20" s="1"/>
  <c r="O169" i="20" a="1"/>
  <c r="O169" i="20" s="1"/>
  <c r="O170" i="20" a="1"/>
  <c r="O170" i="20" s="1"/>
  <c r="O171" i="20" a="1"/>
  <c r="O171" i="20" s="1"/>
  <c r="O172" i="20" a="1"/>
  <c r="O172" i="20" s="1"/>
  <c r="O173" i="20" a="1"/>
  <c r="O173" i="20" s="1"/>
  <c r="O174" i="20" a="1"/>
  <c r="O174" i="20" s="1"/>
  <c r="O175" i="20" a="1"/>
  <c r="O175" i="20" s="1"/>
  <c r="O176" i="20" a="1"/>
  <c r="O176" i="20" s="1"/>
  <c r="O177" i="20" a="1"/>
  <c r="O177" i="20" s="1"/>
  <c r="O178" i="20" a="1"/>
  <c r="O178" i="20"/>
  <c r="O179" i="20" a="1"/>
  <c r="O179" i="20" s="1"/>
  <c r="O180" i="20" a="1"/>
  <c r="O180" i="20" s="1"/>
  <c r="O181" i="20" a="1"/>
  <c r="O181" i="20" s="1"/>
  <c r="O182" i="20" a="1"/>
  <c r="O182" i="20"/>
  <c r="O183" i="20" a="1"/>
  <c r="O183" i="20"/>
  <c r="O184" i="20" a="1"/>
  <c r="O184" i="20" s="1"/>
  <c r="O185" i="20" a="1"/>
  <c r="O185" i="20" s="1"/>
  <c r="O186" i="20" a="1"/>
  <c r="O186" i="20" s="1"/>
  <c r="O187" i="20" a="1"/>
  <c r="O187" i="20" s="1"/>
  <c r="O188" i="20" a="1"/>
  <c r="O188" i="20" s="1"/>
  <c r="O189" i="20" a="1"/>
  <c r="O189" i="20" s="1"/>
  <c r="O190" i="20" a="1"/>
  <c r="O190" i="20" s="1"/>
  <c r="O191" i="20" a="1"/>
  <c r="O191" i="20" s="1"/>
  <c r="O192" i="20" a="1"/>
  <c r="O192" i="20" s="1"/>
  <c r="O193" i="20" a="1"/>
  <c r="O193" i="20" s="1"/>
  <c r="O194" i="20" a="1"/>
  <c r="O194" i="20" s="1"/>
  <c r="O195" i="20" a="1"/>
  <c r="O195" i="20"/>
  <c r="O196" i="20" a="1"/>
  <c r="O196" i="20"/>
  <c r="O197" i="20" a="1"/>
  <c r="O197" i="20"/>
  <c r="O198" i="20" a="1"/>
  <c r="O198" i="20" s="1"/>
  <c r="O199" i="20" a="1"/>
  <c r="O199" i="20" s="1"/>
  <c r="O200" i="20" a="1"/>
  <c r="O200" i="20"/>
  <c r="O201" i="20" a="1"/>
  <c r="O201" i="20" s="1"/>
  <c r="O202" i="20" a="1"/>
  <c r="O202" i="20" s="1"/>
  <c r="O203" i="20" a="1"/>
  <c r="O203" i="20" s="1"/>
  <c r="O204" i="20" a="1"/>
  <c r="O204" i="20" s="1"/>
  <c r="O205" i="20" a="1"/>
  <c r="O205" i="20" s="1"/>
  <c r="O206" i="20" a="1"/>
  <c r="O206" i="20" s="1"/>
  <c r="O207" i="20" a="1"/>
  <c r="O207" i="20" s="1"/>
  <c r="O208" i="20" a="1"/>
  <c r="O208" i="20" s="1"/>
  <c r="O209" i="20" a="1"/>
  <c r="O209" i="20"/>
  <c r="O210" i="20" a="1"/>
  <c r="O210" i="20" s="1"/>
  <c r="O211" i="20" a="1"/>
  <c r="O211" i="20" s="1"/>
  <c r="O212" i="20" a="1"/>
  <c r="O212" i="20" s="1"/>
  <c r="O213" i="20" a="1"/>
  <c r="O213" i="20"/>
  <c r="O214" i="20" a="1"/>
  <c r="O214" i="20" s="1"/>
  <c r="O215" i="20" a="1"/>
  <c r="O215" i="20" s="1"/>
  <c r="O216" i="20" a="1"/>
  <c r="O216" i="20" s="1"/>
  <c r="O217" i="20" a="1"/>
  <c r="O217" i="20"/>
  <c r="O218" i="20" a="1"/>
  <c r="O218" i="20" s="1"/>
  <c r="O219" i="20" a="1"/>
  <c r="O219" i="20"/>
  <c r="O220" i="20" a="1"/>
  <c r="O220" i="20" s="1"/>
  <c r="O221" i="20" a="1"/>
  <c r="O221" i="20" s="1"/>
  <c r="O222" i="20" a="1"/>
  <c r="O222" i="20" s="1"/>
  <c r="O223" i="20" a="1"/>
  <c r="O223" i="20" s="1"/>
  <c r="O224" i="20" a="1"/>
  <c r="O224" i="20"/>
  <c r="O225" i="20" a="1"/>
  <c r="O225" i="20" s="1"/>
  <c r="O226" i="20" a="1"/>
  <c r="O226" i="20"/>
  <c r="O227" i="20" a="1"/>
  <c r="O227" i="20" s="1"/>
  <c r="O228" i="20" a="1"/>
  <c r="O228" i="20" s="1"/>
  <c r="O229" i="20" a="1"/>
  <c r="O229" i="20"/>
  <c r="O230" i="20" a="1"/>
  <c r="O230" i="20"/>
  <c r="O231" i="20" a="1"/>
  <c r="O231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/>
  <c r="P8" i="20" a="1"/>
  <c r="P8" i="20" s="1"/>
  <c r="P9" i="20" a="1"/>
  <c r="P9" i="20" s="1"/>
  <c r="P10" i="20" a="1"/>
  <c r="P10" i="20" s="1"/>
  <c r="P11" i="20" a="1"/>
  <c r="P11" i="20"/>
  <c r="P12" i="20" a="1"/>
  <c r="P12" i="20" s="1"/>
  <c r="P13" i="20" a="1"/>
  <c r="P13" i="20"/>
  <c r="P14" i="20" a="1"/>
  <c r="P14" i="20" s="1"/>
  <c r="P15" i="20" a="1"/>
  <c r="P15" i="20" s="1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 s="1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 s="1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 s="1"/>
  <c r="P151" i="20" a="1"/>
  <c r="P151" i="20" s="1"/>
  <c r="P152" i="20" a="1"/>
  <c r="P152" i="20" s="1"/>
  <c r="P153" i="20" a="1"/>
  <c r="P153" i="20" s="1"/>
  <c r="P154" i="20" a="1"/>
  <c r="P154" i="20" s="1"/>
  <c r="P155" i="20" a="1"/>
  <c r="P155" i="20" s="1"/>
  <c r="P156" i="20" a="1"/>
  <c r="P156" i="20" s="1"/>
  <c r="P157" i="20" a="1"/>
  <c r="P157" i="20" s="1"/>
  <c r="P158" i="20" a="1"/>
  <c r="P158" i="20" s="1"/>
  <c r="P159" i="20" a="1"/>
  <c r="P159" i="20" s="1"/>
  <c r="P160" i="20" a="1"/>
  <c r="P160" i="20" s="1"/>
  <c r="P161" i="20" a="1"/>
  <c r="P161" i="20" s="1"/>
  <c r="P162" i="20" a="1"/>
  <c r="P162" i="20" s="1"/>
  <c r="P163" i="20" a="1"/>
  <c r="P163" i="20" s="1"/>
  <c r="P164" i="20" a="1"/>
  <c r="P164" i="20" s="1"/>
  <c r="P165" i="20" a="1"/>
  <c r="P165" i="20" s="1"/>
  <c r="P166" i="20" a="1"/>
  <c r="P166" i="20" s="1"/>
  <c r="P167" i="20" a="1"/>
  <c r="P167" i="20" s="1"/>
  <c r="P168" i="20" a="1"/>
  <c r="P168" i="20" s="1"/>
  <c r="P169" i="20" a="1"/>
  <c r="P169" i="20" s="1"/>
  <c r="P170" i="20" a="1"/>
  <c r="P170" i="20" s="1"/>
  <c r="P171" i="20" a="1"/>
  <c r="P171" i="20" s="1"/>
  <c r="P172" i="20" a="1"/>
  <c r="P172" i="20" s="1"/>
  <c r="P173" i="20" a="1"/>
  <c r="P173" i="20" s="1"/>
  <c r="P174" i="20" a="1"/>
  <c r="P174" i="20" s="1"/>
  <c r="P175" i="20" a="1"/>
  <c r="P175" i="20" s="1"/>
  <c r="P176" i="20" a="1"/>
  <c r="P176" i="20" s="1"/>
  <c r="P177" i="20" a="1"/>
  <c r="P177" i="20" s="1"/>
  <c r="P178" i="20" a="1"/>
  <c r="P178" i="20" s="1"/>
  <c r="P179" i="20" a="1"/>
  <c r="P179" i="20" s="1"/>
  <c r="P180" i="20" a="1"/>
  <c r="P180" i="20" s="1"/>
  <c r="P181" i="20" a="1"/>
  <c r="P181" i="20" s="1"/>
  <c r="P182" i="20" a="1"/>
  <c r="P182" i="20" s="1"/>
  <c r="P183" i="20" a="1"/>
  <c r="P183" i="20" s="1"/>
  <c r="P184" i="20" a="1"/>
  <c r="P184" i="20" s="1"/>
  <c r="P185" i="20" a="1"/>
  <c r="P185" i="20" s="1"/>
  <c r="P186" i="20" a="1"/>
  <c r="P186" i="20" s="1"/>
  <c r="P187" i="20" a="1"/>
  <c r="P187" i="20" s="1"/>
  <c r="P188" i="20" a="1"/>
  <c r="P188" i="20" s="1"/>
  <c r="P189" i="20" a="1"/>
  <c r="P189" i="20" s="1"/>
  <c r="P190" i="20" a="1"/>
  <c r="P190" i="20" s="1"/>
  <c r="P191" i="20" a="1"/>
  <c r="P191" i="20" s="1"/>
  <c r="P192" i="20" a="1"/>
  <c r="P192" i="20" s="1"/>
  <c r="P193" i="20" a="1"/>
  <c r="P193" i="20" s="1"/>
  <c r="P194" i="20" a="1"/>
  <c r="P194" i="20" s="1"/>
  <c r="P195" i="20" a="1"/>
  <c r="P195" i="20" s="1"/>
  <c r="P196" i="20" a="1"/>
  <c r="P196" i="20" s="1"/>
  <c r="P197" i="20" a="1"/>
  <c r="P197" i="20" s="1"/>
  <c r="P198" i="20" a="1"/>
  <c r="P198" i="20" s="1"/>
  <c r="P199" i="20" a="1"/>
  <c r="P199" i="20" s="1"/>
  <c r="P200" i="20" a="1"/>
  <c r="P200" i="20" s="1"/>
  <c r="P201" i="20" a="1"/>
  <c r="P201" i="20" s="1"/>
  <c r="P202" i="20" a="1"/>
  <c r="P202" i="20" s="1"/>
  <c r="P203" i="20" a="1"/>
  <c r="P203" i="20" s="1"/>
  <c r="P204" i="20" a="1"/>
  <c r="P204" i="20" s="1"/>
  <c r="P205" i="20" a="1"/>
  <c r="P205" i="20" s="1"/>
  <c r="P206" i="20" a="1"/>
  <c r="P206" i="20" s="1"/>
  <c r="P207" i="20" a="1"/>
  <c r="P207" i="20" s="1"/>
  <c r="P208" i="20" a="1"/>
  <c r="P208" i="20" s="1"/>
  <c r="P209" i="20" a="1"/>
  <c r="P209" i="20" s="1"/>
  <c r="P210" i="20" a="1"/>
  <c r="P210" i="20" s="1"/>
  <c r="P211" i="20" a="1"/>
  <c r="P211" i="20" s="1"/>
  <c r="P212" i="20" a="1"/>
  <c r="P212" i="20" s="1"/>
  <c r="P213" i="20" a="1"/>
  <c r="P213" i="20" s="1"/>
  <c r="P214" i="20" a="1"/>
  <c r="P214" i="20" s="1"/>
  <c r="P215" i="20" a="1"/>
  <c r="P215" i="20" s="1"/>
  <c r="P216" i="20" a="1"/>
  <c r="P216" i="20" s="1"/>
  <c r="P217" i="20" a="1"/>
  <c r="P217" i="20" s="1"/>
  <c r="P218" i="20" a="1"/>
  <c r="P218" i="20" s="1"/>
  <c r="P219" i="20" a="1"/>
  <c r="P219" i="20" s="1"/>
  <c r="P220" i="20" a="1"/>
  <c r="P220" i="20" s="1"/>
  <c r="P221" i="20" a="1"/>
  <c r="P221" i="20" s="1"/>
  <c r="P222" i="20" a="1"/>
  <c r="P222" i="20" s="1"/>
  <c r="P223" i="20" a="1"/>
  <c r="P223" i="20" s="1"/>
  <c r="P224" i="20" a="1"/>
  <c r="P224" i="20" s="1"/>
  <c r="P225" i="20" a="1"/>
  <c r="P225" i="20" s="1"/>
  <c r="P226" i="20" a="1"/>
  <c r="P226" i="20" s="1"/>
  <c r="P227" i="20" a="1"/>
  <c r="P227" i="20" s="1"/>
  <c r="P228" i="20" a="1"/>
  <c r="P228" i="20" s="1"/>
  <c r="P229" i="20" a="1"/>
  <c r="P229" i="20" s="1"/>
  <c r="P230" i="20" a="1"/>
  <c r="P230" i="20" s="1"/>
  <c r="P231" i="20" a="1"/>
  <c r="P231" i="20" s="1"/>
  <c r="H2" i="19"/>
  <c r="H3" i="19"/>
  <c r="H4" i="19"/>
  <c r="H5" i="19"/>
  <c r="H6" i="19"/>
  <c r="H7" i="19"/>
  <c r="H8" i="19"/>
  <c r="H9" i="19"/>
  <c r="H10" i="19"/>
  <c r="H11" i="19"/>
  <c r="H12" i="19"/>
  <c r="O20" i="19" s="1" a="1"/>
  <c r="O20" i="19" s="1"/>
  <c r="H13" i="19"/>
  <c r="H14" i="19"/>
  <c r="H15" i="19"/>
  <c r="H16" i="19"/>
  <c r="H17" i="19"/>
  <c r="H18" i="19"/>
  <c r="H19" i="19"/>
  <c r="H20" i="19"/>
  <c r="H21" i="19"/>
  <c r="I2" i="19" a="1"/>
  <c r="I2" i="19" s="1"/>
  <c r="I3" i="19" a="1"/>
  <c r="I3" i="19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L2" i="19" a="1"/>
  <c r="L2" i="19" s="1"/>
  <c r="L3" i="19" a="1"/>
  <c r="L3" i="19"/>
  <c r="L4" i="19" a="1"/>
  <c r="L4" i="19" s="1"/>
  <c r="L5" i="19" a="1"/>
  <c r="L5" i="19" s="1"/>
  <c r="L6" i="19" a="1"/>
  <c r="L6" i="19" s="1"/>
  <c r="L7" i="19" a="1"/>
  <c r="L7" i="19" s="1"/>
  <c r="L8" i="19" a="1"/>
  <c r="L8" i="19" s="1"/>
  <c r="L9" i="19" a="1"/>
  <c r="L9" i="19" s="1"/>
  <c r="L10" i="19" a="1"/>
  <c r="L10" i="19" s="1"/>
  <c r="L11" i="19" a="1"/>
  <c r="L11" i="19" s="1"/>
  <c r="L12" i="19" a="1"/>
  <c r="L12" i="19" s="1"/>
  <c r="L13" i="19" a="1"/>
  <c r="L13" i="19" s="1"/>
  <c r="L14" i="19" a="1"/>
  <c r="L14" i="19" s="1"/>
  <c r="L15" i="19" a="1"/>
  <c r="L15" i="19" s="1"/>
  <c r="L16" i="19" a="1"/>
  <c r="L16" i="19" s="1"/>
  <c r="L17" i="19" a="1"/>
  <c r="L17" i="19" s="1"/>
  <c r="L18" i="19" a="1"/>
  <c r="L18" i="19" s="1"/>
  <c r="L19" i="19" a="1"/>
  <c r="L19" i="19" s="1"/>
  <c r="L20" i="19" a="1"/>
  <c r="L20" i="19" s="1"/>
  <c r="L21" i="19" a="1"/>
  <c r="L21" i="19" s="1"/>
  <c r="O8" i="19" a="1"/>
  <c r="O8" i="19" s="1"/>
  <c r="M2" i="18"/>
  <c r="M3" i="18"/>
  <c r="M4" i="18"/>
  <c r="M5" i="18"/>
  <c r="M6" i="18"/>
  <c r="M7" i="18"/>
  <c r="M8" i="18"/>
  <c r="M9" i="18"/>
  <c r="M10" i="18"/>
  <c r="M11" i="18"/>
  <c r="M12" i="18"/>
  <c r="M13" i="18"/>
  <c r="O15" i="18" s="1" a="1"/>
  <c r="O15" i="18" s="1"/>
  <c r="M14" i="18"/>
  <c r="M15" i="18"/>
  <c r="M16" i="18"/>
  <c r="M17" i="18"/>
  <c r="M18" i="18"/>
  <c r="M19" i="18"/>
  <c r="M20" i="18"/>
  <c r="M21" i="18"/>
  <c r="M22" i="18"/>
  <c r="M23" i="18"/>
  <c r="O23" i="18" s="1" a="1"/>
  <c r="O23" i="18" s="1"/>
  <c r="M24" i="18"/>
  <c r="O24" i="18" s="1" a="1"/>
  <c r="O24" i="18" s="1"/>
  <c r="M25" i="18"/>
  <c r="O25" i="18" s="1" a="1"/>
  <c r="O25" i="18" s="1"/>
  <c r="M26" i="18"/>
  <c r="M27" i="18"/>
  <c r="M28" i="18"/>
  <c r="M29" i="18"/>
  <c r="M30" i="18"/>
  <c r="M31" i="18"/>
  <c r="M32" i="18"/>
  <c r="M33" i="18"/>
  <c r="M34" i="18"/>
  <c r="M35" i="18"/>
  <c r="M36" i="18"/>
  <c r="M37" i="18"/>
  <c r="O37" i="18" s="1" a="1"/>
  <c r="O37" i="18" s="1"/>
  <c r="M38" i="18"/>
  <c r="M39" i="18"/>
  <c r="M40" i="18"/>
  <c r="M41" i="18"/>
  <c r="M42" i="18"/>
  <c r="M43" i="18"/>
  <c r="M44" i="18"/>
  <c r="M45" i="18"/>
  <c r="M46" i="18"/>
  <c r="M47" i="18"/>
  <c r="M48" i="18"/>
  <c r="M49" i="18"/>
  <c r="O49" i="18" s="1" a="1"/>
  <c r="O49" i="18" s="1"/>
  <c r="M50" i="18"/>
  <c r="M51" i="18"/>
  <c r="M52" i="18"/>
  <c r="M53" i="18"/>
  <c r="M54" i="18"/>
  <c r="M55" i="18"/>
  <c r="M56" i="18"/>
  <c r="M57" i="18"/>
  <c r="M58" i="18"/>
  <c r="M59" i="18"/>
  <c r="M60" i="18"/>
  <c r="O60" i="18" s="1" a="1"/>
  <c r="O60" i="18" s="1"/>
  <c r="M61" i="18"/>
  <c r="O213" i="18" s="1" a="1"/>
  <c r="O213" i="18" s="1"/>
  <c r="M62" i="18"/>
  <c r="M63" i="18"/>
  <c r="M64" i="18"/>
  <c r="M65" i="18"/>
  <c r="M66" i="18"/>
  <c r="M67" i="18"/>
  <c r="M68" i="18"/>
  <c r="M69" i="18"/>
  <c r="M70" i="18"/>
  <c r="M71" i="18"/>
  <c r="M72" i="18"/>
  <c r="M73" i="18"/>
  <c r="O73" i="18" s="1" a="1"/>
  <c r="O73" i="18" s="1"/>
  <c r="M74" i="18"/>
  <c r="M75" i="18"/>
  <c r="M76" i="18"/>
  <c r="M77" i="18"/>
  <c r="M78" i="18"/>
  <c r="M79" i="18"/>
  <c r="M80" i="18"/>
  <c r="M81" i="18"/>
  <c r="M82" i="18"/>
  <c r="M83" i="18"/>
  <c r="M84" i="18"/>
  <c r="M85" i="18"/>
  <c r="O85" i="18" s="1" a="1"/>
  <c r="O85" i="18" s="1"/>
  <c r="M86" i="18"/>
  <c r="M87" i="18"/>
  <c r="M88" i="18"/>
  <c r="M89" i="18"/>
  <c r="M90" i="18"/>
  <c r="M91" i="18"/>
  <c r="M92" i="18"/>
  <c r="M93" i="18"/>
  <c r="M94" i="18"/>
  <c r="M95" i="18"/>
  <c r="M96" i="18"/>
  <c r="M97" i="18"/>
  <c r="O97" i="18" s="1" a="1"/>
  <c r="O97" i="18" s="1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O109" i="18" s="1" a="1"/>
  <c r="O109" i="18" s="1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O121" i="18" s="1" a="1"/>
  <c r="O121" i="18" s="1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O133" i="18" s="1" a="1"/>
  <c r="O133" i="18" s="1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O145" i="18" s="1" a="1"/>
  <c r="O145" i="18" s="1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O157" i="18" s="1" a="1"/>
  <c r="O157" i="18" s="1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O169" i="18" s="1" a="1"/>
  <c r="O169" i="18" s="1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O181" i="18" s="1" a="1"/>
  <c r="O181" i="18" s="1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O193" i="18" s="1" a="1"/>
  <c r="O193" i="18" s="1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O205" i="18" s="1" a="1"/>
  <c r="O205" i="18" s="1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O217" i="18" s="1" a="1"/>
  <c r="O217" i="18" s="1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O229" i="18" s="1" a="1"/>
  <c r="O229" i="18" s="1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O241" i="18" s="1" a="1"/>
  <c r="O241" i="18" s="1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O253" i="18" s="1" a="1"/>
  <c r="O253" i="18" s="1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O265" i="18" s="1" a="1"/>
  <c r="O265" i="18" s="1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O277" i="18" s="1" a="1"/>
  <c r="O277" i="18" s="1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O289" i="18" s="1" a="1"/>
  <c r="O289" i="18" s="1"/>
  <c r="M290" i="18"/>
  <c r="M291" i="18"/>
  <c r="M292" i="18"/>
  <c r="M293" i="18"/>
  <c r="M294" i="18"/>
  <c r="M295" i="18"/>
  <c r="M296" i="18"/>
  <c r="M297" i="18"/>
  <c r="M298" i="18"/>
  <c r="M299" i="18"/>
  <c r="M300" i="18"/>
  <c r="M301" i="18"/>
  <c r="O301" i="18" s="1" a="1"/>
  <c r="O301" i="18" s="1"/>
  <c r="M302" i="18"/>
  <c r="M303" i="18"/>
  <c r="M304" i="18"/>
  <c r="M305" i="18"/>
  <c r="M306" i="18"/>
  <c r="M307" i="18"/>
  <c r="M308" i="18"/>
  <c r="M309" i="18"/>
  <c r="M310" i="18"/>
  <c r="M311" i="18"/>
  <c r="M312" i="18"/>
  <c r="M313" i="18"/>
  <c r="O313" i="18" s="1" a="1"/>
  <c r="O313" i="18" s="1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O325" i="18" s="1" a="1"/>
  <c r="O325" i="18" s="1"/>
  <c r="M326" i="18"/>
  <c r="M327" i="18"/>
  <c r="M328" i="18"/>
  <c r="M329" i="18"/>
  <c r="M330" i="18"/>
  <c r="M331" i="18"/>
  <c r="M332" i="18"/>
  <c r="M333" i="18"/>
  <c r="M334" i="18"/>
  <c r="M335" i="18"/>
  <c r="M336" i="18"/>
  <c r="M337" i="18"/>
  <c r="O337" i="18" s="1" a="1"/>
  <c r="O337" i="18" s="1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O349" i="18" s="1" a="1"/>
  <c r="O349" i="18" s="1"/>
  <c r="M350" i="18"/>
  <c r="M351" i="18"/>
  <c r="M352" i="18"/>
  <c r="M353" i="18"/>
  <c r="M354" i="18"/>
  <c r="M355" i="18"/>
  <c r="M356" i="18"/>
  <c r="M357" i="18"/>
  <c r="M358" i="18"/>
  <c r="M359" i="18"/>
  <c r="M360" i="18"/>
  <c r="M361" i="18"/>
  <c r="O361" i="18" s="1" a="1"/>
  <c r="O361" i="18" s="1"/>
  <c r="M362" i="18"/>
  <c r="M363" i="18"/>
  <c r="M364" i="18"/>
  <c r="M365" i="18"/>
  <c r="M366" i="18"/>
  <c r="M367" i="18"/>
  <c r="M368" i="18"/>
  <c r="M369" i="18"/>
  <c r="M370" i="18"/>
  <c r="M371" i="18"/>
  <c r="M372" i="18"/>
  <c r="M373" i="18"/>
  <c r="M374" i="18"/>
  <c r="M375" i="18"/>
  <c r="M376" i="18"/>
  <c r="M377" i="18"/>
  <c r="M378" i="18"/>
  <c r="M379" i="18"/>
  <c r="M380" i="18"/>
  <c r="M381" i="18"/>
  <c r="M382" i="18"/>
  <c r="M383" i="18"/>
  <c r="M384" i="18"/>
  <c r="M385" i="18"/>
  <c r="O385" i="18" s="1" a="1"/>
  <c r="O385" i="18" s="1"/>
  <c r="M386" i="18"/>
  <c r="M387" i="18"/>
  <c r="M388" i="18"/>
  <c r="M389" i="18"/>
  <c r="M390" i="18"/>
  <c r="M391" i="18"/>
  <c r="N2" i="18" a="1"/>
  <c r="N2" i="18" s="1"/>
  <c r="N3" i="18" a="1"/>
  <c r="N3" i="18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/>
  <c r="N15" i="18" a="1"/>
  <c r="N15" i="18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/>
  <c r="N148" i="18" a="1"/>
  <c r="N148" i="18" s="1"/>
  <c r="N149" i="18" a="1"/>
  <c r="N149" i="18" s="1"/>
  <c r="N150" i="18" a="1"/>
  <c r="N150" i="18" s="1"/>
  <c r="N151" i="18" a="1"/>
  <c r="N151" i="18" s="1"/>
  <c r="N152" i="18" a="1"/>
  <c r="N152" i="18" s="1"/>
  <c r="N153" i="18" a="1"/>
  <c r="N153" i="18" s="1"/>
  <c r="N154" i="18" a="1"/>
  <c r="N154" i="18" s="1"/>
  <c r="N155" i="18" a="1"/>
  <c r="N155" i="18" s="1"/>
  <c r="N156" i="18" a="1"/>
  <c r="N156" i="18" s="1"/>
  <c r="N157" i="18" a="1"/>
  <c r="N157" i="18" s="1"/>
  <c r="N158" i="18" a="1"/>
  <c r="N158" i="18" s="1"/>
  <c r="N159" i="18" a="1"/>
  <c r="N159" i="18" s="1"/>
  <c r="N160" i="18" a="1"/>
  <c r="N160" i="18" s="1"/>
  <c r="N161" i="18" a="1"/>
  <c r="N161" i="18" s="1"/>
  <c r="N162" i="18" a="1"/>
  <c r="N162" i="18" s="1"/>
  <c r="N163" i="18" a="1"/>
  <c r="N163" i="18" s="1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 s="1"/>
  <c r="N170" i="18" a="1"/>
  <c r="N170" i="18" s="1"/>
  <c r="N171" i="18" a="1"/>
  <c r="N171" i="18" s="1"/>
  <c r="N172" i="18" a="1"/>
  <c r="N172" i="18" s="1"/>
  <c r="N173" i="18" a="1"/>
  <c r="N173" i="18" s="1"/>
  <c r="N174" i="18" a="1"/>
  <c r="N174" i="18" s="1"/>
  <c r="N175" i="18" a="1"/>
  <c r="N175" i="18" s="1"/>
  <c r="N176" i="18" a="1"/>
  <c r="N176" i="18" s="1"/>
  <c r="N177" i="18" a="1"/>
  <c r="N177" i="18" s="1"/>
  <c r="N178" i="18" a="1"/>
  <c r="N178" i="18" s="1"/>
  <c r="N179" i="18" a="1"/>
  <c r="N179" i="18" s="1"/>
  <c r="N180" i="18" a="1"/>
  <c r="N180" i="18" s="1"/>
  <c r="N181" i="18" a="1"/>
  <c r="N181" i="18" s="1"/>
  <c r="N182" i="18" a="1"/>
  <c r="N182" i="18" s="1"/>
  <c r="N183" i="18" a="1"/>
  <c r="N183" i="18" s="1"/>
  <c r="N184" i="18" a="1"/>
  <c r="N184" i="18" s="1"/>
  <c r="N185" i="18" a="1"/>
  <c r="N185" i="18" s="1"/>
  <c r="N186" i="18" a="1"/>
  <c r="N186" i="18" s="1"/>
  <c r="N187" i="18" a="1"/>
  <c r="N187" i="18" s="1"/>
  <c r="N188" i="18" a="1"/>
  <c r="N188" i="18" s="1"/>
  <c r="N189" i="18" a="1"/>
  <c r="N189" i="18" s="1"/>
  <c r="N190" i="18" a="1"/>
  <c r="N190" i="18" s="1"/>
  <c r="N191" i="18" a="1"/>
  <c r="N191" i="18" s="1"/>
  <c r="N192" i="18" a="1"/>
  <c r="N192" i="18" s="1"/>
  <c r="N193" i="18" a="1"/>
  <c r="N193" i="18" s="1"/>
  <c r="N194" i="18" a="1"/>
  <c r="N194" i="18" s="1"/>
  <c r="N195" i="18" a="1"/>
  <c r="N195" i="18" s="1"/>
  <c r="N196" i="18" a="1"/>
  <c r="N196" i="18" s="1"/>
  <c r="N197" i="18" a="1"/>
  <c r="N197" i="18" s="1"/>
  <c r="N198" i="18" a="1"/>
  <c r="N198" i="18" s="1"/>
  <c r="N199" i="18" a="1"/>
  <c r="N199" i="18" s="1"/>
  <c r="N200" i="18" a="1"/>
  <c r="N200" i="18" s="1"/>
  <c r="N201" i="18" a="1"/>
  <c r="N201" i="18" s="1"/>
  <c r="N202" i="18" a="1"/>
  <c r="N202" i="18" s="1"/>
  <c r="N203" i="18" a="1"/>
  <c r="N203" i="18" s="1"/>
  <c r="N204" i="18" a="1"/>
  <c r="N204" i="18" s="1"/>
  <c r="N205" i="18" a="1"/>
  <c r="N205" i="18" s="1"/>
  <c r="N206" i="18" a="1"/>
  <c r="N206" i="18" s="1"/>
  <c r="N207" i="18" a="1"/>
  <c r="N207" i="18" s="1"/>
  <c r="N208" i="18" a="1"/>
  <c r="N208" i="18" s="1"/>
  <c r="N209" i="18" a="1"/>
  <c r="N209" i="18" s="1"/>
  <c r="N210" i="18" a="1"/>
  <c r="N210" i="18" s="1"/>
  <c r="N211" i="18" a="1"/>
  <c r="N211" i="18" s="1"/>
  <c r="N212" i="18" a="1"/>
  <c r="N212" i="18" s="1"/>
  <c r="N213" i="18" a="1"/>
  <c r="N213" i="18" s="1"/>
  <c r="N214" i="18" a="1"/>
  <c r="N214" i="18" s="1"/>
  <c r="N215" i="18" a="1"/>
  <c r="N215" i="18" s="1"/>
  <c r="N216" i="18" a="1"/>
  <c r="N216" i="18" s="1"/>
  <c r="N217" i="18" a="1"/>
  <c r="N217" i="18" s="1"/>
  <c r="N218" i="18" a="1"/>
  <c r="N218" i="18" s="1"/>
  <c r="N219" i="18" a="1"/>
  <c r="N219" i="18"/>
  <c r="N220" i="18" a="1"/>
  <c r="N220" i="18" s="1"/>
  <c r="N221" i="18" a="1"/>
  <c r="N221" i="18" s="1"/>
  <c r="N222" i="18" a="1"/>
  <c r="N222" i="18" s="1"/>
  <c r="N223" i="18" a="1"/>
  <c r="N223" i="18" s="1"/>
  <c r="N224" i="18" a="1"/>
  <c r="N224" i="18" s="1"/>
  <c r="N225" i="18" a="1"/>
  <c r="N225" i="18" s="1"/>
  <c r="N226" i="18" a="1"/>
  <c r="N226" i="18" s="1"/>
  <c r="N227" i="18" a="1"/>
  <c r="N227" i="18" s="1"/>
  <c r="N228" i="18" a="1"/>
  <c r="N228" i="18" s="1"/>
  <c r="N229" i="18" a="1"/>
  <c r="N229" i="18" s="1"/>
  <c r="N230" i="18" a="1"/>
  <c r="N230" i="18" s="1"/>
  <c r="N231" i="18" a="1"/>
  <c r="N231" i="18" s="1"/>
  <c r="N232" i="18" a="1"/>
  <c r="N232" i="18" s="1"/>
  <c r="N233" i="18" a="1"/>
  <c r="N233" i="18" s="1"/>
  <c r="N234" i="18" a="1"/>
  <c r="N234" i="18" s="1"/>
  <c r="N235" i="18" a="1"/>
  <c r="N235" i="18" s="1"/>
  <c r="N236" i="18" a="1"/>
  <c r="N236" i="18"/>
  <c r="N237" i="18" a="1"/>
  <c r="N237" i="18"/>
  <c r="N238" i="18" a="1"/>
  <c r="N238" i="18" s="1"/>
  <c r="N239" i="18" a="1"/>
  <c r="N239" i="18" s="1"/>
  <c r="N240" i="18" a="1"/>
  <c r="N240" i="18"/>
  <c r="N241" i="18" a="1"/>
  <c r="N241" i="18" s="1"/>
  <c r="N242" i="18" a="1"/>
  <c r="N242" i="18" s="1"/>
  <c r="N243" i="18" a="1"/>
  <c r="N243" i="18" s="1"/>
  <c r="N244" i="18" a="1"/>
  <c r="N244" i="18" s="1"/>
  <c r="N245" i="18" a="1"/>
  <c r="N245" i="18" s="1"/>
  <c r="N246" i="18" a="1"/>
  <c r="N246" i="18" s="1"/>
  <c r="N247" i="18" a="1"/>
  <c r="N247" i="18" s="1"/>
  <c r="N248" i="18" a="1"/>
  <c r="N248" i="18"/>
  <c r="N249" i="18" a="1"/>
  <c r="N249" i="18"/>
  <c r="N250" i="18" a="1"/>
  <c r="N250" i="18" s="1"/>
  <c r="N251" i="18" a="1"/>
  <c r="N251" i="18" s="1"/>
  <c r="N252" i="18" a="1"/>
  <c r="N252" i="18" s="1"/>
  <c r="N253" i="18" a="1"/>
  <c r="N253" i="18" s="1"/>
  <c r="N254" i="18" a="1"/>
  <c r="N254" i="18" s="1"/>
  <c r="N255" i="18" a="1"/>
  <c r="N255" i="18" s="1"/>
  <c r="N256" i="18" a="1"/>
  <c r="N256" i="18" s="1"/>
  <c r="N257" i="18" a="1"/>
  <c r="N257" i="18" s="1"/>
  <c r="N258" i="18" a="1"/>
  <c r="N258" i="18" s="1"/>
  <c r="N259" i="18" a="1"/>
  <c r="N259" i="18" s="1"/>
  <c r="N260" i="18" a="1"/>
  <c r="N260" i="18"/>
  <c r="N261" i="18" a="1"/>
  <c r="N261" i="18"/>
  <c r="N262" i="18" a="1"/>
  <c r="N262" i="18" s="1"/>
  <c r="N263" i="18" a="1"/>
  <c r="N263" i="18" s="1"/>
  <c r="N264" i="18" a="1"/>
  <c r="N264" i="18"/>
  <c r="N265" i="18" a="1"/>
  <c r="N265" i="18" s="1"/>
  <c r="N266" i="18" a="1"/>
  <c r="N266" i="18" s="1"/>
  <c r="N267" i="18" a="1"/>
  <c r="N267" i="18" s="1"/>
  <c r="N268" i="18" a="1"/>
  <c r="N268" i="18" s="1"/>
  <c r="N269" i="18" a="1"/>
  <c r="N269" i="18" s="1"/>
  <c r="N270" i="18" a="1"/>
  <c r="N270" i="18" s="1"/>
  <c r="N271" i="18" a="1"/>
  <c r="N271" i="18" s="1"/>
  <c r="N272" i="18" a="1"/>
  <c r="N272" i="18" s="1"/>
  <c r="N273" i="18" a="1"/>
  <c r="N273" i="18" s="1"/>
  <c r="N274" i="18" a="1"/>
  <c r="N274" i="18" s="1"/>
  <c r="N275" i="18" a="1"/>
  <c r="N275" i="18" s="1"/>
  <c r="N276" i="18" a="1"/>
  <c r="N276" i="18"/>
  <c r="N277" i="18" a="1"/>
  <c r="N277" i="18" s="1"/>
  <c r="N278" i="18" a="1"/>
  <c r="N278" i="18" s="1"/>
  <c r="N279" i="18" a="1"/>
  <c r="N279" i="18" s="1"/>
  <c r="N280" i="18" a="1"/>
  <c r="N280" i="18" s="1"/>
  <c r="N281" i="18" a="1"/>
  <c r="N281" i="18" s="1"/>
  <c r="N282" i="18" a="1"/>
  <c r="N282" i="18" s="1"/>
  <c r="N283" i="18" a="1"/>
  <c r="N283" i="18" s="1"/>
  <c r="N284" i="18" a="1"/>
  <c r="N284" i="18"/>
  <c r="N285" i="18" a="1"/>
  <c r="N285" i="18"/>
  <c r="N286" i="18" a="1"/>
  <c r="N286" i="18" s="1"/>
  <c r="N287" i="18" a="1"/>
  <c r="N287" i="18" s="1"/>
  <c r="N288" i="18" a="1"/>
  <c r="N288" i="18"/>
  <c r="N289" i="18" a="1"/>
  <c r="N289" i="18" s="1"/>
  <c r="N290" i="18" a="1"/>
  <c r="N290" i="18" s="1"/>
  <c r="N291" i="18" a="1"/>
  <c r="N291" i="18" s="1"/>
  <c r="N292" i="18" a="1"/>
  <c r="N292" i="18" s="1"/>
  <c r="N293" i="18" a="1"/>
  <c r="N293" i="18" s="1"/>
  <c r="N294" i="18" a="1"/>
  <c r="N294" i="18" s="1"/>
  <c r="N295" i="18" a="1"/>
  <c r="N295" i="18" s="1"/>
  <c r="N296" i="18" a="1"/>
  <c r="N296" i="18"/>
  <c r="N297" i="18" a="1"/>
  <c r="N297" i="18"/>
  <c r="N298" i="18" a="1"/>
  <c r="N298" i="18" s="1"/>
  <c r="N299" i="18" a="1"/>
  <c r="N299" i="18" s="1"/>
  <c r="N300" i="18" a="1"/>
  <c r="N300" i="18" s="1"/>
  <c r="N301" i="18" a="1"/>
  <c r="N301" i="18" s="1"/>
  <c r="N302" i="18" a="1"/>
  <c r="N302" i="18" s="1"/>
  <c r="N303" i="18" a="1"/>
  <c r="N303" i="18" s="1"/>
  <c r="N304" i="18" a="1"/>
  <c r="N304" i="18" s="1"/>
  <c r="N305" i="18" a="1"/>
  <c r="N305" i="18" s="1"/>
  <c r="N306" i="18" a="1"/>
  <c r="N306" i="18" s="1"/>
  <c r="N307" i="18" a="1"/>
  <c r="N307" i="18" s="1"/>
  <c r="N308" i="18" a="1"/>
  <c r="N308" i="18"/>
  <c r="N309" i="18" a="1"/>
  <c r="N309" i="18"/>
  <c r="N310" i="18" a="1"/>
  <c r="N310" i="18" s="1"/>
  <c r="N311" i="18" a="1"/>
  <c r="N311" i="18" s="1"/>
  <c r="N312" i="18" a="1"/>
  <c r="N312" i="18"/>
  <c r="N313" i="18" a="1"/>
  <c r="N313" i="18" s="1"/>
  <c r="N314" i="18" a="1"/>
  <c r="N314" i="18" s="1"/>
  <c r="N315" i="18" a="1"/>
  <c r="N315" i="18" s="1"/>
  <c r="N316" i="18" a="1"/>
  <c r="N316" i="18" s="1"/>
  <c r="N317" i="18" a="1"/>
  <c r="N317" i="18" s="1"/>
  <c r="N318" i="18" a="1"/>
  <c r="N318" i="18" s="1"/>
  <c r="N319" i="18" a="1"/>
  <c r="N319" i="18" s="1"/>
  <c r="N320" i="18" a="1"/>
  <c r="N320" i="18" s="1"/>
  <c r="N321" i="18" a="1"/>
  <c r="N321" i="18" s="1"/>
  <c r="N322" i="18" a="1"/>
  <c r="N322" i="18" s="1"/>
  <c r="N323" i="18" a="1"/>
  <c r="N323" i="18" s="1"/>
  <c r="N324" i="18" a="1"/>
  <c r="N324" i="18"/>
  <c r="N325" i="18" a="1"/>
  <c r="N325" i="18" s="1"/>
  <c r="N326" i="18" a="1"/>
  <c r="N326" i="18" s="1"/>
  <c r="N327" i="18" a="1"/>
  <c r="N327" i="18" s="1"/>
  <c r="N328" i="18" a="1"/>
  <c r="N328" i="18" s="1"/>
  <c r="N329" i="18" a="1"/>
  <c r="N329" i="18" s="1"/>
  <c r="N330" i="18" a="1"/>
  <c r="N330" i="18" s="1"/>
  <c r="N331" i="18" a="1"/>
  <c r="N331" i="18" s="1"/>
  <c r="N332" i="18" a="1"/>
  <c r="N332" i="18"/>
  <c r="N333" i="18" a="1"/>
  <c r="N333" i="18"/>
  <c r="N334" i="18" a="1"/>
  <c r="N334" i="18" s="1"/>
  <c r="N335" i="18" a="1"/>
  <c r="N335" i="18" s="1"/>
  <c r="N336" i="18" a="1"/>
  <c r="N336" i="18" s="1"/>
  <c r="N337" i="18" a="1"/>
  <c r="N337" i="18" s="1"/>
  <c r="N338" i="18" a="1"/>
  <c r="N338" i="18" s="1"/>
  <c r="N339" i="18" a="1"/>
  <c r="N339" i="18" s="1"/>
  <c r="N340" i="18" a="1"/>
  <c r="N340" i="18" s="1"/>
  <c r="N341" i="18" a="1"/>
  <c r="N341" i="18" s="1"/>
  <c r="N342" i="18" a="1"/>
  <c r="N342" i="18" s="1"/>
  <c r="N343" i="18" a="1"/>
  <c r="N343" i="18" s="1"/>
  <c r="N344" i="18" a="1"/>
  <c r="N344" i="18"/>
  <c r="N345" i="18" a="1"/>
  <c r="N345" i="18"/>
  <c r="N346" i="18" a="1"/>
  <c r="N346" i="18" s="1"/>
  <c r="N347" i="18" a="1"/>
  <c r="N347" i="18" s="1"/>
  <c r="N348" i="18" a="1"/>
  <c r="N348" i="18" s="1"/>
  <c r="N349" i="18" a="1"/>
  <c r="N349" i="18" s="1"/>
  <c r="N350" i="18" a="1"/>
  <c r="N350" i="18" s="1"/>
  <c r="N351" i="18" a="1"/>
  <c r="N351" i="18" s="1"/>
  <c r="N352" i="18" a="1"/>
  <c r="N352" i="18" s="1"/>
  <c r="N353" i="18" a="1"/>
  <c r="N353" i="18" s="1"/>
  <c r="N354" i="18" a="1"/>
  <c r="N354" i="18" s="1"/>
  <c r="N355" i="18" a="1"/>
  <c r="N355" i="18" s="1"/>
  <c r="N356" i="18" a="1"/>
  <c r="N356" i="18" s="1"/>
  <c r="N357" i="18" a="1"/>
  <c r="N357" i="18"/>
  <c r="N358" i="18" a="1"/>
  <c r="N358" i="18" s="1"/>
  <c r="N359" i="18" a="1"/>
  <c r="N359" i="18" s="1"/>
  <c r="N360" i="18" a="1"/>
  <c r="N360" i="18" s="1"/>
  <c r="N361" i="18" a="1"/>
  <c r="N361" i="18" s="1"/>
  <c r="N362" i="18" a="1"/>
  <c r="N362" i="18" s="1"/>
  <c r="N363" i="18" a="1"/>
  <c r="N363" i="18" s="1"/>
  <c r="N364" i="18" a="1"/>
  <c r="N364" i="18" s="1"/>
  <c r="N365" i="18" a="1"/>
  <c r="N365" i="18" s="1"/>
  <c r="N366" i="18" a="1"/>
  <c r="N366" i="18" s="1"/>
  <c r="N367" i="18" a="1"/>
  <c r="N367" i="18" s="1"/>
  <c r="N368" i="18" a="1"/>
  <c r="N368" i="18" s="1"/>
  <c r="N369" i="18" a="1"/>
  <c r="N369" i="18" s="1"/>
  <c r="N370" i="18" a="1"/>
  <c r="N370" i="18" s="1"/>
  <c r="N371" i="18" a="1"/>
  <c r="N371" i="18" s="1"/>
  <c r="N372" i="18" a="1"/>
  <c r="N372" i="18"/>
  <c r="N373" i="18" a="1"/>
  <c r="N373" i="18" s="1"/>
  <c r="N374" i="18" a="1"/>
  <c r="N374" i="18" s="1"/>
  <c r="N375" i="18" a="1"/>
  <c r="N375" i="18" s="1"/>
  <c r="N376" i="18" a="1"/>
  <c r="N376" i="18" s="1"/>
  <c r="N377" i="18" a="1"/>
  <c r="N377" i="18" s="1"/>
  <c r="N378" i="18" a="1"/>
  <c r="N378" i="18" s="1"/>
  <c r="N379" i="18" a="1"/>
  <c r="N379" i="18" s="1"/>
  <c r="N380" i="18" a="1"/>
  <c r="N380" i="18" s="1"/>
  <c r="N381" i="18" a="1"/>
  <c r="N381" i="18"/>
  <c r="N382" i="18" a="1"/>
  <c r="N382" i="18" s="1"/>
  <c r="N383" i="18" a="1"/>
  <c r="N383" i="18" s="1"/>
  <c r="N384" i="18" a="1"/>
  <c r="N384" i="18" s="1"/>
  <c r="N385" i="18" a="1"/>
  <c r="N385" i="18" s="1"/>
  <c r="N386" i="18" a="1"/>
  <c r="N386" i="18" s="1"/>
  <c r="N387" i="18" a="1"/>
  <c r="N387" i="18" s="1"/>
  <c r="N388" i="18" a="1"/>
  <c r="N388" i="18" s="1"/>
  <c r="N389" i="18" a="1"/>
  <c r="N389" i="18" s="1"/>
  <c r="N390" i="18" a="1"/>
  <c r="N390" i="18" s="1"/>
  <c r="N391" i="18" a="1"/>
  <c r="N391" i="18" s="1"/>
  <c r="O8" i="18" a="1"/>
  <c r="O8" i="18" s="1"/>
  <c r="O31" i="18" a="1"/>
  <c r="O31" i="18" s="1"/>
  <c r="O45" i="18" a="1"/>
  <c r="O45" i="18" s="1"/>
  <c r="O56" i="18" a="1"/>
  <c r="O56" i="18" s="1"/>
  <c r="O66" i="18" a="1"/>
  <c r="O66" i="18" s="1"/>
  <c r="O77" i="18" a="1"/>
  <c r="O77" i="18" s="1"/>
  <c r="O96" i="18" a="1"/>
  <c r="O96" i="18" s="1"/>
  <c r="O114" i="18" a="1"/>
  <c r="O114" i="18" s="1"/>
  <c r="O122" i="18" a="1"/>
  <c r="O122" i="18" s="1"/>
  <c r="O130" i="18" a="1"/>
  <c r="O130" i="18" s="1"/>
  <c r="O152" i="18" a="1"/>
  <c r="O152" i="18" s="1"/>
  <c r="O160" i="18" a="1"/>
  <c r="O160" i="18" s="1"/>
  <c r="O168" i="18" a="1"/>
  <c r="O168" i="18" s="1"/>
  <c r="O178" i="18" a="1"/>
  <c r="O178" i="18" s="1"/>
  <c r="O186" i="18" a="1"/>
  <c r="O186" i="18" s="1"/>
  <c r="O195" i="18" a="1"/>
  <c r="O195" i="18" s="1"/>
  <c r="O204" i="18" a="1"/>
  <c r="O204" i="18" s="1"/>
  <c r="O212" i="18" a="1"/>
  <c r="O212" i="18" s="1"/>
  <c r="O222" i="18" a="1"/>
  <c r="O222" i="18" s="1"/>
  <c r="O230" i="18" a="1"/>
  <c r="O230" i="18" s="1"/>
  <c r="O239" i="18" a="1"/>
  <c r="O239" i="18" s="1"/>
  <c r="O257" i="18" a="1"/>
  <c r="O257" i="18" s="1"/>
  <c r="O266" i="18" a="1"/>
  <c r="O266" i="18" s="1"/>
  <c r="O283" i="18" a="1"/>
  <c r="O283" i="18" s="1"/>
  <c r="O293" i="18" a="1"/>
  <c r="O293" i="18" s="1"/>
  <c r="O320" i="18" a="1"/>
  <c r="O320" i="18" s="1"/>
  <c r="O347" i="18" a="1"/>
  <c r="O347" i="18" s="1"/>
  <c r="O364" i="18" a="1"/>
  <c r="O364" i="18" s="1"/>
  <c r="O372" i="18" a="1"/>
  <c r="O372" i="18" s="1"/>
  <c r="O373" i="18" a="1"/>
  <c r="O373" i="18" s="1"/>
  <c r="O374" i="18" a="1"/>
  <c r="O374" i="18" s="1"/>
  <c r="O379" i="18" a="1"/>
  <c r="O379" i="18" s="1"/>
  <c r="O381" i="18" a="1"/>
  <c r="O381" i="18" s="1"/>
  <c r="O382" i="18" a="1"/>
  <c r="O382" i="18" s="1"/>
  <c r="O383" i="18" a="1"/>
  <c r="O383" i="18" s="1"/>
  <c r="O390" i="18" a="1"/>
  <c r="O390" i="18" s="1"/>
  <c r="O391" i="18" a="1"/>
  <c r="O391" i="18" s="1"/>
  <c r="P6" i="18" a="1"/>
  <c r="P6" i="18" s="1"/>
  <c r="P9" i="18" a="1"/>
  <c r="P9" i="18" s="1"/>
  <c r="P10" i="18" a="1"/>
  <c r="P10" i="18" s="1"/>
  <c r="P11" i="18" a="1"/>
  <c r="P11" i="18" s="1"/>
  <c r="P16" i="18" a="1"/>
  <c r="P16" i="18" s="1"/>
  <c r="P19" i="18" a="1"/>
  <c r="P19" i="18" s="1"/>
  <c r="P20" i="18" a="1"/>
  <c r="P20" i="18" s="1"/>
  <c r="P27" i="18" a="1"/>
  <c r="P27" i="18" s="1"/>
  <c r="P28" i="18" a="1"/>
  <c r="P28" i="18" s="1"/>
  <c r="P30" i="18" a="1"/>
  <c r="P30" i="18" s="1"/>
  <c r="P32" i="18" a="1"/>
  <c r="P32" i="18" s="1"/>
  <c r="P34" i="18" a="1"/>
  <c r="P34" i="18" s="1"/>
  <c r="P35" i="18" a="1"/>
  <c r="P35" i="18" s="1"/>
  <c r="P36" i="18" a="1"/>
  <c r="P36" i="18"/>
  <c r="P38" i="18" a="1"/>
  <c r="P38" i="18" s="1"/>
  <c r="P39" i="18" a="1"/>
  <c r="P39" i="18" s="1"/>
  <c r="P42" i="18" a="1"/>
  <c r="P42" i="18" s="1"/>
  <c r="P43" i="18" a="1"/>
  <c r="P43" i="18" s="1"/>
  <c r="P44" i="18" a="1"/>
  <c r="P44" i="18"/>
  <c r="P45" i="18" a="1"/>
  <c r="P45" i="18" s="1"/>
  <c r="P46" i="18" a="1"/>
  <c r="P46" i="18" s="1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3" i="18" a="1"/>
  <c r="P53" i="18" s="1"/>
  <c r="P54" i="18" a="1"/>
  <c r="P54" i="18"/>
  <c r="P55" i="18" a="1"/>
  <c r="P55" i="18"/>
  <c r="P56" i="18" a="1"/>
  <c r="P56" i="18" s="1"/>
  <c r="P57" i="18" a="1"/>
  <c r="P57" i="18" s="1"/>
  <c r="P59" i="18" a="1"/>
  <c r="P59" i="18" s="1"/>
  <c r="P60" i="18" a="1"/>
  <c r="P60" i="18" s="1"/>
  <c r="P61" i="18" a="1"/>
  <c r="P61" i="18" s="1"/>
  <c r="P62" i="18" a="1"/>
  <c r="P62" i="18" s="1"/>
  <c r="P63" i="18" a="1"/>
  <c r="P63" i="18" s="1"/>
  <c r="P64" i="18" a="1"/>
  <c r="P64" i="18" s="1"/>
  <c r="P65" i="18" a="1"/>
  <c r="P65" i="18" s="1"/>
  <c r="P66" i="18" a="1"/>
  <c r="P66" i="18" s="1"/>
  <c r="P67" i="18" a="1"/>
  <c r="P67" i="18" s="1"/>
  <c r="P68" i="18" a="1"/>
  <c r="P68" i="18"/>
  <c r="P69" i="18" a="1"/>
  <c r="P69" i="18" s="1"/>
  <c r="P70" i="18" a="1"/>
  <c r="P70" i="18" s="1"/>
  <c r="P71" i="18" a="1"/>
  <c r="P71" i="18"/>
  <c r="P72" i="18" a="1"/>
  <c r="P72" i="18" s="1"/>
  <c r="P73" i="18" a="1"/>
  <c r="P73" i="18" s="1"/>
  <c r="P74" i="18" a="1"/>
  <c r="P74" i="18" s="1"/>
  <c r="P75" i="18" a="1"/>
  <c r="P75" i="18" s="1"/>
  <c r="P76" i="18" a="1"/>
  <c r="P76" i="18" s="1"/>
  <c r="P77" i="18" a="1"/>
  <c r="P77" i="18" s="1"/>
  <c r="P78" i="18" a="1"/>
  <c r="P78" i="18"/>
  <c r="P79" i="18" a="1"/>
  <c r="P79" i="18" s="1"/>
  <c r="P80" i="18" a="1"/>
  <c r="P80" i="18"/>
  <c r="P81" i="18" a="1"/>
  <c r="P81" i="18" s="1"/>
  <c r="P82" i="18" a="1"/>
  <c r="P82" i="18" s="1"/>
  <c r="P83" i="18" a="1"/>
  <c r="P83" i="18" s="1"/>
  <c r="P84" i="18" a="1"/>
  <c r="P84" i="18"/>
  <c r="P85" i="18" a="1"/>
  <c r="P85" i="18" s="1"/>
  <c r="P86" i="18" a="1"/>
  <c r="P86" i="18" s="1"/>
  <c r="P87" i="18" a="1"/>
  <c r="P87" i="18" s="1"/>
  <c r="P88" i="18" a="1"/>
  <c r="P88" i="18"/>
  <c r="P89" i="18" a="1"/>
  <c r="P89" i="18" s="1"/>
  <c r="P90" i="18" a="1"/>
  <c r="P90" i="18" s="1"/>
  <c r="P91" i="18" a="1"/>
  <c r="P91" i="18"/>
  <c r="P92" i="18" a="1"/>
  <c r="P92" i="18" s="1"/>
  <c r="P93" i="18" a="1"/>
  <c r="P93" i="18" s="1"/>
  <c r="P94" i="18" a="1"/>
  <c r="P94" i="18" s="1"/>
  <c r="P95" i="18" a="1"/>
  <c r="P95" i="18" s="1"/>
  <c r="P96" i="18" a="1"/>
  <c r="P96" i="18" s="1"/>
  <c r="P97" i="18" a="1"/>
  <c r="P97" i="18"/>
  <c r="P98" i="18" a="1"/>
  <c r="P98" i="18" s="1"/>
  <c r="P99" i="18" a="1"/>
  <c r="P99" i="18" s="1"/>
  <c r="P100" i="18" a="1"/>
  <c r="P100" i="18"/>
  <c r="P101" i="18" a="1"/>
  <c r="P101" i="18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 s="1"/>
  <c r="P107" i="18" a="1"/>
  <c r="P107" i="18" s="1"/>
  <c r="P108" i="18" a="1"/>
  <c r="P108" i="18" s="1"/>
  <c r="P109" i="18" a="1"/>
  <c r="P109" i="18" s="1"/>
  <c r="P110" i="18" a="1"/>
  <c r="P110" i="18"/>
  <c r="P111" i="18" a="1"/>
  <c r="P111" i="18" s="1"/>
  <c r="P112" i="18" a="1"/>
  <c r="P112" i="18" s="1"/>
  <c r="P113" i="18" a="1"/>
  <c r="P113" i="18" s="1"/>
  <c r="P114" i="18" a="1"/>
  <c r="P114" i="18"/>
  <c r="P115" i="18" a="1"/>
  <c r="P115" i="18" s="1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/>
  <c r="P125" i="18" a="1"/>
  <c r="P125" i="18" s="1"/>
  <c r="P126" i="18" a="1"/>
  <c r="P126" i="18"/>
  <c r="P127" i="18" a="1"/>
  <c r="P127" i="18" s="1"/>
  <c r="P128" i="18" a="1"/>
  <c r="P128" i="18" s="1"/>
  <c r="P129" i="18" a="1"/>
  <c r="P129" i="18" s="1"/>
  <c r="P130" i="18" a="1"/>
  <c r="P130" i="18"/>
  <c r="P131" i="18" a="1"/>
  <c r="P131" i="18" s="1"/>
  <c r="P132" i="18" a="1"/>
  <c r="P132" i="18" s="1"/>
  <c r="P133" i="18" a="1"/>
  <c r="P133" i="18" s="1"/>
  <c r="P134" i="18" a="1"/>
  <c r="P134" i="18" s="1"/>
  <c r="P135" i="18" a="1"/>
  <c r="P135" i="18" s="1"/>
  <c r="P136" i="18" a="1"/>
  <c r="P136" i="18" s="1"/>
  <c r="P137" i="18" a="1"/>
  <c r="P137" i="18" s="1"/>
  <c r="P138" i="18" a="1"/>
  <c r="P138" i="18" s="1"/>
  <c r="P139" i="18" a="1"/>
  <c r="P139" i="18"/>
  <c r="P140" i="18" a="1"/>
  <c r="P140" i="18" s="1"/>
  <c r="P141" i="18" a="1"/>
  <c r="P141" i="18" s="1"/>
  <c r="P142" i="18" a="1"/>
  <c r="P142" i="18" s="1"/>
  <c r="P143" i="18" a="1"/>
  <c r="P143" i="18" s="1"/>
  <c r="P144" i="18" a="1"/>
  <c r="P144" i="18" s="1"/>
  <c r="P145" i="18" a="1"/>
  <c r="P145" i="18" s="1"/>
  <c r="P146" i="18" a="1"/>
  <c r="P146" i="18" s="1"/>
  <c r="P147" i="18" a="1"/>
  <c r="P147" i="18" s="1"/>
  <c r="P148" i="18" a="1"/>
  <c r="P148" i="18" s="1"/>
  <c r="P149" i="18" a="1"/>
  <c r="P149" i="18" s="1"/>
  <c r="P150" i="18" a="1"/>
  <c r="P150" i="18"/>
  <c r="P151" i="18" a="1"/>
  <c r="P151" i="18"/>
  <c r="P152" i="18" a="1"/>
  <c r="P152" i="18" s="1"/>
  <c r="P153" i="18" a="1"/>
  <c r="P153" i="18" s="1"/>
  <c r="P154" i="18" a="1"/>
  <c r="P154" i="18" s="1"/>
  <c r="P155" i="18" a="1"/>
  <c r="P155" i="18" s="1"/>
  <c r="P156" i="18" a="1"/>
  <c r="P156" i="18" s="1"/>
  <c r="P157" i="18" a="1"/>
  <c r="P157" i="18" s="1"/>
  <c r="P158" i="18" a="1"/>
  <c r="P158" i="18" s="1"/>
  <c r="P159" i="18" a="1"/>
  <c r="P159" i="18" s="1"/>
  <c r="P160" i="18" a="1"/>
  <c r="P160" i="18" s="1"/>
  <c r="P161" i="18" a="1"/>
  <c r="P161" i="18" s="1"/>
  <c r="P162" i="18" a="1"/>
  <c r="P162" i="18"/>
  <c r="P163" i="18" a="1"/>
  <c r="P163" i="18"/>
  <c r="P164" i="18" a="1"/>
  <c r="P164" i="18" s="1"/>
  <c r="P165" i="18" a="1"/>
  <c r="P165" i="18" s="1"/>
  <c r="P166" i="18" a="1"/>
  <c r="P166" i="18"/>
  <c r="P167" i="18" a="1"/>
  <c r="P167" i="18" s="1"/>
  <c r="P168" i="18" a="1"/>
  <c r="P168" i="18" s="1"/>
  <c r="P169" i="18" a="1"/>
  <c r="P169" i="18"/>
  <c r="P170" i="18" a="1"/>
  <c r="P170" i="18" s="1"/>
  <c r="P171" i="18" a="1"/>
  <c r="P171" i="18" s="1"/>
  <c r="P172" i="18" a="1"/>
  <c r="P172" i="18" s="1"/>
  <c r="P173" i="18" a="1"/>
  <c r="P173" i="18" s="1"/>
  <c r="P174" i="18" a="1"/>
  <c r="P174" i="18" s="1"/>
  <c r="P175" i="18" a="1"/>
  <c r="P175" i="18"/>
  <c r="P176" i="18" a="1"/>
  <c r="P176" i="18" s="1"/>
  <c r="P177" i="18" a="1"/>
  <c r="P177" i="18" s="1"/>
  <c r="P178" i="18" a="1"/>
  <c r="P178" i="18" s="1"/>
  <c r="P179" i="18" a="1"/>
  <c r="P179" i="18"/>
  <c r="P180" i="18" a="1"/>
  <c r="P180" i="18" s="1"/>
  <c r="P181" i="18" a="1"/>
  <c r="P181" i="18" s="1"/>
  <c r="P182" i="18" a="1"/>
  <c r="P182" i="18"/>
  <c r="P183" i="18" a="1"/>
  <c r="P183" i="18" s="1"/>
  <c r="P184" i="18" a="1"/>
  <c r="P184" i="18" s="1"/>
  <c r="P185" i="18" a="1"/>
  <c r="P185" i="18" s="1"/>
  <c r="P186" i="18" a="1"/>
  <c r="P186" i="18" s="1"/>
  <c r="P187" i="18" a="1"/>
  <c r="P187" i="18" s="1"/>
  <c r="P188" i="18" a="1"/>
  <c r="P188" i="18"/>
  <c r="P189" i="18" a="1"/>
  <c r="P189" i="18" s="1"/>
  <c r="P190" i="18" a="1"/>
  <c r="P190" i="18"/>
  <c r="P191" i="18" a="1"/>
  <c r="P191" i="18"/>
  <c r="P192" i="18" a="1"/>
  <c r="P192" i="18" s="1"/>
  <c r="P193" i="18" a="1"/>
  <c r="P193" i="18" s="1"/>
  <c r="P194" i="18" a="1"/>
  <c r="P194" i="18" s="1"/>
  <c r="P195" i="18" a="1"/>
  <c r="P195" i="18" s="1"/>
  <c r="P196" i="18" a="1"/>
  <c r="P196" i="18" s="1"/>
  <c r="P197" i="18" a="1"/>
  <c r="P197" i="18" s="1"/>
  <c r="P198" i="18" a="1"/>
  <c r="P198" i="18" s="1"/>
  <c r="P199" i="18" a="1"/>
  <c r="P199" i="18"/>
  <c r="P200" i="18" a="1"/>
  <c r="P200" i="18" s="1"/>
  <c r="P201" i="18" a="1"/>
  <c r="P201" i="18" s="1"/>
  <c r="P202" i="18" a="1"/>
  <c r="P202" i="18" s="1"/>
  <c r="P203" i="18" a="1"/>
  <c r="P203" i="18"/>
  <c r="P204" i="18" a="1"/>
  <c r="P204" i="18" s="1"/>
  <c r="P205" i="18" a="1"/>
  <c r="P205" i="18" s="1"/>
  <c r="P206" i="18" a="1"/>
  <c r="P206" i="18" s="1"/>
  <c r="P207" i="18" a="1"/>
  <c r="P207" i="18" s="1"/>
  <c r="P208" i="18" a="1"/>
  <c r="P208" i="18"/>
  <c r="P209" i="18" a="1"/>
  <c r="P209" i="18" s="1"/>
  <c r="P210" i="18" a="1"/>
  <c r="P210" i="18" s="1"/>
  <c r="P211" i="18" a="1"/>
  <c r="P211" i="18" s="1"/>
  <c r="P212" i="18" a="1"/>
  <c r="P212" i="18" s="1"/>
  <c r="P213" i="18" a="1"/>
  <c r="P213" i="18" s="1"/>
  <c r="P214" i="18" a="1"/>
  <c r="P214" i="18" s="1"/>
  <c r="P215" i="18" a="1"/>
  <c r="P215" i="18" s="1"/>
  <c r="P216" i="18" a="1"/>
  <c r="P216" i="18" s="1"/>
  <c r="P217" i="18" a="1"/>
  <c r="P217" i="18" s="1"/>
  <c r="P218" i="18" a="1"/>
  <c r="P218" i="18" s="1"/>
  <c r="P219" i="18" a="1"/>
  <c r="P219" i="18"/>
  <c r="P220" i="18" a="1"/>
  <c r="P220" i="18" s="1"/>
  <c r="P221" i="18" a="1"/>
  <c r="P221" i="18" s="1"/>
  <c r="P222" i="18" a="1"/>
  <c r="P222" i="18" s="1"/>
  <c r="P223" i="18" a="1"/>
  <c r="P223" i="18" s="1"/>
  <c r="P224" i="18" a="1"/>
  <c r="P224" i="18" s="1"/>
  <c r="P225" i="18" a="1"/>
  <c r="P225" i="18" s="1"/>
  <c r="P226" i="18" a="1"/>
  <c r="P226" i="18" s="1"/>
  <c r="P227" i="18" a="1"/>
  <c r="P227" i="18" s="1"/>
  <c r="P228" i="18" a="1"/>
  <c r="P228" i="18" s="1"/>
  <c r="P229" i="18" a="1"/>
  <c r="P229" i="18" s="1"/>
  <c r="P230" i="18" a="1"/>
  <c r="P230" i="18" s="1"/>
  <c r="P231" i="18" a="1"/>
  <c r="P231" i="18" s="1"/>
  <c r="P232" i="18" a="1"/>
  <c r="P232" i="18"/>
  <c r="P233" i="18" a="1"/>
  <c r="P233" i="18" s="1"/>
  <c r="P234" i="18" a="1"/>
  <c r="P234" i="18"/>
  <c r="P235" i="18" a="1"/>
  <c r="P235" i="18" s="1"/>
  <c r="P236" i="18" a="1"/>
  <c r="P236" i="18" s="1"/>
  <c r="P237" i="18" a="1"/>
  <c r="P237" i="18" s="1"/>
  <c r="P238" i="18" a="1"/>
  <c r="P238" i="18" s="1"/>
  <c r="P239" i="18" a="1"/>
  <c r="P239" i="18" s="1"/>
  <c r="P240" i="18" a="1"/>
  <c r="P240" i="18" s="1"/>
  <c r="P241" i="18" a="1"/>
  <c r="P241" i="18" s="1"/>
  <c r="P242" i="18" a="1"/>
  <c r="P242" i="18" s="1"/>
  <c r="P243" i="18" a="1"/>
  <c r="P243" i="18" s="1"/>
  <c r="P244" i="18" a="1"/>
  <c r="P244" i="18"/>
  <c r="P245" i="18" a="1"/>
  <c r="P245" i="18"/>
  <c r="P246" i="18" a="1"/>
  <c r="P246" i="18" s="1"/>
  <c r="P247" i="18" a="1"/>
  <c r="P247" i="18"/>
  <c r="P248" i="18" a="1"/>
  <c r="P248" i="18" s="1"/>
  <c r="P249" i="18" a="1"/>
  <c r="P249" i="18"/>
  <c r="P250" i="18" a="1"/>
  <c r="P250" i="18" s="1"/>
  <c r="P251" i="18" a="1"/>
  <c r="P251" i="18" s="1"/>
  <c r="P252" i="18" a="1"/>
  <c r="P252" i="18" s="1"/>
  <c r="P253" i="18" a="1"/>
  <c r="P253" i="18" s="1"/>
  <c r="P254" i="18" a="1"/>
  <c r="P254" i="18" s="1"/>
  <c r="P255" i="18" a="1"/>
  <c r="P255" i="18" s="1"/>
  <c r="R255" i="18" s="1"/>
  <c r="U255" i="18" s="1"/>
  <c r="P256" i="18" a="1"/>
  <c r="P256" i="18" s="1"/>
  <c r="P257" i="18" a="1"/>
  <c r="P257" i="18"/>
  <c r="P258" i="18" a="1"/>
  <c r="P258" i="18"/>
  <c r="P259" i="18" a="1"/>
  <c r="P259" i="18" s="1"/>
  <c r="P260" i="18" a="1"/>
  <c r="P260" i="18" s="1"/>
  <c r="P261" i="18" a="1"/>
  <c r="P261" i="18" s="1"/>
  <c r="P262" i="18" a="1"/>
  <c r="P262" i="18"/>
  <c r="P263" i="18" a="1"/>
  <c r="P263" i="18" s="1"/>
  <c r="P264" i="18" a="1"/>
  <c r="P264" i="18" s="1"/>
  <c r="P265" i="18" a="1"/>
  <c r="P265" i="18" s="1"/>
  <c r="P266" i="18" a="1"/>
  <c r="P266" i="18" s="1"/>
  <c r="P267" i="18" a="1"/>
  <c r="P267" i="18"/>
  <c r="P268" i="18" a="1"/>
  <c r="P268" i="18" s="1"/>
  <c r="P269" i="18" a="1"/>
  <c r="P269" i="18" s="1"/>
  <c r="P270" i="18" a="1"/>
  <c r="P270" i="18"/>
  <c r="P271" i="18" a="1"/>
  <c r="P271" i="18"/>
  <c r="P272" i="18" a="1"/>
  <c r="P272" i="18" s="1"/>
  <c r="P273" i="18" a="1"/>
  <c r="P273" i="18" s="1"/>
  <c r="P274" i="18" a="1"/>
  <c r="P274" i="18" s="1"/>
  <c r="P275" i="18" a="1"/>
  <c r="P275" i="18" s="1"/>
  <c r="P276" i="18" a="1"/>
  <c r="P276" i="18" s="1"/>
  <c r="P277" i="18" a="1"/>
  <c r="P277" i="18" s="1"/>
  <c r="P278" i="18" a="1"/>
  <c r="P278" i="18" s="1"/>
  <c r="P279" i="18" a="1"/>
  <c r="P279" i="18"/>
  <c r="P280" i="18" a="1"/>
  <c r="P280" i="18"/>
  <c r="P281" i="18" a="1"/>
  <c r="P281" i="18" s="1"/>
  <c r="P282" i="18" a="1"/>
  <c r="P282" i="18" s="1"/>
  <c r="P283" i="18" a="1"/>
  <c r="P283" i="18" s="1"/>
  <c r="P284" i="18" a="1"/>
  <c r="P284" i="18" s="1"/>
  <c r="P285" i="18" a="1"/>
  <c r="P285" i="18" s="1"/>
  <c r="P286" i="18" a="1"/>
  <c r="P286" i="18" s="1"/>
  <c r="P287" i="18" a="1"/>
  <c r="P287" i="18" s="1"/>
  <c r="P288" i="18" a="1"/>
  <c r="P288" i="18"/>
  <c r="P289" i="18" a="1"/>
  <c r="P289" i="18" s="1"/>
  <c r="P290" i="18" a="1"/>
  <c r="P290" i="18" s="1"/>
  <c r="P291" i="18" a="1"/>
  <c r="P291" i="18" s="1"/>
  <c r="P292" i="18" a="1"/>
  <c r="P292" i="18" s="1"/>
  <c r="P293" i="18" a="1"/>
  <c r="P293" i="18"/>
  <c r="P294" i="18" a="1"/>
  <c r="P294" i="18" s="1"/>
  <c r="R294" i="18" s="1"/>
  <c r="P295" i="18" a="1"/>
  <c r="P295" i="18" s="1"/>
  <c r="P296" i="18" a="1"/>
  <c r="P296" i="18" s="1"/>
  <c r="P297" i="18" a="1"/>
  <c r="P297" i="18" s="1"/>
  <c r="P298" i="18" a="1"/>
  <c r="P298" i="18" s="1"/>
  <c r="P299" i="18" a="1"/>
  <c r="P299" i="18" s="1"/>
  <c r="P300" i="18" a="1"/>
  <c r="P300" i="18" s="1"/>
  <c r="P301" i="18" a="1"/>
  <c r="P301" i="18" s="1"/>
  <c r="P302" i="18" a="1"/>
  <c r="P302" i="18" s="1"/>
  <c r="P303" i="18" a="1"/>
  <c r="P303" i="18"/>
  <c r="P304" i="18" a="1"/>
  <c r="P304" i="18" s="1"/>
  <c r="P305" i="18" a="1"/>
  <c r="P305" i="18" s="1"/>
  <c r="P306" i="18" a="1"/>
  <c r="P306" i="18"/>
  <c r="P307" i="18" a="1"/>
  <c r="P307" i="18" s="1"/>
  <c r="P308" i="18" a="1"/>
  <c r="P308" i="18" s="1"/>
  <c r="P309" i="18" a="1"/>
  <c r="P309" i="18" s="1"/>
  <c r="P310" i="18" a="1"/>
  <c r="P310" i="18" s="1"/>
  <c r="P311" i="18" a="1"/>
  <c r="P311" i="18" s="1"/>
  <c r="P312" i="18" a="1"/>
  <c r="P312" i="18" s="1"/>
  <c r="P313" i="18" a="1"/>
  <c r="P313" i="18" s="1"/>
  <c r="P314" i="18" a="1"/>
  <c r="P314" i="18" s="1"/>
  <c r="P315" i="18" a="1"/>
  <c r="P315" i="18" s="1"/>
  <c r="P316" i="18" a="1"/>
  <c r="P316" i="18"/>
  <c r="P317" i="18" a="1"/>
  <c r="P317" i="18" s="1"/>
  <c r="P318" i="18" a="1"/>
  <c r="P318" i="18" s="1"/>
  <c r="P319" i="18" a="1"/>
  <c r="P319" i="18" s="1"/>
  <c r="P320" i="18" a="1"/>
  <c r="P320" i="18" s="1"/>
  <c r="P321" i="18" a="1"/>
  <c r="P321" i="18" s="1"/>
  <c r="P322" i="18" a="1"/>
  <c r="P322" i="18" s="1"/>
  <c r="P323" i="18" a="1"/>
  <c r="P323" i="18" s="1"/>
  <c r="P324" i="18" a="1"/>
  <c r="P324" i="18" s="1"/>
  <c r="P325" i="18" a="1"/>
  <c r="P325" i="18" s="1"/>
  <c r="P326" i="18" a="1"/>
  <c r="P326" i="18" s="1"/>
  <c r="P327" i="18" a="1"/>
  <c r="P327" i="18" s="1"/>
  <c r="P328" i="18" a="1"/>
  <c r="P328" i="18" s="1"/>
  <c r="P329" i="18" a="1"/>
  <c r="P329" i="18" s="1"/>
  <c r="P330" i="18" a="1"/>
  <c r="P330" i="18"/>
  <c r="R330" i="18" s="1"/>
  <c r="P331" i="18" a="1"/>
  <c r="P331" i="18" s="1"/>
  <c r="P332" i="18" a="1"/>
  <c r="P332" i="18" s="1"/>
  <c r="P333" i="18" a="1"/>
  <c r="P333" i="18" s="1"/>
  <c r="P334" i="18" a="1"/>
  <c r="P334" i="18" s="1"/>
  <c r="P335" i="18" a="1"/>
  <c r="P335" i="18" s="1"/>
  <c r="P336" i="18" a="1"/>
  <c r="P336" i="18" s="1"/>
  <c r="P337" i="18" a="1"/>
  <c r="P337" i="18" s="1"/>
  <c r="P338" i="18" a="1"/>
  <c r="P338" i="18" s="1"/>
  <c r="P339" i="18" a="1"/>
  <c r="P339" i="18"/>
  <c r="P340" i="18" a="1"/>
  <c r="P340" i="18" s="1"/>
  <c r="P341" i="18" a="1"/>
  <c r="P341" i="18" s="1"/>
  <c r="P342" i="18" a="1"/>
  <c r="P342" i="18"/>
  <c r="P343" i="18" a="1"/>
  <c r="P343" i="18" s="1"/>
  <c r="P344" i="18" a="1"/>
  <c r="P344" i="18" s="1"/>
  <c r="P345" i="18" a="1"/>
  <c r="P345" i="18" s="1"/>
  <c r="P346" i="18" a="1"/>
  <c r="P346" i="18" s="1"/>
  <c r="P347" i="18" a="1"/>
  <c r="P347" i="18"/>
  <c r="P348" i="18" a="1"/>
  <c r="P348" i="18" s="1"/>
  <c r="P349" i="18" a="1"/>
  <c r="P349" i="18" s="1"/>
  <c r="P350" i="18" a="1"/>
  <c r="P350" i="18" s="1"/>
  <c r="P351" i="18" a="1"/>
  <c r="P351" i="18"/>
  <c r="P352" i="18" a="1"/>
  <c r="P352" i="18" s="1"/>
  <c r="P353" i="18" a="1"/>
  <c r="P353" i="18" s="1"/>
  <c r="P354" i="18" a="1"/>
  <c r="P354" i="18" s="1"/>
  <c r="P355" i="18" a="1"/>
  <c r="P355" i="18" s="1"/>
  <c r="P356" i="18" a="1"/>
  <c r="P356" i="18" s="1"/>
  <c r="P357" i="18" a="1"/>
  <c r="P357" i="18" s="1"/>
  <c r="P358" i="18" a="1"/>
  <c r="P358" i="18" s="1"/>
  <c r="P359" i="18" a="1"/>
  <c r="P359" i="18" s="1"/>
  <c r="P360" i="18" a="1"/>
  <c r="P360" i="18"/>
  <c r="P361" i="18" a="1"/>
  <c r="P361" i="18" s="1"/>
  <c r="P362" i="18" a="1"/>
  <c r="P362" i="18" s="1"/>
  <c r="P363" i="18" a="1"/>
  <c r="P363" i="18"/>
  <c r="P364" i="18" a="1"/>
  <c r="P364" i="18" s="1"/>
  <c r="P365" i="18" a="1"/>
  <c r="P365" i="18"/>
  <c r="P366" i="18" a="1"/>
  <c r="P366" i="18" s="1"/>
  <c r="P367" i="18" a="1"/>
  <c r="P367" i="18" s="1"/>
  <c r="P368" i="18" a="1"/>
  <c r="P368" i="18" s="1"/>
  <c r="P369" i="18" a="1"/>
  <c r="P369" i="18" s="1"/>
  <c r="P370" i="18" a="1"/>
  <c r="P370" i="18" s="1"/>
  <c r="P371" i="18" a="1"/>
  <c r="P371" i="18" s="1"/>
  <c r="P372" i="18" a="1"/>
  <c r="P372" i="18" s="1"/>
  <c r="P373" i="18" a="1"/>
  <c r="P373" i="18" s="1"/>
  <c r="P374" i="18" a="1"/>
  <c r="P374" i="18" s="1"/>
  <c r="P375" i="18" a="1"/>
  <c r="P375" i="18" s="1"/>
  <c r="P376" i="18" a="1"/>
  <c r="P376" i="18" s="1"/>
  <c r="P377" i="18" a="1"/>
  <c r="P377" i="18" s="1"/>
  <c r="P378" i="18" a="1"/>
  <c r="P378" i="18"/>
  <c r="P379" i="18" a="1"/>
  <c r="P379" i="18" s="1"/>
  <c r="P380" i="18" a="1"/>
  <c r="P380" i="18" s="1"/>
  <c r="P381" i="18" a="1"/>
  <c r="P381" i="18" s="1"/>
  <c r="P382" i="18" a="1"/>
  <c r="P382" i="18" s="1"/>
  <c r="P383" i="18" a="1"/>
  <c r="P383" i="18" s="1"/>
  <c r="P384" i="18" a="1"/>
  <c r="P384" i="18" s="1"/>
  <c r="P385" i="18" a="1"/>
  <c r="P385" i="18" s="1"/>
  <c r="P386" i="18" a="1"/>
  <c r="P386" i="18" s="1"/>
  <c r="P387" i="18" a="1"/>
  <c r="P387" i="18" s="1"/>
  <c r="P388" i="18" a="1"/>
  <c r="P388" i="18" s="1"/>
  <c r="P389" i="18" a="1"/>
  <c r="P389" i="18" s="1"/>
  <c r="P390" i="18" a="1"/>
  <c r="P390" i="18"/>
  <c r="R390" i="18" s="1"/>
  <c r="P391" i="18" a="1"/>
  <c r="P391" i="18" s="1"/>
  <c r="Q2" i="18" a="1"/>
  <c r="Q2" i="18" s="1"/>
  <c r="Q3" i="18" a="1"/>
  <c r="Q3" i="18" s="1"/>
  <c r="Q4" i="18" a="1"/>
  <c r="Q4" i="18" s="1"/>
  <c r="Q5" i="18" a="1"/>
  <c r="Q5" i="18" s="1"/>
  <c r="Q6" i="18" a="1"/>
  <c r="Q6" i="18" s="1"/>
  <c r="R6" i="18" s="1"/>
  <c r="U6" i="18" s="1"/>
  <c r="Q7" i="18" a="1"/>
  <c r="Q7" i="18" s="1"/>
  <c r="Q8" i="18" a="1"/>
  <c r="Q8" i="18" s="1"/>
  <c r="Q9" i="18" a="1"/>
  <c r="Q9" i="18" s="1"/>
  <c r="R9" i="18" s="1"/>
  <c r="Q10" i="18" a="1"/>
  <c r="Q10" i="18"/>
  <c r="R10" i="18" s="1"/>
  <c r="U10" i="18" s="1"/>
  <c r="Q11" i="18" a="1"/>
  <c r="Q11" i="18" s="1"/>
  <c r="R11" i="18" s="1"/>
  <c r="Q12" i="18" a="1"/>
  <c r="Q12" i="18"/>
  <c r="Q13" i="18" a="1"/>
  <c r="Q13" i="18" s="1"/>
  <c r="Q14" i="18" a="1"/>
  <c r="Q14" i="18" s="1"/>
  <c r="Q15" i="18" a="1"/>
  <c r="Q15" i="18" s="1"/>
  <c r="Q16" i="18" a="1"/>
  <c r="Q16" i="18" s="1"/>
  <c r="R16" i="18" s="1"/>
  <c r="Q17" i="18" a="1"/>
  <c r="Q17" i="18"/>
  <c r="Q18" i="18" a="1"/>
  <c r="Q18" i="18" s="1"/>
  <c r="Q19" i="18" a="1"/>
  <c r="Q19" i="18" s="1"/>
  <c r="R19" i="18" s="1"/>
  <c r="Q20" i="18" a="1"/>
  <c r="Q20" i="18" s="1"/>
  <c r="Q21" i="18" a="1"/>
  <c r="Q21" i="18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 s="1"/>
  <c r="R27" i="18" s="1"/>
  <c r="Q28" i="18" a="1"/>
  <c r="Q28" i="18" s="1"/>
  <c r="R28" i="18" s="1"/>
  <c r="Q29" i="18" a="1"/>
  <c r="Q29" i="18" s="1"/>
  <c r="Q30" i="18" a="1"/>
  <c r="Q30" i="18" s="1"/>
  <c r="R30" i="18" s="1"/>
  <c r="Q31" i="18" a="1"/>
  <c r="Q31" i="18" s="1"/>
  <c r="Q32" i="18" a="1"/>
  <c r="Q32" i="18" s="1"/>
  <c r="R32" i="18" s="1"/>
  <c r="Q33" i="18" a="1"/>
  <c r="Q33" i="18" s="1"/>
  <c r="Q34" i="18" a="1"/>
  <c r="Q34" i="18" s="1"/>
  <c r="R34" i="18" s="1"/>
  <c r="U34" i="18" s="1"/>
  <c r="Q35" i="18" a="1"/>
  <c r="Q35" i="18" s="1"/>
  <c r="R35" i="18" s="1"/>
  <c r="Q36" i="18" a="1"/>
  <c r="Q36" i="18" s="1"/>
  <c r="R36" i="18" s="1"/>
  <c r="Q37" i="18" a="1"/>
  <c r="Q37" i="18" s="1"/>
  <c r="Q38" i="18" a="1"/>
  <c r="Q38" i="18" s="1"/>
  <c r="R38" i="18" s="1"/>
  <c r="Q39" i="18" a="1"/>
  <c r="Q39" i="18" s="1"/>
  <c r="Q40" i="18" a="1"/>
  <c r="Q40" i="18" s="1"/>
  <c r="Q41" i="18" a="1"/>
  <c r="Q41" i="18"/>
  <c r="Q42" i="18" a="1"/>
  <c r="Q42" i="18" s="1"/>
  <c r="R42" i="18" s="1"/>
  <c r="Q43" i="18" a="1"/>
  <c r="Q43" i="18" s="1"/>
  <c r="R43" i="18" s="1"/>
  <c r="Q44" i="18" a="1"/>
  <c r="Q44" i="18" s="1"/>
  <c r="R44" i="18" s="1"/>
  <c r="Q45" i="18" a="1"/>
  <c r="Q45" i="18" s="1"/>
  <c r="Q46" i="18" a="1"/>
  <c r="Q46" i="18"/>
  <c r="R46" i="18" s="1"/>
  <c r="U46" i="18" s="1"/>
  <c r="Q47" i="18" a="1"/>
  <c r="Q47" i="18" s="1"/>
  <c r="R47" i="18" s="1"/>
  <c r="Q48" i="18" a="1"/>
  <c r="Q48" i="18" s="1"/>
  <c r="R48" i="18" s="1"/>
  <c r="Q49" i="18" a="1"/>
  <c r="Q49" i="18" s="1"/>
  <c r="R49" i="18" s="1"/>
  <c r="Q50" i="18" a="1"/>
  <c r="Q50" i="18" s="1"/>
  <c r="Q51" i="18" a="1"/>
  <c r="Q51" i="18"/>
  <c r="R51" i="18" s="1"/>
  <c r="Q52" i="18" a="1"/>
  <c r="Q52" i="18" s="1"/>
  <c r="Q53" i="18" a="1"/>
  <c r="Q53" i="18" s="1"/>
  <c r="R53" i="18" s="1"/>
  <c r="U53" i="18" s="1"/>
  <c r="Q54" i="18" a="1"/>
  <c r="Q54" i="18" s="1"/>
  <c r="Q55" i="18" a="1"/>
  <c r="Q55" i="18" s="1"/>
  <c r="R55" i="18" s="1"/>
  <c r="Q56" i="18" a="1"/>
  <c r="Q56" i="18" s="1"/>
  <c r="R56" i="18" s="1"/>
  <c r="Q57" i="18" a="1"/>
  <c r="Q57" i="18" s="1"/>
  <c r="R57" i="18" s="1"/>
  <c r="Q58" i="18" a="1"/>
  <c r="Q58" i="18" s="1"/>
  <c r="Q59" i="18" a="1"/>
  <c r="Q59" i="18"/>
  <c r="R59" i="18" s="1"/>
  <c r="Q60" i="18" a="1"/>
  <c r="Q60" i="18" s="1"/>
  <c r="R60" i="18" s="1"/>
  <c r="Q61" i="18" a="1"/>
  <c r="Q61" i="18"/>
  <c r="R61" i="18" s="1"/>
  <c r="U61" i="18" s="1"/>
  <c r="Q62" i="18" a="1"/>
  <c r="Q62" i="18" s="1"/>
  <c r="R62" i="18" s="1"/>
  <c r="Q63" i="18" a="1"/>
  <c r="Q63" i="18" s="1"/>
  <c r="R63" i="18" s="1"/>
  <c r="Q64" i="18" a="1"/>
  <c r="Q64" i="18"/>
  <c r="R64" i="18" s="1"/>
  <c r="Q65" i="18" a="1"/>
  <c r="Q65" i="18" s="1"/>
  <c r="R65" i="18" s="1"/>
  <c r="Q66" i="18" a="1"/>
  <c r="Q66" i="18" s="1"/>
  <c r="R66" i="18" s="1"/>
  <c r="Q67" i="18" a="1"/>
  <c r="Q67" i="18" s="1"/>
  <c r="R67" i="18" s="1"/>
  <c r="Q68" i="18" a="1"/>
  <c r="Q68" i="18" s="1"/>
  <c r="Q69" i="18" a="1"/>
  <c r="Q69" i="18" s="1"/>
  <c r="R69" i="18" s="1"/>
  <c r="Q70" i="18" a="1"/>
  <c r="Q70" i="18" s="1"/>
  <c r="R70" i="18" s="1"/>
  <c r="Q71" i="18" a="1"/>
  <c r="Q71" i="18"/>
  <c r="R71" i="18" s="1"/>
  <c r="Q72" i="18" a="1"/>
  <c r="Q72" i="18" s="1"/>
  <c r="R72" i="18" s="1"/>
  <c r="Q73" i="18" a="1"/>
  <c r="Q73" i="18"/>
  <c r="R73" i="18" s="1"/>
  <c r="Q74" i="18" a="1"/>
  <c r="Q74" i="18" s="1"/>
  <c r="R74" i="18" s="1"/>
  <c r="U74" i="18" s="1"/>
  <c r="Q75" i="18" a="1"/>
  <c r="Q75" i="18"/>
  <c r="R75" i="18" s="1"/>
  <c r="Q76" i="18" a="1"/>
  <c r="Q76" i="18" s="1"/>
  <c r="R76" i="18" s="1"/>
  <c r="Q77" i="18" a="1"/>
  <c r="Q77" i="18" s="1"/>
  <c r="R77" i="18" s="1"/>
  <c r="Q78" i="18" a="1"/>
  <c r="Q78" i="18" s="1"/>
  <c r="R78" i="18" s="1"/>
  <c r="Q79" i="18" a="1"/>
  <c r="Q79" i="18" s="1"/>
  <c r="R79" i="18" s="1"/>
  <c r="Q80" i="18" a="1"/>
  <c r="Q80" i="18" s="1"/>
  <c r="R80" i="18" s="1"/>
  <c r="U80" i="18" s="1"/>
  <c r="Q81" i="18" a="1"/>
  <c r="Q81" i="18" s="1"/>
  <c r="R81" i="18" s="1"/>
  <c r="Q82" i="18" a="1"/>
  <c r="Q82" i="18"/>
  <c r="R82" i="18" s="1"/>
  <c r="Q83" i="18" a="1"/>
  <c r="Q83" i="18" s="1"/>
  <c r="R83" i="18" s="1"/>
  <c r="Q84" i="18" a="1"/>
  <c r="Q84" i="18" s="1"/>
  <c r="R84" i="18" s="1"/>
  <c r="Q85" i="18" a="1"/>
  <c r="Q85" i="18"/>
  <c r="R85" i="18" s="1"/>
  <c r="Q86" i="18" a="1"/>
  <c r="Q86" i="18" s="1"/>
  <c r="Q87" i="18" a="1"/>
  <c r="Q87" i="18"/>
  <c r="Q88" i="18" a="1"/>
  <c r="Q88" i="18" s="1"/>
  <c r="R88" i="18" s="1"/>
  <c r="Q89" i="18" a="1"/>
  <c r="Q89" i="18" s="1"/>
  <c r="R89" i="18" s="1"/>
  <c r="Q90" i="18" a="1"/>
  <c r="Q90" i="18" s="1"/>
  <c r="R90" i="18" s="1"/>
  <c r="Q91" i="18" a="1"/>
  <c r="Q91" i="18" s="1"/>
  <c r="Q92" i="18" a="1"/>
  <c r="Q92" i="18" s="1"/>
  <c r="Q93" i="18" a="1"/>
  <c r="Q93" i="18" s="1"/>
  <c r="R93" i="18" s="1"/>
  <c r="Q94" i="18" a="1"/>
  <c r="Q94" i="18" s="1"/>
  <c r="R94" i="18" s="1"/>
  <c r="U94" i="18" s="1"/>
  <c r="Q95" i="18" a="1"/>
  <c r="Q95" i="18" s="1"/>
  <c r="R95" i="18" s="1"/>
  <c r="Q96" i="18" a="1"/>
  <c r="Q96" i="18" s="1"/>
  <c r="R96" i="18" s="1"/>
  <c r="Q97" i="18" a="1"/>
  <c r="Q97" i="18" s="1"/>
  <c r="R97" i="18" s="1"/>
  <c r="Q98" i="18" a="1"/>
  <c r="Q98" i="18" s="1"/>
  <c r="R98" i="18" s="1"/>
  <c r="U98" i="18" s="1"/>
  <c r="Q99" i="18" a="1"/>
  <c r="Q99" i="18" s="1"/>
  <c r="R99" i="18" s="1"/>
  <c r="U99" i="18" s="1"/>
  <c r="Q100" i="18" a="1"/>
  <c r="Q100" i="18" s="1"/>
  <c r="R100" i="18" s="1"/>
  <c r="Q101" i="18" a="1"/>
  <c r="Q101" i="18" s="1"/>
  <c r="Q102" i="18" a="1"/>
  <c r="Q102" i="18"/>
  <c r="R102" i="18" s="1"/>
  <c r="Q103" i="18" a="1"/>
  <c r="Q103" i="18" s="1"/>
  <c r="R103" i="18" s="1"/>
  <c r="Q104" i="18" a="1"/>
  <c r="Q104" i="18" s="1"/>
  <c r="R104" i="18" s="1"/>
  <c r="U104" i="18" s="1"/>
  <c r="Q105" i="18" a="1"/>
  <c r="Q105" i="18" s="1"/>
  <c r="R105" i="18" s="1"/>
  <c r="U105" i="18" s="1"/>
  <c r="Q106" i="18" a="1"/>
  <c r="Q106" i="18" s="1"/>
  <c r="R106" i="18" s="1"/>
  <c r="Q107" i="18" a="1"/>
  <c r="Q107" i="18"/>
  <c r="R107" i="18" s="1"/>
  <c r="Q108" i="18" a="1"/>
  <c r="Q108" i="18" s="1"/>
  <c r="R108" i="18" s="1"/>
  <c r="Q109" i="18" a="1"/>
  <c r="Q109" i="18" s="1"/>
  <c r="R109" i="18" s="1"/>
  <c r="Q110" i="18" a="1"/>
  <c r="Q110" i="18" s="1"/>
  <c r="Q111" i="18" a="1"/>
  <c r="Q111" i="18" s="1"/>
  <c r="Q112" i="18" a="1"/>
  <c r="Q112" i="18"/>
  <c r="R112" i="18" s="1"/>
  <c r="Q113" i="18" a="1"/>
  <c r="Q113" i="18" s="1"/>
  <c r="R113" i="18" s="1"/>
  <c r="Q114" i="18" a="1"/>
  <c r="Q114" i="18" s="1"/>
  <c r="R114" i="18" s="1"/>
  <c r="U114" i="18" s="1"/>
  <c r="Q115" i="18" a="1"/>
  <c r="Q115" i="18" s="1"/>
  <c r="R115" i="18" s="1"/>
  <c r="Q116" i="18" a="1"/>
  <c r="Q116" i="18" s="1"/>
  <c r="R116" i="18" s="1"/>
  <c r="Q117" i="18" a="1"/>
  <c r="Q117" i="18" s="1"/>
  <c r="R117" i="18" s="1"/>
  <c r="Q118" i="18" a="1"/>
  <c r="Q118" i="18"/>
  <c r="R118" i="18" s="1"/>
  <c r="U118" i="18" s="1"/>
  <c r="Q119" i="18" a="1"/>
  <c r="Q119" i="18"/>
  <c r="Q120" i="18" a="1"/>
  <c r="Q120" i="18" s="1"/>
  <c r="R120" i="18" s="1"/>
  <c r="Q121" i="18" a="1"/>
  <c r="Q121" i="18" s="1"/>
  <c r="R121" i="18" s="1"/>
  <c r="Q122" i="18" a="1"/>
  <c r="Q122" i="18" s="1"/>
  <c r="R122" i="18" s="1"/>
  <c r="U122" i="18" s="1"/>
  <c r="Q123" i="18" a="1"/>
  <c r="Q123" i="18" s="1"/>
  <c r="R123" i="18" s="1"/>
  <c r="Q124" i="18" a="1"/>
  <c r="Q124" i="18" s="1"/>
  <c r="R124" i="18" s="1"/>
  <c r="Q125" i="18" a="1"/>
  <c r="Q125" i="18" s="1"/>
  <c r="R125" i="18" s="1"/>
  <c r="Q126" i="18" a="1"/>
  <c r="Q126" i="18"/>
  <c r="R126" i="18" s="1"/>
  <c r="Q127" i="18" a="1"/>
  <c r="Q127" i="18" s="1"/>
  <c r="R127" i="18" s="1"/>
  <c r="Q128" i="18" a="1"/>
  <c r="Q128" i="18" s="1"/>
  <c r="R128" i="18" s="1"/>
  <c r="U128" i="18" s="1"/>
  <c r="Q129" i="18" a="1"/>
  <c r="Q129" i="18" s="1"/>
  <c r="Q130" i="18" a="1"/>
  <c r="Q130" i="18" s="1"/>
  <c r="R130" i="18" s="1"/>
  <c r="Q131" i="18" a="1"/>
  <c r="Q131" i="18"/>
  <c r="R131" i="18" s="1"/>
  <c r="Q132" i="18" a="1"/>
  <c r="Q132" i="18"/>
  <c r="R132" i="18" s="1"/>
  <c r="U132" i="18" s="1"/>
  <c r="Q133" i="18" a="1"/>
  <c r="Q133" i="18" s="1"/>
  <c r="R133" i="18" s="1"/>
  <c r="Q134" i="18" a="1"/>
  <c r="Q134" i="18" s="1"/>
  <c r="Q135" i="18" a="1"/>
  <c r="Q135" i="18" s="1"/>
  <c r="R135" i="18" s="1"/>
  <c r="Q136" i="18" a="1"/>
  <c r="Q136" i="18" s="1"/>
  <c r="R136" i="18" s="1"/>
  <c r="U136" i="18" s="1"/>
  <c r="Q137" i="18" a="1"/>
  <c r="Q137" i="18" s="1"/>
  <c r="R137" i="18" s="1"/>
  <c r="Q138" i="18" a="1"/>
  <c r="Q138" i="18" s="1"/>
  <c r="Q139" i="18" a="1"/>
  <c r="Q139" i="18"/>
  <c r="Q140" i="18" a="1"/>
  <c r="Q140" i="18" s="1"/>
  <c r="R140" i="18" s="1"/>
  <c r="Q141" i="18" a="1"/>
  <c r="Q141" i="18" s="1"/>
  <c r="R141" i="18" s="1"/>
  <c r="Q142" i="18" a="1"/>
  <c r="Q142" i="18" s="1"/>
  <c r="R142" i="18" s="1"/>
  <c r="Q143" i="18" a="1"/>
  <c r="Q143" i="18" s="1"/>
  <c r="R143" i="18" s="1"/>
  <c r="U143" i="18" s="1"/>
  <c r="Q144" i="18" a="1"/>
  <c r="Q144" i="18"/>
  <c r="R144" i="18" s="1"/>
  <c r="Q145" i="18" a="1"/>
  <c r="Q145" i="18" s="1"/>
  <c r="R145" i="18" s="1"/>
  <c r="Q146" i="18" a="1"/>
  <c r="Q146" i="18" s="1"/>
  <c r="Q147" i="18" a="1"/>
  <c r="Q147" i="18" s="1"/>
  <c r="R147" i="18" s="1"/>
  <c r="Q148" i="18" a="1"/>
  <c r="Q148" i="18"/>
  <c r="R148" i="18" s="1"/>
  <c r="Q149" i="18" a="1"/>
  <c r="Q149" i="18" s="1"/>
  <c r="R149" i="18" s="1"/>
  <c r="Q150" i="18" a="1"/>
  <c r="Q150" i="18" s="1"/>
  <c r="R150" i="18" s="1"/>
  <c r="Q151" i="18" a="1"/>
  <c r="Q151" i="18" s="1"/>
  <c r="R151" i="18" s="1"/>
  <c r="Q152" i="18" a="1"/>
  <c r="Q152" i="18" s="1"/>
  <c r="R152" i="18" s="1"/>
  <c r="U152" i="18" s="1"/>
  <c r="Q153" i="18" a="1"/>
  <c r="Q153" i="18"/>
  <c r="R153" i="18" s="1"/>
  <c r="U153" i="18" s="1"/>
  <c r="Q154" i="18" a="1"/>
  <c r="Q154" i="18" s="1"/>
  <c r="R154" i="18" s="1"/>
  <c r="Q155" i="18" a="1"/>
  <c r="Q155" i="18"/>
  <c r="R155" i="18" s="1"/>
  <c r="Q156" i="18" a="1"/>
  <c r="Q156" i="18" s="1"/>
  <c r="Q157" i="18" a="1"/>
  <c r="Q157" i="18"/>
  <c r="R157" i="18" s="1"/>
  <c r="Q158" i="18" a="1"/>
  <c r="Q158" i="18" s="1"/>
  <c r="R158" i="18" s="1"/>
  <c r="U158" i="18" s="1"/>
  <c r="Q159" i="18" a="1"/>
  <c r="Q159" i="18" s="1"/>
  <c r="R159" i="18" s="1"/>
  <c r="Q160" i="18" a="1"/>
  <c r="Q160" i="18" s="1"/>
  <c r="R160" i="18" s="1"/>
  <c r="U160" i="18" s="1"/>
  <c r="Q161" i="18" a="1"/>
  <c r="Q161" i="18" s="1"/>
  <c r="R161" i="18" s="1"/>
  <c r="Q162" i="18" a="1"/>
  <c r="Q162" i="18" s="1"/>
  <c r="R162" i="18" s="1"/>
  <c r="Q163" i="18" a="1"/>
  <c r="Q163" i="18" s="1"/>
  <c r="Q164" i="18" a="1"/>
  <c r="Q164" i="18" s="1"/>
  <c r="R164" i="18" s="1"/>
  <c r="Q165" i="18" a="1"/>
  <c r="Q165" i="18" s="1"/>
  <c r="R165" i="18" s="1"/>
  <c r="Q166" i="18" a="1"/>
  <c r="Q166" i="18" s="1"/>
  <c r="R166" i="18" s="1"/>
  <c r="Q167" i="18" a="1"/>
  <c r="Q167" i="18"/>
  <c r="R167" i="18" s="1"/>
  <c r="Q168" i="18" a="1"/>
  <c r="Q168" i="18" s="1"/>
  <c r="R168" i="18" s="1"/>
  <c r="Q169" i="18" a="1"/>
  <c r="Q169" i="18" s="1"/>
  <c r="R169" i="18" s="1"/>
  <c r="Q170" i="18" a="1"/>
  <c r="Q170" i="18" s="1"/>
  <c r="R170" i="18" s="1"/>
  <c r="U170" i="18" s="1"/>
  <c r="Q171" i="18" a="1"/>
  <c r="Q171" i="18" s="1"/>
  <c r="R171" i="18" s="1"/>
  <c r="Q172" i="18" a="1"/>
  <c r="Q172" i="18" s="1"/>
  <c r="R172" i="18" s="1"/>
  <c r="Q173" i="18" a="1"/>
  <c r="Q173" i="18"/>
  <c r="Q174" i="18" a="1"/>
  <c r="Q174" i="18" s="1"/>
  <c r="R174" i="18" s="1"/>
  <c r="Q175" i="18" a="1"/>
  <c r="Q175" i="18" s="1"/>
  <c r="R175" i="18" s="1"/>
  <c r="Q176" i="18" a="1"/>
  <c r="Q176" i="18" s="1"/>
  <c r="Q177" i="18" a="1"/>
  <c r="Q177" i="18"/>
  <c r="R177" i="18" s="1"/>
  <c r="U177" i="18" s="1"/>
  <c r="Q178" i="18" a="1"/>
  <c r="Q178" i="18" s="1"/>
  <c r="R178" i="18" s="1"/>
  <c r="Q179" i="18" a="1"/>
  <c r="Q179" i="18" s="1"/>
  <c r="R179" i="18" s="1"/>
  <c r="Q180" i="18" a="1"/>
  <c r="Q180" i="18" s="1"/>
  <c r="R180" i="18" s="1"/>
  <c r="U180" i="18" s="1"/>
  <c r="Q181" i="18" a="1"/>
  <c r="Q181" i="18" s="1"/>
  <c r="R181" i="18" s="1"/>
  <c r="Q182" i="18" a="1"/>
  <c r="Q182" i="18" s="1"/>
  <c r="R182" i="18" s="1"/>
  <c r="Q183" i="18" a="1"/>
  <c r="Q183" i="18" s="1"/>
  <c r="R183" i="18" s="1"/>
  <c r="Q184" i="18" a="1"/>
  <c r="Q184" i="18" s="1"/>
  <c r="R184" i="18" s="1"/>
  <c r="U184" i="18" s="1"/>
  <c r="Q185" i="18" a="1"/>
  <c r="Q185" i="18" s="1"/>
  <c r="R185" i="18" s="1"/>
  <c r="Q186" i="18" a="1"/>
  <c r="Q186" i="18" s="1"/>
  <c r="R186" i="18" s="1"/>
  <c r="Q187" i="18" a="1"/>
  <c r="Q187" i="18"/>
  <c r="R187" i="18" s="1"/>
  <c r="Q188" i="18" a="1"/>
  <c r="Q188" i="18" s="1"/>
  <c r="R188" i="18" s="1"/>
  <c r="Q189" i="18" a="1"/>
  <c r="Q189" i="18"/>
  <c r="R189" i="18" s="1"/>
  <c r="Q190" i="18" a="1"/>
  <c r="Q190" i="18" s="1"/>
  <c r="R190" i="18" s="1"/>
  <c r="U190" i="18" s="1"/>
  <c r="Q191" i="18" a="1"/>
  <c r="Q191" i="18" s="1"/>
  <c r="R191" i="18" s="1"/>
  <c r="Q192" i="18" a="1"/>
  <c r="Q192" i="18" s="1"/>
  <c r="R192" i="18" s="1"/>
  <c r="Q193" i="18" a="1"/>
  <c r="Q193" i="18"/>
  <c r="R193" i="18" s="1"/>
  <c r="U193" i="18" s="1"/>
  <c r="Q194" i="18" a="1"/>
  <c r="Q194" i="18" s="1"/>
  <c r="R194" i="18" s="1"/>
  <c r="Q195" i="18" a="1"/>
  <c r="Q195" i="18" s="1"/>
  <c r="R195" i="18" s="1"/>
  <c r="Q196" i="18" a="1"/>
  <c r="Q196" i="18" s="1"/>
  <c r="R196" i="18" s="1"/>
  <c r="Q197" i="18" a="1"/>
  <c r="Q197" i="18" s="1"/>
  <c r="R197" i="18" s="1"/>
  <c r="Q198" i="18" a="1"/>
  <c r="Q198" i="18" s="1"/>
  <c r="R198" i="18" s="1"/>
  <c r="Q199" i="18" a="1"/>
  <c r="Q199" i="18" s="1"/>
  <c r="R199" i="18" s="1"/>
  <c r="Q200" i="18" a="1"/>
  <c r="Q200" i="18" s="1"/>
  <c r="Q201" i="18" a="1"/>
  <c r="Q201" i="18"/>
  <c r="R201" i="18" s="1"/>
  <c r="Q202" i="18" a="1"/>
  <c r="Q202" i="18" s="1"/>
  <c r="R202" i="18" s="1"/>
  <c r="Q203" i="18" a="1"/>
  <c r="Q203" i="18"/>
  <c r="R203" i="18" s="1"/>
  <c r="Q204" i="18" a="1"/>
  <c r="Q204" i="18" s="1"/>
  <c r="R204" i="18" s="1"/>
  <c r="U204" i="18" s="1"/>
  <c r="Q205" i="18" a="1"/>
  <c r="Q205" i="18" s="1"/>
  <c r="R205" i="18" s="1"/>
  <c r="Q206" i="18" a="1"/>
  <c r="Q206" i="18" s="1"/>
  <c r="R206" i="18" s="1"/>
  <c r="U206" i="18" s="1"/>
  <c r="Q207" i="18" a="1"/>
  <c r="Q207" i="18"/>
  <c r="R207" i="18" s="1"/>
  <c r="U207" i="18" s="1"/>
  <c r="Q208" i="18" a="1"/>
  <c r="Q208" i="18" s="1"/>
  <c r="R208" i="18" s="1"/>
  <c r="Q209" i="18" a="1"/>
  <c r="Q209" i="18" s="1"/>
  <c r="R209" i="18" s="1"/>
  <c r="Q210" i="18" a="1"/>
  <c r="Q210" i="18" s="1"/>
  <c r="R210" i="18" s="1"/>
  <c r="Q211" i="18" a="1"/>
  <c r="Q211" i="18" s="1"/>
  <c r="R211" i="18" s="1"/>
  <c r="Q212" i="18" a="1"/>
  <c r="Q212" i="18" s="1"/>
  <c r="R212" i="18" s="1"/>
  <c r="Q213" i="18" a="1"/>
  <c r="Q213" i="18" s="1"/>
  <c r="R213" i="18" s="1"/>
  <c r="Q214" i="18" a="1"/>
  <c r="Q214" i="18" s="1"/>
  <c r="R214" i="18" s="1"/>
  <c r="U214" i="18" s="1"/>
  <c r="Q215" i="18" a="1"/>
  <c r="Q215" i="18" s="1"/>
  <c r="R215" i="18" s="1"/>
  <c r="Q216" i="18" a="1"/>
  <c r="Q216" i="18" s="1"/>
  <c r="R216" i="18" s="1"/>
  <c r="U216" i="18" s="1"/>
  <c r="Q217" i="18" a="1"/>
  <c r="Q217" i="18" s="1"/>
  <c r="R217" i="18" s="1"/>
  <c r="Q218" i="18" a="1"/>
  <c r="Q218" i="18" s="1"/>
  <c r="R218" i="18" s="1"/>
  <c r="Q219" i="18" a="1"/>
  <c r="Q219" i="18" s="1"/>
  <c r="Q220" i="18" a="1"/>
  <c r="Q220" i="18" s="1"/>
  <c r="R220" i="18" s="1"/>
  <c r="Q221" i="18" a="1"/>
  <c r="Q221" i="18"/>
  <c r="R221" i="18" s="1"/>
  <c r="Q222" i="18" a="1"/>
  <c r="Q222" i="18" s="1"/>
  <c r="R222" i="18" s="1"/>
  <c r="Q223" i="18" a="1"/>
  <c r="Q223" i="18" s="1"/>
  <c r="Q224" i="18" a="1"/>
  <c r="Q224" i="18" s="1"/>
  <c r="Q225" i="18" a="1"/>
  <c r="Q225" i="18" s="1"/>
  <c r="R225" i="18" s="1"/>
  <c r="U225" i="18" s="1"/>
  <c r="Q226" i="18" a="1"/>
  <c r="Q226" i="18" s="1"/>
  <c r="R226" i="18" s="1"/>
  <c r="Q227" i="18" a="1"/>
  <c r="Q227" i="18" s="1"/>
  <c r="R227" i="18" s="1"/>
  <c r="Q228" i="18" a="1"/>
  <c r="Q228" i="18"/>
  <c r="R228" i="18" s="1"/>
  <c r="Q229" i="18" a="1"/>
  <c r="Q229" i="18"/>
  <c r="R229" i="18" s="1"/>
  <c r="Q230" i="18" a="1"/>
  <c r="Q230" i="18" s="1"/>
  <c r="R230" i="18" s="1"/>
  <c r="U230" i="18" s="1"/>
  <c r="Q231" i="18" a="1"/>
  <c r="Q231" i="18" s="1"/>
  <c r="Q232" i="18" a="1"/>
  <c r="Q232" i="18" s="1"/>
  <c r="R232" i="18" s="1"/>
  <c r="Q233" i="18" a="1"/>
  <c r="Q233" i="18" s="1"/>
  <c r="R233" i="18" s="1"/>
  <c r="Q234" i="18" a="1"/>
  <c r="Q234" i="18" s="1"/>
  <c r="R234" i="18" s="1"/>
  <c r="U234" i="18" s="1"/>
  <c r="Q235" i="18" a="1"/>
  <c r="Q235" i="18" s="1"/>
  <c r="R235" i="18" s="1"/>
  <c r="Q236" i="18" a="1"/>
  <c r="Q236" i="18" s="1"/>
  <c r="Q237" i="18" a="1"/>
  <c r="Q237" i="18"/>
  <c r="R237" i="18" s="1"/>
  <c r="U237" i="18" s="1"/>
  <c r="Q238" i="18" a="1"/>
  <c r="Q238" i="18" s="1"/>
  <c r="R238" i="18" s="1"/>
  <c r="Q239" i="18" a="1"/>
  <c r="Q239" i="18" s="1"/>
  <c r="R239" i="18" s="1"/>
  <c r="Q240" i="18" a="1"/>
  <c r="Q240" i="18" s="1"/>
  <c r="R240" i="18" s="1"/>
  <c r="Q241" i="18" a="1"/>
  <c r="Q241" i="18" s="1"/>
  <c r="R241" i="18" s="1"/>
  <c r="U241" i="18" s="1"/>
  <c r="Q242" i="18" a="1"/>
  <c r="Q242" i="18" s="1"/>
  <c r="R242" i="18" s="1"/>
  <c r="U242" i="18" s="1"/>
  <c r="Q243" i="18" a="1"/>
  <c r="Q243" i="18" s="1"/>
  <c r="R243" i="18" s="1"/>
  <c r="Q244" i="18" a="1"/>
  <c r="Q244" i="18" s="1"/>
  <c r="R244" i="18" s="1"/>
  <c r="Q245" i="18" a="1"/>
  <c r="Q245" i="18" s="1"/>
  <c r="R245" i="18" s="1"/>
  <c r="U245" i="18" s="1"/>
  <c r="Q246" i="18" a="1"/>
  <c r="Q246" i="18" s="1"/>
  <c r="R246" i="18" s="1"/>
  <c r="Q247" i="18" a="1"/>
  <c r="Q247" i="18" s="1"/>
  <c r="R247" i="18" s="1"/>
  <c r="Q248" i="18" a="1"/>
  <c r="Q248" i="18" s="1"/>
  <c r="R248" i="18" s="1"/>
  <c r="Q249" i="18" a="1"/>
  <c r="Q249" i="18"/>
  <c r="Q250" i="18" a="1"/>
  <c r="Q250" i="18" s="1"/>
  <c r="R250" i="18" s="1"/>
  <c r="U250" i="18" s="1"/>
  <c r="Q251" i="18" a="1"/>
  <c r="Q251" i="18" s="1"/>
  <c r="R251" i="18" s="1"/>
  <c r="Q252" i="18" a="1"/>
  <c r="Q252" i="18" s="1"/>
  <c r="R252" i="18" s="1"/>
  <c r="Q253" i="18" a="1"/>
  <c r="Q253" i="18" s="1"/>
  <c r="R253" i="18" s="1"/>
  <c r="Q254" i="18" a="1"/>
  <c r="Q254" i="18" s="1"/>
  <c r="R254" i="18" s="1"/>
  <c r="U254" i="18" s="1"/>
  <c r="Q255" i="18" a="1"/>
  <c r="Q255" i="18" s="1"/>
  <c r="Q256" i="18" a="1"/>
  <c r="Q256" i="18" s="1"/>
  <c r="R256" i="18" s="1"/>
  <c r="Q257" i="18" a="1"/>
  <c r="Q257" i="18" s="1"/>
  <c r="Q258" i="18" a="1"/>
  <c r="Q258" i="18" s="1"/>
  <c r="R258" i="18" s="1"/>
  <c r="Q259" i="18" a="1"/>
  <c r="Q259" i="18" s="1"/>
  <c r="Q260" i="18" a="1"/>
  <c r="Q260" i="18" s="1"/>
  <c r="R260" i="18" s="1"/>
  <c r="Q261" i="18" a="1"/>
  <c r="Q261" i="18" s="1"/>
  <c r="R261" i="18" s="1"/>
  <c r="Q262" i="18" a="1"/>
  <c r="Q262" i="18"/>
  <c r="R262" i="18" s="1"/>
  <c r="Q263" i="18" a="1"/>
  <c r="Q263" i="18" s="1"/>
  <c r="R263" i="18" s="1"/>
  <c r="Q264" i="18" a="1"/>
  <c r="Q264" i="18" s="1"/>
  <c r="R264" i="18" s="1"/>
  <c r="Q265" i="18" a="1"/>
  <c r="Q265" i="18" s="1"/>
  <c r="R265" i="18" s="1"/>
  <c r="U265" i="18" s="1"/>
  <c r="Q266" i="18" a="1"/>
  <c r="Q266" i="18" s="1"/>
  <c r="R266" i="18" s="1"/>
  <c r="Q267" i="18" a="1"/>
  <c r="Q267" i="18" s="1"/>
  <c r="R267" i="18" s="1"/>
  <c r="Q268" i="18" a="1"/>
  <c r="Q268" i="18" s="1"/>
  <c r="Q269" i="18" a="1"/>
  <c r="Q269" i="18"/>
  <c r="R269" i="18" s="1"/>
  <c r="U269" i="18" s="1"/>
  <c r="Q270" i="18" a="1"/>
  <c r="Q270" i="18" s="1"/>
  <c r="R270" i="18" s="1"/>
  <c r="Q271" i="18" a="1"/>
  <c r="Q271" i="18" s="1"/>
  <c r="R271" i="18" s="1"/>
  <c r="Q272" i="18" a="1"/>
  <c r="Q272" i="18" s="1"/>
  <c r="R272" i="18" s="1"/>
  <c r="U272" i="18" s="1"/>
  <c r="Q273" i="18" a="1"/>
  <c r="Q273" i="18" s="1"/>
  <c r="R273" i="18" s="1"/>
  <c r="Q274" i="18" a="1"/>
  <c r="Q274" i="18" s="1"/>
  <c r="R274" i="18" s="1"/>
  <c r="Q275" i="18" a="1"/>
  <c r="Q275" i="18" s="1"/>
  <c r="R275" i="18" s="1"/>
  <c r="U275" i="18" s="1"/>
  <c r="Q276" i="18" a="1"/>
  <c r="Q276" i="18" s="1"/>
  <c r="R276" i="18" s="1"/>
  <c r="Q277" i="18" a="1"/>
  <c r="Q277" i="18"/>
  <c r="Q278" i="18" a="1"/>
  <c r="Q278" i="18" s="1"/>
  <c r="R278" i="18" s="1"/>
  <c r="Q279" i="18" a="1"/>
  <c r="Q279" i="18" s="1"/>
  <c r="R279" i="18" s="1"/>
  <c r="U279" i="18" s="1"/>
  <c r="Q280" i="18" a="1"/>
  <c r="Q280" i="18" s="1"/>
  <c r="R280" i="18" s="1"/>
  <c r="Q281" i="18" a="1"/>
  <c r="Q281" i="18" s="1"/>
  <c r="Q282" i="18" a="1"/>
  <c r="Q282" i="18" s="1"/>
  <c r="R282" i="18" s="1"/>
  <c r="U282" i="18" s="1"/>
  <c r="Q283" i="18" a="1"/>
  <c r="Q283" i="18" s="1"/>
  <c r="R283" i="18" s="1"/>
  <c r="Q284" i="18" a="1"/>
  <c r="Q284" i="18" s="1"/>
  <c r="Q285" i="18" a="1"/>
  <c r="Q285" i="18" s="1"/>
  <c r="R285" i="18" s="1"/>
  <c r="Q286" i="18" a="1"/>
  <c r="Q286" i="18"/>
  <c r="R286" i="18" s="1"/>
  <c r="Q287" i="18" a="1"/>
  <c r="Q287" i="18" s="1"/>
  <c r="R287" i="18" s="1"/>
  <c r="Q288" i="18" a="1"/>
  <c r="Q288" i="18" s="1"/>
  <c r="R288" i="18" s="1"/>
  <c r="U288" i="18" s="1"/>
  <c r="Q289" i="18" a="1"/>
  <c r="Q289" i="18"/>
  <c r="R289" i="18" s="1"/>
  <c r="Q290" i="18" a="1"/>
  <c r="Q290" i="18" s="1"/>
  <c r="R290" i="18" s="1"/>
  <c r="Q291" i="18" a="1"/>
  <c r="Q291" i="18"/>
  <c r="R291" i="18" s="1"/>
  <c r="Q292" i="18" a="1"/>
  <c r="Q292" i="18" s="1"/>
  <c r="R292" i="18" s="1"/>
  <c r="Q293" i="18" a="1"/>
  <c r="Q293" i="18" s="1"/>
  <c r="R293" i="18" s="1"/>
  <c r="Q294" i="18" a="1"/>
  <c r="Q294" i="18" s="1"/>
  <c r="Q295" i="18" a="1"/>
  <c r="Q295" i="18" s="1"/>
  <c r="R295" i="18" s="1"/>
  <c r="Q296" i="18" a="1"/>
  <c r="Q296" i="18"/>
  <c r="R296" i="18" s="1"/>
  <c r="Q297" i="18" a="1"/>
  <c r="Q297" i="18" s="1"/>
  <c r="R297" i="18" s="1"/>
  <c r="Q298" i="18" a="1"/>
  <c r="Q298" i="18" s="1"/>
  <c r="R298" i="18" s="1"/>
  <c r="Q299" i="18" a="1"/>
  <c r="Q299" i="18"/>
  <c r="Q300" i="18" a="1"/>
  <c r="Q300" i="18" s="1"/>
  <c r="R300" i="18" s="1"/>
  <c r="Q301" i="18" a="1"/>
  <c r="Q301" i="18" s="1"/>
  <c r="R301" i="18" s="1"/>
  <c r="Q302" i="18" a="1"/>
  <c r="Q302" i="18"/>
  <c r="Q303" i="18" a="1"/>
  <c r="Q303" i="18" s="1"/>
  <c r="R303" i="18" s="1"/>
  <c r="Q304" i="18" a="1"/>
  <c r="Q304" i="18" s="1"/>
  <c r="R304" i="18" s="1"/>
  <c r="U304" i="18" s="1"/>
  <c r="Q305" i="18" a="1"/>
  <c r="Q305" i="18" s="1"/>
  <c r="R305" i="18" s="1"/>
  <c r="Q306" i="18" a="1"/>
  <c r="Q306" i="18" s="1"/>
  <c r="Q307" i="18" a="1"/>
  <c r="Q307" i="18" s="1"/>
  <c r="Q308" i="18" a="1"/>
  <c r="Q308" i="18" s="1"/>
  <c r="R308" i="18" s="1"/>
  <c r="Q309" i="18" a="1"/>
  <c r="Q309" i="18" s="1"/>
  <c r="R309" i="18" s="1"/>
  <c r="U309" i="18" s="1"/>
  <c r="Q310" i="18" a="1"/>
  <c r="Q310" i="18" s="1"/>
  <c r="R310" i="18" s="1"/>
  <c r="Q311" i="18" a="1"/>
  <c r="Q311" i="18" s="1"/>
  <c r="R311" i="18" s="1"/>
  <c r="Q312" i="18" a="1"/>
  <c r="Q312" i="18" s="1"/>
  <c r="Q313" i="18" a="1"/>
  <c r="Q313" i="18" s="1"/>
  <c r="Q314" i="18" a="1"/>
  <c r="Q314" i="18" s="1"/>
  <c r="R314" i="18" s="1"/>
  <c r="Q315" i="18" a="1"/>
  <c r="Q315" i="18"/>
  <c r="R315" i="18" s="1"/>
  <c r="U315" i="18" s="1"/>
  <c r="Q316" i="18" a="1"/>
  <c r="Q316" i="18" s="1"/>
  <c r="R316" i="18" s="1"/>
  <c r="Q317" i="18" a="1"/>
  <c r="Q317" i="18"/>
  <c r="Q318" i="18" a="1"/>
  <c r="Q318" i="18" s="1"/>
  <c r="R318" i="18" s="1"/>
  <c r="Q319" i="18" a="1"/>
  <c r="Q319" i="18"/>
  <c r="Q320" i="18" a="1"/>
  <c r="Q320" i="18" s="1"/>
  <c r="R320" i="18" s="1"/>
  <c r="Q321" i="18" a="1"/>
  <c r="Q321" i="18" s="1"/>
  <c r="R321" i="18" s="1"/>
  <c r="Q322" i="18" a="1"/>
  <c r="Q322" i="18"/>
  <c r="R322" i="18" s="1"/>
  <c r="Q323" i="18" a="1"/>
  <c r="Q323" i="18" s="1"/>
  <c r="R323" i="18" s="1"/>
  <c r="Q324" i="18" a="1"/>
  <c r="Q324" i="18" s="1"/>
  <c r="R324" i="18" s="1"/>
  <c r="Q325" i="18" a="1"/>
  <c r="Q325" i="18" s="1"/>
  <c r="Q326" i="18" a="1"/>
  <c r="Q326" i="18" s="1"/>
  <c r="R326" i="18" s="1"/>
  <c r="Q327" i="18" a="1"/>
  <c r="Q327" i="18" s="1"/>
  <c r="R327" i="18" s="1"/>
  <c r="Q328" i="18" a="1"/>
  <c r="Q328" i="18" s="1"/>
  <c r="R328" i="18" s="1"/>
  <c r="U328" i="18" s="1"/>
  <c r="Q329" i="18" a="1"/>
  <c r="Q329" i="18" s="1"/>
  <c r="R329" i="18" s="1"/>
  <c r="Q330" i="18" a="1"/>
  <c r="Q330" i="18" s="1"/>
  <c r="Q331" i="18" a="1"/>
  <c r="Q331" i="18" s="1"/>
  <c r="R331" i="18" s="1"/>
  <c r="Q332" i="18" a="1"/>
  <c r="Q332" i="18"/>
  <c r="R332" i="18" s="1"/>
  <c r="Q333" i="18" a="1"/>
  <c r="Q333" i="18" s="1"/>
  <c r="R333" i="18" s="1"/>
  <c r="Q334" i="18" a="1"/>
  <c r="Q334" i="18" s="1"/>
  <c r="Q335" i="18" a="1"/>
  <c r="Q335" i="18" s="1"/>
  <c r="R335" i="18" s="1"/>
  <c r="U335" i="18" s="1"/>
  <c r="Q336" i="18" a="1"/>
  <c r="Q336" i="18" s="1"/>
  <c r="Q337" i="18" a="1"/>
  <c r="Q337" i="18" s="1"/>
  <c r="R337" i="18" s="1"/>
  <c r="U337" i="18" s="1"/>
  <c r="Q338" i="18" a="1"/>
  <c r="Q338" i="18" s="1"/>
  <c r="R338" i="18" s="1"/>
  <c r="Q339" i="18" a="1"/>
  <c r="Q339" i="18" s="1"/>
  <c r="R339" i="18" s="1"/>
  <c r="Q340" i="18" a="1"/>
  <c r="Q340" i="18" s="1"/>
  <c r="R340" i="18" s="1"/>
  <c r="Q341" i="18" a="1"/>
  <c r="Q341" i="18"/>
  <c r="Q342" i="18" a="1"/>
  <c r="Q342" i="18" s="1"/>
  <c r="R342" i="18" s="1"/>
  <c r="Q343" i="18" a="1"/>
  <c r="Q343" i="18" s="1"/>
  <c r="Q344" i="18" a="1"/>
  <c r="Q344" i="18" s="1"/>
  <c r="Q345" i="18" a="1"/>
  <c r="Q345" i="18"/>
  <c r="R345" i="18" s="1"/>
  <c r="Q346" i="18" a="1"/>
  <c r="Q346" i="18" s="1"/>
  <c r="R346" i="18" s="1"/>
  <c r="Q347" i="18" a="1"/>
  <c r="Q347" i="18" s="1"/>
  <c r="R347" i="18" s="1"/>
  <c r="Q348" i="18" a="1"/>
  <c r="Q348" i="18" s="1"/>
  <c r="R348" i="18" s="1"/>
  <c r="U348" i="18" s="1"/>
  <c r="Q349" i="18" a="1"/>
  <c r="Q349" i="18" s="1"/>
  <c r="Q350" i="18" a="1"/>
  <c r="Q350" i="18" s="1"/>
  <c r="R350" i="18" s="1"/>
  <c r="Q351" i="18" a="1"/>
  <c r="Q351" i="18" s="1"/>
  <c r="R351" i="18" s="1"/>
  <c r="Q352" i="18" a="1"/>
  <c r="Q352" i="18" s="1"/>
  <c r="Q353" i="18" a="1"/>
  <c r="Q353" i="18" s="1"/>
  <c r="Q354" i="18" a="1"/>
  <c r="Q354" i="18" s="1"/>
  <c r="Q355" i="18" a="1"/>
  <c r="Q355" i="18" s="1"/>
  <c r="R355" i="18" s="1"/>
  <c r="U355" i="18" s="1"/>
  <c r="Q356" i="18" a="1"/>
  <c r="Q356" i="18" s="1"/>
  <c r="R356" i="18" s="1"/>
  <c r="Q357" i="18" a="1"/>
  <c r="Q357" i="18" s="1"/>
  <c r="R357" i="18" s="1"/>
  <c r="Q358" i="18" a="1"/>
  <c r="Q358" i="18"/>
  <c r="R358" i="18" s="1"/>
  <c r="Q359" i="18" a="1"/>
  <c r="Q359" i="18" s="1"/>
  <c r="R359" i="18" s="1"/>
  <c r="Q360" i="18" a="1"/>
  <c r="Q360" i="18" s="1"/>
  <c r="Q361" i="18" a="1"/>
  <c r="Q361" i="18"/>
  <c r="R361" i="18" s="1"/>
  <c r="U361" i="18" s="1"/>
  <c r="Q362" i="18" a="1"/>
  <c r="Q362" i="18" s="1"/>
  <c r="Q363" i="18" a="1"/>
  <c r="Q363" i="18" s="1"/>
  <c r="R363" i="18" s="1"/>
  <c r="U363" i="18" s="1"/>
  <c r="Q364" i="18" a="1"/>
  <c r="Q364" i="18" s="1"/>
  <c r="Q365" i="18" a="1"/>
  <c r="Q365" i="18" s="1"/>
  <c r="R365" i="18" s="1"/>
  <c r="Q366" i="18" a="1"/>
  <c r="Q366" i="18" s="1"/>
  <c r="R366" i="18" s="1"/>
  <c r="Q367" i="18" a="1"/>
  <c r="Q367" i="18" s="1"/>
  <c r="R367" i="18" s="1"/>
  <c r="Q368" i="18" a="1"/>
  <c r="Q368" i="18" s="1"/>
  <c r="R368" i="18" s="1"/>
  <c r="U368" i="18" s="1"/>
  <c r="Q369" i="18" a="1"/>
  <c r="Q369" i="18" s="1"/>
  <c r="Q370" i="18" a="1"/>
  <c r="Q370" i="18" s="1"/>
  <c r="R370" i="18" s="1"/>
  <c r="Q371" i="18" a="1"/>
  <c r="Q371" i="18" s="1"/>
  <c r="R371" i="18" s="1"/>
  <c r="U371" i="18" s="1"/>
  <c r="Q372" i="18" a="1"/>
  <c r="Q372" i="18" s="1"/>
  <c r="R372" i="18" s="1"/>
  <c r="Q373" i="18" a="1"/>
  <c r="Q373" i="18" s="1"/>
  <c r="Q374" i="18" a="1"/>
  <c r="Q374" i="18"/>
  <c r="Q375" i="18" a="1"/>
  <c r="Q375" i="18" s="1"/>
  <c r="R375" i="18" s="1"/>
  <c r="Q376" i="18" a="1"/>
  <c r="Q376" i="18"/>
  <c r="Q377" i="18" a="1"/>
  <c r="Q377" i="18" s="1"/>
  <c r="Q378" i="18" a="1"/>
  <c r="Q378" i="18" s="1"/>
  <c r="Q379" i="18" a="1"/>
  <c r="Q379" i="18" s="1"/>
  <c r="R379" i="18" s="1"/>
  <c r="Q380" i="18" a="1"/>
  <c r="Q380" i="18" s="1"/>
  <c r="R380" i="18" s="1"/>
  <c r="Q381" i="18" a="1"/>
  <c r="Q381" i="18"/>
  <c r="R381" i="18" s="1"/>
  <c r="Q382" i="18" a="1"/>
  <c r="Q382" i="18" s="1"/>
  <c r="Q383" i="18" a="1"/>
  <c r="Q383" i="18" s="1"/>
  <c r="Q384" i="18" a="1"/>
  <c r="Q384" i="18" s="1"/>
  <c r="Q385" i="18" a="1"/>
  <c r="Q385" i="18" s="1"/>
  <c r="R385" i="18" s="1"/>
  <c r="Q386" i="18" a="1"/>
  <c r="Q386" i="18" s="1"/>
  <c r="R386" i="18" s="1"/>
  <c r="Q387" i="18" a="1"/>
  <c r="Q387" i="18" s="1"/>
  <c r="R387" i="18" s="1"/>
  <c r="U387" i="18" s="1"/>
  <c r="Q388" i="18" a="1"/>
  <c r="Q388" i="18" s="1"/>
  <c r="Q389" i="18" a="1"/>
  <c r="Q389" i="18"/>
  <c r="R389" i="18" s="1"/>
  <c r="Q390" i="18" a="1"/>
  <c r="Q390" i="18" s="1"/>
  <c r="Q391" i="18" a="1"/>
  <c r="Q391" i="18" s="1"/>
  <c r="R391" i="18" s="1"/>
  <c r="U391" i="18" s="1"/>
  <c r="R20" i="18"/>
  <c r="R50" i="18"/>
  <c r="R68" i="18"/>
  <c r="R86" i="18"/>
  <c r="R87" i="18"/>
  <c r="R91" i="18"/>
  <c r="R92" i="18"/>
  <c r="R111" i="18"/>
  <c r="R134" i="18"/>
  <c r="R139" i="18"/>
  <c r="R146" i="18"/>
  <c r="R163" i="18"/>
  <c r="R173" i="18"/>
  <c r="R176" i="18"/>
  <c r="R200" i="18"/>
  <c r="R224" i="18"/>
  <c r="R236" i="18"/>
  <c r="R257" i="18"/>
  <c r="R281" i="18"/>
  <c r="R284" i="18"/>
  <c r="R302" i="18"/>
  <c r="R312" i="18"/>
  <c r="R336" i="18"/>
  <c r="R341" i="18"/>
  <c r="R374" i="18"/>
  <c r="S2" i="18" a="1"/>
  <c r="S2" i="18"/>
  <c r="S3" i="18" a="1"/>
  <c r="S3" i="18" s="1"/>
  <c r="S4" i="18" a="1"/>
  <c r="S4" i="18" s="1"/>
  <c r="S5" i="18" a="1"/>
  <c r="S5" i="18"/>
  <c r="S6" i="18" a="1"/>
  <c r="S6" i="18" s="1"/>
  <c r="S7" i="18" a="1"/>
  <c r="S7" i="18" s="1"/>
  <c r="S8" i="18" a="1"/>
  <c r="S8" i="18" s="1"/>
  <c r="S9" i="18" a="1"/>
  <c r="S9" i="18" s="1"/>
  <c r="S10" i="18" a="1"/>
  <c r="S10" i="18" s="1"/>
  <c r="S11" i="18" a="1"/>
  <c r="S11" i="18" s="1"/>
  <c r="S12" i="18" a="1"/>
  <c r="S12" i="18"/>
  <c r="S13" i="18" a="1"/>
  <c r="S13" i="18" s="1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 s="1"/>
  <c r="S21" i="18" a="1"/>
  <c r="S21" i="18" s="1"/>
  <c r="S22" i="18" a="1"/>
  <c r="S22" i="18"/>
  <c r="S23" i="18" a="1"/>
  <c r="S23" i="18" s="1"/>
  <c r="S24" i="18" a="1"/>
  <c r="S24" i="18" s="1"/>
  <c r="S25" i="18" a="1"/>
  <c r="S25" i="18"/>
  <c r="S26" i="18" a="1"/>
  <c r="S26" i="18" s="1"/>
  <c r="S27" i="18" a="1"/>
  <c r="S27" i="18" s="1"/>
  <c r="S28" i="18" a="1"/>
  <c r="S28" i="18" s="1"/>
  <c r="S29" i="18" a="1"/>
  <c r="S29" i="18" s="1"/>
  <c r="S30" i="18" a="1"/>
  <c r="S30" i="18" s="1"/>
  <c r="S31" i="18" a="1"/>
  <c r="S31" i="18"/>
  <c r="S32" i="18" a="1"/>
  <c r="S32" i="18" s="1"/>
  <c r="S33" i="18" a="1"/>
  <c r="S33" i="18" s="1"/>
  <c r="S34" i="18" a="1"/>
  <c r="S34" i="18" s="1"/>
  <c r="S35" i="18" a="1"/>
  <c r="S35" i="18"/>
  <c r="S36" i="18" a="1"/>
  <c r="S36" i="18" s="1"/>
  <c r="S37" i="18" a="1"/>
  <c r="S37" i="18" s="1"/>
  <c r="S38" i="18" a="1"/>
  <c r="S38" i="18" s="1"/>
  <c r="S39" i="18" a="1"/>
  <c r="S39" i="18" s="1"/>
  <c r="S40" i="18" a="1"/>
  <c r="S40" i="18" s="1"/>
  <c r="S41" i="18" a="1"/>
  <c r="S41" i="18" s="1"/>
  <c r="S42" i="18" a="1"/>
  <c r="S42" i="18" s="1"/>
  <c r="S43" i="18" a="1"/>
  <c r="S43" i="18" s="1"/>
  <c r="S44" i="18" a="1"/>
  <c r="S44" i="18" s="1"/>
  <c r="S45" i="18" a="1"/>
  <c r="S45" i="18" s="1"/>
  <c r="S46" i="18" a="1"/>
  <c r="S46" i="18" s="1"/>
  <c r="S47" i="18" a="1"/>
  <c r="S47" i="18" s="1"/>
  <c r="S48" i="18" a="1"/>
  <c r="S48" i="18" s="1"/>
  <c r="S49" i="18" a="1"/>
  <c r="S49" i="18" s="1"/>
  <c r="S50" i="18" a="1"/>
  <c r="S50" i="18" s="1"/>
  <c r="S51" i="18" a="1"/>
  <c r="S51" i="18" s="1"/>
  <c r="S52" i="18" a="1"/>
  <c r="S52" i="18" s="1"/>
  <c r="S53" i="18" a="1"/>
  <c r="S53" i="18" s="1"/>
  <c r="S54" i="18" a="1"/>
  <c r="S54" i="18" s="1"/>
  <c r="S55" i="18" a="1"/>
  <c r="S55" i="18" s="1"/>
  <c r="S56" i="18" a="1"/>
  <c r="S56" i="18" s="1"/>
  <c r="S57" i="18" a="1"/>
  <c r="S57" i="18" s="1"/>
  <c r="S58" i="18" a="1"/>
  <c r="S58" i="18"/>
  <c r="S59" i="18" a="1"/>
  <c r="S59" i="18" s="1"/>
  <c r="S60" i="18" a="1"/>
  <c r="S60" i="18" s="1"/>
  <c r="S61" i="18" a="1"/>
  <c r="S61" i="18"/>
  <c r="S62" i="18" a="1"/>
  <c r="S62" i="18" s="1"/>
  <c r="S63" i="18" a="1"/>
  <c r="S63" i="18" s="1"/>
  <c r="S64" i="18" a="1"/>
  <c r="S64" i="18" s="1"/>
  <c r="S65" i="18" a="1"/>
  <c r="S65" i="18" s="1"/>
  <c r="S66" i="18" a="1"/>
  <c r="S66" i="18" s="1"/>
  <c r="S67" i="18" a="1"/>
  <c r="S67" i="18" s="1"/>
  <c r="S68" i="18" a="1"/>
  <c r="S68" i="18" s="1"/>
  <c r="S69" i="18" a="1"/>
  <c r="S69" i="18" s="1"/>
  <c r="S70" i="18" a="1"/>
  <c r="S70" i="18" s="1"/>
  <c r="S71" i="18" a="1"/>
  <c r="S71" i="18"/>
  <c r="S72" i="18" a="1"/>
  <c r="S72" i="18" s="1"/>
  <c r="S73" i="18" a="1"/>
  <c r="S73" i="18" s="1"/>
  <c r="S74" i="18" a="1"/>
  <c r="S74" i="18" s="1"/>
  <c r="S75" i="18" a="1"/>
  <c r="S75" i="18" s="1"/>
  <c r="S76" i="18" a="1"/>
  <c r="S76" i="18" s="1"/>
  <c r="S77" i="18" a="1"/>
  <c r="S77" i="18"/>
  <c r="S78" i="18" a="1"/>
  <c r="S78" i="18" s="1"/>
  <c r="S79" i="18" a="1"/>
  <c r="S79" i="18" s="1"/>
  <c r="S80" i="18" a="1"/>
  <c r="S80" i="18" s="1"/>
  <c r="S81" i="18" a="1"/>
  <c r="S81" i="18" s="1"/>
  <c r="S82" i="18" a="1"/>
  <c r="S82" i="18" s="1"/>
  <c r="S83" i="18" a="1"/>
  <c r="S83" i="18" s="1"/>
  <c r="S84" i="18" a="1"/>
  <c r="S84" i="18" s="1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 s="1"/>
  <c r="S92" i="18" a="1"/>
  <c r="S92" i="18" s="1"/>
  <c r="S93" i="18" a="1"/>
  <c r="S93" i="18" s="1"/>
  <c r="S94" i="18" a="1"/>
  <c r="S94" i="18" s="1"/>
  <c r="S95" i="18" a="1"/>
  <c r="S95" i="18" s="1"/>
  <c r="S96" i="18" a="1"/>
  <c r="S96" i="18" s="1"/>
  <c r="S97" i="18" a="1"/>
  <c r="S97" i="18"/>
  <c r="S98" i="18" a="1"/>
  <c r="S98" i="18" s="1"/>
  <c r="S99" i="18" a="1"/>
  <c r="S99" i="18" s="1"/>
  <c r="S100" i="18" a="1"/>
  <c r="S100" i="18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 s="1"/>
  <c r="S109" i="18" a="1"/>
  <c r="S109" i="18" s="1"/>
  <c r="S110" i="18" a="1"/>
  <c r="S110" i="18"/>
  <c r="S111" i="18" a="1"/>
  <c r="S111" i="18" s="1"/>
  <c r="S112" i="18" a="1"/>
  <c r="S112" i="18" s="1"/>
  <c r="S113" i="18" a="1"/>
  <c r="S113" i="18"/>
  <c r="S114" i="18" a="1"/>
  <c r="S114" i="18" s="1"/>
  <c r="S115" i="18" a="1"/>
  <c r="S115" i="18" s="1"/>
  <c r="S116" i="18" a="1"/>
  <c r="S116" i="18" s="1"/>
  <c r="S117" i="18" a="1"/>
  <c r="S117" i="18" s="1"/>
  <c r="S118" i="18" a="1"/>
  <c r="S118" i="18" s="1"/>
  <c r="S119" i="18" a="1"/>
  <c r="S119" i="18" s="1"/>
  <c r="S120" i="18" a="1"/>
  <c r="S120" i="18"/>
  <c r="S121" i="18" a="1"/>
  <c r="S121" i="18" s="1"/>
  <c r="S122" i="18" a="1"/>
  <c r="S122" i="18" s="1"/>
  <c r="S123" i="18" a="1"/>
  <c r="S123" i="18" s="1"/>
  <c r="S124" i="18" a="1"/>
  <c r="S124" i="18" s="1"/>
  <c r="S125" i="18" a="1"/>
  <c r="S125" i="18" s="1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/>
  <c r="S131" i="18" a="1"/>
  <c r="S131" i="18" s="1"/>
  <c r="S132" i="18" a="1"/>
  <c r="S132" i="18" s="1"/>
  <c r="S133" i="18" a="1"/>
  <c r="S133" i="18"/>
  <c r="S134" i="18" a="1"/>
  <c r="S134" i="18" s="1"/>
  <c r="S135" i="18" a="1"/>
  <c r="S135" i="18" s="1"/>
  <c r="S136" i="18" a="1"/>
  <c r="S136" i="18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/>
  <c r="S144" i="18" a="1"/>
  <c r="S144" i="18" s="1"/>
  <c r="S145" i="18" a="1"/>
  <c r="S145" i="18" s="1"/>
  <c r="S146" i="18" a="1"/>
  <c r="S146" i="18" s="1"/>
  <c r="S147" i="18" a="1"/>
  <c r="S147" i="18" s="1"/>
  <c r="S148" i="18" a="1"/>
  <c r="S148" i="18" s="1"/>
  <c r="S149" i="18" a="1"/>
  <c r="S149" i="18" s="1"/>
  <c r="S150" i="18" a="1"/>
  <c r="S150" i="18" s="1"/>
  <c r="S151" i="18" a="1"/>
  <c r="S151" i="18" s="1"/>
  <c r="S152" i="18" a="1"/>
  <c r="S152" i="18" s="1"/>
  <c r="S153" i="18" a="1"/>
  <c r="S153" i="18" s="1"/>
  <c r="S154" i="18" a="1"/>
  <c r="S154" i="18" s="1"/>
  <c r="S155" i="18" a="1"/>
  <c r="S155" i="18" s="1"/>
  <c r="S156" i="18" a="1"/>
  <c r="S156" i="18" s="1"/>
  <c r="S157" i="18" a="1"/>
  <c r="S157" i="18" s="1"/>
  <c r="S158" i="18" a="1"/>
  <c r="S158" i="18"/>
  <c r="S159" i="18" a="1"/>
  <c r="S159" i="18" s="1"/>
  <c r="S160" i="18" a="1"/>
  <c r="S160" i="18" s="1"/>
  <c r="S161" i="18" a="1"/>
  <c r="S161" i="18" s="1"/>
  <c r="S162" i="18" a="1"/>
  <c r="S162" i="18"/>
  <c r="S163" i="18" a="1"/>
  <c r="S163" i="18" s="1"/>
  <c r="S164" i="18" a="1"/>
  <c r="S164" i="18" s="1"/>
  <c r="S165" i="18" a="1"/>
  <c r="S165" i="18" s="1"/>
  <c r="S166" i="18" a="1"/>
  <c r="S166" i="18"/>
  <c r="S167" i="18" a="1"/>
  <c r="S167" i="18" s="1"/>
  <c r="S168" i="18" a="1"/>
  <c r="S168" i="18" s="1"/>
  <c r="S169" i="18" a="1"/>
  <c r="S169" i="18" s="1"/>
  <c r="S170" i="18" a="1"/>
  <c r="S170" i="18" s="1"/>
  <c r="S171" i="18" a="1"/>
  <c r="S171" i="18" s="1"/>
  <c r="S172" i="18" a="1"/>
  <c r="S172" i="18" s="1"/>
  <c r="S173" i="18" a="1"/>
  <c r="S173" i="18" s="1"/>
  <c r="S174" i="18" a="1"/>
  <c r="S174" i="18" s="1"/>
  <c r="S175" i="18" a="1"/>
  <c r="S175" i="18" s="1"/>
  <c r="S176" i="18" a="1"/>
  <c r="S176" i="18" s="1"/>
  <c r="S177" i="18" a="1"/>
  <c r="S177" i="18" s="1"/>
  <c r="S178" i="18" a="1"/>
  <c r="S178" i="18" s="1"/>
  <c r="S179" i="18" a="1"/>
  <c r="S179" i="18"/>
  <c r="S180" i="18" a="1"/>
  <c r="S180" i="18" s="1"/>
  <c r="S181" i="18" a="1"/>
  <c r="S181" i="18" s="1"/>
  <c r="S182" i="18" a="1"/>
  <c r="S182" i="18" s="1"/>
  <c r="S183" i="18" a="1"/>
  <c r="S183" i="18" s="1"/>
  <c r="S184" i="18" a="1"/>
  <c r="S184" i="18"/>
  <c r="S185" i="18" a="1"/>
  <c r="S185" i="18" s="1"/>
  <c r="S186" i="18" a="1"/>
  <c r="S186" i="18" s="1"/>
  <c r="S187" i="18" a="1"/>
  <c r="S187" i="18" s="1"/>
  <c r="S188" i="18" a="1"/>
  <c r="S188" i="18"/>
  <c r="S189" i="18" a="1"/>
  <c r="S189" i="18" s="1"/>
  <c r="S190" i="18" a="1"/>
  <c r="S190" i="18" s="1"/>
  <c r="S191" i="18" a="1"/>
  <c r="S191" i="18" s="1"/>
  <c r="S192" i="18" a="1"/>
  <c r="S192" i="18" s="1"/>
  <c r="S193" i="18" a="1"/>
  <c r="S193" i="18" s="1"/>
  <c r="S194" i="18" a="1"/>
  <c r="S194" i="18" s="1"/>
  <c r="S195" i="18" a="1"/>
  <c r="S195" i="18" s="1"/>
  <c r="S196" i="18" a="1"/>
  <c r="S196" i="18" s="1"/>
  <c r="S197" i="18" a="1"/>
  <c r="S197" i="18"/>
  <c r="S198" i="18" a="1"/>
  <c r="S198" i="18" s="1"/>
  <c r="S199" i="18" a="1"/>
  <c r="S199" i="18" s="1"/>
  <c r="S200" i="18" a="1"/>
  <c r="S200" i="18" s="1"/>
  <c r="S201" i="18" a="1"/>
  <c r="S201" i="18" s="1"/>
  <c r="S202" i="18" a="1"/>
  <c r="S202" i="18" s="1"/>
  <c r="S203" i="18" a="1"/>
  <c r="S203" i="18" s="1"/>
  <c r="S204" i="18" a="1"/>
  <c r="S204" i="18" s="1"/>
  <c r="S205" i="18" a="1"/>
  <c r="S205" i="18" s="1"/>
  <c r="S206" i="18" a="1"/>
  <c r="S206" i="18" s="1"/>
  <c r="S207" i="18" a="1"/>
  <c r="S207" i="18" s="1"/>
  <c r="S208" i="18" a="1"/>
  <c r="S208" i="18"/>
  <c r="S209" i="18" a="1"/>
  <c r="S209" i="18" s="1"/>
  <c r="S210" i="18" a="1"/>
  <c r="S210" i="18" s="1"/>
  <c r="S211" i="18" a="1"/>
  <c r="S211" i="18" s="1"/>
  <c r="S212" i="18" a="1"/>
  <c r="S212" i="18" s="1"/>
  <c r="S213" i="18" a="1"/>
  <c r="S213" i="18" s="1"/>
  <c r="S214" i="18" a="1"/>
  <c r="S214" i="18" s="1"/>
  <c r="S215" i="18" a="1"/>
  <c r="S215" i="18" s="1"/>
  <c r="S216" i="18" a="1"/>
  <c r="S216" i="18" s="1"/>
  <c r="S217" i="18" a="1"/>
  <c r="S217" i="18"/>
  <c r="S218" i="18" a="1"/>
  <c r="S218" i="18"/>
  <c r="S219" i="18" a="1"/>
  <c r="S219" i="18" s="1"/>
  <c r="S220" i="18" a="1"/>
  <c r="S220" i="18" s="1"/>
  <c r="S221" i="18" a="1"/>
  <c r="S221" i="18" s="1"/>
  <c r="S222" i="18" a="1"/>
  <c r="S222" i="18" s="1"/>
  <c r="S223" i="18" a="1"/>
  <c r="S223" i="18" s="1"/>
  <c r="S224" i="18" a="1"/>
  <c r="S224" i="18" s="1"/>
  <c r="S225" i="18" a="1"/>
  <c r="S225" i="18" s="1"/>
  <c r="S226" i="18" a="1"/>
  <c r="S226" i="18" s="1"/>
  <c r="S227" i="18" a="1"/>
  <c r="S227" i="18" s="1"/>
  <c r="S228" i="18" a="1"/>
  <c r="S228" i="18" s="1"/>
  <c r="S229" i="18" a="1"/>
  <c r="S229" i="18" s="1"/>
  <c r="S230" i="18" a="1"/>
  <c r="S230" i="18" s="1"/>
  <c r="S231" i="18" a="1"/>
  <c r="S231" i="18" s="1"/>
  <c r="S232" i="18" a="1"/>
  <c r="S232" i="18" s="1"/>
  <c r="S233" i="18" a="1"/>
  <c r="S233" i="18" s="1"/>
  <c r="S234" i="18" a="1"/>
  <c r="S234" i="18"/>
  <c r="S235" i="18" a="1"/>
  <c r="S235" i="18" s="1"/>
  <c r="S236" i="18" a="1"/>
  <c r="S236" i="18"/>
  <c r="S237" i="18" a="1"/>
  <c r="S237" i="18" s="1"/>
  <c r="S238" i="18" a="1"/>
  <c r="S238" i="18"/>
  <c r="S239" i="18" a="1"/>
  <c r="S239" i="18" s="1"/>
  <c r="S240" i="18" a="1"/>
  <c r="S240" i="18" s="1"/>
  <c r="S241" i="18" a="1"/>
  <c r="S241" i="18"/>
  <c r="S242" i="18" a="1"/>
  <c r="S242" i="18" s="1"/>
  <c r="S243" i="18" a="1"/>
  <c r="S243" i="18" s="1"/>
  <c r="S244" i="18" a="1"/>
  <c r="S244" i="18" s="1"/>
  <c r="S245" i="18" a="1"/>
  <c r="S245" i="18" s="1"/>
  <c r="S246" i="18" a="1"/>
  <c r="S246" i="18" s="1"/>
  <c r="S247" i="18" a="1"/>
  <c r="S247" i="18"/>
  <c r="S248" i="18" a="1"/>
  <c r="S248" i="18" s="1"/>
  <c r="S249" i="18" a="1"/>
  <c r="S249" i="18" s="1"/>
  <c r="S250" i="18" a="1"/>
  <c r="S250" i="18" s="1"/>
  <c r="S251" i="18" a="1"/>
  <c r="S251" i="18" s="1"/>
  <c r="S252" i="18" a="1"/>
  <c r="S252" i="18" s="1"/>
  <c r="S253" i="18" a="1"/>
  <c r="S253" i="18"/>
  <c r="S254" i="18" a="1"/>
  <c r="S254" i="18"/>
  <c r="S255" i="18" a="1"/>
  <c r="S255" i="18" s="1"/>
  <c r="S256" i="18" a="1"/>
  <c r="S256" i="18" s="1"/>
  <c r="S257" i="18" a="1"/>
  <c r="S257" i="18" s="1"/>
  <c r="S258" i="18" a="1"/>
  <c r="S258" i="18" s="1"/>
  <c r="S259" i="18" a="1"/>
  <c r="S259" i="18" s="1"/>
  <c r="S260" i="18" a="1"/>
  <c r="S260" i="18"/>
  <c r="S261" i="18" a="1"/>
  <c r="S261" i="18" s="1"/>
  <c r="S262" i="18" a="1"/>
  <c r="S262" i="18" s="1"/>
  <c r="S263" i="18" a="1"/>
  <c r="S263" i="18"/>
  <c r="S264" i="18" a="1"/>
  <c r="S264" i="18" s="1"/>
  <c r="S265" i="18" a="1"/>
  <c r="S265" i="18" s="1"/>
  <c r="S266" i="18" a="1"/>
  <c r="S266" i="18" s="1"/>
  <c r="S267" i="18" a="1"/>
  <c r="S267" i="18" s="1"/>
  <c r="S268" i="18" a="1"/>
  <c r="S268" i="18" s="1"/>
  <c r="S269" i="18" a="1"/>
  <c r="S269" i="18" s="1"/>
  <c r="S270" i="18" a="1"/>
  <c r="S270" i="18" s="1"/>
  <c r="S271" i="18" a="1"/>
  <c r="S271" i="18" s="1"/>
  <c r="S272" i="18" a="1"/>
  <c r="S272" i="18" s="1"/>
  <c r="S273" i="18" a="1"/>
  <c r="S273" i="18" s="1"/>
  <c r="S274" i="18" a="1"/>
  <c r="S274" i="18" s="1"/>
  <c r="S275" i="18" a="1"/>
  <c r="S275" i="18" s="1"/>
  <c r="S276" i="18" a="1"/>
  <c r="S276" i="18"/>
  <c r="S277" i="18" a="1"/>
  <c r="S277" i="18"/>
  <c r="S278" i="18" a="1"/>
  <c r="S278" i="18" s="1"/>
  <c r="S279" i="18" a="1"/>
  <c r="S279" i="18" s="1"/>
  <c r="S280" i="18" a="1"/>
  <c r="S280" i="18"/>
  <c r="S281" i="18" a="1"/>
  <c r="S281" i="18" s="1"/>
  <c r="S282" i="18" a="1"/>
  <c r="S282" i="18" s="1"/>
  <c r="S283" i="18" a="1"/>
  <c r="S283" i="18" s="1"/>
  <c r="S284" i="18" a="1"/>
  <c r="S284" i="18" s="1"/>
  <c r="S285" i="18" a="1"/>
  <c r="S285" i="18" s="1"/>
  <c r="S286" i="18" a="1"/>
  <c r="S286" i="18"/>
  <c r="S287" i="18" a="1"/>
  <c r="S287" i="18"/>
  <c r="S288" i="18" a="1"/>
  <c r="S288" i="18" s="1"/>
  <c r="S289" i="18" a="1"/>
  <c r="S289" i="18"/>
  <c r="S290" i="18" a="1"/>
  <c r="S290" i="18" s="1"/>
  <c r="S291" i="18" a="1"/>
  <c r="S291" i="18" s="1"/>
  <c r="S292" i="18" a="1"/>
  <c r="S292" i="18" s="1"/>
  <c r="S293" i="18" a="1"/>
  <c r="S293" i="18" s="1"/>
  <c r="S294" i="18" a="1"/>
  <c r="S294" i="18" s="1"/>
  <c r="S295" i="18" a="1"/>
  <c r="S295" i="18"/>
  <c r="S296" i="18" a="1"/>
  <c r="S296" i="18" s="1"/>
  <c r="S297" i="18" a="1"/>
  <c r="S297" i="18" s="1"/>
  <c r="S298" i="18" a="1"/>
  <c r="S298" i="18" s="1"/>
  <c r="S299" i="18" a="1"/>
  <c r="S299" i="18" s="1"/>
  <c r="S300" i="18" a="1"/>
  <c r="S300" i="18" s="1"/>
  <c r="S301" i="18" a="1"/>
  <c r="S301" i="18" s="1"/>
  <c r="S302" i="18" a="1"/>
  <c r="S302" i="18"/>
  <c r="S303" i="18" a="1"/>
  <c r="S303" i="18" s="1"/>
  <c r="S304" i="18" a="1"/>
  <c r="S304" i="18" s="1"/>
  <c r="S305" i="18" a="1"/>
  <c r="S305" i="18" s="1"/>
  <c r="S306" i="18" a="1"/>
  <c r="S306" i="18"/>
  <c r="S307" i="18" a="1"/>
  <c r="S307" i="18" s="1"/>
  <c r="S308" i="18" a="1"/>
  <c r="S308" i="18" s="1"/>
  <c r="S309" i="18" a="1"/>
  <c r="S309" i="18" s="1"/>
  <c r="S310" i="18" a="1"/>
  <c r="S310" i="18" s="1"/>
  <c r="S311" i="18" a="1"/>
  <c r="S311" i="18" s="1"/>
  <c r="S312" i="18" a="1"/>
  <c r="S312" i="18"/>
  <c r="S313" i="18" a="1"/>
  <c r="S313" i="18"/>
  <c r="S314" i="18" a="1"/>
  <c r="S314" i="18" s="1"/>
  <c r="S315" i="18" a="1"/>
  <c r="S315" i="18" s="1"/>
  <c r="S316" i="18" a="1"/>
  <c r="S316" i="18" s="1"/>
  <c r="S317" i="18" a="1"/>
  <c r="S317" i="18" s="1"/>
  <c r="S318" i="18" a="1"/>
  <c r="S318" i="18" s="1"/>
  <c r="S319" i="18" a="1"/>
  <c r="S319" i="18" s="1"/>
  <c r="S320" i="18" a="1"/>
  <c r="S320" i="18" s="1"/>
  <c r="S321" i="18" a="1"/>
  <c r="S321" i="18" s="1"/>
  <c r="S322" i="18" a="1"/>
  <c r="S322" i="18" s="1"/>
  <c r="S323" i="18" a="1"/>
  <c r="S323" i="18"/>
  <c r="S324" i="18" a="1"/>
  <c r="S324" i="18" s="1"/>
  <c r="S325" i="18" a="1"/>
  <c r="S325" i="18" s="1"/>
  <c r="S326" i="18" a="1"/>
  <c r="S326" i="18" s="1"/>
  <c r="S327" i="18" a="1"/>
  <c r="S327" i="18" s="1"/>
  <c r="S328" i="18" a="1"/>
  <c r="S328" i="18"/>
  <c r="S329" i="18" a="1"/>
  <c r="S329" i="18" s="1"/>
  <c r="S330" i="18" a="1"/>
  <c r="S330" i="18" s="1"/>
  <c r="S331" i="18" a="1"/>
  <c r="S331" i="18" s="1"/>
  <c r="S332" i="18" a="1"/>
  <c r="S332" i="18"/>
  <c r="S333" i="18" a="1"/>
  <c r="S333" i="18" s="1"/>
  <c r="S334" i="18" a="1"/>
  <c r="S334" i="18" s="1"/>
  <c r="S335" i="18" a="1"/>
  <c r="S335" i="18" s="1"/>
  <c r="S336" i="18" a="1"/>
  <c r="S336" i="18" s="1"/>
  <c r="S337" i="18" a="1"/>
  <c r="S337" i="18" s="1"/>
  <c r="S338" i="18" a="1"/>
  <c r="S338" i="18" s="1"/>
  <c r="S339" i="18" a="1"/>
  <c r="S339" i="18" s="1"/>
  <c r="S340" i="18" a="1"/>
  <c r="S340" i="18" s="1"/>
  <c r="S341" i="18" a="1"/>
  <c r="S341" i="18"/>
  <c r="S342" i="18" a="1"/>
  <c r="S342" i="18" s="1"/>
  <c r="S343" i="18" a="1"/>
  <c r="S343" i="18" s="1"/>
  <c r="S344" i="18" a="1"/>
  <c r="S344" i="18" s="1"/>
  <c r="S345" i="18" a="1"/>
  <c r="S345" i="18" s="1"/>
  <c r="S346" i="18" a="1"/>
  <c r="S346" i="18" s="1"/>
  <c r="S347" i="18" a="1"/>
  <c r="S347" i="18" s="1"/>
  <c r="S348" i="18" a="1"/>
  <c r="S348" i="18" s="1"/>
  <c r="S349" i="18" a="1"/>
  <c r="S349" i="18"/>
  <c r="S350" i="18" a="1"/>
  <c r="S350" i="18" s="1"/>
  <c r="S351" i="18" a="1"/>
  <c r="S351" i="18" s="1"/>
  <c r="S352" i="18" a="1"/>
  <c r="S352" i="18" s="1"/>
  <c r="S353" i="18" a="1"/>
  <c r="S353" i="18" s="1"/>
  <c r="S354" i="18" a="1"/>
  <c r="S354" i="18" s="1"/>
  <c r="S355" i="18" a="1"/>
  <c r="S355" i="18" s="1"/>
  <c r="S356" i="18" a="1"/>
  <c r="S356" i="18" s="1"/>
  <c r="S357" i="18" a="1"/>
  <c r="S357" i="18" s="1"/>
  <c r="S358" i="18" a="1"/>
  <c r="S358" i="18"/>
  <c r="S359" i="18" a="1"/>
  <c r="S359" i="18" s="1"/>
  <c r="S360" i="18" a="1"/>
  <c r="S360" i="18" s="1"/>
  <c r="S361" i="18" a="1"/>
  <c r="S361" i="18" s="1"/>
  <c r="S362" i="18" a="1"/>
  <c r="S362" i="18"/>
  <c r="S363" i="18" a="1"/>
  <c r="S363" i="18" s="1"/>
  <c r="S364" i="18" a="1"/>
  <c r="S364" i="18" s="1"/>
  <c r="S365" i="18" a="1"/>
  <c r="S365" i="18" s="1"/>
  <c r="S366" i="18" a="1"/>
  <c r="S366" i="18" s="1"/>
  <c r="S367" i="18" a="1"/>
  <c r="S367" i="18"/>
  <c r="S368" i="18" a="1"/>
  <c r="S368" i="18" s="1"/>
  <c r="S369" i="18" a="1"/>
  <c r="S369" i="18" s="1"/>
  <c r="S370" i="18" a="1"/>
  <c r="S370" i="18" s="1"/>
  <c r="S371" i="18" a="1"/>
  <c r="S371" i="18"/>
  <c r="S372" i="18" a="1"/>
  <c r="S372" i="18" s="1"/>
  <c r="S373" i="18" a="1"/>
  <c r="S373" i="18" s="1"/>
  <c r="S374" i="18" a="1"/>
  <c r="S374" i="18" s="1"/>
  <c r="S375" i="18" a="1"/>
  <c r="S375" i="18" s="1"/>
  <c r="S376" i="18" a="1"/>
  <c r="S376" i="18" s="1"/>
  <c r="S377" i="18" a="1"/>
  <c r="S377" i="18" s="1"/>
  <c r="S378" i="18" a="1"/>
  <c r="S378" i="18" s="1"/>
  <c r="S379" i="18" a="1"/>
  <c r="S379" i="18" s="1"/>
  <c r="S380" i="18" a="1"/>
  <c r="S380" i="18"/>
  <c r="S381" i="18" a="1"/>
  <c r="S381" i="18" s="1"/>
  <c r="S382" i="18" a="1"/>
  <c r="S382" i="18" s="1"/>
  <c r="S383" i="18" a="1"/>
  <c r="S383" i="18" s="1"/>
  <c r="S384" i="18" a="1"/>
  <c r="S384" i="18"/>
  <c r="S385" i="18" a="1"/>
  <c r="S385" i="18" s="1"/>
  <c r="S386" i="18" a="1"/>
  <c r="S386" i="18" s="1"/>
  <c r="S387" i="18" a="1"/>
  <c r="S387" i="18" s="1"/>
  <c r="S388" i="18" a="1"/>
  <c r="S388" i="18" s="1"/>
  <c r="S389" i="18" a="1"/>
  <c r="S389" i="18" s="1"/>
  <c r="S390" i="18" a="1"/>
  <c r="S390" i="18" s="1"/>
  <c r="S391" i="18" a="1"/>
  <c r="S391" i="18"/>
  <c r="T2" i="18" a="1"/>
  <c r="T2" i="18" s="1"/>
  <c r="T3" i="18" a="1"/>
  <c r="T3" i="18" s="1"/>
  <c r="T4" i="18" a="1"/>
  <c r="T4" i="18"/>
  <c r="T5" i="18" a="1"/>
  <c r="T5" i="18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 s="1"/>
  <c r="T12" i="18" a="1"/>
  <c r="T12" i="18"/>
  <c r="T13" i="18" a="1"/>
  <c r="T13" i="18" s="1"/>
  <c r="T14" i="18" a="1"/>
  <c r="T14" i="18" s="1"/>
  <c r="T15" i="18" a="1"/>
  <c r="T15" i="18" s="1"/>
  <c r="T16" i="18" a="1"/>
  <c r="T16" i="18" s="1"/>
  <c r="T17" i="18" a="1"/>
  <c r="T17" i="18" s="1"/>
  <c r="T18" i="18" a="1"/>
  <c r="T18" i="18" s="1"/>
  <c r="T19" i="18" a="1"/>
  <c r="T19" i="18" s="1"/>
  <c r="T20" i="18" a="1"/>
  <c r="T20" i="18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T26" i="18" a="1"/>
  <c r="T26" i="18" s="1"/>
  <c r="T27" i="18" a="1"/>
  <c r="T27" i="18" s="1"/>
  <c r="T28" i="18" a="1"/>
  <c r="T28" i="18" s="1"/>
  <c r="T29" i="18" a="1"/>
  <c r="T29" i="18" s="1"/>
  <c r="T30" i="18" a="1"/>
  <c r="T30" i="18" s="1"/>
  <c r="T31" i="18" a="1"/>
  <c r="T31" i="18" s="1"/>
  <c r="T32" i="18" a="1"/>
  <c r="T32" i="18" s="1"/>
  <c r="T33" i="18" a="1"/>
  <c r="T33" i="18" s="1"/>
  <c r="T34" i="18" a="1"/>
  <c r="T34" i="18" s="1"/>
  <c r="T35" i="18" a="1"/>
  <c r="T35" i="18"/>
  <c r="T36" i="18" a="1"/>
  <c r="T36" i="18"/>
  <c r="T37" i="18" a="1"/>
  <c r="T37" i="18" s="1"/>
  <c r="T38" i="18" a="1"/>
  <c r="T38" i="18" s="1"/>
  <c r="T39" i="18" a="1"/>
  <c r="T39" i="18" s="1"/>
  <c r="T40" i="18" a="1"/>
  <c r="T40" i="18" s="1"/>
  <c r="T41" i="18" a="1"/>
  <c r="T41" i="18" s="1"/>
  <c r="T42" i="18" a="1"/>
  <c r="T42" i="18" s="1"/>
  <c r="T43" i="18" a="1"/>
  <c r="T43" i="18" s="1"/>
  <c r="T44" i="18" a="1"/>
  <c r="T44" i="18" s="1"/>
  <c r="T45" i="18" a="1"/>
  <c r="T45" i="18" s="1"/>
  <c r="T46" i="18" a="1"/>
  <c r="T46" i="18" s="1"/>
  <c r="T47" i="18" a="1"/>
  <c r="T47" i="18" s="1"/>
  <c r="T48" i="18" a="1"/>
  <c r="T48" i="18" s="1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 s="1"/>
  <c r="T55" i="18" a="1"/>
  <c r="T55" i="18" s="1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 s="1"/>
  <c r="T63" i="18" a="1"/>
  <c r="T63" i="18" s="1"/>
  <c r="T64" i="18" a="1"/>
  <c r="T64" i="18"/>
  <c r="T65" i="18" a="1"/>
  <c r="T65" i="18" s="1"/>
  <c r="T66" i="18" a="1"/>
  <c r="T66" i="18" s="1"/>
  <c r="T67" i="18" a="1"/>
  <c r="T67" i="18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 s="1"/>
  <c r="T74" i="18" a="1"/>
  <c r="T74" i="18" s="1"/>
  <c r="T75" i="18" a="1"/>
  <c r="T75" i="18" s="1"/>
  <c r="T76" i="18" a="1"/>
  <c r="T76" i="18" s="1"/>
  <c r="T77" i="18" a="1"/>
  <c r="T77" i="18"/>
  <c r="T78" i="18" a="1"/>
  <c r="T78" i="18" s="1"/>
  <c r="T79" i="18" a="1"/>
  <c r="T79" i="18" s="1"/>
  <c r="T80" i="18" a="1"/>
  <c r="T80" i="18" s="1"/>
  <c r="T81" i="18" a="1"/>
  <c r="T81" i="18" s="1"/>
  <c r="T82" i="18" a="1"/>
  <c r="T82" i="18" s="1"/>
  <c r="T83" i="18" a="1"/>
  <c r="T83" i="18" s="1"/>
  <c r="T84" i="18" a="1"/>
  <c r="T84" i="18" s="1"/>
  <c r="T85" i="18" a="1"/>
  <c r="T85" i="18" s="1"/>
  <c r="T86" i="18" a="1"/>
  <c r="T86" i="18" s="1"/>
  <c r="T87" i="18" a="1"/>
  <c r="T87" i="18" s="1"/>
  <c r="T88" i="18" a="1"/>
  <c r="T88" i="18" s="1"/>
  <c r="T89" i="18" a="1"/>
  <c r="T89" i="18"/>
  <c r="T90" i="18" a="1"/>
  <c r="T90" i="18"/>
  <c r="T91" i="18" a="1"/>
  <c r="T91" i="18" s="1"/>
  <c r="T92" i="18" a="1"/>
  <c r="T92" i="18" s="1"/>
  <c r="T93" i="18" a="1"/>
  <c r="T93" i="18" s="1"/>
  <c r="T94" i="18" a="1"/>
  <c r="T94" i="18" s="1"/>
  <c r="T95" i="18" a="1"/>
  <c r="T95" i="18" s="1"/>
  <c r="T96" i="18" a="1"/>
  <c r="T96" i="18" s="1"/>
  <c r="T97" i="18" a="1"/>
  <c r="T97" i="18" s="1"/>
  <c r="T98" i="18" a="1"/>
  <c r="T98" i="18" s="1"/>
  <c r="T99" i="18" a="1"/>
  <c r="T99" i="18" s="1"/>
  <c r="T100" i="18" a="1"/>
  <c r="T100" i="18"/>
  <c r="T101" i="18" a="1"/>
  <c r="T101" i="18" s="1"/>
  <c r="T102" i="18" a="1"/>
  <c r="T102" i="18" s="1"/>
  <c r="T103" i="18" a="1"/>
  <c r="T103" i="18"/>
  <c r="T104" i="18" a="1"/>
  <c r="T104" i="18" s="1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/>
  <c r="T114" i="18" a="1"/>
  <c r="T114" i="18" s="1"/>
  <c r="T115" i="18" a="1"/>
  <c r="T115" i="18"/>
  <c r="T116" i="18" a="1"/>
  <c r="T116" i="18"/>
  <c r="T117" i="18" a="1"/>
  <c r="T117" i="18" s="1"/>
  <c r="T118" i="18" a="1"/>
  <c r="T118" i="18" s="1"/>
  <c r="T119" i="18" a="1"/>
  <c r="T119" i="18"/>
  <c r="T120" i="18" a="1"/>
  <c r="T120" i="18" s="1"/>
  <c r="T121" i="18" a="1"/>
  <c r="T121" i="18"/>
  <c r="T122" i="18" a="1"/>
  <c r="T122" i="18" s="1"/>
  <c r="T123" i="18" a="1"/>
  <c r="T123" i="18" s="1"/>
  <c r="T124" i="18" a="1"/>
  <c r="T124" i="18" s="1"/>
  <c r="T125" i="18" a="1"/>
  <c r="T125" i="18" s="1"/>
  <c r="T126" i="18" a="1"/>
  <c r="T126" i="18"/>
  <c r="T127" i="18" a="1"/>
  <c r="T127" i="18" s="1"/>
  <c r="T128" i="18" a="1"/>
  <c r="T128" i="18"/>
  <c r="T129" i="18" a="1"/>
  <c r="T129" i="18" s="1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/>
  <c r="T136" i="18" a="1"/>
  <c r="T136" i="18" s="1"/>
  <c r="T137" i="18" a="1"/>
  <c r="T137" i="18"/>
  <c r="T138" i="18" a="1"/>
  <c r="T138" i="18" s="1"/>
  <c r="T139" i="18" a="1"/>
  <c r="T139" i="18" s="1"/>
  <c r="T140" i="18" a="1"/>
  <c r="T140" i="18"/>
  <c r="T141" i="18" a="1"/>
  <c r="T141" i="18" s="1"/>
  <c r="T142" i="18" a="1"/>
  <c r="T142" i="18" s="1"/>
  <c r="T143" i="18" a="1"/>
  <c r="T143" i="18"/>
  <c r="T144" i="18" a="1"/>
  <c r="T144" i="18"/>
  <c r="T145" i="18" a="1"/>
  <c r="T145" i="18" s="1"/>
  <c r="T146" i="18" a="1"/>
  <c r="T146" i="18"/>
  <c r="T147" i="18" a="1"/>
  <c r="T147" i="18"/>
  <c r="T148" i="18" a="1"/>
  <c r="T148" i="18" s="1"/>
  <c r="T149" i="18" a="1"/>
  <c r="T149" i="18" s="1"/>
  <c r="T150" i="18" a="1"/>
  <c r="T150" i="18"/>
  <c r="T151" i="18" a="1"/>
  <c r="T151" i="18" s="1"/>
  <c r="T152" i="18" a="1"/>
  <c r="T152" i="18"/>
  <c r="T153" i="18" a="1"/>
  <c r="T153" i="18" s="1"/>
  <c r="T154" i="18" a="1"/>
  <c r="T154" i="18" s="1"/>
  <c r="T155" i="18" a="1"/>
  <c r="T155" i="18"/>
  <c r="T156" i="18" a="1"/>
  <c r="T156" i="18" s="1"/>
  <c r="T157" i="18" a="1"/>
  <c r="T157" i="18" s="1"/>
  <c r="T158" i="18" a="1"/>
  <c r="T158" i="18"/>
  <c r="T159" i="18" a="1"/>
  <c r="T159" i="18" s="1"/>
  <c r="T160" i="18" a="1"/>
  <c r="T160" i="18" s="1"/>
  <c r="T161" i="18" a="1"/>
  <c r="T161" i="18" s="1"/>
  <c r="T162" i="18" a="1"/>
  <c r="T162" i="18" s="1"/>
  <c r="T163" i="18" a="1"/>
  <c r="T163" i="18" s="1"/>
  <c r="T164" i="18" a="1"/>
  <c r="T164" i="18" s="1"/>
  <c r="T165" i="18" a="1"/>
  <c r="T165" i="18" s="1"/>
  <c r="T166" i="18" a="1"/>
  <c r="T166" i="18" s="1"/>
  <c r="T167" i="18" a="1"/>
  <c r="T167" i="18" s="1"/>
  <c r="T168" i="18" a="1"/>
  <c r="T168" i="18"/>
  <c r="T169" i="18" a="1"/>
  <c r="T169" i="18" s="1"/>
  <c r="T170" i="18" a="1"/>
  <c r="T170" i="18" s="1"/>
  <c r="T171" i="18" a="1"/>
  <c r="T171" i="18" s="1"/>
  <c r="T172" i="18" a="1"/>
  <c r="T172" i="18" s="1"/>
  <c r="T173" i="18" a="1"/>
  <c r="T173" i="18" s="1"/>
  <c r="T174" i="18" a="1"/>
  <c r="T174" i="18"/>
  <c r="T175" i="18" a="1"/>
  <c r="T175" i="18" s="1"/>
  <c r="T176" i="18" a="1"/>
  <c r="T176" i="18"/>
  <c r="T177" i="18" a="1"/>
  <c r="T177" i="18" s="1"/>
  <c r="T178" i="18" a="1"/>
  <c r="T178" i="18" s="1"/>
  <c r="T179" i="18" a="1"/>
  <c r="T179" i="18"/>
  <c r="T180" i="18" a="1"/>
  <c r="T180" i="18" s="1"/>
  <c r="T181" i="18" a="1"/>
  <c r="T181" i="18" s="1"/>
  <c r="T182" i="18" a="1"/>
  <c r="T182" i="18"/>
  <c r="T183" i="18" a="1"/>
  <c r="T183" i="18" s="1"/>
  <c r="T184" i="18" a="1"/>
  <c r="T184" i="18" s="1"/>
  <c r="T185" i="18" a="1"/>
  <c r="T185" i="18" s="1"/>
  <c r="T186" i="18" a="1"/>
  <c r="T186" i="18" s="1"/>
  <c r="T187" i="18" a="1"/>
  <c r="T187" i="18" s="1"/>
  <c r="T188" i="18" a="1"/>
  <c r="T188" i="18" s="1"/>
  <c r="T189" i="18" a="1"/>
  <c r="T189" i="18" s="1"/>
  <c r="T190" i="18" a="1"/>
  <c r="T190" i="18" s="1"/>
  <c r="T191" i="18" a="1"/>
  <c r="T191" i="18" s="1"/>
  <c r="T192" i="18" a="1"/>
  <c r="T192" i="18"/>
  <c r="T193" i="18" a="1"/>
  <c r="T193" i="18" s="1"/>
  <c r="T194" i="18" a="1"/>
  <c r="T194" i="18" s="1"/>
  <c r="T195" i="18" a="1"/>
  <c r="T195" i="18" s="1"/>
  <c r="T196" i="18" a="1"/>
  <c r="T196" i="18" s="1"/>
  <c r="T197" i="18" a="1"/>
  <c r="T197" i="18" s="1"/>
  <c r="T198" i="18" a="1"/>
  <c r="T198" i="18" s="1"/>
  <c r="T199" i="18" a="1"/>
  <c r="T199" i="18" s="1"/>
  <c r="T200" i="18" a="1"/>
  <c r="T200" i="18" s="1"/>
  <c r="T201" i="18" a="1"/>
  <c r="T201" i="18" s="1"/>
  <c r="T202" i="18" a="1"/>
  <c r="T202" i="18" s="1"/>
  <c r="T203" i="18" a="1"/>
  <c r="T203" i="18" s="1"/>
  <c r="T204" i="18" a="1"/>
  <c r="T204" i="18" s="1"/>
  <c r="T205" i="18" a="1"/>
  <c r="T205" i="18" s="1"/>
  <c r="T206" i="18" a="1"/>
  <c r="T206" i="18"/>
  <c r="T207" i="18" a="1"/>
  <c r="T207" i="18" s="1"/>
  <c r="T208" i="18" a="1"/>
  <c r="T208" i="18" s="1"/>
  <c r="T209" i="18" a="1"/>
  <c r="T209" i="18" s="1"/>
  <c r="T210" i="18" a="1"/>
  <c r="T210" i="18" s="1"/>
  <c r="T211" i="18" a="1"/>
  <c r="T211" i="18" s="1"/>
  <c r="T212" i="18" a="1"/>
  <c r="T212" i="18"/>
  <c r="T213" i="18" a="1"/>
  <c r="T213" i="18" s="1"/>
  <c r="T214" i="18" a="1"/>
  <c r="T214" i="18" s="1"/>
  <c r="T215" i="18" a="1"/>
  <c r="T215" i="18" s="1"/>
  <c r="T216" i="18" a="1"/>
  <c r="T216" i="18" s="1"/>
  <c r="T217" i="18" a="1"/>
  <c r="T217" i="18" s="1"/>
  <c r="T218" i="18" a="1"/>
  <c r="T218" i="18" s="1"/>
  <c r="T219" i="18" a="1"/>
  <c r="T219" i="18" s="1"/>
  <c r="T220" i="18" a="1"/>
  <c r="T220" i="18" s="1"/>
  <c r="T221" i="18" a="1"/>
  <c r="T221" i="18" s="1"/>
  <c r="T222" i="18" a="1"/>
  <c r="T222" i="18" s="1"/>
  <c r="T223" i="18" a="1"/>
  <c r="T223" i="18" s="1"/>
  <c r="T224" i="18" a="1"/>
  <c r="T224" i="18"/>
  <c r="T225" i="18" a="1"/>
  <c r="T225" i="18" s="1"/>
  <c r="T226" i="18" a="1"/>
  <c r="T226" i="18" s="1"/>
  <c r="T227" i="18" a="1"/>
  <c r="T227" i="18" s="1"/>
  <c r="T228" i="18" a="1"/>
  <c r="T228" i="18" s="1"/>
  <c r="T229" i="18" a="1"/>
  <c r="T229" i="18" s="1"/>
  <c r="T230" i="18" a="1"/>
  <c r="T230" i="18" s="1"/>
  <c r="T231" i="18" a="1"/>
  <c r="T231" i="18" s="1"/>
  <c r="T232" i="18" a="1"/>
  <c r="T232" i="18" s="1"/>
  <c r="T233" i="18" a="1"/>
  <c r="T233" i="18" s="1"/>
  <c r="T234" i="18" a="1"/>
  <c r="T234" i="18" s="1"/>
  <c r="T235" i="18" a="1"/>
  <c r="T235" i="18" s="1"/>
  <c r="T236" i="18" a="1"/>
  <c r="T236" i="18" s="1"/>
  <c r="T237" i="18" a="1"/>
  <c r="T237" i="18" s="1"/>
  <c r="T238" i="18" a="1"/>
  <c r="T238" i="18" s="1"/>
  <c r="T239" i="18" a="1"/>
  <c r="T239" i="18" s="1"/>
  <c r="T240" i="18" a="1"/>
  <c r="T240" i="18" s="1"/>
  <c r="T241" i="18" a="1"/>
  <c r="T241" i="18" s="1"/>
  <c r="T242" i="18" a="1"/>
  <c r="T242" i="18" s="1"/>
  <c r="T243" i="18" a="1"/>
  <c r="T243" i="18" s="1"/>
  <c r="T244" i="18" a="1"/>
  <c r="T244" i="18" s="1"/>
  <c r="T245" i="18" a="1"/>
  <c r="T245" i="18" s="1"/>
  <c r="T246" i="18" a="1"/>
  <c r="T246" i="18" s="1"/>
  <c r="T247" i="18" a="1"/>
  <c r="T247" i="18" s="1"/>
  <c r="T248" i="18" a="1"/>
  <c r="T248" i="18" s="1"/>
  <c r="T249" i="18" a="1"/>
  <c r="T249" i="18" s="1"/>
  <c r="T250" i="18" a="1"/>
  <c r="T250" i="18" s="1"/>
  <c r="T251" i="18" a="1"/>
  <c r="T251" i="18" s="1"/>
  <c r="T252" i="18" a="1"/>
  <c r="T252" i="18" s="1"/>
  <c r="T253" i="18" a="1"/>
  <c r="T253" i="18" s="1"/>
  <c r="T254" i="18" a="1"/>
  <c r="T254" i="18" s="1"/>
  <c r="T255" i="18" a="1"/>
  <c r="T255" i="18" s="1"/>
  <c r="T256" i="18" a="1"/>
  <c r="T256" i="18" s="1"/>
  <c r="T257" i="18" a="1"/>
  <c r="T257" i="18" s="1"/>
  <c r="T258" i="18" a="1"/>
  <c r="T258" i="18" s="1"/>
  <c r="T259" i="18" a="1"/>
  <c r="T259" i="18" s="1"/>
  <c r="T260" i="18" a="1"/>
  <c r="T260" i="18" s="1"/>
  <c r="T261" i="18" a="1"/>
  <c r="T261" i="18" s="1"/>
  <c r="T262" i="18" a="1"/>
  <c r="T262" i="18" s="1"/>
  <c r="T263" i="18" a="1"/>
  <c r="T263" i="18" s="1"/>
  <c r="T264" i="18" a="1"/>
  <c r="T264" i="18" s="1"/>
  <c r="T265" i="18" a="1"/>
  <c r="T265" i="18" s="1"/>
  <c r="T266" i="18" a="1"/>
  <c r="T266" i="18" s="1"/>
  <c r="T267" i="18" a="1"/>
  <c r="T267" i="18" s="1"/>
  <c r="T268" i="18" a="1"/>
  <c r="T268" i="18" s="1"/>
  <c r="T269" i="18" a="1"/>
  <c r="T269" i="18" s="1"/>
  <c r="T270" i="18" a="1"/>
  <c r="T270" i="18" s="1"/>
  <c r="T271" i="18" a="1"/>
  <c r="T271" i="18" s="1"/>
  <c r="T272" i="18" a="1"/>
  <c r="T272" i="18" s="1"/>
  <c r="T273" i="18" a="1"/>
  <c r="T273" i="18" s="1"/>
  <c r="T274" i="18" a="1"/>
  <c r="T274" i="18" s="1"/>
  <c r="T275" i="18" a="1"/>
  <c r="T275" i="18" s="1"/>
  <c r="T276" i="18" a="1"/>
  <c r="T276" i="18" s="1"/>
  <c r="T277" i="18" a="1"/>
  <c r="T277" i="18" s="1"/>
  <c r="T278" i="18" a="1"/>
  <c r="T278" i="18" s="1"/>
  <c r="T279" i="18" a="1"/>
  <c r="T279" i="18" s="1"/>
  <c r="T280" i="18" a="1"/>
  <c r="T280" i="18" s="1"/>
  <c r="T281" i="18" a="1"/>
  <c r="T281" i="18" s="1"/>
  <c r="T282" i="18" a="1"/>
  <c r="T282" i="18" s="1"/>
  <c r="T283" i="18" a="1"/>
  <c r="T283" i="18" s="1"/>
  <c r="T284" i="18" a="1"/>
  <c r="T284" i="18" s="1"/>
  <c r="T285" i="18" a="1"/>
  <c r="T285" i="18" s="1"/>
  <c r="T286" i="18" a="1"/>
  <c r="T286" i="18" s="1"/>
  <c r="T287" i="18" a="1"/>
  <c r="T287" i="18" s="1"/>
  <c r="T288" i="18" a="1"/>
  <c r="T288" i="18" s="1"/>
  <c r="T289" i="18" a="1"/>
  <c r="T289" i="18" s="1"/>
  <c r="T290" i="18" a="1"/>
  <c r="T290" i="18" s="1"/>
  <c r="T291" i="18" a="1"/>
  <c r="T291" i="18" s="1"/>
  <c r="T292" i="18" a="1"/>
  <c r="T292" i="18" s="1"/>
  <c r="T293" i="18" a="1"/>
  <c r="T293" i="18" s="1"/>
  <c r="T294" i="18" a="1"/>
  <c r="T294" i="18" s="1"/>
  <c r="T295" i="18" a="1"/>
  <c r="T295" i="18" s="1"/>
  <c r="T296" i="18" a="1"/>
  <c r="T296" i="18" s="1"/>
  <c r="T297" i="18" a="1"/>
  <c r="T297" i="18" s="1"/>
  <c r="T298" i="18" a="1"/>
  <c r="T298" i="18" s="1"/>
  <c r="T299" i="18" a="1"/>
  <c r="T299" i="18" s="1"/>
  <c r="T300" i="18" a="1"/>
  <c r="T300" i="18" s="1"/>
  <c r="T301" i="18" a="1"/>
  <c r="T301" i="18" s="1"/>
  <c r="T302" i="18" a="1"/>
  <c r="T302" i="18" s="1"/>
  <c r="T303" i="18" a="1"/>
  <c r="T303" i="18" s="1"/>
  <c r="T304" i="18" a="1"/>
  <c r="T304" i="18" s="1"/>
  <c r="T305" i="18" a="1"/>
  <c r="T305" i="18" s="1"/>
  <c r="T306" i="18" a="1"/>
  <c r="T306" i="18" s="1"/>
  <c r="T307" i="18" a="1"/>
  <c r="T307" i="18" s="1"/>
  <c r="T308" i="18" a="1"/>
  <c r="T308" i="18" s="1"/>
  <c r="T309" i="18" a="1"/>
  <c r="T309" i="18" s="1"/>
  <c r="T310" i="18" a="1"/>
  <c r="T310" i="18" s="1"/>
  <c r="T311" i="18" a="1"/>
  <c r="T311" i="18" s="1"/>
  <c r="T312" i="18" a="1"/>
  <c r="T312" i="18" s="1"/>
  <c r="T313" i="18" a="1"/>
  <c r="T313" i="18" s="1"/>
  <c r="T314" i="18" a="1"/>
  <c r="T314" i="18" s="1"/>
  <c r="T315" i="18" a="1"/>
  <c r="T315" i="18" s="1"/>
  <c r="T316" i="18" a="1"/>
  <c r="T316" i="18" s="1"/>
  <c r="T317" i="18" a="1"/>
  <c r="T317" i="18" s="1"/>
  <c r="T318" i="18" a="1"/>
  <c r="T318" i="18" s="1"/>
  <c r="T319" i="18" a="1"/>
  <c r="T319" i="18" s="1"/>
  <c r="T320" i="18" a="1"/>
  <c r="T320" i="18" s="1"/>
  <c r="T321" i="18" a="1"/>
  <c r="T321" i="18" s="1"/>
  <c r="T322" i="18" a="1"/>
  <c r="T322" i="18" s="1"/>
  <c r="T323" i="18" a="1"/>
  <c r="T323" i="18" s="1"/>
  <c r="T324" i="18" a="1"/>
  <c r="T324" i="18" s="1"/>
  <c r="T325" i="18" a="1"/>
  <c r="T325" i="18" s="1"/>
  <c r="T326" i="18" a="1"/>
  <c r="T326" i="18" s="1"/>
  <c r="T327" i="18" a="1"/>
  <c r="T327" i="18" s="1"/>
  <c r="T328" i="18" a="1"/>
  <c r="T328" i="18" s="1"/>
  <c r="T329" i="18" a="1"/>
  <c r="T329" i="18" s="1"/>
  <c r="T330" i="18" a="1"/>
  <c r="T330" i="18" s="1"/>
  <c r="T331" i="18" a="1"/>
  <c r="T331" i="18" s="1"/>
  <c r="T332" i="18" a="1"/>
  <c r="T332" i="18" s="1"/>
  <c r="T333" i="18" a="1"/>
  <c r="T333" i="18" s="1"/>
  <c r="T334" i="18" a="1"/>
  <c r="T334" i="18" s="1"/>
  <c r="T335" i="18" a="1"/>
  <c r="T335" i="18" s="1"/>
  <c r="T336" i="18" a="1"/>
  <c r="T336" i="18" s="1"/>
  <c r="T337" i="18" a="1"/>
  <c r="T337" i="18" s="1"/>
  <c r="T338" i="18" a="1"/>
  <c r="T338" i="18" s="1"/>
  <c r="T339" i="18" a="1"/>
  <c r="T339" i="18" s="1"/>
  <c r="T340" i="18" a="1"/>
  <c r="T340" i="18" s="1"/>
  <c r="T341" i="18" a="1"/>
  <c r="T341" i="18" s="1"/>
  <c r="T342" i="18" a="1"/>
  <c r="T342" i="18" s="1"/>
  <c r="T343" i="18" a="1"/>
  <c r="T343" i="18" s="1"/>
  <c r="T344" i="18" a="1"/>
  <c r="T344" i="18" s="1"/>
  <c r="T345" i="18" a="1"/>
  <c r="T345" i="18" s="1"/>
  <c r="T346" i="18" a="1"/>
  <c r="T346" i="18" s="1"/>
  <c r="T347" i="18" a="1"/>
  <c r="T347" i="18" s="1"/>
  <c r="T348" i="18" a="1"/>
  <c r="T348" i="18" s="1"/>
  <c r="T349" i="18" a="1"/>
  <c r="T349" i="18" s="1"/>
  <c r="T350" i="18" a="1"/>
  <c r="T350" i="18" s="1"/>
  <c r="T351" i="18" a="1"/>
  <c r="T351" i="18" s="1"/>
  <c r="T352" i="18" a="1"/>
  <c r="T352" i="18" s="1"/>
  <c r="T353" i="18" a="1"/>
  <c r="T353" i="18" s="1"/>
  <c r="T354" i="18" a="1"/>
  <c r="T354" i="18" s="1"/>
  <c r="T355" i="18" a="1"/>
  <c r="T355" i="18" s="1"/>
  <c r="T356" i="18" a="1"/>
  <c r="T356" i="18" s="1"/>
  <c r="T357" i="18" a="1"/>
  <c r="T357" i="18" s="1"/>
  <c r="T358" i="18" a="1"/>
  <c r="T358" i="18" s="1"/>
  <c r="T359" i="18" a="1"/>
  <c r="T359" i="18" s="1"/>
  <c r="T360" i="18" a="1"/>
  <c r="T360" i="18" s="1"/>
  <c r="T361" i="18" a="1"/>
  <c r="T361" i="18" s="1"/>
  <c r="T362" i="18" a="1"/>
  <c r="T362" i="18" s="1"/>
  <c r="T363" i="18" a="1"/>
  <c r="T363" i="18" s="1"/>
  <c r="T364" i="18" a="1"/>
  <c r="T364" i="18" s="1"/>
  <c r="T365" i="18" a="1"/>
  <c r="T365" i="18" s="1"/>
  <c r="T366" i="18" a="1"/>
  <c r="T366" i="18" s="1"/>
  <c r="T367" i="18" a="1"/>
  <c r="T367" i="18" s="1"/>
  <c r="T368" i="18" a="1"/>
  <c r="T368" i="18" s="1"/>
  <c r="T369" i="18" a="1"/>
  <c r="T369" i="18" s="1"/>
  <c r="T370" i="18" a="1"/>
  <c r="T370" i="18" s="1"/>
  <c r="T371" i="18" a="1"/>
  <c r="T371" i="18" s="1"/>
  <c r="T372" i="18" a="1"/>
  <c r="T372" i="18" s="1"/>
  <c r="T373" i="18" a="1"/>
  <c r="T373" i="18" s="1"/>
  <c r="T374" i="18" a="1"/>
  <c r="T374" i="18" s="1"/>
  <c r="T375" i="18" a="1"/>
  <c r="T375" i="18" s="1"/>
  <c r="T376" i="18" a="1"/>
  <c r="T376" i="18" s="1"/>
  <c r="T377" i="18" a="1"/>
  <c r="T377" i="18" s="1"/>
  <c r="T378" i="18" a="1"/>
  <c r="T378" i="18" s="1"/>
  <c r="T379" i="18" a="1"/>
  <c r="T379" i="18" s="1"/>
  <c r="T380" i="18" a="1"/>
  <c r="T380" i="18" s="1"/>
  <c r="T381" i="18" a="1"/>
  <c r="T381" i="18" s="1"/>
  <c r="T382" i="18" a="1"/>
  <c r="T382" i="18" s="1"/>
  <c r="T383" i="18" a="1"/>
  <c r="T383" i="18" s="1"/>
  <c r="T384" i="18" a="1"/>
  <c r="T384" i="18" s="1"/>
  <c r="T385" i="18" a="1"/>
  <c r="T385" i="18" s="1"/>
  <c r="T386" i="18" a="1"/>
  <c r="T386" i="18" s="1"/>
  <c r="T387" i="18" a="1"/>
  <c r="T387" i="18" s="1"/>
  <c r="T388" i="18" a="1"/>
  <c r="T388" i="18" s="1"/>
  <c r="T389" i="18" a="1"/>
  <c r="T389" i="18" s="1"/>
  <c r="T390" i="18" a="1"/>
  <c r="T390" i="18" s="1"/>
  <c r="T391" i="18" a="1"/>
  <c r="T391" i="18" s="1"/>
  <c r="U9" i="18"/>
  <c r="U11" i="18"/>
  <c r="U16" i="18"/>
  <c r="U19" i="18"/>
  <c r="U20" i="18"/>
  <c r="U27" i="18"/>
  <c r="U28" i="18"/>
  <c r="U30" i="18"/>
  <c r="U32" i="18"/>
  <c r="U35" i="18"/>
  <c r="U36" i="18"/>
  <c r="U38" i="18"/>
  <c r="U42" i="18"/>
  <c r="U43" i="18"/>
  <c r="U44" i="18"/>
  <c r="U47" i="18"/>
  <c r="U48" i="18"/>
  <c r="U49" i="18"/>
  <c r="U50" i="18"/>
  <c r="U51" i="18"/>
  <c r="U55" i="18"/>
  <c r="U56" i="18"/>
  <c r="U57" i="18"/>
  <c r="U59" i="18"/>
  <c r="U60" i="18"/>
  <c r="U62" i="18"/>
  <c r="U63" i="18"/>
  <c r="U64" i="18"/>
  <c r="U65" i="18"/>
  <c r="U66" i="18"/>
  <c r="U67" i="18"/>
  <c r="U68" i="18"/>
  <c r="U69" i="18"/>
  <c r="U70" i="18"/>
  <c r="U71" i="18"/>
  <c r="U72" i="18"/>
  <c r="U73" i="18"/>
  <c r="U75" i="18"/>
  <c r="U76" i="18"/>
  <c r="U77" i="18"/>
  <c r="U78" i="18"/>
  <c r="U79" i="18"/>
  <c r="U81" i="18"/>
  <c r="U82" i="18"/>
  <c r="U83" i="18"/>
  <c r="U84" i="18"/>
  <c r="U85" i="18"/>
  <c r="U86" i="18"/>
  <c r="U87" i="18"/>
  <c r="U88" i="18"/>
  <c r="U89" i="18"/>
  <c r="U90" i="18"/>
  <c r="U91" i="18"/>
  <c r="U92" i="18"/>
  <c r="U93" i="18"/>
  <c r="U95" i="18"/>
  <c r="U96" i="18"/>
  <c r="U97" i="18"/>
  <c r="U100" i="18"/>
  <c r="U102" i="18"/>
  <c r="U103" i="18"/>
  <c r="U106" i="18"/>
  <c r="U107" i="18"/>
  <c r="U108" i="18"/>
  <c r="U109" i="18"/>
  <c r="U111" i="18"/>
  <c r="U112" i="18"/>
  <c r="U113" i="18"/>
  <c r="U115" i="18"/>
  <c r="U116" i="18"/>
  <c r="U117" i="18"/>
  <c r="U120" i="18"/>
  <c r="U121" i="18"/>
  <c r="U123" i="18"/>
  <c r="U124" i="18"/>
  <c r="U125" i="18"/>
  <c r="U126" i="18"/>
  <c r="U127" i="18"/>
  <c r="U130" i="18"/>
  <c r="U131" i="18"/>
  <c r="U133" i="18"/>
  <c r="U134" i="18"/>
  <c r="U135" i="18"/>
  <c r="U137" i="18"/>
  <c r="U139" i="18"/>
  <c r="U140" i="18"/>
  <c r="U141" i="18"/>
  <c r="U142" i="18"/>
  <c r="U144" i="18"/>
  <c r="U145" i="18"/>
  <c r="U146" i="18"/>
  <c r="U147" i="18"/>
  <c r="U148" i="18"/>
  <c r="U149" i="18"/>
  <c r="U150" i="18"/>
  <c r="U151" i="18"/>
  <c r="U154" i="18"/>
  <c r="U155" i="18"/>
  <c r="U157" i="18"/>
  <c r="U159" i="18"/>
  <c r="U161" i="18"/>
  <c r="U162" i="18"/>
  <c r="U163" i="18"/>
  <c r="U164" i="18"/>
  <c r="U165" i="18"/>
  <c r="U166" i="18"/>
  <c r="U167" i="18"/>
  <c r="U168" i="18"/>
  <c r="U169" i="18"/>
  <c r="U171" i="18"/>
  <c r="U172" i="18"/>
  <c r="U173" i="18"/>
  <c r="U174" i="18"/>
  <c r="U175" i="18"/>
  <c r="U176" i="18"/>
  <c r="U178" i="18"/>
  <c r="U179" i="18"/>
  <c r="U181" i="18"/>
  <c r="U182" i="18"/>
  <c r="U183" i="18"/>
  <c r="U185" i="18"/>
  <c r="U186" i="18"/>
  <c r="U187" i="18"/>
  <c r="U188" i="18"/>
  <c r="U189" i="18"/>
  <c r="U191" i="18"/>
  <c r="U192" i="18"/>
  <c r="U194" i="18"/>
  <c r="U195" i="18"/>
  <c r="U196" i="18"/>
  <c r="U197" i="18"/>
  <c r="U198" i="18"/>
  <c r="U199" i="18"/>
  <c r="U200" i="18"/>
  <c r="U201" i="18"/>
  <c r="U202" i="18"/>
  <c r="U203" i="18"/>
  <c r="U205" i="18"/>
  <c r="U208" i="18"/>
  <c r="U209" i="18"/>
  <c r="U210" i="18"/>
  <c r="U211" i="18"/>
  <c r="U212" i="18"/>
  <c r="U213" i="18"/>
  <c r="U215" i="18"/>
  <c r="U217" i="18"/>
  <c r="U218" i="18"/>
  <c r="U220" i="18"/>
  <c r="U221" i="18"/>
  <c r="U222" i="18"/>
  <c r="U224" i="18"/>
  <c r="U226" i="18"/>
  <c r="U227" i="18"/>
  <c r="U228" i="18"/>
  <c r="U229" i="18"/>
  <c r="U232" i="18"/>
  <c r="U233" i="18"/>
  <c r="U235" i="18"/>
  <c r="U236" i="18"/>
  <c r="U238" i="18"/>
  <c r="U239" i="18"/>
  <c r="U240" i="18"/>
  <c r="U243" i="18"/>
  <c r="U244" i="18"/>
  <c r="U246" i="18"/>
  <c r="U247" i="18"/>
  <c r="U248" i="18"/>
  <c r="U251" i="18"/>
  <c r="U252" i="18"/>
  <c r="U253" i="18"/>
  <c r="U256" i="18"/>
  <c r="U257" i="18"/>
  <c r="U258" i="18"/>
  <c r="U260" i="18"/>
  <c r="U261" i="18"/>
  <c r="U262" i="18"/>
  <c r="U263" i="18"/>
  <c r="U264" i="18"/>
  <c r="U266" i="18"/>
  <c r="U267" i="18"/>
  <c r="U270" i="18"/>
  <c r="U271" i="18"/>
  <c r="U273" i="18"/>
  <c r="U274" i="18"/>
  <c r="U276" i="18"/>
  <c r="U278" i="18"/>
  <c r="U280" i="18"/>
  <c r="U281" i="18"/>
  <c r="U283" i="18"/>
  <c r="U284" i="18"/>
  <c r="U285" i="18"/>
  <c r="U286" i="18"/>
  <c r="U287" i="18"/>
  <c r="U289" i="18"/>
  <c r="U290" i="18"/>
  <c r="U291" i="18"/>
  <c r="U292" i="18"/>
  <c r="U293" i="18"/>
  <c r="U294" i="18"/>
  <c r="U295" i="18"/>
  <c r="U296" i="18"/>
  <c r="U297" i="18"/>
  <c r="U298" i="18"/>
  <c r="U300" i="18"/>
  <c r="U301" i="18"/>
  <c r="U302" i="18"/>
  <c r="U303" i="18"/>
  <c r="U305" i="18"/>
  <c r="U308" i="18"/>
  <c r="U310" i="18"/>
  <c r="U311" i="18"/>
  <c r="U312" i="18"/>
  <c r="U314" i="18"/>
  <c r="U316" i="18"/>
  <c r="U318" i="18"/>
  <c r="U320" i="18"/>
  <c r="U321" i="18"/>
  <c r="U322" i="18"/>
  <c r="U323" i="18"/>
  <c r="U324" i="18"/>
  <c r="U326" i="18"/>
  <c r="U327" i="18"/>
  <c r="U329" i="18"/>
  <c r="U330" i="18"/>
  <c r="U331" i="18"/>
  <c r="U332" i="18"/>
  <c r="U333" i="18"/>
  <c r="U336" i="18"/>
  <c r="U338" i="18"/>
  <c r="U339" i="18"/>
  <c r="U340" i="18"/>
  <c r="U341" i="18"/>
  <c r="U342" i="18"/>
  <c r="U345" i="18"/>
  <c r="U346" i="18"/>
  <c r="U347" i="18"/>
  <c r="U350" i="18"/>
  <c r="U351" i="18"/>
  <c r="U356" i="18"/>
  <c r="U357" i="18"/>
  <c r="U358" i="18"/>
  <c r="U359" i="18"/>
  <c r="U365" i="18"/>
  <c r="U366" i="18"/>
  <c r="U367" i="18"/>
  <c r="U370" i="18"/>
  <c r="U372" i="18"/>
  <c r="U374" i="18"/>
  <c r="U375" i="18"/>
  <c r="U379" i="18"/>
  <c r="U380" i="18"/>
  <c r="U381" i="18"/>
  <c r="U385" i="18"/>
  <c r="U386" i="18"/>
  <c r="U389" i="18"/>
  <c r="U390" i="18"/>
  <c r="L2" i="17"/>
  <c r="L12" i="17"/>
  <c r="L13" i="17"/>
  <c r="L14" i="17"/>
  <c r="L15" i="17"/>
  <c r="L16" i="17"/>
  <c r="L17" i="17"/>
  <c r="L72" i="17"/>
  <c r="L82" i="17"/>
  <c r="L92" i="17"/>
  <c r="L102" i="17"/>
  <c r="L112" i="17"/>
  <c r="L122" i="17"/>
  <c r="L132" i="17"/>
  <c r="L142" i="17"/>
  <c r="L143" i="17"/>
  <c r="L144" i="17"/>
  <c r="L145" i="17"/>
  <c r="L146" i="17"/>
  <c r="L147" i="17"/>
  <c r="L202" i="17"/>
  <c r="L203" i="17"/>
  <c r="L204" i="17"/>
  <c r="L205" i="17"/>
  <c r="L206" i="17"/>
  <c r="L207" i="17"/>
  <c r="L322" i="17"/>
  <c r="L332" i="17"/>
  <c r="L262" i="17"/>
  <c r="L272" i="17"/>
  <c r="L282" i="17"/>
  <c r="L292" i="17"/>
  <c r="L302" i="17"/>
  <c r="L312" i="17"/>
  <c r="L3" i="17"/>
  <c r="L18" i="17"/>
  <c r="L19" i="17"/>
  <c r="L20" i="17"/>
  <c r="L21" i="17"/>
  <c r="L22" i="17"/>
  <c r="L23" i="17"/>
  <c r="L73" i="17"/>
  <c r="L83" i="17"/>
  <c r="L93" i="17"/>
  <c r="L103" i="17"/>
  <c r="L113" i="17"/>
  <c r="L123" i="17"/>
  <c r="L133" i="17"/>
  <c r="L148" i="17"/>
  <c r="L149" i="17"/>
  <c r="L150" i="17"/>
  <c r="L151" i="17"/>
  <c r="L152" i="17"/>
  <c r="L153" i="17"/>
  <c r="L208" i="17"/>
  <c r="L209" i="17"/>
  <c r="L210" i="17"/>
  <c r="L211" i="17"/>
  <c r="L212" i="17"/>
  <c r="L213" i="17"/>
  <c r="L323" i="17"/>
  <c r="L333" i="17"/>
  <c r="L263" i="17"/>
  <c r="L273" i="17"/>
  <c r="L283" i="17"/>
  <c r="L293" i="17"/>
  <c r="L303" i="17"/>
  <c r="L313" i="17"/>
  <c r="L4" i="17"/>
  <c r="L24" i="17"/>
  <c r="L25" i="17"/>
  <c r="L26" i="17"/>
  <c r="N322" i="17" s="1" a="1"/>
  <c r="N322" i="17" s="1"/>
  <c r="L27" i="17"/>
  <c r="L28" i="17"/>
  <c r="L29" i="17"/>
  <c r="L74" i="17"/>
  <c r="L84" i="17"/>
  <c r="L94" i="17"/>
  <c r="L104" i="17"/>
  <c r="L114" i="17"/>
  <c r="L124" i="17"/>
  <c r="L134" i="17"/>
  <c r="L154" i="17"/>
  <c r="L155" i="17"/>
  <c r="L156" i="17"/>
  <c r="L157" i="17"/>
  <c r="L158" i="17"/>
  <c r="L159" i="17"/>
  <c r="L214" i="17"/>
  <c r="L215" i="17"/>
  <c r="L216" i="17"/>
  <c r="L217" i="17"/>
  <c r="L218" i="17"/>
  <c r="L219" i="17"/>
  <c r="L324" i="17"/>
  <c r="L334" i="17"/>
  <c r="L264" i="17"/>
  <c r="L274" i="17"/>
  <c r="L284" i="17"/>
  <c r="L294" i="17"/>
  <c r="L304" i="17"/>
  <c r="L314" i="17"/>
  <c r="L5" i="17"/>
  <c r="L30" i="17"/>
  <c r="L31" i="17"/>
  <c r="L32" i="17"/>
  <c r="L33" i="17"/>
  <c r="L34" i="17"/>
  <c r="L35" i="17"/>
  <c r="L75" i="17"/>
  <c r="L85" i="17"/>
  <c r="L95" i="17"/>
  <c r="L105" i="17"/>
  <c r="L115" i="17"/>
  <c r="L125" i="17"/>
  <c r="L135" i="17"/>
  <c r="L160" i="17"/>
  <c r="L161" i="17"/>
  <c r="L162" i="17"/>
  <c r="L163" i="17"/>
  <c r="L164" i="17"/>
  <c r="L165" i="17"/>
  <c r="L220" i="17"/>
  <c r="L221" i="17"/>
  <c r="L222" i="17"/>
  <c r="L223" i="17"/>
  <c r="L224" i="17"/>
  <c r="L225" i="17"/>
  <c r="L325" i="17"/>
  <c r="L335" i="17"/>
  <c r="L265" i="17"/>
  <c r="L275" i="17"/>
  <c r="L285" i="17"/>
  <c r="L295" i="17"/>
  <c r="L305" i="17"/>
  <c r="L315" i="17"/>
  <c r="L6" i="17"/>
  <c r="L36" i="17"/>
  <c r="L37" i="17"/>
  <c r="L38" i="17"/>
  <c r="L39" i="17"/>
  <c r="L40" i="17"/>
  <c r="L41" i="17"/>
  <c r="L76" i="17"/>
  <c r="L86" i="17"/>
  <c r="L96" i="17"/>
  <c r="L106" i="17"/>
  <c r="L116" i="17"/>
  <c r="L126" i="17"/>
  <c r="L136" i="17"/>
  <c r="L166" i="17"/>
  <c r="L167" i="17"/>
  <c r="L168" i="17"/>
  <c r="L169" i="17"/>
  <c r="L170" i="17"/>
  <c r="L171" i="17"/>
  <c r="L226" i="17"/>
  <c r="L227" i="17"/>
  <c r="L228" i="17"/>
  <c r="L229" i="17"/>
  <c r="L230" i="17"/>
  <c r="L231" i="17"/>
  <c r="L326" i="17"/>
  <c r="L336" i="17"/>
  <c r="L266" i="17"/>
  <c r="L276" i="17"/>
  <c r="L286" i="17"/>
  <c r="L296" i="17"/>
  <c r="L306" i="17"/>
  <c r="L316" i="17"/>
  <c r="L7" i="17"/>
  <c r="L42" i="17"/>
  <c r="L43" i="17"/>
  <c r="L44" i="17"/>
  <c r="L45" i="17"/>
  <c r="L46" i="17"/>
  <c r="L47" i="17"/>
  <c r="L77" i="17"/>
  <c r="L87" i="17"/>
  <c r="L97" i="17"/>
  <c r="L107" i="17"/>
  <c r="L117" i="17"/>
  <c r="L127" i="17"/>
  <c r="L137" i="17"/>
  <c r="L172" i="17"/>
  <c r="L173" i="17"/>
  <c r="L174" i="17"/>
  <c r="L175" i="17"/>
  <c r="L176" i="17"/>
  <c r="L177" i="17"/>
  <c r="L232" i="17"/>
  <c r="L233" i="17"/>
  <c r="L234" i="17"/>
  <c r="L235" i="17"/>
  <c r="L236" i="17"/>
  <c r="L237" i="17"/>
  <c r="L327" i="17"/>
  <c r="L337" i="17"/>
  <c r="L267" i="17"/>
  <c r="L277" i="17"/>
  <c r="L287" i="17"/>
  <c r="L297" i="17"/>
  <c r="L307" i="17"/>
  <c r="L317" i="17"/>
  <c r="L8" i="17"/>
  <c r="L48" i="17"/>
  <c r="L49" i="17"/>
  <c r="L50" i="17"/>
  <c r="L51" i="17"/>
  <c r="L52" i="17"/>
  <c r="L53" i="17"/>
  <c r="L78" i="17"/>
  <c r="L88" i="17"/>
  <c r="L98" i="17"/>
  <c r="L108" i="17"/>
  <c r="L118" i="17"/>
  <c r="L128" i="17"/>
  <c r="L138" i="17"/>
  <c r="L178" i="17"/>
  <c r="L179" i="17"/>
  <c r="L180" i="17"/>
  <c r="L181" i="17"/>
  <c r="L182" i="17"/>
  <c r="L183" i="17"/>
  <c r="L238" i="17"/>
  <c r="L239" i="17"/>
  <c r="L240" i="17"/>
  <c r="L241" i="17"/>
  <c r="L242" i="17"/>
  <c r="L243" i="17"/>
  <c r="L328" i="17"/>
  <c r="L338" i="17"/>
  <c r="L268" i="17"/>
  <c r="L278" i="17"/>
  <c r="L288" i="17"/>
  <c r="L298" i="17"/>
  <c r="L308" i="17"/>
  <c r="L318" i="17"/>
  <c r="L9" i="17"/>
  <c r="L54" i="17"/>
  <c r="L55" i="17"/>
  <c r="L56" i="17"/>
  <c r="L57" i="17"/>
  <c r="L58" i="17"/>
  <c r="L59" i="17"/>
  <c r="L79" i="17"/>
  <c r="L89" i="17"/>
  <c r="L99" i="17"/>
  <c r="L109" i="17"/>
  <c r="L119" i="17"/>
  <c r="L129" i="17"/>
  <c r="L139" i="17"/>
  <c r="L184" i="17"/>
  <c r="L185" i="17"/>
  <c r="L186" i="17"/>
  <c r="L187" i="17"/>
  <c r="L188" i="17"/>
  <c r="L189" i="17"/>
  <c r="L244" i="17"/>
  <c r="L245" i="17"/>
  <c r="L246" i="17"/>
  <c r="L247" i="17"/>
  <c r="L248" i="17"/>
  <c r="L249" i="17"/>
  <c r="L329" i="17"/>
  <c r="L339" i="17"/>
  <c r="L269" i="17"/>
  <c r="L279" i="17"/>
  <c r="L289" i="17"/>
  <c r="L299" i="17"/>
  <c r="L309" i="17"/>
  <c r="L319" i="17"/>
  <c r="L10" i="17"/>
  <c r="L60" i="17"/>
  <c r="L61" i="17"/>
  <c r="L62" i="17"/>
  <c r="N73" i="17" s="1" a="1"/>
  <c r="N73" i="17" s="1"/>
  <c r="L63" i="17"/>
  <c r="L64" i="17"/>
  <c r="L65" i="17"/>
  <c r="L80" i="17"/>
  <c r="L90" i="17"/>
  <c r="L100" i="17"/>
  <c r="L110" i="17"/>
  <c r="L120" i="17"/>
  <c r="L130" i="17"/>
  <c r="L140" i="17"/>
  <c r="L190" i="17"/>
  <c r="L191" i="17"/>
  <c r="L192" i="17"/>
  <c r="L193" i="17"/>
  <c r="L194" i="17"/>
  <c r="L195" i="17"/>
  <c r="L250" i="17"/>
  <c r="L251" i="17"/>
  <c r="L252" i="17"/>
  <c r="L253" i="17"/>
  <c r="L254" i="17"/>
  <c r="L255" i="17"/>
  <c r="L330" i="17"/>
  <c r="L340" i="17"/>
  <c r="L270" i="17"/>
  <c r="L280" i="17"/>
  <c r="L290" i="17"/>
  <c r="L300" i="17"/>
  <c r="L310" i="17"/>
  <c r="L320" i="17"/>
  <c r="L11" i="17"/>
  <c r="L66" i="17"/>
  <c r="L67" i="17"/>
  <c r="L68" i="17"/>
  <c r="L69" i="17"/>
  <c r="L70" i="17"/>
  <c r="L71" i="17"/>
  <c r="L81" i="17"/>
  <c r="L91" i="17"/>
  <c r="L101" i="17"/>
  <c r="L111" i="17"/>
  <c r="L121" i="17"/>
  <c r="L131" i="17"/>
  <c r="L141" i="17"/>
  <c r="L196" i="17"/>
  <c r="L197" i="17"/>
  <c r="L198" i="17"/>
  <c r="L199" i="17"/>
  <c r="L200" i="17"/>
  <c r="L201" i="17"/>
  <c r="L256" i="17"/>
  <c r="L257" i="17"/>
  <c r="L258" i="17"/>
  <c r="L259" i="17"/>
  <c r="L260" i="17"/>
  <c r="L261" i="17"/>
  <c r="L331" i="17"/>
  <c r="L341" i="17"/>
  <c r="L271" i="17"/>
  <c r="L281" i="17"/>
  <c r="L291" i="17"/>
  <c r="L301" i="17"/>
  <c r="L311" i="17"/>
  <c r="L321" i="17"/>
  <c r="M2" i="17" a="1"/>
  <c r="M2" i="17" s="1"/>
  <c r="M12" i="17" a="1"/>
  <c r="M12" i="17" s="1"/>
  <c r="M13" i="17" a="1"/>
  <c r="M13" i="17" s="1"/>
  <c r="M14" i="17" a="1"/>
  <c r="M14" i="17" s="1"/>
  <c r="M15" i="17" a="1"/>
  <c r="M15" i="17" s="1"/>
  <c r="M16" i="17" a="1"/>
  <c r="M16" i="17" s="1"/>
  <c r="M17" i="17" a="1"/>
  <c r="M17" i="17" s="1"/>
  <c r="M72" i="17" a="1"/>
  <c r="M72" i="17" s="1"/>
  <c r="M82" i="17" a="1"/>
  <c r="M82" i="17" s="1"/>
  <c r="M92" i="17" a="1"/>
  <c r="M92" i="17" s="1"/>
  <c r="M102" i="17" a="1"/>
  <c r="M102" i="17" s="1"/>
  <c r="M112" i="17" a="1"/>
  <c r="M112" i="17" s="1"/>
  <c r="M122" i="17" a="1"/>
  <c r="M122" i="17" s="1"/>
  <c r="M132" i="17" a="1"/>
  <c r="M132" i="17" s="1"/>
  <c r="M142" i="17" a="1"/>
  <c r="M142" i="17" s="1"/>
  <c r="M143" i="17" a="1"/>
  <c r="M143" i="17" s="1"/>
  <c r="M144" i="17" a="1"/>
  <c r="M144" i="17" s="1"/>
  <c r="M145" i="17" a="1"/>
  <c r="M145" i="17" s="1"/>
  <c r="M146" i="17" a="1"/>
  <c r="M146" i="17" s="1"/>
  <c r="M147" i="17" a="1"/>
  <c r="M147" i="17" s="1"/>
  <c r="M202" i="17" a="1"/>
  <c r="M202" i="17" s="1"/>
  <c r="M203" i="17" a="1"/>
  <c r="M203" i="17" s="1"/>
  <c r="M204" i="17" a="1"/>
  <c r="M204" i="17" s="1"/>
  <c r="M205" i="17" a="1"/>
  <c r="M205" i="17" s="1"/>
  <c r="M206" i="17" a="1"/>
  <c r="M206" i="17" s="1"/>
  <c r="M207" i="17" a="1"/>
  <c r="M207" i="17" s="1"/>
  <c r="M322" i="17" a="1"/>
  <c r="M322" i="17" s="1"/>
  <c r="M332" i="17" a="1"/>
  <c r="M332" i="17" s="1"/>
  <c r="M262" i="17" a="1"/>
  <c r="M262" i="17" s="1"/>
  <c r="M272" i="17" a="1"/>
  <c r="M272" i="17" s="1"/>
  <c r="M282" i="17" a="1"/>
  <c r="M282" i="17" s="1"/>
  <c r="M292" i="17" a="1"/>
  <c r="M292" i="17" s="1"/>
  <c r="M302" i="17" a="1"/>
  <c r="M302" i="17" s="1"/>
  <c r="M312" i="17" a="1"/>
  <c r="M312" i="17" s="1"/>
  <c r="M3" i="17" a="1"/>
  <c r="M3" i="17" s="1"/>
  <c r="M18" i="17" a="1"/>
  <c r="M18" i="17" s="1"/>
  <c r="M19" i="17" a="1"/>
  <c r="M19" i="17" s="1"/>
  <c r="M20" i="17" a="1"/>
  <c r="M20" i="17" s="1"/>
  <c r="M21" i="17" a="1"/>
  <c r="M21" i="17" s="1"/>
  <c r="M22" i="17" a="1"/>
  <c r="M22" i="17" s="1"/>
  <c r="M23" i="17" a="1"/>
  <c r="M23" i="17" s="1"/>
  <c r="M73" i="17" a="1"/>
  <c r="M73" i="17" s="1"/>
  <c r="M83" i="17" a="1"/>
  <c r="M83" i="17" s="1"/>
  <c r="M93" i="17" a="1"/>
  <c r="M93" i="17" s="1"/>
  <c r="M103" i="17" a="1"/>
  <c r="M103" i="17" s="1"/>
  <c r="Y103" i="17" s="1"/>
  <c r="Q103" i="17" s="1"/>
  <c r="W103" i="17" s="1"/>
  <c r="M113" i="17" a="1"/>
  <c r="M113" i="17" s="1"/>
  <c r="M123" i="17" a="1"/>
  <c r="M123" i="17" s="1"/>
  <c r="M133" i="17" a="1"/>
  <c r="M133" i="17" s="1"/>
  <c r="M148" i="17" a="1"/>
  <c r="M148" i="17" s="1"/>
  <c r="M149" i="17" a="1"/>
  <c r="M149" i="17" s="1"/>
  <c r="M150" i="17" a="1"/>
  <c r="M150" i="17" s="1"/>
  <c r="M151" i="17" a="1"/>
  <c r="M151" i="17" s="1"/>
  <c r="M152" i="17" a="1"/>
  <c r="M152" i="17" s="1"/>
  <c r="M153" i="17" a="1"/>
  <c r="M153" i="17" s="1"/>
  <c r="M208" i="17" a="1"/>
  <c r="M208" i="17" s="1"/>
  <c r="M209" i="17" a="1"/>
  <c r="M209" i="17" s="1"/>
  <c r="M210" i="17" a="1"/>
  <c r="M210" i="17"/>
  <c r="M211" i="17" a="1"/>
  <c r="M211" i="17" s="1"/>
  <c r="M212" i="17" a="1"/>
  <c r="M212" i="17" s="1"/>
  <c r="M213" i="17" a="1"/>
  <c r="M213" i="17" s="1"/>
  <c r="M323" i="17" a="1"/>
  <c r="M323" i="17" s="1"/>
  <c r="M333" i="17" a="1"/>
  <c r="M333" i="17" s="1"/>
  <c r="M263" i="17" a="1"/>
  <c r="M263" i="17" s="1"/>
  <c r="M273" i="17" a="1"/>
  <c r="M273" i="17" s="1"/>
  <c r="M283" i="17" a="1"/>
  <c r="M283" i="17" s="1"/>
  <c r="M293" i="17" a="1"/>
  <c r="M293" i="17" s="1"/>
  <c r="M303" i="17" a="1"/>
  <c r="M303" i="17" s="1"/>
  <c r="M313" i="17" a="1"/>
  <c r="M313" i="17" s="1"/>
  <c r="M4" i="17" a="1"/>
  <c r="M4" i="17" s="1"/>
  <c r="Y4" i="17" s="1"/>
  <c r="Q4" i="17" s="1"/>
  <c r="W4" i="17" s="1"/>
  <c r="M24" i="17" a="1"/>
  <c r="M24" i="17" s="1"/>
  <c r="M25" i="17" a="1"/>
  <c r="M25" i="17" s="1"/>
  <c r="M26" i="17" a="1"/>
  <c r="M26" i="17" s="1"/>
  <c r="M27" i="17" a="1"/>
  <c r="M27" i="17" s="1"/>
  <c r="M28" i="17" a="1"/>
  <c r="M28" i="17" s="1"/>
  <c r="M29" i="17" a="1"/>
  <c r="M29" i="17" s="1"/>
  <c r="M74" i="17" a="1"/>
  <c r="M74" i="17" s="1"/>
  <c r="M84" i="17" a="1"/>
  <c r="M84" i="17" s="1"/>
  <c r="M94" i="17" a="1"/>
  <c r="M94" i="17" s="1"/>
  <c r="M104" i="17" a="1"/>
  <c r="M104" i="17" s="1"/>
  <c r="M114" i="17" a="1"/>
  <c r="M114" i="17" s="1"/>
  <c r="M124" i="17" a="1"/>
  <c r="M124" i="17" s="1"/>
  <c r="M134" i="17" a="1"/>
  <c r="M134" i="17" s="1"/>
  <c r="M154" i="17" a="1"/>
  <c r="M154" i="17"/>
  <c r="M155" i="17" a="1"/>
  <c r="M155" i="17" s="1"/>
  <c r="M156" i="17" a="1"/>
  <c r="M156" i="17" s="1"/>
  <c r="M157" i="17" a="1"/>
  <c r="M157" i="17" s="1"/>
  <c r="M158" i="17" a="1"/>
  <c r="M158" i="17" s="1"/>
  <c r="M159" i="17" a="1"/>
  <c r="M159" i="17" s="1"/>
  <c r="M214" i="17" a="1"/>
  <c r="M214" i="17" s="1"/>
  <c r="M215" i="17" a="1"/>
  <c r="M215" i="17" s="1"/>
  <c r="M216" i="17" a="1"/>
  <c r="M216" i="17" s="1"/>
  <c r="M217" i="17" a="1"/>
  <c r="M217" i="17" s="1"/>
  <c r="M218" i="17" a="1"/>
  <c r="M218" i="17" s="1"/>
  <c r="M219" i="17" a="1"/>
  <c r="M219" i="17" s="1"/>
  <c r="M324" i="17" a="1"/>
  <c r="M324" i="17" s="1"/>
  <c r="M334" i="17" a="1"/>
  <c r="M334" i="17" s="1"/>
  <c r="M264" i="17" a="1"/>
  <c r="M264" i="17"/>
  <c r="M274" i="17" a="1"/>
  <c r="M274" i="17" s="1"/>
  <c r="M284" i="17" a="1"/>
  <c r="M284" i="17" s="1"/>
  <c r="M294" i="17" a="1"/>
  <c r="M294" i="17" s="1"/>
  <c r="M304" i="17" a="1"/>
  <c r="M304" i="17" s="1"/>
  <c r="M314" i="17" a="1"/>
  <c r="M314" i="17" s="1"/>
  <c r="M5" i="17" a="1"/>
  <c r="M5" i="17" s="1"/>
  <c r="M30" i="17" a="1"/>
  <c r="M30" i="17" s="1"/>
  <c r="M31" i="17" a="1"/>
  <c r="M31" i="17" s="1"/>
  <c r="M32" i="17" a="1"/>
  <c r="M32" i="17" s="1"/>
  <c r="M33" i="17" a="1"/>
  <c r="M33" i="17" s="1"/>
  <c r="M34" i="17" a="1"/>
  <c r="M34" i="17" s="1"/>
  <c r="M35" i="17" a="1"/>
  <c r="M35" i="17" s="1"/>
  <c r="Y35" i="17" s="1"/>
  <c r="Q35" i="17" s="1"/>
  <c r="W35" i="17" s="1"/>
  <c r="M75" i="17" a="1"/>
  <c r="M75" i="17" s="1"/>
  <c r="M85" i="17" a="1"/>
  <c r="M85" i="17" s="1"/>
  <c r="M95" i="17" a="1"/>
  <c r="M95" i="17" s="1"/>
  <c r="M105" i="17" a="1"/>
  <c r="M105" i="17" s="1"/>
  <c r="M115" i="17" a="1"/>
  <c r="M115" i="17" s="1"/>
  <c r="M125" i="17" a="1"/>
  <c r="M125" i="17" s="1"/>
  <c r="M135" i="17" a="1"/>
  <c r="M135" i="17" s="1"/>
  <c r="M160" i="17" a="1"/>
  <c r="M160" i="17" s="1"/>
  <c r="M161" i="17" a="1"/>
  <c r="M161" i="17" s="1"/>
  <c r="M162" i="17" a="1"/>
  <c r="M162" i="17" s="1"/>
  <c r="M163" i="17" a="1"/>
  <c r="M163" i="17"/>
  <c r="M164" i="17" a="1"/>
  <c r="M164" i="17" s="1"/>
  <c r="M165" i="17" a="1"/>
  <c r="M165" i="17" s="1"/>
  <c r="M220" i="17" a="1"/>
  <c r="M220" i="17" s="1"/>
  <c r="M221" i="17" a="1"/>
  <c r="M221" i="17" s="1"/>
  <c r="M222" i="17" a="1"/>
  <c r="M222" i="17" s="1"/>
  <c r="M223" i="17" a="1"/>
  <c r="M223" i="17" s="1"/>
  <c r="M224" i="17" a="1"/>
  <c r="M224" i="17" s="1"/>
  <c r="M225" i="17" a="1"/>
  <c r="M225" i="17" s="1"/>
  <c r="M325" i="17" a="1"/>
  <c r="M325" i="17" s="1"/>
  <c r="M335" i="17" a="1"/>
  <c r="M335" i="17" s="1"/>
  <c r="M265" i="17" a="1"/>
  <c r="M265" i="17" s="1"/>
  <c r="M275" i="17" a="1"/>
  <c r="M275" i="17" s="1"/>
  <c r="M285" i="17" a="1"/>
  <c r="M285" i="17"/>
  <c r="M295" i="17" a="1"/>
  <c r="M295" i="17" s="1"/>
  <c r="M305" i="17" a="1"/>
  <c r="M305" i="17" s="1"/>
  <c r="M315" i="17" a="1"/>
  <c r="M315" i="17" s="1"/>
  <c r="M6" i="17" a="1"/>
  <c r="M6" i="17" s="1"/>
  <c r="M36" i="17" a="1"/>
  <c r="M36" i="17" s="1"/>
  <c r="M37" i="17" a="1"/>
  <c r="M37" i="17" s="1"/>
  <c r="M38" i="17" a="1"/>
  <c r="M38" i="17" s="1"/>
  <c r="M39" i="17" a="1"/>
  <c r="M39" i="17" s="1"/>
  <c r="M40" i="17" a="1"/>
  <c r="M40" i="17" s="1"/>
  <c r="M41" i="17" a="1"/>
  <c r="M41" i="17" s="1"/>
  <c r="M76" i="17" a="1"/>
  <c r="M76" i="17" s="1"/>
  <c r="M86" i="17" a="1"/>
  <c r="M86" i="17" s="1"/>
  <c r="M96" i="17" a="1"/>
  <c r="M96" i="17" s="1"/>
  <c r="M106" i="17" a="1"/>
  <c r="M106" i="17" s="1"/>
  <c r="M116" i="17" a="1"/>
  <c r="M116" i="17" s="1"/>
  <c r="M126" i="17" a="1"/>
  <c r="M126" i="17" s="1"/>
  <c r="M136" i="17" a="1"/>
  <c r="M136" i="17" s="1"/>
  <c r="M166" i="17" a="1"/>
  <c r="M166" i="17" s="1"/>
  <c r="M167" i="17" a="1"/>
  <c r="M167" i="17" s="1"/>
  <c r="M168" i="17" a="1"/>
  <c r="M168" i="17"/>
  <c r="M169" i="17" a="1"/>
  <c r="M169" i="17"/>
  <c r="M170" i="17" a="1"/>
  <c r="M170" i="17" s="1"/>
  <c r="M171" i="17" a="1"/>
  <c r="M171" i="17" s="1"/>
  <c r="Y171" i="17" s="1"/>
  <c r="Q171" i="17" s="1"/>
  <c r="W171" i="17" s="1"/>
  <c r="M226" i="17" a="1"/>
  <c r="M226" i="17" s="1"/>
  <c r="M227" i="17" a="1"/>
  <c r="M227" i="17" s="1"/>
  <c r="M228" i="17" a="1"/>
  <c r="M228" i="17" s="1"/>
  <c r="M229" i="17" a="1"/>
  <c r="M229" i="17" s="1"/>
  <c r="M230" i="17" a="1"/>
  <c r="M230" i="17" s="1"/>
  <c r="M231" i="17" a="1"/>
  <c r="M231" i="17" s="1"/>
  <c r="M326" i="17" a="1"/>
  <c r="M326" i="17" s="1"/>
  <c r="M336" i="17" a="1"/>
  <c r="M336" i="17" s="1"/>
  <c r="M266" i="17" a="1"/>
  <c r="M266" i="17" s="1"/>
  <c r="M276" i="17" a="1"/>
  <c r="M276" i="17" s="1"/>
  <c r="M286" i="17" a="1"/>
  <c r="M286" i="17" s="1"/>
  <c r="M296" i="17" a="1"/>
  <c r="M296" i="17"/>
  <c r="M306" i="17" a="1"/>
  <c r="M306" i="17" s="1"/>
  <c r="M316" i="17" a="1"/>
  <c r="M316" i="17" s="1"/>
  <c r="M7" i="17" a="1"/>
  <c r="M7" i="17"/>
  <c r="M42" i="17" a="1"/>
  <c r="M42" i="17" s="1"/>
  <c r="M43" i="17" a="1"/>
  <c r="M43" i="17" s="1"/>
  <c r="M44" i="17" a="1"/>
  <c r="M44" i="17" s="1"/>
  <c r="M45" i="17" a="1"/>
  <c r="M45" i="17" s="1"/>
  <c r="M46" i="17" a="1"/>
  <c r="M46" i="17" s="1"/>
  <c r="M47" i="17" a="1"/>
  <c r="M47" i="17" s="1"/>
  <c r="M77" i="17" a="1"/>
  <c r="M77" i="17" s="1"/>
  <c r="M87" i="17" a="1"/>
  <c r="M87" i="17" s="1"/>
  <c r="M97" i="17" a="1"/>
  <c r="M97" i="17"/>
  <c r="M107" i="17" a="1"/>
  <c r="M107" i="17" s="1"/>
  <c r="M117" i="17" a="1"/>
  <c r="M117" i="17" s="1"/>
  <c r="M127" i="17" a="1"/>
  <c r="M127" i="17" s="1"/>
  <c r="M137" i="17" a="1"/>
  <c r="M137" i="17" s="1"/>
  <c r="M172" i="17" a="1"/>
  <c r="M172" i="17" s="1"/>
  <c r="M173" i="17" a="1"/>
  <c r="M173" i="17" s="1"/>
  <c r="M174" i="17" a="1"/>
  <c r="M174" i="17" s="1"/>
  <c r="M175" i="17" a="1"/>
  <c r="M175" i="17" s="1"/>
  <c r="M176" i="17" a="1"/>
  <c r="M176" i="17" s="1"/>
  <c r="M177" i="17" a="1"/>
  <c r="M177" i="17" s="1"/>
  <c r="M232" i="17" a="1"/>
  <c r="M232" i="17" s="1"/>
  <c r="M233" i="17" a="1"/>
  <c r="M233" i="17"/>
  <c r="M234" i="17" a="1"/>
  <c r="M234" i="17" s="1"/>
  <c r="M235" i="17" a="1"/>
  <c r="M235" i="17" s="1"/>
  <c r="M236" i="17" a="1"/>
  <c r="M236" i="17" s="1"/>
  <c r="M237" i="17" a="1"/>
  <c r="M237" i="17" s="1"/>
  <c r="M327" i="17" a="1"/>
  <c r="M327" i="17"/>
  <c r="M337" i="17" a="1"/>
  <c r="M337" i="17" s="1"/>
  <c r="M267" i="17" a="1"/>
  <c r="M267" i="17" s="1"/>
  <c r="M277" i="17" a="1"/>
  <c r="M277" i="17" s="1"/>
  <c r="M287" i="17" a="1"/>
  <c r="M287" i="17" s="1"/>
  <c r="M297" i="17" a="1"/>
  <c r="M297" i="17" s="1"/>
  <c r="M307" i="17" a="1"/>
  <c r="M307" i="17" s="1"/>
  <c r="M317" i="17" a="1"/>
  <c r="M317" i="17" s="1"/>
  <c r="M8" i="17" a="1"/>
  <c r="M8" i="17" s="1"/>
  <c r="Y8" i="17" s="1"/>
  <c r="Q8" i="17" s="1"/>
  <c r="W8" i="17" s="1"/>
  <c r="M48" i="17" a="1"/>
  <c r="M48" i="17" s="1"/>
  <c r="M49" i="17" a="1"/>
  <c r="M49" i="17" s="1"/>
  <c r="M50" i="17" a="1"/>
  <c r="M50" i="17" s="1"/>
  <c r="M51" i="17" a="1"/>
  <c r="M51" i="17" s="1"/>
  <c r="M52" i="17" a="1"/>
  <c r="M52" i="17" s="1"/>
  <c r="M53" i="17" a="1"/>
  <c r="M53" i="17" s="1"/>
  <c r="M78" i="17" a="1"/>
  <c r="M78" i="17" s="1"/>
  <c r="M88" i="17" a="1"/>
  <c r="M88" i="17" s="1"/>
  <c r="M98" i="17" a="1"/>
  <c r="M98" i="17" s="1"/>
  <c r="Y98" i="17" s="1"/>
  <c r="Q98" i="17" s="1"/>
  <c r="W98" i="17" s="1"/>
  <c r="M108" i="17" a="1"/>
  <c r="M108" i="17" s="1"/>
  <c r="M118" i="17" a="1"/>
  <c r="M118" i="17" s="1"/>
  <c r="M128" i="17" a="1"/>
  <c r="M128" i="17" s="1"/>
  <c r="M138" i="17" a="1"/>
  <c r="M138" i="17" s="1"/>
  <c r="M178" i="17" a="1"/>
  <c r="M178" i="17" s="1"/>
  <c r="M179" i="17" a="1"/>
  <c r="M179" i="17"/>
  <c r="M180" i="17" a="1"/>
  <c r="M180" i="17" s="1"/>
  <c r="M181" i="17" a="1"/>
  <c r="M181" i="17" s="1"/>
  <c r="M182" i="17" a="1"/>
  <c r="M182" i="17" s="1"/>
  <c r="M183" i="17" a="1"/>
  <c r="M183" i="17" s="1"/>
  <c r="M238" i="17" a="1"/>
  <c r="M238" i="17" s="1"/>
  <c r="M239" i="17" a="1"/>
  <c r="M239" i="17"/>
  <c r="M240" i="17" a="1"/>
  <c r="M240" i="17" s="1"/>
  <c r="M241" i="17" a="1"/>
  <c r="M241" i="17" s="1"/>
  <c r="M242" i="17" a="1"/>
  <c r="M242" i="17" s="1"/>
  <c r="M243" i="17" a="1"/>
  <c r="M243" i="17" s="1"/>
  <c r="M328" i="17" a="1"/>
  <c r="M328" i="17" s="1"/>
  <c r="M338" i="17" a="1"/>
  <c r="M338" i="17" s="1"/>
  <c r="M268" i="17" a="1"/>
  <c r="M268" i="17" s="1"/>
  <c r="M278" i="17" a="1"/>
  <c r="M278" i="17" s="1"/>
  <c r="M288" i="17" a="1"/>
  <c r="M288" i="17" s="1"/>
  <c r="M298" i="17" a="1"/>
  <c r="M298" i="17" s="1"/>
  <c r="M308" i="17" a="1"/>
  <c r="M308" i="17" s="1"/>
  <c r="M318" i="17" a="1"/>
  <c r="M318" i="17" s="1"/>
  <c r="M9" i="17" a="1"/>
  <c r="M9" i="17" s="1"/>
  <c r="M54" i="17" a="1"/>
  <c r="M54" i="17" s="1"/>
  <c r="M55" i="17" a="1"/>
  <c r="M55" i="17"/>
  <c r="M56" i="17" a="1"/>
  <c r="M56" i="17" s="1"/>
  <c r="M57" i="17" a="1"/>
  <c r="M57" i="17" s="1"/>
  <c r="M58" i="17" a="1"/>
  <c r="M58" i="17" s="1"/>
  <c r="M59" i="17" a="1"/>
  <c r="M59" i="17" s="1"/>
  <c r="M79" i="17" a="1"/>
  <c r="M79" i="17" s="1"/>
  <c r="M89" i="17" a="1"/>
  <c r="M89" i="17" s="1"/>
  <c r="M99" i="17" a="1"/>
  <c r="M99" i="17" s="1"/>
  <c r="M109" i="17" a="1"/>
  <c r="M109" i="17" s="1"/>
  <c r="M119" i="17" a="1"/>
  <c r="M119" i="17" s="1"/>
  <c r="M129" i="17" a="1"/>
  <c r="M129" i="17" s="1"/>
  <c r="M139" i="17" a="1"/>
  <c r="M139" i="17" s="1"/>
  <c r="M184" i="17" a="1"/>
  <c r="M184" i="17" s="1"/>
  <c r="M185" i="17" a="1"/>
  <c r="M185" i="17" s="1"/>
  <c r="M186" i="17" a="1"/>
  <c r="M186" i="17" s="1"/>
  <c r="M187" i="17" a="1"/>
  <c r="M187" i="17" s="1"/>
  <c r="M188" i="17" a="1"/>
  <c r="M188" i="17" s="1"/>
  <c r="M189" i="17" a="1"/>
  <c r="M189" i="17" s="1"/>
  <c r="M244" i="17" a="1"/>
  <c r="M244" i="17" s="1"/>
  <c r="M245" i="17" a="1"/>
  <c r="M245" i="17" s="1"/>
  <c r="M246" i="17" a="1"/>
  <c r="M246" i="17" s="1"/>
  <c r="M247" i="17" a="1"/>
  <c r="M247" i="17" s="1"/>
  <c r="M248" i="17" a="1"/>
  <c r="M248" i="17" s="1"/>
  <c r="M249" i="17" a="1"/>
  <c r="M249" i="17"/>
  <c r="M329" i="17" a="1"/>
  <c r="M329" i="17" s="1"/>
  <c r="M339" i="17" a="1"/>
  <c r="M339" i="17" s="1"/>
  <c r="M269" i="17" a="1"/>
  <c r="M269" i="17" s="1"/>
  <c r="M279" i="17" a="1"/>
  <c r="M279" i="17" s="1"/>
  <c r="M289" i="17" a="1"/>
  <c r="M289" i="17" s="1"/>
  <c r="M299" i="17" a="1"/>
  <c r="M299" i="17" s="1"/>
  <c r="M309" i="17" a="1"/>
  <c r="M309" i="17" s="1"/>
  <c r="M319" i="17" a="1"/>
  <c r="M319" i="17" s="1"/>
  <c r="M10" i="17" a="1"/>
  <c r="M10" i="17" s="1"/>
  <c r="M60" i="17" a="1"/>
  <c r="M60" i="17" s="1"/>
  <c r="M61" i="17" a="1"/>
  <c r="M61" i="17" s="1"/>
  <c r="M62" i="17" a="1"/>
  <c r="M62" i="17" s="1"/>
  <c r="M63" i="17" a="1"/>
  <c r="M63" i="17"/>
  <c r="M64" i="17" a="1"/>
  <c r="M64" i="17" s="1"/>
  <c r="M65" i="17" a="1"/>
  <c r="M65" i="17" s="1"/>
  <c r="M80" i="17" a="1"/>
  <c r="M80" i="17" s="1"/>
  <c r="M90" i="17" a="1"/>
  <c r="M90" i="17" s="1"/>
  <c r="M100" i="17" a="1"/>
  <c r="M100" i="17" s="1"/>
  <c r="M110" i="17" a="1"/>
  <c r="M110" i="17" s="1"/>
  <c r="M120" i="17" a="1"/>
  <c r="M120" i="17" s="1"/>
  <c r="M130" i="17" a="1"/>
  <c r="M130" i="17" s="1"/>
  <c r="M140" i="17" a="1"/>
  <c r="M140" i="17" s="1"/>
  <c r="M190" i="17" a="1"/>
  <c r="M190" i="17" s="1"/>
  <c r="M191" i="17" a="1"/>
  <c r="M191" i="17" s="1"/>
  <c r="M192" i="17" a="1"/>
  <c r="M192" i="17" s="1"/>
  <c r="M193" i="17" a="1"/>
  <c r="M193" i="17" s="1"/>
  <c r="M194" i="17" a="1"/>
  <c r="M194" i="17" s="1"/>
  <c r="M195" i="17" a="1"/>
  <c r="M195" i="17" s="1"/>
  <c r="M250" i="17" a="1"/>
  <c r="M250" i="17" s="1"/>
  <c r="M251" i="17" a="1"/>
  <c r="M251" i="17" s="1"/>
  <c r="M252" i="17" a="1"/>
  <c r="M252" i="17" s="1"/>
  <c r="M253" i="17" a="1"/>
  <c r="M253" i="17" s="1"/>
  <c r="M254" i="17" a="1"/>
  <c r="M254" i="17"/>
  <c r="M255" i="17" a="1"/>
  <c r="M255" i="17"/>
  <c r="M330" i="17" a="1"/>
  <c r="M330" i="17" s="1"/>
  <c r="M340" i="17" a="1"/>
  <c r="M340" i="17" s="1"/>
  <c r="M270" i="17" a="1"/>
  <c r="M270" i="17" s="1"/>
  <c r="M280" i="17" a="1"/>
  <c r="M280" i="17" s="1"/>
  <c r="M290" i="17" a="1"/>
  <c r="M290" i="17" s="1"/>
  <c r="M300" i="17" a="1"/>
  <c r="M300" i="17" s="1"/>
  <c r="M310" i="17" a="1"/>
  <c r="M310" i="17" s="1"/>
  <c r="M320" i="17" a="1"/>
  <c r="M320" i="17" s="1"/>
  <c r="M11" i="17" a="1"/>
  <c r="M11" i="17" s="1"/>
  <c r="M66" i="17" a="1"/>
  <c r="M66" i="17" s="1"/>
  <c r="M67" i="17" a="1"/>
  <c r="M67" i="17" s="1"/>
  <c r="M68" i="17" a="1"/>
  <c r="M68" i="17" s="1"/>
  <c r="M69" i="17" a="1"/>
  <c r="M69" i="17" s="1"/>
  <c r="M70" i="17" a="1"/>
  <c r="M70" i="17"/>
  <c r="M71" i="17" a="1"/>
  <c r="M71" i="17" s="1"/>
  <c r="M81" i="17" a="1"/>
  <c r="M81" i="17" s="1"/>
  <c r="M91" i="17" a="1"/>
  <c r="M91" i="17"/>
  <c r="M101" i="17" a="1"/>
  <c r="M101" i="17" s="1"/>
  <c r="M111" i="17" a="1"/>
  <c r="M111" i="17" s="1"/>
  <c r="M121" i="17" a="1"/>
  <c r="M121" i="17" s="1"/>
  <c r="M131" i="17" a="1"/>
  <c r="M131" i="17" s="1"/>
  <c r="M141" i="17" a="1"/>
  <c r="M141" i="17" s="1"/>
  <c r="M196" i="17" a="1"/>
  <c r="M196" i="17" s="1"/>
  <c r="M197" i="17" a="1"/>
  <c r="M197" i="17" s="1"/>
  <c r="M198" i="17" a="1"/>
  <c r="M198" i="17" s="1"/>
  <c r="M199" i="17" a="1"/>
  <c r="M199" i="17"/>
  <c r="M200" i="17" a="1"/>
  <c r="M200" i="17" s="1"/>
  <c r="M201" i="17" a="1"/>
  <c r="M201" i="17" s="1"/>
  <c r="M256" i="17" a="1"/>
  <c r="M256" i="17" s="1"/>
  <c r="M257" i="17" a="1"/>
  <c r="M257" i="17" s="1"/>
  <c r="M258" i="17" a="1"/>
  <c r="M258" i="17" s="1"/>
  <c r="M259" i="17" a="1"/>
  <c r="M259" i="17" s="1"/>
  <c r="M260" i="17" a="1"/>
  <c r="M260" i="17" s="1"/>
  <c r="M261" i="17" a="1"/>
  <c r="M261" i="17" s="1"/>
  <c r="M331" i="17" a="1"/>
  <c r="M331" i="17" s="1"/>
  <c r="M341" i="17" a="1"/>
  <c r="M341" i="17" s="1"/>
  <c r="M271" i="17" a="1"/>
  <c r="M271" i="17" s="1"/>
  <c r="M281" i="17" a="1"/>
  <c r="M281" i="17" s="1"/>
  <c r="M291" i="17" a="1"/>
  <c r="M291" i="17" s="1"/>
  <c r="M301" i="17" a="1"/>
  <c r="M301" i="17" s="1"/>
  <c r="M311" i="17" a="1"/>
  <c r="M311" i="17" s="1"/>
  <c r="M321" i="17" a="1"/>
  <c r="M321" i="17" s="1"/>
  <c r="N207" i="17" a="1"/>
  <c r="N207" i="17" s="1"/>
  <c r="N23" i="17" a="1"/>
  <c r="N23" i="17" s="1"/>
  <c r="N148" i="17" a="1"/>
  <c r="N148" i="17" s="1"/>
  <c r="N149" i="17" a="1"/>
  <c r="N149" i="17" s="1"/>
  <c r="N150" i="17" a="1"/>
  <c r="N150" i="17" s="1"/>
  <c r="N151" i="17" a="1"/>
  <c r="N151" i="17" s="1"/>
  <c r="N153" i="17" a="1"/>
  <c r="N153" i="17" s="1"/>
  <c r="N209" i="17" a="1"/>
  <c r="N209" i="17" s="1"/>
  <c r="N210" i="17" a="1"/>
  <c r="N210" i="17" s="1"/>
  <c r="N211" i="17" a="1"/>
  <c r="N211" i="17" s="1"/>
  <c r="N212" i="17" a="1"/>
  <c r="N212" i="17" s="1"/>
  <c r="N213" i="17" a="1"/>
  <c r="N213" i="17" s="1"/>
  <c r="N323" i="17" a="1"/>
  <c r="N323" i="17" s="1"/>
  <c r="N333" i="17" a="1"/>
  <c r="N333" i="17" s="1"/>
  <c r="N263" i="17" a="1"/>
  <c r="N263" i="17" s="1"/>
  <c r="N273" i="17" a="1"/>
  <c r="N273" i="17" s="1"/>
  <c r="N283" i="17" a="1"/>
  <c r="N283" i="17" s="1"/>
  <c r="N293" i="17" a="1"/>
  <c r="N293" i="17" s="1"/>
  <c r="N303" i="17" a="1"/>
  <c r="N303" i="17" s="1"/>
  <c r="N313" i="17" a="1"/>
  <c r="N313" i="17"/>
  <c r="N4" i="17" a="1"/>
  <c r="N4" i="17" s="1"/>
  <c r="N24" i="17" a="1"/>
  <c r="N24" i="17" s="1"/>
  <c r="N25" i="17" a="1"/>
  <c r="N25" i="17" s="1"/>
  <c r="N26" i="17" a="1"/>
  <c r="N26" i="17" s="1"/>
  <c r="N27" i="17" a="1"/>
  <c r="N27" i="17" s="1"/>
  <c r="N28" i="17" a="1"/>
  <c r="N28" i="17" s="1"/>
  <c r="N29" i="17" a="1"/>
  <c r="N29" i="17" s="1"/>
  <c r="N74" i="17" a="1"/>
  <c r="N74" i="17" s="1"/>
  <c r="N84" i="17" a="1"/>
  <c r="N84" i="17" s="1"/>
  <c r="N94" i="17" a="1"/>
  <c r="N94" i="17" s="1"/>
  <c r="N104" i="17" a="1"/>
  <c r="N104" i="17" s="1"/>
  <c r="N114" i="17" a="1"/>
  <c r="N114" i="17" s="1"/>
  <c r="N124" i="17" a="1"/>
  <c r="N124" i="17" s="1"/>
  <c r="N134" i="17" a="1"/>
  <c r="N134" i="17" s="1"/>
  <c r="N154" i="17" a="1"/>
  <c r="N154" i="17" s="1"/>
  <c r="N155" i="17" a="1"/>
  <c r="N155" i="17" s="1"/>
  <c r="N156" i="17" a="1"/>
  <c r="N156" i="17" s="1"/>
  <c r="N157" i="17" a="1"/>
  <c r="N157" i="17" s="1"/>
  <c r="N158" i="17" a="1"/>
  <c r="N158" i="17" s="1"/>
  <c r="N159" i="17" a="1"/>
  <c r="N159" i="17" s="1"/>
  <c r="N214" i="17" a="1"/>
  <c r="N214" i="17" s="1"/>
  <c r="N215" i="17" a="1"/>
  <c r="N215" i="17" s="1"/>
  <c r="N216" i="17" a="1"/>
  <c r="N216" i="17" s="1"/>
  <c r="N217" i="17" a="1"/>
  <c r="N217" i="17" s="1"/>
  <c r="N218" i="17" a="1"/>
  <c r="N218" i="17" s="1"/>
  <c r="N219" i="17" a="1"/>
  <c r="N219" i="17" s="1"/>
  <c r="N324" i="17" a="1"/>
  <c r="N324" i="17" s="1"/>
  <c r="N334" i="17" a="1"/>
  <c r="N334" i="17" s="1"/>
  <c r="N264" i="17" a="1"/>
  <c r="N264" i="17" s="1"/>
  <c r="N274" i="17" a="1"/>
  <c r="N274" i="17" s="1"/>
  <c r="N284" i="17" a="1"/>
  <c r="N284" i="17" s="1"/>
  <c r="N294" i="17" a="1"/>
  <c r="N294" i="17" s="1"/>
  <c r="N304" i="17" a="1"/>
  <c r="N304" i="17"/>
  <c r="N314" i="17" a="1"/>
  <c r="N314" i="17"/>
  <c r="N5" i="17" a="1"/>
  <c r="N5" i="17" s="1"/>
  <c r="N30" i="17" a="1"/>
  <c r="N30" i="17" s="1"/>
  <c r="N31" i="17" a="1"/>
  <c r="N31" i="17" s="1"/>
  <c r="N32" i="17" a="1"/>
  <c r="N32" i="17" s="1"/>
  <c r="N33" i="17" a="1"/>
  <c r="N33" i="17" s="1"/>
  <c r="N34" i="17" a="1"/>
  <c r="N34" i="17" s="1"/>
  <c r="N35" i="17" a="1"/>
  <c r="N35" i="17" s="1"/>
  <c r="N75" i="17" a="1"/>
  <c r="N75" i="17" s="1"/>
  <c r="N85" i="17" a="1"/>
  <c r="N85" i="17" s="1"/>
  <c r="N95" i="17" a="1"/>
  <c r="N95" i="17" s="1"/>
  <c r="N105" i="17" a="1"/>
  <c r="N105" i="17" s="1"/>
  <c r="N115" i="17" a="1"/>
  <c r="N115" i="17" s="1"/>
  <c r="N125" i="17" a="1"/>
  <c r="N125" i="17" s="1"/>
  <c r="N135" i="17" a="1"/>
  <c r="N135" i="17" s="1"/>
  <c r="N160" i="17" a="1"/>
  <c r="N160" i="17" s="1"/>
  <c r="N161" i="17" a="1"/>
  <c r="N161" i="17" s="1"/>
  <c r="N162" i="17" a="1"/>
  <c r="N162" i="17" s="1"/>
  <c r="N163" i="17" a="1"/>
  <c r="N163" i="17" s="1"/>
  <c r="N164" i="17" a="1"/>
  <c r="N164" i="17" s="1"/>
  <c r="N165" i="17" a="1"/>
  <c r="N165" i="17" s="1"/>
  <c r="N220" i="17" a="1"/>
  <c r="N220" i="17" s="1"/>
  <c r="N221" i="17" a="1"/>
  <c r="N221" i="17" s="1"/>
  <c r="N222" i="17" a="1"/>
  <c r="N222" i="17" s="1"/>
  <c r="N223" i="17" a="1"/>
  <c r="N223" i="17" s="1"/>
  <c r="N224" i="17" a="1"/>
  <c r="N224" i="17" s="1"/>
  <c r="N225" i="17" a="1"/>
  <c r="N225" i="17" s="1"/>
  <c r="N325" i="17" a="1"/>
  <c r="N325" i="17" s="1"/>
  <c r="N335" i="17" a="1"/>
  <c r="N335" i="17" s="1"/>
  <c r="N265" i="17" a="1"/>
  <c r="N265" i="17"/>
  <c r="N275" i="17" a="1"/>
  <c r="N275" i="17" s="1"/>
  <c r="N285" i="17" a="1"/>
  <c r="N285" i="17" s="1"/>
  <c r="N295" i="17" a="1"/>
  <c r="N295" i="17" s="1"/>
  <c r="N305" i="17" a="1"/>
  <c r="N305" i="17" s="1"/>
  <c r="N315" i="17" a="1"/>
  <c r="N315" i="17" s="1"/>
  <c r="N6" i="17" a="1"/>
  <c r="N6" i="17" s="1"/>
  <c r="N36" i="17" a="1"/>
  <c r="N36" i="17" s="1"/>
  <c r="N37" i="17" a="1"/>
  <c r="N37" i="17" s="1"/>
  <c r="N38" i="17" a="1"/>
  <c r="N38" i="17" s="1"/>
  <c r="N39" i="17" a="1"/>
  <c r="N39" i="17" s="1"/>
  <c r="N40" i="17" a="1"/>
  <c r="N40" i="17" s="1"/>
  <c r="N41" i="17" a="1"/>
  <c r="N41" i="17" s="1"/>
  <c r="N76" i="17" a="1"/>
  <c r="N76" i="17" s="1"/>
  <c r="N86" i="17" a="1"/>
  <c r="N86" i="17" s="1"/>
  <c r="N96" i="17" a="1"/>
  <c r="N96" i="17" s="1"/>
  <c r="N106" i="17" a="1"/>
  <c r="N106" i="17" s="1"/>
  <c r="N116" i="17" a="1"/>
  <c r="N116" i="17" s="1"/>
  <c r="N126" i="17" a="1"/>
  <c r="N126" i="17" s="1"/>
  <c r="N136" i="17" a="1"/>
  <c r="N136" i="17" s="1"/>
  <c r="N166" i="17" a="1"/>
  <c r="N166" i="17" s="1"/>
  <c r="N167" i="17" a="1"/>
  <c r="N167" i="17" s="1"/>
  <c r="N168" i="17" a="1"/>
  <c r="N168" i="17" s="1"/>
  <c r="N169" i="17" a="1"/>
  <c r="N169" i="17" s="1"/>
  <c r="N170" i="17" a="1"/>
  <c r="N170" i="17" s="1"/>
  <c r="N171" i="17" a="1"/>
  <c r="N171" i="17" s="1"/>
  <c r="N226" i="17" a="1"/>
  <c r="N226" i="17" s="1"/>
  <c r="N227" i="17" a="1"/>
  <c r="N227" i="17" s="1"/>
  <c r="N228" i="17" a="1"/>
  <c r="N228" i="17" s="1"/>
  <c r="N229" i="17" a="1"/>
  <c r="N229" i="17" s="1"/>
  <c r="N230" i="17" a="1"/>
  <c r="N230" i="17" s="1"/>
  <c r="N231" i="17" a="1"/>
  <c r="N231" i="17" s="1"/>
  <c r="N326" i="17" a="1"/>
  <c r="N326" i="17" s="1"/>
  <c r="N336" i="17" a="1"/>
  <c r="N336" i="17" s="1"/>
  <c r="N266" i="17" a="1"/>
  <c r="N266" i="17" s="1"/>
  <c r="N276" i="17" a="1"/>
  <c r="N276" i="17" s="1"/>
  <c r="N286" i="17" a="1"/>
  <c r="N286" i="17" s="1"/>
  <c r="N296" i="17" a="1"/>
  <c r="N296" i="17" s="1"/>
  <c r="N306" i="17" a="1"/>
  <c r="N306" i="17"/>
  <c r="N316" i="17" a="1"/>
  <c r="N316" i="17" s="1"/>
  <c r="N7" i="17" a="1"/>
  <c r="N7" i="17" s="1"/>
  <c r="N42" i="17" a="1"/>
  <c r="N42" i="17" s="1"/>
  <c r="N43" i="17" a="1"/>
  <c r="N43" i="17" s="1"/>
  <c r="N44" i="17" a="1"/>
  <c r="N44" i="17" s="1"/>
  <c r="N45" i="17" a="1"/>
  <c r="N45" i="17" s="1"/>
  <c r="N46" i="17" a="1"/>
  <c r="N46" i="17" s="1"/>
  <c r="N47" i="17" a="1"/>
  <c r="N47" i="17"/>
  <c r="N77" i="17" a="1"/>
  <c r="N77" i="17" s="1"/>
  <c r="N87" i="17" a="1"/>
  <c r="N87" i="17" s="1"/>
  <c r="N97" i="17" a="1"/>
  <c r="N97" i="17" s="1"/>
  <c r="N107" i="17" a="1"/>
  <c r="N107" i="17" s="1"/>
  <c r="N117" i="17" a="1"/>
  <c r="N117" i="17" s="1"/>
  <c r="N127" i="17" a="1"/>
  <c r="N127" i="17" s="1"/>
  <c r="N137" i="17" a="1"/>
  <c r="N137" i="17" s="1"/>
  <c r="N172" i="17" a="1"/>
  <c r="N172" i="17" s="1"/>
  <c r="N173" i="17" a="1"/>
  <c r="N173" i="17" s="1"/>
  <c r="N174" i="17" a="1"/>
  <c r="N174" i="17" s="1"/>
  <c r="N175" i="17" a="1"/>
  <c r="N175" i="17" s="1"/>
  <c r="N176" i="17" a="1"/>
  <c r="N176" i="17" s="1"/>
  <c r="N177" i="17" a="1"/>
  <c r="N177" i="17" s="1"/>
  <c r="N232" i="17" a="1"/>
  <c r="N232" i="17" s="1"/>
  <c r="N233" i="17" a="1"/>
  <c r="N233" i="17" s="1"/>
  <c r="N234" i="17" a="1"/>
  <c r="N234" i="17" s="1"/>
  <c r="N235" i="17" a="1"/>
  <c r="N235" i="17" s="1"/>
  <c r="N236" i="17" a="1"/>
  <c r="N236" i="17" s="1"/>
  <c r="N237" i="17" a="1"/>
  <c r="N237" i="17" s="1"/>
  <c r="N327" i="17" a="1"/>
  <c r="N327" i="17" s="1"/>
  <c r="N337" i="17" a="1"/>
  <c r="N337" i="17" s="1"/>
  <c r="N267" i="17" a="1"/>
  <c r="N267" i="17" s="1"/>
  <c r="N277" i="17" a="1"/>
  <c r="N277" i="17" s="1"/>
  <c r="N287" i="17" a="1"/>
  <c r="N287" i="17" s="1"/>
  <c r="N297" i="17" a="1"/>
  <c r="N297" i="17" s="1"/>
  <c r="N307" i="17" a="1"/>
  <c r="N307" i="17" s="1"/>
  <c r="N317" i="17" a="1"/>
  <c r="N317" i="17" s="1"/>
  <c r="N8" i="17" a="1"/>
  <c r="N8" i="17" s="1"/>
  <c r="N48" i="17" a="1"/>
  <c r="N48" i="17" s="1"/>
  <c r="N49" i="17" a="1"/>
  <c r="N49" i="17" s="1"/>
  <c r="N50" i="17" a="1"/>
  <c r="N50" i="17" s="1"/>
  <c r="N51" i="17" a="1"/>
  <c r="N51" i="17" s="1"/>
  <c r="N52" i="17" a="1"/>
  <c r="N52" i="17" s="1"/>
  <c r="N53" i="17" a="1"/>
  <c r="N53" i="17" s="1"/>
  <c r="N78" i="17" a="1"/>
  <c r="N78" i="17" s="1"/>
  <c r="N88" i="17" a="1"/>
  <c r="N88" i="17" s="1"/>
  <c r="N98" i="17" a="1"/>
  <c r="N98" i="17" s="1"/>
  <c r="N108" i="17" a="1"/>
  <c r="N108" i="17" s="1"/>
  <c r="N118" i="17" a="1"/>
  <c r="N118" i="17" s="1"/>
  <c r="N128" i="17" a="1"/>
  <c r="N128" i="17" s="1"/>
  <c r="N138" i="17" a="1"/>
  <c r="N138" i="17" s="1"/>
  <c r="N178" i="17" a="1"/>
  <c r="N178" i="17" s="1"/>
  <c r="N179" i="17" a="1"/>
  <c r="N179" i="17" s="1"/>
  <c r="N180" i="17" a="1"/>
  <c r="N180" i="17" s="1"/>
  <c r="N181" i="17" a="1"/>
  <c r="N181" i="17" s="1"/>
  <c r="N182" i="17" a="1"/>
  <c r="N182" i="17"/>
  <c r="N183" i="17" a="1"/>
  <c r="N183" i="17" s="1"/>
  <c r="N238" i="17" a="1"/>
  <c r="N238" i="17" s="1"/>
  <c r="N239" i="17" a="1"/>
  <c r="N239" i="17" s="1"/>
  <c r="N240" i="17" a="1"/>
  <c r="N240" i="17" s="1"/>
  <c r="N241" i="17" a="1"/>
  <c r="N241" i="17" s="1"/>
  <c r="N242" i="17" a="1"/>
  <c r="N242" i="17" s="1"/>
  <c r="N243" i="17" a="1"/>
  <c r="N243" i="17" s="1"/>
  <c r="N328" i="17" a="1"/>
  <c r="N328" i="17" s="1"/>
  <c r="N338" i="17" a="1"/>
  <c r="N338" i="17" s="1"/>
  <c r="N268" i="17" a="1"/>
  <c r="N268" i="17" s="1"/>
  <c r="N278" i="17" a="1"/>
  <c r="N278" i="17" s="1"/>
  <c r="N288" i="17" a="1"/>
  <c r="N288" i="17" s="1"/>
  <c r="N298" i="17" a="1"/>
  <c r="N298" i="17"/>
  <c r="N308" i="17" a="1"/>
  <c r="N308" i="17" s="1"/>
  <c r="N318" i="17" a="1"/>
  <c r="N318" i="17" s="1"/>
  <c r="N9" i="17" a="1"/>
  <c r="N9" i="17" s="1"/>
  <c r="N54" i="17" a="1"/>
  <c r="N54" i="17" s="1"/>
  <c r="N55" i="17" a="1"/>
  <c r="N55" i="17" s="1"/>
  <c r="N56" i="17" a="1"/>
  <c r="N56" i="17" s="1"/>
  <c r="N57" i="17" a="1"/>
  <c r="N57" i="17" s="1"/>
  <c r="N58" i="17" a="1"/>
  <c r="N58" i="17" s="1"/>
  <c r="N59" i="17" a="1"/>
  <c r="N59" i="17" s="1"/>
  <c r="N79" i="17" a="1"/>
  <c r="N79" i="17" s="1"/>
  <c r="N89" i="17" a="1"/>
  <c r="N89" i="17" s="1"/>
  <c r="N99" i="17" a="1"/>
  <c r="N99" i="17" s="1"/>
  <c r="N109" i="17" a="1"/>
  <c r="N109" i="17" s="1"/>
  <c r="N119" i="17" a="1"/>
  <c r="N119" i="17" s="1"/>
  <c r="N129" i="17" a="1"/>
  <c r="N129" i="17" s="1"/>
  <c r="N139" i="17" a="1"/>
  <c r="N139" i="17" s="1"/>
  <c r="N184" i="17" a="1"/>
  <c r="N184" i="17" s="1"/>
  <c r="N185" i="17" a="1"/>
  <c r="N185" i="17" s="1"/>
  <c r="N186" i="17" a="1"/>
  <c r="N186" i="17" s="1"/>
  <c r="N187" i="17" a="1"/>
  <c r="N187" i="17" s="1"/>
  <c r="N188" i="17" a="1"/>
  <c r="N188" i="17" s="1"/>
  <c r="N189" i="17" a="1"/>
  <c r="N189" i="17" s="1"/>
  <c r="N244" i="17" a="1"/>
  <c r="N244" i="17" s="1"/>
  <c r="N245" i="17" a="1"/>
  <c r="N245" i="17" s="1"/>
  <c r="N246" i="17" a="1"/>
  <c r="N246" i="17" s="1"/>
  <c r="N247" i="17" a="1"/>
  <c r="N247" i="17"/>
  <c r="N248" i="17" a="1"/>
  <c r="N248" i="17" s="1"/>
  <c r="N249" i="17" a="1"/>
  <c r="N249" i="17" s="1"/>
  <c r="N329" i="17" a="1"/>
  <c r="N329" i="17"/>
  <c r="N339" i="17" a="1"/>
  <c r="N339" i="17" s="1"/>
  <c r="N269" i="17" a="1"/>
  <c r="N269" i="17" s="1"/>
  <c r="N279" i="17" a="1"/>
  <c r="N279" i="17" s="1"/>
  <c r="N289" i="17" a="1"/>
  <c r="N289" i="17" s="1"/>
  <c r="N299" i="17" a="1"/>
  <c r="N299" i="17" s="1"/>
  <c r="N309" i="17" a="1"/>
  <c r="N309" i="17" s="1"/>
  <c r="N319" i="17" a="1"/>
  <c r="N319" i="17" s="1"/>
  <c r="N10" i="17" a="1"/>
  <c r="N10" i="17" s="1"/>
  <c r="N60" i="17" a="1"/>
  <c r="N60" i="17"/>
  <c r="N61" i="17" a="1"/>
  <c r="N61" i="17" s="1"/>
  <c r="N62" i="17" a="1"/>
  <c r="N62" i="17" s="1"/>
  <c r="N63" i="17" a="1"/>
  <c r="N63" i="17" s="1"/>
  <c r="N64" i="17" a="1"/>
  <c r="N64" i="17" s="1"/>
  <c r="N65" i="17" a="1"/>
  <c r="N65" i="17" s="1"/>
  <c r="N80" i="17" a="1"/>
  <c r="N80" i="17" s="1"/>
  <c r="N90" i="17" a="1"/>
  <c r="N90" i="17" s="1"/>
  <c r="N100" i="17" a="1"/>
  <c r="N100" i="17" s="1"/>
  <c r="N110" i="17" a="1"/>
  <c r="N110" i="17" s="1"/>
  <c r="N120" i="17" a="1"/>
  <c r="N120" i="17" s="1"/>
  <c r="N130" i="17" a="1"/>
  <c r="N130" i="17" s="1"/>
  <c r="N140" i="17" a="1"/>
  <c r="N140" i="17" s="1"/>
  <c r="N190" i="17" a="1"/>
  <c r="N190" i="17" s="1"/>
  <c r="N191" i="17" a="1"/>
  <c r="N191" i="17" s="1"/>
  <c r="N192" i="17" a="1"/>
  <c r="N192" i="17" s="1"/>
  <c r="N193" i="17" a="1"/>
  <c r="N193" i="17" s="1"/>
  <c r="N194" i="17" a="1"/>
  <c r="N194" i="17" s="1"/>
  <c r="N195" i="17" a="1"/>
  <c r="N195" i="17" s="1"/>
  <c r="N250" i="17" a="1"/>
  <c r="N250" i="17" s="1"/>
  <c r="N251" i="17" a="1"/>
  <c r="N251" i="17" s="1"/>
  <c r="N252" i="17" a="1"/>
  <c r="N252" i="17" s="1"/>
  <c r="N253" i="17" a="1"/>
  <c r="N253" i="17" s="1"/>
  <c r="N254" i="17" a="1"/>
  <c r="N254" i="17" s="1"/>
  <c r="N255" i="17" a="1"/>
  <c r="N255" i="17" s="1"/>
  <c r="N330" i="17" a="1"/>
  <c r="N330" i="17" s="1"/>
  <c r="N340" i="17" a="1"/>
  <c r="N340" i="17" s="1"/>
  <c r="N270" i="17" a="1"/>
  <c r="N270" i="17" s="1"/>
  <c r="N280" i="17" a="1"/>
  <c r="N280" i="17" s="1"/>
  <c r="N290" i="17" a="1"/>
  <c r="N290" i="17" s="1"/>
  <c r="N300" i="17" a="1"/>
  <c r="N300" i="17" s="1"/>
  <c r="N310" i="17" a="1"/>
  <c r="N310" i="17" s="1"/>
  <c r="N320" i="17" a="1"/>
  <c r="N320" i="17" s="1"/>
  <c r="N11" i="17" a="1"/>
  <c r="N11" i="17" s="1"/>
  <c r="N66" i="17" a="1"/>
  <c r="N66" i="17" s="1"/>
  <c r="N67" i="17" a="1"/>
  <c r="N67" i="17" s="1"/>
  <c r="N68" i="17" a="1"/>
  <c r="N68" i="17" s="1"/>
  <c r="N69" i="17" a="1"/>
  <c r="N69" i="17" s="1"/>
  <c r="N70" i="17" a="1"/>
  <c r="N70" i="17" s="1"/>
  <c r="N71" i="17" a="1"/>
  <c r="N71" i="17" s="1"/>
  <c r="N81" i="17" a="1"/>
  <c r="N81" i="17" s="1"/>
  <c r="N91" i="17" a="1"/>
  <c r="N91" i="17" s="1"/>
  <c r="N101" i="17" a="1"/>
  <c r="N101" i="17" s="1"/>
  <c r="N111" i="17" a="1"/>
  <c r="N111" i="17"/>
  <c r="N121" i="17" a="1"/>
  <c r="N121" i="17" s="1"/>
  <c r="N131" i="17" a="1"/>
  <c r="N131" i="17" s="1"/>
  <c r="N141" i="17" a="1"/>
  <c r="N141" i="17" s="1"/>
  <c r="N196" i="17" a="1"/>
  <c r="N196" i="17"/>
  <c r="N197" i="17" a="1"/>
  <c r="N197" i="17" s="1"/>
  <c r="N198" i="17" a="1"/>
  <c r="N198" i="17" s="1"/>
  <c r="N199" i="17" a="1"/>
  <c r="N199" i="17" s="1"/>
  <c r="N200" i="17" a="1"/>
  <c r="N200" i="17" s="1"/>
  <c r="N201" i="17" a="1"/>
  <c r="N201" i="17" s="1"/>
  <c r="N256" i="17" a="1"/>
  <c r="N256" i="17" s="1"/>
  <c r="N257" i="17" a="1"/>
  <c r="N257" i="17" s="1"/>
  <c r="N258" i="17" a="1"/>
  <c r="N258" i="17" s="1"/>
  <c r="N259" i="17" a="1"/>
  <c r="N259" i="17" s="1"/>
  <c r="N260" i="17" a="1"/>
  <c r="N260" i="17" s="1"/>
  <c r="N261" i="17" a="1"/>
  <c r="N261" i="17" s="1"/>
  <c r="N331" i="17" a="1"/>
  <c r="N331" i="17" s="1"/>
  <c r="N341" i="17" a="1"/>
  <c r="N341" i="17" s="1"/>
  <c r="N271" i="17" a="1"/>
  <c r="N271" i="17"/>
  <c r="N281" i="17" a="1"/>
  <c r="N281" i="17" s="1"/>
  <c r="N291" i="17" a="1"/>
  <c r="N291" i="17" s="1"/>
  <c r="N301" i="17" a="1"/>
  <c r="N301" i="17" s="1"/>
  <c r="N311" i="17" a="1"/>
  <c r="N311" i="17" s="1"/>
  <c r="N321" i="17" a="1"/>
  <c r="N321" i="17" s="1"/>
  <c r="O2" i="17" a="1"/>
  <c r="O2" i="17" s="1"/>
  <c r="O12" i="17" a="1"/>
  <c r="O12" i="17" s="1"/>
  <c r="O13" i="17" a="1"/>
  <c r="O13" i="17" s="1"/>
  <c r="O14" i="17" a="1"/>
  <c r="O14" i="17" s="1"/>
  <c r="O15" i="17" a="1"/>
  <c r="O15" i="17" s="1"/>
  <c r="O16" i="17" a="1"/>
  <c r="O16" i="17"/>
  <c r="O17" i="17" a="1"/>
  <c r="O17" i="17" s="1"/>
  <c r="O72" i="17" a="1"/>
  <c r="O72" i="17" s="1"/>
  <c r="O82" i="17" a="1"/>
  <c r="O82" i="17" s="1"/>
  <c r="O92" i="17" a="1"/>
  <c r="O92" i="17"/>
  <c r="O102" i="17" a="1"/>
  <c r="O102" i="17" s="1"/>
  <c r="O112" i="17" a="1"/>
  <c r="O112" i="17" s="1"/>
  <c r="O122" i="17" a="1"/>
  <c r="O122" i="17" s="1"/>
  <c r="O132" i="17" a="1"/>
  <c r="O132" i="17" s="1"/>
  <c r="O142" i="17" a="1"/>
  <c r="O142" i="17" s="1"/>
  <c r="O143" i="17" a="1"/>
  <c r="O143" i="17" s="1"/>
  <c r="O144" i="17" a="1"/>
  <c r="O144" i="17" s="1"/>
  <c r="O145" i="17" a="1"/>
  <c r="O145" i="17" s="1"/>
  <c r="O146" i="17" a="1"/>
  <c r="O146" i="17" s="1"/>
  <c r="O147" i="17" a="1"/>
  <c r="O147" i="17" s="1"/>
  <c r="O202" i="17" a="1"/>
  <c r="O202" i="17" s="1"/>
  <c r="O203" i="17" a="1"/>
  <c r="O203" i="17" s="1"/>
  <c r="O204" i="17" a="1"/>
  <c r="O204" i="17" s="1"/>
  <c r="O205" i="17" a="1"/>
  <c r="O205" i="17" s="1"/>
  <c r="O206" i="17" a="1"/>
  <c r="O206" i="17" s="1"/>
  <c r="O207" i="17" a="1"/>
  <c r="O207" i="17" s="1"/>
  <c r="O322" i="17" a="1"/>
  <c r="O322" i="17" s="1"/>
  <c r="O332" i="17" a="1"/>
  <c r="O332" i="17" s="1"/>
  <c r="O262" i="17" a="1"/>
  <c r="O262" i="17" s="1"/>
  <c r="O272" i="17" a="1"/>
  <c r="O272" i="17" s="1"/>
  <c r="O282" i="17" a="1"/>
  <c r="O282" i="17" s="1"/>
  <c r="O292" i="17" a="1"/>
  <c r="O292" i="17" s="1"/>
  <c r="O302" i="17" a="1"/>
  <c r="O302" i="17" s="1"/>
  <c r="O312" i="17" a="1"/>
  <c r="O312" i="17" s="1"/>
  <c r="O3" i="17" a="1"/>
  <c r="O3" i="17" s="1"/>
  <c r="O18" i="17" a="1"/>
  <c r="O18" i="17" s="1"/>
  <c r="O19" i="17" a="1"/>
  <c r="O19" i="17" s="1"/>
  <c r="O20" i="17" a="1"/>
  <c r="O20" i="17" s="1"/>
  <c r="O21" i="17" a="1"/>
  <c r="O21" i="17"/>
  <c r="O22" i="17" a="1"/>
  <c r="O22" i="17" s="1"/>
  <c r="O23" i="17" a="1"/>
  <c r="O23" i="17" s="1"/>
  <c r="O73" i="17" a="1"/>
  <c r="O73" i="17" s="1"/>
  <c r="O83" i="17" a="1"/>
  <c r="O83" i="17" s="1"/>
  <c r="O93" i="17" a="1"/>
  <c r="O93" i="17" s="1"/>
  <c r="O103" i="17" a="1"/>
  <c r="O103" i="17" s="1"/>
  <c r="O113" i="17" a="1"/>
  <c r="O113" i="17" s="1"/>
  <c r="O123" i="17" a="1"/>
  <c r="O123" i="17" s="1"/>
  <c r="O133" i="17" a="1"/>
  <c r="O133" i="17" s="1"/>
  <c r="O148" i="17" a="1"/>
  <c r="O148" i="17" s="1"/>
  <c r="O149" i="17" a="1"/>
  <c r="O149" i="17" s="1"/>
  <c r="O150" i="17" a="1"/>
  <c r="O150" i="17" s="1"/>
  <c r="O151" i="17" a="1"/>
  <c r="O151" i="17" s="1"/>
  <c r="O152" i="17" a="1"/>
  <c r="O152" i="17"/>
  <c r="O153" i="17" a="1"/>
  <c r="O153" i="17" s="1"/>
  <c r="O208" i="17" a="1"/>
  <c r="O208" i="17" s="1"/>
  <c r="O209" i="17" a="1"/>
  <c r="O209" i="17" s="1"/>
  <c r="O210" i="17" a="1"/>
  <c r="O210" i="17" s="1"/>
  <c r="O211" i="17" a="1"/>
  <c r="O211" i="17" s="1"/>
  <c r="O212" i="17" a="1"/>
  <c r="O212" i="17" s="1"/>
  <c r="O213" i="17" a="1"/>
  <c r="O213" i="17" s="1"/>
  <c r="O323" i="17" a="1"/>
  <c r="O323" i="17" s="1"/>
  <c r="O333" i="17" a="1"/>
  <c r="O333" i="17" s="1"/>
  <c r="O263" i="17" a="1"/>
  <c r="O263" i="17" s="1"/>
  <c r="O273" i="17" a="1"/>
  <c r="O273" i="17" s="1"/>
  <c r="O283" i="17" a="1"/>
  <c r="O283" i="17" s="1"/>
  <c r="O293" i="17" a="1"/>
  <c r="O293" i="17" s="1"/>
  <c r="O303" i="17" a="1"/>
  <c r="O303" i="17"/>
  <c r="O313" i="17" a="1"/>
  <c r="O313" i="17" s="1"/>
  <c r="O4" i="17" a="1"/>
  <c r="O4" i="17" s="1"/>
  <c r="O24" i="17" a="1"/>
  <c r="O24" i="17" s="1"/>
  <c r="O25" i="17" a="1"/>
  <c r="O25" i="17" s="1"/>
  <c r="O26" i="17" a="1"/>
  <c r="O26" i="17" s="1"/>
  <c r="O27" i="17" a="1"/>
  <c r="O27" i="17" s="1"/>
  <c r="O28" i="17" a="1"/>
  <c r="O28" i="17" s="1"/>
  <c r="O29" i="17" a="1"/>
  <c r="O29" i="17" s="1"/>
  <c r="O74" i="17" a="1"/>
  <c r="O74" i="17" s="1"/>
  <c r="O84" i="17" a="1"/>
  <c r="O84" i="17" s="1"/>
  <c r="O94" i="17" a="1"/>
  <c r="O94" i="17" s="1"/>
  <c r="O104" i="17" a="1"/>
  <c r="O104" i="17" s="1"/>
  <c r="O114" i="17" a="1"/>
  <c r="O114" i="17" s="1"/>
  <c r="O124" i="17" a="1"/>
  <c r="O124" i="17" s="1"/>
  <c r="O134" i="17" a="1"/>
  <c r="O134" i="17" s="1"/>
  <c r="O154" i="17" a="1"/>
  <c r="O154" i="17" s="1"/>
  <c r="O155" i="17" a="1"/>
  <c r="O155" i="17" s="1"/>
  <c r="O156" i="17" a="1"/>
  <c r="O156" i="17" s="1"/>
  <c r="O157" i="17" a="1"/>
  <c r="O157" i="17" s="1"/>
  <c r="O158" i="17" a="1"/>
  <c r="O158" i="17" s="1"/>
  <c r="O159" i="17" a="1"/>
  <c r="O159" i="17" s="1"/>
  <c r="O214" i="17" a="1"/>
  <c r="O214" i="17" s="1"/>
  <c r="O215" i="17" a="1"/>
  <c r="O215" i="17" s="1"/>
  <c r="O216" i="17" a="1"/>
  <c r="O216" i="17" s="1"/>
  <c r="O217" i="17" a="1"/>
  <c r="O217" i="17" s="1"/>
  <c r="O218" i="17" a="1"/>
  <c r="O218" i="17" s="1"/>
  <c r="O219" i="17" a="1"/>
  <c r="O219" i="17" s="1"/>
  <c r="O324" i="17" a="1"/>
  <c r="O324" i="17" s="1"/>
  <c r="O334" i="17" a="1"/>
  <c r="O334" i="17" s="1"/>
  <c r="O264" i="17" a="1"/>
  <c r="O264" i="17" s="1"/>
  <c r="O274" i="17" a="1"/>
  <c r="O274" i="17" s="1"/>
  <c r="O284" i="17" a="1"/>
  <c r="O284" i="17" s="1"/>
  <c r="O294" i="17" a="1"/>
  <c r="O294" i="17" s="1"/>
  <c r="O304" i="17" a="1"/>
  <c r="O304" i="17" s="1"/>
  <c r="O314" i="17" a="1"/>
  <c r="O314" i="17" s="1"/>
  <c r="O5" i="17" a="1"/>
  <c r="O5" i="17" s="1"/>
  <c r="O30" i="17" a="1"/>
  <c r="O30" i="17" s="1"/>
  <c r="O31" i="17" a="1"/>
  <c r="O31" i="17" s="1"/>
  <c r="O32" i="17" a="1"/>
  <c r="O32" i="17" s="1"/>
  <c r="O33" i="17" a="1"/>
  <c r="O33" i="17" s="1"/>
  <c r="O34" i="17" a="1"/>
  <c r="O34" i="17" s="1"/>
  <c r="O35" i="17" a="1"/>
  <c r="O35" i="17" s="1"/>
  <c r="O75" i="17" a="1"/>
  <c r="O75" i="17" s="1"/>
  <c r="O85" i="17" a="1"/>
  <c r="O85" i="17" s="1"/>
  <c r="O95" i="17" a="1"/>
  <c r="O95" i="17"/>
  <c r="O105" i="17" a="1"/>
  <c r="O105" i="17"/>
  <c r="O115" i="17" a="1"/>
  <c r="O115" i="17" s="1"/>
  <c r="O125" i="17" a="1"/>
  <c r="O125" i="17" s="1"/>
  <c r="O135" i="17" a="1"/>
  <c r="O135" i="17" s="1"/>
  <c r="O160" i="17" a="1"/>
  <c r="O160" i="17" s="1"/>
  <c r="O161" i="17" a="1"/>
  <c r="O161" i="17" s="1"/>
  <c r="O162" i="17" a="1"/>
  <c r="O162" i="17" s="1"/>
  <c r="O163" i="17" a="1"/>
  <c r="O163" i="17" s="1"/>
  <c r="O164" i="17" a="1"/>
  <c r="O164" i="17" s="1"/>
  <c r="O165" i="17" a="1"/>
  <c r="O165" i="17" s="1"/>
  <c r="O220" i="17" a="1"/>
  <c r="O220" i="17" s="1"/>
  <c r="O221" i="17" a="1"/>
  <c r="O221" i="17" s="1"/>
  <c r="O222" i="17" a="1"/>
  <c r="O222" i="17" s="1"/>
  <c r="O223" i="17" a="1"/>
  <c r="O223" i="17" s="1"/>
  <c r="O224" i="17" a="1"/>
  <c r="O224" i="17" s="1"/>
  <c r="O225" i="17" a="1"/>
  <c r="O225" i="17" s="1"/>
  <c r="O325" i="17" a="1"/>
  <c r="O325" i="17" s="1"/>
  <c r="O335" i="17" a="1"/>
  <c r="O335" i="17" s="1"/>
  <c r="O265" i="17" a="1"/>
  <c r="O265" i="17" s="1"/>
  <c r="O275" i="17" a="1"/>
  <c r="O275" i="17" s="1"/>
  <c r="O285" i="17" a="1"/>
  <c r="O285" i="17" s="1"/>
  <c r="O295" i="17" a="1"/>
  <c r="O295" i="17" s="1"/>
  <c r="O305" i="17" a="1"/>
  <c r="O305" i="17" s="1"/>
  <c r="O315" i="17" a="1"/>
  <c r="O315" i="17" s="1"/>
  <c r="O6" i="17" a="1"/>
  <c r="O6" i="17" s="1"/>
  <c r="O36" i="17" a="1"/>
  <c r="O36" i="17"/>
  <c r="O37" i="17" a="1"/>
  <c r="O37" i="17" s="1"/>
  <c r="O38" i="17" a="1"/>
  <c r="O38" i="17" s="1"/>
  <c r="O39" i="17" a="1"/>
  <c r="O39" i="17" s="1"/>
  <c r="O40" i="17" a="1"/>
  <c r="O40" i="17" s="1"/>
  <c r="O41" i="17" a="1"/>
  <c r="O41" i="17" s="1"/>
  <c r="O76" i="17" a="1"/>
  <c r="O76" i="17" s="1"/>
  <c r="O86" i="17" a="1"/>
  <c r="O86" i="17" s="1"/>
  <c r="O96" i="17" a="1"/>
  <c r="O96" i="17" s="1"/>
  <c r="O106" i="17" a="1"/>
  <c r="O106" i="17" s="1"/>
  <c r="O116" i="17" a="1"/>
  <c r="O116" i="17" s="1"/>
  <c r="O126" i="17" a="1"/>
  <c r="O126" i="17" s="1"/>
  <c r="O136" i="17" a="1"/>
  <c r="O136" i="17" s="1"/>
  <c r="O166" i="17" a="1"/>
  <c r="O166" i="17" s="1"/>
  <c r="O167" i="17" a="1"/>
  <c r="O167" i="17" s="1"/>
  <c r="O168" i="17" a="1"/>
  <c r="O168" i="17" s="1"/>
  <c r="O169" i="17" a="1"/>
  <c r="O169" i="17" s="1"/>
  <c r="O170" i="17" a="1"/>
  <c r="O170" i="17" s="1"/>
  <c r="O171" i="17" a="1"/>
  <c r="O171" i="17" s="1"/>
  <c r="O226" i="17" a="1"/>
  <c r="O226" i="17" s="1"/>
  <c r="O227" i="17" a="1"/>
  <c r="O227" i="17" s="1"/>
  <c r="O228" i="17" a="1"/>
  <c r="O228" i="17" s="1"/>
  <c r="O229" i="17" a="1"/>
  <c r="O229" i="17" s="1"/>
  <c r="O230" i="17" a="1"/>
  <c r="O230" i="17" s="1"/>
  <c r="O231" i="17" a="1"/>
  <c r="O231" i="17" s="1"/>
  <c r="O326" i="17" a="1"/>
  <c r="O326" i="17" s="1"/>
  <c r="O336" i="17" a="1"/>
  <c r="O336" i="17" s="1"/>
  <c r="O266" i="17" a="1"/>
  <c r="O266" i="17" s="1"/>
  <c r="O276" i="17" a="1"/>
  <c r="O276" i="17" s="1"/>
  <c r="O286" i="17" a="1"/>
  <c r="O286" i="17" s="1"/>
  <c r="O296" i="17" a="1"/>
  <c r="O296" i="17" s="1"/>
  <c r="O306" i="17" a="1"/>
  <c r="O306" i="17" s="1"/>
  <c r="O316" i="17" a="1"/>
  <c r="O316" i="17" s="1"/>
  <c r="O7" i="17" a="1"/>
  <c r="O7" i="17" s="1"/>
  <c r="O42" i="17" a="1"/>
  <c r="O42" i="17" s="1"/>
  <c r="O43" i="17" a="1"/>
  <c r="O43" i="17" s="1"/>
  <c r="O44" i="17" a="1"/>
  <c r="O44" i="17" s="1"/>
  <c r="O45" i="17" a="1"/>
  <c r="O45" i="17" s="1"/>
  <c r="O46" i="17" a="1"/>
  <c r="O46" i="17" s="1"/>
  <c r="O47" i="17" a="1"/>
  <c r="O47" i="17" s="1"/>
  <c r="O77" i="17" a="1"/>
  <c r="O77" i="17" s="1"/>
  <c r="O87" i="17" a="1"/>
  <c r="O87" i="17" s="1"/>
  <c r="O97" i="17" a="1"/>
  <c r="O97" i="17"/>
  <c r="O107" i="17" a="1"/>
  <c r="O107" i="17" s="1"/>
  <c r="O117" i="17" a="1"/>
  <c r="O117" i="17" s="1"/>
  <c r="O127" i="17" a="1"/>
  <c r="O127" i="17" s="1"/>
  <c r="O137" i="17" a="1"/>
  <c r="O137" i="17" s="1"/>
  <c r="O172" i="17" a="1"/>
  <c r="O172" i="17" s="1"/>
  <c r="O173" i="17" a="1"/>
  <c r="O173" i="17" s="1"/>
  <c r="O174" i="17" a="1"/>
  <c r="O174" i="17" s="1"/>
  <c r="O175" i="17" a="1"/>
  <c r="O175" i="17" s="1"/>
  <c r="O176" i="17" a="1"/>
  <c r="O176" i="17" s="1"/>
  <c r="O177" i="17" a="1"/>
  <c r="O177" i="17" s="1"/>
  <c r="O232" i="17" a="1"/>
  <c r="O232" i="17" s="1"/>
  <c r="O233" i="17" a="1"/>
  <c r="O233" i="17" s="1"/>
  <c r="O234" i="17" a="1"/>
  <c r="O234" i="17" s="1"/>
  <c r="O235" i="17" a="1"/>
  <c r="O235" i="17" s="1"/>
  <c r="O236" i="17" a="1"/>
  <c r="O236" i="17" s="1"/>
  <c r="O237" i="17" a="1"/>
  <c r="O237" i="17" s="1"/>
  <c r="O327" i="17" a="1"/>
  <c r="O327" i="17" s="1"/>
  <c r="O337" i="17" a="1"/>
  <c r="O337" i="17" s="1"/>
  <c r="O267" i="17" a="1"/>
  <c r="O267" i="17" s="1"/>
  <c r="O277" i="17" a="1"/>
  <c r="O277" i="17" s="1"/>
  <c r="O287" i="17" a="1"/>
  <c r="O287" i="17" s="1"/>
  <c r="O297" i="17" a="1"/>
  <c r="O297" i="17" s="1"/>
  <c r="O307" i="17" a="1"/>
  <c r="O307" i="17" s="1"/>
  <c r="O317" i="17" a="1"/>
  <c r="O317" i="17" s="1"/>
  <c r="O8" i="17" a="1"/>
  <c r="O8" i="17" s="1"/>
  <c r="O48" i="17" a="1"/>
  <c r="O48" i="17" s="1"/>
  <c r="O49" i="17" a="1"/>
  <c r="O49" i="17" s="1"/>
  <c r="O50" i="17" a="1"/>
  <c r="O50" i="17" s="1"/>
  <c r="O51" i="17" a="1"/>
  <c r="O51" i="17" s="1"/>
  <c r="O52" i="17" a="1"/>
  <c r="O52" i="17" s="1"/>
  <c r="O53" i="17" a="1"/>
  <c r="O53" i="17"/>
  <c r="O78" i="17" a="1"/>
  <c r="O78" i="17" s="1"/>
  <c r="O88" i="17" a="1"/>
  <c r="O88" i="17" s="1"/>
  <c r="O98" i="17" a="1"/>
  <c r="O98" i="17" s="1"/>
  <c r="O108" i="17" a="1"/>
  <c r="O108" i="17" s="1"/>
  <c r="O118" i="17" a="1"/>
  <c r="O118" i="17" s="1"/>
  <c r="O128" i="17" a="1"/>
  <c r="O128" i="17" s="1"/>
  <c r="O138" i="17" a="1"/>
  <c r="O138" i="17" s="1"/>
  <c r="O178" i="17" a="1"/>
  <c r="O178" i="17" s="1"/>
  <c r="O179" i="17" a="1"/>
  <c r="O179" i="17" s="1"/>
  <c r="O180" i="17" a="1"/>
  <c r="O180" i="17" s="1"/>
  <c r="O181" i="17" a="1"/>
  <c r="O181" i="17" s="1"/>
  <c r="O182" i="17" a="1"/>
  <c r="O182" i="17" s="1"/>
  <c r="O183" i="17" a="1"/>
  <c r="O183" i="17" s="1"/>
  <c r="O238" i="17" a="1"/>
  <c r="O238" i="17" s="1"/>
  <c r="O239" i="17" a="1"/>
  <c r="O239" i="17" s="1"/>
  <c r="O240" i="17" a="1"/>
  <c r="O240" i="17" s="1"/>
  <c r="O241" i="17" a="1"/>
  <c r="O241" i="17" s="1"/>
  <c r="O242" i="17" a="1"/>
  <c r="O242" i="17" s="1"/>
  <c r="O243" i="17" a="1"/>
  <c r="O243" i="17" s="1"/>
  <c r="O328" i="17" a="1"/>
  <c r="O328" i="17" s="1"/>
  <c r="O338" i="17" a="1"/>
  <c r="O338" i="17" s="1"/>
  <c r="O268" i="17" a="1"/>
  <c r="O268" i="17" s="1"/>
  <c r="O278" i="17" a="1"/>
  <c r="O278" i="17" s="1"/>
  <c r="O288" i="17" a="1"/>
  <c r="O288" i="17" s="1"/>
  <c r="O298" i="17" a="1"/>
  <c r="O298" i="17" s="1"/>
  <c r="O308" i="17" a="1"/>
  <c r="O308" i="17" s="1"/>
  <c r="O318" i="17" a="1"/>
  <c r="O318" i="17" s="1"/>
  <c r="O9" i="17" a="1"/>
  <c r="O9" i="17" s="1"/>
  <c r="O54" i="17" a="1"/>
  <c r="O54" i="17" s="1"/>
  <c r="O55" i="17" a="1"/>
  <c r="O55" i="17" s="1"/>
  <c r="O56" i="17" a="1"/>
  <c r="O56" i="17" s="1"/>
  <c r="O57" i="17" a="1"/>
  <c r="O57" i="17"/>
  <c r="O58" i="17" a="1"/>
  <c r="O58" i="17" s="1"/>
  <c r="O59" i="17" a="1"/>
  <c r="O59" i="17" s="1"/>
  <c r="O79" i="17" a="1"/>
  <c r="O79" i="17" s="1"/>
  <c r="O89" i="17" a="1"/>
  <c r="O89" i="17" s="1"/>
  <c r="O99" i="17" a="1"/>
  <c r="O99" i="17" s="1"/>
  <c r="O109" i="17" a="1"/>
  <c r="O109" i="17" s="1"/>
  <c r="O119" i="17" a="1"/>
  <c r="O119" i="17" s="1"/>
  <c r="O129" i="17" a="1"/>
  <c r="O129" i="17" s="1"/>
  <c r="O139" i="17" a="1"/>
  <c r="O139" i="17" s="1"/>
  <c r="O184" i="17" a="1"/>
  <c r="O184" i="17" s="1"/>
  <c r="O185" i="17" a="1"/>
  <c r="O185" i="17" s="1"/>
  <c r="O186" i="17" a="1"/>
  <c r="O186" i="17" s="1"/>
  <c r="O187" i="17" a="1"/>
  <c r="O187" i="17" s="1"/>
  <c r="O188" i="17" a="1"/>
  <c r="O188" i="17" s="1"/>
  <c r="O189" i="17" a="1"/>
  <c r="O189" i="17" s="1"/>
  <c r="O244" i="17" a="1"/>
  <c r="O244" i="17" s="1"/>
  <c r="O245" i="17" a="1"/>
  <c r="O245" i="17" s="1"/>
  <c r="O246" i="17" a="1"/>
  <c r="O246" i="17" s="1"/>
  <c r="O247" i="17" a="1"/>
  <c r="O247" i="17" s="1"/>
  <c r="O248" i="17" a="1"/>
  <c r="O248" i="17" s="1"/>
  <c r="O249" i="17" a="1"/>
  <c r="O249" i="17" s="1"/>
  <c r="O329" i="17" a="1"/>
  <c r="O329" i="17" s="1"/>
  <c r="O339" i="17" a="1"/>
  <c r="O339" i="17" s="1"/>
  <c r="O269" i="17" a="1"/>
  <c r="O269" i="17" s="1"/>
  <c r="O279" i="17" a="1"/>
  <c r="O279" i="17" s="1"/>
  <c r="O289" i="17" a="1"/>
  <c r="O289" i="17" s="1"/>
  <c r="O299" i="17" a="1"/>
  <c r="O299" i="17" s="1"/>
  <c r="O309" i="17" a="1"/>
  <c r="O309" i="17" s="1"/>
  <c r="O319" i="17" a="1"/>
  <c r="O319" i="17" s="1"/>
  <c r="O10" i="17" a="1"/>
  <c r="O10" i="17" s="1"/>
  <c r="O60" i="17" a="1"/>
  <c r="O60" i="17" s="1"/>
  <c r="O61" i="17" a="1"/>
  <c r="O61" i="17"/>
  <c r="O62" i="17" a="1"/>
  <c r="O62" i="17" s="1"/>
  <c r="O63" i="17" a="1"/>
  <c r="O63" i="17" s="1"/>
  <c r="O64" i="17" a="1"/>
  <c r="O64" i="17" s="1"/>
  <c r="O65" i="17" a="1"/>
  <c r="O65" i="17" s="1"/>
  <c r="O80" i="17" a="1"/>
  <c r="O80" i="17" s="1"/>
  <c r="O90" i="17" a="1"/>
  <c r="O90" i="17" s="1"/>
  <c r="O100" i="17" a="1"/>
  <c r="O100" i="17" s="1"/>
  <c r="O110" i="17" a="1"/>
  <c r="O110" i="17" s="1"/>
  <c r="O120" i="17" a="1"/>
  <c r="O120" i="17" s="1"/>
  <c r="O130" i="17" a="1"/>
  <c r="O130" i="17" s="1"/>
  <c r="O140" i="17" a="1"/>
  <c r="O140" i="17" s="1"/>
  <c r="O190" i="17" a="1"/>
  <c r="O190" i="17" s="1"/>
  <c r="O191" i="17" a="1"/>
  <c r="O191" i="17" s="1"/>
  <c r="O192" i="17" a="1"/>
  <c r="O192" i="17" s="1"/>
  <c r="O193" i="17" a="1"/>
  <c r="O193" i="17" s="1"/>
  <c r="O194" i="17" a="1"/>
  <c r="O194" i="17" s="1"/>
  <c r="O195" i="17" a="1"/>
  <c r="O195" i="17" s="1"/>
  <c r="O250" i="17" a="1"/>
  <c r="O250" i="17" s="1"/>
  <c r="O251" i="17" a="1"/>
  <c r="O251" i="17" s="1"/>
  <c r="O252" i="17" a="1"/>
  <c r="O252" i="17" s="1"/>
  <c r="O253" i="17" a="1"/>
  <c r="O253" i="17" s="1"/>
  <c r="O254" i="17" a="1"/>
  <c r="O254" i="17" s="1"/>
  <c r="O255" i="17" a="1"/>
  <c r="O255" i="17" s="1"/>
  <c r="O330" i="17" a="1"/>
  <c r="O330" i="17" s="1"/>
  <c r="O340" i="17" a="1"/>
  <c r="O340" i="17" s="1"/>
  <c r="O270" i="17" a="1"/>
  <c r="O270" i="17" s="1"/>
  <c r="O280" i="17" a="1"/>
  <c r="O280" i="17" s="1"/>
  <c r="O290" i="17" a="1"/>
  <c r="O290" i="17" s="1"/>
  <c r="O300" i="17" a="1"/>
  <c r="O300" i="17"/>
  <c r="O310" i="17" a="1"/>
  <c r="O310" i="17"/>
  <c r="O320" i="17" a="1"/>
  <c r="O320" i="17" s="1"/>
  <c r="O11" i="17" a="1"/>
  <c r="O11" i="17" s="1"/>
  <c r="O66" i="17" a="1"/>
  <c r="O66" i="17" s="1"/>
  <c r="O67" i="17" a="1"/>
  <c r="O67" i="17" s="1"/>
  <c r="O68" i="17" a="1"/>
  <c r="O68" i="17" s="1"/>
  <c r="O69" i="17" a="1"/>
  <c r="O69" i="17" s="1"/>
  <c r="O70" i="17" a="1"/>
  <c r="O70" i="17" s="1"/>
  <c r="O71" i="17" a="1"/>
  <c r="O71" i="17" s="1"/>
  <c r="O81" i="17" a="1"/>
  <c r="O81" i="17" s="1"/>
  <c r="O91" i="17" a="1"/>
  <c r="O91" i="17" s="1"/>
  <c r="O101" i="17" a="1"/>
  <c r="O101" i="17" s="1"/>
  <c r="O111" i="17" a="1"/>
  <c r="O111" i="17" s="1"/>
  <c r="O121" i="17" a="1"/>
  <c r="O121" i="17" s="1"/>
  <c r="O131" i="17" a="1"/>
  <c r="O131" i="17" s="1"/>
  <c r="O141" i="17" a="1"/>
  <c r="O141" i="17" s="1"/>
  <c r="O196" i="17" a="1"/>
  <c r="O196" i="17" s="1"/>
  <c r="O197" i="17" a="1"/>
  <c r="O197" i="17" s="1"/>
  <c r="O198" i="17" a="1"/>
  <c r="O198" i="17" s="1"/>
  <c r="O199" i="17" a="1"/>
  <c r="O199" i="17" s="1"/>
  <c r="O200" i="17" a="1"/>
  <c r="O200" i="17" s="1"/>
  <c r="O201" i="17" a="1"/>
  <c r="O201" i="17" s="1"/>
  <c r="O256" i="17" a="1"/>
  <c r="O256" i="17" s="1"/>
  <c r="O257" i="17" a="1"/>
  <c r="O257" i="17" s="1"/>
  <c r="O258" i="17" a="1"/>
  <c r="O258" i="17"/>
  <c r="O259" i="17" a="1"/>
  <c r="O259" i="17" s="1"/>
  <c r="O260" i="17" a="1"/>
  <c r="O260" i="17" s="1"/>
  <c r="O261" i="17" a="1"/>
  <c r="O261" i="17" s="1"/>
  <c r="O331" i="17" a="1"/>
  <c r="O331" i="17" s="1"/>
  <c r="O341" i="17" a="1"/>
  <c r="O341" i="17" s="1"/>
  <c r="O271" i="17" a="1"/>
  <c r="O271" i="17" s="1"/>
  <c r="O281" i="17" a="1"/>
  <c r="O281" i="17" s="1"/>
  <c r="O291" i="17" a="1"/>
  <c r="O291" i="17" s="1"/>
  <c r="O301" i="17" a="1"/>
  <c r="O301" i="17" s="1"/>
  <c r="O311" i="17" a="1"/>
  <c r="O311" i="17" s="1"/>
  <c r="O321" i="17" a="1"/>
  <c r="O321" i="17" s="1"/>
  <c r="P2" i="17" a="1"/>
  <c r="P2" i="17" s="1"/>
  <c r="P12" i="17" a="1"/>
  <c r="P12" i="17"/>
  <c r="P13" i="17" a="1"/>
  <c r="P13" i="17" s="1"/>
  <c r="P14" i="17" a="1"/>
  <c r="P14" i="17" s="1"/>
  <c r="P15" i="17" a="1"/>
  <c r="P15" i="17" s="1"/>
  <c r="P16" i="17" a="1"/>
  <c r="P16" i="17" s="1"/>
  <c r="P17" i="17" a="1"/>
  <c r="P17" i="17" s="1"/>
  <c r="P72" i="17" a="1"/>
  <c r="P72" i="17" s="1"/>
  <c r="P82" i="17" a="1"/>
  <c r="P82" i="17" s="1"/>
  <c r="P92" i="17" a="1"/>
  <c r="P92" i="17" s="1"/>
  <c r="P102" i="17" a="1"/>
  <c r="P102" i="17" s="1"/>
  <c r="P112" i="17" a="1"/>
  <c r="P112" i="17" s="1"/>
  <c r="P122" i="17" a="1"/>
  <c r="P122" i="17" s="1"/>
  <c r="P132" i="17" a="1"/>
  <c r="P132" i="17"/>
  <c r="P142" i="17" a="1"/>
  <c r="P142" i="17" s="1"/>
  <c r="P143" i="17" a="1"/>
  <c r="P143" i="17" s="1"/>
  <c r="P144" i="17" a="1"/>
  <c r="P144" i="17" s="1"/>
  <c r="P145" i="17" a="1"/>
  <c r="P145" i="17" s="1"/>
  <c r="P146" i="17" a="1"/>
  <c r="P146" i="17" s="1"/>
  <c r="P147" i="17" a="1"/>
  <c r="P147" i="17" s="1"/>
  <c r="P202" i="17" a="1"/>
  <c r="P202" i="17" s="1"/>
  <c r="P203" i="17" a="1"/>
  <c r="P203" i="17" s="1"/>
  <c r="P204" i="17" a="1"/>
  <c r="P204" i="17" s="1"/>
  <c r="P205" i="17" a="1"/>
  <c r="P205" i="17" s="1"/>
  <c r="P206" i="17" a="1"/>
  <c r="P206" i="17" s="1"/>
  <c r="P207" i="17" a="1"/>
  <c r="P207" i="17" s="1"/>
  <c r="P322" i="17" a="1"/>
  <c r="P322" i="17" s="1"/>
  <c r="P332" i="17" a="1"/>
  <c r="P332" i="17" s="1"/>
  <c r="P262" i="17" a="1"/>
  <c r="P262" i="17" s="1"/>
  <c r="P272" i="17" a="1"/>
  <c r="P272" i="17" s="1"/>
  <c r="P282" i="17" a="1"/>
  <c r="P282" i="17" s="1"/>
  <c r="P292" i="17" a="1"/>
  <c r="P292" i="17" s="1"/>
  <c r="P302" i="17" a="1"/>
  <c r="P302" i="17" s="1"/>
  <c r="P312" i="17" a="1"/>
  <c r="P312" i="17" s="1"/>
  <c r="P3" i="17" a="1"/>
  <c r="P3" i="17" s="1"/>
  <c r="P18" i="17" a="1"/>
  <c r="P18" i="17" s="1"/>
  <c r="P19" i="17" a="1"/>
  <c r="P19" i="17" s="1"/>
  <c r="P20" i="17" a="1"/>
  <c r="P20" i="17" s="1"/>
  <c r="P21" i="17" a="1"/>
  <c r="P21" i="17" s="1"/>
  <c r="P22" i="17" a="1"/>
  <c r="P22" i="17" s="1"/>
  <c r="P23" i="17" a="1"/>
  <c r="P23" i="17" s="1"/>
  <c r="P73" i="17" a="1"/>
  <c r="P73" i="17" s="1"/>
  <c r="P83" i="17" a="1"/>
  <c r="P83" i="17" s="1"/>
  <c r="P93" i="17" a="1"/>
  <c r="P93" i="17" s="1"/>
  <c r="P103" i="17" a="1"/>
  <c r="P103" i="17" s="1"/>
  <c r="P113" i="17" a="1"/>
  <c r="P113" i="17" s="1"/>
  <c r="P123" i="17" a="1"/>
  <c r="P123" i="17" s="1"/>
  <c r="P133" i="17" a="1"/>
  <c r="P133" i="17" s="1"/>
  <c r="P148" i="17" a="1"/>
  <c r="P148" i="17" s="1"/>
  <c r="P149" i="17" a="1"/>
  <c r="P149" i="17" s="1"/>
  <c r="P150" i="17" a="1"/>
  <c r="P150" i="17" s="1"/>
  <c r="P151" i="17" a="1"/>
  <c r="P151" i="17" s="1"/>
  <c r="P152" i="17" a="1"/>
  <c r="P152" i="17" s="1"/>
  <c r="P153" i="17" a="1"/>
  <c r="P153" i="17" s="1"/>
  <c r="P208" i="17" a="1"/>
  <c r="P208" i="17" s="1"/>
  <c r="P209" i="17" a="1"/>
  <c r="P209" i="17" s="1"/>
  <c r="P210" i="17" a="1"/>
  <c r="P210" i="17" s="1"/>
  <c r="P211" i="17" a="1"/>
  <c r="P211" i="17"/>
  <c r="P212" i="17" a="1"/>
  <c r="P212" i="17" s="1"/>
  <c r="P213" i="17" a="1"/>
  <c r="P213" i="17" s="1"/>
  <c r="P323" i="17" a="1"/>
  <c r="P323" i="17" s="1"/>
  <c r="P333" i="17" a="1"/>
  <c r="P333" i="17" s="1"/>
  <c r="P263" i="17" a="1"/>
  <c r="P263" i="17" s="1"/>
  <c r="P273" i="17" a="1"/>
  <c r="P273" i="17" s="1"/>
  <c r="P283" i="17" a="1"/>
  <c r="P283" i="17" s="1"/>
  <c r="P293" i="17" a="1"/>
  <c r="P293" i="17" s="1"/>
  <c r="P303" i="17" a="1"/>
  <c r="P303" i="17" s="1"/>
  <c r="P313" i="17" a="1"/>
  <c r="P313" i="17" s="1"/>
  <c r="P4" i="17" a="1"/>
  <c r="P4" i="17" s="1"/>
  <c r="P24" i="17" a="1"/>
  <c r="P24" i="17" s="1"/>
  <c r="P25" i="17" a="1"/>
  <c r="P25" i="17" s="1"/>
  <c r="P26" i="17" a="1"/>
  <c r="P26" i="17"/>
  <c r="P27" i="17" a="1"/>
  <c r="P27" i="17" s="1"/>
  <c r="P28" i="17" a="1"/>
  <c r="P28" i="17"/>
  <c r="P29" i="17" a="1"/>
  <c r="P29" i="17" s="1"/>
  <c r="P74" i="17" a="1"/>
  <c r="P74" i="17" s="1"/>
  <c r="P84" i="17" a="1"/>
  <c r="P84" i="17"/>
  <c r="P94" i="17" a="1"/>
  <c r="P94" i="17" s="1"/>
  <c r="P104" i="17" a="1"/>
  <c r="P104" i="17" s="1"/>
  <c r="P114" i="17" a="1"/>
  <c r="P114" i="17" s="1"/>
  <c r="P124" i="17" a="1"/>
  <c r="P124" i="17" s="1"/>
  <c r="P134" i="17" a="1"/>
  <c r="P134" i="17" s="1"/>
  <c r="P154" i="17" a="1"/>
  <c r="P154" i="17" s="1"/>
  <c r="P155" i="17" a="1"/>
  <c r="P155" i="17" s="1"/>
  <c r="P156" i="17" a="1"/>
  <c r="P156" i="17" s="1"/>
  <c r="P157" i="17" a="1"/>
  <c r="P157" i="17" s="1"/>
  <c r="P158" i="17" a="1"/>
  <c r="P158" i="17" s="1"/>
  <c r="P159" i="17" a="1"/>
  <c r="P159" i="17" s="1"/>
  <c r="P214" i="17" a="1"/>
  <c r="P214" i="17" s="1"/>
  <c r="P215" i="17" a="1"/>
  <c r="P215" i="17" s="1"/>
  <c r="P216" i="17" a="1"/>
  <c r="P216" i="17" s="1"/>
  <c r="P217" i="17" a="1"/>
  <c r="P217" i="17"/>
  <c r="P218" i="17" a="1"/>
  <c r="P218" i="17" s="1"/>
  <c r="P219" i="17" a="1"/>
  <c r="P219" i="17" s="1"/>
  <c r="P324" i="17" a="1"/>
  <c r="P324" i="17" s="1"/>
  <c r="P334" i="17" a="1"/>
  <c r="P334" i="17" s="1"/>
  <c r="P264" i="17" a="1"/>
  <c r="P264" i="17" s="1"/>
  <c r="P274" i="17" a="1"/>
  <c r="P274" i="17" s="1"/>
  <c r="P284" i="17" a="1"/>
  <c r="P284" i="17" s="1"/>
  <c r="P294" i="17" a="1"/>
  <c r="P294" i="17" s="1"/>
  <c r="P304" i="17" a="1"/>
  <c r="P304" i="17" s="1"/>
  <c r="P314" i="17" a="1"/>
  <c r="P314" i="17" s="1"/>
  <c r="P5" i="17" a="1"/>
  <c r="P5" i="17" s="1"/>
  <c r="P30" i="17" a="1"/>
  <c r="P30" i="17" s="1"/>
  <c r="P31" i="17" a="1"/>
  <c r="P31" i="17" s="1"/>
  <c r="P32" i="17" a="1"/>
  <c r="P32" i="17" s="1"/>
  <c r="P33" i="17" a="1"/>
  <c r="P33" i="17" s="1"/>
  <c r="P34" i="17" a="1"/>
  <c r="P34" i="17" s="1"/>
  <c r="P35" i="17" a="1"/>
  <c r="P35" i="17"/>
  <c r="P75" i="17" a="1"/>
  <c r="P75" i="17" s="1"/>
  <c r="P85" i="17" a="1"/>
  <c r="P85" i="17" s="1"/>
  <c r="P95" i="17" a="1"/>
  <c r="P95" i="17" s="1"/>
  <c r="P105" i="17" a="1"/>
  <c r="P105" i="17" s="1"/>
  <c r="P115" i="17" a="1"/>
  <c r="P115" i="17" s="1"/>
  <c r="P125" i="17" a="1"/>
  <c r="P125" i="17" s="1"/>
  <c r="P135" i="17" a="1"/>
  <c r="P135" i="17" s="1"/>
  <c r="P160" i="17" a="1"/>
  <c r="P160" i="17" s="1"/>
  <c r="P161" i="17" a="1"/>
  <c r="P161" i="17" s="1"/>
  <c r="P162" i="17" a="1"/>
  <c r="P162" i="17" s="1"/>
  <c r="P163" i="17" a="1"/>
  <c r="P163" i="17" s="1"/>
  <c r="P164" i="17" a="1"/>
  <c r="P164" i="17" s="1"/>
  <c r="P165" i="17" a="1"/>
  <c r="P165" i="17" s="1"/>
  <c r="P220" i="17" a="1"/>
  <c r="P220" i="17" s="1"/>
  <c r="P221" i="17" a="1"/>
  <c r="P221" i="17" s="1"/>
  <c r="P222" i="17" a="1"/>
  <c r="P222" i="17" s="1"/>
  <c r="P223" i="17" a="1"/>
  <c r="P223" i="17" s="1"/>
  <c r="P224" i="17" a="1"/>
  <c r="P224" i="17" s="1"/>
  <c r="P225" i="17" a="1"/>
  <c r="P225" i="17" s="1"/>
  <c r="P325" i="17" a="1"/>
  <c r="P325" i="17" s="1"/>
  <c r="P335" i="17" a="1"/>
  <c r="P335" i="17" s="1"/>
  <c r="P265" i="17" a="1"/>
  <c r="P265" i="17" s="1"/>
  <c r="P275" i="17" a="1"/>
  <c r="P275" i="17" s="1"/>
  <c r="P285" i="17" a="1"/>
  <c r="P285" i="17" s="1"/>
  <c r="P295" i="17" a="1"/>
  <c r="P295" i="17" s="1"/>
  <c r="P305" i="17" a="1"/>
  <c r="P305" i="17" s="1"/>
  <c r="P315" i="17" a="1"/>
  <c r="P315" i="17" s="1"/>
  <c r="P6" i="17" a="1"/>
  <c r="P6" i="17" s="1"/>
  <c r="P36" i="17" a="1"/>
  <c r="P36" i="17" s="1"/>
  <c r="P37" i="17" a="1"/>
  <c r="P37" i="17" s="1"/>
  <c r="P38" i="17" a="1"/>
  <c r="P38" i="17" s="1"/>
  <c r="P39" i="17" a="1"/>
  <c r="P39" i="17" s="1"/>
  <c r="P40" i="17" a="1"/>
  <c r="P40" i="17" s="1"/>
  <c r="P41" i="17" a="1"/>
  <c r="P41" i="17" s="1"/>
  <c r="P76" i="17" a="1"/>
  <c r="P76" i="17" s="1"/>
  <c r="P86" i="17" a="1"/>
  <c r="P86" i="17" s="1"/>
  <c r="P96" i="17" a="1"/>
  <c r="P96" i="17" s="1"/>
  <c r="P106" i="17" a="1"/>
  <c r="P106" i="17" s="1"/>
  <c r="P116" i="17" a="1"/>
  <c r="P116" i="17" s="1"/>
  <c r="P126" i="17" a="1"/>
  <c r="P126" i="17" s="1"/>
  <c r="P136" i="17" a="1"/>
  <c r="P136" i="17" s="1"/>
  <c r="P166" i="17" a="1"/>
  <c r="P166" i="17" s="1"/>
  <c r="P167" i="17" a="1"/>
  <c r="P167" i="17" s="1"/>
  <c r="P168" i="17" a="1"/>
  <c r="P168" i="17" s="1"/>
  <c r="P169" i="17" a="1"/>
  <c r="P169" i="17" s="1"/>
  <c r="P170" i="17" a="1"/>
  <c r="P170" i="17" s="1"/>
  <c r="P171" i="17" a="1"/>
  <c r="P171" i="17" s="1"/>
  <c r="P226" i="17" a="1"/>
  <c r="P226" i="17" s="1"/>
  <c r="P227" i="17" a="1"/>
  <c r="P227" i="17" s="1"/>
  <c r="P228" i="17" a="1"/>
  <c r="P228" i="17" s="1"/>
  <c r="P229" i="17" a="1"/>
  <c r="P229" i="17" s="1"/>
  <c r="P230" i="17" a="1"/>
  <c r="P230" i="17" s="1"/>
  <c r="P231" i="17" a="1"/>
  <c r="P231" i="17" s="1"/>
  <c r="P326" i="17" a="1"/>
  <c r="P326" i="17" s="1"/>
  <c r="P336" i="17" a="1"/>
  <c r="P336" i="17" s="1"/>
  <c r="P266" i="17" a="1"/>
  <c r="P266" i="17" s="1"/>
  <c r="P276" i="17" a="1"/>
  <c r="P276" i="17" s="1"/>
  <c r="P286" i="17" a="1"/>
  <c r="P286" i="17" s="1"/>
  <c r="P296" i="17" a="1"/>
  <c r="P296" i="17" s="1"/>
  <c r="P306" i="17" a="1"/>
  <c r="P306" i="17" s="1"/>
  <c r="P316" i="17" a="1"/>
  <c r="P316" i="17"/>
  <c r="P7" i="17" a="1"/>
  <c r="P7" i="17" s="1"/>
  <c r="P42" i="17" a="1"/>
  <c r="P42" i="17" s="1"/>
  <c r="P43" i="17" a="1"/>
  <c r="P43" i="17" s="1"/>
  <c r="P44" i="17" a="1"/>
  <c r="P44" i="17" s="1"/>
  <c r="P45" i="17" a="1"/>
  <c r="P45" i="17" s="1"/>
  <c r="P46" i="17" a="1"/>
  <c r="P46" i="17" s="1"/>
  <c r="P47" i="17" a="1"/>
  <c r="P47" i="17" s="1"/>
  <c r="P77" i="17" a="1"/>
  <c r="P77" i="17" s="1"/>
  <c r="P87" i="17" a="1"/>
  <c r="P87" i="17" s="1"/>
  <c r="P97" i="17" a="1"/>
  <c r="P97" i="17"/>
  <c r="P107" i="17" a="1"/>
  <c r="P107" i="17" s="1"/>
  <c r="P117" i="17" a="1"/>
  <c r="P117" i="17" s="1"/>
  <c r="P127" i="17" a="1"/>
  <c r="P127" i="17" s="1"/>
  <c r="P137" i="17" a="1"/>
  <c r="P137" i="17" s="1"/>
  <c r="P172" i="17" a="1"/>
  <c r="P172" i="17" s="1"/>
  <c r="P173" i="17" a="1"/>
  <c r="P173" i="17" s="1"/>
  <c r="P174" i="17" a="1"/>
  <c r="P174" i="17" s="1"/>
  <c r="P175" i="17" a="1"/>
  <c r="P175" i="17" s="1"/>
  <c r="P176" i="17" a="1"/>
  <c r="P176" i="17" s="1"/>
  <c r="P177" i="17" a="1"/>
  <c r="P177" i="17" s="1"/>
  <c r="P232" i="17" a="1"/>
  <c r="P232" i="17" s="1"/>
  <c r="P233" i="17" a="1"/>
  <c r="P233" i="17" s="1"/>
  <c r="P234" i="17" a="1"/>
  <c r="P234" i="17" s="1"/>
  <c r="P235" i="17" a="1"/>
  <c r="P235" i="17" s="1"/>
  <c r="P236" i="17" a="1"/>
  <c r="P236" i="17" s="1"/>
  <c r="P237" i="17" a="1"/>
  <c r="P237" i="17" s="1"/>
  <c r="P327" i="17" a="1"/>
  <c r="P327" i="17" s="1"/>
  <c r="P337" i="17" a="1"/>
  <c r="P337" i="17" s="1"/>
  <c r="P267" i="17" a="1"/>
  <c r="P267" i="17" s="1"/>
  <c r="P277" i="17" a="1"/>
  <c r="P277" i="17" s="1"/>
  <c r="P287" i="17" a="1"/>
  <c r="P287" i="17" s="1"/>
  <c r="P297" i="17" a="1"/>
  <c r="P297" i="17" s="1"/>
  <c r="P307" i="17" a="1"/>
  <c r="P307" i="17" s="1"/>
  <c r="P317" i="17" a="1"/>
  <c r="P317" i="17" s="1"/>
  <c r="P8" i="17" a="1"/>
  <c r="P8" i="17" s="1"/>
  <c r="P48" i="17" a="1"/>
  <c r="P48" i="17"/>
  <c r="P49" i="17" a="1"/>
  <c r="P49" i="17" s="1"/>
  <c r="P50" i="17" a="1"/>
  <c r="P50" i="17" s="1"/>
  <c r="P51" i="17" a="1"/>
  <c r="P51" i="17" s="1"/>
  <c r="P52" i="17" a="1"/>
  <c r="P52" i="17" s="1"/>
  <c r="P53" i="17" a="1"/>
  <c r="P53" i="17" s="1"/>
  <c r="P78" i="17" a="1"/>
  <c r="P78" i="17" s="1"/>
  <c r="P88" i="17" a="1"/>
  <c r="P88" i="17" s="1"/>
  <c r="P98" i="17" a="1"/>
  <c r="P98" i="17" s="1"/>
  <c r="P108" i="17" a="1"/>
  <c r="P108" i="17" s="1"/>
  <c r="P118" i="17" a="1"/>
  <c r="P118" i="17"/>
  <c r="P128" i="17" a="1"/>
  <c r="P128" i="17" s="1"/>
  <c r="P138" i="17" a="1"/>
  <c r="P138" i="17" s="1"/>
  <c r="P178" i="17" a="1"/>
  <c r="P178" i="17" s="1"/>
  <c r="P179" i="17" a="1"/>
  <c r="P179" i="17"/>
  <c r="P180" i="17" a="1"/>
  <c r="P180" i="17" s="1"/>
  <c r="P181" i="17" a="1"/>
  <c r="P181" i="17" s="1"/>
  <c r="P182" i="17" a="1"/>
  <c r="P182" i="17" s="1"/>
  <c r="P183" i="17" a="1"/>
  <c r="P183" i="17" s="1"/>
  <c r="P238" i="17" a="1"/>
  <c r="P238" i="17" s="1"/>
  <c r="P239" i="17" a="1"/>
  <c r="P239" i="17" s="1"/>
  <c r="P240" i="17" a="1"/>
  <c r="P240" i="17" s="1"/>
  <c r="P241" i="17" a="1"/>
  <c r="P241" i="17" s="1"/>
  <c r="P242" i="17" a="1"/>
  <c r="P242" i="17" s="1"/>
  <c r="P243" i="17" a="1"/>
  <c r="P243" i="17" s="1"/>
  <c r="P328" i="17" a="1"/>
  <c r="P328" i="17" s="1"/>
  <c r="P338" i="17" a="1"/>
  <c r="P338" i="17" s="1"/>
  <c r="P268" i="17" a="1"/>
  <c r="P268" i="17" s="1"/>
  <c r="P278" i="17" a="1"/>
  <c r="P278" i="17" s="1"/>
  <c r="P288" i="17" a="1"/>
  <c r="P288" i="17" s="1"/>
  <c r="P298" i="17" a="1"/>
  <c r="P298" i="17" s="1"/>
  <c r="P308" i="17" a="1"/>
  <c r="P308" i="17" s="1"/>
  <c r="P318" i="17" a="1"/>
  <c r="P318" i="17" s="1"/>
  <c r="P9" i="17" a="1"/>
  <c r="P9" i="17" s="1"/>
  <c r="P54" i="17" a="1"/>
  <c r="P54" i="17" s="1"/>
  <c r="P55" i="17" a="1"/>
  <c r="P55" i="17" s="1"/>
  <c r="P56" i="17" a="1"/>
  <c r="P56" i="17" s="1"/>
  <c r="P57" i="17" a="1"/>
  <c r="P57" i="17" s="1"/>
  <c r="P58" i="17" a="1"/>
  <c r="P58" i="17" s="1"/>
  <c r="P59" i="17" a="1"/>
  <c r="P59" i="17" s="1"/>
  <c r="P79" i="17" a="1"/>
  <c r="P79" i="17" s="1"/>
  <c r="P89" i="17" a="1"/>
  <c r="P89" i="17" s="1"/>
  <c r="P99" i="17" a="1"/>
  <c r="P99" i="17" s="1"/>
  <c r="P109" i="17" a="1"/>
  <c r="P109" i="17" s="1"/>
  <c r="P119" i="17" a="1"/>
  <c r="P119" i="17" s="1"/>
  <c r="P129" i="17" a="1"/>
  <c r="P129" i="17" s="1"/>
  <c r="P139" i="17" a="1"/>
  <c r="P139" i="17" s="1"/>
  <c r="P184" i="17" a="1"/>
  <c r="P184" i="17" s="1"/>
  <c r="P185" i="17" a="1"/>
  <c r="P185" i="17" s="1"/>
  <c r="P186" i="17" a="1"/>
  <c r="P186" i="17" s="1"/>
  <c r="P187" i="17" a="1"/>
  <c r="P187" i="17" s="1"/>
  <c r="P188" i="17" a="1"/>
  <c r="P188" i="17" s="1"/>
  <c r="P189" i="17" a="1"/>
  <c r="P189" i="17" s="1"/>
  <c r="P244" i="17" a="1"/>
  <c r="P244" i="17" s="1"/>
  <c r="P245" i="17" a="1"/>
  <c r="P245" i="17" s="1"/>
  <c r="P246" i="17" a="1"/>
  <c r="P246" i="17" s="1"/>
  <c r="P247" i="17" a="1"/>
  <c r="P247" i="17" s="1"/>
  <c r="P248" i="17" a="1"/>
  <c r="P248" i="17" s="1"/>
  <c r="P249" i="17" a="1"/>
  <c r="P249" i="17" s="1"/>
  <c r="P329" i="17" a="1"/>
  <c r="P329" i="17" s="1"/>
  <c r="P339" i="17" a="1"/>
  <c r="P339" i="17" s="1"/>
  <c r="P269" i="17" a="1"/>
  <c r="P269" i="17"/>
  <c r="P279" i="17" a="1"/>
  <c r="P279" i="17"/>
  <c r="P289" i="17" a="1"/>
  <c r="P289" i="17" s="1"/>
  <c r="P299" i="17" a="1"/>
  <c r="P299" i="17" s="1"/>
  <c r="P309" i="17" a="1"/>
  <c r="P309" i="17" s="1"/>
  <c r="P319" i="17" a="1"/>
  <c r="P319" i="17"/>
  <c r="P10" i="17" a="1"/>
  <c r="P10" i="17" s="1"/>
  <c r="P60" i="17" a="1"/>
  <c r="P60" i="17" s="1"/>
  <c r="P61" i="17" a="1"/>
  <c r="P61" i="17" s="1"/>
  <c r="P62" i="17" a="1"/>
  <c r="P62" i="17" s="1"/>
  <c r="P63" i="17" a="1"/>
  <c r="P63" i="17" s="1"/>
  <c r="P64" i="17" a="1"/>
  <c r="P64" i="17" s="1"/>
  <c r="P65" i="17" a="1"/>
  <c r="P65" i="17" s="1"/>
  <c r="P80" i="17" a="1"/>
  <c r="P80" i="17" s="1"/>
  <c r="P90" i="17" a="1"/>
  <c r="P90" i="17" s="1"/>
  <c r="P100" i="17" a="1"/>
  <c r="P100" i="17" s="1"/>
  <c r="P110" i="17" a="1"/>
  <c r="P110" i="17" s="1"/>
  <c r="P120" i="17" a="1"/>
  <c r="P120" i="17" s="1"/>
  <c r="P130" i="17" a="1"/>
  <c r="P130" i="17" s="1"/>
  <c r="P140" i="17" a="1"/>
  <c r="P140" i="17" s="1"/>
  <c r="P190" i="17" a="1"/>
  <c r="P190" i="17" s="1"/>
  <c r="P191" i="17" a="1"/>
  <c r="P191" i="17" s="1"/>
  <c r="P192" i="17" a="1"/>
  <c r="P192" i="17" s="1"/>
  <c r="P193" i="17" a="1"/>
  <c r="P193" i="17" s="1"/>
  <c r="P194" i="17" a="1"/>
  <c r="P194" i="17" s="1"/>
  <c r="P195" i="17" a="1"/>
  <c r="P195" i="17" s="1"/>
  <c r="P250" i="17" a="1"/>
  <c r="P250" i="17" s="1"/>
  <c r="P251" i="17" a="1"/>
  <c r="P251" i="17" s="1"/>
  <c r="P252" i="17" a="1"/>
  <c r="P252" i="17" s="1"/>
  <c r="P253" i="17" a="1"/>
  <c r="P253" i="17" s="1"/>
  <c r="P254" i="17" a="1"/>
  <c r="P254" i="17" s="1"/>
  <c r="P255" i="17" a="1"/>
  <c r="P255" i="17" s="1"/>
  <c r="P330" i="17" a="1"/>
  <c r="P330" i="17" s="1"/>
  <c r="P340" i="17" a="1"/>
  <c r="P340" i="17" s="1"/>
  <c r="P270" i="17" a="1"/>
  <c r="P270" i="17" s="1"/>
  <c r="P280" i="17" a="1"/>
  <c r="P280" i="17" s="1"/>
  <c r="P290" i="17" a="1"/>
  <c r="P290" i="17" s="1"/>
  <c r="P300" i="17" a="1"/>
  <c r="P300" i="17" s="1"/>
  <c r="P310" i="17" a="1"/>
  <c r="P310" i="17" s="1"/>
  <c r="P320" i="17" a="1"/>
  <c r="P320" i="17" s="1"/>
  <c r="P11" i="17" a="1"/>
  <c r="P11" i="17" s="1"/>
  <c r="P66" i="17" a="1"/>
  <c r="P66" i="17" s="1"/>
  <c r="P67" i="17" a="1"/>
  <c r="P67" i="17" s="1"/>
  <c r="P68" i="17" a="1"/>
  <c r="P68" i="17" s="1"/>
  <c r="P69" i="17" a="1"/>
  <c r="P69" i="17" s="1"/>
  <c r="P70" i="17" a="1"/>
  <c r="P70" i="17" s="1"/>
  <c r="P71" i="17" a="1"/>
  <c r="P71" i="17"/>
  <c r="P81" i="17" a="1"/>
  <c r="P81" i="17" s="1"/>
  <c r="P91" i="17" a="1"/>
  <c r="P91" i="17" s="1"/>
  <c r="P101" i="17" a="1"/>
  <c r="P101" i="17" s="1"/>
  <c r="P111" i="17" a="1"/>
  <c r="P111" i="17" s="1"/>
  <c r="P121" i="17" a="1"/>
  <c r="P121" i="17" s="1"/>
  <c r="P131" i="17" a="1"/>
  <c r="P131" i="17" s="1"/>
  <c r="P141" i="17" a="1"/>
  <c r="P141" i="17" s="1"/>
  <c r="P196" i="17" a="1"/>
  <c r="P196" i="17" s="1"/>
  <c r="P197" i="17" a="1"/>
  <c r="P197" i="17" s="1"/>
  <c r="P198" i="17" a="1"/>
  <c r="P198" i="17" s="1"/>
  <c r="P199" i="17" a="1"/>
  <c r="P199" i="17" s="1"/>
  <c r="P200" i="17" a="1"/>
  <c r="P200" i="17" s="1"/>
  <c r="P201" i="17" a="1"/>
  <c r="P201" i="17"/>
  <c r="P256" i="17" a="1"/>
  <c r="P256" i="17" s="1"/>
  <c r="P257" i="17" a="1"/>
  <c r="P257" i="17" s="1"/>
  <c r="P258" i="17" a="1"/>
  <c r="P258" i="17" s="1"/>
  <c r="P259" i="17" a="1"/>
  <c r="P259" i="17" s="1"/>
  <c r="P260" i="17" a="1"/>
  <c r="P260" i="17" s="1"/>
  <c r="P261" i="17" a="1"/>
  <c r="P261" i="17" s="1"/>
  <c r="P331" i="17" a="1"/>
  <c r="P331" i="17" s="1"/>
  <c r="P341" i="17" a="1"/>
  <c r="P341" i="17" s="1"/>
  <c r="P271" i="17" a="1"/>
  <c r="P271" i="17" s="1"/>
  <c r="P281" i="17" a="1"/>
  <c r="P281" i="17" s="1"/>
  <c r="P291" i="17" a="1"/>
  <c r="P291" i="17" s="1"/>
  <c r="P301" i="17" a="1"/>
  <c r="P301" i="17" s="1"/>
  <c r="P311" i="17" a="1"/>
  <c r="P311" i="17" s="1"/>
  <c r="P321" i="17" a="1"/>
  <c r="P321" i="17" s="1"/>
  <c r="R2" i="17" a="1"/>
  <c r="R2" i="17" s="1"/>
  <c r="R12" i="17" a="1"/>
  <c r="R12" i="17" s="1"/>
  <c r="R13" i="17" a="1"/>
  <c r="R13" i="17" s="1"/>
  <c r="R14" i="17" a="1"/>
  <c r="R14" i="17" s="1"/>
  <c r="R15" i="17" a="1"/>
  <c r="R15" i="17" s="1"/>
  <c r="R16" i="17" a="1"/>
  <c r="R16" i="17"/>
  <c r="R17" i="17" a="1"/>
  <c r="R17" i="17" s="1"/>
  <c r="R72" i="17" a="1"/>
  <c r="R72" i="17" s="1"/>
  <c r="R82" i="17" a="1"/>
  <c r="R82" i="17" s="1"/>
  <c r="R92" i="17" a="1"/>
  <c r="R92" i="17" s="1"/>
  <c r="R102" i="17" a="1"/>
  <c r="R102" i="17" s="1"/>
  <c r="R112" i="17" a="1"/>
  <c r="R112" i="17" s="1"/>
  <c r="R122" i="17" a="1"/>
  <c r="R122" i="17" s="1"/>
  <c r="R132" i="17" a="1"/>
  <c r="R132" i="17" s="1"/>
  <c r="R142" i="17" a="1"/>
  <c r="R142" i="17" s="1"/>
  <c r="R143" i="17" a="1"/>
  <c r="R143" i="17" s="1"/>
  <c r="R144" i="17" a="1"/>
  <c r="R144" i="17" s="1"/>
  <c r="R145" i="17" a="1"/>
  <c r="R145" i="17" s="1"/>
  <c r="R146" i="17" a="1"/>
  <c r="R146" i="17" s="1"/>
  <c r="R147" i="17" a="1"/>
  <c r="R147" i="17" s="1"/>
  <c r="R202" i="17" a="1"/>
  <c r="R202" i="17" s="1"/>
  <c r="R203" i="17" a="1"/>
  <c r="R203" i="17" s="1"/>
  <c r="R204" i="17" a="1"/>
  <c r="R204" i="17" s="1"/>
  <c r="R205" i="17" a="1"/>
  <c r="R205" i="17" s="1"/>
  <c r="R206" i="17" a="1"/>
  <c r="R206" i="17" s="1"/>
  <c r="R207" i="17" a="1"/>
  <c r="R207" i="17" s="1"/>
  <c r="R322" i="17" a="1"/>
  <c r="R322" i="17"/>
  <c r="R332" i="17" a="1"/>
  <c r="R332" i="17" s="1"/>
  <c r="R262" i="17" a="1"/>
  <c r="R262" i="17" s="1"/>
  <c r="R272" i="17" a="1"/>
  <c r="R272" i="17" s="1"/>
  <c r="R282" i="17" a="1"/>
  <c r="R282" i="17" s="1"/>
  <c r="R292" i="17" a="1"/>
  <c r="R292" i="17" s="1"/>
  <c r="R302" i="17" a="1"/>
  <c r="R302" i="17" s="1"/>
  <c r="R312" i="17" a="1"/>
  <c r="R312" i="17" s="1"/>
  <c r="R3" i="17" a="1"/>
  <c r="R3" i="17" s="1"/>
  <c r="R18" i="17" a="1"/>
  <c r="R18" i="17" s="1"/>
  <c r="R19" i="17" a="1"/>
  <c r="R19" i="17" s="1"/>
  <c r="R20" i="17" a="1"/>
  <c r="R20" i="17" s="1"/>
  <c r="R21" i="17" a="1"/>
  <c r="R21" i="17" s="1"/>
  <c r="R22" i="17" a="1"/>
  <c r="R22" i="17" s="1"/>
  <c r="R23" i="17" a="1"/>
  <c r="R23" i="17" s="1"/>
  <c r="R73" i="17" a="1"/>
  <c r="R73" i="17" s="1"/>
  <c r="R83" i="17" a="1"/>
  <c r="R83" i="17" s="1"/>
  <c r="R93" i="17" a="1"/>
  <c r="R93" i="17"/>
  <c r="R103" i="17" a="1"/>
  <c r="R103" i="17" s="1"/>
  <c r="R113" i="17" a="1"/>
  <c r="R113" i="17" s="1"/>
  <c r="R123" i="17" a="1"/>
  <c r="R123" i="17" s="1"/>
  <c r="R133" i="17" a="1"/>
  <c r="R133" i="17" s="1"/>
  <c r="R148" i="17" a="1"/>
  <c r="R148" i="17" s="1"/>
  <c r="R149" i="17" a="1"/>
  <c r="R149" i="17" s="1"/>
  <c r="R150" i="17" a="1"/>
  <c r="R150" i="17" s="1"/>
  <c r="R151" i="17" a="1"/>
  <c r="R151" i="17" s="1"/>
  <c r="R152" i="17" a="1"/>
  <c r="R152" i="17" s="1"/>
  <c r="R153" i="17" a="1"/>
  <c r="R153" i="17" s="1"/>
  <c r="R208" i="17" a="1"/>
  <c r="R208" i="17" s="1"/>
  <c r="R209" i="17" a="1"/>
  <c r="R209" i="17" s="1"/>
  <c r="R210" i="17" a="1"/>
  <c r="R210" i="17" s="1"/>
  <c r="R211" i="17" a="1"/>
  <c r="R211" i="17" s="1"/>
  <c r="R212" i="17" a="1"/>
  <c r="R212" i="17" s="1"/>
  <c r="R213" i="17" a="1"/>
  <c r="R213" i="17" s="1"/>
  <c r="R323" i="17" a="1"/>
  <c r="R323" i="17" s="1"/>
  <c r="R333" i="17" a="1"/>
  <c r="R333" i="17" s="1"/>
  <c r="R263" i="17" a="1"/>
  <c r="R263" i="17" s="1"/>
  <c r="R273" i="17" a="1"/>
  <c r="R273" i="17" s="1"/>
  <c r="R283" i="17" a="1"/>
  <c r="R283" i="17" s="1"/>
  <c r="R293" i="17" a="1"/>
  <c r="R293" i="17" s="1"/>
  <c r="R303" i="17" a="1"/>
  <c r="R303" i="17" s="1"/>
  <c r="R313" i="17" a="1"/>
  <c r="R313" i="17" s="1"/>
  <c r="R4" i="17" a="1"/>
  <c r="R4" i="17" s="1"/>
  <c r="R24" i="17" a="1"/>
  <c r="R24" i="17" s="1"/>
  <c r="R25" i="17" a="1"/>
  <c r="R25" i="17" s="1"/>
  <c r="R26" i="17" a="1"/>
  <c r="R26" i="17" s="1"/>
  <c r="R27" i="17" a="1"/>
  <c r="R27" i="17"/>
  <c r="R28" i="17" a="1"/>
  <c r="R28" i="17" s="1"/>
  <c r="R29" i="17" a="1"/>
  <c r="R29" i="17" s="1"/>
  <c r="R74" i="17" a="1"/>
  <c r="R74" i="17" s="1"/>
  <c r="R84" i="17" a="1"/>
  <c r="R84" i="17" s="1"/>
  <c r="R94" i="17" a="1"/>
  <c r="R94" i="17" s="1"/>
  <c r="R104" i="17" a="1"/>
  <c r="R104" i="17"/>
  <c r="R114" i="17" a="1"/>
  <c r="R114" i="17" s="1"/>
  <c r="R124" i="17" a="1"/>
  <c r="R124" i="17" s="1"/>
  <c r="R134" i="17" a="1"/>
  <c r="R134" i="17" s="1"/>
  <c r="R154" i="17" a="1"/>
  <c r="R154" i="17" s="1"/>
  <c r="R155" i="17" a="1"/>
  <c r="R155" i="17" s="1"/>
  <c r="R156" i="17" a="1"/>
  <c r="R156" i="17" s="1"/>
  <c r="R157" i="17" a="1"/>
  <c r="R157" i="17"/>
  <c r="R158" i="17" a="1"/>
  <c r="R158" i="17" s="1"/>
  <c r="R159" i="17" a="1"/>
  <c r="R159" i="17" s="1"/>
  <c r="R214" i="17" a="1"/>
  <c r="R214" i="17" s="1"/>
  <c r="R215" i="17" a="1"/>
  <c r="R215" i="17"/>
  <c r="R216" i="17" a="1"/>
  <c r="R216" i="17" s="1"/>
  <c r="R217" i="17" a="1"/>
  <c r="R217" i="17"/>
  <c r="R218" i="17" a="1"/>
  <c r="R218" i="17" s="1"/>
  <c r="R219" i="17" a="1"/>
  <c r="R219" i="17"/>
  <c r="R324" i="17" a="1"/>
  <c r="R324" i="17" s="1"/>
  <c r="R334" i="17" a="1"/>
  <c r="R334" i="17" s="1"/>
  <c r="R264" i="17" a="1"/>
  <c r="R264" i="17" s="1"/>
  <c r="R274" i="17" a="1"/>
  <c r="R274" i="17" s="1"/>
  <c r="R284" i="17" a="1"/>
  <c r="R284" i="17"/>
  <c r="R294" i="17" a="1"/>
  <c r="R294" i="17" s="1"/>
  <c r="R304" i="17" a="1"/>
  <c r="R304" i="17" s="1"/>
  <c r="R314" i="17" a="1"/>
  <c r="R314" i="17" s="1"/>
  <c r="R5" i="17" a="1"/>
  <c r="R5" i="17" s="1"/>
  <c r="R30" i="17" a="1"/>
  <c r="R30" i="17" s="1"/>
  <c r="R31" i="17" a="1"/>
  <c r="R31" i="17" s="1"/>
  <c r="R32" i="17" a="1"/>
  <c r="R32" i="17" s="1"/>
  <c r="R33" i="17" a="1"/>
  <c r="R33" i="17" s="1"/>
  <c r="R34" i="17" a="1"/>
  <c r="R34" i="17" s="1"/>
  <c r="R35" i="17" a="1"/>
  <c r="R35" i="17" s="1"/>
  <c r="R75" i="17" a="1"/>
  <c r="R75" i="17" s="1"/>
  <c r="R85" i="17" a="1"/>
  <c r="R85" i="17" s="1"/>
  <c r="R95" i="17" a="1"/>
  <c r="R95" i="17" s="1"/>
  <c r="R105" i="17" a="1"/>
  <c r="R105" i="17" s="1"/>
  <c r="R115" i="17" a="1"/>
  <c r="R115" i="17" s="1"/>
  <c r="R125" i="17" a="1"/>
  <c r="R125" i="17" s="1"/>
  <c r="R135" i="17" a="1"/>
  <c r="R135" i="17" s="1"/>
  <c r="R160" i="17" a="1"/>
  <c r="R160" i="17" s="1"/>
  <c r="R161" i="17" a="1"/>
  <c r="R161" i="17" s="1"/>
  <c r="R162" i="17" a="1"/>
  <c r="R162" i="17" s="1"/>
  <c r="R163" i="17" a="1"/>
  <c r="R163" i="17" s="1"/>
  <c r="R164" i="17" a="1"/>
  <c r="R164" i="17" s="1"/>
  <c r="R165" i="17" a="1"/>
  <c r="R165" i="17" s="1"/>
  <c r="R220" i="17" a="1"/>
  <c r="R220" i="17" s="1"/>
  <c r="R221" i="17" a="1"/>
  <c r="R221" i="17" s="1"/>
  <c r="R222" i="17" a="1"/>
  <c r="R222" i="17" s="1"/>
  <c r="R223" i="17" a="1"/>
  <c r="R223" i="17" s="1"/>
  <c r="R224" i="17" a="1"/>
  <c r="R224" i="17"/>
  <c r="R225" i="17" a="1"/>
  <c r="R225" i="17" s="1"/>
  <c r="R325" i="17" a="1"/>
  <c r="R325" i="17" s="1"/>
  <c r="R335" i="17" a="1"/>
  <c r="R335" i="17" s="1"/>
  <c r="R265" i="17" a="1"/>
  <c r="R265" i="17" s="1"/>
  <c r="R275" i="17" a="1"/>
  <c r="R275" i="17" s="1"/>
  <c r="R285" i="17" a="1"/>
  <c r="R285" i="17" s="1"/>
  <c r="R295" i="17" a="1"/>
  <c r="R295" i="17" s="1"/>
  <c r="R305" i="17" a="1"/>
  <c r="R305" i="17" s="1"/>
  <c r="R315" i="17" a="1"/>
  <c r="R315" i="17" s="1"/>
  <c r="R6" i="17" a="1"/>
  <c r="R6" i="17" s="1"/>
  <c r="R36" i="17" a="1"/>
  <c r="R36" i="17" s="1"/>
  <c r="R37" i="17" a="1"/>
  <c r="R37" i="17" s="1"/>
  <c r="R38" i="17" a="1"/>
  <c r="R38" i="17" s="1"/>
  <c r="R39" i="17" a="1"/>
  <c r="R39" i="17" s="1"/>
  <c r="R40" i="17" a="1"/>
  <c r="R40" i="17" s="1"/>
  <c r="R41" i="17" a="1"/>
  <c r="R41" i="17" s="1"/>
  <c r="R76" i="17" a="1"/>
  <c r="R76" i="17" s="1"/>
  <c r="R86" i="17" a="1"/>
  <c r="R86" i="17" s="1"/>
  <c r="R96" i="17" a="1"/>
  <c r="R96" i="17"/>
  <c r="R106" i="17" a="1"/>
  <c r="R106" i="17" s="1"/>
  <c r="R116" i="17" a="1"/>
  <c r="R116" i="17" s="1"/>
  <c r="R126" i="17" a="1"/>
  <c r="R126" i="17" s="1"/>
  <c r="R136" i="17" a="1"/>
  <c r="R136" i="17" s="1"/>
  <c r="R166" i="17" a="1"/>
  <c r="R166" i="17" s="1"/>
  <c r="R167" i="17" a="1"/>
  <c r="R167" i="17" s="1"/>
  <c r="R168" i="17" a="1"/>
  <c r="R168" i="17" s="1"/>
  <c r="R169" i="17" a="1"/>
  <c r="R169" i="17" s="1"/>
  <c r="R170" i="17" a="1"/>
  <c r="R170" i="17" s="1"/>
  <c r="R171" i="17" a="1"/>
  <c r="R171" i="17" s="1"/>
  <c r="R226" i="17" a="1"/>
  <c r="R226" i="17" s="1"/>
  <c r="R227" i="17" a="1"/>
  <c r="R227" i="17" s="1"/>
  <c r="R228" i="17" a="1"/>
  <c r="R228" i="17" s="1"/>
  <c r="R229" i="17" a="1"/>
  <c r="R229" i="17" s="1"/>
  <c r="R230" i="17" a="1"/>
  <c r="R230" i="17" s="1"/>
  <c r="R231" i="17" a="1"/>
  <c r="R231" i="17" s="1"/>
  <c r="R326" i="17" a="1"/>
  <c r="R326" i="17" s="1"/>
  <c r="R336" i="17" a="1"/>
  <c r="R336" i="17" s="1"/>
  <c r="R266" i="17" a="1"/>
  <c r="R266" i="17" s="1"/>
  <c r="R276" i="17" a="1"/>
  <c r="R276" i="17" s="1"/>
  <c r="R286" i="17" a="1"/>
  <c r="R286" i="17" s="1"/>
  <c r="R296" i="17" a="1"/>
  <c r="R296" i="17" s="1"/>
  <c r="R306" i="17" a="1"/>
  <c r="R306" i="17" s="1"/>
  <c r="R316" i="17" a="1"/>
  <c r="R316" i="17" s="1"/>
  <c r="R7" i="17" a="1"/>
  <c r="R7" i="17" s="1"/>
  <c r="R42" i="17" a="1"/>
  <c r="R42" i="17" s="1"/>
  <c r="R43" i="17" a="1"/>
  <c r="R43" i="17" s="1"/>
  <c r="R44" i="17" a="1"/>
  <c r="R44" i="17"/>
  <c r="R45" i="17" a="1"/>
  <c r="R45" i="17" s="1"/>
  <c r="R46" i="17" a="1"/>
  <c r="R46" i="17" s="1"/>
  <c r="R47" i="17" a="1"/>
  <c r="R47" i="17"/>
  <c r="R77" i="17" a="1"/>
  <c r="R77" i="17" s="1"/>
  <c r="R87" i="17" a="1"/>
  <c r="R87" i="17" s="1"/>
  <c r="R97" i="17" a="1"/>
  <c r="R97" i="17" s="1"/>
  <c r="R107" i="17" a="1"/>
  <c r="R107" i="17" s="1"/>
  <c r="R117" i="17" a="1"/>
  <c r="R117" i="17" s="1"/>
  <c r="R127" i="17" a="1"/>
  <c r="R127" i="17" s="1"/>
  <c r="R137" i="17" a="1"/>
  <c r="R137" i="17" s="1"/>
  <c r="R172" i="17" a="1"/>
  <c r="R172" i="17" s="1"/>
  <c r="R173" i="17" a="1"/>
  <c r="R173" i="17" s="1"/>
  <c r="R174" i="17" a="1"/>
  <c r="R174" i="17" s="1"/>
  <c r="R175" i="17" a="1"/>
  <c r="R175" i="17" s="1"/>
  <c r="R176" i="17" a="1"/>
  <c r="R176" i="17" s="1"/>
  <c r="R177" i="17" a="1"/>
  <c r="R177" i="17" s="1"/>
  <c r="R232" i="17" a="1"/>
  <c r="R232" i="17" s="1"/>
  <c r="R233" i="17" a="1"/>
  <c r="R233" i="17" s="1"/>
  <c r="R234" i="17" a="1"/>
  <c r="R234" i="17" s="1"/>
  <c r="R235" i="17" a="1"/>
  <c r="R235" i="17" s="1"/>
  <c r="R236" i="17" a="1"/>
  <c r="R236" i="17" s="1"/>
  <c r="R237" i="17" a="1"/>
  <c r="R237" i="17" s="1"/>
  <c r="R327" i="17" a="1"/>
  <c r="R327" i="17" s="1"/>
  <c r="R337" i="17" a="1"/>
  <c r="R337" i="17" s="1"/>
  <c r="R267" i="17" a="1"/>
  <c r="R267" i="17" s="1"/>
  <c r="R277" i="17" a="1"/>
  <c r="R277" i="17" s="1"/>
  <c r="R287" i="17" a="1"/>
  <c r="R287" i="17" s="1"/>
  <c r="R297" i="17" a="1"/>
  <c r="R297" i="17" s="1"/>
  <c r="R307" i="17" a="1"/>
  <c r="R307" i="17" s="1"/>
  <c r="R317" i="17" a="1"/>
  <c r="R317" i="17" s="1"/>
  <c r="R8" i="17" a="1"/>
  <c r="R8" i="17" s="1"/>
  <c r="R48" i="17" a="1"/>
  <c r="R48" i="17" s="1"/>
  <c r="R49" i="17" a="1"/>
  <c r="R49" i="17" s="1"/>
  <c r="R50" i="17" a="1"/>
  <c r="R50" i="17" s="1"/>
  <c r="R51" i="17" a="1"/>
  <c r="R51" i="17" s="1"/>
  <c r="R52" i="17" a="1"/>
  <c r="R52" i="17" s="1"/>
  <c r="R53" i="17" a="1"/>
  <c r="R53" i="17" s="1"/>
  <c r="R78" i="17" a="1"/>
  <c r="R78" i="17" s="1"/>
  <c r="R88" i="17" a="1"/>
  <c r="R88" i="17" s="1"/>
  <c r="R98" i="17" a="1"/>
  <c r="R98" i="17" s="1"/>
  <c r="R108" i="17" a="1"/>
  <c r="R108" i="17" s="1"/>
  <c r="R118" i="17" a="1"/>
  <c r="R118" i="17" s="1"/>
  <c r="R128" i="17" a="1"/>
  <c r="R128" i="17"/>
  <c r="R138" i="17" a="1"/>
  <c r="R138" i="17" s="1"/>
  <c r="R178" i="17" a="1"/>
  <c r="R178" i="17" s="1"/>
  <c r="R179" i="17" a="1"/>
  <c r="R179" i="17" s="1"/>
  <c r="R180" i="17" a="1"/>
  <c r="R180" i="17" s="1"/>
  <c r="R181" i="17" a="1"/>
  <c r="R181" i="17" s="1"/>
  <c r="R182" i="17" a="1"/>
  <c r="R182" i="17" s="1"/>
  <c r="R183" i="17" a="1"/>
  <c r="R183" i="17" s="1"/>
  <c r="R238" i="17" a="1"/>
  <c r="R238" i="17" s="1"/>
  <c r="R239" i="17" a="1"/>
  <c r="R239" i="17" s="1"/>
  <c r="R240" i="17" a="1"/>
  <c r="R240" i="17" s="1"/>
  <c r="R241" i="17" a="1"/>
  <c r="R241" i="17" s="1"/>
  <c r="R242" i="17" a="1"/>
  <c r="R242" i="17" s="1"/>
  <c r="R243" i="17" a="1"/>
  <c r="R243" i="17" s="1"/>
  <c r="R328" i="17" a="1"/>
  <c r="R328" i="17" s="1"/>
  <c r="R338" i="17" a="1"/>
  <c r="R338" i="17" s="1"/>
  <c r="R268" i="17" a="1"/>
  <c r="R268" i="17" s="1"/>
  <c r="R278" i="17" a="1"/>
  <c r="R278" i="17"/>
  <c r="R288" i="17" a="1"/>
  <c r="R288" i="17" s="1"/>
  <c r="R298" i="17" a="1"/>
  <c r="R298" i="17" s="1"/>
  <c r="R308" i="17" a="1"/>
  <c r="R308" i="17" s="1"/>
  <c r="R318" i="17" a="1"/>
  <c r="R318" i="17" s="1"/>
  <c r="R9" i="17" a="1"/>
  <c r="R9" i="17" s="1"/>
  <c r="R54" i="17" a="1"/>
  <c r="R54" i="17" s="1"/>
  <c r="R55" i="17" a="1"/>
  <c r="R55" i="17" s="1"/>
  <c r="R56" i="17" a="1"/>
  <c r="R56" i="17" s="1"/>
  <c r="R57" i="17" a="1"/>
  <c r="R57" i="17" s="1"/>
  <c r="R58" i="17" a="1"/>
  <c r="R58" i="17"/>
  <c r="R59" i="17" a="1"/>
  <c r="R59" i="17" s="1"/>
  <c r="R79" i="17" a="1"/>
  <c r="R79" i="17"/>
  <c r="R89" i="17" a="1"/>
  <c r="R89" i="17"/>
  <c r="R99" i="17" a="1"/>
  <c r="R99" i="17" s="1"/>
  <c r="R109" i="17" a="1"/>
  <c r="R109" i="17"/>
  <c r="R119" i="17" a="1"/>
  <c r="R119" i="17" s="1"/>
  <c r="R129" i="17" a="1"/>
  <c r="R129" i="17" s="1"/>
  <c r="R139" i="17" a="1"/>
  <c r="R139" i="17" s="1"/>
  <c r="R184" i="17" a="1"/>
  <c r="R184" i="17" s="1"/>
  <c r="R185" i="17" a="1"/>
  <c r="R185" i="17" s="1"/>
  <c r="R186" i="17" a="1"/>
  <c r="R186" i="17" s="1"/>
  <c r="R187" i="17" a="1"/>
  <c r="R187" i="17" s="1"/>
  <c r="R188" i="17" a="1"/>
  <c r="R188" i="17" s="1"/>
  <c r="R189" i="17" a="1"/>
  <c r="R189" i="17" s="1"/>
  <c r="R244" i="17" a="1"/>
  <c r="R244" i="17"/>
  <c r="R245" i="17" a="1"/>
  <c r="R245" i="17" s="1"/>
  <c r="R246" i="17" a="1"/>
  <c r="R246" i="17" s="1"/>
  <c r="R247" i="17" a="1"/>
  <c r="R247" i="17" s="1"/>
  <c r="R248" i="17" a="1"/>
  <c r="R248" i="17" s="1"/>
  <c r="R249" i="17" a="1"/>
  <c r="R249" i="17" s="1"/>
  <c r="R329" i="17" a="1"/>
  <c r="R329" i="17" s="1"/>
  <c r="R339" i="17" a="1"/>
  <c r="R339" i="17" s="1"/>
  <c r="R269" i="17" a="1"/>
  <c r="R269" i="17" s="1"/>
  <c r="R279" i="17" a="1"/>
  <c r="R279" i="17" s="1"/>
  <c r="R289" i="17" a="1"/>
  <c r="R289" i="17" s="1"/>
  <c r="R299" i="17" a="1"/>
  <c r="R299" i="17" s="1"/>
  <c r="R309" i="17" a="1"/>
  <c r="R309" i="17" s="1"/>
  <c r="R319" i="17" a="1"/>
  <c r="R319" i="17" s="1"/>
  <c r="R10" i="17" a="1"/>
  <c r="R10" i="17"/>
  <c r="R60" i="17" a="1"/>
  <c r="R60" i="17" s="1"/>
  <c r="R61" i="17" a="1"/>
  <c r="R61" i="17" s="1"/>
  <c r="R62" i="17" a="1"/>
  <c r="R62" i="17" s="1"/>
  <c r="R63" i="17" a="1"/>
  <c r="R63" i="17" s="1"/>
  <c r="R64" i="17" a="1"/>
  <c r="R64" i="17" s="1"/>
  <c r="R65" i="17" a="1"/>
  <c r="R65" i="17" s="1"/>
  <c r="R80" i="17" a="1"/>
  <c r="R80" i="17" s="1"/>
  <c r="R90" i="17" a="1"/>
  <c r="R90" i="17" s="1"/>
  <c r="R100" i="17" a="1"/>
  <c r="R100" i="17"/>
  <c r="R110" i="17" a="1"/>
  <c r="R110" i="17" s="1"/>
  <c r="R120" i="17" a="1"/>
  <c r="R120" i="17" s="1"/>
  <c r="R130" i="17" a="1"/>
  <c r="R130" i="17" s="1"/>
  <c r="R140" i="17" a="1"/>
  <c r="R140" i="17"/>
  <c r="R190" i="17" a="1"/>
  <c r="R190" i="17" s="1"/>
  <c r="R191" i="17" a="1"/>
  <c r="R191" i="17" s="1"/>
  <c r="R192" i="17" a="1"/>
  <c r="R192" i="17" s="1"/>
  <c r="R193" i="17" a="1"/>
  <c r="R193" i="17" s="1"/>
  <c r="R194" i="17" a="1"/>
  <c r="R194" i="17" s="1"/>
  <c r="R195" i="17" a="1"/>
  <c r="R195" i="17" s="1"/>
  <c r="R250" i="17" a="1"/>
  <c r="R250" i="17" s="1"/>
  <c r="R251" i="17" a="1"/>
  <c r="R251" i="17" s="1"/>
  <c r="R252" i="17" a="1"/>
  <c r="R252" i="17" s="1"/>
  <c r="R253" i="17" a="1"/>
  <c r="R253" i="17" s="1"/>
  <c r="R254" i="17" a="1"/>
  <c r="R254" i="17" s="1"/>
  <c r="R255" i="17" a="1"/>
  <c r="R255" i="17"/>
  <c r="R330" i="17" a="1"/>
  <c r="R330" i="17" s="1"/>
  <c r="R340" i="17" a="1"/>
  <c r="R340" i="17" s="1"/>
  <c r="R270" i="17" a="1"/>
  <c r="R270" i="17" s="1"/>
  <c r="R280" i="17" a="1"/>
  <c r="R280" i="17"/>
  <c r="R290" i="17" a="1"/>
  <c r="R290" i="17" s="1"/>
  <c r="R300" i="17" a="1"/>
  <c r="R300" i="17" s="1"/>
  <c r="R310" i="17" a="1"/>
  <c r="R310" i="17" s="1"/>
  <c r="R320" i="17" a="1"/>
  <c r="R320" i="17" s="1"/>
  <c r="R11" i="17" a="1"/>
  <c r="R11" i="17" s="1"/>
  <c r="R66" i="17" a="1"/>
  <c r="R66" i="17"/>
  <c r="R67" i="17" a="1"/>
  <c r="R67" i="17" s="1"/>
  <c r="R68" i="17" a="1"/>
  <c r="R68" i="17" s="1"/>
  <c r="R69" i="17" a="1"/>
  <c r="R69" i="17" s="1"/>
  <c r="R70" i="17" a="1"/>
  <c r="R70" i="17" s="1"/>
  <c r="R71" i="17" a="1"/>
  <c r="R71" i="17" s="1"/>
  <c r="R81" i="17" a="1"/>
  <c r="R81" i="17" s="1"/>
  <c r="R91" i="17" a="1"/>
  <c r="R91" i="17" s="1"/>
  <c r="R101" i="17" a="1"/>
  <c r="R101" i="17" s="1"/>
  <c r="R111" i="17" a="1"/>
  <c r="R111" i="17" s="1"/>
  <c r="R121" i="17" a="1"/>
  <c r="R121" i="17" s="1"/>
  <c r="R131" i="17" a="1"/>
  <c r="R131" i="17"/>
  <c r="R141" i="17" a="1"/>
  <c r="R141" i="17" s="1"/>
  <c r="R196" i="17" a="1"/>
  <c r="R196" i="17" s="1"/>
  <c r="R197" i="17" a="1"/>
  <c r="R197" i="17" s="1"/>
  <c r="R198" i="17" a="1"/>
  <c r="R198" i="17" s="1"/>
  <c r="R199" i="17" a="1"/>
  <c r="R199" i="17" s="1"/>
  <c r="R200" i="17" a="1"/>
  <c r="R200" i="17" s="1"/>
  <c r="R201" i="17" a="1"/>
  <c r="R201" i="17" s="1"/>
  <c r="R256" i="17" a="1"/>
  <c r="R256" i="17" s="1"/>
  <c r="R257" i="17" a="1"/>
  <c r="R257" i="17"/>
  <c r="R258" i="17" a="1"/>
  <c r="R258" i="17" s="1"/>
  <c r="R259" i="17" a="1"/>
  <c r="R259" i="17" s="1"/>
  <c r="R260" i="17" a="1"/>
  <c r="R260" i="17" s="1"/>
  <c r="R261" i="17" a="1"/>
  <c r="R261" i="17"/>
  <c r="R331" i="17" a="1"/>
  <c r="R331" i="17"/>
  <c r="R341" i="17" a="1"/>
  <c r="R341" i="17" s="1"/>
  <c r="R271" i="17" a="1"/>
  <c r="R271" i="17" s="1"/>
  <c r="R281" i="17" a="1"/>
  <c r="R281" i="17" s="1"/>
  <c r="R291" i="17" a="1"/>
  <c r="R291" i="17" s="1"/>
  <c r="R301" i="17" a="1"/>
  <c r="R301" i="17" s="1"/>
  <c r="R311" i="17" a="1"/>
  <c r="R311" i="17" s="1"/>
  <c r="R321" i="17" a="1"/>
  <c r="R321" i="17" s="1"/>
  <c r="S2" i="17" a="1"/>
  <c r="S2" i="17" s="1"/>
  <c r="S12" i="17" a="1"/>
  <c r="S12" i="17" s="1"/>
  <c r="S13" i="17" a="1"/>
  <c r="S13" i="17" s="1"/>
  <c r="S14" i="17" a="1"/>
  <c r="S14" i="17"/>
  <c r="S15" i="17" a="1"/>
  <c r="S15" i="17" s="1"/>
  <c r="S16" i="17" a="1"/>
  <c r="S16" i="17" s="1"/>
  <c r="S17" i="17" a="1"/>
  <c r="S17" i="17" s="1"/>
  <c r="S72" i="17" a="1"/>
  <c r="S72" i="17"/>
  <c r="S82" i="17" a="1"/>
  <c r="S82" i="17" s="1"/>
  <c r="S92" i="17" a="1"/>
  <c r="S92" i="17" s="1"/>
  <c r="S102" i="17" a="1"/>
  <c r="S102" i="17" s="1"/>
  <c r="S112" i="17" a="1"/>
  <c r="S112" i="17" s="1"/>
  <c r="S122" i="17" a="1"/>
  <c r="S122" i="17" s="1"/>
  <c r="S132" i="17" a="1"/>
  <c r="S132" i="17" s="1"/>
  <c r="S142" i="17" a="1"/>
  <c r="S142" i="17" s="1"/>
  <c r="S143" i="17" a="1"/>
  <c r="S143" i="17" s="1"/>
  <c r="S144" i="17" a="1"/>
  <c r="S144" i="17" s="1"/>
  <c r="S145" i="17" a="1"/>
  <c r="S145" i="17" s="1"/>
  <c r="S146" i="17" a="1"/>
  <c r="S146" i="17" s="1"/>
  <c r="S147" i="17" a="1"/>
  <c r="S147" i="17" s="1"/>
  <c r="S202" i="17" a="1"/>
  <c r="S202" i="17" s="1"/>
  <c r="S203" i="17" a="1"/>
  <c r="S203" i="17" s="1"/>
  <c r="S204" i="17" a="1"/>
  <c r="S204" i="17" s="1"/>
  <c r="S205" i="17" a="1"/>
  <c r="S205" i="17" s="1"/>
  <c r="S206" i="17" a="1"/>
  <c r="S206" i="17" s="1"/>
  <c r="S207" i="17" a="1"/>
  <c r="S207" i="17"/>
  <c r="S322" i="17" a="1"/>
  <c r="S322" i="17" s="1"/>
  <c r="S332" i="17" a="1"/>
  <c r="S332" i="17" s="1"/>
  <c r="S262" i="17" a="1"/>
  <c r="S262" i="17" s="1"/>
  <c r="S272" i="17" a="1"/>
  <c r="S272" i="17"/>
  <c r="S282" i="17" a="1"/>
  <c r="S282" i="17" s="1"/>
  <c r="S292" i="17" a="1"/>
  <c r="S292" i="17" s="1"/>
  <c r="S302" i="17" a="1"/>
  <c r="S302" i="17" s="1"/>
  <c r="S312" i="17" a="1"/>
  <c r="S312" i="17" s="1"/>
  <c r="S3" i="17" a="1"/>
  <c r="S3" i="17" s="1"/>
  <c r="S18" i="17" a="1"/>
  <c r="S18" i="17" s="1"/>
  <c r="S19" i="17" a="1"/>
  <c r="S19" i="17" s="1"/>
  <c r="S20" i="17" a="1"/>
  <c r="S20" i="17" s="1"/>
  <c r="S21" i="17" a="1"/>
  <c r="S21" i="17" s="1"/>
  <c r="S22" i="17" a="1"/>
  <c r="S22" i="17"/>
  <c r="S23" i="17" a="1"/>
  <c r="S23" i="17" s="1"/>
  <c r="S73" i="17" a="1"/>
  <c r="S73" i="17" s="1"/>
  <c r="S83" i="17" a="1"/>
  <c r="S83" i="17" s="1"/>
  <c r="S93" i="17" a="1"/>
  <c r="S93" i="17" s="1"/>
  <c r="S103" i="17" a="1"/>
  <c r="S103" i="17" s="1"/>
  <c r="S113" i="17" a="1"/>
  <c r="S113" i="17" s="1"/>
  <c r="S123" i="17" a="1"/>
  <c r="S123" i="17" s="1"/>
  <c r="S133" i="17" a="1"/>
  <c r="S133" i="17" s="1"/>
  <c r="S148" i="17" a="1"/>
  <c r="S148" i="17" s="1"/>
  <c r="S149" i="17" a="1"/>
  <c r="S149" i="17" s="1"/>
  <c r="S150" i="17" a="1"/>
  <c r="S150" i="17"/>
  <c r="S151" i="17" a="1"/>
  <c r="S151" i="17" s="1"/>
  <c r="S152" i="17" a="1"/>
  <c r="S152" i="17"/>
  <c r="S153" i="17" a="1"/>
  <c r="S153" i="17" s="1"/>
  <c r="S208" i="17" a="1"/>
  <c r="S208" i="17" s="1"/>
  <c r="S209" i="17" a="1"/>
  <c r="S209" i="17" s="1"/>
  <c r="S210" i="17" a="1"/>
  <c r="S210" i="17" s="1"/>
  <c r="S211" i="17" a="1"/>
  <c r="S211" i="17" s="1"/>
  <c r="S212" i="17" a="1"/>
  <c r="S212" i="17" s="1"/>
  <c r="S213" i="17" a="1"/>
  <c r="S213" i="17" s="1"/>
  <c r="S323" i="17" a="1"/>
  <c r="S323" i="17" s="1"/>
  <c r="S333" i="17" a="1"/>
  <c r="S333" i="17" s="1"/>
  <c r="S263" i="17" a="1"/>
  <c r="S263" i="17" s="1"/>
  <c r="S273" i="17" a="1"/>
  <c r="S273" i="17" s="1"/>
  <c r="S283" i="17" a="1"/>
  <c r="S283" i="17" s="1"/>
  <c r="S293" i="17" a="1"/>
  <c r="S293" i="17" s="1"/>
  <c r="S303" i="17" a="1"/>
  <c r="S303" i="17" s="1"/>
  <c r="S313" i="17" a="1"/>
  <c r="S313" i="17" s="1"/>
  <c r="S4" i="17" a="1"/>
  <c r="S4" i="17" s="1"/>
  <c r="S24" i="17" a="1"/>
  <c r="S24" i="17" s="1"/>
  <c r="S25" i="17" a="1"/>
  <c r="S25" i="17" s="1"/>
  <c r="S26" i="17" a="1"/>
  <c r="S26" i="17" s="1"/>
  <c r="S27" i="17" a="1"/>
  <c r="S27" i="17" s="1"/>
  <c r="S28" i="17" a="1"/>
  <c r="S28" i="17" s="1"/>
  <c r="S29" i="17" a="1"/>
  <c r="S29" i="17" s="1"/>
  <c r="S74" i="17" a="1"/>
  <c r="S74" i="17" s="1"/>
  <c r="S84" i="17" a="1"/>
  <c r="S84" i="17"/>
  <c r="S94" i="17" a="1"/>
  <c r="S94" i="17" s="1"/>
  <c r="S104" i="17" a="1"/>
  <c r="S104" i="17" s="1"/>
  <c r="S114" i="17" a="1"/>
  <c r="S114" i="17"/>
  <c r="S124" i="17" a="1"/>
  <c r="S124" i="17" s="1"/>
  <c r="S134" i="17" a="1"/>
  <c r="S134" i="17" s="1"/>
  <c r="S154" i="17" a="1"/>
  <c r="S154" i="17" s="1"/>
  <c r="S155" i="17" a="1"/>
  <c r="S155" i="17" s="1"/>
  <c r="S156" i="17" a="1"/>
  <c r="S156" i="17" s="1"/>
  <c r="S157" i="17" a="1"/>
  <c r="S157" i="17" s="1"/>
  <c r="S158" i="17" a="1"/>
  <c r="S158" i="17" s="1"/>
  <c r="S159" i="17" a="1"/>
  <c r="S159" i="17" s="1"/>
  <c r="S214" i="17" a="1"/>
  <c r="S214" i="17" s="1"/>
  <c r="S215" i="17" a="1"/>
  <c r="S215" i="17" s="1"/>
  <c r="S216" i="17" a="1"/>
  <c r="S216" i="17" s="1"/>
  <c r="S217" i="17" a="1"/>
  <c r="S217" i="17" s="1"/>
  <c r="S218" i="17" a="1"/>
  <c r="S218" i="17" s="1"/>
  <c r="S219" i="17" a="1"/>
  <c r="S219" i="17" s="1"/>
  <c r="S324" i="17" a="1"/>
  <c r="S324" i="17" s="1"/>
  <c r="S334" i="17" a="1"/>
  <c r="S334" i="17" s="1"/>
  <c r="S264" i="17" a="1"/>
  <c r="S264" i="17" s="1"/>
  <c r="S274" i="17" a="1"/>
  <c r="S274" i="17" s="1"/>
  <c r="S284" i="17" a="1"/>
  <c r="S284" i="17" s="1"/>
  <c r="S294" i="17" a="1"/>
  <c r="S294" i="17" s="1"/>
  <c r="S304" i="17" a="1"/>
  <c r="S304" i="17" s="1"/>
  <c r="S314" i="17" a="1"/>
  <c r="S314" i="17"/>
  <c r="S5" i="17" a="1"/>
  <c r="S5" i="17" s="1"/>
  <c r="S30" i="17" a="1"/>
  <c r="S30" i="17"/>
  <c r="S31" i="17" a="1"/>
  <c r="S31" i="17" s="1"/>
  <c r="S32" i="17" a="1"/>
  <c r="S32" i="17" s="1"/>
  <c r="S33" i="17" a="1"/>
  <c r="S33" i="17" s="1"/>
  <c r="S34" i="17" a="1"/>
  <c r="S34" i="17" s="1"/>
  <c r="S35" i="17" a="1"/>
  <c r="S35" i="17" s="1"/>
  <c r="S75" i="17" a="1"/>
  <c r="S75" i="17" s="1"/>
  <c r="S85" i="17" a="1"/>
  <c r="S85" i="17" s="1"/>
  <c r="S95" i="17" a="1"/>
  <c r="S95" i="17" s="1"/>
  <c r="S105" i="17" a="1"/>
  <c r="S105" i="17" s="1"/>
  <c r="S115" i="17" a="1"/>
  <c r="S115" i="17" s="1"/>
  <c r="S125" i="17" a="1"/>
  <c r="S125" i="17" s="1"/>
  <c r="S135" i="17" a="1"/>
  <c r="S135" i="17" s="1"/>
  <c r="S160" i="17" a="1"/>
  <c r="S160" i="17" s="1"/>
  <c r="S161" i="17" a="1"/>
  <c r="S161" i="17" s="1"/>
  <c r="S162" i="17" a="1"/>
  <c r="S162" i="17" s="1"/>
  <c r="S163" i="17" a="1"/>
  <c r="S163" i="17" s="1"/>
  <c r="S164" i="17" a="1"/>
  <c r="S164" i="17" s="1"/>
  <c r="S165" i="17" a="1"/>
  <c r="S165" i="17" s="1"/>
  <c r="S220" i="17" a="1"/>
  <c r="S220" i="17"/>
  <c r="S221" i="17" a="1"/>
  <c r="S221" i="17" s="1"/>
  <c r="S222" i="17" a="1"/>
  <c r="S222" i="17"/>
  <c r="S223" i="17" a="1"/>
  <c r="S223" i="17" s="1"/>
  <c r="S224" i="17" a="1"/>
  <c r="S224" i="17" s="1"/>
  <c r="S225" i="17" a="1"/>
  <c r="S225" i="17" s="1"/>
  <c r="S325" i="17" a="1"/>
  <c r="S325" i="17" s="1"/>
  <c r="S335" i="17" a="1"/>
  <c r="S335" i="17" s="1"/>
  <c r="S265" i="17" a="1"/>
  <c r="S265" i="17" s="1"/>
  <c r="S275" i="17" a="1"/>
  <c r="S275" i="17" s="1"/>
  <c r="S285" i="17" a="1"/>
  <c r="S285" i="17" s="1"/>
  <c r="S295" i="17" a="1"/>
  <c r="S295" i="17" s="1"/>
  <c r="S305" i="17" a="1"/>
  <c r="S305" i="17" s="1"/>
  <c r="S315" i="17" a="1"/>
  <c r="S315" i="17" s="1"/>
  <c r="S6" i="17" a="1"/>
  <c r="S6" i="17" s="1"/>
  <c r="S36" i="17" a="1"/>
  <c r="S36" i="17" s="1"/>
  <c r="S37" i="17" a="1"/>
  <c r="S37" i="17" s="1"/>
  <c r="S38" i="17" a="1"/>
  <c r="S38" i="17" s="1"/>
  <c r="S39" i="17" a="1"/>
  <c r="S39" i="17" s="1"/>
  <c r="S40" i="17" a="1"/>
  <c r="S40" i="17" s="1"/>
  <c r="S41" i="17" a="1"/>
  <c r="S41" i="17" s="1"/>
  <c r="S76" i="17" a="1"/>
  <c r="S76" i="17" s="1"/>
  <c r="S86" i="17" a="1"/>
  <c r="S86" i="17" s="1"/>
  <c r="S96" i="17" a="1"/>
  <c r="S96" i="17" s="1"/>
  <c r="S106" i="17" a="1"/>
  <c r="S106" i="17" s="1"/>
  <c r="S116" i="17" a="1"/>
  <c r="S116" i="17" s="1"/>
  <c r="S126" i="17" a="1"/>
  <c r="S126" i="17"/>
  <c r="S136" i="17" a="1"/>
  <c r="S136" i="17" s="1"/>
  <c r="S166" i="17" a="1"/>
  <c r="S166" i="17" s="1"/>
  <c r="S167" i="17" a="1"/>
  <c r="S167" i="17" s="1"/>
  <c r="S168" i="17" a="1"/>
  <c r="S168" i="17" s="1"/>
  <c r="S169" i="17" a="1"/>
  <c r="S169" i="17" s="1"/>
  <c r="S170" i="17" a="1"/>
  <c r="S170" i="17" s="1"/>
  <c r="S171" i="17" a="1"/>
  <c r="S171" i="17" s="1"/>
  <c r="S226" i="17" a="1"/>
  <c r="S226" i="17" s="1"/>
  <c r="S227" i="17" a="1"/>
  <c r="S227" i="17" s="1"/>
  <c r="S228" i="17" a="1"/>
  <c r="S228" i="17" s="1"/>
  <c r="S229" i="17" a="1"/>
  <c r="S229" i="17" s="1"/>
  <c r="S230" i="17" a="1"/>
  <c r="S230" i="17" s="1"/>
  <c r="S231" i="17" a="1"/>
  <c r="S231" i="17" s="1"/>
  <c r="S326" i="17" a="1"/>
  <c r="S326" i="17" s="1"/>
  <c r="S336" i="17" a="1"/>
  <c r="S336" i="17" s="1"/>
  <c r="S266" i="17" a="1"/>
  <c r="S266" i="17" s="1"/>
  <c r="S276" i="17" a="1"/>
  <c r="S276" i="17" s="1"/>
  <c r="S286" i="17" a="1"/>
  <c r="S286" i="17" s="1"/>
  <c r="S296" i="17" a="1"/>
  <c r="S296" i="17" s="1"/>
  <c r="S306" i="17" a="1"/>
  <c r="S306" i="17" s="1"/>
  <c r="S316" i="17" a="1"/>
  <c r="S316" i="17"/>
  <c r="S7" i="17" a="1"/>
  <c r="S7" i="17" s="1"/>
  <c r="S42" i="17" a="1"/>
  <c r="S42" i="17" s="1"/>
  <c r="S43" i="17" a="1"/>
  <c r="S43" i="17" s="1"/>
  <c r="S44" i="17" a="1"/>
  <c r="S44" i="17" s="1"/>
  <c r="S45" i="17" a="1"/>
  <c r="S45" i="17" s="1"/>
  <c r="S46" i="17" a="1"/>
  <c r="S46" i="17" s="1"/>
  <c r="S47" i="17" a="1"/>
  <c r="S47" i="17" s="1"/>
  <c r="S77" i="17" a="1"/>
  <c r="S77" i="17" s="1"/>
  <c r="S87" i="17" a="1"/>
  <c r="S87" i="17" s="1"/>
  <c r="S97" i="17" a="1"/>
  <c r="S97" i="17" s="1"/>
  <c r="S107" i="17" a="1"/>
  <c r="S107" i="17" s="1"/>
  <c r="S117" i="17" a="1"/>
  <c r="S117" i="17" s="1"/>
  <c r="S127" i="17" a="1"/>
  <c r="S127" i="17" s="1"/>
  <c r="S137" i="17" a="1"/>
  <c r="S137" i="17" s="1"/>
  <c r="S172" i="17" a="1"/>
  <c r="S172" i="17"/>
  <c r="S173" i="17" a="1"/>
  <c r="S173" i="17" s="1"/>
  <c r="S174" i="17" a="1"/>
  <c r="S174" i="17" s="1"/>
  <c r="S175" i="17" a="1"/>
  <c r="S175" i="17" s="1"/>
  <c r="S176" i="17" a="1"/>
  <c r="S176" i="17" s="1"/>
  <c r="S177" i="17" a="1"/>
  <c r="S177" i="17" s="1"/>
  <c r="S232" i="17" a="1"/>
  <c r="S232" i="17" s="1"/>
  <c r="S233" i="17" a="1"/>
  <c r="S233" i="17" s="1"/>
  <c r="S234" i="17" a="1"/>
  <c r="S234" i="17" s="1"/>
  <c r="S235" i="17" a="1"/>
  <c r="S235" i="17"/>
  <c r="S236" i="17" a="1"/>
  <c r="S236" i="17" s="1"/>
  <c r="S237" i="17" a="1"/>
  <c r="S237" i="17" s="1"/>
  <c r="S327" i="17" a="1"/>
  <c r="S327" i="17" s="1"/>
  <c r="S337" i="17" a="1"/>
  <c r="S337" i="17" s="1"/>
  <c r="S267" i="17" a="1"/>
  <c r="S267" i="17" s="1"/>
  <c r="S277" i="17" a="1"/>
  <c r="S277" i="17" s="1"/>
  <c r="S287" i="17" a="1"/>
  <c r="S287" i="17" s="1"/>
  <c r="S297" i="17" a="1"/>
  <c r="S297" i="17" s="1"/>
  <c r="S307" i="17" a="1"/>
  <c r="S307" i="17" s="1"/>
  <c r="S317" i="17" a="1"/>
  <c r="S317" i="17" s="1"/>
  <c r="S8" i="17" a="1"/>
  <c r="S8" i="17" s="1"/>
  <c r="S48" i="17" a="1"/>
  <c r="S48" i="17" s="1"/>
  <c r="S49" i="17" a="1"/>
  <c r="S49" i="17" s="1"/>
  <c r="S50" i="17" a="1"/>
  <c r="S50" i="17" s="1"/>
  <c r="S51" i="17" a="1"/>
  <c r="S51" i="17" s="1"/>
  <c r="S52" i="17" a="1"/>
  <c r="S52" i="17" s="1"/>
  <c r="S53" i="17" a="1"/>
  <c r="S53" i="17" s="1"/>
  <c r="S78" i="17" a="1"/>
  <c r="S78" i="17" s="1"/>
  <c r="S88" i="17" a="1"/>
  <c r="S88" i="17" s="1"/>
  <c r="S98" i="17" a="1"/>
  <c r="S98" i="17" s="1"/>
  <c r="S108" i="17" a="1"/>
  <c r="S108" i="17" s="1"/>
  <c r="S118" i="17" a="1"/>
  <c r="S118" i="17" s="1"/>
  <c r="S128" i="17" a="1"/>
  <c r="S128" i="17" s="1"/>
  <c r="S138" i="17" a="1"/>
  <c r="S138" i="17" s="1"/>
  <c r="S178" i="17" a="1"/>
  <c r="S178" i="17" s="1"/>
  <c r="S179" i="17" a="1"/>
  <c r="S179" i="17" s="1"/>
  <c r="S180" i="17" a="1"/>
  <c r="S180" i="17"/>
  <c r="S181" i="17" a="1"/>
  <c r="S181" i="17" s="1"/>
  <c r="S182" i="17" a="1"/>
  <c r="S182" i="17" s="1"/>
  <c r="S183" i="17" a="1"/>
  <c r="S183" i="17" s="1"/>
  <c r="S238" i="17" a="1"/>
  <c r="S238" i="17" s="1"/>
  <c r="S239" i="17" a="1"/>
  <c r="S239" i="17" s="1"/>
  <c r="S240" i="17" a="1"/>
  <c r="S240" i="17" s="1"/>
  <c r="S241" i="17" a="1"/>
  <c r="S241" i="17" s="1"/>
  <c r="S242" i="17" a="1"/>
  <c r="S242" i="17" s="1"/>
  <c r="S243" i="17" a="1"/>
  <c r="S243" i="17" s="1"/>
  <c r="S328" i="17" a="1"/>
  <c r="S328" i="17" s="1"/>
  <c r="S338" i="17" a="1"/>
  <c r="S338" i="17" s="1"/>
  <c r="S268" i="17" a="1"/>
  <c r="S268" i="17" s="1"/>
  <c r="S278" i="17" a="1"/>
  <c r="S278" i="17" s="1"/>
  <c r="S288" i="17" a="1"/>
  <c r="S288" i="17" s="1"/>
  <c r="S298" i="17" a="1"/>
  <c r="S298" i="17" s="1"/>
  <c r="S308" i="17" a="1"/>
  <c r="S308" i="17" s="1"/>
  <c r="S318" i="17" a="1"/>
  <c r="S318" i="17" s="1"/>
  <c r="S9" i="17" a="1"/>
  <c r="S9" i="17" s="1"/>
  <c r="S54" i="17" a="1"/>
  <c r="S54" i="17" s="1"/>
  <c r="S55" i="17" a="1"/>
  <c r="S55" i="17" s="1"/>
  <c r="S56" i="17" a="1"/>
  <c r="S56" i="17" s="1"/>
  <c r="S57" i="17" a="1"/>
  <c r="S57" i="17"/>
  <c r="S58" i="17" a="1"/>
  <c r="S58" i="17" s="1"/>
  <c r="S59" i="17" a="1"/>
  <c r="S59" i="17" s="1"/>
  <c r="S79" i="17" a="1"/>
  <c r="S79" i="17" s="1"/>
  <c r="S89" i="17" a="1"/>
  <c r="S89" i="17" s="1"/>
  <c r="S99" i="17" a="1"/>
  <c r="S99" i="17" s="1"/>
  <c r="S109" i="17" a="1"/>
  <c r="S109" i="17" s="1"/>
  <c r="S119" i="17" a="1"/>
  <c r="S119" i="17" s="1"/>
  <c r="S129" i="17" a="1"/>
  <c r="S129" i="17" s="1"/>
  <c r="S139" i="17" a="1"/>
  <c r="S139" i="17" s="1"/>
  <c r="S184" i="17" a="1"/>
  <c r="S184" i="17" s="1"/>
  <c r="S185" i="17" a="1"/>
  <c r="S185" i="17"/>
  <c r="S186" i="17" a="1"/>
  <c r="S186" i="17" s="1"/>
  <c r="S187" i="17" a="1"/>
  <c r="S187" i="17"/>
  <c r="S188" i="17" a="1"/>
  <c r="S188" i="17" s="1"/>
  <c r="S189" i="17" a="1"/>
  <c r="S189" i="17" s="1"/>
  <c r="S244" i="17" a="1"/>
  <c r="S244" i="17" s="1"/>
  <c r="S245" i="17" a="1"/>
  <c r="S245" i="17" s="1"/>
  <c r="S246" i="17" a="1"/>
  <c r="S246" i="17" s="1"/>
  <c r="S247" i="17" a="1"/>
  <c r="S247" i="17" s="1"/>
  <c r="S248" i="17" a="1"/>
  <c r="S248" i="17" s="1"/>
  <c r="S249" i="17" a="1"/>
  <c r="S249" i="17" s="1"/>
  <c r="S329" i="17" a="1"/>
  <c r="S329" i="17" s="1"/>
  <c r="S339" i="17" a="1"/>
  <c r="S339" i="17"/>
  <c r="S269" i="17" a="1"/>
  <c r="S269" i="17" s="1"/>
  <c r="S279" i="17" a="1"/>
  <c r="S279" i="17" s="1"/>
  <c r="S289" i="17" a="1"/>
  <c r="S289" i="17" s="1"/>
  <c r="S299" i="17" a="1"/>
  <c r="S299" i="17" s="1"/>
  <c r="S309" i="17" a="1"/>
  <c r="S309" i="17" s="1"/>
  <c r="S319" i="17" a="1"/>
  <c r="S319" i="17" s="1"/>
  <c r="S10" i="17" a="1"/>
  <c r="S10" i="17" s="1"/>
  <c r="S60" i="17" a="1"/>
  <c r="S60" i="17"/>
  <c r="S61" i="17" a="1"/>
  <c r="S61" i="17" s="1"/>
  <c r="S62" i="17" a="1"/>
  <c r="S62" i="17" s="1"/>
  <c r="S63" i="17" a="1"/>
  <c r="S63" i="17" s="1"/>
  <c r="S64" i="17" a="1"/>
  <c r="S64" i="17" s="1"/>
  <c r="S65" i="17" a="1"/>
  <c r="S65" i="17" s="1"/>
  <c r="S80" i="17" a="1"/>
  <c r="S80" i="17" s="1"/>
  <c r="S90" i="17" a="1"/>
  <c r="S90" i="17" s="1"/>
  <c r="S100" i="17" a="1"/>
  <c r="S100" i="17" s="1"/>
  <c r="S110" i="17" a="1"/>
  <c r="S110" i="17" s="1"/>
  <c r="S120" i="17" a="1"/>
  <c r="S120" i="17" s="1"/>
  <c r="S130" i="17" a="1"/>
  <c r="S130" i="17" s="1"/>
  <c r="S140" i="17" a="1"/>
  <c r="S140" i="17"/>
  <c r="S190" i="17" a="1"/>
  <c r="S190" i="17" s="1"/>
  <c r="S191" i="17" a="1"/>
  <c r="S191" i="17" s="1"/>
  <c r="S192" i="17" a="1"/>
  <c r="S192" i="17" s="1"/>
  <c r="S193" i="17" a="1"/>
  <c r="S193" i="17" s="1"/>
  <c r="S194" i="17" a="1"/>
  <c r="S194" i="17" s="1"/>
  <c r="S195" i="17" a="1"/>
  <c r="S195" i="17" s="1"/>
  <c r="S250" i="17" a="1"/>
  <c r="S250" i="17" s="1"/>
  <c r="S251" i="17" a="1"/>
  <c r="S251" i="17" s="1"/>
  <c r="S252" i="17" a="1"/>
  <c r="S252" i="17" s="1"/>
  <c r="S253" i="17" a="1"/>
  <c r="S253" i="17" s="1"/>
  <c r="S254" i="17" a="1"/>
  <c r="S254" i="17" s="1"/>
  <c r="S255" i="17" a="1"/>
  <c r="S255" i="17" s="1"/>
  <c r="S330" i="17" a="1"/>
  <c r="S330" i="17" s="1"/>
  <c r="S340" i="17" a="1"/>
  <c r="S340" i="17" s="1"/>
  <c r="S270" i="17" a="1"/>
  <c r="S270" i="17" s="1"/>
  <c r="S280" i="17" a="1"/>
  <c r="S280" i="17" s="1"/>
  <c r="S290" i="17" a="1"/>
  <c r="S290" i="17" s="1"/>
  <c r="S300" i="17" a="1"/>
  <c r="S300" i="17" s="1"/>
  <c r="S310" i="17" a="1"/>
  <c r="S310" i="17" s="1"/>
  <c r="S320" i="17" a="1"/>
  <c r="S320" i="17" s="1"/>
  <c r="S11" i="17" a="1"/>
  <c r="S11" i="17" s="1"/>
  <c r="S66" i="17" a="1"/>
  <c r="S66" i="17" s="1"/>
  <c r="S67" i="17" a="1"/>
  <c r="S67" i="17" s="1"/>
  <c r="S68" i="17" a="1"/>
  <c r="S68" i="17" s="1"/>
  <c r="S69" i="17" a="1"/>
  <c r="S69" i="17" s="1"/>
  <c r="S70" i="17" a="1"/>
  <c r="S70" i="17" s="1"/>
  <c r="S71" i="17" a="1"/>
  <c r="S71" i="17" s="1"/>
  <c r="S81" i="17" a="1"/>
  <c r="S81" i="17" s="1"/>
  <c r="S91" i="17" a="1"/>
  <c r="S91" i="17" s="1"/>
  <c r="S101" i="17" a="1"/>
  <c r="S101" i="17" s="1"/>
  <c r="S111" i="17" a="1"/>
  <c r="S111" i="17" s="1"/>
  <c r="S121" i="17" a="1"/>
  <c r="S121" i="17" s="1"/>
  <c r="S131" i="17" a="1"/>
  <c r="S131" i="17" s="1"/>
  <c r="S141" i="17" a="1"/>
  <c r="S141" i="17" s="1"/>
  <c r="S196" i="17" a="1"/>
  <c r="S196" i="17" s="1"/>
  <c r="S197" i="17" a="1"/>
  <c r="S197" i="17" s="1"/>
  <c r="S198" i="17" a="1"/>
  <c r="S198" i="17" s="1"/>
  <c r="S199" i="17" a="1"/>
  <c r="S199" i="17" s="1"/>
  <c r="S200" i="17" a="1"/>
  <c r="S200" i="17" s="1"/>
  <c r="S201" i="17" a="1"/>
  <c r="S201" i="17" s="1"/>
  <c r="S256" i="17" a="1"/>
  <c r="S256" i="17" s="1"/>
  <c r="S257" i="17" a="1"/>
  <c r="S257" i="17"/>
  <c r="S258" i="17" a="1"/>
  <c r="S258" i="17" s="1"/>
  <c r="S259" i="17" a="1"/>
  <c r="S259" i="17" s="1"/>
  <c r="S260" i="17" a="1"/>
  <c r="S260" i="17" s="1"/>
  <c r="S261" i="17" a="1"/>
  <c r="S261" i="17" s="1"/>
  <c r="S331" i="17" a="1"/>
  <c r="S331" i="17" s="1"/>
  <c r="S341" i="17" a="1"/>
  <c r="S341" i="17" s="1"/>
  <c r="S271" i="17" a="1"/>
  <c r="S271" i="17" s="1"/>
  <c r="S281" i="17" a="1"/>
  <c r="S281" i="17" s="1"/>
  <c r="S291" i="17" a="1"/>
  <c r="S291" i="17"/>
  <c r="S301" i="17" a="1"/>
  <c r="S301" i="17"/>
  <c r="S311" i="17" a="1"/>
  <c r="S311" i="17" s="1"/>
  <c r="S321" i="17" a="1"/>
  <c r="S321" i="17"/>
  <c r="T2" i="17" a="1"/>
  <c r="T2" i="17"/>
  <c r="T12" i="17" a="1"/>
  <c r="T12" i="17" s="1"/>
  <c r="T13" i="17" a="1"/>
  <c r="T13" i="17" s="1"/>
  <c r="T14" i="17" a="1"/>
  <c r="T14" i="17" s="1"/>
  <c r="T15" i="17" a="1"/>
  <c r="T15" i="17" s="1"/>
  <c r="T16" i="17" a="1"/>
  <c r="T16" i="17" s="1"/>
  <c r="T17" i="17" a="1"/>
  <c r="T17" i="17" s="1"/>
  <c r="T72" i="17" a="1"/>
  <c r="T72" i="17" s="1"/>
  <c r="T82" i="17" a="1"/>
  <c r="T82" i="17" s="1"/>
  <c r="T92" i="17" a="1"/>
  <c r="T92" i="17" s="1"/>
  <c r="T102" i="17" a="1"/>
  <c r="T102" i="17" s="1"/>
  <c r="T112" i="17" a="1"/>
  <c r="T112" i="17" s="1"/>
  <c r="T122" i="17" a="1"/>
  <c r="T122" i="17" s="1"/>
  <c r="T132" i="17" a="1"/>
  <c r="T132" i="17"/>
  <c r="T142" i="17" a="1"/>
  <c r="T142" i="17" s="1"/>
  <c r="T143" i="17" a="1"/>
  <c r="T143" i="17" s="1"/>
  <c r="T144" i="17" a="1"/>
  <c r="T144" i="17" s="1"/>
  <c r="T145" i="17" a="1"/>
  <c r="T145" i="17" s="1"/>
  <c r="T146" i="17" a="1"/>
  <c r="T146" i="17" s="1"/>
  <c r="T147" i="17" a="1"/>
  <c r="T147" i="17" s="1"/>
  <c r="T202" i="17" a="1"/>
  <c r="T202" i="17" s="1"/>
  <c r="T203" i="17" a="1"/>
  <c r="T203" i="17" s="1"/>
  <c r="T204" i="17" a="1"/>
  <c r="T204" i="17" s="1"/>
  <c r="T205" i="17" a="1"/>
  <c r="T205" i="17" s="1"/>
  <c r="T206" i="17" a="1"/>
  <c r="T206" i="17" s="1"/>
  <c r="T207" i="17" a="1"/>
  <c r="T207" i="17" s="1"/>
  <c r="T322" i="17" a="1"/>
  <c r="T322" i="17"/>
  <c r="T332" i="17" a="1"/>
  <c r="T332" i="17" s="1"/>
  <c r="T262" i="17" a="1"/>
  <c r="T262" i="17" s="1"/>
  <c r="T272" i="17" a="1"/>
  <c r="T272" i="17" s="1"/>
  <c r="T282" i="17" a="1"/>
  <c r="T282" i="17" s="1"/>
  <c r="T292" i="17" a="1"/>
  <c r="T292" i="17" s="1"/>
  <c r="T302" i="17" a="1"/>
  <c r="T302" i="17" s="1"/>
  <c r="T312" i="17" a="1"/>
  <c r="T312" i="17" s="1"/>
  <c r="T3" i="17" a="1"/>
  <c r="T3" i="17" s="1"/>
  <c r="T18" i="17" a="1"/>
  <c r="T18" i="17" s="1"/>
  <c r="T19" i="17" a="1"/>
  <c r="T19" i="17" s="1"/>
  <c r="T20" i="17" a="1"/>
  <c r="T20" i="17" s="1"/>
  <c r="T21" i="17" a="1"/>
  <c r="T21" i="17"/>
  <c r="T22" i="17" a="1"/>
  <c r="T22" i="17" s="1"/>
  <c r="T23" i="17" a="1"/>
  <c r="T23" i="17" s="1"/>
  <c r="T73" i="17" a="1"/>
  <c r="T73" i="17" s="1"/>
  <c r="T83" i="17" a="1"/>
  <c r="T83" i="17" s="1"/>
  <c r="T93" i="17" a="1"/>
  <c r="T93" i="17" s="1"/>
  <c r="T103" i="17" a="1"/>
  <c r="T103" i="17" s="1"/>
  <c r="T113" i="17" a="1"/>
  <c r="T113" i="17" s="1"/>
  <c r="T123" i="17" a="1"/>
  <c r="T123" i="17" s="1"/>
  <c r="T133" i="17" a="1"/>
  <c r="T133" i="17" s="1"/>
  <c r="T148" i="17" a="1"/>
  <c r="T148" i="17" s="1"/>
  <c r="T149" i="17" a="1"/>
  <c r="T149" i="17" s="1"/>
  <c r="T150" i="17" a="1"/>
  <c r="T150" i="17" s="1"/>
  <c r="T151" i="17" a="1"/>
  <c r="T151" i="17" s="1"/>
  <c r="T152" i="17" a="1"/>
  <c r="T152" i="17" s="1"/>
  <c r="T153" i="17" a="1"/>
  <c r="T153" i="17" s="1"/>
  <c r="T208" i="17" a="1"/>
  <c r="T208" i="17" s="1"/>
  <c r="T209" i="17" a="1"/>
  <c r="T209" i="17" s="1"/>
  <c r="T210" i="17" a="1"/>
  <c r="T210" i="17" s="1"/>
  <c r="T211" i="17" a="1"/>
  <c r="T211" i="17" s="1"/>
  <c r="T212" i="17" a="1"/>
  <c r="T212" i="17" s="1"/>
  <c r="T213" i="17" a="1"/>
  <c r="T213" i="17" s="1"/>
  <c r="T323" i="17" a="1"/>
  <c r="T323" i="17" s="1"/>
  <c r="T333" i="17" a="1"/>
  <c r="T333" i="17" s="1"/>
  <c r="T263" i="17" a="1"/>
  <c r="T263" i="17" s="1"/>
  <c r="T273" i="17" a="1"/>
  <c r="T273" i="17" s="1"/>
  <c r="T283" i="17" a="1"/>
  <c r="T283" i="17" s="1"/>
  <c r="T293" i="17" a="1"/>
  <c r="T293" i="17" s="1"/>
  <c r="T303" i="17" a="1"/>
  <c r="T303" i="17" s="1"/>
  <c r="T313" i="17" a="1"/>
  <c r="T313" i="17" s="1"/>
  <c r="T4" i="17" a="1"/>
  <c r="T4" i="17"/>
  <c r="T24" i="17" a="1"/>
  <c r="T24" i="17" s="1"/>
  <c r="T25" i="17" a="1"/>
  <c r="T25" i="17" s="1"/>
  <c r="T26" i="17" a="1"/>
  <c r="T26" i="17" s="1"/>
  <c r="T27" i="17" a="1"/>
  <c r="T27" i="17" s="1"/>
  <c r="T28" i="17" a="1"/>
  <c r="T28" i="17" s="1"/>
  <c r="T29" i="17" a="1"/>
  <c r="T29" i="17" s="1"/>
  <c r="T74" i="17" a="1"/>
  <c r="T74" i="17" s="1"/>
  <c r="T84" i="17" a="1"/>
  <c r="T84" i="17" s="1"/>
  <c r="T94" i="17" a="1"/>
  <c r="T94" i="17" s="1"/>
  <c r="T104" i="17" a="1"/>
  <c r="T104" i="17" s="1"/>
  <c r="T114" i="17" a="1"/>
  <c r="T114" i="17" s="1"/>
  <c r="T124" i="17" a="1"/>
  <c r="T124" i="17" s="1"/>
  <c r="T134" i="17" a="1"/>
  <c r="T134" i="17"/>
  <c r="T154" i="17" a="1"/>
  <c r="T154" i="17" s="1"/>
  <c r="T155" i="17" a="1"/>
  <c r="T155" i="17" s="1"/>
  <c r="T156" i="17" a="1"/>
  <c r="T156" i="17" s="1"/>
  <c r="T157" i="17" a="1"/>
  <c r="T157" i="17" s="1"/>
  <c r="T158" i="17" a="1"/>
  <c r="T158" i="17" s="1"/>
  <c r="T159" i="17" a="1"/>
  <c r="T159" i="17" s="1"/>
  <c r="T214" i="17" a="1"/>
  <c r="T214" i="17" s="1"/>
  <c r="T215" i="17" a="1"/>
  <c r="T215" i="17" s="1"/>
  <c r="T216" i="17" a="1"/>
  <c r="T216" i="17" s="1"/>
  <c r="T217" i="17" a="1"/>
  <c r="T217" i="17" s="1"/>
  <c r="T218" i="17" a="1"/>
  <c r="T218" i="17" s="1"/>
  <c r="T219" i="17" a="1"/>
  <c r="T219" i="17" s="1"/>
  <c r="T324" i="17" a="1"/>
  <c r="T324" i="17" s="1"/>
  <c r="T334" i="17" a="1"/>
  <c r="T334" i="17" s="1"/>
  <c r="T264" i="17" a="1"/>
  <c r="T264" i="17" s="1"/>
  <c r="T274" i="17" a="1"/>
  <c r="T274" i="17" s="1"/>
  <c r="T284" i="17" a="1"/>
  <c r="T284" i="17" s="1"/>
  <c r="T294" i="17" a="1"/>
  <c r="T294" i="17" s="1"/>
  <c r="T304" i="17" a="1"/>
  <c r="T304" i="17" s="1"/>
  <c r="T314" i="17" a="1"/>
  <c r="T314" i="17" s="1"/>
  <c r="T5" i="17" a="1"/>
  <c r="T5" i="17" s="1"/>
  <c r="T30" i="17" a="1"/>
  <c r="T30" i="17" s="1"/>
  <c r="T31" i="17" a="1"/>
  <c r="T31" i="17" s="1"/>
  <c r="T32" i="17" a="1"/>
  <c r="T32" i="17" s="1"/>
  <c r="T33" i="17" a="1"/>
  <c r="T33" i="17" s="1"/>
  <c r="T34" i="17" a="1"/>
  <c r="T34" i="17" s="1"/>
  <c r="T35" i="17" a="1"/>
  <c r="T35" i="17" s="1"/>
  <c r="T75" i="17" a="1"/>
  <c r="T75" i="17" s="1"/>
  <c r="T85" i="17" a="1"/>
  <c r="T85" i="17" s="1"/>
  <c r="T95" i="17" a="1"/>
  <c r="T95" i="17" s="1"/>
  <c r="T105" i="17" a="1"/>
  <c r="T105" i="17" s="1"/>
  <c r="T115" i="17" a="1"/>
  <c r="T115" i="17" s="1"/>
  <c r="T125" i="17" a="1"/>
  <c r="T125" i="17" s="1"/>
  <c r="T135" i="17" a="1"/>
  <c r="T135" i="17" s="1"/>
  <c r="T160" i="17" a="1"/>
  <c r="T160" i="17" s="1"/>
  <c r="T161" i="17" a="1"/>
  <c r="T161" i="17" s="1"/>
  <c r="T162" i="17" a="1"/>
  <c r="T162" i="17" s="1"/>
  <c r="T163" i="17" a="1"/>
  <c r="T163" i="17" s="1"/>
  <c r="T164" i="17" a="1"/>
  <c r="T164" i="17" s="1"/>
  <c r="T165" i="17" a="1"/>
  <c r="T165" i="17" s="1"/>
  <c r="T220" i="17" a="1"/>
  <c r="T220" i="17" s="1"/>
  <c r="T221" i="17" a="1"/>
  <c r="T221" i="17" s="1"/>
  <c r="T222" i="17" a="1"/>
  <c r="T222" i="17" s="1"/>
  <c r="T223" i="17" a="1"/>
  <c r="T223" i="17" s="1"/>
  <c r="T224" i="17" a="1"/>
  <c r="T224" i="17" s="1"/>
  <c r="T225" i="17" a="1"/>
  <c r="T225" i="17"/>
  <c r="T325" i="17" a="1"/>
  <c r="T325" i="17"/>
  <c r="T335" i="17" a="1"/>
  <c r="T335" i="17" s="1"/>
  <c r="T265" i="17" a="1"/>
  <c r="T265" i="17" s="1"/>
  <c r="T275" i="17" a="1"/>
  <c r="T275" i="17" s="1"/>
  <c r="T285" i="17" a="1"/>
  <c r="T285" i="17" s="1"/>
  <c r="T295" i="17" a="1"/>
  <c r="T295" i="17" s="1"/>
  <c r="T305" i="17" a="1"/>
  <c r="T305" i="17" s="1"/>
  <c r="T315" i="17" a="1"/>
  <c r="T315" i="17" s="1"/>
  <c r="T6" i="17" a="1"/>
  <c r="T6" i="17" s="1"/>
  <c r="T36" i="17" a="1"/>
  <c r="T36" i="17"/>
  <c r="T37" i="17" a="1"/>
  <c r="T37" i="17" s="1"/>
  <c r="T38" i="17" a="1"/>
  <c r="T38" i="17" s="1"/>
  <c r="T39" i="17" a="1"/>
  <c r="T39" i="17" s="1"/>
  <c r="T40" i="17" a="1"/>
  <c r="T40" i="17"/>
  <c r="T41" i="17" a="1"/>
  <c r="T41" i="17" s="1"/>
  <c r="T76" i="17" a="1"/>
  <c r="T76" i="17"/>
  <c r="T86" i="17" a="1"/>
  <c r="T86" i="17" s="1"/>
  <c r="T96" i="17" a="1"/>
  <c r="T96" i="17" s="1"/>
  <c r="T106" i="17" a="1"/>
  <c r="T106" i="17" s="1"/>
  <c r="T116" i="17" a="1"/>
  <c r="T116" i="17" s="1"/>
  <c r="T126" i="17" a="1"/>
  <c r="T126" i="17" s="1"/>
  <c r="T136" i="17" a="1"/>
  <c r="T136" i="17" s="1"/>
  <c r="T166" i="17" a="1"/>
  <c r="T166" i="17" s="1"/>
  <c r="T167" i="17" a="1"/>
  <c r="T167" i="17" s="1"/>
  <c r="T168" i="17" a="1"/>
  <c r="T168" i="17" s="1"/>
  <c r="T169" i="17" a="1"/>
  <c r="T169" i="17"/>
  <c r="T170" i="17" a="1"/>
  <c r="T170" i="17" s="1"/>
  <c r="T171" i="17" a="1"/>
  <c r="T171" i="17" s="1"/>
  <c r="T226" i="17" a="1"/>
  <c r="T226" i="17" s="1"/>
  <c r="T227" i="17" a="1"/>
  <c r="T227" i="17" s="1"/>
  <c r="T228" i="17" a="1"/>
  <c r="T228" i="17" s="1"/>
  <c r="T229" i="17" a="1"/>
  <c r="T229" i="17" s="1"/>
  <c r="T230" i="17" a="1"/>
  <c r="T230" i="17" s="1"/>
  <c r="T231" i="17" a="1"/>
  <c r="T231" i="17" s="1"/>
  <c r="T326" i="17" a="1"/>
  <c r="T326" i="17" s="1"/>
  <c r="T336" i="17" a="1"/>
  <c r="T336" i="17" s="1"/>
  <c r="T266" i="17" a="1"/>
  <c r="T266" i="17" s="1"/>
  <c r="T276" i="17" a="1"/>
  <c r="T276" i="17" s="1"/>
  <c r="T286" i="17" a="1"/>
  <c r="T286" i="17" s="1"/>
  <c r="T296" i="17" a="1"/>
  <c r="T296" i="17" s="1"/>
  <c r="T306" i="17" a="1"/>
  <c r="T306" i="17" s="1"/>
  <c r="T316" i="17" a="1"/>
  <c r="T316" i="17"/>
  <c r="T7" i="17" a="1"/>
  <c r="T7" i="17" s="1"/>
  <c r="T42" i="17" a="1"/>
  <c r="T42" i="17" s="1"/>
  <c r="T43" i="17" a="1"/>
  <c r="T43" i="17" s="1"/>
  <c r="T44" i="17" a="1"/>
  <c r="T44" i="17" s="1"/>
  <c r="T45" i="17" a="1"/>
  <c r="T45" i="17" s="1"/>
  <c r="T46" i="17" a="1"/>
  <c r="T46" i="17" s="1"/>
  <c r="T47" i="17" a="1"/>
  <c r="T47" i="17" s="1"/>
  <c r="T77" i="17" a="1"/>
  <c r="T77" i="17" s="1"/>
  <c r="T87" i="17" a="1"/>
  <c r="T87" i="17" s="1"/>
  <c r="T97" i="17" a="1"/>
  <c r="T97" i="17" s="1"/>
  <c r="T107" i="17" a="1"/>
  <c r="T107" i="17" s="1"/>
  <c r="T117" i="17" a="1"/>
  <c r="T117" i="17" s="1"/>
  <c r="T127" i="17" a="1"/>
  <c r="T127" i="17"/>
  <c r="T137" i="17" a="1"/>
  <c r="T137" i="17" s="1"/>
  <c r="T172" i="17" a="1"/>
  <c r="T172" i="17" s="1"/>
  <c r="T173" i="17" a="1"/>
  <c r="T173" i="17" s="1"/>
  <c r="T174" i="17" a="1"/>
  <c r="T174" i="17" s="1"/>
  <c r="T175" i="17" a="1"/>
  <c r="T175" i="17" s="1"/>
  <c r="T176" i="17" a="1"/>
  <c r="T176" i="17" s="1"/>
  <c r="T177" i="17" a="1"/>
  <c r="T177" i="17" s="1"/>
  <c r="T232" i="17" a="1"/>
  <c r="T232" i="17" s="1"/>
  <c r="T233" i="17" a="1"/>
  <c r="T233" i="17" s="1"/>
  <c r="T234" i="17" a="1"/>
  <c r="T234" i="17" s="1"/>
  <c r="T235" i="17" a="1"/>
  <c r="T235" i="17" s="1"/>
  <c r="T236" i="17" a="1"/>
  <c r="T236" i="17" s="1"/>
  <c r="T237" i="17" a="1"/>
  <c r="T237" i="17" s="1"/>
  <c r="T327" i="17" a="1"/>
  <c r="T327" i="17" s="1"/>
  <c r="T337" i="17" a="1"/>
  <c r="T337" i="17" s="1"/>
  <c r="T267" i="17" a="1"/>
  <c r="T267" i="17" s="1"/>
  <c r="T277" i="17" a="1"/>
  <c r="T277" i="17" s="1"/>
  <c r="T287" i="17" a="1"/>
  <c r="T287" i="17" s="1"/>
  <c r="T297" i="17" a="1"/>
  <c r="T297" i="17" s="1"/>
  <c r="T307" i="17" a="1"/>
  <c r="T307" i="17" s="1"/>
  <c r="T317" i="17" a="1"/>
  <c r="T317" i="17" s="1"/>
  <c r="T8" i="17" a="1"/>
  <c r="T8" i="17" s="1"/>
  <c r="T48" i="17" a="1"/>
  <c r="T48" i="17" s="1"/>
  <c r="T49" i="17" a="1"/>
  <c r="T49" i="17" s="1"/>
  <c r="T50" i="17" a="1"/>
  <c r="T50" i="17" s="1"/>
  <c r="T51" i="17" a="1"/>
  <c r="T51" i="17" s="1"/>
  <c r="T52" i="17" a="1"/>
  <c r="T52" i="17" s="1"/>
  <c r="T53" i="17" a="1"/>
  <c r="T53" i="17" s="1"/>
  <c r="T78" i="17" a="1"/>
  <c r="T78" i="17" s="1"/>
  <c r="T88" i="17" a="1"/>
  <c r="T88" i="17" s="1"/>
  <c r="T98" i="17" a="1"/>
  <c r="T98" i="17" s="1"/>
  <c r="T108" i="17" a="1"/>
  <c r="T108" i="17" s="1"/>
  <c r="T118" i="17" a="1"/>
  <c r="T118" i="17" s="1"/>
  <c r="T128" i="17" a="1"/>
  <c r="T128" i="17" s="1"/>
  <c r="T138" i="17" a="1"/>
  <c r="T138" i="17" s="1"/>
  <c r="T178" i="17" a="1"/>
  <c r="T178" i="17" s="1"/>
  <c r="T179" i="17" a="1"/>
  <c r="T179" i="17" s="1"/>
  <c r="T180" i="17" a="1"/>
  <c r="T180" i="17" s="1"/>
  <c r="T181" i="17" a="1"/>
  <c r="T181" i="17" s="1"/>
  <c r="T182" i="17" a="1"/>
  <c r="T182" i="17" s="1"/>
  <c r="T183" i="17" a="1"/>
  <c r="T183" i="17" s="1"/>
  <c r="T238" i="17" a="1"/>
  <c r="T238" i="17" s="1"/>
  <c r="T239" i="17" a="1"/>
  <c r="T239" i="17" s="1"/>
  <c r="T240" i="17" a="1"/>
  <c r="T240" i="17" s="1"/>
  <c r="T241" i="17" a="1"/>
  <c r="T241" i="17" s="1"/>
  <c r="T242" i="17" a="1"/>
  <c r="T242" i="17" s="1"/>
  <c r="T243" i="17" a="1"/>
  <c r="T243" i="17" s="1"/>
  <c r="T328" i="17" a="1"/>
  <c r="T328" i="17" s="1"/>
  <c r="T338" i="17" a="1"/>
  <c r="T338" i="17" s="1"/>
  <c r="T268" i="17" a="1"/>
  <c r="T268" i="17" s="1"/>
  <c r="T278" i="17" a="1"/>
  <c r="T278" i="17" s="1"/>
  <c r="T288" i="17" a="1"/>
  <c r="T288" i="17" s="1"/>
  <c r="T298" i="17" a="1"/>
  <c r="T298" i="17" s="1"/>
  <c r="T308" i="17" a="1"/>
  <c r="T308" i="17" s="1"/>
  <c r="T318" i="17" a="1"/>
  <c r="T318" i="17" s="1"/>
  <c r="T9" i="17" a="1"/>
  <c r="T9" i="17" s="1"/>
  <c r="T54" i="17" a="1"/>
  <c r="T54" i="17" s="1"/>
  <c r="T55" i="17" a="1"/>
  <c r="T55" i="17" s="1"/>
  <c r="T56" i="17" a="1"/>
  <c r="T56" i="17" s="1"/>
  <c r="T57" i="17" a="1"/>
  <c r="T57" i="17" s="1"/>
  <c r="T58" i="17" a="1"/>
  <c r="T58" i="17" s="1"/>
  <c r="T59" i="17" a="1"/>
  <c r="T59" i="17" s="1"/>
  <c r="T79" i="17" a="1"/>
  <c r="T79" i="17" s="1"/>
  <c r="T89" i="17" a="1"/>
  <c r="T89" i="17" s="1"/>
  <c r="T99" i="17" a="1"/>
  <c r="T99" i="17" s="1"/>
  <c r="T109" i="17" a="1"/>
  <c r="T109" i="17"/>
  <c r="T119" i="17" a="1"/>
  <c r="T119" i="17" s="1"/>
  <c r="T129" i="17" a="1"/>
  <c r="T129" i="17" s="1"/>
  <c r="T139" i="17" a="1"/>
  <c r="T139" i="17" s="1"/>
  <c r="T184" i="17" a="1"/>
  <c r="T184" i="17" s="1"/>
  <c r="T185" i="17" a="1"/>
  <c r="T185" i="17" s="1"/>
  <c r="T186" i="17" a="1"/>
  <c r="T186" i="17" s="1"/>
  <c r="T187" i="17" a="1"/>
  <c r="T187" i="17" s="1"/>
  <c r="T188" i="17" a="1"/>
  <c r="T188" i="17" s="1"/>
  <c r="T189" i="17" a="1"/>
  <c r="T189" i="17" s="1"/>
  <c r="T244" i="17" a="1"/>
  <c r="T244" i="17" s="1"/>
  <c r="T245" i="17" a="1"/>
  <c r="T245" i="17" s="1"/>
  <c r="T246" i="17" a="1"/>
  <c r="T246" i="17" s="1"/>
  <c r="T247" i="17" a="1"/>
  <c r="T247" i="17" s="1"/>
  <c r="T248" i="17" a="1"/>
  <c r="T248" i="17" s="1"/>
  <c r="T249" i="17" a="1"/>
  <c r="T249" i="17" s="1"/>
  <c r="T329" i="17" a="1"/>
  <c r="T329" i="17" s="1"/>
  <c r="T339" i="17" a="1"/>
  <c r="T339" i="17" s="1"/>
  <c r="T269" i="17" a="1"/>
  <c r="T269" i="17" s="1"/>
  <c r="T279" i="17" a="1"/>
  <c r="T279" i="17" s="1"/>
  <c r="T289" i="17" a="1"/>
  <c r="T289" i="17" s="1"/>
  <c r="T299" i="17" a="1"/>
  <c r="T299" i="17" s="1"/>
  <c r="T309" i="17" a="1"/>
  <c r="T309" i="17" s="1"/>
  <c r="T319" i="17" a="1"/>
  <c r="T319" i="17"/>
  <c r="T10" i="17" a="1"/>
  <c r="T10" i="17" s="1"/>
  <c r="T60" i="17" a="1"/>
  <c r="T60" i="17" s="1"/>
  <c r="T61" i="17" a="1"/>
  <c r="T61" i="17" s="1"/>
  <c r="T62" i="17" a="1"/>
  <c r="T62" i="17" s="1"/>
  <c r="T63" i="17" a="1"/>
  <c r="T63" i="17"/>
  <c r="T64" i="17" a="1"/>
  <c r="T64" i="17" s="1"/>
  <c r="T65" i="17" a="1"/>
  <c r="T65" i="17" s="1"/>
  <c r="T80" i="17" a="1"/>
  <c r="T80" i="17" s="1"/>
  <c r="T90" i="17" a="1"/>
  <c r="T90" i="17" s="1"/>
  <c r="T100" i="17" a="1"/>
  <c r="T100" i="17" s="1"/>
  <c r="T110" i="17" a="1"/>
  <c r="T110" i="17" s="1"/>
  <c r="T120" i="17" a="1"/>
  <c r="T120" i="17" s="1"/>
  <c r="T130" i="17" a="1"/>
  <c r="T130" i="17" s="1"/>
  <c r="T140" i="17" a="1"/>
  <c r="T140" i="17" s="1"/>
  <c r="T190" i="17" a="1"/>
  <c r="T190" i="17" s="1"/>
  <c r="T191" i="17" a="1"/>
  <c r="T191" i="17"/>
  <c r="T192" i="17" a="1"/>
  <c r="T192" i="17" s="1"/>
  <c r="T193" i="17" a="1"/>
  <c r="T193" i="17" s="1"/>
  <c r="T194" i="17" a="1"/>
  <c r="T194" i="17" s="1"/>
  <c r="T195" i="17" a="1"/>
  <c r="T195" i="17" s="1"/>
  <c r="T250" i="17" a="1"/>
  <c r="T250" i="17" s="1"/>
  <c r="T251" i="17" a="1"/>
  <c r="T251" i="17" s="1"/>
  <c r="T252" i="17" a="1"/>
  <c r="T252" i="17" s="1"/>
  <c r="T253" i="17" a="1"/>
  <c r="T253" i="17" s="1"/>
  <c r="T254" i="17" a="1"/>
  <c r="T254" i="17"/>
  <c r="T255" i="17" a="1"/>
  <c r="T255" i="17" s="1"/>
  <c r="T330" i="17" a="1"/>
  <c r="T330" i="17" s="1"/>
  <c r="T340" i="17" a="1"/>
  <c r="T340" i="17" s="1"/>
  <c r="T270" i="17" a="1"/>
  <c r="T270" i="17"/>
  <c r="T280" i="17" a="1"/>
  <c r="T280" i="17" s="1"/>
  <c r="T290" i="17" a="1"/>
  <c r="T290" i="17" s="1"/>
  <c r="T300" i="17" a="1"/>
  <c r="T300" i="17" s="1"/>
  <c r="T310" i="17" a="1"/>
  <c r="T310" i="17" s="1"/>
  <c r="T320" i="17" a="1"/>
  <c r="T320" i="17"/>
  <c r="T11" i="17" a="1"/>
  <c r="T11" i="17" s="1"/>
  <c r="T66" i="17" a="1"/>
  <c r="T66" i="17" s="1"/>
  <c r="T67" i="17" a="1"/>
  <c r="T67" i="17" s="1"/>
  <c r="T68" i="17" a="1"/>
  <c r="T68" i="17" s="1"/>
  <c r="T69" i="17" a="1"/>
  <c r="T69" i="17" s="1"/>
  <c r="T70" i="17" a="1"/>
  <c r="T70" i="17" s="1"/>
  <c r="T71" i="17" a="1"/>
  <c r="T71" i="17" s="1"/>
  <c r="T81" i="17" a="1"/>
  <c r="T81" i="17" s="1"/>
  <c r="T91" i="17" a="1"/>
  <c r="T91" i="17" s="1"/>
  <c r="T101" i="17" a="1"/>
  <c r="T101" i="17"/>
  <c r="T111" i="17" a="1"/>
  <c r="T111" i="17" s="1"/>
  <c r="T121" i="17" a="1"/>
  <c r="T121" i="17" s="1"/>
  <c r="T131" i="17" a="1"/>
  <c r="T131" i="17" s="1"/>
  <c r="T141" i="17" a="1"/>
  <c r="T141" i="17" s="1"/>
  <c r="T196" i="17" a="1"/>
  <c r="T196" i="17" s="1"/>
  <c r="T197" i="17" a="1"/>
  <c r="T197" i="17" s="1"/>
  <c r="T198" i="17" a="1"/>
  <c r="T198" i="17" s="1"/>
  <c r="T199" i="17" a="1"/>
  <c r="T199" i="17" s="1"/>
  <c r="T200" i="17" a="1"/>
  <c r="T200" i="17" s="1"/>
  <c r="T201" i="17" a="1"/>
  <c r="T201" i="17" s="1"/>
  <c r="T256" i="17" a="1"/>
  <c r="T256" i="17" s="1"/>
  <c r="T257" i="17" a="1"/>
  <c r="T257" i="17" s="1"/>
  <c r="T258" i="17" a="1"/>
  <c r="T258" i="17" s="1"/>
  <c r="T259" i="17" a="1"/>
  <c r="T259" i="17"/>
  <c r="T260" i="17" a="1"/>
  <c r="T260" i="17" s="1"/>
  <c r="T261" i="17" a="1"/>
  <c r="T261" i="17" s="1"/>
  <c r="T331" i="17" a="1"/>
  <c r="T331" i="17" s="1"/>
  <c r="T341" i="17" a="1"/>
  <c r="T341" i="17" s="1"/>
  <c r="T271" i="17" a="1"/>
  <c r="T271" i="17" s="1"/>
  <c r="T281" i="17" a="1"/>
  <c r="T281" i="17"/>
  <c r="T291" i="17" a="1"/>
  <c r="T291" i="17" s="1"/>
  <c r="T301" i="17" a="1"/>
  <c r="T301" i="17" s="1"/>
  <c r="T311" i="17" a="1"/>
  <c r="T311" i="17" s="1"/>
  <c r="T321" i="17" a="1"/>
  <c r="T321" i="17" s="1"/>
  <c r="U2" i="17" a="1"/>
  <c r="U2" i="17" s="1"/>
  <c r="U12" i="17" a="1"/>
  <c r="U12" i="17" s="1"/>
  <c r="U13" i="17" a="1"/>
  <c r="U13" i="17" s="1"/>
  <c r="U14" i="17" a="1"/>
  <c r="U14" i="17"/>
  <c r="U15" i="17" a="1"/>
  <c r="U15" i="17" s="1"/>
  <c r="U16" i="17" a="1"/>
  <c r="U16" i="17" s="1"/>
  <c r="U17" i="17" a="1"/>
  <c r="U17" i="17" s="1"/>
  <c r="U72" i="17" a="1"/>
  <c r="U72" i="17" s="1"/>
  <c r="U82" i="17" a="1"/>
  <c r="U82" i="17" s="1"/>
  <c r="U92" i="17" a="1"/>
  <c r="U92" i="17" s="1"/>
  <c r="U102" i="17" a="1"/>
  <c r="U102" i="17" s="1"/>
  <c r="U112" i="17" a="1"/>
  <c r="U112" i="17" s="1"/>
  <c r="U122" i="17" a="1"/>
  <c r="U122" i="17" s="1"/>
  <c r="U132" i="17" a="1"/>
  <c r="U132" i="17" s="1"/>
  <c r="U142" i="17" a="1"/>
  <c r="U142" i="17" s="1"/>
  <c r="U143" i="17" a="1"/>
  <c r="U143" i="17" s="1"/>
  <c r="U144" i="17" a="1"/>
  <c r="U144" i="17" s="1"/>
  <c r="U145" i="17" a="1"/>
  <c r="U145" i="17"/>
  <c r="U146" i="17" a="1"/>
  <c r="U146" i="17" s="1"/>
  <c r="U147" i="17" a="1"/>
  <c r="U147" i="17" s="1"/>
  <c r="U202" i="17" a="1"/>
  <c r="U202" i="17" s="1"/>
  <c r="U203" i="17" a="1"/>
  <c r="U203" i="17" s="1"/>
  <c r="U204" i="17" a="1"/>
  <c r="U204" i="17" s="1"/>
  <c r="U205" i="17" a="1"/>
  <c r="U205" i="17" s="1"/>
  <c r="U206" i="17" a="1"/>
  <c r="U206" i="17" s="1"/>
  <c r="U207" i="17" a="1"/>
  <c r="U207" i="17" s="1"/>
  <c r="U322" i="17" a="1"/>
  <c r="U322" i="17" s="1"/>
  <c r="U332" i="17" a="1"/>
  <c r="U332" i="17" s="1"/>
  <c r="U262" i="17" a="1"/>
  <c r="U262" i="17" s="1"/>
  <c r="U272" i="17" a="1"/>
  <c r="U272" i="17" s="1"/>
  <c r="U282" i="17" a="1"/>
  <c r="U282" i="17" s="1"/>
  <c r="U292" i="17" a="1"/>
  <c r="U292" i="17" s="1"/>
  <c r="U302" i="17" a="1"/>
  <c r="U302" i="17" s="1"/>
  <c r="U312" i="17" a="1"/>
  <c r="U312" i="17" s="1"/>
  <c r="U3" i="17" a="1"/>
  <c r="U3" i="17"/>
  <c r="U18" i="17" a="1"/>
  <c r="U18" i="17" s="1"/>
  <c r="U19" i="17" a="1"/>
  <c r="U19" i="17" s="1"/>
  <c r="U20" i="17" a="1"/>
  <c r="U20" i="17" s="1"/>
  <c r="U21" i="17" a="1"/>
  <c r="U21" i="17" s="1"/>
  <c r="U22" i="17" a="1"/>
  <c r="U22" i="17" s="1"/>
  <c r="U23" i="17" a="1"/>
  <c r="U23" i="17" s="1"/>
  <c r="U73" i="17" a="1"/>
  <c r="U73" i="17" s="1"/>
  <c r="U83" i="17" a="1"/>
  <c r="U83" i="17" s="1"/>
  <c r="U93" i="17" a="1"/>
  <c r="U93" i="17" s="1"/>
  <c r="U103" i="17" a="1"/>
  <c r="U103" i="17" s="1"/>
  <c r="U113" i="17" a="1"/>
  <c r="U113" i="17" s="1"/>
  <c r="U123" i="17" a="1"/>
  <c r="U123" i="17" s="1"/>
  <c r="U133" i="17" a="1"/>
  <c r="U133" i="17" s="1"/>
  <c r="U148" i="17" a="1"/>
  <c r="U148" i="17" s="1"/>
  <c r="U149" i="17" a="1"/>
  <c r="U149" i="17" s="1"/>
  <c r="U150" i="17" a="1"/>
  <c r="U150" i="17" s="1"/>
  <c r="U151" i="17" a="1"/>
  <c r="U151" i="17" s="1"/>
  <c r="U152" i="17" a="1"/>
  <c r="U152" i="17" s="1"/>
  <c r="U153" i="17" a="1"/>
  <c r="U153" i="17" s="1"/>
  <c r="U208" i="17" a="1"/>
  <c r="U208" i="17" s="1"/>
  <c r="U209" i="17" a="1"/>
  <c r="U209" i="17" s="1"/>
  <c r="U210" i="17" a="1"/>
  <c r="U210" i="17" s="1"/>
  <c r="U211" i="17" a="1"/>
  <c r="U211" i="17" s="1"/>
  <c r="U212" i="17" a="1"/>
  <c r="U212" i="17" s="1"/>
  <c r="U213" i="17" a="1"/>
  <c r="U213" i="17" s="1"/>
  <c r="U323" i="17" a="1"/>
  <c r="U323" i="17" s="1"/>
  <c r="U333" i="17" a="1"/>
  <c r="U333" i="17" s="1"/>
  <c r="U263" i="17" a="1"/>
  <c r="U263" i="17" s="1"/>
  <c r="U273" i="17" a="1"/>
  <c r="U273" i="17"/>
  <c r="U283" i="17" a="1"/>
  <c r="U283" i="17" s="1"/>
  <c r="U293" i="17" a="1"/>
  <c r="U293" i="17" s="1"/>
  <c r="U303" i="17" a="1"/>
  <c r="U303" i="17" s="1"/>
  <c r="U313" i="17" a="1"/>
  <c r="U313" i="17"/>
  <c r="U4" i="17" a="1"/>
  <c r="U4" i="17" s="1"/>
  <c r="U24" i="17" a="1"/>
  <c r="U24" i="17" s="1"/>
  <c r="U25" i="17" a="1"/>
  <c r="U25" i="17" s="1"/>
  <c r="U26" i="17" a="1"/>
  <c r="U26" i="17" s="1"/>
  <c r="U27" i="17" a="1"/>
  <c r="U27" i="17" s="1"/>
  <c r="U28" i="17" a="1"/>
  <c r="U28" i="17" s="1"/>
  <c r="U29" i="17" a="1"/>
  <c r="U29" i="17"/>
  <c r="U74" i="17" a="1"/>
  <c r="U74" i="17" s="1"/>
  <c r="U84" i="17" a="1"/>
  <c r="U84" i="17" s="1"/>
  <c r="U94" i="17" a="1"/>
  <c r="U94" i="17" s="1"/>
  <c r="U104" i="17" a="1"/>
  <c r="U104" i="17" s="1"/>
  <c r="U114" i="17" a="1"/>
  <c r="U114" i="17" s="1"/>
  <c r="U124" i="17" a="1"/>
  <c r="U124" i="17" s="1"/>
  <c r="U134" i="17" a="1"/>
  <c r="U134" i="17" s="1"/>
  <c r="U154" i="17" a="1"/>
  <c r="U154" i="17" s="1"/>
  <c r="U155" i="17" a="1"/>
  <c r="U155" i="17" s="1"/>
  <c r="U156" i="17" a="1"/>
  <c r="U156" i="17" s="1"/>
  <c r="U157" i="17" a="1"/>
  <c r="U157" i="17" s="1"/>
  <c r="U158" i="17" a="1"/>
  <c r="U158" i="17" s="1"/>
  <c r="U159" i="17" a="1"/>
  <c r="U159" i="17" s="1"/>
  <c r="U214" i="17" a="1"/>
  <c r="U214" i="17"/>
  <c r="U215" i="17" a="1"/>
  <c r="U215" i="17" s="1"/>
  <c r="U216" i="17" a="1"/>
  <c r="U216" i="17" s="1"/>
  <c r="U217" i="17" a="1"/>
  <c r="U217" i="17" s="1"/>
  <c r="U218" i="17" a="1"/>
  <c r="U218" i="17" s="1"/>
  <c r="U219" i="17" a="1"/>
  <c r="U219" i="17" s="1"/>
  <c r="U324" i="17" a="1"/>
  <c r="U324" i="17" s="1"/>
  <c r="U334" i="17" a="1"/>
  <c r="U334" i="17" s="1"/>
  <c r="U264" i="17" a="1"/>
  <c r="U264" i="17" s="1"/>
  <c r="U274" i="17" a="1"/>
  <c r="U274" i="17" s="1"/>
  <c r="U284" i="17" a="1"/>
  <c r="U284" i="17" s="1"/>
  <c r="U294" i="17" a="1"/>
  <c r="U294" i="17" s="1"/>
  <c r="U304" i="17" a="1"/>
  <c r="U304" i="17"/>
  <c r="U314" i="17" a="1"/>
  <c r="U314" i="17"/>
  <c r="U5" i="17" a="1"/>
  <c r="U5" i="17" s="1"/>
  <c r="U30" i="17" a="1"/>
  <c r="U30" i="17" s="1"/>
  <c r="U31" i="17" a="1"/>
  <c r="U31" i="17" s="1"/>
  <c r="U32" i="17" a="1"/>
  <c r="U32" i="17" s="1"/>
  <c r="U33" i="17" a="1"/>
  <c r="U33" i="17" s="1"/>
  <c r="U34" i="17" a="1"/>
  <c r="U34" i="17" s="1"/>
  <c r="U35" i="17" a="1"/>
  <c r="U35" i="17" s="1"/>
  <c r="U75" i="17" a="1"/>
  <c r="U75" i="17"/>
  <c r="U85" i="17" a="1"/>
  <c r="U85" i="17" s="1"/>
  <c r="U95" i="17" a="1"/>
  <c r="U95" i="17" s="1"/>
  <c r="U105" i="17" a="1"/>
  <c r="U105" i="17" s="1"/>
  <c r="U115" i="17" a="1"/>
  <c r="U115" i="17"/>
  <c r="U125" i="17" a="1"/>
  <c r="U125" i="17" s="1"/>
  <c r="U135" i="17" a="1"/>
  <c r="U135" i="17" s="1"/>
  <c r="U160" i="17" a="1"/>
  <c r="U160" i="17" s="1"/>
  <c r="U161" i="17" a="1"/>
  <c r="U161" i="17" s="1"/>
  <c r="U162" i="17" a="1"/>
  <c r="U162" i="17" s="1"/>
  <c r="U163" i="17" a="1"/>
  <c r="U163" i="17" s="1"/>
  <c r="U164" i="17" a="1"/>
  <c r="U164" i="17" s="1"/>
  <c r="U165" i="17" a="1"/>
  <c r="U165" i="17" s="1"/>
  <c r="U220" i="17" a="1"/>
  <c r="U220" i="17" s="1"/>
  <c r="U221" i="17" a="1"/>
  <c r="U221" i="17" s="1"/>
  <c r="U222" i="17" a="1"/>
  <c r="U222" i="17" s="1"/>
  <c r="U223" i="17" a="1"/>
  <c r="U223" i="17" s="1"/>
  <c r="U224" i="17" a="1"/>
  <c r="U224" i="17" s="1"/>
  <c r="U225" i="17" a="1"/>
  <c r="U225" i="17" s="1"/>
  <c r="U325" i="17" a="1"/>
  <c r="U325" i="17" s="1"/>
  <c r="U335" i="17" a="1"/>
  <c r="U335" i="17" s="1"/>
  <c r="U265" i="17" a="1"/>
  <c r="U265" i="17"/>
  <c r="U275" i="17" a="1"/>
  <c r="U275" i="17" s="1"/>
  <c r="U285" i="17" a="1"/>
  <c r="U285" i="17" s="1"/>
  <c r="U295" i="17" a="1"/>
  <c r="U295" i="17" s="1"/>
  <c r="U305" i="17" a="1"/>
  <c r="U305" i="17" s="1"/>
  <c r="U315" i="17" a="1"/>
  <c r="U315" i="17" s="1"/>
  <c r="U6" i="17" a="1"/>
  <c r="U6" i="17" s="1"/>
  <c r="U36" i="17" a="1"/>
  <c r="U36" i="17" s="1"/>
  <c r="U37" i="17" a="1"/>
  <c r="U37" i="17" s="1"/>
  <c r="U38" i="17" a="1"/>
  <c r="U38" i="17"/>
  <c r="U39" i="17" a="1"/>
  <c r="U39" i="17" s="1"/>
  <c r="U40" i="17" a="1"/>
  <c r="U40" i="17" s="1"/>
  <c r="U41" i="17" a="1"/>
  <c r="U41" i="17" s="1"/>
  <c r="U76" i="17" a="1"/>
  <c r="U76" i="17"/>
  <c r="U86" i="17" a="1"/>
  <c r="U86" i="17" s="1"/>
  <c r="U96" i="17" a="1"/>
  <c r="U96" i="17" s="1"/>
  <c r="U106" i="17" a="1"/>
  <c r="U106" i="17" s="1"/>
  <c r="U116" i="17" a="1"/>
  <c r="U116" i="17" s="1"/>
  <c r="U126" i="17" a="1"/>
  <c r="U126" i="17" s="1"/>
  <c r="U136" i="17" a="1"/>
  <c r="U136" i="17" s="1"/>
  <c r="U166" i="17" a="1"/>
  <c r="U166" i="17" s="1"/>
  <c r="U167" i="17" a="1"/>
  <c r="U167" i="17" s="1"/>
  <c r="U168" i="17" a="1"/>
  <c r="U168" i="17" s="1"/>
  <c r="U169" i="17" a="1"/>
  <c r="U169" i="17" s="1"/>
  <c r="U170" i="17" a="1"/>
  <c r="U170" i="17" s="1"/>
  <c r="U171" i="17" a="1"/>
  <c r="U171" i="17"/>
  <c r="U226" i="17" a="1"/>
  <c r="U226" i="17" s="1"/>
  <c r="U227" i="17" a="1"/>
  <c r="U227" i="17" s="1"/>
  <c r="U228" i="17" a="1"/>
  <c r="U228" i="17" s="1"/>
  <c r="U229" i="17" a="1"/>
  <c r="U229" i="17"/>
  <c r="U230" i="17" a="1"/>
  <c r="U230" i="17"/>
  <c r="U231" i="17" a="1"/>
  <c r="U231" i="17" s="1"/>
  <c r="U326" i="17" a="1"/>
  <c r="U326" i="17" s="1"/>
  <c r="U336" i="17" a="1"/>
  <c r="U336" i="17" s="1"/>
  <c r="U266" i="17" a="1"/>
  <c r="U266" i="17" s="1"/>
  <c r="U276" i="17" a="1"/>
  <c r="U276" i="17" s="1"/>
  <c r="U286" i="17" a="1"/>
  <c r="U286" i="17" s="1"/>
  <c r="U296" i="17" a="1"/>
  <c r="U296" i="17" s="1"/>
  <c r="U306" i="17" a="1"/>
  <c r="U306" i="17" s="1"/>
  <c r="U316" i="17" a="1"/>
  <c r="U316" i="17" s="1"/>
  <c r="U7" i="17" a="1"/>
  <c r="U7" i="17" s="1"/>
  <c r="U42" i="17" a="1"/>
  <c r="U42" i="17" s="1"/>
  <c r="U43" i="17" a="1"/>
  <c r="U43" i="17" s="1"/>
  <c r="U44" i="17" a="1"/>
  <c r="U44" i="17" s="1"/>
  <c r="U45" i="17" a="1"/>
  <c r="U45" i="17" s="1"/>
  <c r="U46" i="17" a="1"/>
  <c r="U46" i="17"/>
  <c r="U47" i="17" a="1"/>
  <c r="U47" i="17" s="1"/>
  <c r="U77" i="17" a="1"/>
  <c r="U77" i="17" s="1"/>
  <c r="U87" i="17" a="1"/>
  <c r="U87" i="17" s="1"/>
  <c r="U97" i="17" a="1"/>
  <c r="U97" i="17" s="1"/>
  <c r="U107" i="17" a="1"/>
  <c r="U107" i="17" s="1"/>
  <c r="U117" i="17" a="1"/>
  <c r="U117" i="17" s="1"/>
  <c r="U127" i="17" a="1"/>
  <c r="U127" i="17" s="1"/>
  <c r="U137" i="17" a="1"/>
  <c r="U137" i="17" s="1"/>
  <c r="U172" i="17" a="1"/>
  <c r="U172" i="17" s="1"/>
  <c r="U173" i="17" a="1"/>
  <c r="U173" i="17" s="1"/>
  <c r="U174" i="17" a="1"/>
  <c r="U174" i="17" s="1"/>
  <c r="U175" i="17" a="1"/>
  <c r="U175" i="17" s="1"/>
  <c r="U176" i="17" a="1"/>
  <c r="U176" i="17" s="1"/>
  <c r="U177" i="17" a="1"/>
  <c r="U177" i="17" s="1"/>
  <c r="U232" i="17" a="1"/>
  <c r="U232" i="17" s="1"/>
  <c r="U233" i="17" a="1"/>
  <c r="U233" i="17" s="1"/>
  <c r="U234" i="17" a="1"/>
  <c r="U234" i="17" s="1"/>
  <c r="U235" i="17" a="1"/>
  <c r="U235" i="17" s="1"/>
  <c r="U236" i="17" a="1"/>
  <c r="U236" i="17" s="1"/>
  <c r="U237" i="17" a="1"/>
  <c r="U237" i="17" s="1"/>
  <c r="U327" i="17" a="1"/>
  <c r="U327" i="17" s="1"/>
  <c r="U337" i="17" a="1"/>
  <c r="U337" i="17" s="1"/>
  <c r="U267" i="17" a="1"/>
  <c r="U267" i="17" s="1"/>
  <c r="U277" i="17" a="1"/>
  <c r="U277" i="17" s="1"/>
  <c r="U287" i="17" a="1"/>
  <c r="U287" i="17" s="1"/>
  <c r="U297" i="17" a="1"/>
  <c r="U297" i="17"/>
  <c r="U307" i="17" a="1"/>
  <c r="U307" i="17" s="1"/>
  <c r="U317" i="17" a="1"/>
  <c r="U317" i="17" s="1"/>
  <c r="U8" i="17" a="1"/>
  <c r="U8" i="17" s="1"/>
  <c r="U48" i="17" a="1"/>
  <c r="U48" i="17" s="1"/>
  <c r="U49" i="17" a="1"/>
  <c r="U49" i="17" s="1"/>
  <c r="U50" i="17" a="1"/>
  <c r="U50" i="17" s="1"/>
  <c r="U51" i="17" a="1"/>
  <c r="U51" i="17" s="1"/>
  <c r="U52" i="17" a="1"/>
  <c r="U52" i="17" s="1"/>
  <c r="U53" i="17" a="1"/>
  <c r="U53" i="17" s="1"/>
  <c r="U78" i="17" a="1"/>
  <c r="U78" i="17" s="1"/>
  <c r="U88" i="17" a="1"/>
  <c r="U88" i="17" s="1"/>
  <c r="U98" i="17" a="1"/>
  <c r="U98" i="17" s="1"/>
  <c r="U108" i="17" a="1"/>
  <c r="U108" i="17" s="1"/>
  <c r="U118" i="17" a="1"/>
  <c r="U118" i="17" s="1"/>
  <c r="U128" i="17" a="1"/>
  <c r="U128" i="17" s="1"/>
  <c r="U138" i="17" a="1"/>
  <c r="U138" i="17" s="1"/>
  <c r="U178" i="17" a="1"/>
  <c r="U178" i="17"/>
  <c r="U179" i="17" a="1"/>
  <c r="U179" i="17"/>
  <c r="U180" i="17" a="1"/>
  <c r="U180" i="17" s="1"/>
  <c r="U181" i="17" a="1"/>
  <c r="U181" i="17" s="1"/>
  <c r="U182" i="17" a="1"/>
  <c r="U182" i="17" s="1"/>
  <c r="U183" i="17" a="1"/>
  <c r="U183" i="17" s="1"/>
  <c r="U238" i="17" a="1"/>
  <c r="U238" i="17" s="1"/>
  <c r="U239" i="17" a="1"/>
  <c r="U239" i="17" s="1"/>
  <c r="U240" i="17" a="1"/>
  <c r="U240" i="17" s="1"/>
  <c r="U241" i="17" a="1"/>
  <c r="U241" i="17" s="1"/>
  <c r="U242" i="17" a="1"/>
  <c r="U242" i="17" s="1"/>
  <c r="U243" i="17" a="1"/>
  <c r="U243" i="17" s="1"/>
  <c r="U328" i="17" a="1"/>
  <c r="U328" i="17" s="1"/>
  <c r="U338" i="17" a="1"/>
  <c r="U338" i="17" s="1"/>
  <c r="U268" i="17" a="1"/>
  <c r="U268" i="17" s="1"/>
  <c r="U278" i="17" a="1"/>
  <c r="U278" i="17" s="1"/>
  <c r="U288" i="17" a="1"/>
  <c r="U288" i="17" s="1"/>
  <c r="U298" i="17" a="1"/>
  <c r="U298" i="17" s="1"/>
  <c r="U308" i="17" a="1"/>
  <c r="U308" i="17" s="1"/>
  <c r="U318" i="17" a="1"/>
  <c r="U318" i="17"/>
  <c r="U9" i="17" a="1"/>
  <c r="U9" i="17" s="1"/>
  <c r="U54" i="17" a="1"/>
  <c r="U54" i="17" s="1"/>
  <c r="U55" i="17" a="1"/>
  <c r="U55" i="17" s="1"/>
  <c r="U56" i="17" a="1"/>
  <c r="U56" i="17" s="1"/>
  <c r="U57" i="17" a="1"/>
  <c r="U57" i="17" s="1"/>
  <c r="U58" i="17" a="1"/>
  <c r="U58" i="17" s="1"/>
  <c r="U59" i="17" a="1"/>
  <c r="U59" i="17" s="1"/>
  <c r="U79" i="17" a="1"/>
  <c r="U79" i="17" s="1"/>
  <c r="U89" i="17" a="1"/>
  <c r="U89" i="17" s="1"/>
  <c r="U99" i="17" a="1"/>
  <c r="U99" i="17"/>
  <c r="U109" i="17" a="1"/>
  <c r="U109" i="17" s="1"/>
  <c r="U119" i="17" a="1"/>
  <c r="U119" i="17" s="1"/>
  <c r="U129" i="17" a="1"/>
  <c r="U129" i="17" s="1"/>
  <c r="U139" i="17" a="1"/>
  <c r="U139" i="17" s="1"/>
  <c r="U184" i="17" a="1"/>
  <c r="U184" i="17" s="1"/>
  <c r="U185" i="17" a="1"/>
  <c r="U185" i="17" s="1"/>
  <c r="U186" i="17" a="1"/>
  <c r="U186" i="17" s="1"/>
  <c r="U187" i="17" a="1"/>
  <c r="U187" i="17" s="1"/>
  <c r="U188" i="17" a="1"/>
  <c r="U188" i="17" s="1"/>
  <c r="U189" i="17" a="1"/>
  <c r="U189" i="17" s="1"/>
  <c r="U244" i="17" a="1"/>
  <c r="U244" i="17" s="1"/>
  <c r="U245" i="17" a="1"/>
  <c r="U245" i="17" s="1"/>
  <c r="U246" i="17" a="1"/>
  <c r="U246" i="17" s="1"/>
  <c r="U247" i="17" a="1"/>
  <c r="U247" i="17" s="1"/>
  <c r="U248" i="17" a="1"/>
  <c r="U248" i="17" s="1"/>
  <c r="U249" i="17" a="1"/>
  <c r="U249" i="17" s="1"/>
  <c r="U329" i="17" a="1"/>
  <c r="U329" i="17" s="1"/>
  <c r="U339" i="17" a="1"/>
  <c r="U339" i="17" s="1"/>
  <c r="U269" i="17" a="1"/>
  <c r="U269" i="17" s="1"/>
  <c r="U279" i="17" a="1"/>
  <c r="U279" i="17" s="1"/>
  <c r="U289" i="17" a="1"/>
  <c r="U289" i="17" s="1"/>
  <c r="U299" i="17" a="1"/>
  <c r="U299" i="17" s="1"/>
  <c r="U309" i="17" a="1"/>
  <c r="U309" i="17" s="1"/>
  <c r="U319" i="17" a="1"/>
  <c r="U319" i="17" s="1"/>
  <c r="U10" i="17" a="1"/>
  <c r="U10" i="17" s="1"/>
  <c r="U60" i="17" a="1"/>
  <c r="U60" i="17"/>
  <c r="U61" i="17" a="1"/>
  <c r="U61" i="17" s="1"/>
  <c r="U62" i="17" a="1"/>
  <c r="U62" i="17" s="1"/>
  <c r="U63" i="17" a="1"/>
  <c r="U63" i="17" s="1"/>
  <c r="U64" i="17" a="1"/>
  <c r="U64" i="17" s="1"/>
  <c r="U65" i="17" a="1"/>
  <c r="U65" i="17" s="1"/>
  <c r="U80" i="17" a="1"/>
  <c r="U80" i="17" s="1"/>
  <c r="U90" i="17" a="1"/>
  <c r="U90" i="17" s="1"/>
  <c r="U100" i="17" a="1"/>
  <c r="U100" i="17" s="1"/>
  <c r="U110" i="17" a="1"/>
  <c r="U110" i="17" s="1"/>
  <c r="U120" i="17" a="1"/>
  <c r="U120" i="17" s="1"/>
  <c r="U130" i="17" a="1"/>
  <c r="U130" i="17" s="1"/>
  <c r="U140" i="17" a="1"/>
  <c r="U140" i="17" s="1"/>
  <c r="U190" i="17" a="1"/>
  <c r="U190" i="17" s="1"/>
  <c r="U191" i="17" a="1"/>
  <c r="U191" i="17" s="1"/>
  <c r="U192" i="17" a="1"/>
  <c r="U192" i="17" s="1"/>
  <c r="U193" i="17" a="1"/>
  <c r="U193" i="17" s="1"/>
  <c r="U194" i="17" a="1"/>
  <c r="U194" i="17" s="1"/>
  <c r="U195" i="17" a="1"/>
  <c r="U195" i="17" s="1"/>
  <c r="U250" i="17" a="1"/>
  <c r="U250" i="17" s="1"/>
  <c r="U251" i="17" a="1"/>
  <c r="U251" i="17" s="1"/>
  <c r="U252" i="17" a="1"/>
  <c r="U252" i="17" s="1"/>
  <c r="U253" i="17" a="1"/>
  <c r="U253" i="17" s="1"/>
  <c r="U254" i="17" a="1"/>
  <c r="U254" i="17" s="1"/>
  <c r="U255" i="17" a="1"/>
  <c r="U255" i="17" s="1"/>
  <c r="U330" i="17" a="1"/>
  <c r="U330" i="17" s="1"/>
  <c r="U340" i="17" a="1"/>
  <c r="U340" i="17"/>
  <c r="U270" i="17" a="1"/>
  <c r="U270" i="17" s="1"/>
  <c r="U280" i="17" a="1"/>
  <c r="U280" i="17" s="1"/>
  <c r="U290" i="17" a="1"/>
  <c r="U290" i="17" s="1"/>
  <c r="U300" i="17" a="1"/>
  <c r="U300" i="17" s="1"/>
  <c r="U310" i="17" a="1"/>
  <c r="U310" i="17" s="1"/>
  <c r="U320" i="17" a="1"/>
  <c r="U320" i="17" s="1"/>
  <c r="U11" i="17" a="1"/>
  <c r="U11" i="17" s="1"/>
  <c r="U66" i="17" a="1"/>
  <c r="U66" i="17" s="1"/>
  <c r="U67" i="17" a="1"/>
  <c r="U67" i="17" s="1"/>
  <c r="U68" i="17" a="1"/>
  <c r="U68" i="17" s="1"/>
  <c r="U69" i="17" a="1"/>
  <c r="U69" i="17" s="1"/>
  <c r="U70" i="17" a="1"/>
  <c r="U70" i="17" s="1"/>
  <c r="U71" i="17" a="1"/>
  <c r="U71" i="17" s="1"/>
  <c r="U81" i="17" a="1"/>
  <c r="U81" i="17" s="1"/>
  <c r="U91" i="17" a="1"/>
  <c r="U91" i="17" s="1"/>
  <c r="U101" i="17" a="1"/>
  <c r="U101" i="17" s="1"/>
  <c r="U111" i="17" a="1"/>
  <c r="U111" i="17" s="1"/>
  <c r="U121" i="17" a="1"/>
  <c r="U121" i="17" s="1"/>
  <c r="U131" i="17" a="1"/>
  <c r="U131" i="17" s="1"/>
  <c r="U141" i="17" a="1"/>
  <c r="U141" i="17" s="1"/>
  <c r="U196" i="17" a="1"/>
  <c r="U196" i="17"/>
  <c r="U197" i="17" a="1"/>
  <c r="U197" i="17" s="1"/>
  <c r="U198" i="17" a="1"/>
  <c r="U198" i="17" s="1"/>
  <c r="U199" i="17" a="1"/>
  <c r="U199" i="17" s="1"/>
  <c r="U200" i="17" a="1"/>
  <c r="U200" i="17" s="1"/>
  <c r="U201" i="17" a="1"/>
  <c r="U201" i="17" s="1"/>
  <c r="U256" i="17" a="1"/>
  <c r="U256" i="17" s="1"/>
  <c r="U257" i="17" a="1"/>
  <c r="U257" i="17"/>
  <c r="U258" i="17" a="1"/>
  <c r="U258" i="17" s="1"/>
  <c r="U259" i="17" a="1"/>
  <c r="U259" i="17" s="1"/>
  <c r="U260" i="17" a="1"/>
  <c r="U260" i="17" s="1"/>
  <c r="U261" i="17" a="1"/>
  <c r="U261" i="17" s="1"/>
  <c r="U331" i="17" a="1"/>
  <c r="U331" i="17"/>
  <c r="U341" i="17" a="1"/>
  <c r="U341" i="17" s="1"/>
  <c r="U271" i="17" a="1"/>
  <c r="U271" i="17" s="1"/>
  <c r="U281" i="17" a="1"/>
  <c r="U281" i="17" s="1"/>
  <c r="U291" i="17" a="1"/>
  <c r="U291" i="17" s="1"/>
  <c r="U301" i="17" a="1"/>
  <c r="U301" i="17"/>
  <c r="U311" i="17" a="1"/>
  <c r="U311" i="17" s="1"/>
  <c r="U321" i="17" a="1"/>
  <c r="U321" i="17" s="1"/>
  <c r="V2" i="17" a="1"/>
  <c r="V2" i="17" s="1"/>
  <c r="V12" i="17" a="1"/>
  <c r="V12" i="17" s="1"/>
  <c r="V13" i="17" a="1"/>
  <c r="V13" i="17" s="1"/>
  <c r="V14" i="17" a="1"/>
  <c r="V14" i="17" s="1"/>
  <c r="V15" i="17" a="1"/>
  <c r="V15" i="17" s="1"/>
  <c r="V16" i="17" a="1"/>
  <c r="V16" i="17" s="1"/>
  <c r="V17" i="17" a="1"/>
  <c r="V17" i="17"/>
  <c r="V72" i="17" a="1"/>
  <c r="V72" i="17" s="1"/>
  <c r="V82" i="17" a="1"/>
  <c r="V82" i="17" s="1"/>
  <c r="V92" i="17" a="1"/>
  <c r="V92" i="17" s="1"/>
  <c r="V102" i="17" a="1"/>
  <c r="V102" i="17" s="1"/>
  <c r="V112" i="17" a="1"/>
  <c r="V112" i="17" s="1"/>
  <c r="V122" i="17" a="1"/>
  <c r="V122" i="17" s="1"/>
  <c r="V132" i="17" a="1"/>
  <c r="V132" i="17" s="1"/>
  <c r="V142" i="17" a="1"/>
  <c r="V142" i="17" s="1"/>
  <c r="V143" i="17" a="1"/>
  <c r="V143" i="17" s="1"/>
  <c r="V144" i="17" a="1"/>
  <c r="V144" i="17" s="1"/>
  <c r="V145" i="17" a="1"/>
  <c r="V145" i="17" s="1"/>
  <c r="V146" i="17" a="1"/>
  <c r="V146" i="17" s="1"/>
  <c r="V147" i="17" a="1"/>
  <c r="V147" i="17"/>
  <c r="V202" i="17" a="1"/>
  <c r="V202" i="17" s="1"/>
  <c r="V203" i="17" a="1"/>
  <c r="V203" i="17" s="1"/>
  <c r="V204" i="17" a="1"/>
  <c r="V204" i="17" s="1"/>
  <c r="V205" i="17" a="1"/>
  <c r="V205" i="17" s="1"/>
  <c r="V206" i="17" a="1"/>
  <c r="V206" i="17" s="1"/>
  <c r="V207" i="17" a="1"/>
  <c r="V207" i="17" s="1"/>
  <c r="V322" i="17" a="1"/>
  <c r="V322" i="17" s="1"/>
  <c r="V332" i="17" a="1"/>
  <c r="V332" i="17" s="1"/>
  <c r="V262" i="17" a="1"/>
  <c r="V262" i="17"/>
  <c r="V272" i="17" a="1"/>
  <c r="V272" i="17" s="1"/>
  <c r="V282" i="17" a="1"/>
  <c r="V282" i="17" s="1"/>
  <c r="V292" i="17" a="1"/>
  <c r="V292" i="17"/>
  <c r="V302" i="17" a="1"/>
  <c r="V302" i="17" s="1"/>
  <c r="V312" i="17" a="1"/>
  <c r="V312" i="17" s="1"/>
  <c r="V3" i="17" a="1"/>
  <c r="V3" i="17" s="1"/>
  <c r="V18" i="17" a="1"/>
  <c r="V18" i="17" s="1"/>
  <c r="V19" i="17" a="1"/>
  <c r="V19" i="17" s="1"/>
  <c r="V20" i="17" a="1"/>
  <c r="V20" i="17"/>
  <c r="V21" i="17" a="1"/>
  <c r="V21" i="17" s="1"/>
  <c r="V22" i="17" a="1"/>
  <c r="V22" i="17"/>
  <c r="V23" i="17" a="1"/>
  <c r="V23" i="17" s="1"/>
  <c r="V73" i="17" a="1"/>
  <c r="V73" i="17" s="1"/>
  <c r="V83" i="17" a="1"/>
  <c r="V83" i="17" s="1"/>
  <c r="V93" i="17" a="1"/>
  <c r="V93" i="17" s="1"/>
  <c r="V103" i="17" a="1"/>
  <c r="V103" i="17" s="1"/>
  <c r="V113" i="17" a="1"/>
  <c r="V113" i="17" s="1"/>
  <c r="V123" i="17" a="1"/>
  <c r="V123" i="17"/>
  <c r="V133" i="17" a="1"/>
  <c r="V133" i="17" s="1"/>
  <c r="V148" i="17" a="1"/>
  <c r="V148" i="17" s="1"/>
  <c r="V149" i="17" a="1"/>
  <c r="V149" i="17" s="1"/>
  <c r="V150" i="17" a="1"/>
  <c r="V150" i="17" s="1"/>
  <c r="V151" i="17" a="1"/>
  <c r="V151" i="17" s="1"/>
  <c r="V152" i="17" a="1"/>
  <c r="V152" i="17" s="1"/>
  <c r="V153" i="17" a="1"/>
  <c r="V153" i="17" s="1"/>
  <c r="V208" i="17" a="1"/>
  <c r="V208" i="17" s="1"/>
  <c r="V209" i="17" a="1"/>
  <c r="V209" i="17" s="1"/>
  <c r="V210" i="17" a="1"/>
  <c r="V210" i="17" s="1"/>
  <c r="V211" i="17" a="1"/>
  <c r="V211" i="17" s="1"/>
  <c r="V212" i="17" a="1"/>
  <c r="V212" i="17" s="1"/>
  <c r="V213" i="17" a="1"/>
  <c r="V213" i="17" s="1"/>
  <c r="V323" i="17" a="1"/>
  <c r="V323" i="17" s="1"/>
  <c r="V333" i="17" a="1"/>
  <c r="V333" i="17" s="1"/>
  <c r="V263" i="17" a="1"/>
  <c r="V263" i="17" s="1"/>
  <c r="V273" i="17" a="1"/>
  <c r="V273" i="17" s="1"/>
  <c r="V283" i="17" a="1"/>
  <c r="V283" i="17" s="1"/>
  <c r="V293" i="17" a="1"/>
  <c r="V293" i="17" s="1"/>
  <c r="V303" i="17" a="1"/>
  <c r="V303" i="17" s="1"/>
  <c r="V313" i="17" a="1"/>
  <c r="V313" i="17"/>
  <c r="V4" i="17" a="1"/>
  <c r="V4" i="17" s="1"/>
  <c r="V24" i="17" a="1"/>
  <c r="V24" i="17" s="1"/>
  <c r="V25" i="17" a="1"/>
  <c r="V25" i="17" s="1"/>
  <c r="V26" i="17" a="1"/>
  <c r="V26" i="17" s="1"/>
  <c r="V27" i="17" a="1"/>
  <c r="V27" i="17" s="1"/>
  <c r="V28" i="17" a="1"/>
  <c r="V28" i="17" s="1"/>
  <c r="V29" i="17" a="1"/>
  <c r="V29" i="17" s="1"/>
  <c r="V74" i="17" a="1"/>
  <c r="V74" i="17"/>
  <c r="V84" i="17" a="1"/>
  <c r="V84" i="17" s="1"/>
  <c r="V94" i="17" a="1"/>
  <c r="V94" i="17" s="1"/>
  <c r="V104" i="17" a="1"/>
  <c r="V104" i="17" s="1"/>
  <c r="V114" i="17" a="1"/>
  <c r="V114" i="17" s="1"/>
  <c r="V124" i="17" a="1"/>
  <c r="V124" i="17" s="1"/>
  <c r="V134" i="17" a="1"/>
  <c r="V134" i="17" s="1"/>
  <c r="V154" i="17" a="1"/>
  <c r="V154" i="17" s="1"/>
  <c r="V155" i="17" a="1"/>
  <c r="V155" i="17" s="1"/>
  <c r="V156" i="17" a="1"/>
  <c r="V156" i="17" s="1"/>
  <c r="V157" i="17" a="1"/>
  <c r="V157" i="17" s="1"/>
  <c r="V158" i="17" a="1"/>
  <c r="V158" i="17" s="1"/>
  <c r="V159" i="17" a="1"/>
  <c r="V159" i="17"/>
  <c r="V214" i="17" a="1"/>
  <c r="V214" i="17" s="1"/>
  <c r="V215" i="17" a="1"/>
  <c r="V215" i="17" s="1"/>
  <c r="V216" i="17" a="1"/>
  <c r="V216" i="17" s="1"/>
  <c r="V217" i="17" a="1"/>
  <c r="V217" i="17"/>
  <c r="V218" i="17" a="1"/>
  <c r="V218" i="17" s="1"/>
  <c r="V219" i="17" a="1"/>
  <c r="V219" i="17" s="1"/>
  <c r="V324" i="17" a="1"/>
  <c r="V324" i="17" s="1"/>
  <c r="V334" i="17" a="1"/>
  <c r="V334" i="17" s="1"/>
  <c r="V264" i="17" a="1"/>
  <c r="V264" i="17"/>
  <c r="V274" i="17" a="1"/>
  <c r="V274" i="17" s="1"/>
  <c r="V284" i="17" a="1"/>
  <c r="V284" i="17" s="1"/>
  <c r="V294" i="17" a="1"/>
  <c r="V294" i="17" s="1"/>
  <c r="V304" i="17" a="1"/>
  <c r="V304" i="17" s="1"/>
  <c r="V314" i="17" a="1"/>
  <c r="V314" i="17"/>
  <c r="V5" i="17" a="1"/>
  <c r="V5" i="17" s="1"/>
  <c r="V30" i="17" a="1"/>
  <c r="V30" i="17" s="1"/>
  <c r="V31" i="17" a="1"/>
  <c r="V31" i="17" s="1"/>
  <c r="V32" i="17" a="1"/>
  <c r="V32" i="17"/>
  <c r="V33" i="17" a="1"/>
  <c r="V33" i="17" s="1"/>
  <c r="V34" i="17" a="1"/>
  <c r="V34" i="17" s="1"/>
  <c r="V35" i="17" a="1"/>
  <c r="V35" i="17" s="1"/>
  <c r="V75" i="17" a="1"/>
  <c r="V75" i="17" s="1"/>
  <c r="V85" i="17" a="1"/>
  <c r="V85" i="17" s="1"/>
  <c r="V95" i="17" a="1"/>
  <c r="V95" i="17" s="1"/>
  <c r="V105" i="17" a="1"/>
  <c r="V105" i="17" s="1"/>
  <c r="V115" i="17" a="1"/>
  <c r="V115" i="17"/>
  <c r="V125" i="17" a="1"/>
  <c r="V125" i="17" s="1"/>
  <c r="V135" i="17" a="1"/>
  <c r="V135" i="17" s="1"/>
  <c r="V160" i="17" a="1"/>
  <c r="V160" i="17" s="1"/>
  <c r="V161" i="17" a="1"/>
  <c r="V161" i="17" s="1"/>
  <c r="V162" i="17" a="1"/>
  <c r="V162" i="17" s="1"/>
  <c r="V163" i="17" a="1"/>
  <c r="V163" i="17" s="1"/>
  <c r="V164" i="17" a="1"/>
  <c r="V164" i="17" s="1"/>
  <c r="V165" i="17" a="1"/>
  <c r="V165" i="17" s="1"/>
  <c r="V220" i="17" a="1"/>
  <c r="V220" i="17" s="1"/>
  <c r="V221" i="17" a="1"/>
  <c r="V221" i="17"/>
  <c r="V222" i="17" a="1"/>
  <c r="V222" i="17"/>
  <c r="V223" i="17" a="1"/>
  <c r="V223" i="17" s="1"/>
  <c r="V224" i="17" a="1"/>
  <c r="V224" i="17"/>
  <c r="V225" i="17" a="1"/>
  <c r="V225" i="17" s="1"/>
  <c r="V325" i="17" a="1"/>
  <c r="V325" i="17" s="1"/>
  <c r="V335" i="17" a="1"/>
  <c r="V335" i="17" s="1"/>
  <c r="V265" i="17" a="1"/>
  <c r="V265" i="17" s="1"/>
  <c r="V275" i="17" a="1"/>
  <c r="V275" i="17" s="1"/>
  <c r="V285" i="17" a="1"/>
  <c r="V285" i="17" s="1"/>
  <c r="V295" i="17" a="1"/>
  <c r="V295" i="17" s="1"/>
  <c r="V305" i="17" a="1"/>
  <c r="V305" i="17" s="1"/>
  <c r="V315" i="17" a="1"/>
  <c r="V315" i="17" s="1"/>
  <c r="V6" i="17" a="1"/>
  <c r="V6" i="17" s="1"/>
  <c r="V36" i="17" a="1"/>
  <c r="V36" i="17" s="1"/>
  <c r="V37" i="17" a="1"/>
  <c r="V37" i="17" s="1"/>
  <c r="V38" i="17" a="1"/>
  <c r="V38" i="17" s="1"/>
  <c r="V39" i="17" a="1"/>
  <c r="V39" i="17" s="1"/>
  <c r="V40" i="17" a="1"/>
  <c r="V40" i="17" s="1"/>
  <c r="V41" i="17" a="1"/>
  <c r="V41" i="17" s="1"/>
  <c r="V76" i="17" a="1"/>
  <c r="V76" i="17" s="1"/>
  <c r="V86" i="17" a="1"/>
  <c r="V86" i="17" s="1"/>
  <c r="V96" i="17" a="1"/>
  <c r="V96" i="17" s="1"/>
  <c r="V106" i="17" a="1"/>
  <c r="V106" i="17" s="1"/>
  <c r="V116" i="17" a="1"/>
  <c r="V116" i="17" s="1"/>
  <c r="V126" i="17" a="1"/>
  <c r="V126" i="17" s="1"/>
  <c r="V136" i="17" a="1"/>
  <c r="V136" i="17" s="1"/>
  <c r="V166" i="17" a="1"/>
  <c r="V166" i="17" s="1"/>
  <c r="V167" i="17" a="1"/>
  <c r="V167" i="17" s="1"/>
  <c r="V168" i="17" a="1"/>
  <c r="V168" i="17" s="1"/>
  <c r="V169" i="17" a="1"/>
  <c r="V169" i="17" s="1"/>
  <c r="V170" i="17" a="1"/>
  <c r="V170" i="17" s="1"/>
  <c r="V171" i="17" a="1"/>
  <c r="V171" i="17" s="1"/>
  <c r="V226" i="17" a="1"/>
  <c r="V226" i="17" s="1"/>
  <c r="V227" i="17" a="1"/>
  <c r="V227" i="17" s="1"/>
  <c r="V228" i="17" a="1"/>
  <c r="V228" i="17" s="1"/>
  <c r="V229" i="17" a="1"/>
  <c r="V229" i="17" s="1"/>
  <c r="V230" i="17" a="1"/>
  <c r="V230" i="17" s="1"/>
  <c r="V231" i="17" a="1"/>
  <c r="V231" i="17" s="1"/>
  <c r="V326" i="17" a="1"/>
  <c r="V326" i="17" s="1"/>
  <c r="V336" i="17" a="1"/>
  <c r="V336" i="17" s="1"/>
  <c r="V266" i="17" a="1"/>
  <c r="V266" i="17" s="1"/>
  <c r="V276" i="17" a="1"/>
  <c r="V276" i="17" s="1"/>
  <c r="V286" i="17" a="1"/>
  <c r="V286" i="17" s="1"/>
  <c r="V296" i="17" a="1"/>
  <c r="V296" i="17" s="1"/>
  <c r="V306" i="17" a="1"/>
  <c r="V306" i="17" s="1"/>
  <c r="V316" i="17" a="1"/>
  <c r="V316" i="17" s="1"/>
  <c r="V7" i="17" a="1"/>
  <c r="V7" i="17" s="1"/>
  <c r="V42" i="17" a="1"/>
  <c r="V42" i="17" s="1"/>
  <c r="V43" i="17" a="1"/>
  <c r="V43" i="17" s="1"/>
  <c r="V44" i="17" a="1"/>
  <c r="V44" i="17" s="1"/>
  <c r="V45" i="17" a="1"/>
  <c r="V45" i="17" s="1"/>
  <c r="V46" i="17" a="1"/>
  <c r="V46" i="17" s="1"/>
  <c r="V47" i="17" a="1"/>
  <c r="V47" i="17" s="1"/>
  <c r="V77" i="17" a="1"/>
  <c r="V77" i="17" s="1"/>
  <c r="V87" i="17" a="1"/>
  <c r="V87" i="17" s="1"/>
  <c r="V97" i="17" a="1"/>
  <c r="V97" i="17" s="1"/>
  <c r="V107" i="17" a="1"/>
  <c r="V107" i="17" s="1"/>
  <c r="V117" i="17" a="1"/>
  <c r="V117" i="17" s="1"/>
  <c r="V127" i="17" a="1"/>
  <c r="V127" i="17" s="1"/>
  <c r="V137" i="17" a="1"/>
  <c r="V137" i="17" s="1"/>
  <c r="V172" i="17" a="1"/>
  <c r="V172" i="17" s="1"/>
  <c r="V173" i="17" a="1"/>
  <c r="V173" i="17" s="1"/>
  <c r="V174" i="17" a="1"/>
  <c r="V174" i="17" s="1"/>
  <c r="V175" i="17" a="1"/>
  <c r="V175" i="17" s="1"/>
  <c r="V176" i="17" a="1"/>
  <c r="V176" i="17" s="1"/>
  <c r="V177" i="17" a="1"/>
  <c r="V177" i="17" s="1"/>
  <c r="V232" i="17" a="1"/>
  <c r="V232" i="17" s="1"/>
  <c r="V233" i="17" a="1"/>
  <c r="V233" i="17" s="1"/>
  <c r="V234" i="17" a="1"/>
  <c r="V234" i="17" s="1"/>
  <c r="V235" i="17" a="1"/>
  <c r="V235" i="17" s="1"/>
  <c r="V236" i="17" a="1"/>
  <c r="V236" i="17" s="1"/>
  <c r="V237" i="17" a="1"/>
  <c r="V237" i="17" s="1"/>
  <c r="V327" i="17" a="1"/>
  <c r="V327" i="17" s="1"/>
  <c r="V337" i="17" a="1"/>
  <c r="V337" i="17" s="1"/>
  <c r="V267" i="17" a="1"/>
  <c r="V267" i="17" s="1"/>
  <c r="V277" i="17" a="1"/>
  <c r="V277" i="17" s="1"/>
  <c r="V287" i="17" a="1"/>
  <c r="V287" i="17" s="1"/>
  <c r="V297" i="17" a="1"/>
  <c r="V297" i="17" s="1"/>
  <c r="V307" i="17" a="1"/>
  <c r="V307" i="17" s="1"/>
  <c r="V317" i="17" a="1"/>
  <c r="V317" i="17" s="1"/>
  <c r="V8" i="17" a="1"/>
  <c r="V8" i="17" s="1"/>
  <c r="V48" i="17" a="1"/>
  <c r="V48" i="17" s="1"/>
  <c r="V49" i="17" a="1"/>
  <c r="V49" i="17" s="1"/>
  <c r="V50" i="17" a="1"/>
  <c r="V50" i="17" s="1"/>
  <c r="V51" i="17" a="1"/>
  <c r="V51" i="17" s="1"/>
  <c r="V52" i="17" a="1"/>
  <c r="V52" i="17" s="1"/>
  <c r="V53" i="17" a="1"/>
  <c r="V53" i="17" s="1"/>
  <c r="V78" i="17" a="1"/>
  <c r="V78" i="17" s="1"/>
  <c r="V88" i="17" a="1"/>
  <c r="V88" i="17" s="1"/>
  <c r="V98" i="17" a="1"/>
  <c r="V98" i="17" s="1"/>
  <c r="V108" i="17" a="1"/>
  <c r="V108" i="17" s="1"/>
  <c r="V118" i="17" a="1"/>
  <c r="V118" i="17" s="1"/>
  <c r="V128" i="17" a="1"/>
  <c r="V128" i="17" s="1"/>
  <c r="V138" i="17" a="1"/>
  <c r="V138" i="17" s="1"/>
  <c r="V178" i="17" a="1"/>
  <c r="V178" i="17" s="1"/>
  <c r="V179" i="17" a="1"/>
  <c r="V179" i="17"/>
  <c r="V180" i="17" a="1"/>
  <c r="V180" i="17" s="1"/>
  <c r="V181" i="17" a="1"/>
  <c r="V181" i="17" s="1"/>
  <c r="V182" i="17" a="1"/>
  <c r="V182" i="17" s="1"/>
  <c r="V183" i="17" a="1"/>
  <c r="V183" i="17" s="1"/>
  <c r="V238" i="17" a="1"/>
  <c r="V238" i="17" s="1"/>
  <c r="V239" i="17" a="1"/>
  <c r="V239" i="17" s="1"/>
  <c r="V240" i="17" a="1"/>
  <c r="V240" i="17" s="1"/>
  <c r="V241" i="17" a="1"/>
  <c r="V241" i="17"/>
  <c r="V242" i="17" a="1"/>
  <c r="V242" i="17" s="1"/>
  <c r="V243" i="17" a="1"/>
  <c r="V243" i="17" s="1"/>
  <c r="V328" i="17" a="1"/>
  <c r="V328" i="17" s="1"/>
  <c r="V338" i="17" a="1"/>
  <c r="V338" i="17" s="1"/>
  <c r="V268" i="17" a="1"/>
  <c r="V268" i="17" s="1"/>
  <c r="V278" i="17" a="1"/>
  <c r="V278" i="17" s="1"/>
  <c r="V288" i="17" a="1"/>
  <c r="V288" i="17" s="1"/>
  <c r="V298" i="17" a="1"/>
  <c r="V298" i="17"/>
  <c r="V308" i="17" a="1"/>
  <c r="V308" i="17" s="1"/>
  <c r="V318" i="17" a="1"/>
  <c r="V318" i="17" s="1"/>
  <c r="V9" i="17" a="1"/>
  <c r="V9" i="17" s="1"/>
  <c r="V54" i="17" a="1"/>
  <c r="V54" i="17" s="1"/>
  <c r="V55" i="17" a="1"/>
  <c r="V55" i="17" s="1"/>
  <c r="V56" i="17" a="1"/>
  <c r="V56" i="17" s="1"/>
  <c r="V57" i="17" a="1"/>
  <c r="V57" i="17" s="1"/>
  <c r="V58" i="17" a="1"/>
  <c r="V58" i="17" s="1"/>
  <c r="V59" i="17" a="1"/>
  <c r="V59" i="17"/>
  <c r="V79" i="17" a="1"/>
  <c r="V79" i="17" s="1"/>
  <c r="V89" i="17" a="1"/>
  <c r="V89" i="17" s="1"/>
  <c r="V99" i="17" a="1"/>
  <c r="V99" i="17" s="1"/>
  <c r="V109" i="17" a="1"/>
  <c r="V109" i="17" s="1"/>
  <c r="V119" i="17" a="1"/>
  <c r="V119" i="17"/>
  <c r="V129" i="17" a="1"/>
  <c r="V129" i="17" s="1"/>
  <c r="V139" i="17" a="1"/>
  <c r="V139" i="17" s="1"/>
  <c r="V184" i="17" a="1"/>
  <c r="V184" i="17" s="1"/>
  <c r="V185" i="17" a="1"/>
  <c r="V185" i="17" s="1"/>
  <c r="V186" i="17" a="1"/>
  <c r="V186" i="17" s="1"/>
  <c r="V187" i="17" a="1"/>
  <c r="V187" i="17" s="1"/>
  <c r="V188" i="17" a="1"/>
  <c r="V188" i="17" s="1"/>
  <c r="V189" i="17" a="1"/>
  <c r="V189" i="17" s="1"/>
  <c r="V244" i="17" a="1"/>
  <c r="V244" i="17"/>
  <c r="V245" i="17" a="1"/>
  <c r="V245" i="17" s="1"/>
  <c r="V246" i="17" a="1"/>
  <c r="V246" i="17" s="1"/>
  <c r="V247" i="17" a="1"/>
  <c r="V247" i="17" s="1"/>
  <c r="V248" i="17" a="1"/>
  <c r="V248" i="17" s="1"/>
  <c r="V249" i="17" a="1"/>
  <c r="V249" i="17"/>
  <c r="V329" i="17" a="1"/>
  <c r="V329" i="17" s="1"/>
  <c r="V339" i="17" a="1"/>
  <c r="V339" i="17" s="1"/>
  <c r="V269" i="17" a="1"/>
  <c r="V269" i="17"/>
  <c r="V279" i="17" a="1"/>
  <c r="V279" i="17" s="1"/>
  <c r="V289" i="17" a="1"/>
  <c r="V289" i="17" s="1"/>
  <c r="V299" i="17" a="1"/>
  <c r="V299" i="17" s="1"/>
  <c r="V309" i="17" a="1"/>
  <c r="V309" i="17" s="1"/>
  <c r="V319" i="17" a="1"/>
  <c r="V319" i="17" s="1"/>
  <c r="V10" i="17" a="1"/>
  <c r="V10" i="17" s="1"/>
  <c r="V60" i="17" a="1"/>
  <c r="V60" i="17" s="1"/>
  <c r="V61" i="17" a="1"/>
  <c r="V61" i="17" s="1"/>
  <c r="V62" i="17" a="1"/>
  <c r="V62" i="17" s="1"/>
  <c r="V63" i="17" a="1"/>
  <c r="V63" i="17" s="1"/>
  <c r="V64" i="17" a="1"/>
  <c r="V64" i="17" s="1"/>
  <c r="V65" i="17" a="1"/>
  <c r="V65" i="17"/>
  <c r="V80" i="17" a="1"/>
  <c r="V80" i="17" s="1"/>
  <c r="V90" i="17" a="1"/>
  <c r="V90" i="17" s="1"/>
  <c r="V100" i="17" a="1"/>
  <c r="V100" i="17" s="1"/>
  <c r="V110" i="17" a="1"/>
  <c r="V110" i="17" s="1"/>
  <c r="V120" i="17" a="1"/>
  <c r="V120" i="17" s="1"/>
  <c r="V130" i="17" a="1"/>
  <c r="V130" i="17" s="1"/>
  <c r="V140" i="17" a="1"/>
  <c r="V140" i="17" s="1"/>
  <c r="V190" i="17" a="1"/>
  <c r="V190" i="17"/>
  <c r="V191" i="17" a="1"/>
  <c r="V191" i="17" s="1"/>
  <c r="V192" i="17" a="1"/>
  <c r="V192" i="17" s="1"/>
  <c r="V193" i="17" a="1"/>
  <c r="V193" i="17" s="1"/>
  <c r="V194" i="17" a="1"/>
  <c r="V194" i="17" s="1"/>
  <c r="V195" i="17" a="1"/>
  <c r="V195" i="17"/>
  <c r="V250" i="17" a="1"/>
  <c r="V250" i="17" s="1"/>
  <c r="V251" i="17" a="1"/>
  <c r="V251" i="17" s="1"/>
  <c r="V252" i="17" a="1"/>
  <c r="V252" i="17" s="1"/>
  <c r="V253" i="17" a="1"/>
  <c r="V253" i="17" s="1"/>
  <c r="V254" i="17" a="1"/>
  <c r="V254" i="17" s="1"/>
  <c r="V255" i="17" a="1"/>
  <c r="V255" i="17" s="1"/>
  <c r="V330" i="17" a="1"/>
  <c r="V330" i="17" s="1"/>
  <c r="V340" i="17" a="1"/>
  <c r="V340" i="17" s="1"/>
  <c r="V270" i="17" a="1"/>
  <c r="V270" i="17" s="1"/>
  <c r="V280" i="17" a="1"/>
  <c r="V280" i="17" s="1"/>
  <c r="V290" i="17" a="1"/>
  <c r="V290" i="17" s="1"/>
  <c r="V300" i="17" a="1"/>
  <c r="V300" i="17" s="1"/>
  <c r="V310" i="17" a="1"/>
  <c r="V310" i="17" s="1"/>
  <c r="V320" i="17" a="1"/>
  <c r="V320" i="17" s="1"/>
  <c r="V11" i="17" a="1"/>
  <c r="V11" i="17" s="1"/>
  <c r="V66" i="17" a="1"/>
  <c r="V66" i="17" s="1"/>
  <c r="V67" i="17" a="1"/>
  <c r="V67" i="17" s="1"/>
  <c r="V68" i="17" a="1"/>
  <c r="V68" i="17" s="1"/>
  <c r="V69" i="17" a="1"/>
  <c r="V69" i="17" s="1"/>
  <c r="V70" i="17" a="1"/>
  <c r="V70" i="17" s="1"/>
  <c r="V71" i="17" a="1"/>
  <c r="V71" i="17" s="1"/>
  <c r="V81" i="17" a="1"/>
  <c r="V81" i="17" s="1"/>
  <c r="V91" i="17" a="1"/>
  <c r="V91" i="17" s="1"/>
  <c r="V101" i="17" a="1"/>
  <c r="V101" i="17" s="1"/>
  <c r="V111" i="17" a="1"/>
  <c r="V111" i="17" s="1"/>
  <c r="V121" i="17" a="1"/>
  <c r="V121" i="17" s="1"/>
  <c r="V131" i="17" a="1"/>
  <c r="V131" i="17" s="1"/>
  <c r="V141" i="17" a="1"/>
  <c r="V141" i="17" s="1"/>
  <c r="V196" i="17" a="1"/>
  <c r="V196" i="17" s="1"/>
  <c r="V197" i="17" a="1"/>
  <c r="V197" i="17" s="1"/>
  <c r="V198" i="17" a="1"/>
  <c r="V198" i="17" s="1"/>
  <c r="V199" i="17" a="1"/>
  <c r="V199" i="17" s="1"/>
  <c r="V200" i="17" a="1"/>
  <c r="V200" i="17" s="1"/>
  <c r="V201" i="17" a="1"/>
  <c r="V201" i="17" s="1"/>
  <c r="V256" i="17" a="1"/>
  <c r="V256" i="17" s="1"/>
  <c r="V257" i="17" a="1"/>
  <c r="V257" i="17" s="1"/>
  <c r="V258" i="17" a="1"/>
  <c r="V258" i="17" s="1"/>
  <c r="V259" i="17" a="1"/>
  <c r="V259" i="17"/>
  <c r="V260" i="17" a="1"/>
  <c r="V260" i="17" s="1"/>
  <c r="V261" i="17" a="1"/>
  <c r="V261" i="17" s="1"/>
  <c r="V331" i="17" a="1"/>
  <c r="V331" i="17" s="1"/>
  <c r="V341" i="17" a="1"/>
  <c r="V341" i="17" s="1"/>
  <c r="V271" i="17" a="1"/>
  <c r="V271" i="17" s="1"/>
  <c r="V281" i="17" a="1"/>
  <c r="V281" i="17" s="1"/>
  <c r="V291" i="17" a="1"/>
  <c r="V291" i="17" s="1"/>
  <c r="V301" i="17" a="1"/>
  <c r="V301" i="17" s="1"/>
  <c r="V311" i="17" a="1"/>
  <c r="V311" i="17" s="1"/>
  <c r="V321" i="17" a="1"/>
  <c r="V321" i="17" s="1"/>
  <c r="X2" i="17" a="1"/>
  <c r="X2" i="17" s="1"/>
  <c r="Y2" i="17" s="1"/>
  <c r="Q2" i="17" s="1"/>
  <c r="W2" i="17" s="1"/>
  <c r="X12" i="17" a="1"/>
  <c r="X12" i="17" s="1"/>
  <c r="X13" i="17" a="1"/>
  <c r="X13" i="17" s="1"/>
  <c r="X14" i="17" a="1"/>
  <c r="X14" i="17" s="1"/>
  <c r="Y14" i="17" s="1"/>
  <c r="Q14" i="17" s="1"/>
  <c r="W14" i="17" s="1"/>
  <c r="X15" i="17" a="1"/>
  <c r="X15" i="17" s="1"/>
  <c r="X16" i="17" a="1"/>
  <c r="X16" i="17" s="1"/>
  <c r="Y16" i="17" s="1"/>
  <c r="Q16" i="17" s="1"/>
  <c r="W16" i="17" s="1"/>
  <c r="X17" i="17" a="1"/>
  <c r="X17" i="17" s="1"/>
  <c r="X72" i="17" a="1"/>
  <c r="X72" i="17" s="1"/>
  <c r="X82" i="17" a="1"/>
  <c r="X82" i="17"/>
  <c r="X92" i="17" a="1"/>
  <c r="X92" i="17" s="1"/>
  <c r="Y92" i="17" s="1"/>
  <c r="Q92" i="17" s="1"/>
  <c r="W92" i="17" s="1"/>
  <c r="X102" i="17" a="1"/>
  <c r="X102" i="17" s="1"/>
  <c r="Y102" i="17" s="1"/>
  <c r="Q102" i="17" s="1"/>
  <c r="W102" i="17" s="1"/>
  <c r="X112" i="17" a="1"/>
  <c r="X112" i="17" s="1"/>
  <c r="X122" i="17" a="1"/>
  <c r="X122" i="17" s="1"/>
  <c r="X132" i="17" a="1"/>
  <c r="X132" i="17" s="1"/>
  <c r="X142" i="17" a="1"/>
  <c r="X142" i="17" s="1"/>
  <c r="Y142" i="17" s="1"/>
  <c r="Q142" i="17" s="1"/>
  <c r="W142" i="17" s="1"/>
  <c r="X143" i="17" a="1"/>
  <c r="X143" i="17" s="1"/>
  <c r="Y143" i="17" s="1"/>
  <c r="Q143" i="17" s="1"/>
  <c r="W143" i="17" s="1"/>
  <c r="X144" i="17" a="1"/>
  <c r="X144" i="17" s="1"/>
  <c r="X145" i="17" a="1"/>
  <c r="X145" i="17" s="1"/>
  <c r="Y145" i="17" s="1"/>
  <c r="Q145" i="17" s="1"/>
  <c r="W145" i="17" s="1"/>
  <c r="X146" i="17" a="1"/>
  <c r="X146" i="17" s="1"/>
  <c r="Y146" i="17" s="1"/>
  <c r="Q146" i="17" s="1"/>
  <c r="W146" i="17" s="1"/>
  <c r="X147" i="17" a="1"/>
  <c r="X147" i="17" s="1"/>
  <c r="X202" i="17" a="1"/>
  <c r="X202" i="17" s="1"/>
  <c r="Y202" i="17" s="1"/>
  <c r="Q202" i="17" s="1"/>
  <c r="W202" i="17" s="1"/>
  <c r="X203" i="17" a="1"/>
  <c r="X203" i="17"/>
  <c r="X204" i="17" a="1"/>
  <c r="X204" i="17" s="1"/>
  <c r="Y204" i="17" s="1"/>
  <c r="Q204" i="17" s="1"/>
  <c r="W204" i="17" s="1"/>
  <c r="X205" i="17" a="1"/>
  <c r="X205" i="17" s="1"/>
  <c r="X206" i="17" a="1"/>
  <c r="X206" i="17" s="1"/>
  <c r="Y206" i="17" s="1"/>
  <c r="Q206" i="17" s="1"/>
  <c r="W206" i="17" s="1"/>
  <c r="X207" i="17" a="1"/>
  <c r="X207" i="17" s="1"/>
  <c r="X322" i="17" a="1"/>
  <c r="X322" i="17" s="1"/>
  <c r="X332" i="17" a="1"/>
  <c r="X332" i="17" s="1"/>
  <c r="Y332" i="17" s="1"/>
  <c r="Q332" i="17" s="1"/>
  <c r="W332" i="17" s="1"/>
  <c r="X262" i="17" a="1"/>
  <c r="X262" i="17" s="1"/>
  <c r="Y262" i="17" s="1"/>
  <c r="Q262" i="17" s="1"/>
  <c r="W262" i="17" s="1"/>
  <c r="X272" i="17" a="1"/>
  <c r="X272" i="17" s="1"/>
  <c r="X282" i="17" a="1"/>
  <c r="X282" i="17" s="1"/>
  <c r="Y282" i="17" s="1"/>
  <c r="Q282" i="17" s="1"/>
  <c r="W282" i="17" s="1"/>
  <c r="X292" i="17" a="1"/>
  <c r="X292" i="17" s="1"/>
  <c r="X302" i="17" a="1"/>
  <c r="X302" i="17" s="1"/>
  <c r="Y302" i="17" s="1"/>
  <c r="Q302" i="17" s="1"/>
  <c r="W302" i="17" s="1"/>
  <c r="X312" i="17" a="1"/>
  <c r="X312" i="17" s="1"/>
  <c r="Y312" i="17" s="1"/>
  <c r="Q312" i="17" s="1"/>
  <c r="W312" i="17" s="1"/>
  <c r="X3" i="17" a="1"/>
  <c r="X3" i="17" s="1"/>
  <c r="Y3" i="17" s="1"/>
  <c r="Q3" i="17" s="1"/>
  <c r="W3" i="17" s="1"/>
  <c r="X18" i="17" a="1"/>
  <c r="X18" i="17"/>
  <c r="Y18" i="17" s="1"/>
  <c r="Q18" i="17" s="1"/>
  <c r="W18" i="17" s="1"/>
  <c r="X19" i="17" a="1"/>
  <c r="X19" i="17" s="1"/>
  <c r="Y19" i="17" s="1"/>
  <c r="Q19" i="17" s="1"/>
  <c r="W19" i="17" s="1"/>
  <c r="X20" i="17" a="1"/>
  <c r="X20" i="17" s="1"/>
  <c r="X21" i="17" a="1"/>
  <c r="X21" i="17" s="1"/>
  <c r="Y21" i="17" s="1"/>
  <c r="Q21" i="17" s="1"/>
  <c r="W21" i="17" s="1"/>
  <c r="X22" i="17" a="1"/>
  <c r="X22" i="17" s="1"/>
  <c r="Y22" i="17" s="1"/>
  <c r="Q22" i="17" s="1"/>
  <c r="W22" i="17" s="1"/>
  <c r="X23" i="17" a="1"/>
  <c r="X23" i="17" s="1"/>
  <c r="Y23" i="17" s="1"/>
  <c r="Q23" i="17" s="1"/>
  <c r="W23" i="17" s="1"/>
  <c r="X73" i="17" a="1"/>
  <c r="X73" i="17" s="1"/>
  <c r="Y73" i="17" s="1"/>
  <c r="Q73" i="17" s="1"/>
  <c r="W73" i="17" s="1"/>
  <c r="X83" i="17" a="1"/>
  <c r="X83" i="17" s="1"/>
  <c r="Y83" i="17" s="1"/>
  <c r="Q83" i="17" s="1"/>
  <c r="W83" i="17" s="1"/>
  <c r="X93" i="17" a="1"/>
  <c r="X93" i="17" s="1"/>
  <c r="X103" i="17" a="1"/>
  <c r="X103" i="17"/>
  <c r="X113" i="17" a="1"/>
  <c r="X113" i="17" s="1"/>
  <c r="Y113" i="17" s="1"/>
  <c r="Q113" i="17" s="1"/>
  <c r="W113" i="17" s="1"/>
  <c r="X123" i="17" a="1"/>
  <c r="X123" i="17" s="1"/>
  <c r="Y123" i="17" s="1"/>
  <c r="Q123" i="17" s="1"/>
  <c r="W123" i="17" s="1"/>
  <c r="X133" i="17" a="1"/>
  <c r="X133" i="17"/>
  <c r="X148" i="17" a="1"/>
  <c r="X148" i="17" s="1"/>
  <c r="Y148" i="17" s="1"/>
  <c r="X149" i="17" a="1"/>
  <c r="X149" i="17" s="1"/>
  <c r="X150" i="17" a="1"/>
  <c r="X150" i="17" s="1"/>
  <c r="Y150" i="17" s="1"/>
  <c r="Q150" i="17" s="1"/>
  <c r="W150" i="17" s="1"/>
  <c r="X151" i="17" a="1"/>
  <c r="X151" i="17" s="1"/>
  <c r="Y151" i="17" s="1"/>
  <c r="X152" i="17" a="1"/>
  <c r="X152" i="17" s="1"/>
  <c r="X153" i="17" a="1"/>
  <c r="X153" i="17" s="1"/>
  <c r="Y153" i="17" s="1"/>
  <c r="Q153" i="17" s="1"/>
  <c r="W153" i="17" s="1"/>
  <c r="X208" i="17" a="1"/>
  <c r="X208" i="17" s="1"/>
  <c r="Y208" i="17" s="1"/>
  <c r="Q208" i="17" s="1"/>
  <c r="W208" i="17" s="1"/>
  <c r="X209" i="17" a="1"/>
  <c r="X209" i="17" s="1"/>
  <c r="X210" i="17" a="1"/>
  <c r="X210" i="17"/>
  <c r="Y210" i="17" s="1"/>
  <c r="Q210" i="17" s="1"/>
  <c r="W210" i="17" s="1"/>
  <c r="X211" i="17" a="1"/>
  <c r="X211" i="17" s="1"/>
  <c r="Y211" i="17" s="1"/>
  <c r="Q211" i="17" s="1"/>
  <c r="W211" i="17" s="1"/>
  <c r="X212" i="17" a="1"/>
  <c r="X212" i="17" s="1"/>
  <c r="Y212" i="17" s="1"/>
  <c r="Q212" i="17" s="1"/>
  <c r="W212" i="17" s="1"/>
  <c r="X213" i="17" a="1"/>
  <c r="X213" i="17" s="1"/>
  <c r="X323" i="17" a="1"/>
  <c r="X323" i="17" s="1"/>
  <c r="Y323" i="17" s="1"/>
  <c r="Q323" i="17" s="1"/>
  <c r="W323" i="17" s="1"/>
  <c r="X333" i="17" a="1"/>
  <c r="X333" i="17" s="1"/>
  <c r="X263" i="17" a="1"/>
  <c r="X263" i="17" s="1"/>
  <c r="Y263" i="17" s="1"/>
  <c r="Q263" i="17" s="1"/>
  <c r="W263" i="17" s="1"/>
  <c r="X273" i="17" a="1"/>
  <c r="X273" i="17" s="1"/>
  <c r="Y273" i="17" s="1"/>
  <c r="Q273" i="17" s="1"/>
  <c r="W273" i="17" s="1"/>
  <c r="X283" i="17" a="1"/>
  <c r="X283" i="17" s="1"/>
  <c r="Y283" i="17" s="1"/>
  <c r="Q283" i="17" s="1"/>
  <c r="W283" i="17" s="1"/>
  <c r="X293" i="17" a="1"/>
  <c r="X293" i="17" s="1"/>
  <c r="X303" i="17" a="1"/>
  <c r="X303" i="17" s="1"/>
  <c r="Y303" i="17" s="1"/>
  <c r="Q303" i="17" s="1"/>
  <c r="W303" i="17" s="1"/>
  <c r="X313" i="17" a="1"/>
  <c r="X313" i="17" s="1"/>
  <c r="X4" i="17" a="1"/>
  <c r="X4" i="17"/>
  <c r="X24" i="17" a="1"/>
  <c r="X24" i="17" s="1"/>
  <c r="Y24" i="17" s="1"/>
  <c r="Q24" i="17" s="1"/>
  <c r="W24" i="17" s="1"/>
  <c r="X25" i="17" a="1"/>
  <c r="X25" i="17"/>
  <c r="X26" i="17" a="1"/>
  <c r="X26" i="17" s="1"/>
  <c r="Y26" i="17" s="1"/>
  <c r="Q26" i="17" s="1"/>
  <c r="W26" i="17" s="1"/>
  <c r="X27" i="17" a="1"/>
  <c r="X27" i="17" s="1"/>
  <c r="X28" i="17" a="1"/>
  <c r="X28" i="17" s="1"/>
  <c r="X29" i="17" a="1"/>
  <c r="X29" i="17" s="1"/>
  <c r="Y29" i="17" s="1"/>
  <c r="Q29" i="17" s="1"/>
  <c r="W29" i="17" s="1"/>
  <c r="X74" i="17" a="1"/>
  <c r="X74" i="17" s="1"/>
  <c r="Y74" i="17" s="1"/>
  <c r="Q74" i="17" s="1"/>
  <c r="W74" i="17" s="1"/>
  <c r="X84" i="17" a="1"/>
  <c r="X84" i="17" s="1"/>
  <c r="Y84" i="17" s="1"/>
  <c r="Q84" i="17" s="1"/>
  <c r="W84" i="17" s="1"/>
  <c r="X94" i="17" a="1"/>
  <c r="X94" i="17" s="1"/>
  <c r="Y94" i="17" s="1"/>
  <c r="Q94" i="17" s="1"/>
  <c r="W94" i="17" s="1"/>
  <c r="X104" i="17" a="1"/>
  <c r="X104" i="17" s="1"/>
  <c r="Y104" i="17" s="1"/>
  <c r="Q104" i="17" s="1"/>
  <c r="W104" i="17" s="1"/>
  <c r="X114" i="17" a="1"/>
  <c r="X114" i="17" s="1"/>
  <c r="X124" i="17" a="1"/>
  <c r="X124" i="17"/>
  <c r="X134" i="17" a="1"/>
  <c r="X134" i="17" s="1"/>
  <c r="Y134" i="17" s="1"/>
  <c r="Q134" i="17" s="1"/>
  <c r="W134" i="17" s="1"/>
  <c r="X154" i="17" a="1"/>
  <c r="X154" i="17"/>
  <c r="X155" i="17" a="1"/>
  <c r="X155" i="17" s="1"/>
  <c r="Y155" i="17" s="1"/>
  <c r="Q155" i="17" s="1"/>
  <c r="W155" i="17" s="1"/>
  <c r="X156" i="17" a="1"/>
  <c r="X156" i="17" s="1"/>
  <c r="X157" i="17" a="1"/>
  <c r="X157" i="17" s="1"/>
  <c r="X158" i="17" a="1"/>
  <c r="X158" i="17" s="1"/>
  <c r="Y158" i="17" s="1"/>
  <c r="Q158" i="17" s="1"/>
  <c r="W158" i="17" s="1"/>
  <c r="X159" i="17" a="1"/>
  <c r="X159" i="17" s="1"/>
  <c r="Y159" i="17" s="1"/>
  <c r="Q159" i="17" s="1"/>
  <c r="W159" i="17" s="1"/>
  <c r="X214" i="17" a="1"/>
  <c r="X214" i="17" s="1"/>
  <c r="Y214" i="17" s="1"/>
  <c r="X215" i="17" a="1"/>
  <c r="X215" i="17" s="1"/>
  <c r="Y215" i="17" s="1"/>
  <c r="Q215" i="17" s="1"/>
  <c r="W215" i="17" s="1"/>
  <c r="X216" i="17" a="1"/>
  <c r="X216" i="17" s="1"/>
  <c r="Y216" i="17" s="1"/>
  <c r="X217" i="17" a="1"/>
  <c r="X217" i="17" s="1"/>
  <c r="X218" i="17" a="1"/>
  <c r="X218" i="17" s="1"/>
  <c r="Y218" i="17" s="1"/>
  <c r="Q218" i="17" s="1"/>
  <c r="W218" i="17" s="1"/>
  <c r="X219" i="17" a="1"/>
  <c r="X219" i="17" s="1"/>
  <c r="Y219" i="17" s="1"/>
  <c r="Q219" i="17" s="1"/>
  <c r="W219" i="17" s="1"/>
  <c r="X324" i="17" a="1"/>
  <c r="X324" i="17" s="1"/>
  <c r="X334" i="17" a="1"/>
  <c r="X334" i="17" s="1"/>
  <c r="Y334" i="17" s="1"/>
  <c r="Q334" i="17" s="1"/>
  <c r="W334" i="17" s="1"/>
  <c r="X264" i="17" a="1"/>
  <c r="X264" i="17" s="1"/>
  <c r="Y264" i="17" s="1"/>
  <c r="Q264" i="17" s="1"/>
  <c r="W264" i="17" s="1"/>
  <c r="X274" i="17" a="1"/>
  <c r="X274" i="17" s="1"/>
  <c r="Y274" i="17" s="1"/>
  <c r="Q274" i="17" s="1"/>
  <c r="W274" i="17" s="1"/>
  <c r="X284" i="17" a="1"/>
  <c r="X284" i="17" s="1"/>
  <c r="Y284" i="17" s="1"/>
  <c r="X294" i="17" a="1"/>
  <c r="X294" i="17" s="1"/>
  <c r="Y294" i="17" s="1"/>
  <c r="X304" i="17" a="1"/>
  <c r="X304" i="17" s="1"/>
  <c r="Y304" i="17" s="1"/>
  <c r="Q304" i="17" s="1"/>
  <c r="W304" i="17" s="1"/>
  <c r="X314" i="17" a="1"/>
  <c r="X314" i="17" s="1"/>
  <c r="Y314" i="17" s="1"/>
  <c r="Q314" i="17" s="1"/>
  <c r="W314" i="17" s="1"/>
  <c r="X5" i="17" a="1"/>
  <c r="X5" i="17" s="1"/>
  <c r="Y5" i="17" s="1"/>
  <c r="Q5" i="17" s="1"/>
  <c r="W5" i="17" s="1"/>
  <c r="X30" i="17" a="1"/>
  <c r="X30" i="17" s="1"/>
  <c r="X31" i="17" a="1"/>
  <c r="X31" i="17" s="1"/>
  <c r="Y31" i="17" s="1"/>
  <c r="Q31" i="17" s="1"/>
  <c r="W31" i="17" s="1"/>
  <c r="X32" i="17" a="1"/>
  <c r="X32" i="17" s="1"/>
  <c r="Y32" i="17" s="1"/>
  <c r="Q32" i="17" s="1"/>
  <c r="W32" i="17" s="1"/>
  <c r="X33" i="17" a="1"/>
  <c r="X33" i="17" s="1"/>
  <c r="Y33" i="17" s="1"/>
  <c r="Q33" i="17" s="1"/>
  <c r="W33" i="17" s="1"/>
  <c r="X34" i="17" a="1"/>
  <c r="X34" i="17" s="1"/>
  <c r="Y34" i="17" s="1"/>
  <c r="Q34" i="17" s="1"/>
  <c r="W34" i="17" s="1"/>
  <c r="X35" i="17" a="1"/>
  <c r="X35" i="17"/>
  <c r="X75" i="17" a="1"/>
  <c r="X75" i="17" s="1"/>
  <c r="Y75" i="17" s="1"/>
  <c r="Q75" i="17" s="1"/>
  <c r="W75" i="17" s="1"/>
  <c r="X85" i="17" a="1"/>
  <c r="X85" i="17" s="1"/>
  <c r="Y85" i="17" s="1"/>
  <c r="Q85" i="17" s="1"/>
  <c r="W85" i="17" s="1"/>
  <c r="X95" i="17" a="1"/>
  <c r="X95" i="17" s="1"/>
  <c r="X105" i="17" a="1"/>
  <c r="X105" i="17" s="1"/>
  <c r="Y105" i="17" s="1"/>
  <c r="Q105" i="17" s="1"/>
  <c r="W105" i="17" s="1"/>
  <c r="X115" i="17" a="1"/>
  <c r="X115" i="17" s="1"/>
  <c r="Y115" i="17" s="1"/>
  <c r="Q115" i="17" s="1"/>
  <c r="W115" i="17" s="1"/>
  <c r="X125" i="17" a="1"/>
  <c r="X125" i="17" s="1"/>
  <c r="Y125" i="17" s="1"/>
  <c r="Q125" i="17" s="1"/>
  <c r="W125" i="17" s="1"/>
  <c r="X135" i="17" a="1"/>
  <c r="X135" i="17" s="1"/>
  <c r="X160" i="17" a="1"/>
  <c r="X160" i="17" s="1"/>
  <c r="X161" i="17" a="1"/>
  <c r="X161" i="17" s="1"/>
  <c r="Y161" i="17" s="1"/>
  <c r="Q161" i="17" s="1"/>
  <c r="W161" i="17" s="1"/>
  <c r="X162" i="17" a="1"/>
  <c r="X162" i="17" s="1"/>
  <c r="Y162" i="17" s="1"/>
  <c r="Q162" i="17" s="1"/>
  <c r="W162" i="17" s="1"/>
  <c r="X163" i="17" a="1"/>
  <c r="X163" i="17" s="1"/>
  <c r="Y163" i="17" s="1"/>
  <c r="Q163" i="17" s="1"/>
  <c r="W163" i="17" s="1"/>
  <c r="X164" i="17" a="1"/>
  <c r="X164" i="17" s="1"/>
  <c r="Y164" i="17" s="1"/>
  <c r="Q164" i="17" s="1"/>
  <c r="W164" i="17" s="1"/>
  <c r="X165" i="17" a="1"/>
  <c r="X165" i="17" s="1"/>
  <c r="X220" i="17" a="1"/>
  <c r="X220" i="17" s="1"/>
  <c r="Y220" i="17" s="1"/>
  <c r="Q220" i="17" s="1"/>
  <c r="W220" i="17" s="1"/>
  <c r="X221" i="17" a="1"/>
  <c r="X221" i="17" s="1"/>
  <c r="Y221" i="17" s="1"/>
  <c r="X222" i="17" a="1"/>
  <c r="X222" i="17" s="1"/>
  <c r="Y222" i="17" s="1"/>
  <c r="Q222" i="17" s="1"/>
  <c r="W222" i="17" s="1"/>
  <c r="X223" i="17" a="1"/>
  <c r="X223" i="17" s="1"/>
  <c r="Y223" i="17" s="1"/>
  <c r="X224" i="17" a="1"/>
  <c r="X224" i="17" s="1"/>
  <c r="Y224" i="17" s="1"/>
  <c r="Q224" i="17" s="1"/>
  <c r="W224" i="17" s="1"/>
  <c r="X225" i="17" a="1"/>
  <c r="X225" i="17" s="1"/>
  <c r="X325" i="17" a="1"/>
  <c r="X325" i="17" s="1"/>
  <c r="X335" i="17" a="1"/>
  <c r="X335" i="17" s="1"/>
  <c r="Y335" i="17" s="1"/>
  <c r="Q335" i="17" s="1"/>
  <c r="W335" i="17" s="1"/>
  <c r="X265" i="17" a="1"/>
  <c r="X265" i="17" s="1"/>
  <c r="Y265" i="17" s="1"/>
  <c r="Q265" i="17" s="1"/>
  <c r="W265" i="17" s="1"/>
  <c r="X275" i="17" a="1"/>
  <c r="X275" i="17" s="1"/>
  <c r="X285" i="17" a="1"/>
  <c r="X285" i="17" s="1"/>
  <c r="Y285" i="17" s="1"/>
  <c r="X295" i="17" a="1"/>
  <c r="X295" i="17" s="1"/>
  <c r="X305" i="17" a="1"/>
  <c r="X305" i="17" s="1"/>
  <c r="X315" i="17" a="1"/>
  <c r="X315" i="17" s="1"/>
  <c r="Y315" i="17" s="1"/>
  <c r="Q315" i="17" s="1"/>
  <c r="W315" i="17" s="1"/>
  <c r="X6" i="17" a="1"/>
  <c r="X6" i="17" s="1"/>
  <c r="Y6" i="17" s="1"/>
  <c r="X36" i="17" a="1"/>
  <c r="X36" i="17" s="1"/>
  <c r="X37" i="17" a="1"/>
  <c r="X37" i="17" s="1"/>
  <c r="Y37" i="17" s="1"/>
  <c r="Q37" i="17" s="1"/>
  <c r="W37" i="17" s="1"/>
  <c r="X38" i="17" a="1"/>
  <c r="X38" i="17" s="1"/>
  <c r="X39" i="17" a="1"/>
  <c r="X39" i="17"/>
  <c r="X40" i="17" a="1"/>
  <c r="X40" i="17" s="1"/>
  <c r="Y40" i="17" s="1"/>
  <c r="Q40" i="17" s="1"/>
  <c r="W40" i="17" s="1"/>
  <c r="X41" i="17" a="1"/>
  <c r="X41" i="17" s="1"/>
  <c r="X76" i="17" a="1"/>
  <c r="X76" i="17" s="1"/>
  <c r="X86" i="17" a="1"/>
  <c r="X86" i="17" s="1"/>
  <c r="X96" i="17" a="1"/>
  <c r="X96" i="17" s="1"/>
  <c r="Y96" i="17" s="1"/>
  <c r="Q96" i="17" s="1"/>
  <c r="W96" i="17" s="1"/>
  <c r="X106" i="17" a="1"/>
  <c r="X106" i="17" s="1"/>
  <c r="Y106" i="17" s="1"/>
  <c r="Q106" i="17" s="1"/>
  <c r="W106" i="17" s="1"/>
  <c r="X116" i="17" a="1"/>
  <c r="X116" i="17" s="1"/>
  <c r="Y116" i="17" s="1"/>
  <c r="Q116" i="17" s="1"/>
  <c r="W116" i="17" s="1"/>
  <c r="X126" i="17" a="1"/>
  <c r="X126" i="17" s="1"/>
  <c r="Y126" i="17" s="1"/>
  <c r="Q126" i="17" s="1"/>
  <c r="W126" i="17" s="1"/>
  <c r="X136" i="17" a="1"/>
  <c r="X136" i="17"/>
  <c r="X166" i="17" a="1"/>
  <c r="X166" i="17" s="1"/>
  <c r="Y166" i="17" s="1"/>
  <c r="X167" i="17" a="1"/>
  <c r="X167" i="17" s="1"/>
  <c r="X168" i="17" a="1"/>
  <c r="X168" i="17" s="1"/>
  <c r="Y168" i="17" s="1"/>
  <c r="Q168" i="17" s="1"/>
  <c r="W168" i="17" s="1"/>
  <c r="X169" i="17" a="1"/>
  <c r="X169" i="17"/>
  <c r="X170" i="17" a="1"/>
  <c r="X170" i="17" s="1"/>
  <c r="Y170" i="17" s="1"/>
  <c r="Q170" i="17" s="1"/>
  <c r="W170" i="17" s="1"/>
  <c r="X171" i="17" a="1"/>
  <c r="X171" i="17"/>
  <c r="X226" i="17" a="1"/>
  <c r="X226" i="17" s="1"/>
  <c r="X227" i="17" a="1"/>
  <c r="X227" i="17" s="1"/>
  <c r="Y227" i="17" s="1"/>
  <c r="Q227" i="17" s="1"/>
  <c r="W227" i="17" s="1"/>
  <c r="X228" i="17" a="1"/>
  <c r="X228" i="17" s="1"/>
  <c r="Y228" i="17" s="1"/>
  <c r="X229" i="17" a="1"/>
  <c r="X229" i="17" s="1"/>
  <c r="Y229" i="17" s="1"/>
  <c r="Q229" i="17" s="1"/>
  <c r="W229" i="17" s="1"/>
  <c r="X230" i="17" a="1"/>
  <c r="X230" i="17" s="1"/>
  <c r="X231" i="17" a="1"/>
  <c r="X231" i="17" s="1"/>
  <c r="Y231" i="17" s="1"/>
  <c r="Q231" i="17" s="1"/>
  <c r="W231" i="17" s="1"/>
  <c r="X326" i="17" a="1"/>
  <c r="X326" i="17"/>
  <c r="X336" i="17" a="1"/>
  <c r="X336" i="17" s="1"/>
  <c r="Y336" i="17" s="1"/>
  <c r="Q336" i="17" s="1"/>
  <c r="W336" i="17" s="1"/>
  <c r="X266" i="17" a="1"/>
  <c r="X266" i="17" s="1"/>
  <c r="Y266" i="17" s="1"/>
  <c r="Q266" i="17" s="1"/>
  <c r="W266" i="17" s="1"/>
  <c r="X276" i="17" a="1"/>
  <c r="X276" i="17" s="1"/>
  <c r="X286" i="17" a="1"/>
  <c r="X286" i="17"/>
  <c r="X296" i="17" a="1"/>
  <c r="X296" i="17" s="1"/>
  <c r="Y296" i="17" s="1"/>
  <c r="Q296" i="17" s="1"/>
  <c r="W296" i="17" s="1"/>
  <c r="X306" i="17" a="1"/>
  <c r="X306" i="17" s="1"/>
  <c r="X316" i="17" a="1"/>
  <c r="X316" i="17" s="1"/>
  <c r="Y316" i="17" s="1"/>
  <c r="Q316" i="17" s="1"/>
  <c r="W316" i="17" s="1"/>
  <c r="X7" i="17" a="1"/>
  <c r="X7" i="17" s="1"/>
  <c r="Y7" i="17" s="1"/>
  <c r="X42" i="17" a="1"/>
  <c r="X42" i="17" s="1"/>
  <c r="Y42" i="17" s="1"/>
  <c r="Q42" i="17" s="1"/>
  <c r="W42" i="17" s="1"/>
  <c r="X43" i="17" a="1"/>
  <c r="X43" i="17" s="1"/>
  <c r="Y43" i="17" s="1"/>
  <c r="Q43" i="17" s="1"/>
  <c r="W43" i="17" s="1"/>
  <c r="X44" i="17" a="1"/>
  <c r="X44" i="17" s="1"/>
  <c r="Y44" i="17" s="1"/>
  <c r="Q44" i="17" s="1"/>
  <c r="W44" i="17" s="1"/>
  <c r="X45" i="17" a="1"/>
  <c r="X45" i="17" s="1"/>
  <c r="Y45" i="17" s="1"/>
  <c r="Q45" i="17" s="1"/>
  <c r="W45" i="17" s="1"/>
  <c r="X46" i="17" a="1"/>
  <c r="X46" i="17" s="1"/>
  <c r="X47" i="17" a="1"/>
  <c r="X47" i="17" s="1"/>
  <c r="Y47" i="17" s="1"/>
  <c r="Q47" i="17" s="1"/>
  <c r="W47" i="17" s="1"/>
  <c r="X77" i="17" a="1"/>
  <c r="X77" i="17" s="1"/>
  <c r="Y77" i="17" s="1"/>
  <c r="Q77" i="17" s="1"/>
  <c r="W77" i="17" s="1"/>
  <c r="X87" i="17" a="1"/>
  <c r="X87" i="17" s="1"/>
  <c r="Y87" i="17" s="1"/>
  <c r="X97" i="17" a="1"/>
  <c r="X97" i="17"/>
  <c r="X107" i="17" a="1"/>
  <c r="X107" i="17" s="1"/>
  <c r="Y107" i="17" s="1"/>
  <c r="Q107" i="17" s="1"/>
  <c r="W107" i="17" s="1"/>
  <c r="X117" i="17" a="1"/>
  <c r="X117" i="17" s="1"/>
  <c r="X127" i="17" a="1"/>
  <c r="X127" i="17"/>
  <c r="Y127" i="17" s="1"/>
  <c r="Q127" i="17" s="1"/>
  <c r="W127" i="17" s="1"/>
  <c r="X137" i="17" a="1"/>
  <c r="X137" i="17" s="1"/>
  <c r="Y137" i="17" s="1"/>
  <c r="Q137" i="17" s="1"/>
  <c r="W137" i="17" s="1"/>
  <c r="X172" i="17" a="1"/>
  <c r="X172" i="17" s="1"/>
  <c r="Y172" i="17" s="1"/>
  <c r="Q172" i="17" s="1"/>
  <c r="W172" i="17" s="1"/>
  <c r="X173" i="17" a="1"/>
  <c r="X173" i="17" s="1"/>
  <c r="Y173" i="17" s="1"/>
  <c r="Q173" i="17" s="1"/>
  <c r="W173" i="17" s="1"/>
  <c r="X174" i="17" a="1"/>
  <c r="X174" i="17" s="1"/>
  <c r="Y174" i="17" s="1"/>
  <c r="X175" i="17" a="1"/>
  <c r="X175" i="17" s="1"/>
  <c r="X176" i="17" a="1"/>
  <c r="X176" i="17" s="1"/>
  <c r="Y176" i="17" s="1"/>
  <c r="Q176" i="17" s="1"/>
  <c r="W176" i="17" s="1"/>
  <c r="X177" i="17" a="1"/>
  <c r="X177" i="17" s="1"/>
  <c r="Y177" i="17" s="1"/>
  <c r="Q177" i="17" s="1"/>
  <c r="W177" i="17" s="1"/>
  <c r="X232" i="17" a="1"/>
  <c r="X232" i="17" s="1"/>
  <c r="Y232" i="17" s="1"/>
  <c r="Q232" i="17" s="1"/>
  <c r="W232" i="17" s="1"/>
  <c r="X233" i="17" a="1"/>
  <c r="X233" i="17" s="1"/>
  <c r="Y233" i="17" s="1"/>
  <c r="Q233" i="17" s="1"/>
  <c r="W233" i="17" s="1"/>
  <c r="X234" i="17" a="1"/>
  <c r="X234" i="17" s="1"/>
  <c r="X235" i="17" a="1"/>
  <c r="X235" i="17" s="1"/>
  <c r="Y235" i="17" s="1"/>
  <c r="Q235" i="17" s="1"/>
  <c r="W235" i="17" s="1"/>
  <c r="X236" i="17" a="1"/>
  <c r="X236" i="17" s="1"/>
  <c r="Y236" i="17" s="1"/>
  <c r="Q236" i="17" s="1"/>
  <c r="W236" i="17" s="1"/>
  <c r="X237" i="17" a="1"/>
  <c r="X237" i="17" s="1"/>
  <c r="Y237" i="17" s="1"/>
  <c r="Q237" i="17" s="1"/>
  <c r="W237" i="17" s="1"/>
  <c r="X327" i="17" a="1"/>
  <c r="X327" i="17" s="1"/>
  <c r="Y327" i="17" s="1"/>
  <c r="X337" i="17" a="1"/>
  <c r="X337" i="17" s="1"/>
  <c r="Y337" i="17" s="1"/>
  <c r="X267" i="17" a="1"/>
  <c r="X267" i="17" s="1"/>
  <c r="Y267" i="17" s="1"/>
  <c r="Q267" i="17" s="1"/>
  <c r="W267" i="17" s="1"/>
  <c r="X277" i="17" a="1"/>
  <c r="X277" i="17" s="1"/>
  <c r="Y277" i="17" s="1"/>
  <c r="Q277" i="17" s="1"/>
  <c r="W277" i="17" s="1"/>
  <c r="X287" i="17" a="1"/>
  <c r="X287" i="17" s="1"/>
  <c r="X297" i="17" a="1"/>
  <c r="X297" i="17" s="1"/>
  <c r="X307" i="17" a="1"/>
  <c r="X307" i="17"/>
  <c r="Y307" i="17" s="1"/>
  <c r="Q307" i="17" s="1"/>
  <c r="W307" i="17" s="1"/>
  <c r="X317" i="17" a="1"/>
  <c r="X317" i="17" s="1"/>
  <c r="X8" i="17" a="1"/>
  <c r="X8" i="17"/>
  <c r="X48" i="17" a="1"/>
  <c r="X48" i="17" s="1"/>
  <c r="X49" i="17" a="1"/>
  <c r="X49" i="17" s="1"/>
  <c r="Y49" i="17" s="1"/>
  <c r="Q49" i="17" s="1"/>
  <c r="W49" i="17" s="1"/>
  <c r="X50" i="17" a="1"/>
  <c r="X50" i="17" s="1"/>
  <c r="Y50" i="17" s="1"/>
  <c r="Q50" i="17" s="1"/>
  <c r="W50" i="17" s="1"/>
  <c r="X51" i="17" a="1"/>
  <c r="X51" i="17" s="1"/>
  <c r="Y51" i="17" s="1"/>
  <c r="X52" i="17" a="1"/>
  <c r="X52" i="17" s="1"/>
  <c r="Y52" i="17" s="1"/>
  <c r="Q52" i="17" s="1"/>
  <c r="W52" i="17" s="1"/>
  <c r="X53" i="17" a="1"/>
  <c r="X53" i="17" s="1"/>
  <c r="Y53" i="17" s="1"/>
  <c r="Q53" i="17" s="1"/>
  <c r="W53" i="17" s="1"/>
  <c r="X78" i="17" a="1"/>
  <c r="X78" i="17" s="1"/>
  <c r="Y78" i="17" s="1"/>
  <c r="Q78" i="17" s="1"/>
  <c r="W78" i="17" s="1"/>
  <c r="X88" i="17" a="1"/>
  <c r="X88" i="17" s="1"/>
  <c r="Y88" i="17" s="1"/>
  <c r="Q88" i="17" s="1"/>
  <c r="W88" i="17" s="1"/>
  <c r="X98" i="17" a="1"/>
  <c r="X98" i="17"/>
  <c r="X108" i="17" a="1"/>
  <c r="X108" i="17" s="1"/>
  <c r="Y108" i="17" s="1"/>
  <c r="X118" i="17" a="1"/>
  <c r="X118" i="17"/>
  <c r="X128" i="17" a="1"/>
  <c r="X128" i="17" s="1"/>
  <c r="X138" i="17" a="1"/>
  <c r="X138" i="17" s="1"/>
  <c r="Y138" i="17" s="1"/>
  <c r="Q138" i="17" s="1"/>
  <c r="W138" i="17" s="1"/>
  <c r="X178" i="17" a="1"/>
  <c r="X178" i="17" s="1"/>
  <c r="Y178" i="17" s="1"/>
  <c r="Q178" i="17" s="1"/>
  <c r="W178" i="17" s="1"/>
  <c r="X179" i="17" a="1"/>
  <c r="X179" i="17" s="1"/>
  <c r="Y179" i="17" s="1"/>
  <c r="Q179" i="17" s="1"/>
  <c r="W179" i="17" s="1"/>
  <c r="X180" i="17" a="1"/>
  <c r="X180" i="17" s="1"/>
  <c r="Y180" i="17" s="1"/>
  <c r="Q180" i="17" s="1"/>
  <c r="W180" i="17" s="1"/>
  <c r="X181" i="17" a="1"/>
  <c r="X181" i="17" s="1"/>
  <c r="Y181" i="17" s="1"/>
  <c r="Q181" i="17" s="1"/>
  <c r="W181" i="17" s="1"/>
  <c r="X182" i="17" a="1"/>
  <c r="X182" i="17" s="1"/>
  <c r="X183" i="17" a="1"/>
  <c r="X183" i="17" s="1"/>
  <c r="Y183" i="17" s="1"/>
  <c r="Q183" i="17" s="1"/>
  <c r="W183" i="17" s="1"/>
  <c r="X238" i="17" a="1"/>
  <c r="X238" i="17" s="1"/>
  <c r="X239" i="17" a="1"/>
  <c r="X239" i="17" s="1"/>
  <c r="Y239" i="17" s="1"/>
  <c r="X240" i="17" a="1"/>
  <c r="X240" i="17" s="1"/>
  <c r="X241" i="17" a="1"/>
  <c r="X241" i="17" s="1"/>
  <c r="X242" i="17" a="1"/>
  <c r="X242" i="17" s="1"/>
  <c r="Y242" i="17" s="1"/>
  <c r="Q242" i="17" s="1"/>
  <c r="W242" i="17" s="1"/>
  <c r="X243" i="17" a="1"/>
  <c r="X243" i="17" s="1"/>
  <c r="Y243" i="17" s="1"/>
  <c r="Q243" i="17" s="1"/>
  <c r="W243" i="17" s="1"/>
  <c r="X328" i="17" a="1"/>
  <c r="X328" i="17" s="1"/>
  <c r="Y328" i="17" s="1"/>
  <c r="Q328" i="17" s="1"/>
  <c r="W328" i="17" s="1"/>
  <c r="X338" i="17" a="1"/>
  <c r="X338" i="17" s="1"/>
  <c r="Y338" i="17" s="1"/>
  <c r="X268" i="17" a="1"/>
  <c r="X268" i="17" s="1"/>
  <c r="X278" i="17" a="1"/>
  <c r="X278" i="17" s="1"/>
  <c r="Y278" i="17" s="1"/>
  <c r="Q278" i="17" s="1"/>
  <c r="W278" i="17" s="1"/>
  <c r="X288" i="17" a="1"/>
  <c r="X288" i="17"/>
  <c r="Y288" i="17" s="1"/>
  <c r="X298" i="17" a="1"/>
  <c r="X298" i="17" s="1"/>
  <c r="Y298" i="17" s="1"/>
  <c r="Q298" i="17" s="1"/>
  <c r="W298" i="17" s="1"/>
  <c r="X308" i="17" a="1"/>
  <c r="X308" i="17"/>
  <c r="Y308" i="17" s="1"/>
  <c r="Q308" i="17" s="1"/>
  <c r="W308" i="17" s="1"/>
  <c r="X318" i="17" a="1"/>
  <c r="X318" i="17" s="1"/>
  <c r="X9" i="17" a="1"/>
  <c r="X9" i="17" s="1"/>
  <c r="Y9" i="17" s="1"/>
  <c r="Q9" i="17" s="1"/>
  <c r="W9" i="17" s="1"/>
  <c r="X54" i="17" a="1"/>
  <c r="X54" i="17" s="1"/>
  <c r="Y54" i="17" s="1"/>
  <c r="X55" i="17" a="1"/>
  <c r="X55" i="17" s="1"/>
  <c r="Y55" i="17" s="1"/>
  <c r="X56" i="17" a="1"/>
  <c r="X56" i="17" s="1"/>
  <c r="Y56" i="17" s="1"/>
  <c r="Q56" i="17" s="1"/>
  <c r="W56" i="17" s="1"/>
  <c r="X57" i="17" a="1"/>
  <c r="X57" i="17" s="1"/>
  <c r="Y57" i="17" s="1"/>
  <c r="Q57" i="17" s="1"/>
  <c r="W57" i="17" s="1"/>
  <c r="X58" i="17" a="1"/>
  <c r="X58" i="17" s="1"/>
  <c r="Y58" i="17" s="1"/>
  <c r="Q58" i="17" s="1"/>
  <c r="W58" i="17" s="1"/>
  <c r="X59" i="17" a="1"/>
  <c r="X59" i="17" s="1"/>
  <c r="Y59" i="17" s="1"/>
  <c r="Q59" i="17" s="1"/>
  <c r="W59" i="17" s="1"/>
  <c r="X79" i="17" a="1"/>
  <c r="X79" i="17" s="1"/>
  <c r="Y79" i="17" s="1"/>
  <c r="Q79" i="17" s="1"/>
  <c r="W79" i="17" s="1"/>
  <c r="X89" i="17" a="1"/>
  <c r="X89" i="17" s="1"/>
  <c r="Y89" i="17" s="1"/>
  <c r="Q89" i="17" s="1"/>
  <c r="W89" i="17" s="1"/>
  <c r="X99" i="17" a="1"/>
  <c r="X99" i="17" s="1"/>
  <c r="Y99" i="17" s="1"/>
  <c r="Q99" i="17" s="1"/>
  <c r="W99" i="17" s="1"/>
  <c r="X109" i="17" a="1"/>
  <c r="X109" i="17" s="1"/>
  <c r="Y109" i="17" s="1"/>
  <c r="Q109" i="17" s="1"/>
  <c r="W109" i="17" s="1"/>
  <c r="X119" i="17" a="1"/>
  <c r="X119" i="17" s="1"/>
  <c r="Y119" i="17" s="1"/>
  <c r="Q119" i="17" s="1"/>
  <c r="W119" i="17" s="1"/>
  <c r="X129" i="17" a="1"/>
  <c r="X129" i="17" s="1"/>
  <c r="Y129" i="17" s="1"/>
  <c r="Q129" i="17" s="1"/>
  <c r="W129" i="17" s="1"/>
  <c r="X139" i="17" a="1"/>
  <c r="X139" i="17" s="1"/>
  <c r="Y139" i="17" s="1"/>
  <c r="Q139" i="17" s="1"/>
  <c r="W139" i="17" s="1"/>
  <c r="X184" i="17" a="1"/>
  <c r="X184" i="17" s="1"/>
  <c r="X185" i="17" a="1"/>
  <c r="X185" i="17" s="1"/>
  <c r="X186" i="17" a="1"/>
  <c r="X186" i="17" s="1"/>
  <c r="Y186" i="17" s="1"/>
  <c r="Q186" i="17" s="1"/>
  <c r="W186" i="17" s="1"/>
  <c r="X187" i="17" a="1"/>
  <c r="X187" i="17" s="1"/>
  <c r="X188" i="17" a="1"/>
  <c r="X188" i="17" s="1"/>
  <c r="Y188" i="17" s="1"/>
  <c r="X189" i="17" a="1"/>
  <c r="X189" i="17" s="1"/>
  <c r="Y189" i="17" s="1"/>
  <c r="Q189" i="17" s="1"/>
  <c r="W189" i="17" s="1"/>
  <c r="X244" i="17" a="1"/>
  <c r="X244" i="17" s="1"/>
  <c r="Y244" i="17" s="1"/>
  <c r="X245" i="17" a="1"/>
  <c r="X245" i="17" s="1"/>
  <c r="Y245" i="17" s="1"/>
  <c r="Q245" i="17" s="1"/>
  <c r="W245" i="17" s="1"/>
  <c r="X246" i="17" a="1"/>
  <c r="X246" i="17" s="1"/>
  <c r="X247" i="17" a="1"/>
  <c r="X247" i="17" s="1"/>
  <c r="Y247" i="17" s="1"/>
  <c r="Q247" i="17" s="1"/>
  <c r="W247" i="17" s="1"/>
  <c r="X248" i="17" a="1"/>
  <c r="X248" i="17" s="1"/>
  <c r="Y248" i="17" s="1"/>
  <c r="Q248" i="17" s="1"/>
  <c r="W248" i="17" s="1"/>
  <c r="X249" i="17" a="1"/>
  <c r="X249" i="17" s="1"/>
  <c r="Y249" i="17" s="1"/>
  <c r="Q249" i="17" s="1"/>
  <c r="W249" i="17" s="1"/>
  <c r="X329" i="17" a="1"/>
  <c r="X329" i="17" s="1"/>
  <c r="Y329" i="17" s="1"/>
  <c r="Q329" i="17" s="1"/>
  <c r="W329" i="17" s="1"/>
  <c r="X339" i="17" a="1"/>
  <c r="X339" i="17" s="1"/>
  <c r="X269" i="17" a="1"/>
  <c r="X269" i="17" s="1"/>
  <c r="Y269" i="17" s="1"/>
  <c r="Q269" i="17" s="1"/>
  <c r="W269" i="17" s="1"/>
  <c r="X279" i="17" a="1"/>
  <c r="X279" i="17" s="1"/>
  <c r="Y279" i="17" s="1"/>
  <c r="Q279" i="17" s="1"/>
  <c r="W279" i="17" s="1"/>
  <c r="X289" i="17" a="1"/>
  <c r="X289" i="17" s="1"/>
  <c r="Y289" i="17" s="1"/>
  <c r="Q289" i="17" s="1"/>
  <c r="W289" i="17" s="1"/>
  <c r="X299" i="17" a="1"/>
  <c r="X299" i="17" s="1"/>
  <c r="Y299" i="17" s="1"/>
  <c r="Q299" i="17" s="1"/>
  <c r="W299" i="17" s="1"/>
  <c r="X309" i="17" a="1"/>
  <c r="X309" i="17" s="1"/>
  <c r="Y309" i="17" s="1"/>
  <c r="Q309" i="17" s="1"/>
  <c r="W309" i="17" s="1"/>
  <c r="X319" i="17" a="1"/>
  <c r="X319" i="17" s="1"/>
  <c r="Y319" i="17" s="1"/>
  <c r="Q319" i="17" s="1"/>
  <c r="W319" i="17" s="1"/>
  <c r="X10" i="17" a="1"/>
  <c r="X10" i="17" s="1"/>
  <c r="X60" i="17" a="1"/>
  <c r="X60" i="17" s="1"/>
  <c r="Y60" i="17" s="1"/>
  <c r="Q60" i="17" s="1"/>
  <c r="W60" i="17" s="1"/>
  <c r="X61" i="17" a="1"/>
  <c r="X61" i="17"/>
  <c r="Y61" i="17" s="1"/>
  <c r="Q61" i="17" s="1"/>
  <c r="W61" i="17" s="1"/>
  <c r="X62" i="17" a="1"/>
  <c r="X62" i="17" s="1"/>
  <c r="Y62" i="17" s="1"/>
  <c r="Q62" i="17" s="1"/>
  <c r="W62" i="17" s="1"/>
  <c r="X63" i="17" a="1"/>
  <c r="X63" i="17" s="1"/>
  <c r="Y63" i="17" s="1"/>
  <c r="Q63" i="17" s="1"/>
  <c r="W63" i="17" s="1"/>
  <c r="X64" i="17" a="1"/>
  <c r="X64" i="17" s="1"/>
  <c r="Y64" i="17" s="1"/>
  <c r="Q64" i="17" s="1"/>
  <c r="W64" i="17" s="1"/>
  <c r="X65" i="17" a="1"/>
  <c r="X65" i="17" s="1"/>
  <c r="X80" i="17" a="1"/>
  <c r="X80" i="17" s="1"/>
  <c r="Y80" i="17" s="1"/>
  <c r="Q80" i="17" s="1"/>
  <c r="W80" i="17" s="1"/>
  <c r="X90" i="17" a="1"/>
  <c r="X90" i="17" s="1"/>
  <c r="Y90" i="17" s="1"/>
  <c r="Q90" i="17" s="1"/>
  <c r="W90" i="17" s="1"/>
  <c r="X100" i="17" a="1"/>
  <c r="X100" i="17" s="1"/>
  <c r="X110" i="17" a="1"/>
  <c r="X110" i="17" s="1"/>
  <c r="Y110" i="17" s="1"/>
  <c r="Q110" i="17" s="1"/>
  <c r="W110" i="17" s="1"/>
  <c r="X120" i="17" a="1"/>
  <c r="X120" i="17" s="1"/>
  <c r="Y120" i="17" s="1"/>
  <c r="Q120" i="17" s="1"/>
  <c r="W120" i="17" s="1"/>
  <c r="X130" i="17" a="1"/>
  <c r="X130" i="17" s="1"/>
  <c r="Y130" i="17" s="1"/>
  <c r="Q130" i="17" s="1"/>
  <c r="W130" i="17" s="1"/>
  <c r="X140" i="17" a="1"/>
  <c r="X140" i="17" s="1"/>
  <c r="Y140" i="17" s="1"/>
  <c r="Q140" i="17" s="1"/>
  <c r="W140" i="17" s="1"/>
  <c r="X190" i="17" a="1"/>
  <c r="X190" i="17" s="1"/>
  <c r="Y190" i="17" s="1"/>
  <c r="Q190" i="17" s="1"/>
  <c r="W190" i="17" s="1"/>
  <c r="X191" i="17" a="1"/>
  <c r="X191" i="17" s="1"/>
  <c r="Y191" i="17" s="1"/>
  <c r="X192" i="17" a="1"/>
  <c r="X192" i="17" s="1"/>
  <c r="Y192" i="17" s="1"/>
  <c r="Q192" i="17" s="1"/>
  <c r="W192" i="17" s="1"/>
  <c r="X193" i="17" a="1"/>
  <c r="X193" i="17" s="1"/>
  <c r="Y193" i="17" s="1"/>
  <c r="Q193" i="17" s="1"/>
  <c r="W193" i="17" s="1"/>
  <c r="X194" i="17" a="1"/>
  <c r="X194" i="17"/>
  <c r="Y194" i="17" s="1"/>
  <c r="Q194" i="17" s="1"/>
  <c r="W194" i="17" s="1"/>
  <c r="X195" i="17" a="1"/>
  <c r="X195" i="17" s="1"/>
  <c r="Y195" i="17" s="1"/>
  <c r="Q195" i="17" s="1"/>
  <c r="W195" i="17" s="1"/>
  <c r="X250" i="17" a="1"/>
  <c r="X250" i="17" s="1"/>
  <c r="Y250" i="17" s="1"/>
  <c r="X251" i="17" a="1"/>
  <c r="X251" i="17" s="1"/>
  <c r="Y251" i="17" s="1"/>
  <c r="Q251" i="17" s="1"/>
  <c r="W251" i="17" s="1"/>
  <c r="X252" i="17" a="1"/>
  <c r="X252" i="17" s="1"/>
  <c r="Y252" i="17" s="1"/>
  <c r="Q252" i="17" s="1"/>
  <c r="W252" i="17" s="1"/>
  <c r="X253" i="17" a="1"/>
  <c r="X253" i="17" s="1"/>
  <c r="Y253" i="17" s="1"/>
  <c r="Q253" i="17" s="1"/>
  <c r="W253" i="17" s="1"/>
  <c r="X254" i="17" a="1"/>
  <c r="X254" i="17" s="1"/>
  <c r="Y254" i="17" s="1"/>
  <c r="Q254" i="17" s="1"/>
  <c r="W254" i="17" s="1"/>
  <c r="X255" i="17" a="1"/>
  <c r="X255" i="17"/>
  <c r="Y255" i="17" s="1"/>
  <c r="Q255" i="17" s="1"/>
  <c r="W255" i="17" s="1"/>
  <c r="X330" i="17" a="1"/>
  <c r="X330" i="17"/>
  <c r="Y330" i="17" s="1"/>
  <c r="Q330" i="17" s="1"/>
  <c r="W330" i="17" s="1"/>
  <c r="X340" i="17" a="1"/>
  <c r="X340" i="17"/>
  <c r="X270" i="17" a="1"/>
  <c r="X270" i="17" s="1"/>
  <c r="Y270" i="17" s="1"/>
  <c r="Q270" i="17" s="1"/>
  <c r="W270" i="17" s="1"/>
  <c r="X280" i="17" a="1"/>
  <c r="X280" i="17" s="1"/>
  <c r="Y280" i="17" s="1"/>
  <c r="Q280" i="17" s="1"/>
  <c r="W280" i="17" s="1"/>
  <c r="X290" i="17" a="1"/>
  <c r="X290" i="17" s="1"/>
  <c r="Y290" i="17" s="1"/>
  <c r="X300" i="17" a="1"/>
  <c r="X300" i="17" s="1"/>
  <c r="Y300" i="17" s="1"/>
  <c r="Q300" i="17" s="1"/>
  <c r="W300" i="17" s="1"/>
  <c r="X310" i="17" a="1"/>
  <c r="X310" i="17" s="1"/>
  <c r="X320" i="17" a="1"/>
  <c r="X320" i="17" s="1"/>
  <c r="Y320" i="17" s="1"/>
  <c r="Q320" i="17" s="1"/>
  <c r="W320" i="17" s="1"/>
  <c r="X11" i="17" a="1"/>
  <c r="X11" i="17"/>
  <c r="Y11" i="17" s="1"/>
  <c r="Q11" i="17" s="1"/>
  <c r="W11" i="17" s="1"/>
  <c r="X66" i="17" a="1"/>
  <c r="X66" i="17" s="1"/>
  <c r="Y66" i="17" s="1"/>
  <c r="Q66" i="17" s="1"/>
  <c r="W66" i="17" s="1"/>
  <c r="X67" i="17" a="1"/>
  <c r="X67" i="17" s="1"/>
  <c r="Y67" i="17" s="1"/>
  <c r="Q67" i="17" s="1"/>
  <c r="W67" i="17" s="1"/>
  <c r="X68" i="17" a="1"/>
  <c r="X68" i="17" s="1"/>
  <c r="X69" i="17" a="1"/>
  <c r="X69" i="17"/>
  <c r="X70" i="17" a="1"/>
  <c r="X70" i="17" s="1"/>
  <c r="Y70" i="17" s="1"/>
  <c r="X71" i="17" a="1"/>
  <c r="X71" i="17" s="1"/>
  <c r="X81" i="17" a="1"/>
  <c r="X81" i="17" s="1"/>
  <c r="Y81" i="17" s="1"/>
  <c r="X91" i="17" a="1"/>
  <c r="X91" i="17" s="1"/>
  <c r="Y91" i="17" s="1"/>
  <c r="Q91" i="17" s="1"/>
  <c r="W91" i="17" s="1"/>
  <c r="X101" i="17" a="1"/>
  <c r="X101" i="17" s="1"/>
  <c r="Y101" i="17" s="1"/>
  <c r="Q101" i="17" s="1"/>
  <c r="W101" i="17" s="1"/>
  <c r="X111" i="17" a="1"/>
  <c r="X111" i="17" s="1"/>
  <c r="Y111" i="17" s="1"/>
  <c r="Q111" i="17" s="1"/>
  <c r="W111" i="17" s="1"/>
  <c r="X121" i="17" a="1"/>
  <c r="X121" i="17" s="1"/>
  <c r="Y121" i="17" s="1"/>
  <c r="Q121" i="17" s="1"/>
  <c r="W121" i="17" s="1"/>
  <c r="X131" i="17" a="1"/>
  <c r="X131" i="17" s="1"/>
  <c r="Y131" i="17" s="1"/>
  <c r="Q131" i="17" s="1"/>
  <c r="W131" i="17" s="1"/>
  <c r="X141" i="17" a="1"/>
  <c r="X141" i="17" s="1"/>
  <c r="Y141" i="17" s="1"/>
  <c r="Q141" i="17" s="1"/>
  <c r="W141" i="17" s="1"/>
  <c r="X196" i="17" a="1"/>
  <c r="X196" i="17" s="1"/>
  <c r="Y196" i="17" s="1"/>
  <c r="Q196" i="17" s="1"/>
  <c r="W196" i="17" s="1"/>
  <c r="X197" i="17" a="1"/>
  <c r="X197" i="17"/>
  <c r="Y197" i="17" s="1"/>
  <c r="Q197" i="17" s="1"/>
  <c r="W197" i="17" s="1"/>
  <c r="X198" i="17" a="1"/>
  <c r="X198" i="17"/>
  <c r="Y198" i="17" s="1"/>
  <c r="Q198" i="17" s="1"/>
  <c r="W198" i="17" s="1"/>
  <c r="X199" i="17" a="1"/>
  <c r="X199" i="17" s="1"/>
  <c r="Y199" i="17" s="1"/>
  <c r="Q199" i="17" s="1"/>
  <c r="W199" i="17" s="1"/>
  <c r="X200" i="17" a="1"/>
  <c r="X200" i="17" s="1"/>
  <c r="Y200" i="17" s="1"/>
  <c r="Q200" i="17" s="1"/>
  <c r="W200" i="17" s="1"/>
  <c r="X201" i="17" a="1"/>
  <c r="X201" i="17" s="1"/>
  <c r="Y201" i="17" s="1"/>
  <c r="Q201" i="17" s="1"/>
  <c r="W201" i="17" s="1"/>
  <c r="X256" i="17" a="1"/>
  <c r="X256" i="17" s="1"/>
  <c r="Y256" i="17" s="1"/>
  <c r="Q256" i="17" s="1"/>
  <c r="W256" i="17" s="1"/>
  <c r="X257" i="17" a="1"/>
  <c r="X257" i="17" s="1"/>
  <c r="Y257" i="17" s="1"/>
  <c r="Q257" i="17" s="1"/>
  <c r="W257" i="17" s="1"/>
  <c r="X258" i="17" a="1"/>
  <c r="X258" i="17" s="1"/>
  <c r="Y258" i="17" s="1"/>
  <c r="Q258" i="17" s="1"/>
  <c r="W258" i="17" s="1"/>
  <c r="X259" i="17" a="1"/>
  <c r="X259" i="17" s="1"/>
  <c r="Y259" i="17" s="1"/>
  <c r="X260" i="17" a="1"/>
  <c r="X260" i="17" s="1"/>
  <c r="Y260" i="17" s="1"/>
  <c r="Q260" i="17" s="1"/>
  <c r="W260" i="17" s="1"/>
  <c r="X261" i="17" a="1"/>
  <c r="X261" i="17" s="1"/>
  <c r="Y261" i="17" s="1"/>
  <c r="Q261" i="17" s="1"/>
  <c r="W261" i="17" s="1"/>
  <c r="X331" i="17" a="1"/>
  <c r="X331" i="17"/>
  <c r="Y331" i="17" s="1"/>
  <c r="Q331" i="17" s="1"/>
  <c r="W331" i="17" s="1"/>
  <c r="X341" i="17" a="1"/>
  <c r="X341" i="17" s="1"/>
  <c r="Y341" i="17" s="1"/>
  <c r="Q341" i="17" s="1"/>
  <c r="W341" i="17" s="1"/>
  <c r="X271" i="17" a="1"/>
  <c r="X271" i="17"/>
  <c r="Y271" i="17" s="1"/>
  <c r="Q271" i="17" s="1"/>
  <c r="W271" i="17" s="1"/>
  <c r="X281" i="17" a="1"/>
  <c r="X281" i="17" s="1"/>
  <c r="X291" i="17" a="1"/>
  <c r="X291" i="17" s="1"/>
  <c r="X301" i="17" a="1"/>
  <c r="X301" i="17" s="1"/>
  <c r="Y301" i="17" s="1"/>
  <c r="Q301" i="17" s="1"/>
  <c r="W301" i="17" s="1"/>
  <c r="X311" i="17" a="1"/>
  <c r="X311" i="17" s="1"/>
  <c r="Y311" i="17" s="1"/>
  <c r="Q311" i="17" s="1"/>
  <c r="W311" i="17" s="1"/>
  <c r="X321" i="17" a="1"/>
  <c r="X321" i="17" s="1"/>
  <c r="Y321" i="17" s="1"/>
  <c r="Q321" i="17" s="1"/>
  <c r="W321" i="17" s="1"/>
  <c r="Y12" i="17"/>
  <c r="Q12" i="17" s="1"/>
  <c r="W12" i="17" s="1"/>
  <c r="Y72" i="17"/>
  <c r="Q72" i="17" s="1"/>
  <c r="W72" i="17" s="1"/>
  <c r="Y82" i="17"/>
  <c r="Q82" i="17" s="1"/>
  <c r="W82" i="17" s="1"/>
  <c r="Y122" i="17"/>
  <c r="Q122" i="17" s="1"/>
  <c r="W122" i="17" s="1"/>
  <c r="Y132" i="17"/>
  <c r="Q132" i="17" s="1"/>
  <c r="W132" i="17" s="1"/>
  <c r="Y147" i="17"/>
  <c r="Q147" i="17" s="1"/>
  <c r="W147" i="17" s="1"/>
  <c r="Y203" i="17"/>
  <c r="Q203" i="17" s="1"/>
  <c r="W203" i="17" s="1"/>
  <c r="Y207" i="17"/>
  <c r="Q207" i="17" s="1"/>
  <c r="W207" i="17" s="1"/>
  <c r="Y292" i="17"/>
  <c r="Q292" i="17" s="1"/>
  <c r="W292" i="17" s="1"/>
  <c r="Y20" i="17"/>
  <c r="Q20" i="17" s="1"/>
  <c r="W20" i="17" s="1"/>
  <c r="Y93" i="17"/>
  <c r="Y133" i="17"/>
  <c r="Y149" i="17"/>
  <c r="Q149" i="17" s="1"/>
  <c r="W149" i="17" s="1"/>
  <c r="Y209" i="17"/>
  <c r="Q209" i="17" s="1"/>
  <c r="W209" i="17" s="1"/>
  <c r="Y213" i="17"/>
  <c r="Q213" i="17" s="1"/>
  <c r="W213" i="17" s="1"/>
  <c r="Y333" i="17"/>
  <c r="Q333" i="17" s="1"/>
  <c r="W333" i="17" s="1"/>
  <c r="Y313" i="17"/>
  <c r="Q313" i="17" s="1"/>
  <c r="W313" i="17" s="1"/>
  <c r="Y25" i="17"/>
  <c r="Q25" i="17" s="1"/>
  <c r="W25" i="17" s="1"/>
  <c r="Y27" i="17"/>
  <c r="Q27" i="17" s="1"/>
  <c r="W27" i="17" s="1"/>
  <c r="Y28" i="17"/>
  <c r="Q28" i="17" s="1"/>
  <c r="W28" i="17" s="1"/>
  <c r="Y114" i="17"/>
  <c r="Q114" i="17" s="1"/>
  <c r="W114" i="17" s="1"/>
  <c r="Y124" i="17"/>
  <c r="Q124" i="17" s="1"/>
  <c r="W124" i="17" s="1"/>
  <c r="Y154" i="17"/>
  <c r="Q154" i="17" s="1"/>
  <c r="W154" i="17" s="1"/>
  <c r="Y156" i="17"/>
  <c r="Q156" i="17" s="1"/>
  <c r="W156" i="17" s="1"/>
  <c r="Y157" i="17"/>
  <c r="Q157" i="17" s="1"/>
  <c r="W157" i="17" s="1"/>
  <c r="Y217" i="17"/>
  <c r="Q217" i="17" s="1"/>
  <c r="W217" i="17" s="1"/>
  <c r="Y30" i="17"/>
  <c r="Y135" i="17"/>
  <c r="Q135" i="17" s="1"/>
  <c r="W135" i="17" s="1"/>
  <c r="Y165" i="17"/>
  <c r="Q165" i="17" s="1"/>
  <c r="W165" i="17" s="1"/>
  <c r="Y225" i="17"/>
  <c r="Q225" i="17" s="1"/>
  <c r="W225" i="17" s="1"/>
  <c r="Y275" i="17"/>
  <c r="Q275" i="17" s="1"/>
  <c r="W275" i="17" s="1"/>
  <c r="Y295" i="17"/>
  <c r="Q295" i="17" s="1"/>
  <c r="W295" i="17" s="1"/>
  <c r="Y38" i="17"/>
  <c r="Q38" i="17" s="1"/>
  <c r="W38" i="17" s="1"/>
  <c r="Y39" i="17"/>
  <c r="Y76" i="17"/>
  <c r="Q76" i="17" s="1"/>
  <c r="W76" i="17" s="1"/>
  <c r="Y86" i="17"/>
  <c r="Y136" i="17"/>
  <c r="Y167" i="17"/>
  <c r="Q167" i="17" s="1"/>
  <c r="W167" i="17" s="1"/>
  <c r="Y169" i="17"/>
  <c r="Q169" i="17" s="1"/>
  <c r="W169" i="17" s="1"/>
  <c r="Y226" i="17"/>
  <c r="Q226" i="17" s="1"/>
  <c r="W226" i="17" s="1"/>
  <c r="Y326" i="17"/>
  <c r="Q326" i="17" s="1"/>
  <c r="W326" i="17" s="1"/>
  <c r="Y46" i="17"/>
  <c r="Q46" i="17" s="1"/>
  <c r="W46" i="17" s="1"/>
  <c r="Y97" i="17"/>
  <c r="Q97" i="17" s="1"/>
  <c r="W97" i="17" s="1"/>
  <c r="Y117" i="17"/>
  <c r="Q117" i="17" s="1"/>
  <c r="W117" i="17" s="1"/>
  <c r="Y175" i="17"/>
  <c r="Q175" i="17" s="1"/>
  <c r="W175" i="17" s="1"/>
  <c r="Y317" i="17"/>
  <c r="Q317" i="17" s="1"/>
  <c r="W317" i="17" s="1"/>
  <c r="Y48" i="17"/>
  <c r="Q48" i="17" s="1"/>
  <c r="W48" i="17" s="1"/>
  <c r="Y118" i="17"/>
  <c r="Q118" i="17" s="1"/>
  <c r="W118" i="17" s="1"/>
  <c r="Y128" i="17"/>
  <c r="Q128" i="17" s="1"/>
  <c r="W128" i="17" s="1"/>
  <c r="Y185" i="17"/>
  <c r="Q185" i="17" s="1"/>
  <c r="W185" i="17" s="1"/>
  <c r="Y339" i="17"/>
  <c r="Q339" i="17" s="1"/>
  <c r="W339" i="17" s="1"/>
  <c r="G2" i="16"/>
  <c r="N112" i="20" l="1"/>
  <c r="N129" i="20"/>
  <c r="N62" i="20"/>
  <c r="N20" i="20"/>
  <c r="L218" i="20" a="1"/>
  <c r="L218" i="20" s="1"/>
  <c r="L201" i="20" a="1"/>
  <c r="L201" i="20" s="1"/>
  <c r="N201" i="20" s="1"/>
  <c r="L192" i="20" a="1"/>
  <c r="L192" i="20" s="1"/>
  <c r="N192" i="20" s="1"/>
  <c r="L174" i="20" a="1"/>
  <c r="L174" i="20" s="1"/>
  <c r="N174" i="20" s="1"/>
  <c r="L165" i="20" a="1"/>
  <c r="L165" i="20" s="1"/>
  <c r="N165" i="20" s="1"/>
  <c r="L147" i="20" a="1"/>
  <c r="L147" i="20" s="1"/>
  <c r="N147" i="20" s="1"/>
  <c r="L138" i="20" a="1"/>
  <c r="L138" i="20" s="1"/>
  <c r="L130" i="20" a="1"/>
  <c r="L130" i="20" s="1"/>
  <c r="N130" i="20" s="1"/>
  <c r="L121" i="20" a="1"/>
  <c r="L121" i="20" s="1"/>
  <c r="N121" i="20" s="1"/>
  <c r="L113" i="20" a="1"/>
  <c r="L113" i="20" s="1"/>
  <c r="L105" i="20" a="1"/>
  <c r="L105" i="20" s="1"/>
  <c r="N105" i="20" s="1"/>
  <c r="L98" i="20" a="1"/>
  <c r="L98" i="20" s="1"/>
  <c r="L90" i="20" a="1"/>
  <c r="L90" i="20" s="1"/>
  <c r="N90" i="20" s="1"/>
  <c r="L83" i="20" a="1"/>
  <c r="L83" i="20" s="1"/>
  <c r="N83" i="20" s="1"/>
  <c r="L76" i="20" a="1"/>
  <c r="L76" i="20" s="1"/>
  <c r="N76" i="20" s="1"/>
  <c r="L69" i="20" a="1"/>
  <c r="L69" i="20" s="1"/>
  <c r="N69" i="20" s="1"/>
  <c r="L56" i="20" a="1"/>
  <c r="L56" i="20" s="1"/>
  <c r="N56" i="20" s="1"/>
  <c r="L47" i="20" a="1"/>
  <c r="L47" i="20" s="1"/>
  <c r="L39" i="20" a="1"/>
  <c r="L39" i="20" s="1"/>
  <c r="L13" i="20" a="1"/>
  <c r="L13" i="20" s="1"/>
  <c r="N13" i="20" s="1"/>
  <c r="K231" i="20" a="1"/>
  <c r="K231" i="20" s="1"/>
  <c r="K220" i="20" a="1"/>
  <c r="K220" i="20" s="1"/>
  <c r="K209" i="20" a="1"/>
  <c r="K209" i="20" s="1"/>
  <c r="K198" i="20" a="1"/>
  <c r="K198" i="20" s="1"/>
  <c r="K188" i="20" a="1"/>
  <c r="K188" i="20" s="1"/>
  <c r="K177" i="20" a="1"/>
  <c r="K177" i="20" s="1"/>
  <c r="K166" i="20" a="1"/>
  <c r="K166" i="20" s="1"/>
  <c r="K157" i="20" a="1"/>
  <c r="K157" i="20" s="1"/>
  <c r="K148" i="20" a="1"/>
  <c r="K148" i="20" s="1"/>
  <c r="K138" i="20" a="1"/>
  <c r="K138" i="20" s="1"/>
  <c r="K127" i="20" a="1"/>
  <c r="K127" i="20" s="1"/>
  <c r="K115" i="20" a="1"/>
  <c r="K115" i="20" s="1"/>
  <c r="K104" i="20" a="1"/>
  <c r="K104" i="20" s="1"/>
  <c r="K92" i="20" a="1"/>
  <c r="K92" i="20" s="1"/>
  <c r="K81" i="20" a="1"/>
  <c r="K81" i="20" s="1"/>
  <c r="K71" i="20" a="1"/>
  <c r="K71" i="20" s="1"/>
  <c r="K61" i="20" a="1"/>
  <c r="K61" i="20" s="1"/>
  <c r="K51" i="20" a="1"/>
  <c r="K51" i="20" s="1"/>
  <c r="K40" i="20" a="1"/>
  <c r="K40" i="20" s="1"/>
  <c r="K29" i="20" a="1"/>
  <c r="K29" i="20" s="1"/>
  <c r="K17" i="20" a="1"/>
  <c r="K17" i="20" s="1"/>
  <c r="K6" i="20" a="1"/>
  <c r="K6" i="20" s="1"/>
  <c r="O31" i="20" a="1"/>
  <c r="O31" i="20" s="1"/>
  <c r="O7" i="20" a="1"/>
  <c r="O7" i="20" s="1"/>
  <c r="N226" i="20"/>
  <c r="N218" i="20"/>
  <c r="N164" i="20"/>
  <c r="N156" i="20"/>
  <c r="N138" i="20"/>
  <c r="N12" i="20"/>
  <c r="L225" i="20" a="1"/>
  <c r="L225" i="20" s="1"/>
  <c r="N225" i="20" s="1"/>
  <c r="L217" i="20" a="1"/>
  <c r="L217" i="20" s="1"/>
  <c r="L208" i="20" a="1"/>
  <c r="L208" i="20" s="1"/>
  <c r="N208" i="20" s="1"/>
  <c r="L199" i="20" a="1"/>
  <c r="L199" i="20" s="1"/>
  <c r="N199" i="20" s="1"/>
  <c r="L190" i="20" a="1"/>
  <c r="L190" i="20" s="1"/>
  <c r="L182" i="20" a="1"/>
  <c r="L182" i="20" s="1"/>
  <c r="N182" i="20" s="1"/>
  <c r="L146" i="20" a="1"/>
  <c r="L146" i="20" s="1"/>
  <c r="L137" i="20" a="1"/>
  <c r="L137" i="20" s="1"/>
  <c r="L128" i="20" a="1"/>
  <c r="L128" i="20" s="1"/>
  <c r="N128" i="20" s="1"/>
  <c r="L119" i="20" a="1"/>
  <c r="L119" i="20" s="1"/>
  <c r="L104" i="20" a="1"/>
  <c r="L104" i="20" s="1"/>
  <c r="N104" i="20" s="1"/>
  <c r="L96" i="20" a="1"/>
  <c r="L96" i="20" s="1"/>
  <c r="N96" i="20" s="1"/>
  <c r="L89" i="20" a="1"/>
  <c r="L89" i="20" s="1"/>
  <c r="N89" i="20" s="1"/>
  <c r="L82" i="20" a="1"/>
  <c r="L82" i="20" s="1"/>
  <c r="L75" i="20" a="1"/>
  <c r="L75" i="20" s="1"/>
  <c r="L68" i="20" a="1"/>
  <c r="L68" i="20" s="1"/>
  <c r="L55" i="20" a="1"/>
  <c r="L55" i="20" s="1"/>
  <c r="N55" i="20" s="1"/>
  <c r="L45" i="20" a="1"/>
  <c r="L45" i="20" s="1"/>
  <c r="N45" i="20" s="1"/>
  <c r="L37" i="20" a="1"/>
  <c r="L37" i="20" s="1"/>
  <c r="N37" i="20" s="1"/>
  <c r="L11" i="20" a="1"/>
  <c r="L11" i="20" s="1"/>
  <c r="K229" i="20" a="1"/>
  <c r="K229" i="20" s="1"/>
  <c r="K218" i="20" a="1"/>
  <c r="K218" i="20" s="1"/>
  <c r="K207" i="20" a="1"/>
  <c r="K207" i="20" s="1"/>
  <c r="K196" i="20" a="1"/>
  <c r="K196" i="20" s="1"/>
  <c r="K186" i="20" a="1"/>
  <c r="K186" i="20" s="1"/>
  <c r="K175" i="20" a="1"/>
  <c r="K175" i="20" s="1"/>
  <c r="K164" i="20" a="1"/>
  <c r="K164" i="20" s="1"/>
  <c r="K155" i="20" a="1"/>
  <c r="K155" i="20" s="1"/>
  <c r="K146" i="20" a="1"/>
  <c r="K146" i="20" s="1"/>
  <c r="K125" i="20" a="1"/>
  <c r="K125" i="20" s="1"/>
  <c r="K113" i="20" a="1"/>
  <c r="K113" i="20" s="1"/>
  <c r="K102" i="20" a="1"/>
  <c r="K102" i="20" s="1"/>
  <c r="K90" i="20" a="1"/>
  <c r="K90" i="20" s="1"/>
  <c r="K69" i="20" a="1"/>
  <c r="K69" i="20" s="1"/>
  <c r="K59" i="20" a="1"/>
  <c r="K59" i="20" s="1"/>
  <c r="K38" i="20" a="1"/>
  <c r="K38" i="20" s="1"/>
  <c r="K27" i="20" a="1"/>
  <c r="K27" i="20" s="1"/>
  <c r="K15" i="20" a="1"/>
  <c r="K15" i="20" s="1"/>
  <c r="K4" i="20" a="1"/>
  <c r="K4" i="20" s="1"/>
  <c r="O107" i="20" a="1"/>
  <c r="O107" i="20" s="1"/>
  <c r="O90" i="20" a="1"/>
  <c r="O90" i="20" s="1"/>
  <c r="O82" i="20" a="1"/>
  <c r="O82" i="20" s="1"/>
  <c r="O65" i="20" a="1"/>
  <c r="O65" i="20" s="1"/>
  <c r="O56" i="20" a="1"/>
  <c r="O56" i="20" s="1"/>
  <c r="O48" i="20" a="1"/>
  <c r="O48" i="20" s="1"/>
  <c r="O30" i="20" a="1"/>
  <c r="O30" i="20" s="1"/>
  <c r="O23" i="20" a="1"/>
  <c r="O23" i="20" s="1"/>
  <c r="O14" i="20" a="1"/>
  <c r="O14" i="20" s="1"/>
  <c r="O6" i="20" a="1"/>
  <c r="O6" i="20" s="1"/>
  <c r="N217" i="20"/>
  <c r="N146" i="20"/>
  <c r="N120" i="20"/>
  <c r="N11" i="20"/>
  <c r="L224" i="20" a="1"/>
  <c r="L224" i="20" s="1"/>
  <c r="L216" i="20" a="1"/>
  <c r="L216" i="20" s="1"/>
  <c r="L198" i="20" a="1"/>
  <c r="L198" i="20" s="1"/>
  <c r="N198" i="20" s="1"/>
  <c r="L172" i="20" a="1"/>
  <c r="L172" i="20" s="1"/>
  <c r="N172" i="20" s="1"/>
  <c r="L163" i="20" a="1"/>
  <c r="L163" i="20" s="1"/>
  <c r="N163" i="20" s="1"/>
  <c r="L155" i="20" a="1"/>
  <c r="L155" i="20" s="1"/>
  <c r="N155" i="20" s="1"/>
  <c r="L136" i="20" a="1"/>
  <c r="L136" i="20" s="1"/>
  <c r="N136" i="20" s="1"/>
  <c r="L127" i="20" a="1"/>
  <c r="L127" i="20" s="1"/>
  <c r="N127" i="20" s="1"/>
  <c r="L118" i="20" a="1"/>
  <c r="L118" i="20" s="1"/>
  <c r="L111" i="20" a="1"/>
  <c r="L111" i="20" s="1"/>
  <c r="N111" i="20" s="1"/>
  <c r="L103" i="20" a="1"/>
  <c r="L103" i="20" s="1"/>
  <c r="N103" i="20" s="1"/>
  <c r="L88" i="20" a="1"/>
  <c r="L88" i="20" s="1"/>
  <c r="N88" i="20" s="1"/>
  <c r="L61" i="20" a="1"/>
  <c r="L61" i="20" s="1"/>
  <c r="N61" i="20" s="1"/>
  <c r="L54" i="20" a="1"/>
  <c r="L54" i="20" s="1"/>
  <c r="N54" i="20" s="1"/>
  <c r="L36" i="20" a="1"/>
  <c r="L36" i="20" s="1"/>
  <c r="N36" i="20" s="1"/>
  <c r="L29" i="20" a="1"/>
  <c r="L29" i="20" s="1"/>
  <c r="N29" i="20" s="1"/>
  <c r="L19" i="20" a="1"/>
  <c r="L19" i="20" s="1"/>
  <c r="N19" i="20" s="1"/>
  <c r="L10" i="20" a="1"/>
  <c r="L10" i="20" s="1"/>
  <c r="N10" i="20" s="1"/>
  <c r="K228" i="20" a="1"/>
  <c r="K228" i="20" s="1"/>
  <c r="K206" i="20" a="1"/>
  <c r="K206" i="20" s="1"/>
  <c r="K185" i="20" a="1"/>
  <c r="K185" i="20" s="1"/>
  <c r="K174" i="20" a="1"/>
  <c r="K174" i="20" s="1"/>
  <c r="K154" i="20" a="1"/>
  <c r="K154" i="20" s="1"/>
  <c r="K136" i="20" a="1"/>
  <c r="K136" i="20" s="1"/>
  <c r="K124" i="20" a="1"/>
  <c r="K124" i="20" s="1"/>
  <c r="K101" i="20" a="1"/>
  <c r="K101" i="20" s="1"/>
  <c r="K89" i="20" a="1"/>
  <c r="K89" i="20" s="1"/>
  <c r="K79" i="20" a="1"/>
  <c r="K79" i="20" s="1"/>
  <c r="K68" i="20" a="1"/>
  <c r="K68" i="20" s="1"/>
  <c r="K58" i="20" a="1"/>
  <c r="K58" i="20" s="1"/>
  <c r="K49" i="20" a="1"/>
  <c r="K49" i="20" s="1"/>
  <c r="K37" i="20" a="1"/>
  <c r="K37" i="20" s="1"/>
  <c r="K26" i="20" a="1"/>
  <c r="K26" i="20" s="1"/>
  <c r="K14" i="20" a="1"/>
  <c r="K14" i="20" s="1"/>
  <c r="K3" i="20" a="1"/>
  <c r="K3" i="20" s="1"/>
  <c r="O55" i="20" a="1"/>
  <c r="O55" i="20" s="1"/>
  <c r="O39" i="20" a="1"/>
  <c r="O39" i="20" s="1"/>
  <c r="O22" i="20" a="1"/>
  <c r="O22" i="20" s="1"/>
  <c r="N224" i="20"/>
  <c r="N216" i="20"/>
  <c r="N137" i="20"/>
  <c r="N119" i="20"/>
  <c r="L207" i="20" a="1"/>
  <c r="L207" i="20" s="1"/>
  <c r="N207" i="20" s="1"/>
  <c r="L189" i="20" a="1"/>
  <c r="L189" i="20" s="1"/>
  <c r="N189" i="20" s="1"/>
  <c r="L181" i="20" a="1"/>
  <c r="L181" i="20" s="1"/>
  <c r="N181" i="20" s="1"/>
  <c r="L162" i="20" a="1"/>
  <c r="L162" i="20" s="1"/>
  <c r="N162" i="20" s="1"/>
  <c r="L154" i="20" a="1"/>
  <c r="L154" i="20" s="1"/>
  <c r="N154" i="20" s="1"/>
  <c r="L145" i="20" a="1"/>
  <c r="L145" i="20" s="1"/>
  <c r="N145" i="20" s="1"/>
  <c r="L126" i="20" a="1"/>
  <c r="L126" i="20" s="1"/>
  <c r="L102" i="20" a="1"/>
  <c r="L102" i="20" s="1"/>
  <c r="N102" i="20" s="1"/>
  <c r="L95" i="20" a="1"/>
  <c r="L95" i="20" s="1"/>
  <c r="N95" i="20" s="1"/>
  <c r="L81" i="20" a="1"/>
  <c r="L81" i="20" s="1"/>
  <c r="L74" i="20" a="1"/>
  <c r="L74" i="20" s="1"/>
  <c r="N74" i="20" s="1"/>
  <c r="L67" i="20" a="1"/>
  <c r="L67" i="20" s="1"/>
  <c r="L44" i="20" a="1"/>
  <c r="L44" i="20" s="1"/>
  <c r="N44" i="20" s="1"/>
  <c r="L35" i="20" a="1"/>
  <c r="L35" i="20" s="1"/>
  <c r="N35" i="20" s="1"/>
  <c r="L28" i="20" a="1"/>
  <c r="L28" i="20" s="1"/>
  <c r="N28" i="20" s="1"/>
  <c r="L9" i="20" a="1"/>
  <c r="L9" i="20" s="1"/>
  <c r="N9" i="20" s="1"/>
  <c r="K227" i="20" a="1"/>
  <c r="K227" i="20" s="1"/>
  <c r="K217" i="20" a="1"/>
  <c r="K217" i="20" s="1"/>
  <c r="K205" i="20" a="1"/>
  <c r="K205" i="20" s="1"/>
  <c r="K195" i="20" a="1"/>
  <c r="K195" i="20" s="1"/>
  <c r="K184" i="20" a="1"/>
  <c r="K184" i="20" s="1"/>
  <c r="K173" i="20" a="1"/>
  <c r="K173" i="20" s="1"/>
  <c r="K163" i="20" a="1"/>
  <c r="K163" i="20" s="1"/>
  <c r="K153" i="20" a="1"/>
  <c r="K153" i="20" s="1"/>
  <c r="K145" i="20" a="1"/>
  <c r="K145" i="20" s="1"/>
  <c r="K135" i="20" a="1"/>
  <c r="K135" i="20" s="1"/>
  <c r="K123" i="20" a="1"/>
  <c r="K123" i="20" s="1"/>
  <c r="K112" i="20" a="1"/>
  <c r="K112" i="20" s="1"/>
  <c r="K100" i="20" a="1"/>
  <c r="K100" i="20" s="1"/>
  <c r="K78" i="20" a="1"/>
  <c r="K78" i="20" s="1"/>
  <c r="K67" i="20" a="1"/>
  <c r="K67" i="20" s="1"/>
  <c r="K57" i="20" a="1"/>
  <c r="K57" i="20" s="1"/>
  <c r="K48" i="20" a="1"/>
  <c r="K48" i="20" s="1"/>
  <c r="K36" i="20" a="1"/>
  <c r="K36" i="20" s="1"/>
  <c r="K25" i="20" a="1"/>
  <c r="K25" i="20" s="1"/>
  <c r="K2" i="20" a="1"/>
  <c r="K2" i="20" s="1"/>
  <c r="O54" i="20" a="1"/>
  <c r="O54" i="20" s="1"/>
  <c r="O47" i="20" a="1"/>
  <c r="O47" i="20" s="1"/>
  <c r="O29" i="20" a="1"/>
  <c r="O29" i="20" s="1"/>
  <c r="O13" i="20" a="1"/>
  <c r="O13" i="20" s="1"/>
  <c r="O5" i="20" a="1"/>
  <c r="O5" i="20" s="1"/>
  <c r="N118" i="20"/>
  <c r="N94" i="20"/>
  <c r="N60" i="20"/>
  <c r="L223" i="20" a="1"/>
  <c r="L223" i="20" s="1"/>
  <c r="L215" i="20" a="1"/>
  <c r="L215" i="20" s="1"/>
  <c r="N215" i="20" s="1"/>
  <c r="L206" i="20" a="1"/>
  <c r="L206" i="20" s="1"/>
  <c r="N206" i="20" s="1"/>
  <c r="L197" i="20" a="1"/>
  <c r="L197" i="20" s="1"/>
  <c r="N197" i="20" s="1"/>
  <c r="L188" i="20" a="1"/>
  <c r="L188" i="20" s="1"/>
  <c r="N188" i="20" s="1"/>
  <c r="L180" i="20" a="1"/>
  <c r="L180" i="20" s="1"/>
  <c r="N180" i="20" s="1"/>
  <c r="L171" i="20" a="1"/>
  <c r="L171" i="20" s="1"/>
  <c r="N171" i="20" s="1"/>
  <c r="L153" i="20" a="1"/>
  <c r="L153" i="20" s="1"/>
  <c r="N153" i="20" s="1"/>
  <c r="L144" i="20" a="1"/>
  <c r="L144" i="20" s="1"/>
  <c r="L135" i="20" a="1"/>
  <c r="L135" i="20" s="1"/>
  <c r="N135" i="20" s="1"/>
  <c r="L117" i="20" a="1"/>
  <c r="L117" i="20" s="1"/>
  <c r="L110" i="20" a="1"/>
  <c r="L110" i="20" s="1"/>
  <c r="N110" i="20" s="1"/>
  <c r="L94" i="20" a="1"/>
  <c r="L94" i="20" s="1"/>
  <c r="L87" i="20" a="1"/>
  <c r="L87" i="20" s="1"/>
  <c r="N87" i="20" s="1"/>
  <c r="L73" i="20" a="1"/>
  <c r="L73" i="20" s="1"/>
  <c r="L66" i="20" a="1"/>
  <c r="L66" i="20" s="1"/>
  <c r="L53" i="20" a="1"/>
  <c r="L53" i="20" s="1"/>
  <c r="N53" i="20" s="1"/>
  <c r="L27" i="20" a="1"/>
  <c r="L27" i="20" s="1"/>
  <c r="N27" i="20" s="1"/>
  <c r="L18" i="20" a="1"/>
  <c r="L18" i="20" s="1"/>
  <c r="N18" i="20" s="1"/>
  <c r="L8" i="20" a="1"/>
  <c r="L8" i="20" s="1"/>
  <c r="N8" i="20" s="1"/>
  <c r="K226" i="20" a="1"/>
  <c r="K226" i="20" s="1"/>
  <c r="K204" i="20" a="1"/>
  <c r="K204" i="20" s="1"/>
  <c r="K194" i="20" a="1"/>
  <c r="K194" i="20" s="1"/>
  <c r="K183" i="20" a="1"/>
  <c r="K183" i="20" s="1"/>
  <c r="K172" i="20" a="1"/>
  <c r="K172" i="20" s="1"/>
  <c r="K162" i="20" a="1"/>
  <c r="K162" i="20" s="1"/>
  <c r="K134" i="20" a="1"/>
  <c r="K134" i="20" s="1"/>
  <c r="K122" i="20" a="1"/>
  <c r="K122" i="20" s="1"/>
  <c r="K111" i="20" a="1"/>
  <c r="K111" i="20" s="1"/>
  <c r="K99" i="20" a="1"/>
  <c r="K99" i="20" s="1"/>
  <c r="K88" i="20" a="1"/>
  <c r="K88" i="20" s="1"/>
  <c r="K77" i="20" a="1"/>
  <c r="K77" i="20" s="1"/>
  <c r="K66" i="20" a="1"/>
  <c r="K66" i="20" s="1"/>
  <c r="K56" i="20" a="1"/>
  <c r="K56" i="20" s="1"/>
  <c r="K47" i="20" a="1"/>
  <c r="K47" i="20" s="1"/>
  <c r="K35" i="20" a="1"/>
  <c r="K35" i="20" s="1"/>
  <c r="K24" i="20" a="1"/>
  <c r="K24" i="20" s="1"/>
  <c r="K13" i="20" a="1"/>
  <c r="K13" i="20" s="1"/>
  <c r="O71" i="20" a="1"/>
  <c r="O71" i="20" s="1"/>
  <c r="O63" i="20" a="1"/>
  <c r="O63" i="20" s="1"/>
  <c r="O46" i="20" a="1"/>
  <c r="O46" i="20" s="1"/>
  <c r="O38" i="20" a="1"/>
  <c r="O38" i="20" s="1"/>
  <c r="O28" i="20" a="1"/>
  <c r="O28" i="20" s="1"/>
  <c r="O21" i="20" a="1"/>
  <c r="O21" i="20" s="1"/>
  <c r="O12" i="20" a="1"/>
  <c r="O12" i="20" s="1"/>
  <c r="O4" i="20" a="1"/>
  <c r="O4" i="20" s="1"/>
  <c r="N223" i="20"/>
  <c r="N144" i="20"/>
  <c r="N117" i="20"/>
  <c r="N68" i="20"/>
  <c r="L222" i="20" a="1"/>
  <c r="L222" i="20" s="1"/>
  <c r="N222" i="20" s="1"/>
  <c r="L214" i="20" a="1"/>
  <c r="L214" i="20" s="1"/>
  <c r="L187" i="20" a="1"/>
  <c r="L187" i="20" s="1"/>
  <c r="N187" i="20" s="1"/>
  <c r="L179" i="20" a="1"/>
  <c r="L179" i="20" s="1"/>
  <c r="N179" i="20" s="1"/>
  <c r="L161" i="20" a="1"/>
  <c r="L161" i="20" s="1"/>
  <c r="N161" i="20" s="1"/>
  <c r="L152" i="20" a="1"/>
  <c r="L152" i="20" s="1"/>
  <c r="N152" i="20" s="1"/>
  <c r="L134" i="20" a="1"/>
  <c r="L134" i="20" s="1"/>
  <c r="L125" i="20" a="1"/>
  <c r="L125" i="20" s="1"/>
  <c r="L101" i="20" a="1"/>
  <c r="L101" i="20" s="1"/>
  <c r="N101" i="20" s="1"/>
  <c r="L80" i="20" a="1"/>
  <c r="L80" i="20" s="1"/>
  <c r="N80" i="20" s="1"/>
  <c r="L72" i="20" a="1"/>
  <c r="L72" i="20" s="1"/>
  <c r="N72" i="20" s="1"/>
  <c r="L59" i="20" a="1"/>
  <c r="L59" i="20" s="1"/>
  <c r="L43" i="20" a="1"/>
  <c r="L43" i="20" s="1"/>
  <c r="N43" i="20" s="1"/>
  <c r="L34" i="20" a="1"/>
  <c r="L34" i="20" s="1"/>
  <c r="N34" i="20" s="1"/>
  <c r="L26" i="20" a="1"/>
  <c r="L26" i="20" s="1"/>
  <c r="N26" i="20" s="1"/>
  <c r="L7" i="20" a="1"/>
  <c r="L7" i="20" s="1"/>
  <c r="N7" i="20" s="1"/>
  <c r="K225" i="20" a="1"/>
  <c r="K225" i="20" s="1"/>
  <c r="K215" i="20" a="1"/>
  <c r="K215" i="20" s="1"/>
  <c r="K203" i="20" a="1"/>
  <c r="K203" i="20" s="1"/>
  <c r="K193" i="20" a="1"/>
  <c r="K193" i="20" s="1"/>
  <c r="K182" i="20" a="1"/>
  <c r="K182" i="20" s="1"/>
  <c r="K171" i="20" a="1"/>
  <c r="K171" i="20" s="1"/>
  <c r="K161" i="20" a="1"/>
  <c r="K161" i="20" s="1"/>
  <c r="K152" i="20" a="1"/>
  <c r="K152" i="20" s="1"/>
  <c r="K143" i="20" a="1"/>
  <c r="K143" i="20" s="1"/>
  <c r="K133" i="20" a="1"/>
  <c r="K133" i="20" s="1"/>
  <c r="K121" i="20" a="1"/>
  <c r="K121" i="20" s="1"/>
  <c r="K110" i="20" a="1"/>
  <c r="K110" i="20" s="1"/>
  <c r="K98" i="20" a="1"/>
  <c r="K98" i="20" s="1"/>
  <c r="K87" i="20" a="1"/>
  <c r="K87" i="20" s="1"/>
  <c r="K65" i="20" a="1"/>
  <c r="K65" i="20" s="1"/>
  <c r="K46" i="20" a="1"/>
  <c r="K46" i="20" s="1"/>
  <c r="K34" i="20" a="1"/>
  <c r="K34" i="20" s="1"/>
  <c r="K23" i="20" a="1"/>
  <c r="K23" i="20" s="1"/>
  <c r="K12" i="20" a="1"/>
  <c r="K12" i="20" s="1"/>
  <c r="O53" i="20" a="1"/>
  <c r="O53" i="20" s="1"/>
  <c r="O45" i="20" a="1"/>
  <c r="O45" i="20" s="1"/>
  <c r="O37" i="20" a="1"/>
  <c r="O37" i="20" s="1"/>
  <c r="O20" i="20" a="1"/>
  <c r="O20" i="20" s="1"/>
  <c r="N231" i="20"/>
  <c r="N214" i="20"/>
  <c r="N204" i="20"/>
  <c r="N134" i="20"/>
  <c r="N126" i="20"/>
  <c r="N84" i="20"/>
  <c r="N75" i="20"/>
  <c r="N67" i="20"/>
  <c r="N59" i="20"/>
  <c r="L231" i="20" a="1"/>
  <c r="L231" i="20" s="1"/>
  <c r="L221" i="20" a="1"/>
  <c r="L221" i="20" s="1"/>
  <c r="N221" i="20" s="1"/>
  <c r="L213" i="20" a="1"/>
  <c r="L213" i="20" s="1"/>
  <c r="L205" i="20" a="1"/>
  <c r="L205" i="20" s="1"/>
  <c r="N205" i="20" s="1"/>
  <c r="L196" i="20" a="1"/>
  <c r="L196" i="20" s="1"/>
  <c r="N196" i="20" s="1"/>
  <c r="L186" i="20" a="1"/>
  <c r="L186" i="20" s="1"/>
  <c r="N186" i="20" s="1"/>
  <c r="L178" i="20" a="1"/>
  <c r="L178" i="20" s="1"/>
  <c r="N178" i="20" s="1"/>
  <c r="L170" i="20" a="1"/>
  <c r="L170" i="20" s="1"/>
  <c r="N170" i="20" s="1"/>
  <c r="L160" i="20" a="1"/>
  <c r="L160" i="20" s="1"/>
  <c r="N160" i="20" s="1"/>
  <c r="L151" i="20" a="1"/>
  <c r="L151" i="20" s="1"/>
  <c r="N151" i="20" s="1"/>
  <c r="L143" i="20" a="1"/>
  <c r="L143" i="20" s="1"/>
  <c r="N143" i="20" s="1"/>
  <c r="L116" i="20" a="1"/>
  <c r="L116" i="20" s="1"/>
  <c r="N116" i="20" s="1"/>
  <c r="L109" i="20" a="1"/>
  <c r="L109" i="20" s="1"/>
  <c r="N109" i="20" s="1"/>
  <c r="L93" i="20" a="1"/>
  <c r="L93" i="20" s="1"/>
  <c r="N93" i="20" s="1"/>
  <c r="L86" i="20" a="1"/>
  <c r="L86" i="20" s="1"/>
  <c r="N86" i="20" s="1"/>
  <c r="L79" i="20" a="1"/>
  <c r="L79" i="20" s="1"/>
  <c r="N79" i="20" s="1"/>
  <c r="L65" i="20" a="1"/>
  <c r="L65" i="20" s="1"/>
  <c r="N65" i="20" s="1"/>
  <c r="L52" i="20" a="1"/>
  <c r="L52" i="20" s="1"/>
  <c r="N52" i="20" s="1"/>
  <c r="L33" i="20" a="1"/>
  <c r="L33" i="20" s="1"/>
  <c r="N33" i="20" s="1"/>
  <c r="L25" i="20" a="1"/>
  <c r="L25" i="20" s="1"/>
  <c r="N25" i="20" s="1"/>
  <c r="L17" i="20" a="1"/>
  <c r="L17" i="20" s="1"/>
  <c r="N17" i="20" s="1"/>
  <c r="L6" i="20" a="1"/>
  <c r="L6" i="20" s="1"/>
  <c r="K214" i="20" a="1"/>
  <c r="K214" i="20" s="1"/>
  <c r="K170" i="20" a="1"/>
  <c r="K170" i="20" s="1"/>
  <c r="K160" i="20" a="1"/>
  <c r="K160" i="20" s="1"/>
  <c r="K142" i="20" a="1"/>
  <c r="K142" i="20" s="1"/>
  <c r="K132" i="20" a="1"/>
  <c r="K132" i="20" s="1"/>
  <c r="K109" i="20" a="1"/>
  <c r="K109" i="20" s="1"/>
  <c r="K97" i="20" a="1"/>
  <c r="K97" i="20" s="1"/>
  <c r="K86" i="20" a="1"/>
  <c r="K86" i="20" s="1"/>
  <c r="K76" i="20" a="1"/>
  <c r="K76" i="20" s="1"/>
  <c r="K64" i="20" a="1"/>
  <c r="K64" i="20" s="1"/>
  <c r="K55" i="20" a="1"/>
  <c r="K55" i="20" s="1"/>
  <c r="K45" i="20" a="1"/>
  <c r="K45" i="20" s="1"/>
  <c r="K33" i="20" a="1"/>
  <c r="K33" i="20" s="1"/>
  <c r="K22" i="20" a="1"/>
  <c r="K22" i="20" s="1"/>
  <c r="K11" i="20" a="1"/>
  <c r="K11" i="20" s="1"/>
  <c r="O121" i="20" a="1"/>
  <c r="O121" i="20" s="1"/>
  <c r="O112" i="20" a="1"/>
  <c r="O112" i="20" s="1"/>
  <c r="O103" i="20" a="1"/>
  <c r="O103" i="20" s="1"/>
  <c r="O78" i="20" a="1"/>
  <c r="O78" i="20" s="1"/>
  <c r="O62" i="20" a="1"/>
  <c r="O62" i="20" s="1"/>
  <c r="O44" i="20" a="1"/>
  <c r="O44" i="20" s="1"/>
  <c r="O27" i="20" a="1"/>
  <c r="O27" i="20" s="1"/>
  <c r="O19" i="20" a="1"/>
  <c r="O19" i="20" s="1"/>
  <c r="O11" i="20" a="1"/>
  <c r="O11" i="20" s="1"/>
  <c r="O3" i="20" a="1"/>
  <c r="O3" i="20" s="1"/>
  <c r="N213" i="20"/>
  <c r="N125" i="20"/>
  <c r="N58" i="20"/>
  <c r="L195" i="20" a="1"/>
  <c r="L195" i="20" s="1"/>
  <c r="N195" i="20" s="1"/>
  <c r="L177" i="20" a="1"/>
  <c r="L177" i="20" s="1"/>
  <c r="N177" i="20" s="1"/>
  <c r="L169" i="20" a="1"/>
  <c r="L169" i="20" s="1"/>
  <c r="N169" i="20" s="1"/>
  <c r="L150" i="20" a="1"/>
  <c r="L150" i="20" s="1"/>
  <c r="L142" i="20" a="1"/>
  <c r="L142" i="20" s="1"/>
  <c r="L133" i="20" a="1"/>
  <c r="L133" i="20" s="1"/>
  <c r="L124" i="20" a="1"/>
  <c r="L124" i="20" s="1"/>
  <c r="L108" i="20" a="1"/>
  <c r="L108" i="20" s="1"/>
  <c r="N108" i="20" s="1"/>
  <c r="L100" i="20" a="1"/>
  <c r="L100" i="20" s="1"/>
  <c r="N100" i="20" s="1"/>
  <c r="L78" i="20" a="1"/>
  <c r="L78" i="20" s="1"/>
  <c r="N78" i="20" s="1"/>
  <c r="L71" i="20" a="1"/>
  <c r="L71" i="20" s="1"/>
  <c r="N71" i="20" s="1"/>
  <c r="L58" i="20" a="1"/>
  <c r="L58" i="20" s="1"/>
  <c r="L51" i="20" a="1"/>
  <c r="L51" i="20" s="1"/>
  <c r="N51" i="20" s="1"/>
  <c r="L42" i="20" a="1"/>
  <c r="L42" i="20" s="1"/>
  <c r="N42" i="20" s="1"/>
  <c r="L5" i="20" a="1"/>
  <c r="L5" i="20" s="1"/>
  <c r="N5" i="20" s="1"/>
  <c r="K224" i="20" a="1"/>
  <c r="K224" i="20" s="1"/>
  <c r="K213" i="20" a="1"/>
  <c r="K213" i="20" s="1"/>
  <c r="K202" i="20" a="1"/>
  <c r="K202" i="20" s="1"/>
  <c r="K191" i="20" a="1"/>
  <c r="K191" i="20" s="1"/>
  <c r="K181" i="20" a="1"/>
  <c r="K181" i="20" s="1"/>
  <c r="K169" i="20" a="1"/>
  <c r="K169" i="20" s="1"/>
  <c r="K151" i="20" a="1"/>
  <c r="K151" i="20" s="1"/>
  <c r="K131" i="20" a="1"/>
  <c r="K131" i="20" s="1"/>
  <c r="K119" i="20" a="1"/>
  <c r="K119" i="20" s="1"/>
  <c r="K85" i="20" a="1"/>
  <c r="K85" i="20" s="1"/>
  <c r="K75" i="20" a="1"/>
  <c r="K75" i="20" s="1"/>
  <c r="K54" i="20" a="1"/>
  <c r="K54" i="20" s="1"/>
  <c r="K44" i="20" a="1"/>
  <c r="K44" i="20" s="1"/>
  <c r="K32" i="20" a="1"/>
  <c r="K32" i="20" s="1"/>
  <c r="K21" i="20" a="1"/>
  <c r="K21" i="20" s="1"/>
  <c r="K10" i="20" a="1"/>
  <c r="K10" i="20" s="1"/>
  <c r="O52" i="20" a="1"/>
  <c r="O52" i="20" s="1"/>
  <c r="O35" i="20" a="1"/>
  <c r="O35" i="20" s="1"/>
  <c r="O18" i="20" a="1"/>
  <c r="O18" i="20" s="1"/>
  <c r="O2" i="20" a="1"/>
  <c r="O2" i="20" s="1"/>
  <c r="N150" i="20"/>
  <c r="N142" i="20"/>
  <c r="N133" i="20"/>
  <c r="N124" i="20"/>
  <c r="N82" i="20"/>
  <c r="N66" i="20"/>
  <c r="L230" i="20" a="1"/>
  <c r="L230" i="20" s="1"/>
  <c r="N230" i="20" s="1"/>
  <c r="L220" i="20" a="1"/>
  <c r="L220" i="20" s="1"/>
  <c r="L212" i="20" a="1"/>
  <c r="L212" i="20" s="1"/>
  <c r="N212" i="20" s="1"/>
  <c r="L203" i="20" a="1"/>
  <c r="L203" i="20" s="1"/>
  <c r="N203" i="20" s="1"/>
  <c r="L185" i="20" a="1"/>
  <c r="L185" i="20" s="1"/>
  <c r="N185" i="20" s="1"/>
  <c r="L168" i="20" a="1"/>
  <c r="L168" i="20" s="1"/>
  <c r="N168" i="20" s="1"/>
  <c r="L159" i="20" a="1"/>
  <c r="L159" i="20" s="1"/>
  <c r="N159" i="20" s="1"/>
  <c r="L149" i="20" a="1"/>
  <c r="L149" i="20" s="1"/>
  <c r="N149" i="20" s="1"/>
  <c r="L141" i="20" a="1"/>
  <c r="L141" i="20" s="1"/>
  <c r="N141" i="20" s="1"/>
  <c r="L123" i="20" a="1"/>
  <c r="L123" i="20" s="1"/>
  <c r="N123" i="20" s="1"/>
  <c r="L115" i="20" a="1"/>
  <c r="L115" i="20" s="1"/>
  <c r="N115" i="20" s="1"/>
  <c r="L92" i="20" a="1"/>
  <c r="L92" i="20" s="1"/>
  <c r="N92" i="20" s="1"/>
  <c r="L85" i="20" a="1"/>
  <c r="L85" i="20" s="1"/>
  <c r="N85" i="20" s="1"/>
  <c r="L64" i="20" a="1"/>
  <c r="L64" i="20" s="1"/>
  <c r="N64" i="20" s="1"/>
  <c r="L50" i="20" a="1"/>
  <c r="L50" i="20" s="1"/>
  <c r="N50" i="20" s="1"/>
  <c r="L41" i="20" a="1"/>
  <c r="L41" i="20" s="1"/>
  <c r="N41" i="20" s="1"/>
  <c r="L32" i="20" a="1"/>
  <c r="L32" i="20" s="1"/>
  <c r="N32" i="20" s="1"/>
  <c r="L23" i="20" a="1"/>
  <c r="L23" i="20" s="1"/>
  <c r="N23" i="20" s="1"/>
  <c r="L16" i="20" a="1"/>
  <c r="L16" i="20" s="1"/>
  <c r="N16" i="20" s="1"/>
  <c r="L4" i="20" a="1"/>
  <c r="L4" i="20" s="1"/>
  <c r="N4" i="20" s="1"/>
  <c r="K223" i="20" a="1"/>
  <c r="K223" i="20" s="1"/>
  <c r="K212" i="20" a="1"/>
  <c r="K212" i="20" s="1"/>
  <c r="K201" i="20" a="1"/>
  <c r="K201" i="20" s="1"/>
  <c r="K190" i="20" a="1"/>
  <c r="K190" i="20" s="1"/>
  <c r="K159" i="20" a="1"/>
  <c r="K159" i="20" s="1"/>
  <c r="K150" i="20" a="1"/>
  <c r="K150" i="20" s="1"/>
  <c r="K141" i="20" a="1"/>
  <c r="K141" i="20" s="1"/>
  <c r="K130" i="20" a="1"/>
  <c r="K130" i="20" s="1"/>
  <c r="K118" i="20" a="1"/>
  <c r="K118" i="20" s="1"/>
  <c r="K107" i="20" a="1"/>
  <c r="K107" i="20" s="1"/>
  <c r="K95" i="20" a="1"/>
  <c r="K95" i="20" s="1"/>
  <c r="K84" i="20" a="1"/>
  <c r="K84" i="20" s="1"/>
  <c r="K74" i="20" a="1"/>
  <c r="K74" i="20" s="1"/>
  <c r="K63" i="20" a="1"/>
  <c r="K63" i="20" s="1"/>
  <c r="K53" i="20" a="1"/>
  <c r="K53" i="20" s="1"/>
  <c r="K43" i="20" a="1"/>
  <c r="K43" i="20" s="1"/>
  <c r="K20" i="20" a="1"/>
  <c r="K20" i="20" s="1"/>
  <c r="K9" i="20" a="1"/>
  <c r="K9" i="20" s="1"/>
  <c r="O26" i="20" a="1"/>
  <c r="O26" i="20" s="1"/>
  <c r="O17" i="20" a="1"/>
  <c r="O17" i="20" s="1"/>
  <c r="O10" i="20" a="1"/>
  <c r="O10" i="20" s="1"/>
  <c r="N132" i="20"/>
  <c r="N98" i="20"/>
  <c r="N81" i="20"/>
  <c r="N48" i="20"/>
  <c r="N39" i="20"/>
  <c r="N22" i="20"/>
  <c r="N6" i="20"/>
  <c r="L229" i="20" a="1"/>
  <c r="L229" i="20" s="1"/>
  <c r="N229" i="20" s="1"/>
  <c r="L219" i="20" a="1"/>
  <c r="L219" i="20" s="1"/>
  <c r="N219" i="20" s="1"/>
  <c r="L211" i="20" a="1"/>
  <c r="L211" i="20" s="1"/>
  <c r="N211" i="20" s="1"/>
  <c r="L194" i="20" a="1"/>
  <c r="L194" i="20" s="1"/>
  <c r="N194" i="20" s="1"/>
  <c r="L176" i="20" a="1"/>
  <c r="L176" i="20" s="1"/>
  <c r="N176" i="20" s="1"/>
  <c r="L167" i="20" a="1"/>
  <c r="L167" i="20" s="1"/>
  <c r="N167" i="20" s="1"/>
  <c r="L140" i="20" a="1"/>
  <c r="L140" i="20" s="1"/>
  <c r="N140" i="20" s="1"/>
  <c r="L131" i="20" a="1"/>
  <c r="L131" i="20" s="1"/>
  <c r="N131" i="20" s="1"/>
  <c r="L114" i="20" a="1"/>
  <c r="L114" i="20" s="1"/>
  <c r="N114" i="20" s="1"/>
  <c r="L107" i="20" a="1"/>
  <c r="L107" i="20" s="1"/>
  <c r="N107" i="20" s="1"/>
  <c r="L99" i="20" a="1"/>
  <c r="L99" i="20" s="1"/>
  <c r="N99" i="20" s="1"/>
  <c r="L77" i="20" a="1"/>
  <c r="L77" i="20" s="1"/>
  <c r="N77" i="20" s="1"/>
  <c r="L70" i="20" a="1"/>
  <c r="L70" i="20" s="1"/>
  <c r="N70" i="20" s="1"/>
  <c r="L57" i="20" a="1"/>
  <c r="L57" i="20" s="1"/>
  <c r="N57" i="20" s="1"/>
  <c r="L49" i="20" a="1"/>
  <c r="L49" i="20" s="1"/>
  <c r="N49" i="20" s="1"/>
  <c r="L22" i="20" a="1"/>
  <c r="L22" i="20" s="1"/>
  <c r="L15" i="20" a="1"/>
  <c r="L15" i="20" s="1"/>
  <c r="N15" i="20" s="1"/>
  <c r="L3" i="20" a="1"/>
  <c r="L3" i="20" s="1"/>
  <c r="N3" i="20" s="1"/>
  <c r="K222" i="20" a="1"/>
  <c r="K222" i="20" s="1"/>
  <c r="K211" i="20" a="1"/>
  <c r="K211" i="20" s="1"/>
  <c r="K200" i="20" a="1"/>
  <c r="K200" i="20" s="1"/>
  <c r="K189" i="20" a="1"/>
  <c r="K189" i="20" s="1"/>
  <c r="K179" i="20" a="1"/>
  <c r="K179" i="20" s="1"/>
  <c r="K167" i="20" a="1"/>
  <c r="K167" i="20" s="1"/>
  <c r="K149" i="20" a="1"/>
  <c r="K149" i="20" s="1"/>
  <c r="K140" i="20" a="1"/>
  <c r="K140" i="20" s="1"/>
  <c r="K129" i="20" a="1"/>
  <c r="K129" i="20" s="1"/>
  <c r="K117" i="20" a="1"/>
  <c r="K117" i="20" s="1"/>
  <c r="K106" i="20" a="1"/>
  <c r="K106" i="20" s="1"/>
  <c r="K94" i="20" a="1"/>
  <c r="K94" i="20" s="1"/>
  <c r="K83" i="20" a="1"/>
  <c r="K83" i="20" s="1"/>
  <c r="K73" i="20" a="1"/>
  <c r="K73" i="20" s="1"/>
  <c r="K62" i="20" a="1"/>
  <c r="K62" i="20" s="1"/>
  <c r="K42" i="20" a="1"/>
  <c r="K42" i="20" s="1"/>
  <c r="K31" i="20" a="1"/>
  <c r="K31" i="20" s="1"/>
  <c r="K19" i="20" a="1"/>
  <c r="K19" i="20" s="1"/>
  <c r="K8" i="20" a="1"/>
  <c r="K8" i="20" s="1"/>
  <c r="O85" i="20" a="1"/>
  <c r="O85" i="20" s="1"/>
  <c r="O76" i="20" a="1"/>
  <c r="O76" i="20" s="1"/>
  <c r="O59" i="20" a="1"/>
  <c r="O59" i="20" s="1"/>
  <c r="O51" i="20" a="1"/>
  <c r="O51" i="20" s="1"/>
  <c r="O42" i="20" a="1"/>
  <c r="O42" i="20" s="1"/>
  <c r="O34" i="20" a="1"/>
  <c r="O34" i="20" s="1"/>
  <c r="O9" i="20" a="1"/>
  <c r="O9" i="20" s="1"/>
  <c r="N220" i="20"/>
  <c r="N210" i="20"/>
  <c r="N191" i="20"/>
  <c r="N158" i="20"/>
  <c r="N113" i="20"/>
  <c r="N73" i="20"/>
  <c r="N47" i="20"/>
  <c r="N30" i="20"/>
  <c r="L210" i="20" a="1"/>
  <c r="L210" i="20" s="1"/>
  <c r="L202" i="20" a="1"/>
  <c r="L202" i="20" s="1"/>
  <c r="N202" i="20" s="1"/>
  <c r="L193" i="20" a="1"/>
  <c r="L193" i="20" s="1"/>
  <c r="N193" i="20" s="1"/>
  <c r="L184" i="20" a="1"/>
  <c r="L184" i="20" s="1"/>
  <c r="N184" i="20" s="1"/>
  <c r="L175" i="20" a="1"/>
  <c r="L175" i="20" s="1"/>
  <c r="N175" i="20" s="1"/>
  <c r="L166" i="20" a="1"/>
  <c r="L166" i="20" s="1"/>
  <c r="N166" i="20" s="1"/>
  <c r="L158" i="20" a="1"/>
  <c r="L158" i="20" s="1"/>
  <c r="L148" i="20" a="1"/>
  <c r="L148" i="20" s="1"/>
  <c r="N148" i="20" s="1"/>
  <c r="L139" i="20" a="1"/>
  <c r="L139" i="20" s="1"/>
  <c r="N139" i="20" s="1"/>
  <c r="L122" i="20" a="1"/>
  <c r="L122" i="20" s="1"/>
  <c r="N122" i="20" s="1"/>
  <c r="L106" i="20" a="1"/>
  <c r="L106" i="20" s="1"/>
  <c r="N106" i="20" s="1"/>
  <c r="L91" i="20" a="1"/>
  <c r="L91" i="20" s="1"/>
  <c r="N91" i="20" s="1"/>
  <c r="L63" i="20" a="1"/>
  <c r="L63" i="20" s="1"/>
  <c r="N63" i="20" s="1"/>
  <c r="L40" i="20" a="1"/>
  <c r="L40" i="20" s="1"/>
  <c r="N40" i="20" s="1"/>
  <c r="L31" i="20" a="1"/>
  <c r="L31" i="20" s="1"/>
  <c r="N31" i="20" s="1"/>
  <c r="L21" i="20" a="1"/>
  <c r="L21" i="20" s="1"/>
  <c r="N21" i="20" s="1"/>
  <c r="L14" i="20" a="1"/>
  <c r="L14" i="20" s="1"/>
  <c r="N14" i="20" s="1"/>
  <c r="L2" i="20" a="1"/>
  <c r="L2" i="20" s="1"/>
  <c r="N2" i="20" s="1"/>
  <c r="K221" i="20" a="1"/>
  <c r="K221" i="20" s="1"/>
  <c r="K210" i="20" a="1"/>
  <c r="K210" i="20" s="1"/>
  <c r="K199" i="20" a="1"/>
  <c r="K199" i="20" s="1"/>
  <c r="K178" i="20" a="1"/>
  <c r="K178" i="20" s="1"/>
  <c r="K158" i="20" a="1"/>
  <c r="K158" i="20" s="1"/>
  <c r="K139" i="20" a="1"/>
  <c r="K139" i="20" s="1"/>
  <c r="K128" i="20" a="1"/>
  <c r="K128" i="20" s="1"/>
  <c r="K116" i="20" a="1"/>
  <c r="K116" i="20" s="1"/>
  <c r="K105" i="20" a="1"/>
  <c r="K105" i="20" s="1"/>
  <c r="K93" i="20" a="1"/>
  <c r="K93" i="20" s="1"/>
  <c r="K82" i="20" a="1"/>
  <c r="K82" i="20" s="1"/>
  <c r="K52" i="20" a="1"/>
  <c r="K52" i="20" s="1"/>
  <c r="K41" i="20" a="1"/>
  <c r="K41" i="20" s="1"/>
  <c r="K30" i="20" a="1"/>
  <c r="K30" i="20" s="1"/>
  <c r="K18" i="20" a="1"/>
  <c r="K18" i="20" s="1"/>
  <c r="N190" i="20"/>
  <c r="O14" i="19" a="1"/>
  <c r="O14" i="19" s="1"/>
  <c r="J2" i="19" a="1"/>
  <c r="J2" i="19" s="1"/>
  <c r="O2" i="19" a="1"/>
  <c r="O2" i="19" s="1"/>
  <c r="N16" i="19" a="1"/>
  <c r="N16" i="19" s="1"/>
  <c r="O19" i="19" a="1"/>
  <c r="O19" i="19" s="1"/>
  <c r="O13" i="19" a="1"/>
  <c r="O13" i="19" s="1"/>
  <c r="N21" i="19" a="1"/>
  <c r="N21" i="19" s="1"/>
  <c r="N9" i="19" a="1"/>
  <c r="N9" i="19" s="1"/>
  <c r="K17" i="19" a="1"/>
  <c r="K17" i="19" s="1"/>
  <c r="M17" i="19" s="1"/>
  <c r="K11" i="19" a="1"/>
  <c r="K11" i="19" s="1"/>
  <c r="M11" i="19" s="1"/>
  <c r="J19" i="19" a="1"/>
  <c r="J19" i="19" s="1"/>
  <c r="J13" i="19" a="1"/>
  <c r="J13" i="19" s="1"/>
  <c r="J7" i="19" a="1"/>
  <c r="J7" i="19" s="1"/>
  <c r="O7" i="19" a="1"/>
  <c r="O7" i="19" s="1"/>
  <c r="N15" i="19" a="1"/>
  <c r="N15" i="19" s="1"/>
  <c r="N3" i="19" a="1"/>
  <c r="N3" i="19" s="1"/>
  <c r="K5" i="19" a="1"/>
  <c r="K5" i="19" s="1"/>
  <c r="M5" i="19" s="1"/>
  <c r="O18" i="19" a="1"/>
  <c r="O18" i="19" s="1"/>
  <c r="O6" i="19" a="1"/>
  <c r="O6" i="19" s="1"/>
  <c r="N14" i="19" a="1"/>
  <c r="N14" i="19" s="1"/>
  <c r="N2" i="19" a="1"/>
  <c r="N2" i="19" s="1"/>
  <c r="K10" i="19" a="1"/>
  <c r="K10" i="19" s="1"/>
  <c r="M10" i="19" s="1"/>
  <c r="K4" i="19" a="1"/>
  <c r="K4" i="19" s="1"/>
  <c r="M4" i="19" s="1"/>
  <c r="J12" i="19" a="1"/>
  <c r="J12" i="19" s="1"/>
  <c r="J6" i="19" a="1"/>
  <c r="J6" i="19" s="1"/>
  <c r="O12" i="19" a="1"/>
  <c r="O12" i="19" s="1"/>
  <c r="N20" i="19" a="1"/>
  <c r="N20" i="19" s="1"/>
  <c r="N8" i="19" a="1"/>
  <c r="N8" i="19" s="1"/>
  <c r="K16" i="19" a="1"/>
  <c r="K16" i="19" s="1"/>
  <c r="M16" i="19" s="1"/>
  <c r="J18" i="19" a="1"/>
  <c r="J18" i="19" s="1"/>
  <c r="O11" i="19" a="1"/>
  <c r="O11" i="19" s="1"/>
  <c r="N19" i="19" a="1"/>
  <c r="N19" i="19" s="1"/>
  <c r="N13" i="19" a="1"/>
  <c r="N13" i="19" s="1"/>
  <c r="K21" i="19" a="1"/>
  <c r="K21" i="19" s="1"/>
  <c r="M21" i="19" s="1"/>
  <c r="K9" i="19" a="1"/>
  <c r="K9" i="19" s="1"/>
  <c r="M9" i="19" s="1"/>
  <c r="K3" i="19" a="1"/>
  <c r="K3" i="19" s="1"/>
  <c r="M3" i="19" s="1"/>
  <c r="J11" i="19" a="1"/>
  <c r="J11" i="19" s="1"/>
  <c r="J5" i="19" a="1"/>
  <c r="J5" i="19" s="1"/>
  <c r="O17" i="19" a="1"/>
  <c r="O17" i="19" s="1"/>
  <c r="O5" i="19" a="1"/>
  <c r="O5" i="19" s="1"/>
  <c r="N7" i="19" a="1"/>
  <c r="N7" i="19" s="1"/>
  <c r="K15" i="19" a="1"/>
  <c r="K15" i="19" s="1"/>
  <c r="M15" i="19" s="1"/>
  <c r="J17" i="19" a="1"/>
  <c r="J17" i="19" s="1"/>
  <c r="O16" i="19" a="1"/>
  <c r="O16" i="19" s="1"/>
  <c r="O4" i="19" a="1"/>
  <c r="O4" i="19" s="1"/>
  <c r="N12" i="19" a="1"/>
  <c r="N12" i="19" s="1"/>
  <c r="K20" i="19" a="1"/>
  <c r="K20" i="19" s="1"/>
  <c r="M20" i="19" s="1"/>
  <c r="K8" i="19" a="1"/>
  <c r="K8" i="19" s="1"/>
  <c r="M8" i="19" s="1"/>
  <c r="K2" i="19" a="1"/>
  <c r="K2" i="19" s="1"/>
  <c r="M2" i="19" s="1"/>
  <c r="J10" i="19" a="1"/>
  <c r="J10" i="19" s="1"/>
  <c r="J4" i="19" a="1"/>
  <c r="J4" i="19" s="1"/>
  <c r="O10" i="19" a="1"/>
  <c r="O10" i="19" s="1"/>
  <c r="N18" i="19" a="1"/>
  <c r="N18" i="19" s="1"/>
  <c r="N6" i="19" a="1"/>
  <c r="N6" i="19" s="1"/>
  <c r="K14" i="19" a="1"/>
  <c r="K14" i="19" s="1"/>
  <c r="M14" i="19" s="1"/>
  <c r="J16" i="19" a="1"/>
  <c r="J16" i="19" s="1"/>
  <c r="O21" i="19" a="1"/>
  <c r="O21" i="19" s="1"/>
  <c r="O9" i="19" a="1"/>
  <c r="O9" i="19" s="1"/>
  <c r="N17" i="19" a="1"/>
  <c r="N17" i="19" s="1"/>
  <c r="N5" i="19" a="1"/>
  <c r="N5" i="19" s="1"/>
  <c r="K7" i="19" a="1"/>
  <c r="K7" i="19" s="1"/>
  <c r="M7" i="19" s="1"/>
  <c r="J21" i="19" a="1"/>
  <c r="J21" i="19" s="1"/>
  <c r="J9" i="19" a="1"/>
  <c r="J9" i="19" s="1"/>
  <c r="J3" i="19" a="1"/>
  <c r="J3" i="19" s="1"/>
  <c r="O15" i="19" a="1"/>
  <c r="O15" i="19" s="1"/>
  <c r="O3" i="19" a="1"/>
  <c r="O3" i="19" s="1"/>
  <c r="N11" i="19" a="1"/>
  <c r="N11" i="19" s="1"/>
  <c r="K19" i="19" a="1"/>
  <c r="K19" i="19" s="1"/>
  <c r="M19" i="19" s="1"/>
  <c r="K13" i="19" a="1"/>
  <c r="K13" i="19" s="1"/>
  <c r="M13" i="19" s="1"/>
  <c r="J15" i="19" a="1"/>
  <c r="J15" i="19" s="1"/>
  <c r="N10" i="19" a="1"/>
  <c r="N10" i="19" s="1"/>
  <c r="N4" i="19" a="1"/>
  <c r="N4" i="19" s="1"/>
  <c r="K18" i="19" a="1"/>
  <c r="K18" i="19" s="1"/>
  <c r="M18" i="19" s="1"/>
  <c r="K12" i="19" a="1"/>
  <c r="K12" i="19" s="1"/>
  <c r="M12" i="19" s="1"/>
  <c r="K6" i="19" a="1"/>
  <c r="K6" i="19" s="1"/>
  <c r="M6" i="19" s="1"/>
  <c r="J20" i="19" a="1"/>
  <c r="J20" i="19" s="1"/>
  <c r="J14" i="19" a="1"/>
  <c r="J14" i="19" s="1"/>
  <c r="J8" i="19" a="1"/>
  <c r="J8" i="19" s="1"/>
  <c r="R343" i="18"/>
  <c r="U343" i="18" s="1"/>
  <c r="R334" i="18"/>
  <c r="U334" i="18" s="1"/>
  <c r="R249" i="18"/>
  <c r="U249" i="18" s="1"/>
  <c r="R362" i="18"/>
  <c r="U362" i="18" s="1"/>
  <c r="R353" i="18"/>
  <c r="U353" i="18" s="1"/>
  <c r="R259" i="18"/>
  <c r="U259" i="18" s="1"/>
  <c r="R268" i="18"/>
  <c r="U268" i="18" s="1"/>
  <c r="R352" i="18"/>
  <c r="U352" i="18" s="1"/>
  <c r="R277" i="18"/>
  <c r="U277" i="18" s="1"/>
  <c r="R219" i="18"/>
  <c r="U219" i="18" s="1"/>
  <c r="R377" i="18"/>
  <c r="U377" i="18" s="1"/>
  <c r="R349" i="18"/>
  <c r="U349" i="18" s="1"/>
  <c r="R354" i="18"/>
  <c r="U354" i="18" s="1"/>
  <c r="R376" i="18"/>
  <c r="U376" i="18" s="1"/>
  <c r="R319" i="18"/>
  <c r="U319" i="18" s="1"/>
  <c r="R299" i="18"/>
  <c r="U299" i="18" s="1"/>
  <c r="R223" i="18"/>
  <c r="U223" i="18" s="1"/>
  <c r="R317" i="18"/>
  <c r="U317" i="18" s="1"/>
  <c r="R383" i="18"/>
  <c r="U383" i="18" s="1"/>
  <c r="R364" i="18"/>
  <c r="U364" i="18" s="1"/>
  <c r="R307" i="18"/>
  <c r="U307" i="18" s="1"/>
  <c r="R119" i="18"/>
  <c r="U119" i="18" s="1"/>
  <c r="R360" i="18"/>
  <c r="U360" i="18" s="1"/>
  <c r="R382" i="18"/>
  <c r="U382" i="18" s="1"/>
  <c r="R373" i="18"/>
  <c r="U373" i="18" s="1"/>
  <c r="R344" i="18"/>
  <c r="U344" i="18" s="1"/>
  <c r="R325" i="18"/>
  <c r="U325" i="18" s="1"/>
  <c r="R306" i="18"/>
  <c r="U306" i="18" s="1"/>
  <c r="R231" i="18"/>
  <c r="U231" i="18" s="1"/>
  <c r="O363" i="18" a="1"/>
  <c r="O363" i="18" s="1"/>
  <c r="O354" i="18" a="1"/>
  <c r="O354" i="18" s="1"/>
  <c r="O346" i="18" a="1"/>
  <c r="O346" i="18" s="1"/>
  <c r="O328" i="18" a="1"/>
  <c r="O328" i="18" s="1"/>
  <c r="O319" i="18" a="1"/>
  <c r="O319" i="18" s="1"/>
  <c r="O310" i="18" a="1"/>
  <c r="O310" i="18" s="1"/>
  <c r="O292" i="18" a="1"/>
  <c r="O292" i="18" s="1"/>
  <c r="O275" i="18" a="1"/>
  <c r="O275" i="18" s="1"/>
  <c r="O248" i="18" a="1"/>
  <c r="O248" i="18" s="1"/>
  <c r="O221" i="18" a="1"/>
  <c r="O221" i="18" s="1"/>
  <c r="O211" i="18" a="1"/>
  <c r="O211" i="18" s="1"/>
  <c r="O194" i="18" a="1"/>
  <c r="O194" i="18" s="1"/>
  <c r="O185" i="18" a="1"/>
  <c r="O185" i="18" s="1"/>
  <c r="O177" i="18" a="1"/>
  <c r="O177" i="18" s="1"/>
  <c r="O159" i="18" a="1"/>
  <c r="O159" i="18" s="1"/>
  <c r="O144" i="18" a="1"/>
  <c r="O144" i="18" s="1"/>
  <c r="O137" i="18" a="1"/>
  <c r="O137" i="18" s="1"/>
  <c r="O129" i="18" a="1"/>
  <c r="O129" i="18" s="1"/>
  <c r="O113" i="18" a="1"/>
  <c r="O113" i="18" s="1"/>
  <c r="O104" i="18" a="1"/>
  <c r="O104" i="18" s="1"/>
  <c r="O95" i="18" a="1"/>
  <c r="O95" i="18" s="1"/>
  <c r="O86" i="18" a="1"/>
  <c r="O86" i="18" s="1"/>
  <c r="O76" i="18" a="1"/>
  <c r="O76" i="18" s="1"/>
  <c r="O65" i="18" a="1"/>
  <c r="O65" i="18" s="1"/>
  <c r="O55" i="18" a="1"/>
  <c r="O55" i="18" s="1"/>
  <c r="O30" i="18" a="1"/>
  <c r="O30" i="18" s="1"/>
  <c r="O7" i="18" a="1"/>
  <c r="O7" i="18" s="1"/>
  <c r="O13" i="18" a="1"/>
  <c r="O13" i="18" s="1"/>
  <c r="O36" i="18" a="1"/>
  <c r="O36" i="18" s="1"/>
  <c r="O17" i="18" a="1"/>
  <c r="O17" i="18" s="1"/>
  <c r="O40" i="18" a="1"/>
  <c r="O40" i="18" s="1"/>
  <c r="O34" i="18" a="1"/>
  <c r="O34" i="18" s="1"/>
  <c r="R39" i="18"/>
  <c r="U39" i="18" s="1"/>
  <c r="R384" i="18"/>
  <c r="U384" i="18" s="1"/>
  <c r="P26" i="18" a="1"/>
  <c r="P26" i="18" s="1"/>
  <c r="R26" i="18" s="1"/>
  <c r="U26" i="18" s="1"/>
  <c r="P18" i="18" a="1"/>
  <c r="P18" i="18" s="1"/>
  <c r="R18" i="18" s="1"/>
  <c r="U18" i="18" s="1"/>
  <c r="P8" i="18" a="1"/>
  <c r="P8" i="18" s="1"/>
  <c r="R8" i="18" s="1"/>
  <c r="U8" i="18" s="1"/>
  <c r="O389" i="18" a="1"/>
  <c r="O389" i="18" s="1"/>
  <c r="O371" i="18" a="1"/>
  <c r="O371" i="18" s="1"/>
  <c r="O345" i="18" a="1"/>
  <c r="O345" i="18" s="1"/>
  <c r="O327" i="18" a="1"/>
  <c r="O327" i="18" s="1"/>
  <c r="O318" i="18" a="1"/>
  <c r="O318" i="18" s="1"/>
  <c r="O309" i="18" a="1"/>
  <c r="O309" i="18" s="1"/>
  <c r="O300" i="18" a="1"/>
  <c r="O300" i="18" s="1"/>
  <c r="O291" i="18" a="1"/>
  <c r="O291" i="18" s="1"/>
  <c r="O282" i="18" a="1"/>
  <c r="O282" i="18" s="1"/>
  <c r="O274" i="18" a="1"/>
  <c r="O274" i="18" s="1"/>
  <c r="O256" i="18" a="1"/>
  <c r="O256" i="18" s="1"/>
  <c r="O247" i="18" a="1"/>
  <c r="O247" i="18" s="1"/>
  <c r="O238" i="18" a="1"/>
  <c r="O238" i="18" s="1"/>
  <c r="O220" i="18" a="1"/>
  <c r="O220" i="18" s="1"/>
  <c r="O203" i="18" a="1"/>
  <c r="O203" i="18" s="1"/>
  <c r="O167" i="18" a="1"/>
  <c r="O167" i="18" s="1"/>
  <c r="O158" i="18" a="1"/>
  <c r="O158" i="18" s="1"/>
  <c r="O151" i="18" a="1"/>
  <c r="O151" i="18" s="1"/>
  <c r="O136" i="18" a="1"/>
  <c r="O136" i="18" s="1"/>
  <c r="O128" i="18" a="1"/>
  <c r="O128" i="18" s="1"/>
  <c r="O120" i="18" a="1"/>
  <c r="O120" i="18" s="1"/>
  <c r="O103" i="18" a="1"/>
  <c r="O103" i="18" s="1"/>
  <c r="O94" i="18" a="1"/>
  <c r="O94" i="18" s="1"/>
  <c r="O75" i="18" a="1"/>
  <c r="O75" i="18" s="1"/>
  <c r="O64" i="18" a="1"/>
  <c r="O64" i="18" s="1"/>
  <c r="O44" i="18" a="1"/>
  <c r="O44" i="18" s="1"/>
  <c r="O29" i="18" a="1"/>
  <c r="O29" i="18" s="1"/>
  <c r="O9" i="18" a="1"/>
  <c r="O9" i="18" s="1"/>
  <c r="P25" i="18" a="1"/>
  <c r="P25" i="18" s="1"/>
  <c r="R25" i="18" s="1"/>
  <c r="U25" i="18" s="1"/>
  <c r="P17" i="18" a="1"/>
  <c r="P17" i="18" s="1"/>
  <c r="R17" i="18" s="1"/>
  <c r="U17" i="18" s="1"/>
  <c r="P7" i="18" a="1"/>
  <c r="P7" i="18" s="1"/>
  <c r="R7" i="18" s="1"/>
  <c r="U7" i="18" s="1"/>
  <c r="O388" i="18" a="1"/>
  <c r="O388" i="18" s="1"/>
  <c r="O380" i="18" a="1"/>
  <c r="O380" i="18" s="1"/>
  <c r="O362" i="18" a="1"/>
  <c r="O362" i="18" s="1"/>
  <c r="O353" i="18" a="1"/>
  <c r="O353" i="18" s="1"/>
  <c r="O344" i="18" a="1"/>
  <c r="O344" i="18" s="1"/>
  <c r="O336" i="18" a="1"/>
  <c r="O336" i="18" s="1"/>
  <c r="O326" i="18" a="1"/>
  <c r="O326" i="18" s="1"/>
  <c r="O317" i="18" a="1"/>
  <c r="O317" i="18" s="1"/>
  <c r="O299" i="18" a="1"/>
  <c r="O299" i="18" s="1"/>
  <c r="O273" i="18" a="1"/>
  <c r="O273" i="18" s="1"/>
  <c r="O255" i="18" a="1"/>
  <c r="O255" i="18" s="1"/>
  <c r="O246" i="18" a="1"/>
  <c r="O246" i="18" s="1"/>
  <c r="O237" i="18" a="1"/>
  <c r="O237" i="18" s="1"/>
  <c r="O228" i="18" a="1"/>
  <c r="O228" i="18" s="1"/>
  <c r="O219" i="18" a="1"/>
  <c r="O219" i="18" s="1"/>
  <c r="O210" i="18" a="1"/>
  <c r="O210" i="18" s="1"/>
  <c r="O202" i="18" a="1"/>
  <c r="O202" i="18" s="1"/>
  <c r="O184" i="18" a="1"/>
  <c r="O184" i="18" s="1"/>
  <c r="O176" i="18" a="1"/>
  <c r="O176" i="18" s="1"/>
  <c r="O143" i="18" a="1"/>
  <c r="O143" i="18" s="1"/>
  <c r="O135" i="18" a="1"/>
  <c r="O135" i="18" s="1"/>
  <c r="O112" i="18" a="1"/>
  <c r="O112" i="18" s="1"/>
  <c r="O102" i="18" a="1"/>
  <c r="O102" i="18" s="1"/>
  <c r="O74" i="18" a="1"/>
  <c r="O74" i="18" s="1"/>
  <c r="O63" i="18" a="1"/>
  <c r="O63" i="18" s="1"/>
  <c r="O54" i="18" a="1"/>
  <c r="O54" i="18" s="1"/>
  <c r="O43" i="18" a="1"/>
  <c r="O43" i="18" s="1"/>
  <c r="O28" i="18" a="1"/>
  <c r="O28" i="18" s="1"/>
  <c r="P52" i="18" a="1"/>
  <c r="P52" i="18" s="1"/>
  <c r="R52" i="18" s="1"/>
  <c r="U52" i="18" s="1"/>
  <c r="P33" i="18" a="1"/>
  <c r="P33" i="18" s="1"/>
  <c r="R33" i="18" s="1"/>
  <c r="U33" i="18" s="1"/>
  <c r="P24" i="18" a="1"/>
  <c r="P24" i="18" s="1"/>
  <c r="R24" i="18" s="1"/>
  <c r="U24" i="18" s="1"/>
  <c r="O387" i="18" a="1"/>
  <c r="O387" i="18" s="1"/>
  <c r="O370" i="18" a="1"/>
  <c r="O370" i="18" s="1"/>
  <c r="O352" i="18" a="1"/>
  <c r="O352" i="18" s="1"/>
  <c r="O343" i="18" a="1"/>
  <c r="O343" i="18" s="1"/>
  <c r="O335" i="18" a="1"/>
  <c r="O335" i="18" s="1"/>
  <c r="O316" i="18" a="1"/>
  <c r="O316" i="18" s="1"/>
  <c r="O308" i="18" a="1"/>
  <c r="O308" i="18" s="1"/>
  <c r="O290" i="18" a="1"/>
  <c r="O290" i="18" s="1"/>
  <c r="O281" i="18" a="1"/>
  <c r="O281" i="18" s="1"/>
  <c r="O272" i="18" a="1"/>
  <c r="O272" i="18" s="1"/>
  <c r="O264" i="18" a="1"/>
  <c r="O264" i="18" s="1"/>
  <c r="O254" i="18" a="1"/>
  <c r="O254" i="18" s="1"/>
  <c r="O245" i="18" a="1"/>
  <c r="O245" i="18" s="1"/>
  <c r="O227" i="18" a="1"/>
  <c r="O227" i="18" s="1"/>
  <c r="O201" i="18" a="1"/>
  <c r="O201" i="18" s="1"/>
  <c r="O183" i="18" a="1"/>
  <c r="O183" i="18" s="1"/>
  <c r="O175" i="18" a="1"/>
  <c r="O175" i="18" s="1"/>
  <c r="O166" i="18" a="1"/>
  <c r="O166" i="18" s="1"/>
  <c r="O150" i="18" a="1"/>
  <c r="O150" i="18" s="1"/>
  <c r="O127" i="18" a="1"/>
  <c r="O127" i="18" s="1"/>
  <c r="O119" i="18" a="1"/>
  <c r="O119" i="18" s="1"/>
  <c r="O111" i="18" a="1"/>
  <c r="O111" i="18" s="1"/>
  <c r="O93" i="18" a="1"/>
  <c r="O93" i="18" s="1"/>
  <c r="O84" i="18" a="1"/>
  <c r="O84" i="18" s="1"/>
  <c r="O53" i="18" a="1"/>
  <c r="O53" i="18" s="1"/>
  <c r="O42" i="18" a="1"/>
  <c r="O42" i="18" s="1"/>
  <c r="O27" i="18" a="1"/>
  <c r="O27" i="18" s="1"/>
  <c r="O369" i="18" a="1"/>
  <c r="O369" i="18" s="1"/>
  <c r="O351" i="18" a="1"/>
  <c r="O351" i="18" s="1"/>
  <c r="O342" i="18" a="1"/>
  <c r="O342" i="18" s="1"/>
  <c r="O315" i="18" a="1"/>
  <c r="O315" i="18" s="1"/>
  <c r="O298" i="18" a="1"/>
  <c r="O298" i="18" s="1"/>
  <c r="O280" i="18" a="1"/>
  <c r="O280" i="18" s="1"/>
  <c r="O271" i="18" a="1"/>
  <c r="O271" i="18" s="1"/>
  <c r="O263" i="18" a="1"/>
  <c r="O263" i="18" s="1"/>
  <c r="O244" i="18" a="1"/>
  <c r="O244" i="18" s="1"/>
  <c r="O236" i="18" a="1"/>
  <c r="O236" i="18" s="1"/>
  <c r="O218" i="18" a="1"/>
  <c r="O218" i="18" s="1"/>
  <c r="O209" i="18" a="1"/>
  <c r="O209" i="18" s="1"/>
  <c r="O200" i="18" a="1"/>
  <c r="O200" i="18" s="1"/>
  <c r="O192" i="18" a="1"/>
  <c r="O192" i="18" s="1"/>
  <c r="O174" i="18" a="1"/>
  <c r="O174" i="18" s="1"/>
  <c r="O165" i="18" a="1"/>
  <c r="O165" i="18" s="1"/>
  <c r="O149" i="18" a="1"/>
  <c r="O149" i="18" s="1"/>
  <c r="O142" i="18" a="1"/>
  <c r="O142" i="18" s="1"/>
  <c r="O134" i="18" a="1"/>
  <c r="O134" i="18" s="1"/>
  <c r="O126" i="18" a="1"/>
  <c r="O126" i="18" s="1"/>
  <c r="O118" i="18" a="1"/>
  <c r="O118" i="18" s="1"/>
  <c r="O110" i="18" a="1"/>
  <c r="O110" i="18" s="1"/>
  <c r="O101" i="18" a="1"/>
  <c r="O101" i="18" s="1"/>
  <c r="O92" i="18" a="1"/>
  <c r="O92" i="18" s="1"/>
  <c r="O83" i="18" a="1"/>
  <c r="O83" i="18" s="1"/>
  <c r="O72" i="18" a="1"/>
  <c r="O72" i="18" s="1"/>
  <c r="O62" i="18" a="1"/>
  <c r="O62" i="18" s="1"/>
  <c r="O52" i="18" a="1"/>
  <c r="O52" i="18" s="1"/>
  <c r="O41" i="18" a="1"/>
  <c r="O41" i="18" s="1"/>
  <c r="O26" i="18" a="1"/>
  <c r="O26" i="18" s="1"/>
  <c r="P23" i="18" a="1"/>
  <c r="P23" i="18" s="1"/>
  <c r="R23" i="18" s="1"/>
  <c r="U23" i="18" s="1"/>
  <c r="P15" i="18" a="1"/>
  <c r="P15" i="18" s="1"/>
  <c r="R15" i="18" s="1"/>
  <c r="U15" i="18" s="1"/>
  <c r="O386" i="18" a="1"/>
  <c r="O386" i="18" s="1"/>
  <c r="O378" i="18" a="1"/>
  <c r="O378" i="18" s="1"/>
  <c r="O368" i="18" a="1"/>
  <c r="O368" i="18" s="1"/>
  <c r="O360" i="18" a="1"/>
  <c r="O360" i="18" s="1"/>
  <c r="O334" i="18" a="1"/>
  <c r="O334" i="18" s="1"/>
  <c r="O324" i="18" a="1"/>
  <c r="O324" i="18" s="1"/>
  <c r="O307" i="18" a="1"/>
  <c r="O307" i="18" s="1"/>
  <c r="O297" i="18" a="1"/>
  <c r="O297" i="18" s="1"/>
  <c r="O279" i="18" a="1"/>
  <c r="O279" i="18" s="1"/>
  <c r="O270" i="18" a="1"/>
  <c r="O270" i="18" s="1"/>
  <c r="O243" i="18" a="1"/>
  <c r="O243" i="18" s="1"/>
  <c r="O226" i="18" a="1"/>
  <c r="O226" i="18" s="1"/>
  <c r="O208" i="18" a="1"/>
  <c r="O208" i="18" s="1"/>
  <c r="O199" i="18" a="1"/>
  <c r="O199" i="18" s="1"/>
  <c r="O191" i="18" a="1"/>
  <c r="O191" i="18" s="1"/>
  <c r="O182" i="18" a="1"/>
  <c r="O182" i="18" s="1"/>
  <c r="O173" i="18" a="1"/>
  <c r="O173" i="18" s="1"/>
  <c r="O156" i="18" a="1"/>
  <c r="O156" i="18" s="1"/>
  <c r="O148" i="18" a="1"/>
  <c r="O148" i="18" s="1"/>
  <c r="O141" i="18" a="1"/>
  <c r="O141" i="18" s="1"/>
  <c r="O100" i="18" a="1"/>
  <c r="O100" i="18" s="1"/>
  <c r="O91" i="18" a="1"/>
  <c r="O91" i="18" s="1"/>
  <c r="O82" i="18" a="1"/>
  <c r="O82" i="18" s="1"/>
  <c r="O71" i="18" a="1"/>
  <c r="O71" i="18" s="1"/>
  <c r="O61" i="18" a="1"/>
  <c r="O61" i="18" s="1"/>
  <c r="O51" i="18" a="1"/>
  <c r="O51" i="18" s="1"/>
  <c r="O39" i="18" a="1"/>
  <c r="O39" i="18" s="1"/>
  <c r="R388" i="18"/>
  <c r="U388" i="18" s="1"/>
  <c r="R378" i="18"/>
  <c r="U378" i="18" s="1"/>
  <c r="R369" i="18"/>
  <c r="U369" i="18" s="1"/>
  <c r="R313" i="18"/>
  <c r="U313" i="18" s="1"/>
  <c r="R156" i="18"/>
  <c r="U156" i="18" s="1"/>
  <c r="R138" i="18"/>
  <c r="U138" i="18" s="1"/>
  <c r="R129" i="18"/>
  <c r="U129" i="18" s="1"/>
  <c r="R110" i="18"/>
  <c r="U110" i="18" s="1"/>
  <c r="R101" i="18"/>
  <c r="U101" i="18" s="1"/>
  <c r="R54" i="18"/>
  <c r="U54" i="18" s="1"/>
  <c r="R45" i="18"/>
  <c r="U45" i="18" s="1"/>
  <c r="P58" i="18" a="1"/>
  <c r="P58" i="18" s="1"/>
  <c r="R58" i="18" s="1"/>
  <c r="U58" i="18" s="1"/>
  <c r="P41" i="18" a="1"/>
  <c r="P41" i="18" s="1"/>
  <c r="R41" i="18" s="1"/>
  <c r="U41" i="18" s="1"/>
  <c r="P14" i="18" a="1"/>
  <c r="P14" i="18" s="1"/>
  <c r="R14" i="18" s="1"/>
  <c r="U14" i="18" s="1"/>
  <c r="P5" i="18" a="1"/>
  <c r="P5" i="18" s="1"/>
  <c r="R5" i="18" s="1"/>
  <c r="U5" i="18" s="1"/>
  <c r="O377" i="18" a="1"/>
  <c r="O377" i="18" s="1"/>
  <c r="O359" i="18" a="1"/>
  <c r="O359" i="18" s="1"/>
  <c r="O350" i="18" a="1"/>
  <c r="O350" i="18" s="1"/>
  <c r="O341" i="18" a="1"/>
  <c r="O341" i="18" s="1"/>
  <c r="O333" i="18" a="1"/>
  <c r="O333" i="18" s="1"/>
  <c r="O314" i="18" a="1"/>
  <c r="O314" i="18" s="1"/>
  <c r="O306" i="18" a="1"/>
  <c r="O306" i="18" s="1"/>
  <c r="O296" i="18" a="1"/>
  <c r="O296" i="18" s="1"/>
  <c r="O288" i="18" a="1"/>
  <c r="O288" i="18" s="1"/>
  <c r="O262" i="18" a="1"/>
  <c r="O262" i="18" s="1"/>
  <c r="O252" i="18" a="1"/>
  <c r="O252" i="18" s="1"/>
  <c r="O235" i="18" a="1"/>
  <c r="O235" i="18" s="1"/>
  <c r="O225" i="18" a="1"/>
  <c r="O225" i="18" s="1"/>
  <c r="O207" i="18" a="1"/>
  <c r="O207" i="18" s="1"/>
  <c r="O198" i="18" a="1"/>
  <c r="O198" i="18" s="1"/>
  <c r="O172" i="18" a="1"/>
  <c r="O172" i="18" s="1"/>
  <c r="O164" i="18" a="1"/>
  <c r="O164" i="18" s="1"/>
  <c r="O147" i="18" a="1"/>
  <c r="O147" i="18" s="1"/>
  <c r="O140" i="18" a="1"/>
  <c r="O140" i="18" s="1"/>
  <c r="O125" i="18" a="1"/>
  <c r="O125" i="18" s="1"/>
  <c r="O117" i="18" a="1"/>
  <c r="O117" i="18" s="1"/>
  <c r="O108" i="18" a="1"/>
  <c r="O108" i="18" s="1"/>
  <c r="O90" i="18" a="1"/>
  <c r="O90" i="18" s="1"/>
  <c r="O81" i="18" a="1"/>
  <c r="O81" i="18" s="1"/>
  <c r="O70" i="18" a="1"/>
  <c r="O70" i="18" s="1"/>
  <c r="O50" i="18" a="1"/>
  <c r="O50" i="18" s="1"/>
  <c r="O38" i="18" a="1"/>
  <c r="O38" i="18" s="1"/>
  <c r="P40" i="18" a="1"/>
  <c r="P40" i="18" s="1"/>
  <c r="R40" i="18" s="1"/>
  <c r="U40" i="18" s="1"/>
  <c r="P31" i="18" a="1"/>
  <c r="P31" i="18" s="1"/>
  <c r="R31" i="18" s="1"/>
  <c r="U31" i="18" s="1"/>
  <c r="P22" i="18" a="1"/>
  <c r="P22" i="18" s="1"/>
  <c r="R22" i="18" s="1"/>
  <c r="U22" i="18" s="1"/>
  <c r="P13" i="18" a="1"/>
  <c r="P13" i="18" s="1"/>
  <c r="R13" i="18" s="1"/>
  <c r="U13" i="18" s="1"/>
  <c r="P4" i="18" a="1"/>
  <c r="P4" i="18" s="1"/>
  <c r="R4" i="18" s="1"/>
  <c r="U4" i="18" s="1"/>
  <c r="O384" i="18" a="1"/>
  <c r="O384" i="18" s="1"/>
  <c r="O376" i="18" a="1"/>
  <c r="O376" i="18" s="1"/>
  <c r="O367" i="18" a="1"/>
  <c r="O367" i="18" s="1"/>
  <c r="O358" i="18" a="1"/>
  <c r="O358" i="18" s="1"/>
  <c r="O332" i="18" a="1"/>
  <c r="O332" i="18" s="1"/>
  <c r="O323" i="18" a="1"/>
  <c r="O323" i="18" s="1"/>
  <c r="O305" i="18" a="1"/>
  <c r="O305" i="18" s="1"/>
  <c r="O287" i="18" a="1"/>
  <c r="O287" i="18" s="1"/>
  <c r="O278" i="18" a="1"/>
  <c r="O278" i="18" s="1"/>
  <c r="O269" i="18" a="1"/>
  <c r="O269" i="18" s="1"/>
  <c r="O261" i="18" a="1"/>
  <c r="O261" i="18" s="1"/>
  <c r="O242" i="18" a="1"/>
  <c r="O242" i="18" s="1"/>
  <c r="O234" i="18" a="1"/>
  <c r="O234" i="18" s="1"/>
  <c r="O224" i="18" a="1"/>
  <c r="O224" i="18" s="1"/>
  <c r="O216" i="18" a="1"/>
  <c r="O216" i="18" s="1"/>
  <c r="O190" i="18" a="1"/>
  <c r="O190" i="18" s="1"/>
  <c r="O171" i="18" a="1"/>
  <c r="O171" i="18" s="1"/>
  <c r="O155" i="18" a="1"/>
  <c r="O155" i="18" s="1"/>
  <c r="O132" i="18" a="1"/>
  <c r="O132" i="18" s="1"/>
  <c r="O107" i="18" a="1"/>
  <c r="O107" i="18" s="1"/>
  <c r="O99" i="18" a="1"/>
  <c r="O99" i="18" s="1"/>
  <c r="O89" i="18" a="1"/>
  <c r="O89" i="18" s="1"/>
  <c r="O80" i="18" a="1"/>
  <c r="O80" i="18" s="1"/>
  <c r="O69" i="18" a="1"/>
  <c r="O69" i="18" s="1"/>
  <c r="P21" i="18" a="1"/>
  <c r="P21" i="18" s="1"/>
  <c r="R21" i="18" s="1"/>
  <c r="U21" i="18" s="1"/>
  <c r="P12" i="18" a="1"/>
  <c r="P12" i="18" s="1"/>
  <c r="R12" i="18" s="1"/>
  <c r="U12" i="18" s="1"/>
  <c r="P3" i="18" a="1"/>
  <c r="P3" i="18" s="1"/>
  <c r="R3" i="18" s="1"/>
  <c r="U3" i="18" s="1"/>
  <c r="O375" i="18" a="1"/>
  <c r="O375" i="18" s="1"/>
  <c r="O357" i="18" a="1"/>
  <c r="O357" i="18" s="1"/>
  <c r="O340" i="18" a="1"/>
  <c r="O340" i="18" s="1"/>
  <c r="O331" i="18" a="1"/>
  <c r="O331" i="18" s="1"/>
  <c r="O322" i="18" a="1"/>
  <c r="O322" i="18" s="1"/>
  <c r="O312" i="18" a="1"/>
  <c r="O312" i="18" s="1"/>
  <c r="O304" i="18" a="1"/>
  <c r="O304" i="18" s="1"/>
  <c r="O295" i="18" a="1"/>
  <c r="O295" i="18" s="1"/>
  <c r="O286" i="18" a="1"/>
  <c r="O286" i="18" s="1"/>
  <c r="O260" i="18" a="1"/>
  <c r="O260" i="18" s="1"/>
  <c r="O251" i="18" a="1"/>
  <c r="O251" i="18" s="1"/>
  <c r="O233" i="18" a="1"/>
  <c r="O233" i="18" s="1"/>
  <c r="O215" i="18" a="1"/>
  <c r="O215" i="18" s="1"/>
  <c r="O206" i="18" a="1"/>
  <c r="O206" i="18" s="1"/>
  <c r="O197" i="18" a="1"/>
  <c r="O197" i="18" s="1"/>
  <c r="O189" i="18" a="1"/>
  <c r="O189" i="18" s="1"/>
  <c r="O180" i="18" a="1"/>
  <c r="O180" i="18" s="1"/>
  <c r="O163" i="18" a="1"/>
  <c r="O163" i="18" s="1"/>
  <c r="O146" i="18" a="1"/>
  <c r="O146" i="18" s="1"/>
  <c r="O139" i="18" a="1"/>
  <c r="O139" i="18" s="1"/>
  <c r="O124" i="18" a="1"/>
  <c r="O124" i="18" s="1"/>
  <c r="O116" i="18" a="1"/>
  <c r="O116" i="18" s="1"/>
  <c r="O98" i="18" a="1"/>
  <c r="O98" i="18" s="1"/>
  <c r="O79" i="18" a="1"/>
  <c r="O79" i="18" s="1"/>
  <c r="O59" i="18" a="1"/>
  <c r="O59" i="18" s="1"/>
  <c r="O48" i="18" a="1"/>
  <c r="O48" i="18" s="1"/>
  <c r="O35" i="18" a="1"/>
  <c r="O35" i="18" s="1"/>
  <c r="O21" i="18" a="1"/>
  <c r="O21" i="18" s="1"/>
  <c r="O366" i="18" a="1"/>
  <c r="O366" i="18" s="1"/>
  <c r="O356" i="18" a="1"/>
  <c r="O356" i="18" s="1"/>
  <c r="O348" i="18" a="1"/>
  <c r="O348" i="18" s="1"/>
  <c r="O339" i="18" a="1"/>
  <c r="O339" i="18" s="1"/>
  <c r="O330" i="18" a="1"/>
  <c r="O330" i="18" s="1"/>
  <c r="O321" i="18" a="1"/>
  <c r="O321" i="18" s="1"/>
  <c r="O303" i="18" a="1"/>
  <c r="O303" i="18" s="1"/>
  <c r="O285" i="18" a="1"/>
  <c r="O285" i="18" s="1"/>
  <c r="O268" i="18" a="1"/>
  <c r="O268" i="18" s="1"/>
  <c r="O259" i="18" a="1"/>
  <c r="O259" i="18" s="1"/>
  <c r="O250" i="18" a="1"/>
  <c r="O250" i="18" s="1"/>
  <c r="O240" i="18" a="1"/>
  <c r="O240" i="18" s="1"/>
  <c r="O232" i="18" a="1"/>
  <c r="O232" i="18" s="1"/>
  <c r="O223" i="18" a="1"/>
  <c r="O223" i="18" s="1"/>
  <c r="O214" i="18" a="1"/>
  <c r="O214" i="18" s="1"/>
  <c r="O188" i="18" a="1"/>
  <c r="O188" i="18" s="1"/>
  <c r="O170" i="18" a="1"/>
  <c r="O170" i="18" s="1"/>
  <c r="O162" i="18" a="1"/>
  <c r="O162" i="18" s="1"/>
  <c r="O154" i="18" a="1"/>
  <c r="O154" i="18" s="1"/>
  <c r="O131" i="18" a="1"/>
  <c r="O131" i="18" s="1"/>
  <c r="O123" i="18" a="1"/>
  <c r="O123" i="18" s="1"/>
  <c r="O115" i="18" a="1"/>
  <c r="O115" i="18" s="1"/>
  <c r="O106" i="18" a="1"/>
  <c r="O106" i="18" s="1"/>
  <c r="O88" i="18" a="1"/>
  <c r="O88" i="18" s="1"/>
  <c r="O68" i="18" a="1"/>
  <c r="O68" i="18" s="1"/>
  <c r="O58" i="18" a="1"/>
  <c r="O58" i="18" s="1"/>
  <c r="O47" i="18" a="1"/>
  <c r="O47" i="18" s="1"/>
  <c r="O33" i="18" a="1"/>
  <c r="O33" i="18" s="1"/>
  <c r="O19" i="18" a="1"/>
  <c r="O19" i="18" s="1"/>
  <c r="P37" i="18" a="1"/>
  <c r="P37" i="18" s="1"/>
  <c r="R37" i="18" s="1"/>
  <c r="U37" i="18" s="1"/>
  <c r="P29" i="18" a="1"/>
  <c r="P29" i="18" s="1"/>
  <c r="R29" i="18" s="1"/>
  <c r="U29" i="18" s="1"/>
  <c r="P2" i="18" a="1"/>
  <c r="P2" i="18" s="1"/>
  <c r="R2" i="18" s="1"/>
  <c r="U2" i="18" s="1"/>
  <c r="O365" i="18" a="1"/>
  <c r="O365" i="18" s="1"/>
  <c r="O355" i="18" a="1"/>
  <c r="O355" i="18" s="1"/>
  <c r="O338" i="18" a="1"/>
  <c r="O338" i="18" s="1"/>
  <c r="O329" i="18" a="1"/>
  <c r="O329" i="18" s="1"/>
  <c r="O311" i="18" a="1"/>
  <c r="O311" i="18" s="1"/>
  <c r="O302" i="18" a="1"/>
  <c r="O302" i="18" s="1"/>
  <c r="O294" i="18" a="1"/>
  <c r="O294" i="18" s="1"/>
  <c r="O284" i="18" a="1"/>
  <c r="O284" i="18" s="1"/>
  <c r="O276" i="18" a="1"/>
  <c r="O276" i="18" s="1"/>
  <c r="O267" i="18" a="1"/>
  <c r="O267" i="18" s="1"/>
  <c r="O258" i="18" a="1"/>
  <c r="O258" i="18" s="1"/>
  <c r="O249" i="18" a="1"/>
  <c r="O249" i="18" s="1"/>
  <c r="O231" i="18" a="1"/>
  <c r="O231" i="18" s="1"/>
  <c r="O196" i="18" a="1"/>
  <c r="O196" i="18" s="1"/>
  <c r="O187" i="18" a="1"/>
  <c r="O187" i="18" s="1"/>
  <c r="O179" i="18" a="1"/>
  <c r="O179" i="18" s="1"/>
  <c r="O161" i="18" a="1"/>
  <c r="O161" i="18" s="1"/>
  <c r="O153" i="18" a="1"/>
  <c r="O153" i="18" s="1"/>
  <c r="O138" i="18" a="1"/>
  <c r="O138" i="18" s="1"/>
  <c r="O105" i="18" a="1"/>
  <c r="O105" i="18" s="1"/>
  <c r="O87" i="18" a="1"/>
  <c r="O87" i="18" s="1"/>
  <c r="O78" i="18" a="1"/>
  <c r="O78" i="18" s="1"/>
  <c r="O67" i="18" a="1"/>
  <c r="O67" i="18" s="1"/>
  <c r="O57" i="18" a="1"/>
  <c r="O57" i="18" s="1"/>
  <c r="O46" i="18" a="1"/>
  <c r="O46" i="18" s="1"/>
  <c r="O32" i="18" a="1"/>
  <c r="O32" i="18" s="1"/>
  <c r="O16" i="18" a="1"/>
  <c r="O16" i="18" s="1"/>
  <c r="O22" i="18" a="1"/>
  <c r="O22" i="18" s="1"/>
  <c r="O14" i="18" a="1"/>
  <c r="O14" i="18" s="1"/>
  <c r="O6" i="18" a="1"/>
  <c r="O6" i="18" s="1"/>
  <c r="O5" i="18" a="1"/>
  <c r="O5" i="18" s="1"/>
  <c r="O4" i="18" a="1"/>
  <c r="O4" i="18" s="1"/>
  <c r="O20" i="18" a="1"/>
  <c r="O20" i="18" s="1"/>
  <c r="O12" i="18" a="1"/>
  <c r="O12" i="18" s="1"/>
  <c r="O11" i="18" a="1"/>
  <c r="O11" i="18" s="1"/>
  <c r="O3" i="18" a="1"/>
  <c r="O3" i="18" s="1"/>
  <c r="O10" i="18" a="1"/>
  <c r="O10" i="18" s="1"/>
  <c r="O18" i="18" a="1"/>
  <c r="O18" i="18" s="1"/>
  <c r="O2" i="18" a="1"/>
  <c r="O2" i="18" s="1"/>
  <c r="Y276" i="17"/>
  <c r="Q276" i="17" s="1"/>
  <c r="W276" i="17" s="1"/>
  <c r="Y241" i="17"/>
  <c r="Q241" i="17" s="1"/>
  <c r="W241" i="17" s="1"/>
  <c r="Y205" i="17"/>
  <c r="Q205" i="17" s="1"/>
  <c r="W205" i="17" s="1"/>
  <c r="Y112" i="17"/>
  <c r="Q112" i="17" s="1"/>
  <c r="W112" i="17" s="1"/>
  <c r="Q6" i="17"/>
  <c r="W6" i="17" s="1"/>
  <c r="Y287" i="17"/>
  <c r="Q287" i="17" s="1"/>
  <c r="W287" i="17" s="1"/>
  <c r="Q250" i="17"/>
  <c r="W250" i="17" s="1"/>
  <c r="Y268" i="17"/>
  <c r="Q268" i="17" s="1"/>
  <c r="W268" i="17" s="1"/>
  <c r="Q7" i="17"/>
  <c r="W7" i="17" s="1"/>
  <c r="Y17" i="17"/>
  <c r="Q17" i="17" s="1"/>
  <c r="W17" i="17" s="1"/>
  <c r="N302" i="17" a="1"/>
  <c r="N302" i="17" s="1"/>
  <c r="N206" i="17" a="1"/>
  <c r="N206" i="17" s="1"/>
  <c r="Y297" i="17"/>
  <c r="Q297" i="17" s="1"/>
  <c r="W297" i="17" s="1"/>
  <c r="Y10" i="17"/>
  <c r="Q10" i="17" s="1"/>
  <c r="W10" i="17" s="1"/>
  <c r="Q55" i="17"/>
  <c r="W55" i="17" s="1"/>
  <c r="Q338" i="17"/>
  <c r="W338" i="17" s="1"/>
  <c r="Y230" i="17"/>
  <c r="Q230" i="17" s="1"/>
  <c r="W230" i="17" s="1"/>
  <c r="Q166" i="17"/>
  <c r="W166" i="17" s="1"/>
  <c r="N22" i="17" a="1"/>
  <c r="N22" i="17" s="1"/>
  <c r="N205" i="17" a="1"/>
  <c r="N205" i="17" s="1"/>
  <c r="Q259" i="17"/>
  <c r="W259" i="17" s="1"/>
  <c r="Y68" i="17"/>
  <c r="Q68" i="17" s="1"/>
  <c r="W68" i="17" s="1"/>
  <c r="Y340" i="17"/>
  <c r="Q340" i="17" s="1"/>
  <c r="W340" i="17" s="1"/>
  <c r="Y306" i="17"/>
  <c r="Q306" i="17" s="1"/>
  <c r="W306" i="17" s="1"/>
  <c r="Y293" i="17"/>
  <c r="Q293" i="17" s="1"/>
  <c r="W293" i="17" s="1"/>
  <c r="Y15" i="17"/>
  <c r="Q15" i="17" s="1"/>
  <c r="W15" i="17" s="1"/>
  <c r="N21" i="17" a="1"/>
  <c r="N21" i="17" s="1"/>
  <c r="N132" i="17" a="1"/>
  <c r="N132" i="17" s="1"/>
  <c r="Y100" i="17"/>
  <c r="Q100" i="17" s="1"/>
  <c r="W100" i="17" s="1"/>
  <c r="Y246" i="17"/>
  <c r="Q246" i="17" s="1"/>
  <c r="W246" i="17" s="1"/>
  <c r="Q54" i="17"/>
  <c r="W54" i="17" s="1"/>
  <c r="Q51" i="17"/>
  <c r="W51" i="17" s="1"/>
  <c r="Q228" i="17"/>
  <c r="W228" i="17" s="1"/>
  <c r="Y325" i="17"/>
  <c r="Q325" i="17" s="1"/>
  <c r="W325" i="17" s="1"/>
  <c r="N133" i="17" a="1"/>
  <c r="N133" i="17" s="1"/>
  <c r="N20" i="17" a="1"/>
  <c r="N20" i="17" s="1"/>
  <c r="Q87" i="17"/>
  <c r="W87" i="17" s="1"/>
  <c r="Y286" i="17"/>
  <c r="Q286" i="17" s="1"/>
  <c r="W286" i="17" s="1"/>
  <c r="Y36" i="17"/>
  <c r="Q36" i="17" s="1"/>
  <c r="W36" i="17" s="1"/>
  <c r="Y160" i="17"/>
  <c r="Q160" i="17" s="1"/>
  <c r="W160" i="17" s="1"/>
  <c r="Y324" i="17"/>
  <c r="Q324" i="17" s="1"/>
  <c r="W324" i="17" s="1"/>
  <c r="Y13" i="17"/>
  <c r="Q13" i="17" s="1"/>
  <c r="W13" i="17" s="1"/>
  <c r="N123" i="17" a="1"/>
  <c r="N123" i="17" s="1"/>
  <c r="N18" i="17" a="1"/>
  <c r="N18" i="17" s="1"/>
  <c r="Q86" i="17"/>
  <c r="W86" i="17" s="1"/>
  <c r="Q30" i="17"/>
  <c r="W30" i="17" s="1"/>
  <c r="Y291" i="17"/>
  <c r="Q291" i="17" s="1"/>
  <c r="W291" i="17" s="1"/>
  <c r="Y65" i="17"/>
  <c r="Q65" i="17" s="1"/>
  <c r="W65" i="17" s="1"/>
  <c r="Y318" i="17"/>
  <c r="Q318" i="17" s="1"/>
  <c r="W318" i="17" s="1"/>
  <c r="Q337" i="17"/>
  <c r="W337" i="17" s="1"/>
  <c r="Y152" i="17"/>
  <c r="Q152" i="17" s="1"/>
  <c r="W152" i="17" s="1"/>
  <c r="N113" i="17" a="1"/>
  <c r="N113" i="17" s="1"/>
  <c r="N3" i="17" a="1"/>
  <c r="N3" i="17" s="1"/>
  <c r="Q188" i="17"/>
  <c r="W188" i="17" s="1"/>
  <c r="Q327" i="17"/>
  <c r="W327" i="17" s="1"/>
  <c r="Q174" i="17"/>
  <c r="W174" i="17" s="1"/>
  <c r="Q223" i="17"/>
  <c r="W223" i="17" s="1"/>
  <c r="Q151" i="17"/>
  <c r="W151" i="17" s="1"/>
  <c r="N103" i="17" a="1"/>
  <c r="N103" i="17" s="1"/>
  <c r="N312" i="17" a="1"/>
  <c r="N312" i="17" s="1"/>
  <c r="Y187" i="17"/>
  <c r="Q187" i="17" s="1"/>
  <c r="W187" i="17" s="1"/>
  <c r="Y272" i="17"/>
  <c r="Q272" i="17" s="1"/>
  <c r="W272" i="17" s="1"/>
  <c r="N93" i="17" a="1"/>
  <c r="N93" i="17" s="1"/>
  <c r="N292" i="17" a="1"/>
  <c r="N292" i="17" s="1"/>
  <c r="Q191" i="17"/>
  <c r="W191" i="17" s="1"/>
  <c r="Y240" i="17"/>
  <c r="Q240" i="17" s="1"/>
  <c r="W240" i="17" s="1"/>
  <c r="Q239" i="17"/>
  <c r="W239" i="17" s="1"/>
  <c r="Q108" i="17"/>
  <c r="W108" i="17" s="1"/>
  <c r="Y305" i="17"/>
  <c r="Q305" i="17" s="1"/>
  <c r="W305" i="17" s="1"/>
  <c r="Q221" i="17"/>
  <c r="W221" i="17" s="1"/>
  <c r="Q216" i="17"/>
  <c r="W216" i="17" s="1"/>
  <c r="N208" i="17" a="1"/>
  <c r="N208" i="17" s="1"/>
  <c r="N272" i="17" a="1"/>
  <c r="N272" i="17" s="1"/>
  <c r="Q148" i="17"/>
  <c r="W148" i="17" s="1"/>
  <c r="N83" i="17" a="1"/>
  <c r="N83" i="17" s="1"/>
  <c r="N262" i="17" a="1"/>
  <c r="N262" i="17" s="1"/>
  <c r="Y281" i="17"/>
  <c r="Q281" i="17" s="1"/>
  <c r="W281" i="17" s="1"/>
  <c r="Q133" i="17"/>
  <c r="W133" i="17" s="1"/>
  <c r="Q93" i="17"/>
  <c r="W93" i="17" s="1"/>
  <c r="Q81" i="17"/>
  <c r="W81" i="17" s="1"/>
  <c r="Q288" i="17"/>
  <c r="W288" i="17" s="1"/>
  <c r="Y234" i="17"/>
  <c r="Q234" i="17" s="1"/>
  <c r="W234" i="17" s="1"/>
  <c r="Y41" i="17"/>
  <c r="Q41" i="17" s="1"/>
  <c r="W41" i="17" s="1"/>
  <c r="Q285" i="17"/>
  <c r="W285" i="17" s="1"/>
  <c r="Q294" i="17"/>
  <c r="W294" i="17" s="1"/>
  <c r="Q214" i="17"/>
  <c r="W214" i="17" s="1"/>
  <c r="Y322" i="17"/>
  <c r="Q322" i="17" s="1"/>
  <c r="W322" i="17" s="1"/>
  <c r="N152" i="17" a="1"/>
  <c r="N152" i="17" s="1"/>
  <c r="N332" i="17" a="1"/>
  <c r="N332" i="17" s="1"/>
  <c r="Y69" i="17"/>
  <c r="Q69" i="17" s="1"/>
  <c r="W69" i="17" s="1"/>
  <c r="Q39" i="17"/>
  <c r="W39" i="17" s="1"/>
  <c r="Q244" i="17"/>
  <c r="W244" i="17" s="1"/>
  <c r="Y310" i="17"/>
  <c r="Q310" i="17" s="1"/>
  <c r="W310" i="17" s="1"/>
  <c r="Y238" i="17"/>
  <c r="Q238" i="17" s="1"/>
  <c r="W238" i="17" s="1"/>
  <c r="Y95" i="17"/>
  <c r="Q95" i="17" s="1"/>
  <c r="W95" i="17" s="1"/>
  <c r="Q136" i="17"/>
  <c r="W136" i="17" s="1"/>
  <c r="Y71" i="17"/>
  <c r="Q71" i="17" s="1"/>
  <c r="W71" i="17" s="1"/>
  <c r="Q70" i="17"/>
  <c r="W70" i="17" s="1"/>
  <c r="Q290" i="17"/>
  <c r="W290" i="17" s="1"/>
  <c r="Y184" i="17"/>
  <c r="Q184" i="17" s="1"/>
  <c r="W184" i="17" s="1"/>
  <c r="Y182" i="17"/>
  <c r="Q182" i="17" s="1"/>
  <c r="W182" i="17" s="1"/>
  <c r="Q284" i="17"/>
  <c r="W284" i="17" s="1"/>
  <c r="Y144" i="17"/>
  <c r="Q144" i="17" s="1"/>
  <c r="W144" i="17" s="1"/>
  <c r="N12" i="17" a="1"/>
  <c r="N12" i="17" s="1"/>
  <c r="N16" i="17" a="1"/>
  <c r="N16" i="17" s="1"/>
  <c r="N282" i="17" a="1"/>
  <c r="N282" i="17" s="1"/>
  <c r="N204" i="17" a="1"/>
  <c r="N204" i="17" s="1"/>
  <c r="N203" i="17" a="1"/>
  <c r="N203" i="17" s="1"/>
  <c r="N122" i="17" a="1"/>
  <c r="N122" i="17" s="1"/>
  <c r="N202" i="17" a="1"/>
  <c r="N202" i="17" s="1"/>
  <c r="N112" i="17" a="1"/>
  <c r="N112" i="17" s="1"/>
  <c r="N147" i="17" a="1"/>
  <c r="N147" i="17" s="1"/>
  <c r="N102" i="17" a="1"/>
  <c r="N102" i="17" s="1"/>
  <c r="N146" i="17" a="1"/>
  <c r="N146" i="17" s="1"/>
  <c r="N72" i="17" a="1"/>
  <c r="N72" i="17" s="1"/>
  <c r="N145" i="17" a="1"/>
  <c r="N145" i="17" s="1"/>
  <c r="N17" i="17" a="1"/>
  <c r="N17" i="17" s="1"/>
  <c r="N19" i="17" a="1"/>
  <c r="N19" i="17" s="1"/>
  <c r="N15" i="17" a="1"/>
  <c r="N15" i="17" s="1"/>
  <c r="N144" i="17" a="1"/>
  <c r="N144" i="17" s="1"/>
  <c r="N14" i="17" a="1"/>
  <c r="N14" i="17" s="1"/>
  <c r="N143" i="17" a="1"/>
  <c r="N143" i="17" s="1"/>
  <c r="N13" i="17" a="1"/>
  <c r="N13" i="17" s="1"/>
  <c r="N142" i="17" a="1"/>
  <c r="N142" i="17" s="1"/>
  <c r="N2" i="17" a="1"/>
  <c r="N2" i="17" s="1"/>
  <c r="N92" i="17" a="1"/>
  <c r="N92" i="17" s="1"/>
  <c r="N82" i="17" a="1"/>
  <c r="N82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adrub\desktop\ruben\uma\optativas\modelado y simulación de sistemas\modelado mio\arena\practica 3\practica3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adrub\desktop\ruben\uma\optativas\modelado y simulación de sistemas\modelado mio\arena\practica 3\practica3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adrub\desktop\ruben\uma\optativas\modelado y simulación de sistemas\modelado mio\arena\practica 3\practica3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adrub\desktop\ruben\uma\optativas\modelado y simulación de sistemas\modelado mio\arena\practica 3\practica3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adrub\desktop\ruben\uma\optativas\modelado y simulación de sistemas\modelado mio\arena\practica 3\practica3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adrub\desktop\ruben\uma\optativas\modelado y simulación de sistemas\modelado mio\arena\practica 3\practica3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<sst xmlns="http://schemas.openxmlformats.org/spreadsheetml/2006/main" count="5329" uniqueCount="145">
  <si>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</si>
  <si>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</si>
  <si>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</si>
  <si>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</si>
  <si>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</si>
  <si>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</si>
  <si>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</si>
  <si>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</si>
  <si>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</si>
  <si>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</si>
  <si>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</si>
  <si>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</si>
  <si>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</si>
  <si>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</si>
  <si>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</si>
  <si>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</si>
  <si>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</si>
  <si>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</si>
  <si>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</si>
  <si>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</si>
  <si>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</si>
  <si>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</si>
  <si>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</si>
  <si>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</si>
  <si>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</si>
  <si>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</si>
  <si>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</si>
  <si>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</si>
  <si>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</si>
  <si>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</si>
  <si>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</si>
  <si>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</si>
  <si>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</si>
  <si>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</si>
  <si>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</si>
  <si>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</si>
  <si>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</si>
  <si>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</si>
  <si>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</si>
  <si>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</si>
  <si>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</si>
  <si>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</si>
  <si>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</si>
  <si>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</si>
  <si>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</si>
  <si>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</si>
  <si>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</si>
  <si>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</si>
  <si>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</si>
  <si>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</si>
  <si>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</si>
  <si>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</si>
  <si>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</si>
  <si>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</si>
  <si>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</si>
  <si>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</si>
  <si>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</si>
  <si>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</si>
  <si>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</si>
  <si>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</si>
  <si>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</si>
  <si>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</si>
  <si>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</si>
  <si>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</si>
  <si>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</si>
  <si>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</si>
  <si>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</si>
  <si>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C:\Users\adrub\Desktop\Ruben\UMA\Optativas\Modelado y Simulación de Sistemas\Modelado mio\Arena\Practica 3\practica3.p</t>
  </si>
  <si>
    <t>2023-05-15 11:51:53</t>
  </si>
  <si>
    <t>Cargar Avion.Queue</t>
  </si>
  <si>
    <t>Waiting Time</t>
  </si>
  <si>
    <t>Queue</t>
  </si>
  <si>
    <t>Entity 1</t>
  </si>
  <si>
    <t>NVA Time</t>
  </si>
  <si>
    <t>Entity</t>
  </si>
  <si>
    <t>Other Time</t>
  </si>
  <si>
    <t>Total Time</t>
  </si>
  <si>
    <t>Transfer Time</t>
  </si>
  <si>
    <t>VA Time</t>
  </si>
  <si>
    <t>Wait Time</t>
  </si>
  <si>
    <t>Leave 1.Queue</t>
  </si>
  <si>
    <t>Leave 4.Queue</t>
  </si>
  <si>
    <t>Leave 5.Queue</t>
  </si>
  <si>
    <t>Leave 6.Queue</t>
  </si>
  <si>
    <t>Leave 7.Queue</t>
  </si>
  <si>
    <t>Leave 8.Queue</t>
  </si>
  <si>
    <t>Leave 9.Queue</t>
  </si>
  <si>
    <t>Maleta Internacional</t>
  </si>
  <si>
    <t>Maleta Nacional</t>
  </si>
  <si>
    <t>TCiclo Internacional</t>
  </si>
  <si>
    <t>None</t>
  </si>
  <si>
    <t>User Specified</t>
  </si>
  <si>
    <t>TCiclo Nacional</t>
  </si>
  <si>
    <t>manualinter.Queue</t>
  </si>
  <si>
    <t>manualnaciona.Queue</t>
  </si>
  <si>
    <t>maquinainter.Queue</t>
  </si>
  <si>
    <t>maquinanacional.Queue</t>
  </si>
  <si>
    <t>mostrador1.Queue</t>
  </si>
  <si>
    <t>mostrador2.Queue</t>
  </si>
  <si>
    <t>Number Waiting</t>
  </si>
  <si>
    <t>WIP</t>
  </si>
  <si>
    <t>Interauto</t>
  </si>
  <si>
    <t>Instantaneous Utilization</t>
  </si>
  <si>
    <t>Resource</t>
  </si>
  <si>
    <t>Number Busy</t>
  </si>
  <si>
    <t>Number Scheduled</t>
  </si>
  <si>
    <t>Nacionalauto</t>
  </si>
  <si>
    <t>Operarios Avion</t>
  </si>
  <si>
    <t>cajera</t>
  </si>
  <si>
    <t>cajera2</t>
  </si>
  <si>
    <t>persona</t>
  </si>
  <si>
    <t>registro1</t>
  </si>
  <si>
    <t>registro2</t>
  </si>
  <si>
    <t>D.internacional</t>
  </si>
  <si>
    <t>Count</t>
  </si>
  <si>
    <t>D.nacional</t>
  </si>
  <si>
    <t>Entity 1.NumberIn</t>
  </si>
  <si>
    <t>Number In</t>
  </si>
  <si>
    <t>Entity 1.NumberOut</t>
  </si>
  <si>
    <t>Number Out</t>
  </si>
  <si>
    <t>Interauto.NumberSeized</t>
  </si>
  <si>
    <t>Total Number Seized</t>
  </si>
  <si>
    <t>Interauto.ScheduledUtilization</t>
  </si>
  <si>
    <t>Scheduled Utilization</t>
  </si>
  <si>
    <t>Maleta Internacional.NumberIn</t>
  </si>
  <si>
    <t>Maleta Internacional.NumberOut</t>
  </si>
  <si>
    <t>Maleta Nacional.NumberIn</t>
  </si>
  <si>
    <t>Maleta Nacional.NumberOut</t>
  </si>
  <si>
    <t>Nacionalauto.NumberSeized</t>
  </si>
  <si>
    <t>Nacionalauto.ScheduledUtilization</t>
  </si>
  <si>
    <t>Operarios Avion.NumberSeized</t>
  </si>
  <si>
    <t>Operarios Avion.ScheduledUtilization</t>
  </si>
  <si>
    <t>System.NumberOut</t>
  </si>
  <si>
    <t>System</t>
  </si>
  <si>
    <t>cajera.NumberSeized</t>
  </si>
  <si>
    <t>cajera.ScheduledUtilization</t>
  </si>
  <si>
    <t>cajera2.NumberSeized</t>
  </si>
  <si>
    <t>cajera2.ScheduledUtilization</t>
  </si>
  <si>
    <t>persona.NumberIn</t>
  </si>
  <si>
    <t>persona.NumberOut</t>
  </si>
  <si>
    <t>registro1.NumberSeized</t>
  </si>
  <si>
    <t>registro1.ScheduledUtilization</t>
  </si>
  <si>
    <t>registro2.NumberSeized</t>
  </si>
  <si>
    <t>registro2.ScheduledUtilization</t>
  </si>
  <si>
    <t>(en blanco)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</si>
</sst>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en lopez" refreshedDate="45061.494490509256" createdVersion="7" refreshedVersion="8" minRefreshableVersion="3" recordCount="39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148">
        <s v="Cargar Avion.Queue"/>
        <s v="Entity 1"/>
        <s v="Interauto"/>
        <s v="Leave 1.Queue"/>
        <s v="Leave 4.Queue"/>
        <s v="Leave 5.Queue"/>
        <s v="Leave 6.Queue"/>
        <s v="Leave 7.Queue"/>
        <s v="Leave 8.Queue"/>
        <s v="Leave 9.Queue"/>
        <s v="Maleta Internacional"/>
        <s v="Maleta Nacional"/>
        <s v="Nacionalauto"/>
        <s v="Operarios Avion"/>
        <s v="cajera"/>
        <s v="cajera2"/>
        <s v="manualinter.Queue"/>
        <s v="manualnaciona.Queue"/>
        <s v="maquinainter.Queue"/>
        <s v="maquinanacional.Queue"/>
        <s v="mostrador1.Queue"/>
        <s v="mostrador2.Queue"/>
        <s v="persona"/>
        <s v="registro1"/>
        <s v="registro2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Resource 1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0" maxValue="16.425571484417201"/>
    </cacheField>
    <cacheField name="BatchMeansHalfWidth" numFmtId="0">
      <sharedItems containsSemiMixedTypes="0" containsString="0" containsNumber="1" minValue="8.1427530514589196E-3" maxValue="3E+20"/>
    </cacheField>
    <cacheField name="Minimum" numFmtId="0">
      <sharedItems containsSemiMixedTypes="0" containsString="0" containsNumber="1" containsInteger="1" minValue="0" maxValue="2"/>
    </cacheField>
    <cacheField name="Maximum" numFmtId="0">
      <sharedItems containsSemiMixedTypes="0" containsString="0" containsNumber="1" containsInteger="1" minValue="0" maxValue="33"/>
    </cacheField>
    <cacheField name="LastRecordedValue" numFmtId="0">
      <sharedItems containsSemiMixedTypes="0" containsString="0" containsNumber="1" minValue="0" maxValue="3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OfAverage" numFmtId="0">
      <sharedItems containsSemiMixedTypes="0" containsString="0" containsNumber="1" minValue="0" maxValue="13.037689788098451"/>
    </cacheField>
    <cacheField name="StDevOfAverage" numFmtId="0">
      <sharedItems containsSemiMixedTypes="0" containsString="0" containsNumber="1" minValue="0" maxValue="1.963164388507191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.4043632028742961"/>
    </cacheField>
    <cacheField name="MinimumAverage" numFmtId="0">
      <sharedItems containsSemiMixedTypes="0" containsString="0" containsNumber="1" minValue="0" maxValue="10.277307754823401"/>
    </cacheField>
    <cacheField name="MaximumAverage" numFmtId="0">
      <sharedItems containsSemiMixedTypes="0" containsString="0" containsNumber="1" minValue="0" maxValue="16.425571484417201"/>
    </cacheField>
    <cacheField name="SummaryHalfWidth" numFmtId="0">
      <sharedItems containsSemiMixedTypes="0" containsString="0" containsNumber="1" minValue="0" maxValue="1.40436320287429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en lopez" refreshedDate="45061.494490856479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en lopez" refreshedDate="45061.494491319441" createdVersion="7" refreshedVersion="8" minRefreshableVersion="3" recordCount="34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117">
        <s v="Cargar Avion.Queue"/>
        <s v="Entity 1"/>
        <s v="Leave 1.Queue"/>
        <s v="Leave 4.Queue"/>
        <s v="Leave 5.Queue"/>
        <s v="Leave 6.Queue"/>
        <s v="Leave 7.Queue"/>
        <s v="Leave 8.Queue"/>
        <s v="Leave 9.Queue"/>
        <s v="Maleta Internacional"/>
        <s v="Maleta Nacional"/>
        <s v="manualinter.Queue"/>
        <s v="manualnaciona.Queue"/>
        <s v="maquinainter.Queue"/>
        <s v="maquinanacional.Queue"/>
        <s v="mostrador1.Queue"/>
        <s v="mostrador2.Queue"/>
        <s v="TCiclo Internacional"/>
        <s v="TCiclo Nacional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Process Part Type 2 on Prep2" u="1"/>
      </sharedItems>
    </cacheField>
    <cacheField name="Type" numFmtId="0">
      <sharedItems containsBlank="1" count="13">
        <s v="Waiting Time"/>
        <s v="NVA Time"/>
        <s v="Other Time"/>
        <s v="Total Time"/>
        <s v="Transfer Time"/>
        <s v="VA Time"/>
        <s v="Wait Time"/>
        <s v="Non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s v="User Specified"/>
        <m u="1"/>
        <s v="Process" u="1"/>
      </sharedItems>
    </cacheField>
    <cacheField name="Average" numFmtId="0">
      <sharedItems containsSemiMixedTypes="0" containsString="0" containsNumber="1" minValue="0" maxValue="42.045643918903899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24.900372240101401"/>
    </cacheField>
    <cacheField name="Maximum" numFmtId="0">
      <sharedItems containsSemiMixedTypes="0" containsString="0" containsNumber="1" minValue="0" maxValue="115.03202502190101"/>
    </cacheField>
    <cacheField name="NumberObservations" numFmtId="0">
      <sharedItems containsSemiMixedTypes="0" containsString="0" containsNumber="1" containsInteger="1" minValue="1" maxValue="448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OfAverage" numFmtId="0">
      <sharedItems containsSemiMixedTypes="0" containsString="0" containsNumber="1" minValue="0" maxValue="37.229253620322382"/>
    </cacheField>
    <cacheField name="StDevOfAverage" numFmtId="0">
      <sharedItems containsSemiMixedTypes="0" containsString="0" containsNumber="1" minValue="0" maxValue="6.967935422210556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4.9845607246359398"/>
    </cacheField>
    <cacheField name="MinimumAverage" numFmtId="0">
      <sharedItems containsSemiMixedTypes="0" containsString="0" containsNumber="1" minValue="0" maxValue="34.084822591333797"/>
    </cacheField>
    <cacheField name="MaximumAverage" numFmtId="0">
      <sharedItems containsSemiMixedTypes="0" containsString="0" containsNumber="1" minValue="0" maxValue="42.045643918903899"/>
    </cacheField>
    <cacheField name="OverallMinimum" numFmtId="0">
      <sharedItems containsSemiMixedTypes="0" containsString="0" containsNumber="1" minValue="0" maxValue="23.2621458877368"/>
    </cacheField>
    <cacheField name="OverallMaximum" numFmtId="0">
      <sharedItems containsSemiMixedTypes="0" containsString="0" containsNumber="1" minValue="0" maxValue="115.03202502190101"/>
    </cacheField>
    <cacheField name="AverageNumberObservations" numFmtId="0">
      <sharedItems containsSemiMixedTypes="0" containsString="0" containsNumber="1" minValue="3.6" maxValue="404.1"/>
    </cacheField>
    <cacheField name="SummaryHalfWidth" numFmtId="0">
      <sharedItems containsSemiMixedTypes="0" containsString="0" containsNumber="1" minValue="0" maxValue="4.9845607246359398"/>
    </cacheField>
    <cacheField name="RepsWithStatObserved" numFmtId="0">
      <sharedItems containsSemiMixedTypes="0" containsString="0" containsNumber="1" containsInteger="1" minValue="10" maxValue="1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en lopez" refreshedDate="45061.494491666665" createdVersion="7" refreshedVersion="8" minRefreshableVersion="3" recordCount="23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99">
        <s v="Entity 1.NumberIn"/>
        <s v="Entity 1.NumberOut"/>
        <s v="Interauto.NumberSeized"/>
        <s v="Interauto.ScheduledUtilization"/>
        <s v="Maleta Internacional.NumberIn"/>
        <s v="Maleta Internacional.NumberOut"/>
        <s v="Maleta Nacional.NumberIn"/>
        <s v="Maleta Nacional.NumberOut"/>
        <s v="Nacionalauto.NumberSeized"/>
        <s v="Nacionalauto.ScheduledUtilization"/>
        <s v="Operarios Avion.NumberSeized"/>
        <s v="Operarios Avion.ScheduledUtilization"/>
        <s v="System.NumberOut"/>
        <s v="cajera.NumberSeized"/>
        <s v="cajera.ScheduledUtilization"/>
        <s v="cajera2.NumberSeized"/>
        <s v="cajera2.ScheduledUtilization"/>
        <s v="persona.NumberIn"/>
        <s v="persona.NumberOut"/>
        <s v="registro1.NumberSeized"/>
        <s v="registro1.ScheduledUtilization"/>
        <s v="registro2.NumberSeized"/>
        <s v="registro2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" maxValue="757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" numFmtId="0">
      <sharedItems containsSemiMixedTypes="0" containsString="0" containsNumber="1" minValue="0" maxValue="677.4"/>
    </cacheField>
    <cacheField name="StandardDeviation" numFmtId="0">
      <sharedItems containsSemiMixedTypes="0" containsString="0" containsNumber="1" minValue="0" maxValue="51.50361368119932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36.843465729291147"/>
    </cacheField>
    <cacheField name="Minimum" numFmtId="0">
      <sharedItems containsSemiMixedTypes="0" containsString="0" containsNumber="1" minValue="0" maxValue="612"/>
    </cacheField>
    <cacheField name="Maximum" numFmtId="0">
      <sharedItems containsSemiMixedTypes="0" containsString="0" containsNumber="1" minValue="0" maxValue="75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en lopez" refreshedDate="45061.494492013888" createdVersion="7" refreshedVersion="8" minRefreshableVersion="3" recordCount="2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6">
        <s v="D.internacional"/>
        <s v="D.nacional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0" maxValue="14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" numFmtId="0">
      <sharedItems containsSemiMixedTypes="0" containsString="0" containsNumber="1" minValue="3.9" maxValue="11.2"/>
    </cacheField>
    <cacheField name="StandardDeviation" numFmtId="0">
      <sharedItems containsSemiMixedTypes="0" containsString="0" containsNumber="1" minValue="2.2335820757001272" maxValue="2.440400695696414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1.5978083629043778" maxValue="1.7457574910020446"/>
    </cacheField>
    <cacheField name="Minimum" numFmtId="0">
      <sharedItems containsSemiMixedTypes="0" containsString="0" containsNumber="1" containsInteger="1" minValue="0" maxValue="8"/>
    </cacheField>
    <cacheField name="Maximum" numFmtId="0">
      <sharedItems containsSemiMixedTypes="0" containsString="0" containsNumber="1" containsInteger="1" minValue="6" maxValue="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0">
  <r>
    <x v="0"/>
    <s v="2023-05-15 11:51:53"/>
    <n v="1"/>
    <x v="0"/>
    <x v="0"/>
    <x v="0"/>
    <n v="2.99173791266488E-4"/>
    <n v="2E+20"/>
    <n v="0"/>
    <n v="1"/>
    <n v="0"/>
    <n v="0"/>
    <s v="Unnamed ProjectCargar Avion.QueueNumber WaitingQueue"/>
    <n v="10"/>
    <n v="4.3234278073230802E-4"/>
    <n v="8.6650685478403973E-4"/>
    <n v="0.95"/>
    <n v="6.1986166264068276E-4"/>
    <n v="0"/>
    <n v="2.8294284227636502E-3"/>
    <n v="6.1986166264068276E-4"/>
  </r>
  <r>
    <x v="0"/>
    <s v="2023-05-15 11:51:53"/>
    <n v="1"/>
    <x v="1"/>
    <x v="1"/>
    <x v="1"/>
    <n v="1.6851971076197101"/>
    <n v="3E+20"/>
    <n v="0"/>
    <n v="8"/>
    <n v="6"/>
    <n v="0"/>
    <s v="Unnamed ProjectEntity 1WIPEntity"/>
    <n v="10"/>
    <n v="1.938691833558875"/>
    <n v="0.24426972485872975"/>
    <n v="0.95"/>
    <n v="0.17474003459724646"/>
    <n v="1.6635577018983201"/>
    <n v="2.3099874805957801"/>
    <n v="0.17474003459724646"/>
  </r>
  <r>
    <x v="0"/>
    <s v="2023-05-15 11:51:53"/>
    <n v="1"/>
    <x v="2"/>
    <x v="2"/>
    <x v="2"/>
    <n v="0.26574304531041898"/>
    <n v="2E+20"/>
    <n v="0"/>
    <n v="1"/>
    <n v="0"/>
    <n v="0"/>
    <s v="Unnamed ProjectInterautoInstantaneous UtilizationResource"/>
    <n v="10"/>
    <n v="0.26535205929836458"/>
    <n v="2.5807993647623796E-2"/>
    <n v="0.95"/>
    <n v="1.8461926485074727E-2"/>
    <n v="0.20483176768320299"/>
    <n v="0.29552077299252399"/>
    <n v="1.8461926485074727E-2"/>
  </r>
  <r>
    <x v="0"/>
    <s v="2023-05-15 11:51:53"/>
    <n v="1"/>
    <x v="2"/>
    <x v="3"/>
    <x v="2"/>
    <n v="0.26574304531041898"/>
    <n v="2E+20"/>
    <n v="0"/>
    <n v="1"/>
    <n v="0"/>
    <n v="0"/>
    <s v="Unnamed ProjectInterautoNumber BusyResource"/>
    <n v="10"/>
    <n v="0.26535205929836458"/>
    <n v="2.5807993647623796E-2"/>
    <n v="0.95"/>
    <n v="1.8461926485074727E-2"/>
    <n v="0.20483176768320299"/>
    <n v="0.29552077299252399"/>
    <n v="1.8461926485074727E-2"/>
  </r>
  <r>
    <x v="0"/>
    <s v="2023-05-15 11:51:53"/>
    <n v="1"/>
    <x v="2"/>
    <x v="4"/>
    <x v="2"/>
    <n v="1"/>
    <n v="2E+20"/>
    <n v="1"/>
    <n v="1"/>
    <n v="1"/>
    <n v="0"/>
    <s v="Unnamed ProjectInterautoNumber ScheduledResource"/>
    <n v="10"/>
    <n v="1"/>
    <n v="0"/>
    <n v="0.95"/>
    <n v="0"/>
    <n v="1"/>
    <n v="1"/>
    <n v="0"/>
  </r>
  <r>
    <x v="0"/>
    <s v="2023-05-15 11:51:53"/>
    <n v="1"/>
    <x v="3"/>
    <x v="0"/>
    <x v="0"/>
    <n v="0.20138305683662799"/>
    <n v="3.3240088709993697E-2"/>
    <n v="0"/>
    <n v="4"/>
    <n v="0"/>
    <n v="0"/>
    <s v="Unnamed ProjectLeave 1.QueueNumber WaitingQueue"/>
    <n v="10"/>
    <n v="0.20353568461890376"/>
    <n v="2.6549184575613477E-2"/>
    <n v="0.95"/>
    <n v="1.899214253405495E-2"/>
    <n v="0.168502364443611"/>
    <n v="0.24578450490959"/>
    <n v="1.899214253405495E-2"/>
  </r>
  <r>
    <x v="0"/>
    <s v="2023-05-15 11:51:53"/>
    <n v="1"/>
    <x v="4"/>
    <x v="0"/>
    <x v="0"/>
    <n v="6.0328557173678302E-3"/>
    <n v="2E+20"/>
    <n v="0"/>
    <n v="2"/>
    <n v="0"/>
    <n v="0"/>
    <s v="Unnamed ProjectLeave 4.QueueNumber WaitingQueue"/>
    <n v="10"/>
    <n v="4.8729672989697272E-3"/>
    <n v="9.2135939256816457E-4"/>
    <n v="0.95"/>
    <n v="6.5910080435457321E-4"/>
    <n v="3.2012309459038099E-3"/>
    <n v="6.0338305270789001E-3"/>
    <n v="6.5910080435457321E-4"/>
  </r>
  <r>
    <x v="0"/>
    <s v="2023-05-15 11:51:53"/>
    <n v="1"/>
    <x v="5"/>
    <x v="0"/>
    <x v="0"/>
    <n v="5.1493186659370499E-2"/>
    <n v="1.1839367548514499E-2"/>
    <n v="0"/>
    <n v="3"/>
    <n v="0"/>
    <n v="0"/>
    <s v="Unnamed ProjectLeave 5.QueueNumber WaitingQueue"/>
    <n v="10"/>
    <n v="4.8788152574119628E-2"/>
    <n v="5.3039270336942244E-3"/>
    <n v="0.95"/>
    <n v="3.7942008323176655E-3"/>
    <n v="4.1058101580258903E-2"/>
    <n v="5.6386723112129902E-2"/>
    <n v="3.7942008323176655E-3"/>
  </r>
  <r>
    <x v="0"/>
    <s v="2023-05-15 11:51:53"/>
    <n v="1"/>
    <x v="6"/>
    <x v="0"/>
    <x v="0"/>
    <n v="1.9027055835964301E-3"/>
    <n v="2E+20"/>
    <n v="0"/>
    <n v="1"/>
    <n v="0"/>
    <n v="0"/>
    <s v="Unnamed ProjectLeave 6.QueueNumber WaitingQueue"/>
    <n v="10"/>
    <n v="3.227619592382791E-3"/>
    <n v="1.5087685522347895E-3"/>
    <n v="0.95"/>
    <n v="1.0793080033525183E-3"/>
    <n v="4.7201486102630699E-4"/>
    <n v="6.2452549613019898E-3"/>
    <n v="1.0793080033525183E-3"/>
  </r>
  <r>
    <x v="0"/>
    <s v="2023-05-15 11:51:53"/>
    <n v="1"/>
    <x v="7"/>
    <x v="0"/>
    <x v="0"/>
    <n v="7.2840353337939395E-2"/>
    <n v="2E+20"/>
    <n v="0"/>
    <n v="3"/>
    <n v="0"/>
    <n v="0"/>
    <s v="Unnamed ProjectLeave 7.QueueNumber WaitingQueue"/>
    <n v="10"/>
    <n v="5.9441954240945373E-2"/>
    <n v="1.1519407308393107E-2"/>
    <n v="0.95"/>
    <n v="8.2404875707479553E-3"/>
    <n v="4.5386728660866099E-2"/>
    <n v="7.8633362228088005E-2"/>
    <n v="8.2404875707479553E-3"/>
  </r>
  <r>
    <x v="0"/>
    <s v="2023-05-15 11:51:53"/>
    <n v="1"/>
    <x v="8"/>
    <x v="0"/>
    <x v="0"/>
    <n v="9.0451064743319795E-4"/>
    <n v="2E+20"/>
    <n v="0"/>
    <n v="1"/>
    <n v="0"/>
    <n v="0"/>
    <s v="Unnamed ProjectLeave 8.QueueNumber WaitingQueue"/>
    <n v="10"/>
    <n v="2.1217771776478596E-3"/>
    <n v="8.0254950645480523E-4"/>
    <n v="0.95"/>
    <n v="5.7410933182579346E-4"/>
    <n v="9.0451064743319795E-4"/>
    <n v="3.5490296241417699E-3"/>
    <n v="5.7410933182579346E-4"/>
  </r>
  <r>
    <x v="0"/>
    <s v="2023-05-15 11:51:53"/>
    <n v="1"/>
    <x v="9"/>
    <x v="0"/>
    <x v="0"/>
    <n v="2.0079260911407899E-3"/>
    <n v="2E+20"/>
    <n v="0"/>
    <n v="1"/>
    <n v="0"/>
    <n v="0"/>
    <s v="Unnamed ProjectLeave 9.QueueNumber WaitingQueue"/>
    <n v="10"/>
    <n v="1.3877246767065991E-3"/>
    <n v="7.1875981577935533E-4"/>
    <n v="0.95"/>
    <n v="5.1416979795196457E-4"/>
    <n v="2.8555279956142001E-4"/>
    <n v="2.50186012594582E-3"/>
    <n v="5.1416979795196457E-4"/>
  </r>
  <r>
    <x v="0"/>
    <s v="2023-05-15 11:51:53"/>
    <n v="1"/>
    <x v="10"/>
    <x v="1"/>
    <x v="1"/>
    <n v="12.639851548122699"/>
    <n v="3E+20"/>
    <n v="0"/>
    <n v="25"/>
    <n v="15"/>
    <n v="0"/>
    <s v="Unnamed ProjectMaleta InternacionalWIPEntity"/>
    <n v="10"/>
    <n v="13.037689788098451"/>
    <n v="1.9631643885071912"/>
    <n v="0.95"/>
    <n v="1.4043632028742961"/>
    <n v="10.277307754823401"/>
    <n v="16.425571484417201"/>
    <n v="1.4043632028742961"/>
  </r>
  <r>
    <x v="0"/>
    <s v="2023-05-15 11:51:53"/>
    <n v="1"/>
    <x v="11"/>
    <x v="1"/>
    <x v="1"/>
    <n v="2.67222365426858"/>
    <n v="2E+20"/>
    <n v="0"/>
    <n v="10"/>
    <n v="1"/>
    <n v="0"/>
    <s v="Unnamed ProjectMaleta NacionalWIPEntity"/>
    <n v="10"/>
    <n v="2.7356580954557046"/>
    <n v="0.24675556542769644"/>
    <n v="0.95"/>
    <n v="0.17651829781539885"/>
    <n v="2.4605296674942401"/>
    <n v="3.2916533376655202"/>
    <n v="0.17651829781539885"/>
  </r>
  <r>
    <x v="0"/>
    <s v="2023-05-15 11:51:53"/>
    <n v="1"/>
    <x v="12"/>
    <x v="2"/>
    <x v="2"/>
    <n v="0.72909322032718105"/>
    <n v="2E+20"/>
    <n v="0"/>
    <n v="1"/>
    <n v="1"/>
    <n v="0"/>
    <s v="Unnamed ProjectNacionalautoInstantaneous UtilizationResource"/>
    <n v="10"/>
    <n v="0.73175058451933661"/>
    <n v="6.0813477412386734E-2"/>
    <n v="0.95"/>
    <n v="4.3503341043041877E-2"/>
    <n v="0.64995347349336796"/>
    <n v="0.82581624655093899"/>
    <n v="4.3503341043041877E-2"/>
  </r>
  <r>
    <x v="0"/>
    <s v="2023-05-15 11:51:53"/>
    <n v="1"/>
    <x v="12"/>
    <x v="3"/>
    <x v="2"/>
    <n v="0.72909322032718105"/>
    <n v="2E+20"/>
    <n v="0"/>
    <n v="1"/>
    <n v="1"/>
    <n v="0"/>
    <s v="Unnamed ProjectNacionalautoNumber BusyResource"/>
    <n v="10"/>
    <n v="0.73175058451933661"/>
    <n v="6.0813477412386734E-2"/>
    <n v="0.95"/>
    <n v="4.3503341043041877E-2"/>
    <n v="0.64995347349336796"/>
    <n v="0.82581624655093899"/>
    <n v="4.3503341043041877E-2"/>
  </r>
  <r>
    <x v="0"/>
    <s v="2023-05-15 11:51:53"/>
    <n v="1"/>
    <x v="12"/>
    <x v="4"/>
    <x v="2"/>
    <n v="1"/>
    <n v="2E+20"/>
    <n v="1"/>
    <n v="1"/>
    <n v="1"/>
    <n v="0"/>
    <s v="Unnamed ProjectNacionalautoNumber ScheduledResource"/>
    <n v="10"/>
    <n v="1"/>
    <n v="0"/>
    <n v="0.95"/>
    <n v="0"/>
    <n v="1"/>
    <n v="1"/>
    <n v="0"/>
  </r>
  <r>
    <x v="0"/>
    <s v="2023-05-15 11:51:53"/>
    <n v="1"/>
    <x v="13"/>
    <x v="2"/>
    <x v="2"/>
    <n v="6.7485948117393404E-2"/>
    <n v="1.43145214257229E-2"/>
    <n v="0"/>
    <n v="1"/>
    <n v="0"/>
    <n v="0"/>
    <s v="Unnamed ProjectOperarios AvionInstantaneous UtilizationResource"/>
    <n v="10"/>
    <n v="7.5958437118625627E-2"/>
    <n v="5.0572810112240948E-3"/>
    <n v="0.95"/>
    <n v="3.6177608968134627E-3"/>
    <n v="6.7485948117393404E-2"/>
    <n v="8.7852447587946303E-2"/>
    <n v="3.6177608968134627E-3"/>
  </r>
  <r>
    <x v="0"/>
    <s v="2023-05-15 11:51:53"/>
    <n v="1"/>
    <x v="13"/>
    <x v="3"/>
    <x v="2"/>
    <n v="0.134971896234787"/>
    <n v="2.86290428514458E-2"/>
    <n v="0"/>
    <n v="2"/>
    <n v="0"/>
    <n v="0"/>
    <s v="Unnamed ProjectOperarios AvionNumber BusyResource"/>
    <n v="10"/>
    <n v="0.1519168742372512"/>
    <n v="1.0114562022448264E-2"/>
    <n v="0.95"/>
    <n v="7.2355217936269783E-3"/>
    <n v="0.134971896234787"/>
    <n v="0.17570489517589299"/>
    <n v="7.2355217936269783E-3"/>
  </r>
  <r>
    <x v="0"/>
    <s v="2023-05-15 11:51:53"/>
    <n v="1"/>
    <x v="13"/>
    <x v="4"/>
    <x v="2"/>
    <n v="2"/>
    <n v="2E+20"/>
    <n v="2"/>
    <n v="2"/>
    <n v="2"/>
    <n v="0"/>
    <s v="Unnamed ProjectOperarios AvionNumber ScheduledResource"/>
    <n v="10"/>
    <n v="2"/>
    <n v="0"/>
    <n v="0.95"/>
    <n v="0"/>
    <n v="2"/>
    <n v="2"/>
    <n v="0"/>
  </r>
  <r>
    <x v="0"/>
    <s v="2023-05-15 11:51:53"/>
    <n v="1"/>
    <x v="14"/>
    <x v="2"/>
    <x v="2"/>
    <n v="0.35968491066771402"/>
    <n v="2E+20"/>
    <n v="0"/>
    <n v="1"/>
    <n v="1"/>
    <n v="0"/>
    <s v="Unnamed ProjectcajeraInstantaneous UtilizationResource"/>
    <n v="10"/>
    <n v="0.38078385056341441"/>
    <n v="5.6481911326734656E-2"/>
    <n v="0.95"/>
    <n v="4.040472533000234E-2"/>
    <n v="0.28913636698845602"/>
    <n v="0.46134650546047301"/>
    <n v="4.040472533000234E-2"/>
  </r>
  <r>
    <x v="0"/>
    <s v="2023-05-15 11:51:53"/>
    <n v="1"/>
    <x v="14"/>
    <x v="3"/>
    <x v="2"/>
    <n v="0.35968491066771402"/>
    <n v="2E+20"/>
    <n v="0"/>
    <n v="1"/>
    <n v="1"/>
    <n v="0"/>
    <s v="Unnamed ProjectcajeraNumber BusyResource"/>
    <n v="10"/>
    <n v="0.38078385056341441"/>
    <n v="5.6481911326734656E-2"/>
    <n v="0.95"/>
    <n v="4.040472533000234E-2"/>
    <n v="0.28913636698845602"/>
    <n v="0.46134650546047301"/>
    <n v="4.040472533000234E-2"/>
  </r>
  <r>
    <x v="0"/>
    <s v="2023-05-15 11:51:53"/>
    <n v="1"/>
    <x v="14"/>
    <x v="4"/>
    <x v="2"/>
    <n v="1"/>
    <n v="2E+20"/>
    <n v="1"/>
    <n v="1"/>
    <n v="1"/>
    <n v="0"/>
    <s v="Unnamed ProjectcajeraNumber ScheduledResource"/>
    <n v="10"/>
    <n v="1"/>
    <n v="0"/>
    <n v="0.95"/>
    <n v="0"/>
    <n v="1"/>
    <n v="1"/>
    <n v="0"/>
  </r>
  <r>
    <x v="0"/>
    <s v="2023-05-15 11:51:53"/>
    <n v="1"/>
    <x v="15"/>
    <x v="2"/>
    <x v="2"/>
    <n v="0.69752119636771104"/>
    <n v="2E+20"/>
    <n v="0"/>
    <n v="1"/>
    <n v="1"/>
    <n v="0"/>
    <s v="Unnamed Projectcajera2Instantaneous UtilizationResource"/>
    <n v="10"/>
    <n v="0.73571117943508912"/>
    <n v="2.3945213257811505E-2"/>
    <n v="0.95"/>
    <n v="1.7129373668915777E-2"/>
    <n v="0.69752119636771104"/>
    <n v="0.77845968782647601"/>
    <n v="1.7129373668915777E-2"/>
  </r>
  <r>
    <x v="0"/>
    <s v="2023-05-15 11:51:53"/>
    <n v="1"/>
    <x v="15"/>
    <x v="3"/>
    <x v="2"/>
    <n v="0.69752119636771104"/>
    <n v="2E+20"/>
    <n v="0"/>
    <n v="1"/>
    <n v="1"/>
    <n v="0"/>
    <s v="Unnamed Projectcajera2Number BusyResource"/>
    <n v="10"/>
    <n v="0.73571117943508912"/>
    <n v="2.3945213257811505E-2"/>
    <n v="0.95"/>
    <n v="1.7129373668915777E-2"/>
    <n v="0.69752119636771104"/>
    <n v="0.77845968782647601"/>
    <n v="1.7129373668915777E-2"/>
  </r>
  <r>
    <x v="0"/>
    <s v="2023-05-15 11:51:53"/>
    <n v="1"/>
    <x v="15"/>
    <x v="4"/>
    <x v="2"/>
    <n v="1"/>
    <n v="2E+20"/>
    <n v="1"/>
    <n v="1"/>
    <n v="1"/>
    <n v="0"/>
    <s v="Unnamed Projectcajera2Number ScheduledResource"/>
    <n v="10"/>
    <n v="1"/>
    <n v="0"/>
    <n v="0.95"/>
    <n v="0"/>
    <n v="1"/>
    <n v="1"/>
    <n v="0"/>
  </r>
  <r>
    <x v="0"/>
    <s v="2023-05-15 11:51:53"/>
    <n v="1"/>
    <x v="16"/>
    <x v="0"/>
    <x v="0"/>
    <n v="0.42437357441778001"/>
    <n v="2E+20"/>
    <n v="0"/>
    <n v="2"/>
    <n v="1"/>
    <n v="0"/>
    <s v="Unnamed Projectmanualinter.QueueNumber WaitingQueue"/>
    <n v="10"/>
    <n v="0.33257710094571935"/>
    <n v="0.27159595138606457"/>
    <n v="0.95"/>
    <n v="0.19428803945769421"/>
    <n v="4.88437833500961E-2"/>
    <n v="0.95917715937716497"/>
    <n v="0.19428803945769421"/>
  </r>
  <r>
    <x v="0"/>
    <s v="2023-05-15 11:51:53"/>
    <n v="1"/>
    <x v="17"/>
    <x v="0"/>
    <x v="0"/>
    <n v="0"/>
    <n v="2E+20"/>
    <n v="0"/>
    <n v="0"/>
    <n v="0"/>
    <n v="0"/>
    <s v="Unnamed Projectmanualnaciona.QueueNumber WaitingQueue"/>
    <n v="10"/>
    <n v="2.2437109622866062E-3"/>
    <n v="6.4095428429067599E-3"/>
    <n v="0.95"/>
    <n v="4.5851107367881972E-3"/>
    <n v="0"/>
    <n v="2.0447096127880302E-2"/>
    <n v="4.5851107367881972E-3"/>
  </r>
  <r>
    <x v="0"/>
    <s v="2023-05-15 11:51:53"/>
    <n v="1"/>
    <x v="18"/>
    <x v="0"/>
    <x v="0"/>
    <n v="2.14092352312377"/>
    <n v="3E+20"/>
    <n v="0"/>
    <n v="12"/>
    <n v="4"/>
    <n v="0"/>
    <s v="Unnamed Projectmaquinainter.QueueNumber WaitingQueue"/>
    <n v="10"/>
    <n v="2.7250893633296323"/>
    <n v="1.2704307292922721"/>
    <n v="0.95"/>
    <n v="0.90881139575657477"/>
    <n v="1.35760259855807"/>
    <n v="5.2621649076821404"/>
    <n v="0.90881139575657477"/>
  </r>
  <r>
    <x v="0"/>
    <s v="2023-05-15 11:51:53"/>
    <n v="1"/>
    <x v="19"/>
    <x v="0"/>
    <x v="0"/>
    <n v="0.133917837927408"/>
    <n v="2E+20"/>
    <n v="0"/>
    <n v="4"/>
    <n v="0"/>
    <n v="0"/>
    <s v="Unnamed Projectmaquinanacional.QueueNumber WaitingQueue"/>
    <n v="10"/>
    <n v="0.20327393268399513"/>
    <n v="5.4678802003311266E-2"/>
    <n v="0.95"/>
    <n v="3.9114858623271326E-2"/>
    <n v="9.7152989948067606E-2"/>
    <n v="0.28694483715654301"/>
    <n v="3.9114858623271326E-2"/>
  </r>
  <r>
    <x v="0"/>
    <s v="2023-05-15 11:51:53"/>
    <n v="1"/>
    <x v="20"/>
    <x v="0"/>
    <x v="0"/>
    <n v="0.147187834931682"/>
    <n v="2E+20"/>
    <n v="0"/>
    <n v="2"/>
    <n v="2"/>
    <n v="0"/>
    <s v="Unnamed Projectmostrador1.QueueNumber WaitingQueue"/>
    <n v="10"/>
    <n v="0.25365601436241814"/>
    <n v="9.7306237195948719E-2"/>
    <n v="0.95"/>
    <n v="6.9608688772141478E-2"/>
    <n v="0.124078487063659"/>
    <n v="0.381680898629085"/>
    <n v="6.9608688772141478E-2"/>
  </r>
  <r>
    <x v="0"/>
    <s v="2023-05-15 11:51:53"/>
    <n v="1"/>
    <x v="21"/>
    <x v="0"/>
    <x v="0"/>
    <n v="0.480803165652607"/>
    <n v="2E+20"/>
    <n v="0"/>
    <n v="3"/>
    <n v="2"/>
    <n v="0"/>
    <s v="Unnamed Projectmostrador2.QueueNumber WaitingQueue"/>
    <n v="10"/>
    <n v="0.56854078919795403"/>
    <n v="9.5876381195630939E-2"/>
    <n v="0.95"/>
    <n v="6.8585831407770567E-2"/>
    <n v="0.461258283509344"/>
    <n v="0.74281217456090598"/>
    <n v="6.8585831407770567E-2"/>
  </r>
  <r>
    <x v="0"/>
    <s v="2023-05-15 11:51:53"/>
    <n v="1"/>
    <x v="22"/>
    <x v="1"/>
    <x v="1"/>
    <n v="0"/>
    <n v="2E+20"/>
    <n v="0"/>
    <n v="0"/>
    <n v="0"/>
    <n v="0"/>
    <s v="Unnamed ProjectpersonaWIPEntity"/>
    <n v="10"/>
    <n v="0"/>
    <n v="0"/>
    <n v="0.95"/>
    <n v="0"/>
    <n v="0"/>
    <n v="0"/>
    <n v="0"/>
  </r>
  <r>
    <x v="0"/>
    <s v="2023-05-15 11:51:53"/>
    <n v="1"/>
    <x v="23"/>
    <x v="2"/>
    <x v="2"/>
    <n v="3.1325407242192502E-2"/>
    <n v="2E+20"/>
    <n v="0"/>
    <n v="1"/>
    <n v="0"/>
    <n v="0"/>
    <s v="Unnamed Projectregistro1Instantaneous UtilizationResource"/>
    <n v="10"/>
    <n v="5.6433247648491516E-2"/>
    <n v="2.4456082934732001E-2"/>
    <n v="0.95"/>
    <n v="1.7494827820351853E-2"/>
    <n v="2.1279401430778E-2"/>
    <n v="8.8472374570180701E-2"/>
    <n v="1.7494827820351853E-2"/>
  </r>
  <r>
    <x v="0"/>
    <s v="2023-05-15 11:51:53"/>
    <n v="1"/>
    <x v="23"/>
    <x v="3"/>
    <x v="2"/>
    <n v="3.1325407242192502E-2"/>
    <n v="2E+20"/>
    <n v="0"/>
    <n v="1"/>
    <n v="0"/>
    <n v="0"/>
    <s v="Unnamed Projectregistro1Number BusyResource"/>
    <n v="10"/>
    <n v="5.6433247648491516E-2"/>
    <n v="2.4456082934732001E-2"/>
    <n v="0.95"/>
    <n v="1.7494827820351853E-2"/>
    <n v="2.1279401430778E-2"/>
    <n v="8.8472374570180701E-2"/>
    <n v="1.7494827820351853E-2"/>
  </r>
  <r>
    <x v="0"/>
    <s v="2023-05-15 11:51:53"/>
    <n v="1"/>
    <x v="23"/>
    <x v="4"/>
    <x v="2"/>
    <n v="1"/>
    <n v="2E+20"/>
    <n v="1"/>
    <n v="1"/>
    <n v="1"/>
    <n v="0"/>
    <s v="Unnamed Projectregistro1Number ScheduledResource"/>
    <n v="10"/>
    <n v="1"/>
    <n v="0"/>
    <n v="0.95"/>
    <n v="0"/>
    <n v="1"/>
    <n v="1"/>
    <n v="0"/>
  </r>
  <r>
    <x v="0"/>
    <s v="2023-05-15 11:51:53"/>
    <n v="1"/>
    <x v="24"/>
    <x v="2"/>
    <x v="2"/>
    <n v="0.66990172486561195"/>
    <n v="2E+20"/>
    <n v="0"/>
    <n v="1"/>
    <n v="1"/>
    <n v="0"/>
    <s v="Unnamed Projectregistro2Instantaneous UtilizationResource"/>
    <n v="10"/>
    <n v="0.46274808587050231"/>
    <n v="9.1165192054027525E-2"/>
    <n v="0.95"/>
    <n v="6.5215649719990554E-2"/>
    <n v="0.338210899349628"/>
    <n v="0.66990172486561195"/>
    <n v="6.5215649719990554E-2"/>
  </r>
  <r>
    <x v="0"/>
    <s v="2023-05-15 11:51:53"/>
    <n v="1"/>
    <x v="24"/>
    <x v="3"/>
    <x v="2"/>
    <n v="0.66990172486561195"/>
    <n v="2E+20"/>
    <n v="0"/>
    <n v="1"/>
    <n v="1"/>
    <n v="0"/>
    <s v="Unnamed Projectregistro2Number BusyResource"/>
    <n v="10"/>
    <n v="0.46274808587050231"/>
    <n v="9.1165192054027525E-2"/>
    <n v="0.95"/>
    <n v="6.5215649719990554E-2"/>
    <n v="0.338210899349628"/>
    <n v="0.66990172486561195"/>
    <n v="6.5215649719990554E-2"/>
  </r>
  <r>
    <x v="0"/>
    <s v="2023-05-15 11:51:53"/>
    <n v="1"/>
    <x v="24"/>
    <x v="4"/>
    <x v="2"/>
    <n v="1"/>
    <n v="2E+20"/>
    <n v="1"/>
    <n v="1"/>
    <n v="1"/>
    <n v="0"/>
    <s v="Unnamed Projectregistro2Number ScheduledResource"/>
    <n v="10"/>
    <n v="1"/>
    <n v="0"/>
    <n v="0.95"/>
    <n v="0"/>
    <n v="1"/>
    <n v="1"/>
    <n v="0"/>
  </r>
  <r>
    <x v="0"/>
    <s v="2023-05-15 11:51:53"/>
    <n v="2"/>
    <x v="0"/>
    <x v="0"/>
    <x v="0"/>
    <n v="1.3679982418224801E-4"/>
    <n v="2E+20"/>
    <n v="0"/>
    <n v="1"/>
    <n v="0"/>
    <n v="0"/>
    <s v="Unnamed ProjectCargar Avion.QueueNumber WaitingQueue"/>
    <n v="10"/>
    <n v="4.3234278073230802E-4"/>
    <n v="8.6650685478403973E-4"/>
    <n v="0.95"/>
    <n v="6.1986166264068276E-4"/>
    <n v="0"/>
    <n v="2.8294284227636502E-3"/>
    <n v="6.1986166264068276E-4"/>
  </r>
  <r>
    <x v="0"/>
    <s v="2023-05-15 11:51:53"/>
    <n v="2"/>
    <x v="1"/>
    <x v="1"/>
    <x v="1"/>
    <n v="1.88515874608377"/>
    <n v="0.418448437094885"/>
    <n v="0"/>
    <n v="10"/>
    <n v="4"/>
    <n v="0"/>
    <s v="Unnamed ProjectEntity 1WIPEntity"/>
    <n v="10"/>
    <n v="1.938691833558875"/>
    <n v="0.24426972485872975"/>
    <n v="0.95"/>
    <n v="0.17474003459724646"/>
    <n v="1.6635577018983201"/>
    <n v="2.3099874805957801"/>
    <n v="0.17474003459724646"/>
  </r>
  <r>
    <x v="0"/>
    <s v="2023-05-15 11:51:53"/>
    <n v="2"/>
    <x v="2"/>
    <x v="2"/>
    <x v="2"/>
    <n v="0.25945894132650299"/>
    <n v="2E+20"/>
    <n v="0"/>
    <n v="1"/>
    <n v="0"/>
    <n v="0"/>
    <s v="Unnamed ProjectInterautoInstantaneous UtilizationResource"/>
    <n v="10"/>
    <n v="0.26535205929836458"/>
    <n v="2.5807993647623796E-2"/>
    <n v="0.95"/>
    <n v="1.8461926485074727E-2"/>
    <n v="0.20483176768320299"/>
    <n v="0.29552077299252399"/>
    <n v="1.8461926485074727E-2"/>
  </r>
  <r>
    <x v="0"/>
    <s v="2023-05-15 11:51:53"/>
    <n v="2"/>
    <x v="2"/>
    <x v="3"/>
    <x v="2"/>
    <n v="0.25945894132650299"/>
    <n v="2E+20"/>
    <n v="0"/>
    <n v="1"/>
    <n v="0"/>
    <n v="0"/>
    <s v="Unnamed ProjectInterautoNumber BusyResource"/>
    <n v="10"/>
    <n v="0.26535205929836458"/>
    <n v="2.5807993647623796E-2"/>
    <n v="0.95"/>
    <n v="1.8461926485074727E-2"/>
    <n v="0.20483176768320299"/>
    <n v="0.29552077299252399"/>
    <n v="1.8461926485074727E-2"/>
  </r>
  <r>
    <x v="0"/>
    <s v="2023-05-15 11:51:53"/>
    <n v="2"/>
    <x v="2"/>
    <x v="4"/>
    <x v="2"/>
    <n v="1"/>
    <n v="2E+20"/>
    <n v="1"/>
    <n v="1"/>
    <n v="1"/>
    <n v="0"/>
    <s v="Unnamed ProjectInterautoNumber ScheduledResource"/>
    <n v="10"/>
    <n v="1"/>
    <n v="0"/>
    <n v="0.95"/>
    <n v="0"/>
    <n v="1"/>
    <n v="1"/>
    <n v="0"/>
  </r>
  <r>
    <x v="0"/>
    <s v="2023-05-15 11:51:53"/>
    <n v="2"/>
    <x v="3"/>
    <x v="0"/>
    <x v="0"/>
    <n v="0.180310396862502"/>
    <n v="4.0442225136576297E-2"/>
    <n v="0"/>
    <n v="4"/>
    <n v="1"/>
    <n v="0"/>
    <s v="Unnamed ProjectLeave 1.QueueNumber WaitingQueue"/>
    <n v="10"/>
    <n v="0.20353568461890376"/>
    <n v="2.6549184575613477E-2"/>
    <n v="0.95"/>
    <n v="1.899214253405495E-2"/>
    <n v="0.168502364443611"/>
    <n v="0.24578450490959"/>
    <n v="1.899214253405495E-2"/>
  </r>
  <r>
    <x v="0"/>
    <s v="2023-05-15 11:51:53"/>
    <n v="2"/>
    <x v="4"/>
    <x v="0"/>
    <x v="0"/>
    <n v="4.3748489956124499E-3"/>
    <n v="2E+20"/>
    <n v="0"/>
    <n v="1"/>
    <n v="0"/>
    <n v="0"/>
    <s v="Unnamed ProjectLeave 4.QueueNumber WaitingQueue"/>
    <n v="10"/>
    <n v="4.8729672989697272E-3"/>
    <n v="9.2135939256816457E-4"/>
    <n v="0.95"/>
    <n v="6.5910080435457321E-4"/>
    <n v="3.2012309459038099E-3"/>
    <n v="6.0338305270789001E-3"/>
    <n v="6.5910080435457321E-4"/>
  </r>
  <r>
    <x v="0"/>
    <s v="2023-05-15 11:51:53"/>
    <n v="2"/>
    <x v="5"/>
    <x v="0"/>
    <x v="0"/>
    <n v="4.33489577344668E-2"/>
    <n v="8.4837843293313498E-3"/>
    <n v="0"/>
    <n v="3"/>
    <n v="0"/>
    <n v="0"/>
    <s v="Unnamed ProjectLeave 5.QueueNumber WaitingQueue"/>
    <n v="10"/>
    <n v="4.8788152574119628E-2"/>
    <n v="5.3039270336942244E-3"/>
    <n v="0.95"/>
    <n v="3.7942008323176655E-3"/>
    <n v="4.1058101580258903E-2"/>
    <n v="5.6386723112129902E-2"/>
    <n v="3.7942008323176655E-3"/>
  </r>
  <r>
    <x v="0"/>
    <s v="2023-05-15 11:51:53"/>
    <n v="2"/>
    <x v="6"/>
    <x v="0"/>
    <x v="0"/>
    <n v="3.2439602390038399E-3"/>
    <n v="2E+20"/>
    <n v="0"/>
    <n v="1"/>
    <n v="0"/>
    <n v="0"/>
    <s v="Unnamed ProjectLeave 6.QueueNumber WaitingQueue"/>
    <n v="10"/>
    <n v="3.227619592382791E-3"/>
    <n v="1.5087685522347895E-3"/>
    <n v="0.95"/>
    <n v="1.0793080033525183E-3"/>
    <n v="4.7201486102630699E-4"/>
    <n v="6.2452549613019898E-3"/>
    <n v="1.0793080033525183E-3"/>
  </r>
  <r>
    <x v="0"/>
    <s v="2023-05-15 11:51:53"/>
    <n v="2"/>
    <x v="7"/>
    <x v="0"/>
    <x v="0"/>
    <n v="4.6733329028163899E-2"/>
    <n v="2E+20"/>
    <n v="0"/>
    <n v="3"/>
    <n v="0"/>
    <n v="0"/>
    <s v="Unnamed ProjectLeave 7.QueueNumber WaitingQueue"/>
    <n v="10"/>
    <n v="5.9441954240945373E-2"/>
    <n v="1.1519407308393107E-2"/>
    <n v="0.95"/>
    <n v="8.2404875707479553E-3"/>
    <n v="4.5386728660866099E-2"/>
    <n v="7.8633362228088005E-2"/>
    <n v="8.2404875707479553E-3"/>
  </r>
  <r>
    <x v="0"/>
    <s v="2023-05-15 11:51:53"/>
    <n v="2"/>
    <x v="8"/>
    <x v="0"/>
    <x v="0"/>
    <n v="1.4902441991966201E-3"/>
    <n v="2E+20"/>
    <n v="0"/>
    <n v="1"/>
    <n v="0"/>
    <n v="0"/>
    <s v="Unnamed ProjectLeave 8.QueueNumber WaitingQueue"/>
    <n v="10"/>
    <n v="2.1217771776478596E-3"/>
    <n v="8.0254950645480523E-4"/>
    <n v="0.95"/>
    <n v="5.7410933182579346E-4"/>
    <n v="9.0451064743319795E-4"/>
    <n v="3.5490296241417699E-3"/>
    <n v="5.7410933182579346E-4"/>
  </r>
  <r>
    <x v="0"/>
    <s v="2023-05-15 11:51:53"/>
    <n v="2"/>
    <x v="9"/>
    <x v="0"/>
    <x v="0"/>
    <n v="1.2593880115666701E-3"/>
    <n v="2E+20"/>
    <n v="0"/>
    <n v="1"/>
    <n v="0"/>
    <n v="0"/>
    <s v="Unnamed ProjectLeave 9.QueueNumber WaitingQueue"/>
    <n v="10"/>
    <n v="1.3877246767065991E-3"/>
    <n v="7.1875981577935533E-4"/>
    <n v="0.95"/>
    <n v="5.1416979795196457E-4"/>
    <n v="2.8555279956142001E-4"/>
    <n v="2.50186012594582E-3"/>
    <n v="5.1416979795196457E-4"/>
  </r>
  <r>
    <x v="0"/>
    <s v="2023-05-15 11:51:53"/>
    <n v="2"/>
    <x v="10"/>
    <x v="1"/>
    <x v="1"/>
    <n v="11.6054432234115"/>
    <n v="3E+20"/>
    <n v="0"/>
    <n v="25"/>
    <n v="15"/>
    <n v="0"/>
    <s v="Unnamed ProjectMaleta InternacionalWIPEntity"/>
    <n v="10"/>
    <n v="13.037689788098451"/>
    <n v="1.9631643885071912"/>
    <n v="0.95"/>
    <n v="1.4043632028742961"/>
    <n v="10.277307754823401"/>
    <n v="16.425571484417201"/>
    <n v="1.4043632028742961"/>
  </r>
  <r>
    <x v="0"/>
    <s v="2023-05-15 11:51:53"/>
    <n v="2"/>
    <x v="11"/>
    <x v="1"/>
    <x v="1"/>
    <n v="2.5733271363434098"/>
    <n v="2E+20"/>
    <n v="0"/>
    <n v="9"/>
    <n v="4"/>
    <n v="0"/>
    <s v="Unnamed ProjectMaleta NacionalWIPEntity"/>
    <n v="10"/>
    <n v="2.7356580954557046"/>
    <n v="0.24675556542769644"/>
    <n v="0.95"/>
    <n v="0.17651829781539885"/>
    <n v="2.4605296674942401"/>
    <n v="3.2916533376655202"/>
    <n v="0.17651829781539885"/>
  </r>
  <r>
    <x v="0"/>
    <s v="2023-05-15 11:51:53"/>
    <n v="2"/>
    <x v="12"/>
    <x v="2"/>
    <x v="2"/>
    <n v="0.68944986969492195"/>
    <n v="2E+20"/>
    <n v="0"/>
    <n v="1"/>
    <n v="1"/>
    <n v="0"/>
    <s v="Unnamed ProjectNacionalautoInstantaneous UtilizationResource"/>
    <n v="10"/>
    <n v="0.73175058451933661"/>
    <n v="6.0813477412386734E-2"/>
    <n v="0.95"/>
    <n v="4.3503341043041877E-2"/>
    <n v="0.64995347349336796"/>
    <n v="0.82581624655093899"/>
    <n v="4.3503341043041877E-2"/>
  </r>
  <r>
    <x v="0"/>
    <s v="2023-05-15 11:51:53"/>
    <n v="2"/>
    <x v="12"/>
    <x v="3"/>
    <x v="2"/>
    <n v="0.68944986969492195"/>
    <n v="2E+20"/>
    <n v="0"/>
    <n v="1"/>
    <n v="1"/>
    <n v="0"/>
    <s v="Unnamed ProjectNacionalautoNumber BusyResource"/>
    <n v="10"/>
    <n v="0.73175058451933661"/>
    <n v="6.0813477412386734E-2"/>
    <n v="0.95"/>
    <n v="4.3503341043041877E-2"/>
    <n v="0.64995347349336796"/>
    <n v="0.82581624655093899"/>
    <n v="4.3503341043041877E-2"/>
  </r>
  <r>
    <x v="0"/>
    <s v="2023-05-15 11:51:53"/>
    <n v="2"/>
    <x v="12"/>
    <x v="4"/>
    <x v="2"/>
    <n v="1"/>
    <n v="2E+20"/>
    <n v="1"/>
    <n v="1"/>
    <n v="1"/>
    <n v="0"/>
    <s v="Unnamed ProjectNacionalautoNumber ScheduledResource"/>
    <n v="10"/>
    <n v="1"/>
    <n v="0"/>
    <n v="0.95"/>
    <n v="0"/>
    <n v="1"/>
    <n v="1"/>
    <n v="0"/>
  </r>
  <r>
    <x v="0"/>
    <s v="2023-05-15 11:51:53"/>
    <n v="2"/>
    <x v="13"/>
    <x v="2"/>
    <x v="2"/>
    <n v="7.5522136747554799E-2"/>
    <n v="1.21068996294791E-2"/>
    <n v="0"/>
    <n v="1"/>
    <n v="0"/>
    <n v="0"/>
    <s v="Unnamed ProjectOperarios AvionInstantaneous UtilizationResource"/>
    <n v="10"/>
    <n v="7.5958437118625627E-2"/>
    <n v="5.0572810112240948E-3"/>
    <n v="0.95"/>
    <n v="3.6177608968134627E-3"/>
    <n v="6.7485948117393404E-2"/>
    <n v="8.7852447587946303E-2"/>
    <n v="3.6177608968134627E-3"/>
  </r>
  <r>
    <x v="0"/>
    <s v="2023-05-15 11:51:53"/>
    <n v="2"/>
    <x v="13"/>
    <x v="3"/>
    <x v="2"/>
    <n v="0.15104427349510999"/>
    <n v="2.42137992589582E-2"/>
    <n v="0"/>
    <n v="2"/>
    <n v="0"/>
    <n v="0"/>
    <s v="Unnamed ProjectOperarios AvionNumber BusyResource"/>
    <n v="10"/>
    <n v="0.1519168742372512"/>
    <n v="1.0114562022448264E-2"/>
    <n v="0.95"/>
    <n v="7.2355217936269783E-3"/>
    <n v="0.134971896234787"/>
    <n v="0.17570489517589299"/>
    <n v="7.2355217936269783E-3"/>
  </r>
  <r>
    <x v="0"/>
    <s v="2023-05-15 11:51:53"/>
    <n v="2"/>
    <x v="13"/>
    <x v="4"/>
    <x v="2"/>
    <n v="2"/>
    <n v="2E+20"/>
    <n v="2"/>
    <n v="2"/>
    <n v="2"/>
    <n v="0"/>
    <s v="Unnamed ProjectOperarios AvionNumber ScheduledResource"/>
    <n v="10"/>
    <n v="2"/>
    <n v="0"/>
    <n v="0.95"/>
    <n v="0"/>
    <n v="2"/>
    <n v="2"/>
    <n v="0"/>
  </r>
  <r>
    <x v="0"/>
    <s v="2023-05-15 11:51:53"/>
    <n v="2"/>
    <x v="14"/>
    <x v="2"/>
    <x v="2"/>
    <n v="0.35108547037536902"/>
    <n v="2E+20"/>
    <n v="0"/>
    <n v="1"/>
    <n v="0"/>
    <n v="0"/>
    <s v="Unnamed ProjectcajeraInstantaneous UtilizationResource"/>
    <n v="10"/>
    <n v="0.38078385056341441"/>
    <n v="5.6481911326734656E-2"/>
    <n v="0.95"/>
    <n v="4.040472533000234E-2"/>
    <n v="0.28913636698845602"/>
    <n v="0.46134650546047301"/>
    <n v="4.040472533000234E-2"/>
  </r>
  <r>
    <x v="0"/>
    <s v="2023-05-15 11:51:53"/>
    <n v="2"/>
    <x v="14"/>
    <x v="3"/>
    <x v="2"/>
    <n v="0.35108547037536902"/>
    <n v="2E+20"/>
    <n v="0"/>
    <n v="1"/>
    <n v="0"/>
    <n v="0"/>
    <s v="Unnamed ProjectcajeraNumber BusyResource"/>
    <n v="10"/>
    <n v="0.38078385056341441"/>
    <n v="5.6481911326734656E-2"/>
    <n v="0.95"/>
    <n v="4.040472533000234E-2"/>
    <n v="0.28913636698845602"/>
    <n v="0.46134650546047301"/>
    <n v="4.040472533000234E-2"/>
  </r>
  <r>
    <x v="0"/>
    <s v="2023-05-15 11:51:53"/>
    <n v="2"/>
    <x v="14"/>
    <x v="4"/>
    <x v="2"/>
    <n v="1"/>
    <n v="2E+20"/>
    <n v="1"/>
    <n v="1"/>
    <n v="1"/>
    <n v="0"/>
    <s v="Unnamed ProjectcajeraNumber ScheduledResource"/>
    <n v="10"/>
    <n v="1"/>
    <n v="0"/>
    <n v="0.95"/>
    <n v="0"/>
    <n v="1"/>
    <n v="1"/>
    <n v="0"/>
  </r>
  <r>
    <x v="0"/>
    <s v="2023-05-15 11:51:53"/>
    <n v="2"/>
    <x v="15"/>
    <x v="2"/>
    <x v="2"/>
    <n v="0.74845428172863504"/>
    <n v="2E+20"/>
    <n v="0"/>
    <n v="1"/>
    <n v="1"/>
    <n v="0"/>
    <s v="Unnamed Projectcajera2Instantaneous UtilizationResource"/>
    <n v="10"/>
    <n v="0.73571117943508912"/>
    <n v="2.3945213257811505E-2"/>
    <n v="0.95"/>
    <n v="1.7129373668915777E-2"/>
    <n v="0.69752119636771104"/>
    <n v="0.77845968782647601"/>
    <n v="1.7129373668915777E-2"/>
  </r>
  <r>
    <x v="0"/>
    <s v="2023-05-15 11:51:53"/>
    <n v="2"/>
    <x v="15"/>
    <x v="3"/>
    <x v="2"/>
    <n v="0.74845428172863504"/>
    <n v="2E+20"/>
    <n v="0"/>
    <n v="1"/>
    <n v="1"/>
    <n v="0"/>
    <s v="Unnamed Projectcajera2Number BusyResource"/>
    <n v="10"/>
    <n v="0.73571117943508912"/>
    <n v="2.3945213257811505E-2"/>
    <n v="0.95"/>
    <n v="1.7129373668915777E-2"/>
    <n v="0.69752119636771104"/>
    <n v="0.77845968782647601"/>
    <n v="1.7129373668915777E-2"/>
  </r>
  <r>
    <x v="0"/>
    <s v="2023-05-15 11:51:53"/>
    <n v="2"/>
    <x v="15"/>
    <x v="4"/>
    <x v="2"/>
    <n v="1"/>
    <n v="2E+20"/>
    <n v="1"/>
    <n v="1"/>
    <n v="1"/>
    <n v="0"/>
    <s v="Unnamed Projectcajera2Number ScheduledResource"/>
    <n v="10"/>
    <n v="1"/>
    <n v="0"/>
    <n v="0.95"/>
    <n v="0"/>
    <n v="1"/>
    <n v="1"/>
    <n v="0"/>
  </r>
  <r>
    <x v="0"/>
    <s v="2023-05-15 11:51:53"/>
    <n v="2"/>
    <x v="16"/>
    <x v="0"/>
    <x v="0"/>
    <n v="0.128776095520408"/>
    <n v="2E+20"/>
    <n v="0"/>
    <n v="3"/>
    <n v="0"/>
    <n v="0"/>
    <s v="Unnamed Projectmanualinter.QueueNumber WaitingQueue"/>
    <n v="10"/>
    <n v="0.33257710094571935"/>
    <n v="0.27159595138606457"/>
    <n v="0.95"/>
    <n v="0.19428803945769421"/>
    <n v="4.88437833500961E-2"/>
    <n v="0.95917715937716497"/>
    <n v="0.19428803945769421"/>
  </r>
  <r>
    <x v="0"/>
    <s v="2023-05-15 11:51:53"/>
    <n v="2"/>
    <x v="17"/>
    <x v="0"/>
    <x v="0"/>
    <n v="0"/>
    <n v="2E+20"/>
    <n v="0"/>
    <n v="0"/>
    <n v="0"/>
    <n v="0"/>
    <s v="Unnamed Projectmanualnaciona.QueueNumber WaitingQueue"/>
    <n v="10"/>
    <n v="2.2437109622866062E-3"/>
    <n v="6.4095428429067599E-3"/>
    <n v="0.95"/>
    <n v="4.5851107367881972E-3"/>
    <n v="0"/>
    <n v="2.0447096127880302E-2"/>
    <n v="4.5851107367881972E-3"/>
  </r>
  <r>
    <x v="0"/>
    <s v="2023-05-15 11:51:53"/>
    <n v="2"/>
    <x v="18"/>
    <x v="0"/>
    <x v="0"/>
    <n v="2.0751339851011399"/>
    <n v="3E+20"/>
    <n v="0"/>
    <n v="14"/>
    <n v="1"/>
    <n v="0"/>
    <s v="Unnamed Projectmaquinainter.QueueNumber WaitingQueue"/>
    <n v="10"/>
    <n v="2.7250893633296323"/>
    <n v="1.2704307292922721"/>
    <n v="0.95"/>
    <n v="0.90881139575657477"/>
    <n v="1.35760259855807"/>
    <n v="5.2621649076821404"/>
    <n v="0.90881139575657477"/>
  </r>
  <r>
    <x v="0"/>
    <s v="2023-05-15 11:51:53"/>
    <n v="2"/>
    <x v="19"/>
    <x v="0"/>
    <x v="0"/>
    <n v="0.224753887209653"/>
    <n v="2E+20"/>
    <n v="0"/>
    <n v="4"/>
    <n v="0"/>
    <n v="0"/>
    <s v="Unnamed Projectmaquinanacional.QueueNumber WaitingQueue"/>
    <n v="10"/>
    <n v="0.20327393268399513"/>
    <n v="5.4678802003311266E-2"/>
    <n v="0.95"/>
    <n v="3.9114858623271326E-2"/>
    <n v="9.7152989948067606E-2"/>
    <n v="0.28694483715654301"/>
    <n v="3.9114858623271326E-2"/>
  </r>
  <r>
    <x v="0"/>
    <s v="2023-05-15 11:51:53"/>
    <n v="2"/>
    <x v="20"/>
    <x v="0"/>
    <x v="0"/>
    <n v="0.20574348621195601"/>
    <n v="2E+20"/>
    <n v="0"/>
    <n v="3"/>
    <n v="0"/>
    <n v="0"/>
    <s v="Unnamed Projectmostrador1.QueueNumber WaitingQueue"/>
    <n v="10"/>
    <n v="0.25365601436241814"/>
    <n v="9.7306237195948719E-2"/>
    <n v="0.95"/>
    <n v="6.9608688772141478E-2"/>
    <n v="0.124078487063659"/>
    <n v="0.381680898629085"/>
    <n v="6.9608688772141478E-2"/>
  </r>
  <r>
    <x v="0"/>
    <s v="2023-05-15 11:51:53"/>
    <n v="2"/>
    <x v="21"/>
    <x v="0"/>
    <x v="0"/>
    <n v="0.57987550776780805"/>
    <n v="2E+20"/>
    <n v="0"/>
    <n v="4"/>
    <n v="3"/>
    <n v="0"/>
    <s v="Unnamed Projectmostrador2.QueueNumber WaitingQueue"/>
    <n v="10"/>
    <n v="0.56854078919795403"/>
    <n v="9.5876381195630939E-2"/>
    <n v="0.95"/>
    <n v="6.8585831407770567E-2"/>
    <n v="0.461258283509344"/>
    <n v="0.74281217456090598"/>
    <n v="6.8585831407770567E-2"/>
  </r>
  <r>
    <x v="0"/>
    <s v="2023-05-15 11:51:53"/>
    <n v="2"/>
    <x v="22"/>
    <x v="1"/>
    <x v="1"/>
    <n v="0"/>
    <n v="2E+20"/>
    <n v="0"/>
    <n v="0"/>
    <n v="0"/>
    <n v="0"/>
    <s v="Unnamed ProjectpersonaWIPEntity"/>
    <n v="10"/>
    <n v="0"/>
    <n v="0"/>
    <n v="0.95"/>
    <n v="0"/>
    <n v="0"/>
    <n v="0"/>
    <n v="0"/>
  </r>
  <r>
    <x v="0"/>
    <s v="2023-05-15 11:51:53"/>
    <n v="2"/>
    <x v="23"/>
    <x v="2"/>
    <x v="2"/>
    <n v="8.8472374570180701E-2"/>
    <n v="2E+20"/>
    <n v="0"/>
    <n v="1"/>
    <n v="0"/>
    <n v="0"/>
    <s v="Unnamed Projectregistro1Instantaneous UtilizationResource"/>
    <n v="10"/>
    <n v="5.6433247648491516E-2"/>
    <n v="2.4456082934732001E-2"/>
    <n v="0.95"/>
    <n v="1.7494827820351853E-2"/>
    <n v="2.1279401430778E-2"/>
    <n v="8.8472374570180701E-2"/>
    <n v="1.7494827820351853E-2"/>
  </r>
  <r>
    <x v="0"/>
    <s v="2023-05-15 11:51:53"/>
    <n v="2"/>
    <x v="23"/>
    <x v="3"/>
    <x v="2"/>
    <n v="8.8472374570180701E-2"/>
    <n v="2E+20"/>
    <n v="0"/>
    <n v="1"/>
    <n v="0"/>
    <n v="0"/>
    <s v="Unnamed Projectregistro1Number BusyResource"/>
    <n v="10"/>
    <n v="5.6433247648491516E-2"/>
    <n v="2.4456082934732001E-2"/>
    <n v="0.95"/>
    <n v="1.7494827820351853E-2"/>
    <n v="2.1279401430778E-2"/>
    <n v="8.8472374570180701E-2"/>
    <n v="1.7494827820351853E-2"/>
  </r>
  <r>
    <x v="0"/>
    <s v="2023-05-15 11:51:53"/>
    <n v="2"/>
    <x v="23"/>
    <x v="4"/>
    <x v="2"/>
    <n v="1"/>
    <n v="2E+20"/>
    <n v="1"/>
    <n v="1"/>
    <n v="1"/>
    <n v="0"/>
    <s v="Unnamed Projectregistro1Number ScheduledResource"/>
    <n v="10"/>
    <n v="1"/>
    <n v="0"/>
    <n v="0.95"/>
    <n v="0"/>
    <n v="1"/>
    <n v="1"/>
    <n v="0"/>
  </r>
  <r>
    <x v="0"/>
    <s v="2023-05-15 11:51:53"/>
    <n v="2"/>
    <x v="24"/>
    <x v="2"/>
    <x v="2"/>
    <n v="0.49654893419644103"/>
    <n v="2E+20"/>
    <n v="0"/>
    <n v="1"/>
    <n v="0"/>
    <n v="0"/>
    <s v="Unnamed Projectregistro2Instantaneous UtilizationResource"/>
    <n v="10"/>
    <n v="0.46274808587050231"/>
    <n v="9.1165192054027525E-2"/>
    <n v="0.95"/>
    <n v="6.5215649719990554E-2"/>
    <n v="0.338210899349628"/>
    <n v="0.66990172486561195"/>
    <n v="6.5215649719990554E-2"/>
  </r>
  <r>
    <x v="0"/>
    <s v="2023-05-15 11:51:53"/>
    <n v="2"/>
    <x v="24"/>
    <x v="3"/>
    <x v="2"/>
    <n v="0.49654893419644103"/>
    <n v="2E+20"/>
    <n v="0"/>
    <n v="1"/>
    <n v="0"/>
    <n v="0"/>
    <s v="Unnamed Projectregistro2Number BusyResource"/>
    <n v="10"/>
    <n v="0.46274808587050231"/>
    <n v="9.1165192054027525E-2"/>
    <n v="0.95"/>
    <n v="6.5215649719990554E-2"/>
    <n v="0.338210899349628"/>
    <n v="0.66990172486561195"/>
    <n v="6.5215649719990554E-2"/>
  </r>
  <r>
    <x v="0"/>
    <s v="2023-05-15 11:51:53"/>
    <n v="2"/>
    <x v="24"/>
    <x v="4"/>
    <x v="2"/>
    <n v="1"/>
    <n v="2E+20"/>
    <n v="1"/>
    <n v="1"/>
    <n v="1"/>
    <n v="0"/>
    <s v="Unnamed Projectregistro2Number ScheduledResource"/>
    <n v="10"/>
    <n v="1"/>
    <n v="0"/>
    <n v="0.95"/>
    <n v="0"/>
    <n v="1"/>
    <n v="1"/>
    <n v="0"/>
  </r>
  <r>
    <x v="0"/>
    <s v="2023-05-15 11:51:53"/>
    <n v="3"/>
    <x v="0"/>
    <x v="0"/>
    <x v="0"/>
    <n v="0"/>
    <n v="2E+20"/>
    <n v="0"/>
    <n v="0"/>
    <n v="0"/>
    <n v="0"/>
    <s v="Unnamed ProjectCargar Avion.QueueNumber WaitingQueue"/>
    <n v="10"/>
    <n v="4.3234278073230802E-4"/>
    <n v="8.6650685478403973E-4"/>
    <n v="0.95"/>
    <n v="6.1986166264068276E-4"/>
    <n v="0"/>
    <n v="2.8294284227636502E-3"/>
    <n v="6.1986166264068276E-4"/>
  </r>
  <r>
    <x v="0"/>
    <s v="2023-05-15 11:51:53"/>
    <n v="3"/>
    <x v="1"/>
    <x v="1"/>
    <x v="1"/>
    <n v="1.7186764395674601"/>
    <n v="0.25805551787322201"/>
    <n v="0"/>
    <n v="8"/>
    <n v="0"/>
    <n v="0"/>
    <s v="Unnamed ProjectEntity 1WIPEntity"/>
    <n v="10"/>
    <n v="1.938691833558875"/>
    <n v="0.24426972485872975"/>
    <n v="0.95"/>
    <n v="0.17474003459724646"/>
    <n v="1.6635577018983201"/>
    <n v="2.3099874805957801"/>
    <n v="0.17474003459724646"/>
  </r>
  <r>
    <x v="0"/>
    <s v="2023-05-15 11:51:53"/>
    <n v="3"/>
    <x v="2"/>
    <x v="2"/>
    <x v="2"/>
    <n v="0.26503388045743098"/>
    <n v="2E+20"/>
    <n v="0"/>
    <n v="1"/>
    <n v="0"/>
    <n v="0"/>
    <s v="Unnamed ProjectInterautoInstantaneous UtilizationResource"/>
    <n v="10"/>
    <n v="0.26535205929836458"/>
    <n v="2.5807993647623796E-2"/>
    <n v="0.95"/>
    <n v="1.8461926485074727E-2"/>
    <n v="0.20483176768320299"/>
    <n v="0.29552077299252399"/>
    <n v="1.8461926485074727E-2"/>
  </r>
  <r>
    <x v="0"/>
    <s v="2023-05-15 11:51:53"/>
    <n v="3"/>
    <x v="2"/>
    <x v="3"/>
    <x v="2"/>
    <n v="0.26503388045743098"/>
    <n v="2E+20"/>
    <n v="0"/>
    <n v="1"/>
    <n v="0"/>
    <n v="0"/>
    <s v="Unnamed ProjectInterautoNumber BusyResource"/>
    <n v="10"/>
    <n v="0.26535205929836458"/>
    <n v="2.5807993647623796E-2"/>
    <n v="0.95"/>
    <n v="1.8461926485074727E-2"/>
    <n v="0.20483176768320299"/>
    <n v="0.29552077299252399"/>
    <n v="1.8461926485074727E-2"/>
  </r>
  <r>
    <x v="0"/>
    <s v="2023-05-15 11:51:53"/>
    <n v="3"/>
    <x v="2"/>
    <x v="4"/>
    <x v="2"/>
    <n v="1"/>
    <n v="2E+20"/>
    <n v="1"/>
    <n v="1"/>
    <n v="1"/>
    <n v="0"/>
    <s v="Unnamed ProjectInterautoNumber ScheduledResource"/>
    <n v="10"/>
    <n v="1"/>
    <n v="0"/>
    <n v="0.95"/>
    <n v="0"/>
    <n v="1"/>
    <n v="1"/>
    <n v="0"/>
  </r>
  <r>
    <x v="0"/>
    <s v="2023-05-15 11:51:53"/>
    <n v="3"/>
    <x v="3"/>
    <x v="0"/>
    <x v="0"/>
    <n v="0.19874137712331899"/>
    <n v="3.6714336096366297E-2"/>
    <n v="0"/>
    <n v="5"/>
    <n v="0"/>
    <n v="0"/>
    <s v="Unnamed ProjectLeave 1.QueueNumber WaitingQueue"/>
    <n v="10"/>
    <n v="0.20353568461890376"/>
    <n v="2.6549184575613477E-2"/>
    <n v="0.95"/>
    <n v="1.899214253405495E-2"/>
    <n v="0.168502364443611"/>
    <n v="0.24578450490959"/>
    <n v="1.899214253405495E-2"/>
  </r>
  <r>
    <x v="0"/>
    <s v="2023-05-15 11:51:53"/>
    <n v="3"/>
    <x v="4"/>
    <x v="0"/>
    <x v="0"/>
    <n v="5.6963498355955804E-3"/>
    <n v="2E+20"/>
    <n v="0"/>
    <n v="1"/>
    <n v="0"/>
    <n v="0"/>
    <s v="Unnamed ProjectLeave 4.QueueNumber WaitingQueue"/>
    <n v="10"/>
    <n v="4.8729672989697272E-3"/>
    <n v="9.2135939256816457E-4"/>
    <n v="0.95"/>
    <n v="6.5910080435457321E-4"/>
    <n v="3.2012309459038099E-3"/>
    <n v="6.0338305270789001E-3"/>
    <n v="6.5910080435457321E-4"/>
  </r>
  <r>
    <x v="0"/>
    <s v="2023-05-15 11:51:53"/>
    <n v="3"/>
    <x v="5"/>
    <x v="0"/>
    <x v="0"/>
    <n v="4.7234166747865902E-2"/>
    <n v="8.1427530514589196E-3"/>
    <n v="0"/>
    <n v="2"/>
    <n v="0"/>
    <n v="0"/>
    <s v="Unnamed ProjectLeave 5.QueueNumber WaitingQueue"/>
    <n v="10"/>
    <n v="4.8788152574119628E-2"/>
    <n v="5.3039270336942244E-3"/>
    <n v="0.95"/>
    <n v="3.7942008323176655E-3"/>
    <n v="4.1058101580258903E-2"/>
    <n v="5.6386723112129902E-2"/>
    <n v="3.7942008323176655E-3"/>
  </r>
  <r>
    <x v="0"/>
    <s v="2023-05-15 11:51:53"/>
    <n v="3"/>
    <x v="6"/>
    <x v="0"/>
    <x v="0"/>
    <n v="2.8179525089237199E-3"/>
    <n v="2E+20"/>
    <n v="0"/>
    <n v="1"/>
    <n v="0"/>
    <n v="0"/>
    <s v="Unnamed ProjectLeave 6.QueueNumber WaitingQueue"/>
    <n v="10"/>
    <n v="3.227619592382791E-3"/>
    <n v="1.5087685522347895E-3"/>
    <n v="0.95"/>
    <n v="1.0793080033525183E-3"/>
    <n v="4.7201486102630699E-4"/>
    <n v="6.2452549613019898E-3"/>
    <n v="1.0793080033525183E-3"/>
  </r>
  <r>
    <x v="0"/>
    <s v="2023-05-15 11:51:53"/>
    <n v="3"/>
    <x v="7"/>
    <x v="0"/>
    <x v="0"/>
    <n v="5.0868258760367602E-2"/>
    <n v="2E+20"/>
    <n v="0"/>
    <n v="2"/>
    <n v="0"/>
    <n v="0"/>
    <s v="Unnamed ProjectLeave 7.QueueNumber WaitingQueue"/>
    <n v="10"/>
    <n v="5.9441954240945373E-2"/>
    <n v="1.1519407308393107E-2"/>
    <n v="0.95"/>
    <n v="8.2404875707479553E-3"/>
    <n v="4.5386728660866099E-2"/>
    <n v="7.8633362228088005E-2"/>
    <n v="8.2404875707479553E-3"/>
  </r>
  <r>
    <x v="0"/>
    <s v="2023-05-15 11:51:53"/>
    <n v="3"/>
    <x v="8"/>
    <x v="0"/>
    <x v="0"/>
    <n v="2.40565150175395E-3"/>
    <n v="2E+20"/>
    <n v="0"/>
    <n v="1"/>
    <n v="0"/>
    <n v="0"/>
    <s v="Unnamed ProjectLeave 8.QueueNumber WaitingQueue"/>
    <n v="10"/>
    <n v="2.1217771776478596E-3"/>
    <n v="8.0254950645480523E-4"/>
    <n v="0.95"/>
    <n v="5.7410933182579346E-4"/>
    <n v="9.0451064743319795E-4"/>
    <n v="3.5490296241417699E-3"/>
    <n v="5.7410933182579346E-4"/>
  </r>
  <r>
    <x v="0"/>
    <s v="2023-05-15 11:51:53"/>
    <n v="3"/>
    <x v="9"/>
    <x v="0"/>
    <x v="0"/>
    <n v="4.1142093699458301E-4"/>
    <n v="2E+20"/>
    <n v="0"/>
    <n v="1"/>
    <n v="0"/>
    <n v="0"/>
    <s v="Unnamed ProjectLeave 9.QueueNumber WaitingQueue"/>
    <n v="10"/>
    <n v="1.3877246767065991E-3"/>
    <n v="7.1875981577935533E-4"/>
    <n v="0.95"/>
    <n v="5.1416979795196457E-4"/>
    <n v="2.8555279956142001E-4"/>
    <n v="2.50186012594582E-3"/>
    <n v="5.1416979795196457E-4"/>
  </r>
  <r>
    <x v="0"/>
    <s v="2023-05-15 11:51:53"/>
    <n v="3"/>
    <x v="10"/>
    <x v="1"/>
    <x v="1"/>
    <n v="14.1228456094682"/>
    <n v="3E+20"/>
    <n v="0"/>
    <n v="30"/>
    <n v="30"/>
    <n v="0"/>
    <s v="Unnamed ProjectMaleta InternacionalWIPEntity"/>
    <n v="10"/>
    <n v="13.037689788098451"/>
    <n v="1.9631643885071912"/>
    <n v="0.95"/>
    <n v="1.4043632028742961"/>
    <n v="10.277307754823401"/>
    <n v="16.425571484417201"/>
    <n v="1.4043632028742961"/>
  </r>
  <r>
    <x v="0"/>
    <s v="2023-05-15 11:51:53"/>
    <n v="3"/>
    <x v="11"/>
    <x v="1"/>
    <x v="1"/>
    <n v="2.6467472826623801"/>
    <n v="2E+20"/>
    <n v="0"/>
    <n v="10"/>
    <n v="0"/>
    <n v="0"/>
    <s v="Unnamed ProjectMaleta NacionalWIPEntity"/>
    <n v="10"/>
    <n v="2.7356580954557046"/>
    <n v="0.24675556542769644"/>
    <n v="0.95"/>
    <n v="0.17651829781539885"/>
    <n v="2.4605296674942401"/>
    <n v="3.2916533376655202"/>
    <n v="0.17651829781539885"/>
  </r>
  <r>
    <x v="0"/>
    <s v="2023-05-15 11:51:53"/>
    <n v="3"/>
    <x v="12"/>
    <x v="2"/>
    <x v="2"/>
    <n v="0.80810986871710599"/>
    <n v="2E+20"/>
    <n v="0"/>
    <n v="1"/>
    <n v="1"/>
    <n v="0"/>
    <s v="Unnamed ProjectNacionalautoInstantaneous UtilizationResource"/>
    <n v="10"/>
    <n v="0.73175058451933661"/>
    <n v="6.0813477412386734E-2"/>
    <n v="0.95"/>
    <n v="4.3503341043041877E-2"/>
    <n v="0.64995347349336796"/>
    <n v="0.82581624655093899"/>
    <n v="4.3503341043041877E-2"/>
  </r>
  <r>
    <x v="0"/>
    <s v="2023-05-15 11:51:53"/>
    <n v="3"/>
    <x v="12"/>
    <x v="3"/>
    <x v="2"/>
    <n v="0.80810986871710599"/>
    <n v="2E+20"/>
    <n v="0"/>
    <n v="1"/>
    <n v="1"/>
    <n v="0"/>
    <s v="Unnamed ProjectNacionalautoNumber BusyResource"/>
    <n v="10"/>
    <n v="0.73175058451933661"/>
    <n v="6.0813477412386734E-2"/>
    <n v="0.95"/>
    <n v="4.3503341043041877E-2"/>
    <n v="0.64995347349336796"/>
    <n v="0.82581624655093899"/>
    <n v="4.3503341043041877E-2"/>
  </r>
  <r>
    <x v="0"/>
    <s v="2023-05-15 11:51:53"/>
    <n v="3"/>
    <x v="12"/>
    <x v="4"/>
    <x v="2"/>
    <n v="1"/>
    <n v="2E+20"/>
    <n v="1"/>
    <n v="1"/>
    <n v="1"/>
    <n v="0"/>
    <s v="Unnamed ProjectNacionalautoNumber ScheduledResource"/>
    <n v="10"/>
    <n v="1"/>
    <n v="0"/>
    <n v="0.95"/>
    <n v="0"/>
    <n v="1"/>
    <n v="1"/>
    <n v="0"/>
  </r>
  <r>
    <x v="0"/>
    <s v="2023-05-15 11:51:53"/>
    <n v="3"/>
    <x v="13"/>
    <x v="2"/>
    <x v="2"/>
    <n v="7.4589944457269602E-2"/>
    <n v="3E+20"/>
    <n v="0"/>
    <n v="1"/>
    <n v="0"/>
    <n v="0"/>
    <s v="Unnamed ProjectOperarios AvionInstantaneous UtilizationResource"/>
    <n v="10"/>
    <n v="7.5958437118625627E-2"/>
    <n v="5.0572810112240948E-3"/>
    <n v="0.95"/>
    <n v="3.6177608968134627E-3"/>
    <n v="6.7485948117393404E-2"/>
    <n v="8.7852447587946303E-2"/>
    <n v="3.6177608968134627E-3"/>
  </r>
  <r>
    <x v="0"/>
    <s v="2023-05-15 11:51:53"/>
    <n v="3"/>
    <x v="13"/>
    <x v="3"/>
    <x v="2"/>
    <n v="0.14917988891453901"/>
    <n v="3E+20"/>
    <n v="0"/>
    <n v="2"/>
    <n v="0"/>
    <n v="0"/>
    <s v="Unnamed ProjectOperarios AvionNumber BusyResource"/>
    <n v="10"/>
    <n v="0.1519168742372512"/>
    <n v="1.0114562022448264E-2"/>
    <n v="0.95"/>
    <n v="7.2355217936269783E-3"/>
    <n v="0.134971896234787"/>
    <n v="0.17570489517589299"/>
    <n v="7.2355217936269783E-3"/>
  </r>
  <r>
    <x v="0"/>
    <s v="2023-05-15 11:51:53"/>
    <n v="3"/>
    <x v="13"/>
    <x v="4"/>
    <x v="2"/>
    <n v="2"/>
    <n v="2E+20"/>
    <n v="2"/>
    <n v="2"/>
    <n v="2"/>
    <n v="0"/>
    <s v="Unnamed ProjectOperarios AvionNumber ScheduledResource"/>
    <n v="10"/>
    <n v="2"/>
    <n v="0"/>
    <n v="0.95"/>
    <n v="0"/>
    <n v="2"/>
    <n v="2"/>
    <n v="0"/>
  </r>
  <r>
    <x v="0"/>
    <s v="2023-05-15 11:51:53"/>
    <n v="3"/>
    <x v="14"/>
    <x v="2"/>
    <x v="2"/>
    <n v="0.402052150629301"/>
    <n v="2E+20"/>
    <n v="0"/>
    <n v="1"/>
    <n v="0"/>
    <n v="0"/>
    <s v="Unnamed ProjectcajeraInstantaneous UtilizationResource"/>
    <n v="10"/>
    <n v="0.38078385056341441"/>
    <n v="5.6481911326734656E-2"/>
    <n v="0.95"/>
    <n v="4.040472533000234E-2"/>
    <n v="0.28913636698845602"/>
    <n v="0.46134650546047301"/>
    <n v="4.040472533000234E-2"/>
  </r>
  <r>
    <x v="0"/>
    <s v="2023-05-15 11:51:53"/>
    <n v="3"/>
    <x v="14"/>
    <x v="3"/>
    <x v="2"/>
    <n v="0.402052150629301"/>
    <n v="2E+20"/>
    <n v="0"/>
    <n v="1"/>
    <n v="0"/>
    <n v="0"/>
    <s v="Unnamed ProjectcajeraNumber BusyResource"/>
    <n v="10"/>
    <n v="0.38078385056341441"/>
    <n v="5.6481911326734656E-2"/>
    <n v="0.95"/>
    <n v="4.040472533000234E-2"/>
    <n v="0.28913636698845602"/>
    <n v="0.46134650546047301"/>
    <n v="4.040472533000234E-2"/>
  </r>
  <r>
    <x v="0"/>
    <s v="2023-05-15 11:51:53"/>
    <n v="3"/>
    <x v="14"/>
    <x v="4"/>
    <x v="2"/>
    <n v="1"/>
    <n v="2E+20"/>
    <n v="1"/>
    <n v="1"/>
    <n v="1"/>
    <n v="0"/>
    <s v="Unnamed ProjectcajeraNumber ScheduledResource"/>
    <n v="10"/>
    <n v="1"/>
    <n v="0"/>
    <n v="0.95"/>
    <n v="0"/>
    <n v="1"/>
    <n v="1"/>
    <n v="0"/>
  </r>
  <r>
    <x v="0"/>
    <s v="2023-05-15 11:51:53"/>
    <n v="3"/>
    <x v="15"/>
    <x v="2"/>
    <x v="2"/>
    <n v="0.72440309250271195"/>
    <n v="2E+20"/>
    <n v="0"/>
    <n v="1"/>
    <n v="0"/>
    <n v="0"/>
    <s v="Unnamed Projectcajera2Instantaneous UtilizationResource"/>
    <n v="10"/>
    <n v="0.73571117943508912"/>
    <n v="2.3945213257811505E-2"/>
    <n v="0.95"/>
    <n v="1.7129373668915777E-2"/>
    <n v="0.69752119636771104"/>
    <n v="0.77845968782647601"/>
    <n v="1.7129373668915777E-2"/>
  </r>
  <r>
    <x v="0"/>
    <s v="2023-05-15 11:51:53"/>
    <n v="3"/>
    <x v="15"/>
    <x v="3"/>
    <x v="2"/>
    <n v="0.72440309250271195"/>
    <n v="2E+20"/>
    <n v="0"/>
    <n v="1"/>
    <n v="0"/>
    <n v="0"/>
    <s v="Unnamed Projectcajera2Number BusyResource"/>
    <n v="10"/>
    <n v="0.73571117943508912"/>
    <n v="2.3945213257811505E-2"/>
    <n v="0.95"/>
    <n v="1.7129373668915777E-2"/>
    <n v="0.69752119636771104"/>
    <n v="0.77845968782647601"/>
    <n v="1.7129373668915777E-2"/>
  </r>
  <r>
    <x v="0"/>
    <s v="2023-05-15 11:51:53"/>
    <n v="3"/>
    <x v="15"/>
    <x v="4"/>
    <x v="2"/>
    <n v="1"/>
    <n v="2E+20"/>
    <n v="1"/>
    <n v="1"/>
    <n v="1"/>
    <n v="0"/>
    <s v="Unnamed Projectcajera2Number ScheduledResource"/>
    <n v="10"/>
    <n v="1"/>
    <n v="0"/>
    <n v="0.95"/>
    <n v="0"/>
    <n v="1"/>
    <n v="1"/>
    <n v="0"/>
  </r>
  <r>
    <x v="0"/>
    <s v="2023-05-15 11:51:53"/>
    <n v="3"/>
    <x v="16"/>
    <x v="0"/>
    <x v="0"/>
    <n v="0.15928465430720601"/>
    <n v="2E+20"/>
    <n v="0"/>
    <n v="2"/>
    <n v="1"/>
    <n v="0"/>
    <s v="Unnamed Projectmanualinter.QueueNumber WaitingQueue"/>
    <n v="10"/>
    <n v="0.33257710094571935"/>
    <n v="0.27159595138606457"/>
    <n v="0.95"/>
    <n v="0.19428803945769421"/>
    <n v="4.88437833500961E-2"/>
    <n v="0.95917715937716497"/>
    <n v="0.19428803945769421"/>
  </r>
  <r>
    <x v="0"/>
    <s v="2023-05-15 11:51:53"/>
    <n v="3"/>
    <x v="17"/>
    <x v="0"/>
    <x v="0"/>
    <n v="0"/>
    <n v="2E+20"/>
    <n v="0"/>
    <n v="0"/>
    <n v="0"/>
    <n v="0"/>
    <s v="Unnamed Projectmanualnaciona.QueueNumber WaitingQueue"/>
    <n v="10"/>
    <n v="2.2437109622866062E-3"/>
    <n v="6.4095428429067599E-3"/>
    <n v="0.95"/>
    <n v="4.5851107367881972E-3"/>
    <n v="0"/>
    <n v="2.0447096127880302E-2"/>
    <n v="4.5851107367881972E-3"/>
  </r>
  <r>
    <x v="0"/>
    <s v="2023-05-15 11:51:53"/>
    <n v="3"/>
    <x v="18"/>
    <x v="0"/>
    <x v="0"/>
    <n v="3.8764727066268598"/>
    <n v="3E+20"/>
    <n v="0"/>
    <n v="14"/>
    <n v="11"/>
    <n v="0"/>
    <s v="Unnamed Projectmaquinainter.QueueNumber WaitingQueue"/>
    <n v="10"/>
    <n v="2.7250893633296323"/>
    <n v="1.2704307292922721"/>
    <n v="0.95"/>
    <n v="0.90881139575657477"/>
    <n v="1.35760259855807"/>
    <n v="5.2621649076821404"/>
    <n v="0.90881139575657477"/>
  </r>
  <r>
    <x v="0"/>
    <s v="2023-05-15 11:51:53"/>
    <n v="3"/>
    <x v="19"/>
    <x v="0"/>
    <x v="0"/>
    <n v="0.22546634564255499"/>
    <n v="2E+20"/>
    <n v="0"/>
    <n v="7"/>
    <n v="0"/>
    <n v="0"/>
    <s v="Unnamed Projectmaquinanacional.QueueNumber WaitingQueue"/>
    <n v="10"/>
    <n v="0.20327393268399513"/>
    <n v="5.4678802003311266E-2"/>
    <n v="0.95"/>
    <n v="3.9114858623271326E-2"/>
    <n v="9.7152989948067606E-2"/>
    <n v="0.28694483715654301"/>
    <n v="3.9114858623271326E-2"/>
  </r>
  <r>
    <x v="0"/>
    <s v="2023-05-15 11:51:53"/>
    <n v="3"/>
    <x v="20"/>
    <x v="0"/>
    <x v="0"/>
    <n v="0.124078487063659"/>
    <n v="2E+20"/>
    <n v="0"/>
    <n v="2"/>
    <n v="0"/>
    <n v="0"/>
    <s v="Unnamed Projectmostrador1.QueueNumber WaitingQueue"/>
    <n v="10"/>
    <n v="0.25365601436241814"/>
    <n v="9.7306237195948719E-2"/>
    <n v="0.95"/>
    <n v="6.9608688772141478E-2"/>
    <n v="0.124078487063659"/>
    <n v="0.381680898629085"/>
    <n v="6.9608688772141478E-2"/>
  </r>
  <r>
    <x v="0"/>
    <s v="2023-05-15 11:51:53"/>
    <n v="3"/>
    <x v="21"/>
    <x v="0"/>
    <x v="0"/>
    <n v="0.46814270937178798"/>
    <n v="2E+20"/>
    <n v="0"/>
    <n v="3"/>
    <n v="0"/>
    <n v="0"/>
    <s v="Unnamed Projectmostrador2.QueueNumber WaitingQueue"/>
    <n v="10"/>
    <n v="0.56854078919795403"/>
    <n v="9.5876381195630939E-2"/>
    <n v="0.95"/>
    <n v="6.8585831407770567E-2"/>
    <n v="0.461258283509344"/>
    <n v="0.74281217456090598"/>
    <n v="6.8585831407770567E-2"/>
  </r>
  <r>
    <x v="0"/>
    <s v="2023-05-15 11:51:53"/>
    <n v="3"/>
    <x v="22"/>
    <x v="1"/>
    <x v="1"/>
    <n v="0"/>
    <n v="2E+20"/>
    <n v="0"/>
    <n v="0"/>
    <n v="0"/>
    <n v="0"/>
    <s v="Unnamed ProjectpersonaWIPEntity"/>
    <n v="10"/>
    <n v="0"/>
    <n v="0"/>
    <n v="0.95"/>
    <n v="0"/>
    <n v="0"/>
    <n v="0"/>
    <n v="0"/>
  </r>
  <r>
    <x v="0"/>
    <s v="2023-05-15 11:51:53"/>
    <n v="3"/>
    <x v="23"/>
    <x v="2"/>
    <x v="2"/>
    <n v="6.8430469457483406E-2"/>
    <n v="2E+20"/>
    <n v="0"/>
    <n v="1"/>
    <n v="0"/>
    <n v="0"/>
    <s v="Unnamed Projectregistro1Instantaneous UtilizationResource"/>
    <n v="10"/>
    <n v="5.6433247648491516E-2"/>
    <n v="2.4456082934732001E-2"/>
    <n v="0.95"/>
    <n v="1.7494827820351853E-2"/>
    <n v="2.1279401430778E-2"/>
    <n v="8.8472374570180701E-2"/>
    <n v="1.7494827820351853E-2"/>
  </r>
  <r>
    <x v="0"/>
    <s v="2023-05-15 11:51:53"/>
    <n v="3"/>
    <x v="23"/>
    <x v="3"/>
    <x v="2"/>
    <n v="6.8430469457483406E-2"/>
    <n v="2E+20"/>
    <n v="0"/>
    <n v="1"/>
    <n v="0"/>
    <n v="0"/>
    <s v="Unnamed Projectregistro1Number BusyResource"/>
    <n v="10"/>
    <n v="5.6433247648491516E-2"/>
    <n v="2.4456082934732001E-2"/>
    <n v="0.95"/>
    <n v="1.7494827820351853E-2"/>
    <n v="2.1279401430778E-2"/>
    <n v="8.8472374570180701E-2"/>
    <n v="1.7494827820351853E-2"/>
  </r>
  <r>
    <x v="0"/>
    <s v="2023-05-15 11:51:53"/>
    <n v="3"/>
    <x v="23"/>
    <x v="4"/>
    <x v="2"/>
    <n v="1"/>
    <n v="2E+20"/>
    <n v="1"/>
    <n v="1"/>
    <n v="1"/>
    <n v="0"/>
    <s v="Unnamed Projectregistro1Number ScheduledResource"/>
    <n v="10"/>
    <n v="1"/>
    <n v="0"/>
    <n v="0.95"/>
    <n v="0"/>
    <n v="1"/>
    <n v="1"/>
    <n v="0"/>
  </r>
  <r>
    <x v="0"/>
    <s v="2023-05-15 11:51:53"/>
    <n v="3"/>
    <x v="24"/>
    <x v="2"/>
    <x v="2"/>
    <n v="0.4217141266426"/>
    <n v="2E+20"/>
    <n v="0"/>
    <n v="1"/>
    <n v="1"/>
    <n v="0"/>
    <s v="Unnamed Projectregistro2Instantaneous UtilizationResource"/>
    <n v="10"/>
    <n v="0.46274808587050231"/>
    <n v="9.1165192054027525E-2"/>
    <n v="0.95"/>
    <n v="6.5215649719990554E-2"/>
    <n v="0.338210899349628"/>
    <n v="0.66990172486561195"/>
    <n v="6.5215649719990554E-2"/>
  </r>
  <r>
    <x v="0"/>
    <s v="2023-05-15 11:51:53"/>
    <n v="3"/>
    <x v="24"/>
    <x v="3"/>
    <x v="2"/>
    <n v="0.4217141266426"/>
    <n v="2E+20"/>
    <n v="0"/>
    <n v="1"/>
    <n v="1"/>
    <n v="0"/>
    <s v="Unnamed Projectregistro2Number BusyResource"/>
    <n v="10"/>
    <n v="0.46274808587050231"/>
    <n v="9.1165192054027525E-2"/>
    <n v="0.95"/>
    <n v="6.5215649719990554E-2"/>
    <n v="0.338210899349628"/>
    <n v="0.66990172486561195"/>
    <n v="6.5215649719990554E-2"/>
  </r>
  <r>
    <x v="0"/>
    <s v="2023-05-15 11:51:53"/>
    <n v="3"/>
    <x v="24"/>
    <x v="4"/>
    <x v="2"/>
    <n v="1"/>
    <n v="2E+20"/>
    <n v="1"/>
    <n v="1"/>
    <n v="1"/>
    <n v="0"/>
    <s v="Unnamed Projectregistro2Number ScheduledResource"/>
    <n v="10"/>
    <n v="1"/>
    <n v="0"/>
    <n v="0.95"/>
    <n v="0"/>
    <n v="1"/>
    <n v="1"/>
    <n v="0"/>
  </r>
  <r>
    <x v="0"/>
    <s v="2023-05-15 11:51:53"/>
    <n v="4"/>
    <x v="0"/>
    <x v="0"/>
    <x v="0"/>
    <n v="1.2587385128436299E-4"/>
    <n v="2E+20"/>
    <n v="0"/>
    <n v="1"/>
    <n v="0"/>
    <n v="0"/>
    <s v="Unnamed ProjectCargar Avion.QueueNumber WaitingQueue"/>
    <n v="10"/>
    <n v="4.3234278073230802E-4"/>
    <n v="8.6650685478403973E-4"/>
    <n v="0.95"/>
    <n v="6.1986166264068276E-4"/>
    <n v="0"/>
    <n v="2.8294284227636502E-3"/>
    <n v="6.1986166264068276E-4"/>
  </r>
  <r>
    <x v="0"/>
    <s v="2023-05-15 11:51:53"/>
    <n v="4"/>
    <x v="1"/>
    <x v="1"/>
    <x v="1"/>
    <n v="2.3094749512111901"/>
    <n v="0.46583270858410097"/>
    <n v="0"/>
    <n v="11"/>
    <n v="2"/>
    <n v="0"/>
    <s v="Unnamed ProjectEntity 1WIPEntity"/>
    <n v="10"/>
    <n v="1.938691833558875"/>
    <n v="0.24426972485872975"/>
    <n v="0.95"/>
    <n v="0.17474003459724646"/>
    <n v="1.6635577018983201"/>
    <n v="2.3099874805957801"/>
    <n v="0.17474003459724646"/>
  </r>
  <r>
    <x v="0"/>
    <s v="2023-05-15 11:51:53"/>
    <n v="4"/>
    <x v="2"/>
    <x v="2"/>
    <x v="2"/>
    <n v="0.29421516955182597"/>
    <n v="2E+20"/>
    <n v="0"/>
    <n v="1"/>
    <n v="0"/>
    <n v="0"/>
    <s v="Unnamed ProjectInterautoInstantaneous UtilizationResource"/>
    <n v="10"/>
    <n v="0.26535205929836458"/>
    <n v="2.5807993647623796E-2"/>
    <n v="0.95"/>
    <n v="1.8461926485074727E-2"/>
    <n v="0.20483176768320299"/>
    <n v="0.29552077299252399"/>
    <n v="1.8461926485074727E-2"/>
  </r>
  <r>
    <x v="0"/>
    <s v="2023-05-15 11:51:53"/>
    <n v="4"/>
    <x v="2"/>
    <x v="3"/>
    <x v="2"/>
    <n v="0.29421516955182597"/>
    <n v="2E+20"/>
    <n v="0"/>
    <n v="1"/>
    <n v="0"/>
    <n v="0"/>
    <s v="Unnamed ProjectInterautoNumber BusyResource"/>
    <n v="10"/>
    <n v="0.26535205929836458"/>
    <n v="2.5807993647623796E-2"/>
    <n v="0.95"/>
    <n v="1.8461926485074727E-2"/>
    <n v="0.20483176768320299"/>
    <n v="0.29552077299252399"/>
    <n v="1.8461926485074727E-2"/>
  </r>
  <r>
    <x v="0"/>
    <s v="2023-05-15 11:51:53"/>
    <n v="4"/>
    <x v="2"/>
    <x v="4"/>
    <x v="2"/>
    <n v="1"/>
    <n v="2E+20"/>
    <n v="1"/>
    <n v="1"/>
    <n v="1"/>
    <n v="0"/>
    <s v="Unnamed ProjectInterautoNumber ScheduledResource"/>
    <n v="10"/>
    <n v="1"/>
    <n v="0"/>
    <n v="0.95"/>
    <n v="0"/>
    <n v="1"/>
    <n v="1"/>
    <n v="0"/>
  </r>
  <r>
    <x v="0"/>
    <s v="2023-05-15 11:51:53"/>
    <n v="4"/>
    <x v="3"/>
    <x v="0"/>
    <x v="0"/>
    <n v="0.234038936386188"/>
    <n v="4.1887276838375197E-2"/>
    <n v="0"/>
    <n v="5"/>
    <n v="0"/>
    <n v="0"/>
    <s v="Unnamed ProjectLeave 1.QueueNumber WaitingQueue"/>
    <n v="10"/>
    <n v="0.20353568461890376"/>
    <n v="2.6549184575613477E-2"/>
    <n v="0.95"/>
    <n v="1.899214253405495E-2"/>
    <n v="0.168502364443611"/>
    <n v="0.24578450490959"/>
    <n v="1.899214253405495E-2"/>
  </r>
  <r>
    <x v="0"/>
    <s v="2023-05-15 11:51:53"/>
    <n v="4"/>
    <x v="4"/>
    <x v="0"/>
    <x v="0"/>
    <n v="4.5324132315033199E-3"/>
    <n v="2E+20"/>
    <n v="0"/>
    <n v="1"/>
    <n v="0"/>
    <n v="0"/>
    <s v="Unnamed ProjectLeave 4.QueueNumber WaitingQueue"/>
    <n v="10"/>
    <n v="4.8729672989697272E-3"/>
    <n v="9.2135939256816457E-4"/>
    <n v="0.95"/>
    <n v="6.5910080435457321E-4"/>
    <n v="3.2012309459038099E-3"/>
    <n v="6.0338305270789001E-3"/>
    <n v="6.5910080435457321E-4"/>
  </r>
  <r>
    <x v="0"/>
    <s v="2023-05-15 11:51:53"/>
    <n v="4"/>
    <x v="5"/>
    <x v="0"/>
    <x v="0"/>
    <n v="5.32479198607681E-2"/>
    <n v="3E+20"/>
    <n v="0"/>
    <n v="3"/>
    <n v="0"/>
    <n v="0"/>
    <s v="Unnamed ProjectLeave 5.QueueNumber WaitingQueue"/>
    <n v="10"/>
    <n v="4.8788152574119628E-2"/>
    <n v="5.3039270336942244E-3"/>
    <n v="0.95"/>
    <n v="3.7942008323176655E-3"/>
    <n v="4.1058101580258903E-2"/>
    <n v="5.6386723112129902E-2"/>
    <n v="3.7942008323176655E-3"/>
  </r>
  <r>
    <x v="0"/>
    <s v="2023-05-15 11:51:53"/>
    <n v="4"/>
    <x v="6"/>
    <x v="0"/>
    <x v="0"/>
    <n v="6.2452549613019898E-3"/>
    <n v="2E+20"/>
    <n v="0"/>
    <n v="1"/>
    <n v="0"/>
    <n v="0"/>
    <s v="Unnamed ProjectLeave 6.QueueNumber WaitingQueue"/>
    <n v="10"/>
    <n v="3.227619592382791E-3"/>
    <n v="1.5087685522347895E-3"/>
    <n v="0.95"/>
    <n v="1.0793080033525183E-3"/>
    <n v="4.7201486102630699E-4"/>
    <n v="6.2452549613019898E-3"/>
    <n v="1.0793080033525183E-3"/>
  </r>
  <r>
    <x v="0"/>
    <s v="2023-05-15 11:51:53"/>
    <n v="4"/>
    <x v="7"/>
    <x v="0"/>
    <x v="0"/>
    <n v="6.5940432183484596E-2"/>
    <n v="2E+20"/>
    <n v="0"/>
    <n v="3"/>
    <n v="0"/>
    <n v="0"/>
    <s v="Unnamed ProjectLeave 7.QueueNumber WaitingQueue"/>
    <n v="10"/>
    <n v="5.9441954240945373E-2"/>
    <n v="1.1519407308393107E-2"/>
    <n v="0.95"/>
    <n v="8.2404875707479553E-3"/>
    <n v="4.5386728660866099E-2"/>
    <n v="7.8633362228088005E-2"/>
    <n v="8.2404875707479553E-3"/>
  </r>
  <r>
    <x v="0"/>
    <s v="2023-05-15 11:51:53"/>
    <n v="4"/>
    <x v="8"/>
    <x v="0"/>
    <x v="0"/>
    <n v="2.3780494675323199E-3"/>
    <n v="2E+20"/>
    <n v="0"/>
    <n v="1"/>
    <n v="0"/>
    <n v="0"/>
    <s v="Unnamed ProjectLeave 8.QueueNumber WaitingQueue"/>
    <n v="10"/>
    <n v="2.1217771776478596E-3"/>
    <n v="8.0254950645480523E-4"/>
    <n v="0.95"/>
    <n v="5.7410933182579346E-4"/>
    <n v="9.0451064743319795E-4"/>
    <n v="3.5490296241417699E-3"/>
    <n v="5.7410933182579346E-4"/>
  </r>
  <r>
    <x v="0"/>
    <s v="2023-05-15 11:51:53"/>
    <n v="4"/>
    <x v="9"/>
    <x v="0"/>
    <x v="0"/>
    <n v="1.60829454014845E-3"/>
    <n v="2E+20"/>
    <n v="0"/>
    <n v="1"/>
    <n v="0"/>
    <n v="0"/>
    <s v="Unnamed ProjectLeave 9.QueueNumber WaitingQueue"/>
    <n v="10"/>
    <n v="1.3877246767065991E-3"/>
    <n v="7.1875981577935533E-4"/>
    <n v="0.95"/>
    <n v="5.1416979795196457E-4"/>
    <n v="2.8555279956142001E-4"/>
    <n v="2.50186012594582E-3"/>
    <n v="5.1416979795196457E-4"/>
  </r>
  <r>
    <x v="0"/>
    <s v="2023-05-15 11:51:53"/>
    <n v="4"/>
    <x v="10"/>
    <x v="1"/>
    <x v="1"/>
    <n v="15.7623811038364"/>
    <n v="3E+20"/>
    <n v="0"/>
    <n v="31"/>
    <n v="31"/>
    <n v="0"/>
    <s v="Unnamed ProjectMaleta InternacionalWIPEntity"/>
    <n v="10"/>
    <n v="13.037689788098451"/>
    <n v="1.9631643885071912"/>
    <n v="0.95"/>
    <n v="1.4043632028742961"/>
    <n v="10.277307754823401"/>
    <n v="16.425571484417201"/>
    <n v="1.4043632028742961"/>
  </r>
  <r>
    <x v="0"/>
    <s v="2023-05-15 11:51:53"/>
    <n v="4"/>
    <x v="11"/>
    <x v="1"/>
    <x v="1"/>
    <n v="2.81172462831405"/>
    <n v="2E+20"/>
    <n v="0"/>
    <n v="9"/>
    <n v="3"/>
    <n v="0"/>
    <s v="Unnamed ProjectMaleta NacionalWIPEntity"/>
    <n v="10"/>
    <n v="2.7356580954557046"/>
    <n v="0.24675556542769644"/>
    <n v="0.95"/>
    <n v="0.17651829781539885"/>
    <n v="2.4605296674942401"/>
    <n v="3.2916533376655202"/>
    <n v="0.17651829781539885"/>
  </r>
  <r>
    <x v="0"/>
    <s v="2023-05-15 11:51:53"/>
    <n v="4"/>
    <x v="12"/>
    <x v="2"/>
    <x v="2"/>
    <n v="0.82581624655093899"/>
    <n v="2E+20"/>
    <n v="0"/>
    <n v="1"/>
    <n v="1"/>
    <n v="0"/>
    <s v="Unnamed ProjectNacionalautoInstantaneous UtilizationResource"/>
    <n v="10"/>
    <n v="0.73175058451933661"/>
    <n v="6.0813477412386734E-2"/>
    <n v="0.95"/>
    <n v="4.3503341043041877E-2"/>
    <n v="0.64995347349336796"/>
    <n v="0.82581624655093899"/>
    <n v="4.3503341043041877E-2"/>
  </r>
  <r>
    <x v="0"/>
    <s v="2023-05-15 11:51:53"/>
    <n v="4"/>
    <x v="12"/>
    <x v="3"/>
    <x v="2"/>
    <n v="0.82581624655093899"/>
    <n v="2E+20"/>
    <n v="0"/>
    <n v="1"/>
    <n v="1"/>
    <n v="0"/>
    <s v="Unnamed ProjectNacionalautoNumber BusyResource"/>
    <n v="10"/>
    <n v="0.73175058451933661"/>
    <n v="6.0813477412386734E-2"/>
    <n v="0.95"/>
    <n v="4.3503341043041877E-2"/>
    <n v="0.64995347349336796"/>
    <n v="0.82581624655093899"/>
    <n v="4.3503341043041877E-2"/>
  </r>
  <r>
    <x v="0"/>
    <s v="2023-05-15 11:51:53"/>
    <n v="4"/>
    <x v="12"/>
    <x v="4"/>
    <x v="2"/>
    <n v="1"/>
    <n v="2E+20"/>
    <n v="1"/>
    <n v="1"/>
    <n v="1"/>
    <n v="0"/>
    <s v="Unnamed ProjectNacionalautoNumber ScheduledResource"/>
    <n v="10"/>
    <n v="1"/>
    <n v="0"/>
    <n v="0.95"/>
    <n v="0"/>
    <n v="1"/>
    <n v="1"/>
    <n v="0"/>
  </r>
  <r>
    <x v="0"/>
    <s v="2023-05-15 11:51:53"/>
    <n v="4"/>
    <x v="13"/>
    <x v="2"/>
    <x v="2"/>
    <n v="7.5664719476007503E-2"/>
    <n v="3E+20"/>
    <n v="0"/>
    <n v="1"/>
    <n v="0"/>
    <n v="0"/>
    <s v="Unnamed ProjectOperarios AvionInstantaneous UtilizationResource"/>
    <n v="10"/>
    <n v="7.5958437118625627E-2"/>
    <n v="5.0572810112240948E-3"/>
    <n v="0.95"/>
    <n v="3.6177608968134627E-3"/>
    <n v="6.7485948117393404E-2"/>
    <n v="8.7852447587946303E-2"/>
    <n v="3.6177608968134627E-3"/>
  </r>
  <r>
    <x v="0"/>
    <s v="2023-05-15 11:51:53"/>
    <n v="4"/>
    <x v="13"/>
    <x v="3"/>
    <x v="2"/>
    <n v="0.15132943895201501"/>
    <n v="3E+20"/>
    <n v="0"/>
    <n v="2"/>
    <n v="0"/>
    <n v="0"/>
    <s v="Unnamed ProjectOperarios AvionNumber BusyResource"/>
    <n v="10"/>
    <n v="0.1519168742372512"/>
    <n v="1.0114562022448264E-2"/>
    <n v="0.95"/>
    <n v="7.2355217936269783E-3"/>
    <n v="0.134971896234787"/>
    <n v="0.17570489517589299"/>
    <n v="7.2355217936269783E-3"/>
  </r>
  <r>
    <x v="0"/>
    <s v="2023-05-15 11:51:53"/>
    <n v="4"/>
    <x v="13"/>
    <x v="4"/>
    <x v="2"/>
    <n v="2"/>
    <n v="2E+20"/>
    <n v="2"/>
    <n v="2"/>
    <n v="2"/>
    <n v="0"/>
    <s v="Unnamed ProjectOperarios AvionNumber ScheduledResource"/>
    <n v="10"/>
    <n v="2"/>
    <n v="0"/>
    <n v="0.95"/>
    <n v="0"/>
    <n v="2"/>
    <n v="2"/>
    <n v="0"/>
  </r>
  <r>
    <x v="0"/>
    <s v="2023-05-15 11:51:53"/>
    <n v="4"/>
    <x v="14"/>
    <x v="2"/>
    <x v="2"/>
    <n v="0.46134650546047301"/>
    <n v="2E+20"/>
    <n v="0"/>
    <n v="1"/>
    <n v="1"/>
    <n v="0"/>
    <s v="Unnamed ProjectcajeraInstantaneous UtilizationResource"/>
    <n v="10"/>
    <n v="0.38078385056341441"/>
    <n v="5.6481911326734656E-2"/>
    <n v="0.95"/>
    <n v="4.040472533000234E-2"/>
    <n v="0.28913636698845602"/>
    <n v="0.46134650546047301"/>
    <n v="4.040472533000234E-2"/>
  </r>
  <r>
    <x v="0"/>
    <s v="2023-05-15 11:51:53"/>
    <n v="4"/>
    <x v="14"/>
    <x v="3"/>
    <x v="2"/>
    <n v="0.46134650546047301"/>
    <n v="2E+20"/>
    <n v="0"/>
    <n v="1"/>
    <n v="1"/>
    <n v="0"/>
    <s v="Unnamed ProjectcajeraNumber BusyResource"/>
    <n v="10"/>
    <n v="0.38078385056341441"/>
    <n v="5.6481911326734656E-2"/>
    <n v="0.95"/>
    <n v="4.040472533000234E-2"/>
    <n v="0.28913636698845602"/>
    <n v="0.46134650546047301"/>
    <n v="4.040472533000234E-2"/>
  </r>
  <r>
    <x v="0"/>
    <s v="2023-05-15 11:51:53"/>
    <n v="4"/>
    <x v="14"/>
    <x v="4"/>
    <x v="2"/>
    <n v="1"/>
    <n v="2E+20"/>
    <n v="1"/>
    <n v="1"/>
    <n v="1"/>
    <n v="0"/>
    <s v="Unnamed ProjectcajeraNumber ScheduledResource"/>
    <n v="10"/>
    <n v="1"/>
    <n v="0"/>
    <n v="0.95"/>
    <n v="0"/>
    <n v="1"/>
    <n v="1"/>
    <n v="0"/>
  </r>
  <r>
    <x v="0"/>
    <s v="2023-05-15 11:51:53"/>
    <n v="4"/>
    <x v="15"/>
    <x v="2"/>
    <x v="2"/>
    <n v="0.77845968782647601"/>
    <n v="2E+20"/>
    <n v="0"/>
    <n v="1"/>
    <n v="1"/>
    <n v="0"/>
    <s v="Unnamed Projectcajera2Instantaneous UtilizationResource"/>
    <n v="10"/>
    <n v="0.73571117943508912"/>
    <n v="2.3945213257811505E-2"/>
    <n v="0.95"/>
    <n v="1.7129373668915777E-2"/>
    <n v="0.69752119636771104"/>
    <n v="0.77845968782647601"/>
    <n v="1.7129373668915777E-2"/>
  </r>
  <r>
    <x v="0"/>
    <s v="2023-05-15 11:51:53"/>
    <n v="4"/>
    <x v="15"/>
    <x v="3"/>
    <x v="2"/>
    <n v="0.77845968782647601"/>
    <n v="2E+20"/>
    <n v="0"/>
    <n v="1"/>
    <n v="1"/>
    <n v="0"/>
    <s v="Unnamed Projectcajera2Number BusyResource"/>
    <n v="10"/>
    <n v="0.73571117943508912"/>
    <n v="2.3945213257811505E-2"/>
    <n v="0.95"/>
    <n v="1.7129373668915777E-2"/>
    <n v="0.69752119636771104"/>
    <n v="0.77845968782647601"/>
    <n v="1.7129373668915777E-2"/>
  </r>
  <r>
    <x v="0"/>
    <s v="2023-05-15 11:51:53"/>
    <n v="4"/>
    <x v="15"/>
    <x v="4"/>
    <x v="2"/>
    <n v="1"/>
    <n v="2E+20"/>
    <n v="1"/>
    <n v="1"/>
    <n v="1"/>
    <n v="0"/>
    <s v="Unnamed Projectcajera2Number ScheduledResource"/>
    <n v="10"/>
    <n v="1"/>
    <n v="0"/>
    <n v="0.95"/>
    <n v="0"/>
    <n v="1"/>
    <n v="1"/>
    <n v="0"/>
  </r>
  <r>
    <x v="0"/>
    <s v="2023-05-15 11:51:53"/>
    <n v="4"/>
    <x v="16"/>
    <x v="0"/>
    <x v="0"/>
    <n v="0.115553178442506"/>
    <n v="2E+20"/>
    <n v="0"/>
    <n v="1"/>
    <n v="0"/>
    <n v="0"/>
    <s v="Unnamed Projectmanualinter.QueueNumber WaitingQueue"/>
    <n v="10"/>
    <n v="0.33257710094571935"/>
    <n v="0.27159595138606457"/>
    <n v="0.95"/>
    <n v="0.19428803945769421"/>
    <n v="4.88437833500961E-2"/>
    <n v="0.95917715937716497"/>
    <n v="0.19428803945769421"/>
  </r>
  <r>
    <x v="0"/>
    <s v="2023-05-15 11:51:53"/>
    <n v="4"/>
    <x v="17"/>
    <x v="0"/>
    <x v="0"/>
    <n v="0"/>
    <n v="2E+20"/>
    <n v="0"/>
    <n v="0"/>
    <n v="0"/>
    <n v="0"/>
    <s v="Unnamed Projectmanualnaciona.QueueNumber WaitingQueue"/>
    <n v="10"/>
    <n v="2.2437109622866062E-3"/>
    <n v="6.4095428429067599E-3"/>
    <n v="0.95"/>
    <n v="4.5851107367881972E-3"/>
    <n v="0"/>
    <n v="2.0447096127880302E-2"/>
    <n v="4.5851107367881972E-3"/>
  </r>
  <r>
    <x v="0"/>
    <s v="2023-05-15 11:51:53"/>
    <n v="4"/>
    <x v="18"/>
    <x v="0"/>
    <x v="0"/>
    <n v="4.1967726469991202"/>
    <n v="3E+20"/>
    <n v="0"/>
    <n v="14"/>
    <n v="11"/>
    <n v="0"/>
    <s v="Unnamed Projectmaquinainter.QueueNumber WaitingQueue"/>
    <n v="10"/>
    <n v="2.7250893633296323"/>
    <n v="1.2704307292922721"/>
    <n v="0.95"/>
    <n v="0.90881139575657477"/>
    <n v="1.35760259855807"/>
    <n v="5.2621649076821404"/>
    <n v="0.90881139575657477"/>
  </r>
  <r>
    <x v="0"/>
    <s v="2023-05-15 11:51:53"/>
    <n v="4"/>
    <x v="19"/>
    <x v="0"/>
    <x v="0"/>
    <n v="0.233605269428353"/>
    <n v="2E+20"/>
    <n v="0"/>
    <n v="5"/>
    <n v="0"/>
    <n v="0"/>
    <s v="Unnamed Projectmaquinanacional.QueueNumber WaitingQueue"/>
    <n v="10"/>
    <n v="0.20327393268399513"/>
    <n v="5.4678802003311266E-2"/>
    <n v="0.95"/>
    <n v="3.9114858623271326E-2"/>
    <n v="9.7152989948067606E-2"/>
    <n v="0.28694483715654301"/>
    <n v="3.9114858623271326E-2"/>
  </r>
  <r>
    <x v="0"/>
    <s v="2023-05-15 11:51:53"/>
    <n v="4"/>
    <x v="20"/>
    <x v="0"/>
    <x v="0"/>
    <n v="0.35642131361759599"/>
    <n v="2E+20"/>
    <n v="0"/>
    <n v="3"/>
    <n v="0"/>
    <n v="0"/>
    <s v="Unnamed Projectmostrador1.QueueNumber WaitingQueue"/>
    <n v="10"/>
    <n v="0.25365601436241814"/>
    <n v="9.7306237195948719E-2"/>
    <n v="0.95"/>
    <n v="6.9608688772141478E-2"/>
    <n v="0.124078487063659"/>
    <n v="0.381680898629085"/>
    <n v="6.9608688772141478E-2"/>
  </r>
  <r>
    <x v="0"/>
    <s v="2023-05-15 11:51:53"/>
    <n v="4"/>
    <x v="21"/>
    <x v="0"/>
    <x v="0"/>
    <n v="0.71324744430664899"/>
    <n v="2E+20"/>
    <n v="0"/>
    <n v="4"/>
    <n v="0"/>
    <n v="0"/>
    <s v="Unnamed Projectmostrador2.QueueNumber WaitingQueue"/>
    <n v="10"/>
    <n v="0.56854078919795403"/>
    <n v="9.5876381195630939E-2"/>
    <n v="0.95"/>
    <n v="6.8585831407770567E-2"/>
    <n v="0.461258283509344"/>
    <n v="0.74281217456090598"/>
    <n v="6.8585831407770567E-2"/>
  </r>
  <r>
    <x v="0"/>
    <s v="2023-05-15 11:51:53"/>
    <n v="4"/>
    <x v="22"/>
    <x v="1"/>
    <x v="1"/>
    <n v="0"/>
    <n v="2E+20"/>
    <n v="0"/>
    <n v="0"/>
    <n v="0"/>
    <n v="0"/>
    <s v="Unnamed ProjectpersonaWIPEntity"/>
    <n v="10"/>
    <n v="0"/>
    <n v="0"/>
    <n v="0.95"/>
    <n v="0"/>
    <n v="0"/>
    <n v="0"/>
    <n v="0"/>
  </r>
  <r>
    <x v="0"/>
    <s v="2023-05-15 11:51:53"/>
    <n v="4"/>
    <x v="23"/>
    <x v="2"/>
    <x v="2"/>
    <n v="8.6750307062005094E-2"/>
    <n v="2E+20"/>
    <n v="0"/>
    <n v="1"/>
    <n v="0"/>
    <n v="0"/>
    <s v="Unnamed Projectregistro1Instantaneous UtilizationResource"/>
    <n v="10"/>
    <n v="5.6433247648491516E-2"/>
    <n v="2.4456082934732001E-2"/>
    <n v="0.95"/>
    <n v="1.7494827820351853E-2"/>
    <n v="2.1279401430778E-2"/>
    <n v="8.8472374570180701E-2"/>
    <n v="1.7494827820351853E-2"/>
  </r>
  <r>
    <x v="0"/>
    <s v="2023-05-15 11:51:53"/>
    <n v="4"/>
    <x v="23"/>
    <x v="3"/>
    <x v="2"/>
    <n v="8.6750307062005094E-2"/>
    <n v="2E+20"/>
    <n v="0"/>
    <n v="1"/>
    <n v="0"/>
    <n v="0"/>
    <s v="Unnamed Projectregistro1Number BusyResource"/>
    <n v="10"/>
    <n v="5.6433247648491516E-2"/>
    <n v="2.4456082934732001E-2"/>
    <n v="0.95"/>
    <n v="1.7494827820351853E-2"/>
    <n v="2.1279401430778E-2"/>
    <n v="8.8472374570180701E-2"/>
    <n v="1.7494827820351853E-2"/>
  </r>
  <r>
    <x v="0"/>
    <s v="2023-05-15 11:51:53"/>
    <n v="4"/>
    <x v="23"/>
    <x v="4"/>
    <x v="2"/>
    <n v="1"/>
    <n v="2E+20"/>
    <n v="1"/>
    <n v="1"/>
    <n v="1"/>
    <n v="0"/>
    <s v="Unnamed Projectregistro1Number ScheduledResource"/>
    <n v="10"/>
    <n v="1"/>
    <n v="0"/>
    <n v="0.95"/>
    <n v="0"/>
    <n v="1"/>
    <n v="1"/>
    <n v="0"/>
  </r>
  <r>
    <x v="0"/>
    <s v="2023-05-15 11:51:53"/>
    <n v="4"/>
    <x v="24"/>
    <x v="2"/>
    <x v="2"/>
    <n v="0.49903677354296999"/>
    <n v="2E+20"/>
    <n v="0"/>
    <n v="1"/>
    <n v="0"/>
    <n v="0"/>
    <s v="Unnamed Projectregistro2Instantaneous UtilizationResource"/>
    <n v="10"/>
    <n v="0.46274808587050231"/>
    <n v="9.1165192054027525E-2"/>
    <n v="0.95"/>
    <n v="6.5215649719990554E-2"/>
    <n v="0.338210899349628"/>
    <n v="0.66990172486561195"/>
    <n v="6.5215649719990554E-2"/>
  </r>
  <r>
    <x v="0"/>
    <s v="2023-05-15 11:51:53"/>
    <n v="4"/>
    <x v="24"/>
    <x v="3"/>
    <x v="2"/>
    <n v="0.49903677354296999"/>
    <n v="2E+20"/>
    <n v="0"/>
    <n v="1"/>
    <n v="0"/>
    <n v="0"/>
    <s v="Unnamed Projectregistro2Number BusyResource"/>
    <n v="10"/>
    <n v="0.46274808587050231"/>
    <n v="9.1165192054027525E-2"/>
    <n v="0.95"/>
    <n v="6.5215649719990554E-2"/>
    <n v="0.338210899349628"/>
    <n v="0.66990172486561195"/>
    <n v="6.5215649719990554E-2"/>
  </r>
  <r>
    <x v="0"/>
    <s v="2023-05-15 11:51:53"/>
    <n v="4"/>
    <x v="24"/>
    <x v="4"/>
    <x v="2"/>
    <n v="1"/>
    <n v="2E+20"/>
    <n v="1"/>
    <n v="1"/>
    <n v="1"/>
    <n v="0"/>
    <s v="Unnamed Projectregistro2Number ScheduledResource"/>
    <n v="10"/>
    <n v="1"/>
    <n v="0"/>
    <n v="0.95"/>
    <n v="0"/>
    <n v="1"/>
    <n v="1"/>
    <n v="0"/>
  </r>
  <r>
    <x v="0"/>
    <s v="2023-05-15 11:51:53"/>
    <n v="5"/>
    <x v="0"/>
    <x v="0"/>
    <x v="0"/>
    <n v="0"/>
    <n v="2E+20"/>
    <n v="0"/>
    <n v="0"/>
    <n v="0"/>
    <n v="0"/>
    <s v="Unnamed ProjectCargar Avion.QueueNumber WaitingQueue"/>
    <n v="10"/>
    <n v="4.3234278073230802E-4"/>
    <n v="8.6650685478403973E-4"/>
    <n v="0.95"/>
    <n v="6.1986166264068276E-4"/>
    <n v="0"/>
    <n v="2.8294284227636502E-3"/>
    <n v="6.1986166264068276E-4"/>
  </r>
  <r>
    <x v="0"/>
    <s v="2023-05-15 11:51:53"/>
    <n v="5"/>
    <x v="1"/>
    <x v="1"/>
    <x v="1"/>
    <n v="2.0160096041751099"/>
    <n v="0.48710472680194999"/>
    <n v="0"/>
    <n v="10"/>
    <n v="2"/>
    <n v="0"/>
    <s v="Unnamed ProjectEntity 1WIPEntity"/>
    <n v="10"/>
    <n v="1.938691833558875"/>
    <n v="0.24426972485872975"/>
    <n v="0.95"/>
    <n v="0.17474003459724646"/>
    <n v="1.6635577018983201"/>
    <n v="2.3099874805957801"/>
    <n v="0.17474003459724646"/>
  </r>
  <r>
    <x v="0"/>
    <s v="2023-05-15 11:51:53"/>
    <n v="5"/>
    <x v="2"/>
    <x v="2"/>
    <x v="2"/>
    <n v="0.27477476556598701"/>
    <n v="2E+20"/>
    <n v="0"/>
    <n v="1"/>
    <n v="0"/>
    <n v="0"/>
    <s v="Unnamed ProjectInterautoInstantaneous UtilizationResource"/>
    <n v="10"/>
    <n v="0.26535205929836458"/>
    <n v="2.5807993647623796E-2"/>
    <n v="0.95"/>
    <n v="1.8461926485074727E-2"/>
    <n v="0.20483176768320299"/>
    <n v="0.29552077299252399"/>
    <n v="1.8461926485074727E-2"/>
  </r>
  <r>
    <x v="0"/>
    <s v="2023-05-15 11:51:53"/>
    <n v="5"/>
    <x v="2"/>
    <x v="3"/>
    <x v="2"/>
    <n v="0.27477476556598701"/>
    <n v="2E+20"/>
    <n v="0"/>
    <n v="1"/>
    <n v="0"/>
    <n v="0"/>
    <s v="Unnamed ProjectInterautoNumber BusyResource"/>
    <n v="10"/>
    <n v="0.26535205929836458"/>
    <n v="2.5807993647623796E-2"/>
    <n v="0.95"/>
    <n v="1.8461926485074727E-2"/>
    <n v="0.20483176768320299"/>
    <n v="0.29552077299252399"/>
    <n v="1.8461926485074727E-2"/>
  </r>
  <r>
    <x v="0"/>
    <s v="2023-05-15 11:51:53"/>
    <n v="5"/>
    <x v="2"/>
    <x v="4"/>
    <x v="2"/>
    <n v="1"/>
    <n v="2E+20"/>
    <n v="1"/>
    <n v="1"/>
    <n v="1"/>
    <n v="0"/>
    <s v="Unnamed ProjectInterautoNumber ScheduledResource"/>
    <n v="10"/>
    <n v="1"/>
    <n v="0"/>
    <n v="0.95"/>
    <n v="0"/>
    <n v="1"/>
    <n v="1"/>
    <n v="0"/>
  </r>
  <r>
    <x v="0"/>
    <s v="2023-05-15 11:51:53"/>
    <n v="5"/>
    <x v="3"/>
    <x v="0"/>
    <x v="0"/>
    <n v="0.23610711878732199"/>
    <n v="5.8839318788524303E-2"/>
    <n v="0"/>
    <n v="6"/>
    <n v="2"/>
    <n v="0"/>
    <s v="Unnamed ProjectLeave 1.QueueNumber WaitingQueue"/>
    <n v="10"/>
    <n v="0.20353568461890376"/>
    <n v="2.6549184575613477E-2"/>
    <n v="0.95"/>
    <n v="1.899214253405495E-2"/>
    <n v="0.168502364443611"/>
    <n v="0.24578450490959"/>
    <n v="1.899214253405495E-2"/>
  </r>
  <r>
    <x v="0"/>
    <s v="2023-05-15 11:51:53"/>
    <n v="5"/>
    <x v="4"/>
    <x v="0"/>
    <x v="0"/>
    <n v="4.4958754778589302E-3"/>
    <n v="2E+20"/>
    <n v="0"/>
    <n v="1"/>
    <n v="0"/>
    <n v="0"/>
    <s v="Unnamed ProjectLeave 4.QueueNumber WaitingQueue"/>
    <n v="10"/>
    <n v="4.8729672989697272E-3"/>
    <n v="9.2135939256816457E-4"/>
    <n v="0.95"/>
    <n v="6.5910080435457321E-4"/>
    <n v="3.2012309459038099E-3"/>
    <n v="6.0338305270789001E-3"/>
    <n v="6.5910080435457321E-4"/>
  </r>
  <r>
    <x v="0"/>
    <s v="2023-05-15 11:51:53"/>
    <n v="5"/>
    <x v="5"/>
    <x v="0"/>
    <x v="0"/>
    <n v="5.1251374157596799E-2"/>
    <n v="1.1469598594558201E-2"/>
    <n v="0"/>
    <n v="2"/>
    <n v="0"/>
    <n v="0"/>
    <s v="Unnamed ProjectLeave 5.QueueNumber WaitingQueue"/>
    <n v="10"/>
    <n v="4.8788152574119628E-2"/>
    <n v="5.3039270336942244E-3"/>
    <n v="0.95"/>
    <n v="3.7942008323176655E-3"/>
    <n v="4.1058101580258903E-2"/>
    <n v="5.6386723112129902E-2"/>
    <n v="3.7942008323176655E-3"/>
  </r>
  <r>
    <x v="0"/>
    <s v="2023-05-15 11:51:53"/>
    <n v="5"/>
    <x v="6"/>
    <x v="0"/>
    <x v="0"/>
    <n v="2.8058502183471502E-3"/>
    <n v="2E+20"/>
    <n v="0"/>
    <n v="1"/>
    <n v="0"/>
    <n v="0"/>
    <s v="Unnamed ProjectLeave 6.QueueNumber WaitingQueue"/>
    <n v="10"/>
    <n v="3.227619592382791E-3"/>
    <n v="1.5087685522347895E-3"/>
    <n v="0.95"/>
    <n v="1.0793080033525183E-3"/>
    <n v="4.7201486102630699E-4"/>
    <n v="6.2452549613019898E-3"/>
    <n v="1.0793080033525183E-3"/>
  </r>
  <r>
    <x v="0"/>
    <s v="2023-05-15 11:51:53"/>
    <n v="5"/>
    <x v="7"/>
    <x v="0"/>
    <x v="0"/>
    <n v="7.8633362228088005E-2"/>
    <n v="2.25516831517945E-2"/>
    <n v="0"/>
    <n v="3"/>
    <n v="0"/>
    <n v="0"/>
    <s v="Unnamed ProjectLeave 7.QueueNumber WaitingQueue"/>
    <n v="10"/>
    <n v="5.9441954240945373E-2"/>
    <n v="1.1519407308393107E-2"/>
    <n v="0.95"/>
    <n v="8.2404875707479553E-3"/>
    <n v="4.5386728660866099E-2"/>
    <n v="7.8633362228088005E-2"/>
    <n v="8.2404875707479553E-3"/>
  </r>
  <r>
    <x v="0"/>
    <s v="2023-05-15 11:51:53"/>
    <n v="5"/>
    <x v="8"/>
    <x v="0"/>
    <x v="0"/>
    <n v="3.5490296241417699E-3"/>
    <n v="2E+20"/>
    <n v="0"/>
    <n v="1"/>
    <n v="0"/>
    <n v="0"/>
    <s v="Unnamed ProjectLeave 8.QueueNumber WaitingQueue"/>
    <n v="10"/>
    <n v="2.1217771776478596E-3"/>
    <n v="8.0254950645480523E-4"/>
    <n v="0.95"/>
    <n v="5.7410933182579346E-4"/>
    <n v="9.0451064743319795E-4"/>
    <n v="3.5490296241417699E-3"/>
    <n v="5.7410933182579346E-4"/>
  </r>
  <r>
    <x v="0"/>
    <s v="2023-05-15 11:51:53"/>
    <n v="5"/>
    <x v="9"/>
    <x v="0"/>
    <x v="0"/>
    <n v="1.0495493640213401E-3"/>
    <n v="2E+20"/>
    <n v="0"/>
    <n v="1"/>
    <n v="0"/>
    <n v="0"/>
    <s v="Unnamed ProjectLeave 9.QueueNumber WaitingQueue"/>
    <n v="10"/>
    <n v="1.3877246767065991E-3"/>
    <n v="7.1875981577935533E-4"/>
    <n v="0.95"/>
    <n v="5.1416979795196457E-4"/>
    <n v="2.8555279956142001E-4"/>
    <n v="2.50186012594582E-3"/>
    <n v="5.1416979795196457E-4"/>
  </r>
  <r>
    <x v="0"/>
    <s v="2023-05-15 11:51:53"/>
    <n v="5"/>
    <x v="10"/>
    <x v="1"/>
    <x v="1"/>
    <n v="13.096214757577799"/>
    <n v="3E+20"/>
    <n v="0"/>
    <n v="28"/>
    <n v="16"/>
    <n v="0"/>
    <s v="Unnamed ProjectMaleta InternacionalWIPEntity"/>
    <n v="10"/>
    <n v="13.037689788098451"/>
    <n v="1.9631643885071912"/>
    <n v="0.95"/>
    <n v="1.4043632028742961"/>
    <n v="10.277307754823401"/>
    <n v="16.425571484417201"/>
    <n v="1.4043632028742961"/>
  </r>
  <r>
    <x v="0"/>
    <s v="2023-05-15 11:51:53"/>
    <n v="5"/>
    <x v="11"/>
    <x v="1"/>
    <x v="1"/>
    <n v="3.0013070077553499"/>
    <n v="2E+20"/>
    <n v="0"/>
    <n v="10"/>
    <n v="7"/>
    <n v="0"/>
    <s v="Unnamed ProjectMaleta NacionalWIPEntity"/>
    <n v="10"/>
    <n v="2.7356580954557046"/>
    <n v="0.24675556542769644"/>
    <n v="0.95"/>
    <n v="0.17651829781539885"/>
    <n v="2.4605296674942401"/>
    <n v="3.2916533376655202"/>
    <n v="0.17651829781539885"/>
  </r>
  <r>
    <x v="0"/>
    <s v="2023-05-15 11:51:53"/>
    <n v="5"/>
    <x v="12"/>
    <x v="2"/>
    <x v="2"/>
    <n v="0.71336223524589704"/>
    <n v="2E+20"/>
    <n v="0"/>
    <n v="1"/>
    <n v="1"/>
    <n v="0"/>
    <s v="Unnamed ProjectNacionalautoInstantaneous UtilizationResource"/>
    <n v="10"/>
    <n v="0.73175058451933661"/>
    <n v="6.0813477412386734E-2"/>
    <n v="0.95"/>
    <n v="4.3503341043041877E-2"/>
    <n v="0.64995347349336796"/>
    <n v="0.82581624655093899"/>
    <n v="4.3503341043041877E-2"/>
  </r>
  <r>
    <x v="0"/>
    <s v="2023-05-15 11:51:53"/>
    <n v="5"/>
    <x v="12"/>
    <x v="3"/>
    <x v="2"/>
    <n v="0.71336223524589704"/>
    <n v="2E+20"/>
    <n v="0"/>
    <n v="1"/>
    <n v="1"/>
    <n v="0"/>
    <s v="Unnamed ProjectNacionalautoNumber BusyResource"/>
    <n v="10"/>
    <n v="0.73175058451933661"/>
    <n v="6.0813477412386734E-2"/>
    <n v="0.95"/>
    <n v="4.3503341043041877E-2"/>
    <n v="0.64995347349336796"/>
    <n v="0.82581624655093899"/>
    <n v="4.3503341043041877E-2"/>
  </r>
  <r>
    <x v="0"/>
    <s v="2023-05-15 11:51:53"/>
    <n v="5"/>
    <x v="12"/>
    <x v="4"/>
    <x v="2"/>
    <n v="1"/>
    <n v="2E+20"/>
    <n v="1"/>
    <n v="1"/>
    <n v="1"/>
    <n v="0"/>
    <s v="Unnamed ProjectNacionalautoNumber ScheduledResource"/>
    <n v="10"/>
    <n v="1"/>
    <n v="0"/>
    <n v="0.95"/>
    <n v="0"/>
    <n v="1"/>
    <n v="1"/>
    <n v="0"/>
  </r>
  <r>
    <x v="0"/>
    <s v="2023-05-15 11:51:53"/>
    <n v="5"/>
    <x v="13"/>
    <x v="2"/>
    <x v="2"/>
    <n v="7.7377695589084194E-2"/>
    <n v="1.3198091067752601E-2"/>
    <n v="0"/>
    <n v="1"/>
    <n v="0"/>
    <n v="0"/>
    <s v="Unnamed ProjectOperarios AvionInstantaneous UtilizationResource"/>
    <n v="10"/>
    <n v="7.5958437118625627E-2"/>
    <n v="5.0572810112240948E-3"/>
    <n v="0.95"/>
    <n v="3.6177608968134627E-3"/>
    <n v="6.7485948117393404E-2"/>
    <n v="8.7852447587946303E-2"/>
    <n v="3.6177608968134627E-3"/>
  </r>
  <r>
    <x v="0"/>
    <s v="2023-05-15 11:51:53"/>
    <n v="5"/>
    <x v="13"/>
    <x v="3"/>
    <x v="2"/>
    <n v="0.154755391178168"/>
    <n v="2.6396182135505201E-2"/>
    <n v="0"/>
    <n v="2"/>
    <n v="0"/>
    <n v="0"/>
    <s v="Unnamed ProjectOperarios AvionNumber BusyResource"/>
    <n v="10"/>
    <n v="0.1519168742372512"/>
    <n v="1.0114562022448264E-2"/>
    <n v="0.95"/>
    <n v="7.2355217936269783E-3"/>
    <n v="0.134971896234787"/>
    <n v="0.17570489517589299"/>
    <n v="7.2355217936269783E-3"/>
  </r>
  <r>
    <x v="0"/>
    <s v="2023-05-15 11:51:53"/>
    <n v="5"/>
    <x v="13"/>
    <x v="4"/>
    <x v="2"/>
    <n v="2"/>
    <n v="2E+20"/>
    <n v="2"/>
    <n v="2"/>
    <n v="2"/>
    <n v="0"/>
    <s v="Unnamed ProjectOperarios AvionNumber ScheduledResource"/>
    <n v="10"/>
    <n v="2"/>
    <n v="0"/>
    <n v="0.95"/>
    <n v="0"/>
    <n v="2"/>
    <n v="2"/>
    <n v="0"/>
  </r>
  <r>
    <x v="0"/>
    <s v="2023-05-15 11:51:53"/>
    <n v="5"/>
    <x v="14"/>
    <x v="2"/>
    <x v="2"/>
    <n v="0.386982235410052"/>
    <n v="2E+20"/>
    <n v="0"/>
    <n v="1"/>
    <n v="0"/>
    <n v="0"/>
    <s v="Unnamed ProjectcajeraInstantaneous UtilizationResource"/>
    <n v="10"/>
    <n v="0.38078385056341441"/>
    <n v="5.6481911326734656E-2"/>
    <n v="0.95"/>
    <n v="4.040472533000234E-2"/>
    <n v="0.28913636698845602"/>
    <n v="0.46134650546047301"/>
    <n v="4.040472533000234E-2"/>
  </r>
  <r>
    <x v="0"/>
    <s v="2023-05-15 11:51:53"/>
    <n v="5"/>
    <x v="14"/>
    <x v="3"/>
    <x v="2"/>
    <n v="0.386982235410052"/>
    <n v="2E+20"/>
    <n v="0"/>
    <n v="1"/>
    <n v="0"/>
    <n v="0"/>
    <s v="Unnamed ProjectcajeraNumber BusyResource"/>
    <n v="10"/>
    <n v="0.38078385056341441"/>
    <n v="5.6481911326734656E-2"/>
    <n v="0.95"/>
    <n v="4.040472533000234E-2"/>
    <n v="0.28913636698845602"/>
    <n v="0.46134650546047301"/>
    <n v="4.040472533000234E-2"/>
  </r>
  <r>
    <x v="0"/>
    <s v="2023-05-15 11:51:53"/>
    <n v="5"/>
    <x v="14"/>
    <x v="4"/>
    <x v="2"/>
    <n v="1"/>
    <n v="2E+20"/>
    <n v="1"/>
    <n v="1"/>
    <n v="1"/>
    <n v="0"/>
    <s v="Unnamed ProjectcajeraNumber ScheduledResource"/>
    <n v="10"/>
    <n v="1"/>
    <n v="0"/>
    <n v="0.95"/>
    <n v="0"/>
    <n v="1"/>
    <n v="1"/>
    <n v="0"/>
  </r>
  <r>
    <x v="0"/>
    <s v="2023-05-15 11:51:53"/>
    <n v="5"/>
    <x v="15"/>
    <x v="2"/>
    <x v="2"/>
    <n v="0.735269347730102"/>
    <n v="2E+20"/>
    <n v="0"/>
    <n v="1"/>
    <n v="1"/>
    <n v="0"/>
    <s v="Unnamed Projectcajera2Instantaneous UtilizationResource"/>
    <n v="10"/>
    <n v="0.73571117943508912"/>
    <n v="2.3945213257811505E-2"/>
    <n v="0.95"/>
    <n v="1.7129373668915777E-2"/>
    <n v="0.69752119636771104"/>
    <n v="0.77845968782647601"/>
    <n v="1.7129373668915777E-2"/>
  </r>
  <r>
    <x v="0"/>
    <s v="2023-05-15 11:51:53"/>
    <n v="5"/>
    <x v="15"/>
    <x v="3"/>
    <x v="2"/>
    <n v="0.735269347730102"/>
    <n v="2E+20"/>
    <n v="0"/>
    <n v="1"/>
    <n v="1"/>
    <n v="0"/>
    <s v="Unnamed Projectcajera2Number BusyResource"/>
    <n v="10"/>
    <n v="0.73571117943508912"/>
    <n v="2.3945213257811505E-2"/>
    <n v="0.95"/>
    <n v="1.7129373668915777E-2"/>
    <n v="0.69752119636771104"/>
    <n v="0.77845968782647601"/>
    <n v="1.7129373668915777E-2"/>
  </r>
  <r>
    <x v="0"/>
    <s v="2023-05-15 11:51:53"/>
    <n v="5"/>
    <x v="15"/>
    <x v="4"/>
    <x v="2"/>
    <n v="1"/>
    <n v="2E+20"/>
    <n v="1"/>
    <n v="1"/>
    <n v="1"/>
    <n v="0"/>
    <s v="Unnamed Projectcajera2Number ScheduledResource"/>
    <n v="10"/>
    <n v="1"/>
    <n v="0"/>
    <n v="0.95"/>
    <n v="0"/>
    <n v="1"/>
    <n v="1"/>
    <n v="0"/>
  </r>
  <r>
    <x v="0"/>
    <s v="2023-05-15 11:51:53"/>
    <n v="5"/>
    <x v="16"/>
    <x v="0"/>
    <x v="0"/>
    <n v="0.45238615087769601"/>
    <n v="2E+20"/>
    <n v="0"/>
    <n v="5"/>
    <n v="0"/>
    <n v="0"/>
    <s v="Unnamed Projectmanualinter.QueueNumber WaitingQueue"/>
    <n v="10"/>
    <n v="0.33257710094571935"/>
    <n v="0.27159595138606457"/>
    <n v="0.95"/>
    <n v="0.19428803945769421"/>
    <n v="4.88437833500961E-2"/>
    <n v="0.95917715937716497"/>
    <n v="0.19428803945769421"/>
  </r>
  <r>
    <x v="0"/>
    <s v="2023-05-15 11:51:53"/>
    <n v="5"/>
    <x v="17"/>
    <x v="0"/>
    <x v="0"/>
    <n v="8.9824156657539699E-4"/>
    <n v="2E+20"/>
    <n v="0"/>
    <n v="1"/>
    <n v="0"/>
    <n v="0"/>
    <s v="Unnamed Projectmanualnaciona.QueueNumber WaitingQueue"/>
    <n v="10"/>
    <n v="2.2437109622866062E-3"/>
    <n v="6.4095428429067599E-3"/>
    <n v="0.95"/>
    <n v="4.5851107367881972E-3"/>
    <n v="0"/>
    <n v="2.0447096127880302E-2"/>
    <n v="4.5851107367881972E-3"/>
  </r>
  <r>
    <x v="0"/>
    <s v="2023-05-15 11:51:53"/>
    <n v="5"/>
    <x v="18"/>
    <x v="0"/>
    <x v="0"/>
    <n v="2.4078081722243598"/>
    <n v="3E+20"/>
    <n v="0"/>
    <n v="10"/>
    <n v="4"/>
    <n v="0"/>
    <s v="Unnamed Projectmaquinainter.QueueNumber WaitingQueue"/>
    <n v="10"/>
    <n v="2.7250893633296323"/>
    <n v="1.2704307292922721"/>
    <n v="0.95"/>
    <n v="0.90881139575657477"/>
    <n v="1.35760259855807"/>
    <n v="5.2621649076821404"/>
    <n v="0.90881139575657477"/>
  </r>
  <r>
    <x v="0"/>
    <s v="2023-05-15 11:51:53"/>
    <n v="5"/>
    <x v="19"/>
    <x v="0"/>
    <x v="0"/>
    <n v="0.17795315128050401"/>
    <n v="2E+20"/>
    <n v="0"/>
    <n v="3"/>
    <n v="0"/>
    <n v="0"/>
    <s v="Unnamed Projectmaquinanacional.QueueNumber WaitingQueue"/>
    <n v="10"/>
    <n v="0.20327393268399513"/>
    <n v="5.4678802003311266E-2"/>
    <n v="0.95"/>
    <n v="3.9114858623271326E-2"/>
    <n v="9.7152989948067606E-2"/>
    <n v="0.28694483715654301"/>
    <n v="3.9114858623271326E-2"/>
  </r>
  <r>
    <x v="0"/>
    <s v="2023-05-15 11:51:53"/>
    <n v="5"/>
    <x v="20"/>
    <x v="0"/>
    <x v="0"/>
    <n v="0.342660644102733"/>
    <n v="2E+20"/>
    <n v="0"/>
    <n v="3"/>
    <n v="0"/>
    <n v="0"/>
    <s v="Unnamed Projectmostrador1.QueueNumber WaitingQueue"/>
    <n v="10"/>
    <n v="0.25365601436241814"/>
    <n v="9.7306237195948719E-2"/>
    <n v="0.95"/>
    <n v="6.9608688772141478E-2"/>
    <n v="0.124078487063659"/>
    <n v="0.381680898629085"/>
    <n v="6.9608688772141478E-2"/>
  </r>
  <r>
    <x v="0"/>
    <s v="2023-05-15 11:51:53"/>
    <n v="5"/>
    <x v="21"/>
    <x v="0"/>
    <x v="0"/>
    <n v="0.55109737693222505"/>
    <n v="2E+20"/>
    <n v="0"/>
    <n v="4"/>
    <n v="1"/>
    <n v="0"/>
    <s v="Unnamed Projectmostrador2.QueueNumber WaitingQueue"/>
    <n v="10"/>
    <n v="0.56854078919795403"/>
    <n v="9.5876381195630939E-2"/>
    <n v="0.95"/>
    <n v="6.8585831407770567E-2"/>
    <n v="0.461258283509344"/>
    <n v="0.74281217456090598"/>
    <n v="6.8585831407770567E-2"/>
  </r>
  <r>
    <x v="0"/>
    <s v="2023-05-15 11:51:53"/>
    <n v="5"/>
    <x v="22"/>
    <x v="1"/>
    <x v="1"/>
    <n v="0"/>
    <n v="2E+20"/>
    <n v="0"/>
    <n v="0"/>
    <n v="0"/>
    <n v="0"/>
    <s v="Unnamed ProjectpersonaWIPEntity"/>
    <n v="10"/>
    <n v="0"/>
    <n v="0"/>
    <n v="0.95"/>
    <n v="0"/>
    <n v="0"/>
    <n v="0"/>
    <n v="0"/>
  </r>
  <r>
    <x v="0"/>
    <s v="2023-05-15 11:51:53"/>
    <n v="5"/>
    <x v="23"/>
    <x v="2"/>
    <x v="2"/>
    <n v="6.3839547104267397E-2"/>
    <n v="2E+20"/>
    <n v="0"/>
    <n v="1"/>
    <n v="0"/>
    <n v="0"/>
    <s v="Unnamed Projectregistro1Instantaneous UtilizationResource"/>
    <n v="10"/>
    <n v="5.6433247648491516E-2"/>
    <n v="2.4456082934732001E-2"/>
    <n v="0.95"/>
    <n v="1.7494827820351853E-2"/>
    <n v="2.1279401430778E-2"/>
    <n v="8.8472374570180701E-2"/>
    <n v="1.7494827820351853E-2"/>
  </r>
  <r>
    <x v="0"/>
    <s v="2023-05-15 11:51:53"/>
    <n v="5"/>
    <x v="23"/>
    <x v="3"/>
    <x v="2"/>
    <n v="6.3839547104267397E-2"/>
    <n v="2E+20"/>
    <n v="0"/>
    <n v="1"/>
    <n v="0"/>
    <n v="0"/>
    <s v="Unnamed Projectregistro1Number BusyResource"/>
    <n v="10"/>
    <n v="5.6433247648491516E-2"/>
    <n v="2.4456082934732001E-2"/>
    <n v="0.95"/>
    <n v="1.7494827820351853E-2"/>
    <n v="2.1279401430778E-2"/>
    <n v="8.8472374570180701E-2"/>
    <n v="1.7494827820351853E-2"/>
  </r>
  <r>
    <x v="0"/>
    <s v="2023-05-15 11:51:53"/>
    <n v="5"/>
    <x v="23"/>
    <x v="4"/>
    <x v="2"/>
    <n v="1"/>
    <n v="2E+20"/>
    <n v="1"/>
    <n v="1"/>
    <n v="1"/>
    <n v="0"/>
    <s v="Unnamed Projectregistro1Number ScheduledResource"/>
    <n v="10"/>
    <n v="1"/>
    <n v="0"/>
    <n v="0.95"/>
    <n v="0"/>
    <n v="1"/>
    <n v="1"/>
    <n v="0"/>
  </r>
  <r>
    <x v="0"/>
    <s v="2023-05-15 11:51:53"/>
    <n v="5"/>
    <x v="24"/>
    <x v="2"/>
    <x v="2"/>
    <n v="0.51308674573803204"/>
    <n v="2E+20"/>
    <n v="0"/>
    <n v="1"/>
    <n v="0"/>
    <n v="0"/>
    <s v="Unnamed Projectregistro2Instantaneous UtilizationResource"/>
    <n v="10"/>
    <n v="0.46274808587050231"/>
    <n v="9.1165192054027525E-2"/>
    <n v="0.95"/>
    <n v="6.5215649719990554E-2"/>
    <n v="0.338210899349628"/>
    <n v="0.66990172486561195"/>
    <n v="6.5215649719990554E-2"/>
  </r>
  <r>
    <x v="0"/>
    <s v="2023-05-15 11:51:53"/>
    <n v="5"/>
    <x v="24"/>
    <x v="3"/>
    <x v="2"/>
    <n v="0.51308674573803204"/>
    <n v="2E+20"/>
    <n v="0"/>
    <n v="1"/>
    <n v="0"/>
    <n v="0"/>
    <s v="Unnamed Projectregistro2Number BusyResource"/>
    <n v="10"/>
    <n v="0.46274808587050231"/>
    <n v="9.1165192054027525E-2"/>
    <n v="0.95"/>
    <n v="6.5215649719990554E-2"/>
    <n v="0.338210899349628"/>
    <n v="0.66990172486561195"/>
    <n v="6.5215649719990554E-2"/>
  </r>
  <r>
    <x v="0"/>
    <s v="2023-05-15 11:51:53"/>
    <n v="5"/>
    <x v="24"/>
    <x v="4"/>
    <x v="2"/>
    <n v="1"/>
    <n v="2E+20"/>
    <n v="1"/>
    <n v="1"/>
    <n v="1"/>
    <n v="0"/>
    <s v="Unnamed Projectregistro2Number ScheduledResource"/>
    <n v="10"/>
    <n v="1"/>
    <n v="0"/>
    <n v="0.95"/>
    <n v="0"/>
    <n v="1"/>
    <n v="1"/>
    <n v="0"/>
  </r>
  <r>
    <x v="0"/>
    <s v="2023-05-15 11:51:53"/>
    <n v="6"/>
    <x v="0"/>
    <x v="0"/>
    <x v="0"/>
    <n v="1.6657153840479101E-4"/>
    <n v="2E+20"/>
    <n v="0"/>
    <n v="1"/>
    <n v="0"/>
    <n v="0"/>
    <s v="Unnamed ProjectCargar Avion.QueueNumber WaitingQueue"/>
    <n v="10"/>
    <n v="4.3234278073230802E-4"/>
    <n v="8.6650685478403973E-4"/>
    <n v="0.95"/>
    <n v="6.1986166264068276E-4"/>
    <n v="0"/>
    <n v="2.8294284227636502E-3"/>
    <n v="6.1986166264068276E-4"/>
  </r>
  <r>
    <x v="0"/>
    <s v="2023-05-15 11:51:53"/>
    <n v="6"/>
    <x v="1"/>
    <x v="1"/>
    <x v="1"/>
    <n v="2.1187470283430998"/>
    <n v="0.382321554934757"/>
    <n v="0"/>
    <n v="9"/>
    <n v="5"/>
    <n v="0"/>
    <s v="Unnamed ProjectEntity 1WIPEntity"/>
    <n v="10"/>
    <n v="1.938691833558875"/>
    <n v="0.24426972485872975"/>
    <n v="0.95"/>
    <n v="0.17474003459724646"/>
    <n v="1.6635577018983201"/>
    <n v="2.3099874805957801"/>
    <n v="0.17474003459724646"/>
  </r>
  <r>
    <x v="0"/>
    <s v="2023-05-15 11:51:53"/>
    <n v="6"/>
    <x v="2"/>
    <x v="2"/>
    <x v="2"/>
    <n v="0.20483176768320299"/>
    <n v="2E+20"/>
    <n v="0"/>
    <n v="1"/>
    <n v="0"/>
    <n v="0"/>
    <s v="Unnamed ProjectInterautoInstantaneous UtilizationResource"/>
    <n v="10"/>
    <n v="0.26535205929836458"/>
    <n v="2.5807993647623796E-2"/>
    <n v="0.95"/>
    <n v="1.8461926485074727E-2"/>
    <n v="0.20483176768320299"/>
    <n v="0.29552077299252399"/>
    <n v="1.8461926485074727E-2"/>
  </r>
  <r>
    <x v="0"/>
    <s v="2023-05-15 11:51:53"/>
    <n v="6"/>
    <x v="2"/>
    <x v="3"/>
    <x v="2"/>
    <n v="0.20483176768320299"/>
    <n v="2E+20"/>
    <n v="0"/>
    <n v="1"/>
    <n v="0"/>
    <n v="0"/>
    <s v="Unnamed ProjectInterautoNumber BusyResource"/>
    <n v="10"/>
    <n v="0.26535205929836458"/>
    <n v="2.5807993647623796E-2"/>
    <n v="0.95"/>
    <n v="1.8461926485074727E-2"/>
    <n v="0.20483176768320299"/>
    <n v="0.29552077299252399"/>
    <n v="1.8461926485074727E-2"/>
  </r>
  <r>
    <x v="0"/>
    <s v="2023-05-15 11:51:53"/>
    <n v="6"/>
    <x v="2"/>
    <x v="4"/>
    <x v="2"/>
    <n v="1"/>
    <n v="2E+20"/>
    <n v="1"/>
    <n v="1"/>
    <n v="1"/>
    <n v="0"/>
    <s v="Unnamed ProjectInterautoNumber ScheduledResource"/>
    <n v="10"/>
    <n v="1"/>
    <n v="0"/>
    <n v="0.95"/>
    <n v="0"/>
    <n v="1"/>
    <n v="1"/>
    <n v="0"/>
  </r>
  <r>
    <x v="0"/>
    <s v="2023-05-15 11:51:53"/>
    <n v="6"/>
    <x v="3"/>
    <x v="0"/>
    <x v="0"/>
    <n v="0.20262672037266799"/>
    <n v="3.40872049391708E-2"/>
    <n v="0"/>
    <n v="4"/>
    <n v="0"/>
    <n v="0"/>
    <s v="Unnamed ProjectLeave 1.QueueNumber WaitingQueue"/>
    <n v="10"/>
    <n v="0.20353568461890376"/>
    <n v="2.6549184575613477E-2"/>
    <n v="0.95"/>
    <n v="1.899214253405495E-2"/>
    <n v="0.168502364443611"/>
    <n v="0.24578450490959"/>
    <n v="1.899214253405495E-2"/>
  </r>
  <r>
    <x v="0"/>
    <s v="2023-05-15 11:51:53"/>
    <n v="6"/>
    <x v="4"/>
    <x v="0"/>
    <x v="0"/>
    <n v="6.0338305270789001E-3"/>
    <n v="2E+20"/>
    <n v="0"/>
    <n v="1"/>
    <n v="0"/>
    <n v="0"/>
    <s v="Unnamed ProjectLeave 4.QueueNumber WaitingQueue"/>
    <n v="10"/>
    <n v="4.8729672989697272E-3"/>
    <n v="9.2135939256816457E-4"/>
    <n v="0.95"/>
    <n v="6.5910080435457321E-4"/>
    <n v="3.2012309459038099E-3"/>
    <n v="6.0338305270789001E-3"/>
    <n v="6.5910080435457321E-4"/>
  </r>
  <r>
    <x v="0"/>
    <s v="2023-05-15 11:51:53"/>
    <n v="6"/>
    <x v="5"/>
    <x v="0"/>
    <x v="0"/>
    <n v="5.6386723112129902E-2"/>
    <n v="1.17242259054578E-2"/>
    <n v="0"/>
    <n v="2"/>
    <n v="0"/>
    <n v="0"/>
    <s v="Unnamed ProjectLeave 5.QueueNumber WaitingQueue"/>
    <n v="10"/>
    <n v="4.8788152574119628E-2"/>
    <n v="5.3039270336942244E-3"/>
    <n v="0.95"/>
    <n v="3.7942008323176655E-3"/>
    <n v="4.1058101580258903E-2"/>
    <n v="5.6386723112129902E-2"/>
    <n v="3.7942008323176655E-3"/>
  </r>
  <r>
    <x v="0"/>
    <s v="2023-05-15 11:51:53"/>
    <n v="6"/>
    <x v="6"/>
    <x v="0"/>
    <x v="0"/>
    <n v="3.3254701693812999E-3"/>
    <n v="2E+20"/>
    <n v="0"/>
    <n v="1"/>
    <n v="0"/>
    <n v="0"/>
    <s v="Unnamed ProjectLeave 6.QueueNumber WaitingQueue"/>
    <n v="10"/>
    <n v="3.227619592382791E-3"/>
    <n v="1.5087685522347895E-3"/>
    <n v="0.95"/>
    <n v="1.0793080033525183E-3"/>
    <n v="4.7201486102630699E-4"/>
    <n v="6.2452549613019898E-3"/>
    <n v="1.0793080033525183E-3"/>
  </r>
  <r>
    <x v="0"/>
    <s v="2023-05-15 11:51:53"/>
    <n v="6"/>
    <x v="7"/>
    <x v="0"/>
    <x v="0"/>
    <n v="6.2634177446063893E-2"/>
    <n v="2E+20"/>
    <n v="0"/>
    <n v="2"/>
    <n v="0"/>
    <n v="0"/>
    <s v="Unnamed ProjectLeave 7.QueueNumber WaitingQueue"/>
    <n v="10"/>
    <n v="5.9441954240945373E-2"/>
    <n v="1.1519407308393107E-2"/>
    <n v="0.95"/>
    <n v="8.2404875707479553E-3"/>
    <n v="4.5386728660866099E-2"/>
    <n v="7.8633362228088005E-2"/>
    <n v="8.2404875707479553E-3"/>
  </r>
  <r>
    <x v="0"/>
    <s v="2023-05-15 11:51:53"/>
    <n v="6"/>
    <x v="8"/>
    <x v="0"/>
    <x v="0"/>
    <n v="1.9987076431300702E-3"/>
    <n v="2E+20"/>
    <n v="0"/>
    <n v="1"/>
    <n v="0"/>
    <n v="0"/>
    <s v="Unnamed ProjectLeave 8.QueueNumber WaitingQueue"/>
    <n v="10"/>
    <n v="2.1217771776478596E-3"/>
    <n v="8.0254950645480523E-4"/>
    <n v="0.95"/>
    <n v="5.7410933182579346E-4"/>
    <n v="9.0451064743319795E-4"/>
    <n v="3.5490296241417699E-3"/>
    <n v="5.7410933182579346E-4"/>
  </r>
  <r>
    <x v="0"/>
    <s v="2023-05-15 11:51:53"/>
    <n v="6"/>
    <x v="9"/>
    <x v="0"/>
    <x v="0"/>
    <n v="2.8555279956142001E-4"/>
    <n v="2E+20"/>
    <n v="0"/>
    <n v="1"/>
    <n v="0"/>
    <n v="0"/>
    <s v="Unnamed ProjectLeave 9.QueueNumber WaitingQueue"/>
    <n v="10"/>
    <n v="1.3877246767065991E-3"/>
    <n v="7.1875981577935533E-4"/>
    <n v="0.95"/>
    <n v="5.1416979795196457E-4"/>
    <n v="2.8555279956142001E-4"/>
    <n v="2.50186012594582E-3"/>
    <n v="5.1416979795196457E-4"/>
  </r>
  <r>
    <x v="0"/>
    <s v="2023-05-15 11:51:53"/>
    <n v="6"/>
    <x v="10"/>
    <x v="1"/>
    <x v="1"/>
    <n v="16.425571484417201"/>
    <n v="3E+20"/>
    <n v="0"/>
    <n v="33"/>
    <n v="19"/>
    <n v="0"/>
    <s v="Unnamed ProjectMaleta InternacionalWIPEntity"/>
    <n v="10"/>
    <n v="13.037689788098451"/>
    <n v="1.9631643885071912"/>
    <n v="0.95"/>
    <n v="1.4043632028742961"/>
    <n v="10.277307754823401"/>
    <n v="16.425571484417201"/>
    <n v="1.4043632028742961"/>
  </r>
  <r>
    <x v="0"/>
    <s v="2023-05-15 11:51:53"/>
    <n v="6"/>
    <x v="11"/>
    <x v="1"/>
    <x v="1"/>
    <n v="2.4605296674942401"/>
    <n v="2E+20"/>
    <n v="0"/>
    <n v="8"/>
    <n v="1"/>
    <n v="0"/>
    <s v="Unnamed ProjectMaleta NacionalWIPEntity"/>
    <n v="10"/>
    <n v="2.7356580954557046"/>
    <n v="0.24675556542769644"/>
    <n v="0.95"/>
    <n v="0.17651829781539885"/>
    <n v="2.4605296674942401"/>
    <n v="3.2916533376655202"/>
    <n v="0.17651829781539885"/>
  </r>
  <r>
    <x v="0"/>
    <s v="2023-05-15 11:51:53"/>
    <n v="6"/>
    <x v="12"/>
    <x v="2"/>
    <x v="2"/>
    <n v="0.79079720639107598"/>
    <n v="2E+20"/>
    <n v="0"/>
    <n v="1"/>
    <n v="1"/>
    <n v="0"/>
    <s v="Unnamed ProjectNacionalautoInstantaneous UtilizationResource"/>
    <n v="10"/>
    <n v="0.73175058451933661"/>
    <n v="6.0813477412386734E-2"/>
    <n v="0.95"/>
    <n v="4.3503341043041877E-2"/>
    <n v="0.64995347349336796"/>
    <n v="0.82581624655093899"/>
    <n v="4.3503341043041877E-2"/>
  </r>
  <r>
    <x v="0"/>
    <s v="2023-05-15 11:51:53"/>
    <n v="6"/>
    <x v="12"/>
    <x v="3"/>
    <x v="2"/>
    <n v="0.79079720639107598"/>
    <n v="2E+20"/>
    <n v="0"/>
    <n v="1"/>
    <n v="1"/>
    <n v="0"/>
    <s v="Unnamed ProjectNacionalautoNumber BusyResource"/>
    <n v="10"/>
    <n v="0.73175058451933661"/>
    <n v="6.0813477412386734E-2"/>
    <n v="0.95"/>
    <n v="4.3503341043041877E-2"/>
    <n v="0.64995347349336796"/>
    <n v="0.82581624655093899"/>
    <n v="4.3503341043041877E-2"/>
  </r>
  <r>
    <x v="0"/>
    <s v="2023-05-15 11:51:53"/>
    <n v="6"/>
    <x v="12"/>
    <x v="4"/>
    <x v="2"/>
    <n v="1"/>
    <n v="2E+20"/>
    <n v="1"/>
    <n v="1"/>
    <n v="1"/>
    <n v="0"/>
    <s v="Unnamed ProjectNacionalautoNumber ScheduledResource"/>
    <n v="10"/>
    <n v="1"/>
    <n v="0"/>
    <n v="0.95"/>
    <n v="0"/>
    <n v="1"/>
    <n v="1"/>
    <n v="0"/>
  </r>
  <r>
    <x v="0"/>
    <s v="2023-05-15 11:51:53"/>
    <n v="6"/>
    <x v="13"/>
    <x v="2"/>
    <x v="2"/>
    <n v="7.7011627741519206E-2"/>
    <n v="1.27317108225949E-2"/>
    <n v="0"/>
    <n v="1"/>
    <n v="0.5"/>
    <n v="0"/>
    <s v="Unnamed ProjectOperarios AvionInstantaneous UtilizationResource"/>
    <n v="10"/>
    <n v="7.5958437118625627E-2"/>
    <n v="5.0572810112240948E-3"/>
    <n v="0.95"/>
    <n v="3.6177608968134627E-3"/>
    <n v="6.7485948117393404E-2"/>
    <n v="8.7852447587946303E-2"/>
    <n v="3.6177608968134627E-3"/>
  </r>
  <r>
    <x v="0"/>
    <s v="2023-05-15 11:51:53"/>
    <n v="6"/>
    <x v="13"/>
    <x v="3"/>
    <x v="2"/>
    <n v="0.154023255483038"/>
    <n v="2.5463421645189901E-2"/>
    <n v="0"/>
    <n v="2"/>
    <n v="1"/>
    <n v="0"/>
    <s v="Unnamed ProjectOperarios AvionNumber BusyResource"/>
    <n v="10"/>
    <n v="0.1519168742372512"/>
    <n v="1.0114562022448264E-2"/>
    <n v="0.95"/>
    <n v="7.2355217936269783E-3"/>
    <n v="0.134971896234787"/>
    <n v="0.17570489517589299"/>
    <n v="7.2355217936269783E-3"/>
  </r>
  <r>
    <x v="0"/>
    <s v="2023-05-15 11:51:53"/>
    <n v="6"/>
    <x v="13"/>
    <x v="4"/>
    <x v="2"/>
    <n v="2"/>
    <n v="2E+20"/>
    <n v="2"/>
    <n v="2"/>
    <n v="2"/>
    <n v="0"/>
    <s v="Unnamed ProjectOperarios AvionNumber ScheduledResource"/>
    <n v="10"/>
    <n v="2"/>
    <n v="0"/>
    <n v="0.95"/>
    <n v="0"/>
    <n v="2"/>
    <n v="2"/>
    <n v="0"/>
  </r>
  <r>
    <x v="0"/>
    <s v="2023-05-15 11:51:53"/>
    <n v="6"/>
    <x v="14"/>
    <x v="2"/>
    <x v="2"/>
    <n v="0.43455744255240097"/>
    <n v="2E+20"/>
    <n v="0"/>
    <n v="1"/>
    <n v="1"/>
    <n v="0"/>
    <s v="Unnamed ProjectcajeraInstantaneous UtilizationResource"/>
    <n v="10"/>
    <n v="0.38078385056341441"/>
    <n v="5.6481911326734656E-2"/>
    <n v="0.95"/>
    <n v="4.040472533000234E-2"/>
    <n v="0.28913636698845602"/>
    <n v="0.46134650546047301"/>
    <n v="4.040472533000234E-2"/>
  </r>
  <r>
    <x v="0"/>
    <s v="2023-05-15 11:51:53"/>
    <n v="6"/>
    <x v="14"/>
    <x v="3"/>
    <x v="2"/>
    <n v="0.43455744255240097"/>
    <n v="2E+20"/>
    <n v="0"/>
    <n v="1"/>
    <n v="1"/>
    <n v="0"/>
    <s v="Unnamed ProjectcajeraNumber BusyResource"/>
    <n v="10"/>
    <n v="0.38078385056341441"/>
    <n v="5.6481911326734656E-2"/>
    <n v="0.95"/>
    <n v="4.040472533000234E-2"/>
    <n v="0.28913636698845602"/>
    <n v="0.46134650546047301"/>
    <n v="4.040472533000234E-2"/>
  </r>
  <r>
    <x v="0"/>
    <s v="2023-05-15 11:51:53"/>
    <n v="6"/>
    <x v="14"/>
    <x v="4"/>
    <x v="2"/>
    <n v="1"/>
    <n v="2E+20"/>
    <n v="1"/>
    <n v="1"/>
    <n v="1"/>
    <n v="0"/>
    <s v="Unnamed ProjectcajeraNumber ScheduledResource"/>
    <n v="10"/>
    <n v="1"/>
    <n v="0"/>
    <n v="0.95"/>
    <n v="0"/>
    <n v="1"/>
    <n v="1"/>
    <n v="0"/>
  </r>
  <r>
    <x v="0"/>
    <s v="2023-05-15 11:51:53"/>
    <n v="6"/>
    <x v="15"/>
    <x v="2"/>
    <x v="2"/>
    <n v="0.76508676837623901"/>
    <n v="2E+20"/>
    <n v="0"/>
    <n v="1"/>
    <n v="1"/>
    <n v="0"/>
    <s v="Unnamed Projectcajera2Instantaneous UtilizationResource"/>
    <n v="10"/>
    <n v="0.73571117943508912"/>
    <n v="2.3945213257811505E-2"/>
    <n v="0.95"/>
    <n v="1.7129373668915777E-2"/>
    <n v="0.69752119636771104"/>
    <n v="0.77845968782647601"/>
    <n v="1.7129373668915777E-2"/>
  </r>
  <r>
    <x v="0"/>
    <s v="2023-05-15 11:51:53"/>
    <n v="6"/>
    <x v="15"/>
    <x v="3"/>
    <x v="2"/>
    <n v="0.76508676837623901"/>
    <n v="2E+20"/>
    <n v="0"/>
    <n v="1"/>
    <n v="1"/>
    <n v="0"/>
    <s v="Unnamed Projectcajera2Number BusyResource"/>
    <n v="10"/>
    <n v="0.73571117943508912"/>
    <n v="2.3945213257811505E-2"/>
    <n v="0.95"/>
    <n v="1.7129373668915777E-2"/>
    <n v="0.69752119636771104"/>
    <n v="0.77845968782647601"/>
    <n v="1.7129373668915777E-2"/>
  </r>
  <r>
    <x v="0"/>
    <s v="2023-05-15 11:51:53"/>
    <n v="6"/>
    <x v="15"/>
    <x v="4"/>
    <x v="2"/>
    <n v="1"/>
    <n v="2E+20"/>
    <n v="1"/>
    <n v="1"/>
    <n v="1"/>
    <n v="0"/>
    <s v="Unnamed Projectcajera2Number ScheduledResource"/>
    <n v="10"/>
    <n v="1"/>
    <n v="0"/>
    <n v="0.95"/>
    <n v="0"/>
    <n v="1"/>
    <n v="1"/>
    <n v="0"/>
  </r>
  <r>
    <x v="0"/>
    <s v="2023-05-15 11:51:53"/>
    <n v="6"/>
    <x v="16"/>
    <x v="0"/>
    <x v="0"/>
    <n v="4.88437833500961E-2"/>
    <n v="2E+20"/>
    <n v="0"/>
    <n v="1"/>
    <n v="0"/>
    <n v="0"/>
    <s v="Unnamed Projectmanualinter.QueueNumber WaitingQueue"/>
    <n v="10"/>
    <n v="0.33257710094571935"/>
    <n v="0.27159595138606457"/>
    <n v="0.95"/>
    <n v="0.19428803945769421"/>
    <n v="4.88437833500961E-2"/>
    <n v="0.95917715937716497"/>
    <n v="0.19428803945769421"/>
  </r>
  <r>
    <x v="0"/>
    <s v="2023-05-15 11:51:53"/>
    <n v="6"/>
    <x v="17"/>
    <x v="0"/>
    <x v="0"/>
    <n v="0"/>
    <n v="2E+20"/>
    <n v="0"/>
    <n v="0"/>
    <n v="0"/>
    <n v="0"/>
    <s v="Unnamed Projectmanualnaciona.QueueNumber WaitingQueue"/>
    <n v="10"/>
    <n v="2.2437109622866062E-3"/>
    <n v="6.4095428429067599E-3"/>
    <n v="0.95"/>
    <n v="4.5851107367881972E-3"/>
    <n v="0"/>
    <n v="2.0447096127880302E-2"/>
    <n v="4.5851107367881972E-3"/>
  </r>
  <r>
    <x v="0"/>
    <s v="2023-05-15 11:51:53"/>
    <n v="6"/>
    <x v="18"/>
    <x v="0"/>
    <x v="0"/>
    <n v="5.2621649076821404"/>
    <n v="3E+20"/>
    <n v="0"/>
    <n v="22"/>
    <n v="2"/>
    <n v="0"/>
    <s v="Unnamed Projectmaquinainter.QueueNumber WaitingQueue"/>
    <n v="10"/>
    <n v="2.7250893633296323"/>
    <n v="1.2704307292922721"/>
    <n v="0.95"/>
    <n v="0.90881139575657477"/>
    <n v="1.35760259855807"/>
    <n v="5.2621649076821404"/>
    <n v="0.90881139575657477"/>
  </r>
  <r>
    <x v="0"/>
    <s v="2023-05-15 11:51:53"/>
    <n v="6"/>
    <x v="19"/>
    <x v="0"/>
    <x v="0"/>
    <n v="9.7152989948067606E-2"/>
    <n v="2E+20"/>
    <n v="0"/>
    <n v="3"/>
    <n v="0"/>
    <n v="0"/>
    <s v="Unnamed Projectmaquinanacional.QueueNumber WaitingQueue"/>
    <n v="10"/>
    <n v="0.20327393268399513"/>
    <n v="5.4678802003311266E-2"/>
    <n v="0.95"/>
    <n v="3.9114858623271326E-2"/>
    <n v="9.7152989948067606E-2"/>
    <n v="0.28694483715654301"/>
    <n v="3.9114858623271326E-2"/>
  </r>
  <r>
    <x v="0"/>
    <s v="2023-05-15 11:51:53"/>
    <n v="6"/>
    <x v="20"/>
    <x v="0"/>
    <x v="0"/>
    <n v="0.329753951662144"/>
    <n v="2E+20"/>
    <n v="0"/>
    <n v="2"/>
    <n v="1"/>
    <n v="0"/>
    <s v="Unnamed Projectmostrador1.QueueNumber WaitingQueue"/>
    <n v="10"/>
    <n v="0.25365601436241814"/>
    <n v="9.7306237195948719E-2"/>
    <n v="0.95"/>
    <n v="6.9608688772141478E-2"/>
    <n v="0.124078487063659"/>
    <n v="0.381680898629085"/>
    <n v="6.9608688772141478E-2"/>
  </r>
  <r>
    <x v="0"/>
    <s v="2023-05-15 11:51:53"/>
    <n v="6"/>
    <x v="21"/>
    <x v="0"/>
    <x v="0"/>
    <n v="0.58934886575231504"/>
    <n v="2E+20"/>
    <n v="0"/>
    <n v="3"/>
    <n v="2"/>
    <n v="0"/>
    <s v="Unnamed Projectmostrador2.QueueNumber WaitingQueue"/>
    <n v="10"/>
    <n v="0.56854078919795403"/>
    <n v="9.5876381195630939E-2"/>
    <n v="0.95"/>
    <n v="6.8585831407770567E-2"/>
    <n v="0.461258283509344"/>
    <n v="0.74281217456090598"/>
    <n v="6.8585831407770567E-2"/>
  </r>
  <r>
    <x v="0"/>
    <s v="2023-05-15 11:51:53"/>
    <n v="6"/>
    <x v="22"/>
    <x v="1"/>
    <x v="1"/>
    <n v="0"/>
    <n v="2E+20"/>
    <n v="0"/>
    <n v="0"/>
    <n v="0"/>
    <n v="0"/>
    <s v="Unnamed ProjectpersonaWIPEntity"/>
    <n v="10"/>
    <n v="0"/>
    <n v="0"/>
    <n v="0.95"/>
    <n v="0"/>
    <n v="0"/>
    <n v="0"/>
    <n v="0"/>
  </r>
  <r>
    <x v="0"/>
    <s v="2023-05-15 11:51:53"/>
    <n v="6"/>
    <x v="23"/>
    <x v="2"/>
    <x v="2"/>
    <n v="3.5816500454340899E-2"/>
    <n v="2E+20"/>
    <n v="0"/>
    <n v="1"/>
    <n v="0"/>
    <n v="0"/>
    <s v="Unnamed Projectregistro1Instantaneous UtilizationResource"/>
    <n v="10"/>
    <n v="5.6433247648491516E-2"/>
    <n v="2.4456082934732001E-2"/>
    <n v="0.95"/>
    <n v="1.7494827820351853E-2"/>
    <n v="2.1279401430778E-2"/>
    <n v="8.8472374570180701E-2"/>
    <n v="1.7494827820351853E-2"/>
  </r>
  <r>
    <x v="0"/>
    <s v="2023-05-15 11:51:53"/>
    <n v="6"/>
    <x v="23"/>
    <x v="3"/>
    <x v="2"/>
    <n v="3.5816500454340899E-2"/>
    <n v="2E+20"/>
    <n v="0"/>
    <n v="1"/>
    <n v="0"/>
    <n v="0"/>
    <s v="Unnamed Projectregistro1Number BusyResource"/>
    <n v="10"/>
    <n v="5.6433247648491516E-2"/>
    <n v="2.4456082934732001E-2"/>
    <n v="0.95"/>
    <n v="1.7494827820351853E-2"/>
    <n v="2.1279401430778E-2"/>
    <n v="8.8472374570180701E-2"/>
    <n v="1.7494827820351853E-2"/>
  </r>
  <r>
    <x v="0"/>
    <s v="2023-05-15 11:51:53"/>
    <n v="6"/>
    <x v="23"/>
    <x v="4"/>
    <x v="2"/>
    <n v="1"/>
    <n v="2E+20"/>
    <n v="1"/>
    <n v="1"/>
    <n v="1"/>
    <n v="0"/>
    <s v="Unnamed Projectregistro1Number ScheduledResource"/>
    <n v="10"/>
    <n v="1"/>
    <n v="0"/>
    <n v="0.95"/>
    <n v="0"/>
    <n v="1"/>
    <n v="1"/>
    <n v="0"/>
  </r>
  <r>
    <x v="0"/>
    <s v="2023-05-15 11:51:53"/>
    <n v="6"/>
    <x v="24"/>
    <x v="2"/>
    <x v="2"/>
    <n v="0.38016226178227103"/>
    <n v="2E+20"/>
    <n v="0"/>
    <n v="1"/>
    <n v="1"/>
    <n v="0"/>
    <s v="Unnamed Projectregistro2Instantaneous UtilizationResource"/>
    <n v="10"/>
    <n v="0.46274808587050231"/>
    <n v="9.1165192054027525E-2"/>
    <n v="0.95"/>
    <n v="6.5215649719990554E-2"/>
    <n v="0.338210899349628"/>
    <n v="0.66990172486561195"/>
    <n v="6.5215649719990554E-2"/>
  </r>
  <r>
    <x v="0"/>
    <s v="2023-05-15 11:51:53"/>
    <n v="6"/>
    <x v="24"/>
    <x v="3"/>
    <x v="2"/>
    <n v="0.38016226178227103"/>
    <n v="2E+20"/>
    <n v="0"/>
    <n v="1"/>
    <n v="1"/>
    <n v="0"/>
    <s v="Unnamed Projectregistro2Number BusyResource"/>
    <n v="10"/>
    <n v="0.46274808587050231"/>
    <n v="9.1165192054027525E-2"/>
    <n v="0.95"/>
    <n v="6.5215649719990554E-2"/>
    <n v="0.338210899349628"/>
    <n v="0.66990172486561195"/>
    <n v="6.5215649719990554E-2"/>
  </r>
  <r>
    <x v="0"/>
    <s v="2023-05-15 11:51:53"/>
    <n v="6"/>
    <x v="24"/>
    <x v="4"/>
    <x v="2"/>
    <n v="1"/>
    <n v="2E+20"/>
    <n v="1"/>
    <n v="1"/>
    <n v="1"/>
    <n v="0"/>
    <s v="Unnamed Projectregistro2Number ScheduledResource"/>
    <n v="10"/>
    <n v="1"/>
    <n v="0"/>
    <n v="0.95"/>
    <n v="0"/>
    <n v="1"/>
    <n v="1"/>
    <n v="0"/>
  </r>
  <r>
    <x v="0"/>
    <s v="2023-05-15 11:51:53"/>
    <n v="7"/>
    <x v="0"/>
    <x v="0"/>
    <x v="0"/>
    <n v="0"/>
    <n v="2E+20"/>
    <n v="0"/>
    <n v="0"/>
    <n v="0"/>
    <n v="0"/>
    <s v="Unnamed ProjectCargar Avion.QueueNumber WaitingQueue"/>
    <n v="10"/>
    <n v="4.3234278073230802E-4"/>
    <n v="8.6650685478403973E-4"/>
    <n v="0.95"/>
    <n v="6.1986166264068276E-4"/>
    <n v="0"/>
    <n v="2.8294284227636502E-3"/>
    <n v="6.1986166264068276E-4"/>
  </r>
  <r>
    <x v="0"/>
    <s v="2023-05-15 11:51:53"/>
    <n v="7"/>
    <x v="1"/>
    <x v="1"/>
    <x v="1"/>
    <n v="1.7607411036774401"/>
    <n v="3E+20"/>
    <n v="0"/>
    <n v="10"/>
    <n v="4"/>
    <n v="0"/>
    <s v="Unnamed ProjectEntity 1WIPEntity"/>
    <n v="10"/>
    <n v="1.938691833558875"/>
    <n v="0.24426972485872975"/>
    <n v="0.95"/>
    <n v="0.17474003459724646"/>
    <n v="1.6635577018983201"/>
    <n v="2.3099874805957801"/>
    <n v="0.17474003459724646"/>
  </r>
  <r>
    <x v="0"/>
    <s v="2023-05-15 11:51:53"/>
    <n v="7"/>
    <x v="2"/>
    <x v="2"/>
    <x v="2"/>
    <n v="0.28134582132828501"/>
    <n v="2E+20"/>
    <n v="0"/>
    <n v="1"/>
    <n v="0"/>
    <n v="0"/>
    <s v="Unnamed ProjectInterautoInstantaneous UtilizationResource"/>
    <n v="10"/>
    <n v="0.26535205929836458"/>
    <n v="2.5807993647623796E-2"/>
    <n v="0.95"/>
    <n v="1.8461926485074727E-2"/>
    <n v="0.20483176768320299"/>
    <n v="0.29552077299252399"/>
    <n v="1.8461926485074727E-2"/>
  </r>
  <r>
    <x v="0"/>
    <s v="2023-05-15 11:51:53"/>
    <n v="7"/>
    <x v="2"/>
    <x v="3"/>
    <x v="2"/>
    <n v="0.28134582132828501"/>
    <n v="2E+20"/>
    <n v="0"/>
    <n v="1"/>
    <n v="0"/>
    <n v="0"/>
    <s v="Unnamed ProjectInterautoNumber BusyResource"/>
    <n v="10"/>
    <n v="0.26535205929836458"/>
    <n v="2.5807993647623796E-2"/>
    <n v="0.95"/>
    <n v="1.8461926485074727E-2"/>
    <n v="0.20483176768320299"/>
    <n v="0.29552077299252399"/>
    <n v="1.8461926485074727E-2"/>
  </r>
  <r>
    <x v="0"/>
    <s v="2023-05-15 11:51:53"/>
    <n v="7"/>
    <x v="2"/>
    <x v="4"/>
    <x v="2"/>
    <n v="1"/>
    <n v="2E+20"/>
    <n v="1"/>
    <n v="1"/>
    <n v="1"/>
    <n v="0"/>
    <s v="Unnamed ProjectInterautoNumber ScheduledResource"/>
    <n v="10"/>
    <n v="1"/>
    <n v="0"/>
    <n v="0.95"/>
    <n v="0"/>
    <n v="1"/>
    <n v="1"/>
    <n v="0"/>
  </r>
  <r>
    <x v="0"/>
    <s v="2023-05-15 11:51:53"/>
    <n v="7"/>
    <x v="3"/>
    <x v="0"/>
    <x v="0"/>
    <n v="0.18259746981261701"/>
    <n v="3E+20"/>
    <n v="0"/>
    <n v="6"/>
    <n v="0"/>
    <n v="0"/>
    <s v="Unnamed ProjectLeave 1.QueueNumber WaitingQueue"/>
    <n v="10"/>
    <n v="0.20353568461890376"/>
    <n v="2.6549184575613477E-2"/>
    <n v="0.95"/>
    <n v="1.899214253405495E-2"/>
    <n v="0.168502364443611"/>
    <n v="0.24578450490959"/>
    <n v="1.899214253405495E-2"/>
  </r>
  <r>
    <x v="0"/>
    <s v="2023-05-15 11:51:53"/>
    <n v="7"/>
    <x v="4"/>
    <x v="0"/>
    <x v="0"/>
    <n v="5.5669622828688203E-3"/>
    <n v="2E+20"/>
    <n v="0"/>
    <n v="3"/>
    <n v="0"/>
    <n v="0"/>
    <s v="Unnamed ProjectLeave 4.QueueNumber WaitingQueue"/>
    <n v="10"/>
    <n v="4.8729672989697272E-3"/>
    <n v="9.2135939256816457E-4"/>
    <n v="0.95"/>
    <n v="6.5910080435457321E-4"/>
    <n v="3.2012309459038099E-3"/>
    <n v="6.0338305270789001E-3"/>
    <n v="6.5910080435457321E-4"/>
  </r>
  <r>
    <x v="0"/>
    <s v="2023-05-15 11:51:53"/>
    <n v="7"/>
    <x v="5"/>
    <x v="0"/>
    <x v="0"/>
    <n v="4.1058101580258903E-2"/>
    <n v="8.9132083538913994E-3"/>
    <n v="0"/>
    <n v="2"/>
    <n v="0"/>
    <n v="0"/>
    <s v="Unnamed ProjectLeave 5.QueueNumber WaitingQueue"/>
    <n v="10"/>
    <n v="4.8788152574119628E-2"/>
    <n v="5.3039270336942244E-3"/>
    <n v="0.95"/>
    <n v="3.7942008323176655E-3"/>
    <n v="4.1058101580258903E-2"/>
    <n v="5.6386723112129902E-2"/>
    <n v="3.7942008323176655E-3"/>
  </r>
  <r>
    <x v="0"/>
    <s v="2023-05-15 11:51:53"/>
    <n v="7"/>
    <x v="6"/>
    <x v="0"/>
    <x v="0"/>
    <n v="3.5201273749196601E-3"/>
    <n v="2E+20"/>
    <n v="0"/>
    <n v="1"/>
    <n v="0"/>
    <n v="0"/>
    <s v="Unnamed ProjectLeave 6.QueueNumber WaitingQueue"/>
    <n v="10"/>
    <n v="3.227619592382791E-3"/>
    <n v="1.5087685522347895E-3"/>
    <n v="0.95"/>
    <n v="1.0793080033525183E-3"/>
    <n v="4.7201486102630699E-4"/>
    <n v="6.2452549613019898E-3"/>
    <n v="1.0793080033525183E-3"/>
  </r>
  <r>
    <x v="0"/>
    <s v="2023-05-15 11:51:53"/>
    <n v="7"/>
    <x v="7"/>
    <x v="0"/>
    <x v="0"/>
    <n v="4.7432071603363102E-2"/>
    <n v="2E+20"/>
    <n v="0"/>
    <n v="2"/>
    <n v="0"/>
    <n v="0"/>
    <s v="Unnamed ProjectLeave 7.QueueNumber WaitingQueue"/>
    <n v="10"/>
    <n v="5.9441954240945373E-2"/>
    <n v="1.1519407308393107E-2"/>
    <n v="0.95"/>
    <n v="8.2404875707479553E-3"/>
    <n v="4.5386728660866099E-2"/>
    <n v="7.8633362228088005E-2"/>
    <n v="8.2404875707479553E-3"/>
  </r>
  <r>
    <x v="0"/>
    <s v="2023-05-15 11:51:53"/>
    <n v="7"/>
    <x v="8"/>
    <x v="0"/>
    <x v="0"/>
    <n v="2.9445775649399302E-3"/>
    <n v="2E+20"/>
    <n v="0"/>
    <n v="1"/>
    <n v="0"/>
    <n v="0"/>
    <s v="Unnamed ProjectLeave 8.QueueNumber WaitingQueue"/>
    <n v="10"/>
    <n v="2.1217771776478596E-3"/>
    <n v="8.0254950645480523E-4"/>
    <n v="0.95"/>
    <n v="5.7410933182579346E-4"/>
    <n v="9.0451064743319795E-4"/>
    <n v="3.5490296241417699E-3"/>
    <n v="5.7410933182579346E-4"/>
  </r>
  <r>
    <x v="0"/>
    <s v="2023-05-15 11:51:53"/>
    <n v="7"/>
    <x v="9"/>
    <x v="0"/>
    <x v="0"/>
    <n v="1.39134281011366E-3"/>
    <n v="2E+20"/>
    <n v="0"/>
    <n v="1"/>
    <n v="0"/>
    <n v="0"/>
    <s v="Unnamed ProjectLeave 9.QueueNumber WaitingQueue"/>
    <n v="10"/>
    <n v="1.3877246767065991E-3"/>
    <n v="7.1875981577935533E-4"/>
    <n v="0.95"/>
    <n v="5.1416979795196457E-4"/>
    <n v="2.8555279956142001E-4"/>
    <n v="2.50186012594582E-3"/>
    <n v="5.1416979795196457E-4"/>
  </r>
  <r>
    <x v="0"/>
    <s v="2023-05-15 11:51:53"/>
    <n v="7"/>
    <x v="10"/>
    <x v="1"/>
    <x v="1"/>
    <n v="11.002052891990299"/>
    <n v="3E+20"/>
    <n v="0"/>
    <n v="25"/>
    <n v="8"/>
    <n v="0"/>
    <s v="Unnamed ProjectMaleta InternacionalWIPEntity"/>
    <n v="10"/>
    <n v="13.037689788098451"/>
    <n v="1.9631643885071912"/>
    <n v="0.95"/>
    <n v="1.4043632028742961"/>
    <n v="10.277307754823401"/>
    <n v="16.425571484417201"/>
    <n v="1.4043632028742961"/>
  </r>
  <r>
    <x v="0"/>
    <s v="2023-05-15 11:51:53"/>
    <n v="7"/>
    <x v="11"/>
    <x v="1"/>
    <x v="1"/>
    <n v="2.67326565422184"/>
    <n v="2E+20"/>
    <n v="0"/>
    <n v="15"/>
    <n v="6"/>
    <n v="0"/>
    <s v="Unnamed ProjectMaleta NacionalWIPEntity"/>
    <n v="10"/>
    <n v="2.7356580954557046"/>
    <n v="0.24675556542769644"/>
    <n v="0.95"/>
    <n v="0.17651829781539885"/>
    <n v="2.4605296674942401"/>
    <n v="3.2916533376655202"/>
    <n v="0.17651829781539885"/>
  </r>
  <r>
    <x v="0"/>
    <s v="2023-05-15 11:51:53"/>
    <n v="7"/>
    <x v="12"/>
    <x v="2"/>
    <x v="2"/>
    <n v="0.652603779419615"/>
    <n v="2E+20"/>
    <n v="0"/>
    <n v="1"/>
    <n v="1"/>
    <n v="0"/>
    <s v="Unnamed ProjectNacionalautoInstantaneous UtilizationResource"/>
    <n v="10"/>
    <n v="0.73175058451933661"/>
    <n v="6.0813477412386734E-2"/>
    <n v="0.95"/>
    <n v="4.3503341043041877E-2"/>
    <n v="0.64995347349336796"/>
    <n v="0.82581624655093899"/>
    <n v="4.3503341043041877E-2"/>
  </r>
  <r>
    <x v="0"/>
    <s v="2023-05-15 11:51:53"/>
    <n v="7"/>
    <x v="12"/>
    <x v="3"/>
    <x v="2"/>
    <n v="0.652603779419615"/>
    <n v="2E+20"/>
    <n v="0"/>
    <n v="1"/>
    <n v="1"/>
    <n v="0"/>
    <s v="Unnamed ProjectNacionalautoNumber BusyResource"/>
    <n v="10"/>
    <n v="0.73175058451933661"/>
    <n v="6.0813477412386734E-2"/>
    <n v="0.95"/>
    <n v="4.3503341043041877E-2"/>
    <n v="0.64995347349336796"/>
    <n v="0.82581624655093899"/>
    <n v="4.3503341043041877E-2"/>
  </r>
  <r>
    <x v="0"/>
    <s v="2023-05-15 11:51:53"/>
    <n v="7"/>
    <x v="12"/>
    <x v="4"/>
    <x v="2"/>
    <n v="1"/>
    <n v="2E+20"/>
    <n v="1"/>
    <n v="1"/>
    <n v="1"/>
    <n v="0"/>
    <s v="Unnamed ProjectNacionalautoNumber ScheduledResource"/>
    <n v="10"/>
    <n v="1"/>
    <n v="0"/>
    <n v="0.95"/>
    <n v="0"/>
    <n v="1"/>
    <n v="1"/>
    <n v="0"/>
  </r>
  <r>
    <x v="0"/>
    <s v="2023-05-15 11:51:53"/>
    <n v="7"/>
    <x v="13"/>
    <x v="2"/>
    <x v="2"/>
    <n v="7.2569428850728201E-2"/>
    <n v="1.2694328114377399E-2"/>
    <n v="0"/>
    <n v="1"/>
    <n v="0"/>
    <n v="0"/>
    <s v="Unnamed ProjectOperarios AvionInstantaneous UtilizationResource"/>
    <n v="10"/>
    <n v="7.5958437118625627E-2"/>
    <n v="5.0572810112240948E-3"/>
    <n v="0.95"/>
    <n v="3.6177608968134627E-3"/>
    <n v="6.7485948117393404E-2"/>
    <n v="8.7852447587946303E-2"/>
    <n v="3.6177608968134627E-3"/>
  </r>
  <r>
    <x v="0"/>
    <s v="2023-05-15 11:51:53"/>
    <n v="7"/>
    <x v="13"/>
    <x v="3"/>
    <x v="2"/>
    <n v="0.14513885770145599"/>
    <n v="2.5388656228754899E-2"/>
    <n v="0"/>
    <n v="2"/>
    <n v="0"/>
    <n v="0"/>
    <s v="Unnamed ProjectOperarios AvionNumber BusyResource"/>
    <n v="10"/>
    <n v="0.1519168742372512"/>
    <n v="1.0114562022448264E-2"/>
    <n v="0.95"/>
    <n v="7.2355217936269783E-3"/>
    <n v="0.134971896234787"/>
    <n v="0.17570489517589299"/>
    <n v="7.2355217936269783E-3"/>
  </r>
  <r>
    <x v="0"/>
    <s v="2023-05-15 11:51:53"/>
    <n v="7"/>
    <x v="13"/>
    <x v="4"/>
    <x v="2"/>
    <n v="2"/>
    <n v="2E+20"/>
    <n v="2"/>
    <n v="2"/>
    <n v="2"/>
    <n v="0"/>
    <s v="Unnamed ProjectOperarios AvionNumber ScheduledResource"/>
    <n v="10"/>
    <n v="2"/>
    <n v="0"/>
    <n v="0.95"/>
    <n v="0"/>
    <n v="2"/>
    <n v="2"/>
    <n v="0"/>
  </r>
  <r>
    <x v="0"/>
    <s v="2023-05-15 11:51:53"/>
    <n v="7"/>
    <x v="14"/>
    <x v="2"/>
    <x v="2"/>
    <n v="0.28913636698845602"/>
    <n v="2E+20"/>
    <n v="0"/>
    <n v="1"/>
    <n v="1"/>
    <n v="0"/>
    <s v="Unnamed ProjectcajeraInstantaneous UtilizationResource"/>
    <n v="10"/>
    <n v="0.38078385056341441"/>
    <n v="5.6481911326734656E-2"/>
    <n v="0.95"/>
    <n v="4.040472533000234E-2"/>
    <n v="0.28913636698845602"/>
    <n v="0.46134650546047301"/>
    <n v="4.040472533000234E-2"/>
  </r>
  <r>
    <x v="0"/>
    <s v="2023-05-15 11:51:53"/>
    <n v="7"/>
    <x v="14"/>
    <x v="3"/>
    <x v="2"/>
    <n v="0.28913636698845602"/>
    <n v="2E+20"/>
    <n v="0"/>
    <n v="1"/>
    <n v="1"/>
    <n v="0"/>
    <s v="Unnamed ProjectcajeraNumber BusyResource"/>
    <n v="10"/>
    <n v="0.38078385056341441"/>
    <n v="5.6481911326734656E-2"/>
    <n v="0.95"/>
    <n v="4.040472533000234E-2"/>
    <n v="0.28913636698845602"/>
    <n v="0.46134650546047301"/>
    <n v="4.040472533000234E-2"/>
  </r>
  <r>
    <x v="0"/>
    <s v="2023-05-15 11:51:53"/>
    <n v="7"/>
    <x v="14"/>
    <x v="4"/>
    <x v="2"/>
    <n v="1"/>
    <n v="2E+20"/>
    <n v="1"/>
    <n v="1"/>
    <n v="1"/>
    <n v="0"/>
    <s v="Unnamed ProjectcajeraNumber ScheduledResource"/>
    <n v="10"/>
    <n v="1"/>
    <n v="0"/>
    <n v="0.95"/>
    <n v="0"/>
    <n v="1"/>
    <n v="1"/>
    <n v="0"/>
  </r>
  <r>
    <x v="0"/>
    <s v="2023-05-15 11:51:53"/>
    <n v="7"/>
    <x v="15"/>
    <x v="2"/>
    <x v="2"/>
    <n v="0.73344270356277796"/>
    <n v="2E+20"/>
    <n v="0"/>
    <n v="1"/>
    <n v="1"/>
    <n v="0"/>
    <s v="Unnamed Projectcajera2Instantaneous UtilizationResource"/>
    <n v="10"/>
    <n v="0.73571117943508912"/>
    <n v="2.3945213257811505E-2"/>
    <n v="0.95"/>
    <n v="1.7129373668915777E-2"/>
    <n v="0.69752119636771104"/>
    <n v="0.77845968782647601"/>
    <n v="1.7129373668915777E-2"/>
  </r>
  <r>
    <x v="0"/>
    <s v="2023-05-15 11:51:53"/>
    <n v="7"/>
    <x v="15"/>
    <x v="3"/>
    <x v="2"/>
    <n v="0.73344270356277796"/>
    <n v="2E+20"/>
    <n v="0"/>
    <n v="1"/>
    <n v="1"/>
    <n v="0"/>
    <s v="Unnamed Projectcajera2Number BusyResource"/>
    <n v="10"/>
    <n v="0.73571117943508912"/>
    <n v="2.3945213257811505E-2"/>
    <n v="0.95"/>
    <n v="1.7129373668915777E-2"/>
    <n v="0.69752119636771104"/>
    <n v="0.77845968782647601"/>
    <n v="1.7129373668915777E-2"/>
  </r>
  <r>
    <x v="0"/>
    <s v="2023-05-15 11:51:53"/>
    <n v="7"/>
    <x v="15"/>
    <x v="4"/>
    <x v="2"/>
    <n v="1"/>
    <n v="2E+20"/>
    <n v="1"/>
    <n v="1"/>
    <n v="1"/>
    <n v="0"/>
    <s v="Unnamed Projectcajera2Number ScheduledResource"/>
    <n v="10"/>
    <n v="1"/>
    <n v="0"/>
    <n v="0.95"/>
    <n v="0"/>
    <n v="1"/>
    <n v="1"/>
    <n v="0"/>
  </r>
  <r>
    <x v="0"/>
    <s v="2023-05-15 11:51:53"/>
    <n v="7"/>
    <x v="16"/>
    <x v="0"/>
    <x v="0"/>
    <n v="0.454471375389287"/>
    <n v="2E+20"/>
    <n v="0"/>
    <n v="4"/>
    <n v="0"/>
    <n v="0"/>
    <s v="Unnamed Projectmanualinter.QueueNumber WaitingQueue"/>
    <n v="10"/>
    <n v="0.33257710094571935"/>
    <n v="0.27159595138606457"/>
    <n v="0.95"/>
    <n v="0.19428803945769421"/>
    <n v="4.88437833500961E-2"/>
    <n v="0.95917715937716497"/>
    <n v="0.19428803945769421"/>
  </r>
  <r>
    <x v="0"/>
    <s v="2023-05-15 11:51:53"/>
    <n v="7"/>
    <x v="17"/>
    <x v="0"/>
    <x v="0"/>
    <n v="2.0447096127880302E-2"/>
    <n v="2E+20"/>
    <n v="0"/>
    <n v="2"/>
    <n v="0"/>
    <n v="0"/>
    <s v="Unnamed Projectmanualnaciona.QueueNumber WaitingQueue"/>
    <n v="10"/>
    <n v="2.2437109622866062E-3"/>
    <n v="6.4095428429067599E-3"/>
    <n v="0.95"/>
    <n v="4.5851107367881972E-3"/>
    <n v="0"/>
    <n v="2.0447096127880302E-2"/>
    <n v="4.5851107367881972E-3"/>
  </r>
  <r>
    <x v="0"/>
    <s v="2023-05-15 11:51:53"/>
    <n v="7"/>
    <x v="18"/>
    <x v="0"/>
    <x v="0"/>
    <n v="1.72421883756112"/>
    <n v="2E+20"/>
    <n v="0"/>
    <n v="11"/>
    <n v="0"/>
    <n v="0"/>
    <s v="Unnamed Projectmaquinainter.QueueNumber WaitingQueue"/>
    <n v="10"/>
    <n v="2.7250893633296323"/>
    <n v="1.2704307292922721"/>
    <n v="0.95"/>
    <n v="0.90881139575657477"/>
    <n v="1.35760259855807"/>
    <n v="5.2621649076821404"/>
    <n v="0.90881139575657477"/>
  </r>
  <r>
    <x v="0"/>
    <s v="2023-05-15 11:51:53"/>
    <n v="7"/>
    <x v="19"/>
    <x v="0"/>
    <x v="0"/>
    <n v="0.21812177731473201"/>
    <n v="2E+20"/>
    <n v="0"/>
    <n v="7"/>
    <n v="0"/>
    <n v="0"/>
    <s v="Unnamed Projectmaquinanacional.QueueNumber WaitingQueue"/>
    <n v="10"/>
    <n v="0.20327393268399513"/>
    <n v="5.4678802003311266E-2"/>
    <n v="0.95"/>
    <n v="3.9114858623271326E-2"/>
    <n v="9.7152989948067606E-2"/>
    <n v="0.28694483715654301"/>
    <n v="3.9114858623271326E-2"/>
  </r>
  <r>
    <x v="0"/>
    <s v="2023-05-15 11:51:53"/>
    <n v="7"/>
    <x v="20"/>
    <x v="0"/>
    <x v="0"/>
    <n v="0.20510907746109699"/>
    <n v="2E+20"/>
    <n v="0"/>
    <n v="3"/>
    <n v="1"/>
    <n v="0"/>
    <s v="Unnamed Projectmostrador1.QueueNumber WaitingQueue"/>
    <n v="10"/>
    <n v="0.25365601436241814"/>
    <n v="9.7306237195948719E-2"/>
    <n v="0.95"/>
    <n v="6.9608688772141478E-2"/>
    <n v="0.124078487063659"/>
    <n v="0.381680898629085"/>
    <n v="6.9608688772141478E-2"/>
  </r>
  <r>
    <x v="0"/>
    <s v="2023-05-15 11:51:53"/>
    <n v="7"/>
    <x v="21"/>
    <x v="0"/>
    <x v="0"/>
    <n v="0.53305295566511002"/>
    <n v="2E+20"/>
    <n v="0"/>
    <n v="3"/>
    <n v="1"/>
    <n v="0"/>
    <s v="Unnamed Projectmostrador2.QueueNumber WaitingQueue"/>
    <n v="10"/>
    <n v="0.56854078919795403"/>
    <n v="9.5876381195630939E-2"/>
    <n v="0.95"/>
    <n v="6.8585831407770567E-2"/>
    <n v="0.461258283509344"/>
    <n v="0.74281217456090598"/>
    <n v="6.8585831407770567E-2"/>
  </r>
  <r>
    <x v="0"/>
    <s v="2023-05-15 11:51:53"/>
    <n v="7"/>
    <x v="22"/>
    <x v="1"/>
    <x v="1"/>
    <n v="0"/>
    <n v="2E+20"/>
    <n v="0"/>
    <n v="0"/>
    <n v="0"/>
    <n v="0"/>
    <s v="Unnamed ProjectpersonaWIPEntity"/>
    <n v="10"/>
    <n v="0"/>
    <n v="0"/>
    <n v="0.95"/>
    <n v="0"/>
    <n v="0"/>
    <n v="0"/>
    <n v="0"/>
  </r>
  <r>
    <x v="0"/>
    <s v="2023-05-15 11:51:53"/>
    <n v="7"/>
    <x v="23"/>
    <x v="2"/>
    <x v="2"/>
    <n v="5.5783625760767001E-2"/>
    <n v="2E+20"/>
    <n v="0"/>
    <n v="1"/>
    <n v="0"/>
    <n v="0"/>
    <s v="Unnamed Projectregistro1Instantaneous UtilizationResource"/>
    <n v="10"/>
    <n v="5.6433247648491516E-2"/>
    <n v="2.4456082934732001E-2"/>
    <n v="0.95"/>
    <n v="1.7494827820351853E-2"/>
    <n v="2.1279401430778E-2"/>
    <n v="8.8472374570180701E-2"/>
    <n v="1.7494827820351853E-2"/>
  </r>
  <r>
    <x v="0"/>
    <s v="2023-05-15 11:51:53"/>
    <n v="7"/>
    <x v="23"/>
    <x v="3"/>
    <x v="2"/>
    <n v="5.5783625760767001E-2"/>
    <n v="2E+20"/>
    <n v="0"/>
    <n v="1"/>
    <n v="0"/>
    <n v="0"/>
    <s v="Unnamed Projectregistro1Number BusyResource"/>
    <n v="10"/>
    <n v="5.6433247648491516E-2"/>
    <n v="2.4456082934732001E-2"/>
    <n v="0.95"/>
    <n v="1.7494827820351853E-2"/>
    <n v="2.1279401430778E-2"/>
    <n v="8.8472374570180701E-2"/>
    <n v="1.7494827820351853E-2"/>
  </r>
  <r>
    <x v="0"/>
    <s v="2023-05-15 11:51:53"/>
    <n v="7"/>
    <x v="23"/>
    <x v="4"/>
    <x v="2"/>
    <n v="1"/>
    <n v="2E+20"/>
    <n v="1"/>
    <n v="1"/>
    <n v="1"/>
    <n v="0"/>
    <s v="Unnamed Projectregistro1Number ScheduledResource"/>
    <n v="10"/>
    <n v="1"/>
    <n v="0"/>
    <n v="0.95"/>
    <n v="0"/>
    <n v="1"/>
    <n v="1"/>
    <n v="0"/>
  </r>
  <r>
    <x v="0"/>
    <s v="2023-05-15 11:51:53"/>
    <n v="7"/>
    <x v="24"/>
    <x v="2"/>
    <x v="2"/>
    <n v="0.338210899349628"/>
    <n v="2E+20"/>
    <n v="0"/>
    <n v="1"/>
    <n v="0"/>
    <n v="0"/>
    <s v="Unnamed Projectregistro2Instantaneous UtilizationResource"/>
    <n v="10"/>
    <n v="0.46274808587050231"/>
    <n v="9.1165192054027525E-2"/>
    <n v="0.95"/>
    <n v="6.5215649719990554E-2"/>
    <n v="0.338210899349628"/>
    <n v="0.66990172486561195"/>
    <n v="6.5215649719990554E-2"/>
  </r>
  <r>
    <x v="0"/>
    <s v="2023-05-15 11:51:53"/>
    <n v="7"/>
    <x v="24"/>
    <x v="3"/>
    <x v="2"/>
    <n v="0.338210899349628"/>
    <n v="2E+20"/>
    <n v="0"/>
    <n v="1"/>
    <n v="0"/>
    <n v="0"/>
    <s v="Unnamed Projectregistro2Number BusyResource"/>
    <n v="10"/>
    <n v="0.46274808587050231"/>
    <n v="9.1165192054027525E-2"/>
    <n v="0.95"/>
    <n v="6.5215649719990554E-2"/>
    <n v="0.338210899349628"/>
    <n v="0.66990172486561195"/>
    <n v="6.5215649719990554E-2"/>
  </r>
  <r>
    <x v="0"/>
    <s v="2023-05-15 11:51:53"/>
    <n v="7"/>
    <x v="24"/>
    <x v="4"/>
    <x v="2"/>
    <n v="1"/>
    <n v="2E+20"/>
    <n v="1"/>
    <n v="1"/>
    <n v="1"/>
    <n v="0"/>
    <s v="Unnamed Projectregistro2Number ScheduledResource"/>
    <n v="10"/>
    <n v="1"/>
    <n v="0"/>
    <n v="0.95"/>
    <n v="0"/>
    <n v="1"/>
    <n v="1"/>
    <n v="0"/>
  </r>
  <r>
    <x v="0"/>
    <s v="2023-05-15 11:51:53"/>
    <n v="8"/>
    <x v="0"/>
    <x v="0"/>
    <x v="0"/>
    <n v="8.5991728072372096E-5"/>
    <n v="2E+20"/>
    <n v="0"/>
    <n v="1"/>
    <n v="0"/>
    <n v="0"/>
    <s v="Unnamed ProjectCargar Avion.QueueNumber WaitingQueue"/>
    <n v="10"/>
    <n v="4.3234278073230802E-4"/>
    <n v="8.6650685478403973E-4"/>
    <n v="0.95"/>
    <n v="6.1986166264068276E-4"/>
    <n v="0"/>
    <n v="2.8294284227636502E-3"/>
    <n v="6.1986166264068276E-4"/>
  </r>
  <r>
    <x v="0"/>
    <s v="2023-05-15 11:51:53"/>
    <n v="8"/>
    <x v="1"/>
    <x v="1"/>
    <x v="1"/>
    <n v="1.9193681724168701"/>
    <n v="0.430466144429482"/>
    <n v="0"/>
    <n v="12"/>
    <n v="11"/>
    <n v="0"/>
    <s v="Unnamed ProjectEntity 1WIPEntity"/>
    <n v="10"/>
    <n v="1.938691833558875"/>
    <n v="0.24426972485872975"/>
    <n v="0.95"/>
    <n v="0.17474003459724646"/>
    <n v="1.6635577018983201"/>
    <n v="2.3099874805957801"/>
    <n v="0.17474003459724646"/>
  </r>
  <r>
    <x v="0"/>
    <s v="2023-05-15 11:51:53"/>
    <n v="8"/>
    <x v="2"/>
    <x v="2"/>
    <x v="2"/>
    <n v="0.25155365284574199"/>
    <n v="2E+20"/>
    <n v="0"/>
    <n v="1"/>
    <n v="1"/>
    <n v="0"/>
    <s v="Unnamed ProjectInterautoInstantaneous UtilizationResource"/>
    <n v="10"/>
    <n v="0.26535205929836458"/>
    <n v="2.5807993647623796E-2"/>
    <n v="0.95"/>
    <n v="1.8461926485074727E-2"/>
    <n v="0.20483176768320299"/>
    <n v="0.29552077299252399"/>
    <n v="1.8461926485074727E-2"/>
  </r>
  <r>
    <x v="0"/>
    <s v="2023-05-15 11:51:53"/>
    <n v="8"/>
    <x v="2"/>
    <x v="3"/>
    <x v="2"/>
    <n v="0.25155365284574199"/>
    <n v="2E+20"/>
    <n v="0"/>
    <n v="1"/>
    <n v="1"/>
    <n v="0"/>
    <s v="Unnamed ProjectInterautoNumber BusyResource"/>
    <n v="10"/>
    <n v="0.26535205929836458"/>
    <n v="2.5807993647623796E-2"/>
    <n v="0.95"/>
    <n v="1.8461926485074727E-2"/>
    <n v="0.20483176768320299"/>
    <n v="0.29552077299252399"/>
    <n v="1.8461926485074727E-2"/>
  </r>
  <r>
    <x v="0"/>
    <s v="2023-05-15 11:51:53"/>
    <n v="8"/>
    <x v="2"/>
    <x v="4"/>
    <x v="2"/>
    <n v="1"/>
    <n v="2E+20"/>
    <n v="1"/>
    <n v="1"/>
    <n v="1"/>
    <n v="0"/>
    <s v="Unnamed ProjectInterautoNumber ScheduledResource"/>
    <n v="10"/>
    <n v="1"/>
    <n v="0"/>
    <n v="0.95"/>
    <n v="0"/>
    <n v="1"/>
    <n v="1"/>
    <n v="0"/>
  </r>
  <r>
    <x v="0"/>
    <s v="2023-05-15 11:51:53"/>
    <n v="8"/>
    <x v="3"/>
    <x v="0"/>
    <x v="0"/>
    <n v="0.168502364443611"/>
    <n v="3.1122054427132399E-2"/>
    <n v="0"/>
    <n v="4"/>
    <n v="0"/>
    <n v="0"/>
    <s v="Unnamed ProjectLeave 1.QueueNumber WaitingQueue"/>
    <n v="10"/>
    <n v="0.20353568461890376"/>
    <n v="2.6549184575613477E-2"/>
    <n v="0.95"/>
    <n v="1.899214253405495E-2"/>
    <n v="0.168502364443611"/>
    <n v="0.24578450490959"/>
    <n v="1.899214253405495E-2"/>
  </r>
  <r>
    <x v="0"/>
    <s v="2023-05-15 11:51:53"/>
    <n v="8"/>
    <x v="4"/>
    <x v="0"/>
    <x v="0"/>
    <n v="3.2012309459038099E-3"/>
    <n v="2E+20"/>
    <n v="0"/>
    <n v="1"/>
    <n v="0"/>
    <n v="0"/>
    <s v="Unnamed ProjectLeave 4.QueueNumber WaitingQueue"/>
    <n v="10"/>
    <n v="4.8729672989697272E-3"/>
    <n v="9.2135939256816457E-4"/>
    <n v="0.95"/>
    <n v="6.5910080435457321E-4"/>
    <n v="3.2012309459038099E-3"/>
    <n v="6.0338305270789001E-3"/>
    <n v="6.5910080435457321E-4"/>
  </r>
  <r>
    <x v="0"/>
    <s v="2023-05-15 11:51:53"/>
    <n v="8"/>
    <x v="5"/>
    <x v="0"/>
    <x v="0"/>
    <n v="4.7824154579455103E-2"/>
    <n v="1.2768208672146401E-2"/>
    <n v="0"/>
    <n v="3"/>
    <n v="0"/>
    <n v="0"/>
    <s v="Unnamed ProjectLeave 5.QueueNumber WaitingQueue"/>
    <n v="10"/>
    <n v="4.8788152574119628E-2"/>
    <n v="5.3039270336942244E-3"/>
    <n v="0.95"/>
    <n v="3.7942008323176655E-3"/>
    <n v="4.1058101580258903E-2"/>
    <n v="5.6386723112129902E-2"/>
    <n v="3.7942008323176655E-3"/>
  </r>
  <r>
    <x v="0"/>
    <s v="2023-05-15 11:51:53"/>
    <n v="8"/>
    <x v="6"/>
    <x v="0"/>
    <x v="0"/>
    <n v="4.7201486102630699E-4"/>
    <n v="2E+20"/>
    <n v="0"/>
    <n v="1"/>
    <n v="0"/>
    <n v="0"/>
    <s v="Unnamed ProjectLeave 6.QueueNumber WaitingQueue"/>
    <n v="10"/>
    <n v="3.227619592382791E-3"/>
    <n v="1.5087685522347895E-3"/>
    <n v="0.95"/>
    <n v="1.0793080033525183E-3"/>
    <n v="4.7201486102630699E-4"/>
    <n v="6.2452549613019898E-3"/>
    <n v="1.0793080033525183E-3"/>
  </r>
  <r>
    <x v="0"/>
    <s v="2023-05-15 11:51:53"/>
    <n v="8"/>
    <x v="7"/>
    <x v="0"/>
    <x v="0"/>
    <n v="6.0495201669375602E-2"/>
    <n v="2E+20"/>
    <n v="0"/>
    <n v="2"/>
    <n v="0"/>
    <n v="0"/>
    <s v="Unnamed ProjectLeave 7.QueueNumber WaitingQueue"/>
    <n v="10"/>
    <n v="5.9441954240945373E-2"/>
    <n v="1.1519407308393107E-2"/>
    <n v="0.95"/>
    <n v="8.2404875707479553E-3"/>
    <n v="4.5386728660866099E-2"/>
    <n v="7.8633362228088005E-2"/>
    <n v="8.2404875707479553E-3"/>
  </r>
  <r>
    <x v="0"/>
    <s v="2023-05-15 11:51:53"/>
    <n v="8"/>
    <x v="8"/>
    <x v="0"/>
    <x v="0"/>
    <n v="1.1341160077992199E-3"/>
    <n v="2E+20"/>
    <n v="0"/>
    <n v="1"/>
    <n v="0"/>
    <n v="0"/>
    <s v="Unnamed ProjectLeave 8.QueueNumber WaitingQueue"/>
    <n v="10"/>
    <n v="2.1217771776478596E-3"/>
    <n v="8.0254950645480523E-4"/>
    <n v="0.95"/>
    <n v="5.7410933182579346E-4"/>
    <n v="9.0451064743319795E-4"/>
    <n v="3.5490296241417699E-3"/>
    <n v="5.7410933182579346E-4"/>
  </r>
  <r>
    <x v="0"/>
    <s v="2023-05-15 11:51:53"/>
    <n v="8"/>
    <x v="9"/>
    <x v="0"/>
    <x v="0"/>
    <n v="2.1830393813876401E-3"/>
    <n v="2E+20"/>
    <n v="0"/>
    <n v="1"/>
    <n v="0"/>
    <n v="0"/>
    <s v="Unnamed ProjectLeave 9.QueueNumber WaitingQueue"/>
    <n v="10"/>
    <n v="1.3877246767065991E-3"/>
    <n v="7.1875981577935533E-4"/>
    <n v="0.95"/>
    <n v="5.1416979795196457E-4"/>
    <n v="2.8555279956142001E-4"/>
    <n v="2.50186012594582E-3"/>
    <n v="5.1416979795196457E-4"/>
  </r>
  <r>
    <x v="0"/>
    <s v="2023-05-15 11:51:53"/>
    <n v="8"/>
    <x v="10"/>
    <x v="1"/>
    <x v="1"/>
    <n v="12.2579752808515"/>
    <n v="3E+20"/>
    <n v="0"/>
    <n v="25"/>
    <n v="19"/>
    <n v="0"/>
    <s v="Unnamed ProjectMaleta InternacionalWIPEntity"/>
    <n v="10"/>
    <n v="13.037689788098451"/>
    <n v="1.9631643885071912"/>
    <n v="0.95"/>
    <n v="1.4043632028742961"/>
    <n v="10.277307754823401"/>
    <n v="16.425571484417201"/>
    <n v="1.4043632028742961"/>
  </r>
  <r>
    <x v="0"/>
    <s v="2023-05-15 11:51:53"/>
    <n v="8"/>
    <x v="11"/>
    <x v="1"/>
    <x v="1"/>
    <n v="2.5277506168851902"/>
    <n v="2E+20"/>
    <n v="0"/>
    <n v="9"/>
    <n v="2"/>
    <n v="0"/>
    <s v="Unnamed ProjectMaleta NacionalWIPEntity"/>
    <n v="10"/>
    <n v="2.7356580954557046"/>
    <n v="0.24675556542769644"/>
    <n v="0.95"/>
    <n v="0.17651829781539885"/>
    <n v="2.4605296674942401"/>
    <n v="3.2916533376655202"/>
    <n v="0.17651829781539885"/>
  </r>
  <r>
    <x v="0"/>
    <s v="2023-05-15 11:51:53"/>
    <n v="8"/>
    <x v="12"/>
    <x v="2"/>
    <x v="2"/>
    <n v="0.72633432349962601"/>
    <n v="2E+20"/>
    <n v="0"/>
    <n v="1"/>
    <n v="1"/>
    <n v="0"/>
    <s v="Unnamed ProjectNacionalautoInstantaneous UtilizationResource"/>
    <n v="10"/>
    <n v="0.73175058451933661"/>
    <n v="6.0813477412386734E-2"/>
    <n v="0.95"/>
    <n v="4.3503341043041877E-2"/>
    <n v="0.64995347349336796"/>
    <n v="0.82581624655093899"/>
    <n v="4.3503341043041877E-2"/>
  </r>
  <r>
    <x v="0"/>
    <s v="2023-05-15 11:51:53"/>
    <n v="8"/>
    <x v="12"/>
    <x v="3"/>
    <x v="2"/>
    <n v="0.72633432349962601"/>
    <n v="2E+20"/>
    <n v="0"/>
    <n v="1"/>
    <n v="1"/>
    <n v="0"/>
    <s v="Unnamed ProjectNacionalautoNumber BusyResource"/>
    <n v="10"/>
    <n v="0.73175058451933661"/>
    <n v="6.0813477412386734E-2"/>
    <n v="0.95"/>
    <n v="4.3503341043041877E-2"/>
    <n v="0.64995347349336796"/>
    <n v="0.82581624655093899"/>
    <n v="4.3503341043041877E-2"/>
  </r>
  <r>
    <x v="0"/>
    <s v="2023-05-15 11:51:53"/>
    <n v="8"/>
    <x v="12"/>
    <x v="4"/>
    <x v="2"/>
    <n v="1"/>
    <n v="2E+20"/>
    <n v="1"/>
    <n v="1"/>
    <n v="1"/>
    <n v="0"/>
    <s v="Unnamed ProjectNacionalautoNumber ScheduledResource"/>
    <n v="10"/>
    <n v="1"/>
    <n v="0"/>
    <n v="0.95"/>
    <n v="0"/>
    <n v="1"/>
    <n v="1"/>
    <n v="0"/>
  </r>
  <r>
    <x v="0"/>
    <s v="2023-05-15 11:51:53"/>
    <n v="8"/>
    <x v="13"/>
    <x v="2"/>
    <x v="2"/>
    <n v="7.5539129966560897E-2"/>
    <n v="1.0999806333599401E-2"/>
    <n v="0"/>
    <n v="1"/>
    <n v="0"/>
    <n v="0"/>
    <s v="Unnamed ProjectOperarios AvionInstantaneous UtilizationResource"/>
    <n v="10"/>
    <n v="7.5958437118625627E-2"/>
    <n v="5.0572810112240948E-3"/>
    <n v="0.95"/>
    <n v="3.6177608968134627E-3"/>
    <n v="6.7485948117393404E-2"/>
    <n v="8.7852447587946303E-2"/>
    <n v="3.6177608968134627E-3"/>
  </r>
  <r>
    <x v="0"/>
    <s v="2023-05-15 11:51:53"/>
    <n v="8"/>
    <x v="13"/>
    <x v="3"/>
    <x v="2"/>
    <n v="0.15107825993312199"/>
    <n v="2.1999612667198801E-2"/>
    <n v="0"/>
    <n v="2"/>
    <n v="0"/>
    <n v="0"/>
    <s v="Unnamed ProjectOperarios AvionNumber BusyResource"/>
    <n v="10"/>
    <n v="0.1519168742372512"/>
    <n v="1.0114562022448264E-2"/>
    <n v="0.95"/>
    <n v="7.2355217936269783E-3"/>
    <n v="0.134971896234787"/>
    <n v="0.17570489517589299"/>
    <n v="7.2355217936269783E-3"/>
  </r>
  <r>
    <x v="0"/>
    <s v="2023-05-15 11:51:53"/>
    <n v="8"/>
    <x v="13"/>
    <x v="4"/>
    <x v="2"/>
    <n v="2"/>
    <n v="2E+20"/>
    <n v="2"/>
    <n v="2"/>
    <n v="2"/>
    <n v="0"/>
    <s v="Unnamed ProjectOperarios AvionNumber ScheduledResource"/>
    <n v="10"/>
    <n v="2"/>
    <n v="0"/>
    <n v="0.95"/>
    <n v="0"/>
    <n v="2"/>
    <n v="2"/>
    <n v="0"/>
  </r>
  <r>
    <x v="0"/>
    <s v="2023-05-15 11:51:53"/>
    <n v="8"/>
    <x v="14"/>
    <x v="2"/>
    <x v="2"/>
    <n v="0.35190578860197103"/>
    <n v="2E+20"/>
    <n v="0"/>
    <n v="1"/>
    <n v="1"/>
    <n v="0"/>
    <s v="Unnamed ProjectcajeraInstantaneous UtilizationResource"/>
    <n v="10"/>
    <n v="0.38078385056341441"/>
    <n v="5.6481911326734656E-2"/>
    <n v="0.95"/>
    <n v="4.040472533000234E-2"/>
    <n v="0.28913636698845602"/>
    <n v="0.46134650546047301"/>
    <n v="4.040472533000234E-2"/>
  </r>
  <r>
    <x v="0"/>
    <s v="2023-05-15 11:51:53"/>
    <n v="8"/>
    <x v="14"/>
    <x v="3"/>
    <x v="2"/>
    <n v="0.35190578860197103"/>
    <n v="2E+20"/>
    <n v="0"/>
    <n v="1"/>
    <n v="1"/>
    <n v="0"/>
    <s v="Unnamed ProjectcajeraNumber BusyResource"/>
    <n v="10"/>
    <n v="0.38078385056341441"/>
    <n v="5.6481911326734656E-2"/>
    <n v="0.95"/>
    <n v="4.040472533000234E-2"/>
    <n v="0.28913636698845602"/>
    <n v="0.46134650546047301"/>
    <n v="4.040472533000234E-2"/>
  </r>
  <r>
    <x v="0"/>
    <s v="2023-05-15 11:51:53"/>
    <n v="8"/>
    <x v="14"/>
    <x v="4"/>
    <x v="2"/>
    <n v="1"/>
    <n v="2E+20"/>
    <n v="1"/>
    <n v="1"/>
    <n v="1"/>
    <n v="0"/>
    <s v="Unnamed ProjectcajeraNumber ScheduledResource"/>
    <n v="10"/>
    <n v="1"/>
    <n v="0"/>
    <n v="0.95"/>
    <n v="0"/>
    <n v="1"/>
    <n v="1"/>
    <n v="0"/>
  </r>
  <r>
    <x v="0"/>
    <s v="2023-05-15 11:51:53"/>
    <n v="8"/>
    <x v="15"/>
    <x v="2"/>
    <x v="2"/>
    <n v="0.70985400369232299"/>
    <n v="2E+20"/>
    <n v="0"/>
    <n v="1"/>
    <n v="1"/>
    <n v="0"/>
    <s v="Unnamed Projectcajera2Instantaneous UtilizationResource"/>
    <n v="10"/>
    <n v="0.73571117943508912"/>
    <n v="2.3945213257811505E-2"/>
    <n v="0.95"/>
    <n v="1.7129373668915777E-2"/>
    <n v="0.69752119636771104"/>
    <n v="0.77845968782647601"/>
    <n v="1.7129373668915777E-2"/>
  </r>
  <r>
    <x v="0"/>
    <s v="2023-05-15 11:51:53"/>
    <n v="8"/>
    <x v="15"/>
    <x v="3"/>
    <x v="2"/>
    <n v="0.70985400369232299"/>
    <n v="2E+20"/>
    <n v="0"/>
    <n v="1"/>
    <n v="1"/>
    <n v="0"/>
    <s v="Unnamed Projectcajera2Number BusyResource"/>
    <n v="10"/>
    <n v="0.73571117943508912"/>
    <n v="2.3945213257811505E-2"/>
    <n v="0.95"/>
    <n v="1.7129373668915777E-2"/>
    <n v="0.69752119636771104"/>
    <n v="0.77845968782647601"/>
    <n v="1.7129373668915777E-2"/>
  </r>
  <r>
    <x v="0"/>
    <s v="2023-05-15 11:51:53"/>
    <n v="8"/>
    <x v="15"/>
    <x v="4"/>
    <x v="2"/>
    <n v="1"/>
    <n v="2E+20"/>
    <n v="1"/>
    <n v="1"/>
    <n v="1"/>
    <n v="0"/>
    <s v="Unnamed Projectcajera2Number ScheduledResource"/>
    <n v="10"/>
    <n v="1"/>
    <n v="0"/>
    <n v="0.95"/>
    <n v="0"/>
    <n v="1"/>
    <n v="1"/>
    <n v="0"/>
  </r>
  <r>
    <x v="0"/>
    <s v="2023-05-15 11:51:53"/>
    <n v="8"/>
    <x v="16"/>
    <x v="0"/>
    <x v="0"/>
    <n v="0.95917715937716497"/>
    <n v="2E+20"/>
    <n v="0"/>
    <n v="6"/>
    <n v="5"/>
    <n v="0"/>
    <s v="Unnamed Projectmanualinter.QueueNumber WaitingQueue"/>
    <n v="10"/>
    <n v="0.33257710094571935"/>
    <n v="0.27159595138606457"/>
    <n v="0.95"/>
    <n v="0.19428803945769421"/>
    <n v="4.88437833500961E-2"/>
    <n v="0.95917715937716497"/>
    <n v="0.19428803945769421"/>
  </r>
  <r>
    <x v="0"/>
    <s v="2023-05-15 11:51:53"/>
    <n v="8"/>
    <x v="17"/>
    <x v="0"/>
    <x v="0"/>
    <n v="0"/>
    <n v="2E+20"/>
    <n v="0"/>
    <n v="0"/>
    <n v="0"/>
    <n v="0"/>
    <s v="Unnamed Projectmanualnaciona.QueueNumber WaitingQueue"/>
    <n v="10"/>
    <n v="2.2437109622866062E-3"/>
    <n v="6.4095428429067599E-3"/>
    <n v="0.95"/>
    <n v="4.5851107367881972E-3"/>
    <n v="0"/>
    <n v="2.0447096127880302E-2"/>
    <n v="4.5851107367881972E-3"/>
  </r>
  <r>
    <x v="0"/>
    <s v="2023-05-15 11:51:53"/>
    <n v="8"/>
    <x v="18"/>
    <x v="0"/>
    <x v="0"/>
    <n v="1.89011305196279"/>
    <n v="3E+20"/>
    <n v="0"/>
    <n v="11"/>
    <n v="2"/>
    <n v="0"/>
    <s v="Unnamed Projectmaquinainter.QueueNumber WaitingQueue"/>
    <n v="10"/>
    <n v="2.7250893633296323"/>
    <n v="1.2704307292922721"/>
    <n v="0.95"/>
    <n v="0.90881139575657477"/>
    <n v="1.35760259855807"/>
    <n v="5.2621649076821404"/>
    <n v="0.90881139575657477"/>
  </r>
  <r>
    <x v="0"/>
    <s v="2023-05-15 11:51:53"/>
    <n v="8"/>
    <x v="19"/>
    <x v="0"/>
    <x v="0"/>
    <n v="0.198703734287902"/>
    <n v="2E+20"/>
    <n v="0"/>
    <n v="4"/>
    <n v="1"/>
    <n v="0"/>
    <s v="Unnamed Projectmaquinanacional.QueueNumber WaitingQueue"/>
    <n v="10"/>
    <n v="0.20327393268399513"/>
    <n v="5.4678802003311266E-2"/>
    <n v="0.95"/>
    <n v="3.9114858623271326E-2"/>
    <n v="9.7152989948067606E-2"/>
    <n v="0.28694483715654301"/>
    <n v="3.9114858623271326E-2"/>
  </r>
  <r>
    <x v="0"/>
    <s v="2023-05-15 11:51:53"/>
    <n v="8"/>
    <x v="20"/>
    <x v="0"/>
    <x v="0"/>
    <n v="0.29183897166178802"/>
    <n v="2E+20"/>
    <n v="0"/>
    <n v="4"/>
    <n v="4"/>
    <n v="0"/>
    <s v="Unnamed Projectmostrador1.QueueNumber WaitingQueue"/>
    <n v="10"/>
    <n v="0.25365601436241814"/>
    <n v="9.7306237195948719E-2"/>
    <n v="0.95"/>
    <n v="6.9608688772141478E-2"/>
    <n v="0.124078487063659"/>
    <n v="0.381680898629085"/>
    <n v="6.9608688772141478E-2"/>
  </r>
  <r>
    <x v="0"/>
    <s v="2023-05-15 11:51:53"/>
    <n v="8"/>
    <x v="21"/>
    <x v="0"/>
    <x v="0"/>
    <n v="0.56576940846078805"/>
    <n v="2E+20"/>
    <n v="0"/>
    <n v="5"/>
    <n v="5"/>
    <n v="0"/>
    <s v="Unnamed Projectmostrador2.QueueNumber WaitingQueue"/>
    <n v="10"/>
    <n v="0.56854078919795403"/>
    <n v="9.5876381195630939E-2"/>
    <n v="0.95"/>
    <n v="6.8585831407770567E-2"/>
    <n v="0.461258283509344"/>
    <n v="0.74281217456090598"/>
    <n v="6.8585831407770567E-2"/>
  </r>
  <r>
    <x v="0"/>
    <s v="2023-05-15 11:51:53"/>
    <n v="8"/>
    <x v="22"/>
    <x v="1"/>
    <x v="1"/>
    <n v="0"/>
    <n v="2E+20"/>
    <n v="0"/>
    <n v="0"/>
    <n v="0"/>
    <n v="0"/>
    <s v="Unnamed ProjectpersonaWIPEntity"/>
    <n v="10"/>
    <n v="0"/>
    <n v="0"/>
    <n v="0.95"/>
    <n v="0"/>
    <n v="0"/>
    <n v="0"/>
    <n v="0"/>
  </r>
  <r>
    <x v="0"/>
    <s v="2023-05-15 11:51:53"/>
    <n v="8"/>
    <x v="23"/>
    <x v="2"/>
    <x v="2"/>
    <n v="2.1279401430778E-2"/>
    <n v="2E+20"/>
    <n v="0"/>
    <n v="1"/>
    <n v="0"/>
    <n v="0"/>
    <s v="Unnamed Projectregistro1Instantaneous UtilizationResource"/>
    <n v="10"/>
    <n v="5.6433247648491516E-2"/>
    <n v="2.4456082934732001E-2"/>
    <n v="0.95"/>
    <n v="1.7494827820351853E-2"/>
    <n v="2.1279401430778E-2"/>
    <n v="8.8472374570180701E-2"/>
    <n v="1.7494827820351853E-2"/>
  </r>
  <r>
    <x v="0"/>
    <s v="2023-05-15 11:51:53"/>
    <n v="8"/>
    <x v="23"/>
    <x v="3"/>
    <x v="2"/>
    <n v="2.1279401430778E-2"/>
    <n v="2E+20"/>
    <n v="0"/>
    <n v="1"/>
    <n v="0"/>
    <n v="0"/>
    <s v="Unnamed Projectregistro1Number BusyResource"/>
    <n v="10"/>
    <n v="5.6433247648491516E-2"/>
    <n v="2.4456082934732001E-2"/>
    <n v="0.95"/>
    <n v="1.7494827820351853E-2"/>
    <n v="2.1279401430778E-2"/>
    <n v="8.8472374570180701E-2"/>
    <n v="1.7494827820351853E-2"/>
  </r>
  <r>
    <x v="0"/>
    <s v="2023-05-15 11:51:53"/>
    <n v="8"/>
    <x v="23"/>
    <x v="4"/>
    <x v="2"/>
    <n v="1"/>
    <n v="2E+20"/>
    <n v="1"/>
    <n v="1"/>
    <n v="1"/>
    <n v="0"/>
    <s v="Unnamed Projectregistro1Number ScheduledResource"/>
    <n v="10"/>
    <n v="1"/>
    <n v="0"/>
    <n v="0.95"/>
    <n v="0"/>
    <n v="1"/>
    <n v="1"/>
    <n v="0"/>
  </r>
  <r>
    <x v="0"/>
    <s v="2023-05-15 11:51:53"/>
    <n v="8"/>
    <x v="24"/>
    <x v="2"/>
    <x v="2"/>
    <n v="0.44908676783761903"/>
    <n v="2E+20"/>
    <n v="0"/>
    <n v="1"/>
    <n v="1"/>
    <n v="0"/>
    <s v="Unnamed Projectregistro2Instantaneous UtilizationResource"/>
    <n v="10"/>
    <n v="0.46274808587050231"/>
    <n v="9.1165192054027525E-2"/>
    <n v="0.95"/>
    <n v="6.5215649719990554E-2"/>
    <n v="0.338210899349628"/>
    <n v="0.66990172486561195"/>
    <n v="6.5215649719990554E-2"/>
  </r>
  <r>
    <x v="0"/>
    <s v="2023-05-15 11:51:53"/>
    <n v="8"/>
    <x v="24"/>
    <x v="3"/>
    <x v="2"/>
    <n v="0.44908676783761903"/>
    <n v="2E+20"/>
    <n v="0"/>
    <n v="1"/>
    <n v="1"/>
    <n v="0"/>
    <s v="Unnamed Projectregistro2Number BusyResource"/>
    <n v="10"/>
    <n v="0.46274808587050231"/>
    <n v="9.1165192054027525E-2"/>
    <n v="0.95"/>
    <n v="6.5215649719990554E-2"/>
    <n v="0.338210899349628"/>
    <n v="0.66990172486561195"/>
    <n v="6.5215649719990554E-2"/>
  </r>
  <r>
    <x v="0"/>
    <s v="2023-05-15 11:51:53"/>
    <n v="8"/>
    <x v="24"/>
    <x v="4"/>
    <x v="2"/>
    <n v="1"/>
    <n v="2E+20"/>
    <n v="1"/>
    <n v="1"/>
    <n v="1"/>
    <n v="0"/>
    <s v="Unnamed Projectregistro2Number ScheduledResource"/>
    <n v="10"/>
    <n v="1"/>
    <n v="0"/>
    <n v="0.95"/>
    <n v="0"/>
    <n v="1"/>
    <n v="1"/>
    <n v="0"/>
  </r>
  <r>
    <x v="0"/>
    <s v="2023-05-15 11:51:53"/>
    <n v="9"/>
    <x v="0"/>
    <x v="0"/>
    <x v="0"/>
    <n v="2.8294284227636502E-3"/>
    <n v="2E+20"/>
    <n v="0"/>
    <n v="3"/>
    <n v="0"/>
    <n v="0"/>
    <s v="Unnamed ProjectCargar Avion.QueueNumber WaitingQueue"/>
    <n v="10"/>
    <n v="4.3234278073230802E-4"/>
    <n v="8.6650685478403973E-4"/>
    <n v="0.95"/>
    <n v="6.1986166264068276E-4"/>
    <n v="0"/>
    <n v="2.8294284227636502E-3"/>
    <n v="6.1986166264068276E-4"/>
  </r>
  <r>
    <x v="0"/>
    <s v="2023-05-15 11:51:53"/>
    <n v="9"/>
    <x v="1"/>
    <x v="1"/>
    <x v="1"/>
    <n v="2.3099874805957801"/>
    <n v="3E+20"/>
    <n v="0"/>
    <n v="12"/>
    <n v="1"/>
    <n v="0"/>
    <s v="Unnamed ProjectEntity 1WIPEntity"/>
    <n v="10"/>
    <n v="1.938691833558875"/>
    <n v="0.24426972485872975"/>
    <n v="0.95"/>
    <n v="0.17474003459724646"/>
    <n v="1.6635577018983201"/>
    <n v="2.3099874805957801"/>
    <n v="0.17474003459724646"/>
  </r>
  <r>
    <x v="0"/>
    <s v="2023-05-15 11:51:53"/>
    <n v="9"/>
    <x v="2"/>
    <x v="2"/>
    <x v="2"/>
    <n v="0.29552077299252399"/>
    <n v="2E+20"/>
    <n v="0"/>
    <n v="1"/>
    <n v="0"/>
    <n v="0"/>
    <s v="Unnamed ProjectInterautoInstantaneous UtilizationResource"/>
    <n v="10"/>
    <n v="0.26535205929836458"/>
    <n v="2.5807993647623796E-2"/>
    <n v="0.95"/>
    <n v="1.8461926485074727E-2"/>
    <n v="0.20483176768320299"/>
    <n v="0.29552077299252399"/>
    <n v="1.8461926485074727E-2"/>
  </r>
  <r>
    <x v="0"/>
    <s v="2023-05-15 11:51:53"/>
    <n v="9"/>
    <x v="2"/>
    <x v="3"/>
    <x v="2"/>
    <n v="0.29552077299252399"/>
    <n v="2E+20"/>
    <n v="0"/>
    <n v="1"/>
    <n v="0"/>
    <n v="0"/>
    <s v="Unnamed ProjectInterautoNumber BusyResource"/>
    <n v="10"/>
    <n v="0.26535205929836458"/>
    <n v="2.5807993647623796E-2"/>
    <n v="0.95"/>
    <n v="1.8461926485074727E-2"/>
    <n v="0.20483176768320299"/>
    <n v="0.29552077299252399"/>
    <n v="1.8461926485074727E-2"/>
  </r>
  <r>
    <x v="0"/>
    <s v="2023-05-15 11:51:53"/>
    <n v="9"/>
    <x v="2"/>
    <x v="4"/>
    <x v="2"/>
    <n v="1"/>
    <n v="2E+20"/>
    <n v="1"/>
    <n v="1"/>
    <n v="1"/>
    <n v="0"/>
    <s v="Unnamed ProjectInterautoNumber ScheduledResource"/>
    <n v="10"/>
    <n v="1"/>
    <n v="0"/>
    <n v="0.95"/>
    <n v="0"/>
    <n v="1"/>
    <n v="1"/>
    <n v="0"/>
  </r>
  <r>
    <x v="0"/>
    <s v="2023-05-15 11:51:53"/>
    <n v="9"/>
    <x v="3"/>
    <x v="0"/>
    <x v="0"/>
    <n v="0.24578450490959"/>
    <n v="5.05820711639079E-2"/>
    <n v="0"/>
    <n v="4"/>
    <n v="0"/>
    <n v="0"/>
    <s v="Unnamed ProjectLeave 1.QueueNumber WaitingQueue"/>
    <n v="10"/>
    <n v="0.20353568461890376"/>
    <n v="2.6549184575613477E-2"/>
    <n v="0.95"/>
    <n v="1.899214253405495E-2"/>
    <n v="0.168502364443611"/>
    <n v="0.24578450490959"/>
    <n v="1.899214253405495E-2"/>
  </r>
  <r>
    <x v="0"/>
    <s v="2023-05-15 11:51:53"/>
    <n v="9"/>
    <x v="4"/>
    <x v="0"/>
    <x v="0"/>
    <n v="4.5294649267591898E-3"/>
    <n v="2E+20"/>
    <n v="0"/>
    <n v="1"/>
    <n v="0"/>
    <n v="0"/>
    <s v="Unnamed ProjectLeave 4.QueueNumber WaitingQueue"/>
    <n v="10"/>
    <n v="4.8729672989697272E-3"/>
    <n v="9.2135939256816457E-4"/>
    <n v="0.95"/>
    <n v="6.5910080435457321E-4"/>
    <n v="3.2012309459038099E-3"/>
    <n v="6.0338305270789001E-3"/>
    <n v="6.5910080435457321E-4"/>
  </r>
  <r>
    <x v="0"/>
    <s v="2023-05-15 11:51:53"/>
    <n v="9"/>
    <x v="5"/>
    <x v="0"/>
    <x v="0"/>
    <n v="5.3862475954830902E-2"/>
    <n v="1.08824399653177E-2"/>
    <n v="0"/>
    <n v="3"/>
    <n v="0"/>
    <n v="0"/>
    <s v="Unnamed ProjectLeave 5.QueueNumber WaitingQueue"/>
    <n v="10"/>
    <n v="4.8788152574119628E-2"/>
    <n v="5.3039270336942244E-3"/>
    <n v="0.95"/>
    <n v="3.7942008323176655E-3"/>
    <n v="4.1058101580258903E-2"/>
    <n v="5.6386723112129902E-2"/>
    <n v="3.7942008323176655E-3"/>
  </r>
  <r>
    <x v="0"/>
    <s v="2023-05-15 11:51:53"/>
    <n v="9"/>
    <x v="6"/>
    <x v="0"/>
    <x v="0"/>
    <n v="4.4638415068851498E-3"/>
    <n v="2E+20"/>
    <n v="0"/>
    <n v="1"/>
    <n v="0"/>
    <n v="0"/>
    <s v="Unnamed ProjectLeave 6.QueueNumber WaitingQueue"/>
    <n v="10"/>
    <n v="3.227619592382791E-3"/>
    <n v="1.5087685522347895E-3"/>
    <n v="0.95"/>
    <n v="1.0793080033525183E-3"/>
    <n v="4.7201486102630699E-4"/>
    <n v="6.2452549613019898E-3"/>
    <n v="1.0793080033525183E-3"/>
  </r>
  <r>
    <x v="0"/>
    <s v="2023-05-15 11:51:53"/>
    <n v="9"/>
    <x v="7"/>
    <x v="0"/>
    <x v="0"/>
    <n v="6.3455627491741495E-2"/>
    <n v="2.1327566648836602E-2"/>
    <n v="0"/>
    <n v="2"/>
    <n v="0"/>
    <n v="0"/>
    <s v="Unnamed ProjectLeave 7.QueueNumber WaitingQueue"/>
    <n v="10"/>
    <n v="5.9441954240945373E-2"/>
    <n v="1.1519407308393107E-2"/>
    <n v="0.95"/>
    <n v="8.2404875707479553E-3"/>
    <n v="4.5386728660866099E-2"/>
    <n v="7.8633362228088005E-2"/>
    <n v="8.2404875707479553E-3"/>
  </r>
  <r>
    <x v="0"/>
    <s v="2023-05-15 11:51:53"/>
    <n v="9"/>
    <x v="8"/>
    <x v="0"/>
    <x v="0"/>
    <n v="2.3660238745968798E-3"/>
    <n v="2E+20"/>
    <n v="0"/>
    <n v="1"/>
    <n v="0"/>
    <n v="0"/>
    <s v="Unnamed ProjectLeave 8.QueueNumber WaitingQueue"/>
    <n v="10"/>
    <n v="2.1217771776478596E-3"/>
    <n v="8.0254950645480523E-4"/>
    <n v="0.95"/>
    <n v="5.7410933182579346E-4"/>
    <n v="9.0451064743319795E-4"/>
    <n v="3.5490296241417699E-3"/>
    <n v="5.7410933182579346E-4"/>
  </r>
  <r>
    <x v="0"/>
    <s v="2023-05-15 11:51:53"/>
    <n v="9"/>
    <x v="9"/>
    <x v="0"/>
    <x v="0"/>
    <n v="2.50186012594582E-3"/>
    <n v="2E+20"/>
    <n v="0"/>
    <n v="1"/>
    <n v="0"/>
    <n v="0"/>
    <s v="Unnamed ProjectLeave 9.QueueNumber WaitingQueue"/>
    <n v="10"/>
    <n v="1.3877246767065991E-3"/>
    <n v="7.1875981577935533E-4"/>
    <n v="0.95"/>
    <n v="5.1416979795196457E-4"/>
    <n v="2.8555279956142001E-4"/>
    <n v="2.50186012594582E-3"/>
    <n v="5.1416979795196457E-4"/>
  </r>
  <r>
    <x v="0"/>
    <s v="2023-05-15 11:51:53"/>
    <n v="9"/>
    <x v="10"/>
    <x v="1"/>
    <x v="1"/>
    <n v="13.1872542264855"/>
    <n v="3E+20"/>
    <n v="0"/>
    <n v="31"/>
    <n v="7"/>
    <n v="0"/>
    <s v="Unnamed ProjectMaleta InternacionalWIPEntity"/>
    <n v="10"/>
    <n v="13.037689788098451"/>
    <n v="1.9631643885071912"/>
    <n v="0.95"/>
    <n v="1.4043632028742961"/>
    <n v="10.277307754823401"/>
    <n v="16.425571484417201"/>
    <n v="1.4043632028742961"/>
  </r>
  <r>
    <x v="0"/>
    <s v="2023-05-15 11:51:53"/>
    <n v="9"/>
    <x v="11"/>
    <x v="1"/>
    <x v="1"/>
    <n v="3.2916533376655202"/>
    <n v="2E+20"/>
    <n v="0"/>
    <n v="15"/>
    <n v="2"/>
    <n v="0"/>
    <s v="Unnamed ProjectMaleta NacionalWIPEntity"/>
    <n v="10"/>
    <n v="2.7356580954557046"/>
    <n v="0.24675556542769644"/>
    <n v="0.95"/>
    <n v="0.17651829781539885"/>
    <n v="2.4605296674942401"/>
    <n v="3.2916533376655202"/>
    <n v="0.17651829781539885"/>
  </r>
  <r>
    <x v="0"/>
    <s v="2023-05-15 11:51:53"/>
    <n v="9"/>
    <x v="12"/>
    <x v="2"/>
    <x v="2"/>
    <n v="0.73198562185363703"/>
    <n v="2E+20"/>
    <n v="0"/>
    <n v="1"/>
    <n v="0"/>
    <n v="0"/>
    <s v="Unnamed ProjectNacionalautoInstantaneous UtilizationResource"/>
    <n v="10"/>
    <n v="0.73175058451933661"/>
    <n v="6.0813477412386734E-2"/>
    <n v="0.95"/>
    <n v="4.3503341043041877E-2"/>
    <n v="0.64995347349336796"/>
    <n v="0.82581624655093899"/>
    <n v="4.3503341043041877E-2"/>
  </r>
  <r>
    <x v="0"/>
    <s v="2023-05-15 11:51:53"/>
    <n v="9"/>
    <x v="12"/>
    <x v="3"/>
    <x v="2"/>
    <n v="0.73198562185363703"/>
    <n v="2E+20"/>
    <n v="0"/>
    <n v="1"/>
    <n v="0"/>
    <n v="0"/>
    <s v="Unnamed ProjectNacionalautoNumber BusyResource"/>
    <n v="10"/>
    <n v="0.73175058451933661"/>
    <n v="6.0813477412386734E-2"/>
    <n v="0.95"/>
    <n v="4.3503341043041877E-2"/>
    <n v="0.64995347349336796"/>
    <n v="0.82581624655093899"/>
    <n v="4.3503341043041877E-2"/>
  </r>
  <r>
    <x v="0"/>
    <s v="2023-05-15 11:51:53"/>
    <n v="9"/>
    <x v="12"/>
    <x v="4"/>
    <x v="2"/>
    <n v="1"/>
    <n v="2E+20"/>
    <n v="1"/>
    <n v="1"/>
    <n v="1"/>
    <n v="0"/>
    <s v="Unnamed ProjectNacionalautoNumber ScheduledResource"/>
    <n v="10"/>
    <n v="1"/>
    <n v="0"/>
    <n v="0.95"/>
    <n v="0"/>
    <n v="1"/>
    <n v="1"/>
    <n v="0"/>
  </r>
  <r>
    <x v="0"/>
    <s v="2023-05-15 11:51:53"/>
    <n v="9"/>
    <x v="13"/>
    <x v="2"/>
    <x v="2"/>
    <n v="8.7852447587946303E-2"/>
    <n v="1.8660622695075599E-2"/>
    <n v="0"/>
    <n v="1"/>
    <n v="0"/>
    <n v="0"/>
    <s v="Unnamed ProjectOperarios AvionInstantaneous UtilizationResource"/>
    <n v="10"/>
    <n v="7.5958437118625627E-2"/>
    <n v="5.0572810112240948E-3"/>
    <n v="0.95"/>
    <n v="3.6177608968134627E-3"/>
    <n v="6.7485948117393404E-2"/>
    <n v="8.7852447587946303E-2"/>
    <n v="3.6177608968134627E-3"/>
  </r>
  <r>
    <x v="0"/>
    <s v="2023-05-15 11:51:53"/>
    <n v="9"/>
    <x v="13"/>
    <x v="3"/>
    <x v="2"/>
    <n v="0.17570489517589299"/>
    <n v="3.7321245390151199E-2"/>
    <n v="0"/>
    <n v="2"/>
    <n v="0"/>
    <n v="0"/>
    <s v="Unnamed ProjectOperarios AvionNumber BusyResource"/>
    <n v="10"/>
    <n v="0.1519168742372512"/>
    <n v="1.0114562022448264E-2"/>
    <n v="0.95"/>
    <n v="7.2355217936269783E-3"/>
    <n v="0.134971896234787"/>
    <n v="0.17570489517589299"/>
    <n v="7.2355217936269783E-3"/>
  </r>
  <r>
    <x v="0"/>
    <s v="2023-05-15 11:51:53"/>
    <n v="9"/>
    <x v="13"/>
    <x v="4"/>
    <x v="2"/>
    <n v="2"/>
    <n v="2E+20"/>
    <n v="2"/>
    <n v="2"/>
    <n v="2"/>
    <n v="0"/>
    <s v="Unnamed ProjectOperarios AvionNumber ScheduledResource"/>
    <n v="10"/>
    <n v="2"/>
    <n v="0"/>
    <n v="0.95"/>
    <n v="0"/>
    <n v="2"/>
    <n v="2"/>
    <n v="0"/>
  </r>
  <r>
    <x v="0"/>
    <s v="2023-05-15 11:51:53"/>
    <n v="9"/>
    <x v="14"/>
    <x v="2"/>
    <x v="2"/>
    <n v="0.44970563756005799"/>
    <n v="2E+20"/>
    <n v="0"/>
    <n v="1"/>
    <n v="0"/>
    <n v="0"/>
    <s v="Unnamed ProjectcajeraInstantaneous UtilizationResource"/>
    <n v="10"/>
    <n v="0.38078385056341441"/>
    <n v="5.6481911326734656E-2"/>
    <n v="0.95"/>
    <n v="4.040472533000234E-2"/>
    <n v="0.28913636698845602"/>
    <n v="0.46134650546047301"/>
    <n v="4.040472533000234E-2"/>
  </r>
  <r>
    <x v="0"/>
    <s v="2023-05-15 11:51:53"/>
    <n v="9"/>
    <x v="14"/>
    <x v="3"/>
    <x v="2"/>
    <n v="0.44970563756005799"/>
    <n v="2E+20"/>
    <n v="0"/>
    <n v="1"/>
    <n v="0"/>
    <n v="0"/>
    <s v="Unnamed ProjectcajeraNumber BusyResource"/>
    <n v="10"/>
    <n v="0.38078385056341441"/>
    <n v="5.6481911326734656E-2"/>
    <n v="0.95"/>
    <n v="4.040472533000234E-2"/>
    <n v="0.28913636698845602"/>
    <n v="0.46134650546047301"/>
    <n v="4.040472533000234E-2"/>
  </r>
  <r>
    <x v="0"/>
    <s v="2023-05-15 11:51:53"/>
    <n v="9"/>
    <x v="14"/>
    <x v="4"/>
    <x v="2"/>
    <n v="1"/>
    <n v="2E+20"/>
    <n v="1"/>
    <n v="1"/>
    <n v="1"/>
    <n v="0"/>
    <s v="Unnamed ProjectcajeraNumber ScheduledResource"/>
    <n v="10"/>
    <n v="1"/>
    <n v="0"/>
    <n v="0.95"/>
    <n v="0"/>
    <n v="1"/>
    <n v="1"/>
    <n v="0"/>
  </r>
  <r>
    <x v="0"/>
    <s v="2023-05-15 11:51:53"/>
    <n v="9"/>
    <x v="15"/>
    <x v="2"/>
    <x v="2"/>
    <n v="0.73578876984573405"/>
    <n v="2E+20"/>
    <n v="0"/>
    <n v="1"/>
    <n v="1"/>
    <n v="0"/>
    <s v="Unnamed Projectcajera2Instantaneous UtilizationResource"/>
    <n v="10"/>
    <n v="0.73571117943508912"/>
    <n v="2.3945213257811505E-2"/>
    <n v="0.95"/>
    <n v="1.7129373668915777E-2"/>
    <n v="0.69752119636771104"/>
    <n v="0.77845968782647601"/>
    <n v="1.7129373668915777E-2"/>
  </r>
  <r>
    <x v="0"/>
    <s v="2023-05-15 11:51:53"/>
    <n v="9"/>
    <x v="15"/>
    <x v="3"/>
    <x v="2"/>
    <n v="0.73578876984573405"/>
    <n v="2E+20"/>
    <n v="0"/>
    <n v="1"/>
    <n v="1"/>
    <n v="0"/>
    <s v="Unnamed Projectcajera2Number BusyResource"/>
    <n v="10"/>
    <n v="0.73571117943508912"/>
    <n v="2.3945213257811505E-2"/>
    <n v="0.95"/>
    <n v="1.7129373668915777E-2"/>
    <n v="0.69752119636771104"/>
    <n v="0.77845968782647601"/>
    <n v="1.7129373668915777E-2"/>
  </r>
  <r>
    <x v="0"/>
    <s v="2023-05-15 11:51:53"/>
    <n v="9"/>
    <x v="15"/>
    <x v="4"/>
    <x v="2"/>
    <n v="1"/>
    <n v="2E+20"/>
    <n v="1"/>
    <n v="1"/>
    <n v="1"/>
    <n v="0"/>
    <s v="Unnamed Projectcajera2Number ScheduledResource"/>
    <n v="10"/>
    <n v="1"/>
    <n v="0"/>
    <n v="0.95"/>
    <n v="0"/>
    <n v="1"/>
    <n v="1"/>
    <n v="0"/>
  </r>
  <r>
    <x v="0"/>
    <s v="2023-05-15 11:51:53"/>
    <n v="9"/>
    <x v="16"/>
    <x v="0"/>
    <x v="0"/>
    <n v="0.41607401804003402"/>
    <n v="2E+20"/>
    <n v="0"/>
    <n v="3"/>
    <n v="0"/>
    <n v="0"/>
    <s v="Unnamed Projectmanualinter.QueueNumber WaitingQueue"/>
    <n v="10"/>
    <n v="0.33257710094571935"/>
    <n v="0.27159595138606457"/>
    <n v="0.95"/>
    <n v="0.19428803945769421"/>
    <n v="4.88437833500961E-2"/>
    <n v="0.95917715937716497"/>
    <n v="0.19428803945769421"/>
  </r>
  <r>
    <x v="0"/>
    <s v="2023-05-15 11:51:53"/>
    <n v="9"/>
    <x v="17"/>
    <x v="0"/>
    <x v="0"/>
    <n v="1.0917719284103599E-3"/>
    <n v="2E+20"/>
    <n v="0"/>
    <n v="1"/>
    <n v="0"/>
    <n v="0"/>
    <s v="Unnamed Projectmanualnaciona.QueueNumber WaitingQueue"/>
    <n v="10"/>
    <n v="2.2437109622866062E-3"/>
    <n v="6.4095428429067599E-3"/>
    <n v="0.95"/>
    <n v="4.5851107367881972E-3"/>
    <n v="0"/>
    <n v="2.0447096127880302E-2"/>
    <n v="4.5851107367881972E-3"/>
  </r>
  <r>
    <x v="0"/>
    <s v="2023-05-15 11:51:53"/>
    <n v="9"/>
    <x v="18"/>
    <x v="0"/>
    <x v="0"/>
    <n v="2.3196832034569499"/>
    <n v="3E+20"/>
    <n v="0"/>
    <n v="18"/>
    <n v="0"/>
    <n v="0"/>
    <s v="Unnamed Projectmaquinainter.QueueNumber WaitingQueue"/>
    <n v="10"/>
    <n v="2.7250893633296323"/>
    <n v="1.2704307292922721"/>
    <n v="0.95"/>
    <n v="0.90881139575657477"/>
    <n v="1.35760259855807"/>
    <n v="5.2621649076821404"/>
    <n v="0.90881139575657477"/>
  </r>
  <r>
    <x v="0"/>
    <s v="2023-05-15 11:51:53"/>
    <n v="9"/>
    <x v="19"/>
    <x v="0"/>
    <x v="0"/>
    <n v="0.28694483715654301"/>
    <n v="2E+20"/>
    <n v="0"/>
    <n v="8"/>
    <n v="0"/>
    <n v="0"/>
    <s v="Unnamed Projectmaquinanacional.QueueNumber WaitingQueue"/>
    <n v="10"/>
    <n v="0.20327393268399513"/>
    <n v="5.4678802003311266E-2"/>
    <n v="0.95"/>
    <n v="3.9114858623271326E-2"/>
    <n v="9.7152989948067606E-2"/>
    <n v="0.28694483715654301"/>
    <n v="3.9114858623271326E-2"/>
  </r>
  <r>
    <x v="0"/>
    <s v="2023-05-15 11:51:53"/>
    <n v="9"/>
    <x v="20"/>
    <x v="0"/>
    <x v="0"/>
    <n v="0.381680898629085"/>
    <n v="2E+20"/>
    <n v="0"/>
    <n v="4"/>
    <n v="0"/>
    <n v="0"/>
    <s v="Unnamed Projectmostrador1.QueueNumber WaitingQueue"/>
    <n v="10"/>
    <n v="0.25365601436241814"/>
    <n v="9.7306237195948719E-2"/>
    <n v="0.95"/>
    <n v="6.9608688772141478E-2"/>
    <n v="0.124078487063659"/>
    <n v="0.381680898629085"/>
    <n v="6.9608688772141478E-2"/>
  </r>
  <r>
    <x v="0"/>
    <s v="2023-05-15 11:51:53"/>
    <n v="9"/>
    <x v="21"/>
    <x v="0"/>
    <x v="0"/>
    <n v="0.74281217456090598"/>
    <n v="2E+20"/>
    <n v="0"/>
    <n v="4"/>
    <n v="0"/>
    <n v="0"/>
    <s v="Unnamed Projectmostrador2.QueueNumber WaitingQueue"/>
    <n v="10"/>
    <n v="0.56854078919795403"/>
    <n v="9.5876381195630939E-2"/>
    <n v="0.95"/>
    <n v="6.8585831407770567E-2"/>
    <n v="0.461258283509344"/>
    <n v="0.74281217456090598"/>
    <n v="6.8585831407770567E-2"/>
  </r>
  <r>
    <x v="0"/>
    <s v="2023-05-15 11:51:53"/>
    <n v="9"/>
    <x v="22"/>
    <x v="1"/>
    <x v="1"/>
    <n v="0"/>
    <n v="2E+20"/>
    <n v="0"/>
    <n v="0"/>
    <n v="0"/>
    <n v="0"/>
    <s v="Unnamed ProjectpersonaWIPEntity"/>
    <n v="10"/>
    <n v="0"/>
    <n v="0"/>
    <n v="0.95"/>
    <n v="0"/>
    <n v="0"/>
    <n v="0"/>
    <n v="0"/>
  </r>
  <r>
    <x v="0"/>
    <s v="2023-05-15 11:51:53"/>
    <n v="9"/>
    <x v="23"/>
    <x v="2"/>
    <x v="2"/>
    <n v="7.8075040205248206E-2"/>
    <n v="2E+20"/>
    <n v="0"/>
    <n v="1"/>
    <n v="0"/>
    <n v="0"/>
    <s v="Unnamed Projectregistro1Instantaneous UtilizationResource"/>
    <n v="10"/>
    <n v="5.6433247648491516E-2"/>
    <n v="2.4456082934732001E-2"/>
    <n v="0.95"/>
    <n v="1.7494827820351853E-2"/>
    <n v="2.1279401430778E-2"/>
    <n v="8.8472374570180701E-2"/>
    <n v="1.7494827820351853E-2"/>
  </r>
  <r>
    <x v="0"/>
    <s v="2023-05-15 11:51:53"/>
    <n v="9"/>
    <x v="23"/>
    <x v="3"/>
    <x v="2"/>
    <n v="7.8075040205248206E-2"/>
    <n v="2E+20"/>
    <n v="0"/>
    <n v="1"/>
    <n v="0"/>
    <n v="0"/>
    <s v="Unnamed Projectregistro1Number BusyResource"/>
    <n v="10"/>
    <n v="5.6433247648491516E-2"/>
    <n v="2.4456082934732001E-2"/>
    <n v="0.95"/>
    <n v="1.7494827820351853E-2"/>
    <n v="2.1279401430778E-2"/>
    <n v="8.8472374570180701E-2"/>
    <n v="1.7494827820351853E-2"/>
  </r>
  <r>
    <x v="0"/>
    <s v="2023-05-15 11:51:53"/>
    <n v="9"/>
    <x v="23"/>
    <x v="4"/>
    <x v="2"/>
    <n v="1"/>
    <n v="2E+20"/>
    <n v="1"/>
    <n v="1"/>
    <n v="1"/>
    <n v="0"/>
    <s v="Unnamed Projectregistro1Number ScheduledResource"/>
    <n v="10"/>
    <n v="1"/>
    <n v="0"/>
    <n v="0.95"/>
    <n v="0"/>
    <n v="1"/>
    <n v="1"/>
    <n v="0"/>
  </r>
  <r>
    <x v="0"/>
    <s v="2023-05-15 11:51:53"/>
    <n v="9"/>
    <x v="24"/>
    <x v="2"/>
    <x v="2"/>
    <n v="0.41357084506186798"/>
    <n v="2E+20"/>
    <n v="0"/>
    <n v="1"/>
    <n v="0"/>
    <n v="0"/>
    <s v="Unnamed Projectregistro2Instantaneous UtilizationResource"/>
    <n v="10"/>
    <n v="0.46274808587050231"/>
    <n v="9.1165192054027525E-2"/>
    <n v="0.95"/>
    <n v="6.5215649719990554E-2"/>
    <n v="0.338210899349628"/>
    <n v="0.66990172486561195"/>
    <n v="6.5215649719990554E-2"/>
  </r>
  <r>
    <x v="0"/>
    <s v="2023-05-15 11:51:53"/>
    <n v="9"/>
    <x v="24"/>
    <x v="3"/>
    <x v="2"/>
    <n v="0.41357084506186798"/>
    <n v="2E+20"/>
    <n v="0"/>
    <n v="1"/>
    <n v="0"/>
    <n v="0"/>
    <s v="Unnamed Projectregistro2Number BusyResource"/>
    <n v="10"/>
    <n v="0.46274808587050231"/>
    <n v="9.1165192054027525E-2"/>
    <n v="0.95"/>
    <n v="6.5215649719990554E-2"/>
    <n v="0.338210899349628"/>
    <n v="0.66990172486561195"/>
    <n v="6.5215649719990554E-2"/>
  </r>
  <r>
    <x v="0"/>
    <s v="2023-05-15 11:51:53"/>
    <n v="9"/>
    <x v="24"/>
    <x v="4"/>
    <x v="2"/>
    <n v="1"/>
    <n v="2E+20"/>
    <n v="1"/>
    <n v="1"/>
    <n v="1"/>
    <n v="0"/>
    <s v="Unnamed Projectregistro2Number ScheduledResource"/>
    <n v="10"/>
    <n v="1"/>
    <n v="0"/>
    <n v="0.95"/>
    <n v="0"/>
    <n v="1"/>
    <n v="1"/>
    <n v="0"/>
  </r>
  <r>
    <x v="0"/>
    <s v="2023-05-15 11:51:53"/>
    <n v="10"/>
    <x v="0"/>
    <x v="0"/>
    <x v="0"/>
    <n v="6.7958865134916803E-4"/>
    <n v="2E+20"/>
    <n v="0"/>
    <n v="1"/>
    <n v="0"/>
    <n v="0"/>
    <s v="Unnamed ProjectCargar Avion.QueueNumber WaitingQueue"/>
    <n v="10"/>
    <n v="4.3234278073230802E-4"/>
    <n v="8.6650685478403973E-4"/>
    <n v="0.95"/>
    <n v="6.1986166264068276E-4"/>
    <n v="0"/>
    <n v="2.8294284227636502E-3"/>
    <n v="6.1986166264068276E-4"/>
  </r>
  <r>
    <x v="0"/>
    <s v="2023-05-15 11:51:53"/>
    <n v="10"/>
    <x v="1"/>
    <x v="1"/>
    <x v="1"/>
    <n v="1.6635577018983201"/>
    <n v="0.28789529178081003"/>
    <n v="0"/>
    <n v="10"/>
    <n v="1"/>
    <n v="0"/>
    <s v="Unnamed ProjectEntity 1WIPEntity"/>
    <n v="10"/>
    <n v="1.938691833558875"/>
    <n v="0.24426972485872975"/>
    <n v="0.95"/>
    <n v="0.17474003459724646"/>
    <n v="1.6635577018983201"/>
    <n v="2.3099874805957801"/>
    <n v="0.17474003459724646"/>
  </r>
  <r>
    <x v="0"/>
    <s v="2023-05-15 11:51:53"/>
    <n v="10"/>
    <x v="2"/>
    <x v="2"/>
    <x v="2"/>
    <n v="0.26104277592172598"/>
    <n v="2E+20"/>
    <n v="0"/>
    <n v="1"/>
    <n v="1"/>
    <n v="0"/>
    <s v="Unnamed ProjectInterautoInstantaneous UtilizationResource"/>
    <n v="10"/>
    <n v="0.26535205929836458"/>
    <n v="2.5807993647623796E-2"/>
    <n v="0.95"/>
    <n v="1.8461926485074727E-2"/>
    <n v="0.20483176768320299"/>
    <n v="0.29552077299252399"/>
    <n v="1.8461926485074727E-2"/>
  </r>
  <r>
    <x v="0"/>
    <s v="2023-05-15 11:51:53"/>
    <n v="10"/>
    <x v="2"/>
    <x v="3"/>
    <x v="2"/>
    <n v="0.26104277592172598"/>
    <n v="2E+20"/>
    <n v="0"/>
    <n v="1"/>
    <n v="1"/>
    <n v="0"/>
    <s v="Unnamed ProjectInterautoNumber BusyResource"/>
    <n v="10"/>
    <n v="0.26535205929836458"/>
    <n v="2.5807993647623796E-2"/>
    <n v="0.95"/>
    <n v="1.8461926485074727E-2"/>
    <n v="0.20483176768320299"/>
    <n v="0.29552077299252399"/>
    <n v="1.8461926485074727E-2"/>
  </r>
  <r>
    <x v="0"/>
    <s v="2023-05-15 11:51:53"/>
    <n v="10"/>
    <x v="2"/>
    <x v="4"/>
    <x v="2"/>
    <n v="1"/>
    <n v="2E+20"/>
    <n v="1"/>
    <n v="1"/>
    <n v="1"/>
    <n v="0"/>
    <s v="Unnamed ProjectInterautoNumber ScheduledResource"/>
    <n v="10"/>
    <n v="1"/>
    <n v="0"/>
    <n v="0.95"/>
    <n v="0"/>
    <n v="1"/>
    <n v="1"/>
    <n v="0"/>
  </r>
  <r>
    <x v="0"/>
    <s v="2023-05-15 11:51:53"/>
    <n v="10"/>
    <x v="3"/>
    <x v="0"/>
    <x v="0"/>
    <n v="0.185264900654593"/>
    <n v="4.6611758568934299E-2"/>
    <n v="0"/>
    <n v="6"/>
    <n v="0"/>
    <n v="0"/>
    <s v="Unnamed ProjectLeave 1.QueueNumber WaitingQueue"/>
    <n v="10"/>
    <n v="0.20353568461890376"/>
    <n v="2.6549184575613477E-2"/>
    <n v="0.95"/>
    <n v="1.899214253405495E-2"/>
    <n v="0.168502364443611"/>
    <n v="0.24578450490959"/>
    <n v="1.899214253405495E-2"/>
  </r>
  <r>
    <x v="0"/>
    <s v="2023-05-15 11:51:53"/>
    <n v="10"/>
    <x v="4"/>
    <x v="0"/>
    <x v="0"/>
    <n v="4.2658410491484399E-3"/>
    <n v="2E+20"/>
    <n v="0"/>
    <n v="1"/>
    <n v="0"/>
    <n v="0"/>
    <s v="Unnamed ProjectLeave 4.QueueNumber WaitingQueue"/>
    <n v="10"/>
    <n v="4.8729672989697272E-3"/>
    <n v="9.2135939256816457E-4"/>
    <n v="0.95"/>
    <n v="6.5910080435457321E-4"/>
    <n v="3.2012309459038099E-3"/>
    <n v="6.0338305270789001E-3"/>
    <n v="6.5910080435457321E-4"/>
  </r>
  <r>
    <x v="0"/>
    <s v="2023-05-15 11:51:53"/>
    <n v="10"/>
    <x v="5"/>
    <x v="0"/>
    <x v="0"/>
    <n v="4.2174465354453398E-2"/>
    <n v="1.07200397945139E-2"/>
    <n v="0"/>
    <n v="3"/>
    <n v="0"/>
    <n v="0"/>
    <s v="Unnamed ProjectLeave 5.QueueNumber WaitingQueue"/>
    <n v="10"/>
    <n v="4.8788152574119628E-2"/>
    <n v="5.3039270336942244E-3"/>
    <n v="0.95"/>
    <n v="3.7942008323176655E-3"/>
    <n v="4.1058101580258903E-2"/>
    <n v="5.6386723112129902E-2"/>
    <n v="3.7942008323176655E-3"/>
  </r>
  <r>
    <x v="0"/>
    <s v="2023-05-15 11:51:53"/>
    <n v="10"/>
    <x v="6"/>
    <x v="0"/>
    <x v="0"/>
    <n v="3.4790185004423598E-3"/>
    <n v="2E+20"/>
    <n v="0"/>
    <n v="1"/>
    <n v="0"/>
    <n v="0"/>
    <s v="Unnamed ProjectLeave 6.QueueNumber WaitingQueue"/>
    <n v="10"/>
    <n v="3.227619592382791E-3"/>
    <n v="1.5087685522347895E-3"/>
    <n v="0.95"/>
    <n v="1.0793080033525183E-3"/>
    <n v="4.7201486102630699E-4"/>
    <n v="6.2452549613019898E-3"/>
    <n v="1.0793080033525183E-3"/>
  </r>
  <r>
    <x v="0"/>
    <s v="2023-05-15 11:51:53"/>
    <n v="10"/>
    <x v="7"/>
    <x v="0"/>
    <x v="0"/>
    <n v="4.5386728660866099E-2"/>
    <n v="2E+20"/>
    <n v="0"/>
    <n v="2"/>
    <n v="0"/>
    <n v="0"/>
    <s v="Unnamed ProjectLeave 7.QueueNumber WaitingQueue"/>
    <n v="10"/>
    <n v="5.9441954240945373E-2"/>
    <n v="1.1519407308393107E-2"/>
    <n v="0.95"/>
    <n v="8.2404875707479553E-3"/>
    <n v="4.5386728660866099E-2"/>
    <n v="7.8633362228088005E-2"/>
    <n v="8.2404875707479553E-3"/>
  </r>
  <r>
    <x v="0"/>
    <s v="2023-05-15 11:51:53"/>
    <n v="10"/>
    <x v="8"/>
    <x v="0"/>
    <x v="0"/>
    <n v="2.04686124595464E-3"/>
    <n v="2E+20"/>
    <n v="0"/>
    <n v="1"/>
    <n v="0"/>
    <n v="0"/>
    <s v="Unnamed ProjectLeave 8.QueueNumber WaitingQueue"/>
    <n v="10"/>
    <n v="2.1217771776478596E-3"/>
    <n v="8.0254950645480523E-4"/>
    <n v="0.95"/>
    <n v="5.7410933182579346E-4"/>
    <n v="9.0451064743319795E-4"/>
    <n v="3.5490296241417699E-3"/>
    <n v="5.7410933182579346E-4"/>
  </r>
  <r>
    <x v="0"/>
    <s v="2023-05-15 11:51:53"/>
    <n v="10"/>
    <x v="9"/>
    <x v="0"/>
    <x v="0"/>
    <n v="1.17887270618562E-3"/>
    <n v="2E+20"/>
    <n v="0"/>
    <n v="1"/>
    <n v="0"/>
    <n v="0"/>
    <s v="Unnamed ProjectLeave 9.QueueNumber WaitingQueue"/>
    <n v="10"/>
    <n v="1.3877246767065991E-3"/>
    <n v="7.1875981577935533E-4"/>
    <n v="0.95"/>
    <n v="5.1416979795196457E-4"/>
    <n v="2.8555279956142001E-4"/>
    <n v="2.50186012594582E-3"/>
    <n v="5.1416979795196457E-4"/>
  </r>
  <r>
    <x v="0"/>
    <s v="2023-05-15 11:51:53"/>
    <n v="10"/>
    <x v="10"/>
    <x v="1"/>
    <x v="1"/>
    <n v="10.277307754823401"/>
    <n v="3E+20"/>
    <n v="0"/>
    <n v="22"/>
    <n v="8"/>
    <n v="0"/>
    <s v="Unnamed ProjectMaleta InternacionalWIPEntity"/>
    <n v="10"/>
    <n v="13.037689788098451"/>
    <n v="1.9631643885071912"/>
    <n v="0.95"/>
    <n v="1.4043632028742961"/>
    <n v="10.277307754823401"/>
    <n v="16.425571484417201"/>
    <n v="1.4043632028742961"/>
  </r>
  <r>
    <x v="0"/>
    <s v="2023-05-15 11:51:53"/>
    <n v="10"/>
    <x v="11"/>
    <x v="1"/>
    <x v="1"/>
    <n v="2.6980519689464901"/>
    <n v="2E+20"/>
    <n v="0"/>
    <n v="16"/>
    <n v="14"/>
    <n v="0"/>
    <s v="Unnamed ProjectMaleta NacionalWIPEntity"/>
    <n v="10"/>
    <n v="2.7356580954557046"/>
    <n v="0.24675556542769644"/>
    <n v="0.95"/>
    <n v="0.17651829781539885"/>
    <n v="2.4605296674942401"/>
    <n v="3.2916533376655202"/>
    <n v="0.17651829781539885"/>
  </r>
  <r>
    <x v="0"/>
    <s v="2023-05-15 11:51:53"/>
    <n v="10"/>
    <x v="12"/>
    <x v="2"/>
    <x v="2"/>
    <n v="0.64995347349336796"/>
    <n v="2E+20"/>
    <n v="0"/>
    <n v="1"/>
    <n v="1"/>
    <n v="0"/>
    <s v="Unnamed ProjectNacionalautoInstantaneous UtilizationResource"/>
    <n v="10"/>
    <n v="0.73175058451933661"/>
    <n v="6.0813477412386734E-2"/>
    <n v="0.95"/>
    <n v="4.3503341043041877E-2"/>
    <n v="0.64995347349336796"/>
    <n v="0.82581624655093899"/>
    <n v="4.3503341043041877E-2"/>
  </r>
  <r>
    <x v="0"/>
    <s v="2023-05-15 11:51:53"/>
    <n v="10"/>
    <x v="12"/>
    <x v="3"/>
    <x v="2"/>
    <n v="0.64995347349336796"/>
    <n v="2E+20"/>
    <n v="0"/>
    <n v="1"/>
    <n v="1"/>
    <n v="0"/>
    <s v="Unnamed ProjectNacionalautoNumber BusyResource"/>
    <n v="10"/>
    <n v="0.73175058451933661"/>
    <n v="6.0813477412386734E-2"/>
    <n v="0.95"/>
    <n v="4.3503341043041877E-2"/>
    <n v="0.64995347349336796"/>
    <n v="0.82581624655093899"/>
    <n v="4.3503341043041877E-2"/>
  </r>
  <r>
    <x v="0"/>
    <s v="2023-05-15 11:51:53"/>
    <n v="10"/>
    <x v="12"/>
    <x v="4"/>
    <x v="2"/>
    <n v="1"/>
    <n v="2E+20"/>
    <n v="1"/>
    <n v="1"/>
    <n v="1"/>
    <n v="0"/>
    <s v="Unnamed ProjectNacionalautoNumber ScheduledResource"/>
    <n v="10"/>
    <n v="1"/>
    <n v="0"/>
    <n v="0.95"/>
    <n v="0"/>
    <n v="1"/>
    <n v="1"/>
    <n v="0"/>
  </r>
  <r>
    <x v="0"/>
    <s v="2023-05-15 11:51:53"/>
    <n v="10"/>
    <x v="13"/>
    <x v="2"/>
    <x v="2"/>
    <n v="7.5971292652192102E-2"/>
    <n v="1.4124100274325001E-2"/>
    <n v="0"/>
    <n v="1"/>
    <n v="0"/>
    <n v="0"/>
    <s v="Unnamed ProjectOperarios AvionInstantaneous UtilizationResource"/>
    <n v="10"/>
    <n v="7.5958437118625627E-2"/>
    <n v="5.0572810112240948E-3"/>
    <n v="0.95"/>
    <n v="3.6177608968134627E-3"/>
    <n v="6.7485948117393404E-2"/>
    <n v="8.7852447587946303E-2"/>
    <n v="3.6177608968134627E-3"/>
  </r>
  <r>
    <x v="0"/>
    <s v="2023-05-15 11:51:53"/>
    <n v="10"/>
    <x v="13"/>
    <x v="3"/>
    <x v="2"/>
    <n v="0.15194258530438401"/>
    <n v="2.8248200548650002E-2"/>
    <n v="0"/>
    <n v="2"/>
    <n v="0"/>
    <n v="0"/>
    <s v="Unnamed ProjectOperarios AvionNumber BusyResource"/>
    <n v="10"/>
    <n v="0.1519168742372512"/>
    <n v="1.0114562022448264E-2"/>
    <n v="0.95"/>
    <n v="7.2355217936269783E-3"/>
    <n v="0.134971896234787"/>
    <n v="0.17570489517589299"/>
    <n v="7.2355217936269783E-3"/>
  </r>
  <r>
    <x v="0"/>
    <s v="2023-05-15 11:51:53"/>
    <n v="10"/>
    <x v="13"/>
    <x v="4"/>
    <x v="2"/>
    <n v="2"/>
    <n v="2E+20"/>
    <n v="2"/>
    <n v="2"/>
    <n v="2"/>
    <n v="0"/>
    <s v="Unnamed ProjectOperarios AvionNumber ScheduledResource"/>
    <n v="10"/>
    <n v="2"/>
    <n v="0"/>
    <n v="0.95"/>
    <n v="0"/>
    <n v="2"/>
    <n v="2"/>
    <n v="0"/>
  </r>
  <r>
    <x v="0"/>
    <s v="2023-05-15 11:51:53"/>
    <n v="10"/>
    <x v="14"/>
    <x v="2"/>
    <x v="2"/>
    <n v="0.32138199738834899"/>
    <n v="2E+20"/>
    <n v="0"/>
    <n v="1"/>
    <n v="0"/>
    <n v="0"/>
    <s v="Unnamed ProjectcajeraInstantaneous UtilizationResource"/>
    <n v="10"/>
    <n v="0.38078385056341441"/>
    <n v="5.6481911326734656E-2"/>
    <n v="0.95"/>
    <n v="4.040472533000234E-2"/>
    <n v="0.28913636698845602"/>
    <n v="0.46134650546047301"/>
    <n v="4.040472533000234E-2"/>
  </r>
  <r>
    <x v="0"/>
    <s v="2023-05-15 11:51:53"/>
    <n v="10"/>
    <x v="14"/>
    <x v="3"/>
    <x v="2"/>
    <n v="0.32138199738834899"/>
    <n v="2E+20"/>
    <n v="0"/>
    <n v="1"/>
    <n v="0"/>
    <n v="0"/>
    <s v="Unnamed ProjectcajeraNumber BusyResource"/>
    <n v="10"/>
    <n v="0.38078385056341441"/>
    <n v="5.6481911326734656E-2"/>
    <n v="0.95"/>
    <n v="4.040472533000234E-2"/>
    <n v="0.28913636698845602"/>
    <n v="0.46134650546047301"/>
    <n v="4.040472533000234E-2"/>
  </r>
  <r>
    <x v="0"/>
    <s v="2023-05-15 11:51:53"/>
    <n v="10"/>
    <x v="14"/>
    <x v="4"/>
    <x v="2"/>
    <n v="1"/>
    <n v="2E+20"/>
    <n v="1"/>
    <n v="1"/>
    <n v="1"/>
    <n v="0"/>
    <s v="Unnamed ProjectcajeraNumber ScheduledResource"/>
    <n v="10"/>
    <n v="1"/>
    <n v="0"/>
    <n v="0.95"/>
    <n v="0"/>
    <n v="1"/>
    <n v="1"/>
    <n v="0"/>
  </r>
  <r>
    <x v="0"/>
    <s v="2023-05-15 11:51:53"/>
    <n v="10"/>
    <x v="15"/>
    <x v="2"/>
    <x v="2"/>
    <n v="0.72883194271818097"/>
    <n v="2E+20"/>
    <n v="0"/>
    <n v="1"/>
    <n v="1"/>
    <n v="0"/>
    <s v="Unnamed Projectcajera2Instantaneous UtilizationResource"/>
    <n v="10"/>
    <n v="0.73571117943508912"/>
    <n v="2.3945213257811505E-2"/>
    <n v="0.95"/>
    <n v="1.7129373668915777E-2"/>
    <n v="0.69752119636771104"/>
    <n v="0.77845968782647601"/>
    <n v="1.7129373668915777E-2"/>
  </r>
  <r>
    <x v="0"/>
    <s v="2023-05-15 11:51:53"/>
    <n v="10"/>
    <x v="15"/>
    <x v="3"/>
    <x v="2"/>
    <n v="0.72883194271818097"/>
    <n v="2E+20"/>
    <n v="0"/>
    <n v="1"/>
    <n v="1"/>
    <n v="0"/>
    <s v="Unnamed Projectcajera2Number BusyResource"/>
    <n v="10"/>
    <n v="0.73571117943508912"/>
    <n v="2.3945213257811505E-2"/>
    <n v="0.95"/>
    <n v="1.7129373668915777E-2"/>
    <n v="0.69752119636771104"/>
    <n v="0.77845968782647601"/>
    <n v="1.7129373668915777E-2"/>
  </r>
  <r>
    <x v="0"/>
    <s v="2023-05-15 11:51:53"/>
    <n v="10"/>
    <x v="15"/>
    <x v="4"/>
    <x v="2"/>
    <n v="1"/>
    <n v="2E+20"/>
    <n v="1"/>
    <n v="1"/>
    <n v="1"/>
    <n v="0"/>
    <s v="Unnamed Projectcajera2Number ScheduledResource"/>
    <n v="10"/>
    <n v="1"/>
    <n v="0"/>
    <n v="0.95"/>
    <n v="0"/>
    <n v="1"/>
    <n v="1"/>
    <n v="0"/>
  </r>
  <r>
    <x v="0"/>
    <s v="2023-05-15 11:51:53"/>
    <n v="10"/>
    <x v="16"/>
    <x v="0"/>
    <x v="0"/>
    <n v="0.16683101973501499"/>
    <n v="2E+20"/>
    <n v="0"/>
    <n v="2"/>
    <n v="0"/>
    <n v="0"/>
    <s v="Unnamed Projectmanualinter.QueueNumber WaitingQueue"/>
    <n v="10"/>
    <n v="0.33257710094571935"/>
    <n v="0.27159595138606457"/>
    <n v="0.95"/>
    <n v="0.19428803945769421"/>
    <n v="4.88437833500961E-2"/>
    <n v="0.95917715937716497"/>
    <n v="0.19428803945769421"/>
  </r>
  <r>
    <x v="0"/>
    <s v="2023-05-15 11:51:53"/>
    <n v="10"/>
    <x v="17"/>
    <x v="0"/>
    <x v="0"/>
    <n v="0"/>
    <n v="2E+20"/>
    <n v="0"/>
    <n v="0"/>
    <n v="0"/>
    <n v="0"/>
    <s v="Unnamed Projectmanualnaciona.QueueNumber WaitingQueue"/>
    <n v="10"/>
    <n v="2.2437109622866062E-3"/>
    <n v="6.4095428429067599E-3"/>
    <n v="0.95"/>
    <n v="4.5851107367881972E-3"/>
    <n v="0"/>
    <n v="2.0447096127880302E-2"/>
    <n v="4.5851107367881972E-3"/>
  </r>
  <r>
    <x v="0"/>
    <s v="2023-05-15 11:51:53"/>
    <n v="10"/>
    <x v="18"/>
    <x v="0"/>
    <x v="0"/>
    <n v="1.35760259855807"/>
    <n v="2E+20"/>
    <n v="0"/>
    <n v="9"/>
    <n v="5"/>
    <n v="0"/>
    <s v="Unnamed Projectmaquinainter.QueueNumber WaitingQueue"/>
    <n v="10"/>
    <n v="2.7250893633296323"/>
    <n v="1.2704307292922721"/>
    <n v="0.95"/>
    <n v="0.90881139575657477"/>
    <n v="1.35760259855807"/>
    <n v="5.2621649076821404"/>
    <n v="0.90881139575657477"/>
  </r>
  <r>
    <x v="0"/>
    <s v="2023-05-15 11:51:53"/>
    <n v="10"/>
    <x v="19"/>
    <x v="0"/>
    <x v="0"/>
    <n v="0.23611949664423401"/>
    <n v="2E+20"/>
    <n v="0"/>
    <n v="7"/>
    <n v="6"/>
    <n v="0"/>
    <s v="Unnamed Projectmaquinanacional.QueueNumber WaitingQueue"/>
    <n v="10"/>
    <n v="0.20327393268399513"/>
    <n v="5.4678802003311266E-2"/>
    <n v="0.95"/>
    <n v="3.9114858623271326E-2"/>
    <n v="9.7152989948067606E-2"/>
    <n v="0.28694483715654301"/>
    <n v="3.9114858623271326E-2"/>
  </r>
  <r>
    <x v="0"/>
    <s v="2023-05-15 11:51:53"/>
    <n v="10"/>
    <x v="20"/>
    <x v="0"/>
    <x v="0"/>
    <n v="0.15208547828244101"/>
    <n v="2E+20"/>
    <n v="0"/>
    <n v="3"/>
    <n v="0"/>
    <n v="0"/>
    <s v="Unnamed Projectmostrador1.QueueNumber WaitingQueue"/>
    <n v="10"/>
    <n v="0.25365601436241814"/>
    <n v="9.7306237195948719E-2"/>
    <n v="0.95"/>
    <n v="6.9608688772141478E-2"/>
    <n v="0.124078487063659"/>
    <n v="0.381680898629085"/>
    <n v="6.9608688772141478E-2"/>
  </r>
  <r>
    <x v="0"/>
    <s v="2023-05-15 11:51:53"/>
    <n v="10"/>
    <x v="21"/>
    <x v="0"/>
    <x v="0"/>
    <n v="0.461258283509344"/>
    <n v="2E+20"/>
    <n v="0"/>
    <n v="4"/>
    <n v="0"/>
    <n v="0"/>
    <s v="Unnamed Projectmostrador2.QueueNumber WaitingQueue"/>
    <n v="10"/>
    <n v="0.56854078919795403"/>
    <n v="9.5876381195630939E-2"/>
    <n v="0.95"/>
    <n v="6.8585831407770567E-2"/>
    <n v="0.461258283509344"/>
    <n v="0.74281217456090598"/>
    <n v="6.8585831407770567E-2"/>
  </r>
  <r>
    <x v="0"/>
    <s v="2023-05-15 11:51:53"/>
    <n v="10"/>
    <x v="22"/>
    <x v="1"/>
    <x v="1"/>
    <n v="0"/>
    <n v="2E+20"/>
    <n v="0"/>
    <n v="0"/>
    <n v="0"/>
    <n v="0"/>
    <s v="Unnamed ProjectpersonaWIPEntity"/>
    <n v="10"/>
    <n v="0"/>
    <n v="0"/>
    <n v="0.95"/>
    <n v="0"/>
    <n v="0"/>
    <n v="0"/>
    <n v="0"/>
  </r>
  <r>
    <x v="0"/>
    <s v="2023-05-15 11:51:53"/>
    <n v="10"/>
    <x v="23"/>
    <x v="2"/>
    <x v="2"/>
    <n v="3.4559803197651798E-2"/>
    <n v="2E+20"/>
    <n v="0"/>
    <n v="1"/>
    <n v="1"/>
    <n v="0"/>
    <s v="Unnamed Projectregistro1Instantaneous UtilizationResource"/>
    <n v="10"/>
    <n v="5.6433247648491516E-2"/>
    <n v="2.4456082934732001E-2"/>
    <n v="0.95"/>
    <n v="1.7494827820351853E-2"/>
    <n v="2.1279401430778E-2"/>
    <n v="8.8472374570180701E-2"/>
    <n v="1.7494827820351853E-2"/>
  </r>
  <r>
    <x v="0"/>
    <s v="2023-05-15 11:51:53"/>
    <n v="10"/>
    <x v="23"/>
    <x v="3"/>
    <x v="2"/>
    <n v="3.4559803197651798E-2"/>
    <n v="2E+20"/>
    <n v="0"/>
    <n v="1"/>
    <n v="1"/>
    <n v="0"/>
    <s v="Unnamed Projectregistro1Number BusyResource"/>
    <n v="10"/>
    <n v="5.6433247648491516E-2"/>
    <n v="2.4456082934732001E-2"/>
    <n v="0.95"/>
    <n v="1.7494827820351853E-2"/>
    <n v="2.1279401430778E-2"/>
    <n v="8.8472374570180701E-2"/>
    <n v="1.7494827820351853E-2"/>
  </r>
  <r>
    <x v="0"/>
    <s v="2023-05-15 11:51:53"/>
    <n v="10"/>
    <x v="23"/>
    <x v="4"/>
    <x v="2"/>
    <n v="1"/>
    <n v="2E+20"/>
    <n v="1"/>
    <n v="1"/>
    <n v="1"/>
    <n v="0"/>
    <s v="Unnamed Projectregistro1Number ScheduledResource"/>
    <n v="10"/>
    <n v="1"/>
    <n v="0"/>
    <n v="0.95"/>
    <n v="0"/>
    <n v="1"/>
    <n v="1"/>
    <n v="0"/>
  </r>
  <r>
    <x v="0"/>
    <s v="2023-05-15 11:51:53"/>
    <n v="10"/>
    <x v="24"/>
    <x v="2"/>
    <x v="2"/>
    <n v="0.44616177968798199"/>
    <n v="2E+20"/>
    <n v="0"/>
    <n v="1"/>
    <n v="0"/>
    <n v="0"/>
    <s v="Unnamed Projectregistro2Instantaneous UtilizationResource"/>
    <n v="10"/>
    <n v="0.46274808587050231"/>
    <n v="9.1165192054027525E-2"/>
    <n v="0.95"/>
    <n v="6.5215649719990554E-2"/>
    <n v="0.338210899349628"/>
    <n v="0.66990172486561195"/>
    <n v="6.5215649719990554E-2"/>
  </r>
  <r>
    <x v="0"/>
    <s v="2023-05-15 11:51:53"/>
    <n v="10"/>
    <x v="24"/>
    <x v="3"/>
    <x v="2"/>
    <n v="0.44616177968798199"/>
    <n v="2E+20"/>
    <n v="0"/>
    <n v="1"/>
    <n v="0"/>
    <n v="0"/>
    <s v="Unnamed Projectregistro2Number BusyResource"/>
    <n v="10"/>
    <n v="0.46274808587050231"/>
    <n v="9.1165192054027525E-2"/>
    <n v="0.95"/>
    <n v="6.5215649719990554E-2"/>
    <n v="0.338210899349628"/>
    <n v="0.66990172486561195"/>
    <n v="6.5215649719990554E-2"/>
  </r>
  <r>
    <x v="0"/>
    <s v="2023-05-15 11:51:53"/>
    <n v="10"/>
    <x v="24"/>
    <x v="4"/>
    <x v="2"/>
    <n v="1"/>
    <n v="2E+20"/>
    <n v="1"/>
    <n v="1"/>
    <n v="1"/>
    <n v="0"/>
    <s v="Unnamed Projectregistro2Number ScheduledResource"/>
    <n v="10"/>
    <n v="1"/>
    <n v="0"/>
    <n v="0.95"/>
    <n v="0"/>
    <n v="1"/>
    <n v="1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0">
  <r>
    <x v="0"/>
    <s v="2023-05-15 11:51:53"/>
    <n v="1"/>
    <x v="0"/>
    <x v="0"/>
    <x v="0"/>
    <n v="4.8253837301046498E-4"/>
    <n v="7.6523086178291704E-4"/>
    <n v="0"/>
    <n v="0.12799048806215299"/>
    <n v="372"/>
    <s v="Unnamed ProjectCargar Avion.QueueWaiting TimeQueue"/>
    <n v="10"/>
    <n v="6.6069120213030613E-4"/>
    <n v="1.2542789163112584E-3"/>
    <n v="0.95"/>
    <n v="8.9725708479665997E-4"/>
    <n v="0"/>
    <n v="4.0809063789860297E-3"/>
    <n v="0"/>
    <n v="0.51873880735769295"/>
    <n v="368.6"/>
    <n v="8.9725708479665997E-4"/>
    <n v="10"/>
    <n v="1"/>
  </r>
  <r>
    <x v="0"/>
    <s v="2023-05-15 11:51:53"/>
    <n v="2"/>
    <x v="0"/>
    <x v="0"/>
    <x v="0"/>
    <n v="2.4283992458387201E-4"/>
    <n v="5.0957934507887305E-4"/>
    <n v="0"/>
    <n v="8.2079894509348605E-2"/>
    <n v="338"/>
    <s v="Unnamed ProjectCargar Avion.QueueWaiting TimeQueue"/>
    <n v="10"/>
    <n v="6.6069120213030613E-4"/>
    <n v="1.2542789163112584E-3"/>
    <n v="0.95"/>
    <n v="8.9725708479665997E-4"/>
    <n v="0"/>
    <n v="4.0809063789860297E-3"/>
    <n v="0"/>
    <n v="0.51873880735769295"/>
    <n v="368.6"/>
    <n v="8.9725708479665997E-4"/>
    <n v="10"/>
    <n v="1"/>
  </r>
  <r>
    <x v="0"/>
    <s v="2023-05-15 11:51:53"/>
    <n v="3"/>
    <x v="0"/>
    <x v="0"/>
    <x v="0"/>
    <n v="0"/>
    <n v="0"/>
    <n v="0"/>
    <n v="0"/>
    <n v="357"/>
    <s v="Unnamed ProjectCargar Avion.QueueWaiting TimeQueue"/>
    <n v="10"/>
    <n v="6.6069120213030613E-4"/>
    <n v="1.2542789163112584E-3"/>
    <n v="0.95"/>
    <n v="8.9725708479665997E-4"/>
    <n v="0"/>
    <n v="4.0809063789860297E-3"/>
    <n v="0"/>
    <n v="0.51873880735769295"/>
    <n v="368.6"/>
    <n v="8.9725708479665997E-4"/>
    <n v="10"/>
    <n v="1"/>
  </r>
  <r>
    <x v="0"/>
    <s v="2023-05-15 11:51:53"/>
    <n v="4"/>
    <x v="0"/>
    <x v="0"/>
    <x v="0"/>
    <n v="1.9168606794573101E-4"/>
    <n v="4.0692655985522999E-4"/>
    <n v="0"/>
    <n v="7.5524310770617803E-2"/>
    <n v="394"/>
    <s v="Unnamed ProjectCargar Avion.QueueWaiting TimeQueue"/>
    <n v="10"/>
    <n v="6.6069120213030613E-4"/>
    <n v="1.2542789163112584E-3"/>
    <n v="0.95"/>
    <n v="8.9725708479665997E-4"/>
    <n v="0"/>
    <n v="4.0809063789860297E-3"/>
    <n v="0"/>
    <n v="0.51873880735769295"/>
    <n v="368.6"/>
    <n v="8.9725708479665997E-4"/>
    <n v="10"/>
    <n v="1"/>
  </r>
  <r>
    <x v="0"/>
    <s v="2023-05-15 11:51:53"/>
    <n v="5"/>
    <x v="0"/>
    <x v="0"/>
    <x v="0"/>
    <n v="0"/>
    <n v="0"/>
    <n v="0"/>
    <n v="0"/>
    <n v="393"/>
    <s v="Unnamed ProjectCargar Avion.QueueWaiting TimeQueue"/>
    <n v="10"/>
    <n v="6.6069120213030613E-4"/>
    <n v="1.2542789163112584E-3"/>
    <n v="0.95"/>
    <n v="8.9725708479665997E-4"/>
    <n v="0"/>
    <n v="4.0809063789860297E-3"/>
    <n v="0"/>
    <n v="0.51873880735769295"/>
    <n v="368.6"/>
    <n v="8.9725708479665997E-4"/>
    <n v="10"/>
    <n v="1"/>
  </r>
  <r>
    <x v="0"/>
    <s v="2023-05-15 11:51:53"/>
    <n v="6"/>
    <x v="0"/>
    <x v="0"/>
    <x v="0"/>
    <n v="2.5302005833639102E-4"/>
    <n v="3.8147514718514801E-4"/>
    <n v="0"/>
    <n v="6.8573255810520095E-2"/>
    <n v="395"/>
    <s v="Unnamed ProjectCargar Avion.QueueWaiting TimeQueue"/>
    <n v="10"/>
    <n v="6.6069120213030613E-4"/>
    <n v="1.2542789163112584E-3"/>
    <n v="0.95"/>
    <n v="8.9725708479665997E-4"/>
    <n v="0"/>
    <n v="4.0809063789860297E-3"/>
    <n v="0"/>
    <n v="0.51873880735769295"/>
    <n v="368.6"/>
    <n v="8.9725708479665997E-4"/>
    <n v="10"/>
    <n v="1"/>
  </r>
  <r>
    <x v="0"/>
    <s v="2023-05-15 11:51:53"/>
    <n v="7"/>
    <x v="0"/>
    <x v="0"/>
    <x v="0"/>
    <n v="0"/>
    <n v="0"/>
    <n v="0"/>
    <n v="0"/>
    <n v="338"/>
    <s v="Unnamed ProjectCargar Avion.QueueWaiting TimeQueue"/>
    <n v="10"/>
    <n v="6.6069120213030613E-4"/>
    <n v="1.2542789163112584E-3"/>
    <n v="0.95"/>
    <n v="8.9725708479665997E-4"/>
    <n v="0"/>
    <n v="4.0809063789860297E-3"/>
    <n v="0"/>
    <n v="0.51873880735769295"/>
    <n v="368.6"/>
    <n v="8.9725708479665997E-4"/>
    <n v="10"/>
    <n v="1"/>
  </r>
  <r>
    <x v="0"/>
    <s v="2023-05-15 11:51:53"/>
    <n v="8"/>
    <x v="0"/>
    <x v="0"/>
    <x v="0"/>
    <n v="1.4955083143021201E-4"/>
    <n v="2.0569560009962699E-4"/>
    <n v="0"/>
    <n v="3.0956456239437099E-2"/>
    <n v="345"/>
    <s v="Unnamed ProjectCargar Avion.QueueWaiting TimeQueue"/>
    <n v="10"/>
    <n v="6.6069120213030613E-4"/>
    <n v="1.2542789163112584E-3"/>
    <n v="0.95"/>
    <n v="8.9725708479665997E-4"/>
    <n v="0"/>
    <n v="4.0809063789860297E-3"/>
    <n v="0"/>
    <n v="0.51873880735769295"/>
    <n v="368.6"/>
    <n v="8.9725708479665997E-4"/>
    <n v="10"/>
    <n v="1"/>
  </r>
  <r>
    <x v="0"/>
    <s v="2023-05-15 11:51:53"/>
    <n v="9"/>
    <x v="0"/>
    <x v="0"/>
    <x v="0"/>
    <n v="4.0809063789860297E-3"/>
    <n v="8.23935245225761E-3"/>
    <n v="0"/>
    <n v="0.51873880735769295"/>
    <n v="416"/>
    <s v="Unnamed ProjectCargar Avion.QueueWaiting TimeQueue"/>
    <n v="10"/>
    <n v="6.6069120213030613E-4"/>
    <n v="1.2542789163112584E-3"/>
    <n v="0.95"/>
    <n v="8.9725708479665997E-4"/>
    <n v="0"/>
    <n v="4.0809063789860297E-3"/>
    <n v="0"/>
    <n v="0.51873880735769295"/>
    <n v="368.6"/>
    <n v="8.9725708479665997E-4"/>
    <n v="10"/>
    <n v="1"/>
  </r>
  <r>
    <x v="0"/>
    <s v="2023-05-15 11:51:53"/>
    <n v="10"/>
    <x v="0"/>
    <x v="0"/>
    <x v="0"/>
    <n v="1.20637038701036E-3"/>
    <n v="2.5314677262756502E-3"/>
    <n v="0"/>
    <n v="0.40775319080950101"/>
    <n v="338"/>
    <s v="Unnamed ProjectCargar Avion.QueueWaiting TimeQueue"/>
    <n v="10"/>
    <n v="6.6069120213030613E-4"/>
    <n v="1.2542789163112584E-3"/>
    <n v="0.95"/>
    <n v="8.9725708479665997E-4"/>
    <n v="0"/>
    <n v="4.0809063789860297E-3"/>
    <n v="0"/>
    <n v="0.51873880735769295"/>
    <n v="368.6"/>
    <n v="8.9725708479665997E-4"/>
    <n v="10"/>
    <n v="1"/>
  </r>
  <r>
    <x v="0"/>
    <s v="2023-05-15 11:51:53"/>
    <n v="1"/>
    <x v="1"/>
    <x v="1"/>
    <x v="1"/>
    <n v="0"/>
    <n v="2E+20"/>
    <n v="0"/>
    <n v="0"/>
    <n v="271"/>
    <s v="Unnamed ProjectEntity 1NVA TimeEntity"/>
    <n v="10"/>
    <n v="0"/>
    <n v="0"/>
    <n v="0.95"/>
    <n v="0"/>
    <n v="0"/>
    <n v="0"/>
    <n v="0"/>
    <n v="0"/>
    <n v="269.39999999999998"/>
    <n v="0"/>
    <n v="10"/>
    <n v="1"/>
  </r>
  <r>
    <x v="0"/>
    <s v="2023-05-15 11:51:53"/>
    <n v="1"/>
    <x v="1"/>
    <x v="2"/>
    <x v="1"/>
    <n v="0"/>
    <n v="2E+20"/>
    <n v="0"/>
    <n v="0"/>
    <n v="271"/>
    <s v="Unnamed ProjectEntity 1Other TimeEntity"/>
    <n v="10"/>
    <n v="0"/>
    <n v="0"/>
    <n v="0.95"/>
    <n v="0"/>
    <n v="0"/>
    <n v="0"/>
    <n v="0"/>
    <n v="0"/>
    <n v="269.39999999999998"/>
    <n v="0"/>
    <n v="10"/>
    <n v="1"/>
  </r>
  <r>
    <x v="0"/>
    <s v="2023-05-15 11:51:53"/>
    <n v="1"/>
    <x v="1"/>
    <x v="3"/>
    <x v="1"/>
    <n v="3.68321155667787"/>
    <n v="2E+20"/>
    <n v="2.0031528840149799E-3"/>
    <n v="22.079240132563701"/>
    <n v="271"/>
    <s v="Unnamed ProjectEntity 1Total TimeEntity"/>
    <n v="10"/>
    <n v="4.2506265349951864"/>
    <n v="0.33522271329790426"/>
    <n v="0.95"/>
    <n v="0.23980388299587996"/>
    <n v="3.68321155667787"/>
    <n v="4.7905634672515101"/>
    <n v="9.2046050770022703E-4"/>
    <n v="29.442824674908099"/>
    <n v="269.39999999999998"/>
    <n v="0.23980388299587996"/>
    <n v="10"/>
    <n v="1"/>
  </r>
  <r>
    <x v="0"/>
    <s v="2023-05-15 11:51:53"/>
    <n v="1"/>
    <x v="1"/>
    <x v="4"/>
    <x v="1"/>
    <n v="0"/>
    <n v="2E+20"/>
    <n v="0"/>
    <n v="0"/>
    <n v="271"/>
    <s v="Unnamed ProjectEntity 1Transfer TimeEntity"/>
    <n v="10"/>
    <n v="0"/>
    <n v="0"/>
    <n v="0.95"/>
    <n v="0"/>
    <n v="0"/>
    <n v="0"/>
    <n v="0"/>
    <n v="0"/>
    <n v="269.39999999999998"/>
    <n v="0"/>
    <n v="10"/>
    <n v="1"/>
  </r>
  <r>
    <x v="0"/>
    <s v="2023-05-15 11:51:53"/>
    <n v="1"/>
    <x v="1"/>
    <x v="5"/>
    <x v="1"/>
    <n v="2.3277411765877201"/>
    <n v="2E+20"/>
    <n v="2.0031528840149799E-3"/>
    <n v="18.295372957231599"/>
    <n v="271"/>
    <s v="Unnamed ProjectEntity 1VA TimeEntity"/>
    <n v="10"/>
    <n v="2.4755245358865192"/>
    <n v="7.2660839626707885E-2"/>
    <n v="0.95"/>
    <n v="5.1978433420592413E-2"/>
    <n v="2.3277411765877201"/>
    <n v="2.5948904259568901"/>
    <n v="9.2046050770022703E-4"/>
    <n v="25.940347636007399"/>
    <n v="269.39999999999998"/>
    <n v="5.1978433420592413E-2"/>
    <n v="10"/>
    <n v="1"/>
  </r>
  <r>
    <x v="0"/>
    <s v="2023-05-15 11:51:53"/>
    <n v="1"/>
    <x v="1"/>
    <x v="6"/>
    <x v="1"/>
    <n v="1.35547038009015"/>
    <n v="2E+20"/>
    <n v="0"/>
    <n v="16.669499567158699"/>
    <n v="271"/>
    <s v="Unnamed ProjectEntity 1Wait TimeEntity"/>
    <n v="10"/>
    <n v="1.7751019991086672"/>
    <n v="0.32227846271676236"/>
    <n v="0.95"/>
    <n v="0.23054412395004534"/>
    <n v="1.3209394716032301"/>
    <n v="2.3332172655150498"/>
    <n v="0"/>
    <n v="21.652390393913599"/>
    <n v="269.39999999999998"/>
    <n v="0.23054412395004534"/>
    <n v="10"/>
    <n v="1"/>
  </r>
  <r>
    <x v="0"/>
    <s v="2023-05-15 11:51:53"/>
    <n v="2"/>
    <x v="1"/>
    <x v="1"/>
    <x v="1"/>
    <n v="0"/>
    <n v="2E+20"/>
    <n v="0"/>
    <n v="0"/>
    <n v="253"/>
    <s v="Unnamed ProjectEntity 1NVA TimeEntity"/>
    <n v="10"/>
    <n v="0"/>
    <n v="0"/>
    <n v="0.95"/>
    <n v="0"/>
    <n v="0"/>
    <n v="0"/>
    <n v="0"/>
    <n v="0"/>
    <n v="269.39999999999998"/>
    <n v="0"/>
    <n v="10"/>
    <n v="1"/>
  </r>
  <r>
    <x v="0"/>
    <s v="2023-05-15 11:51:53"/>
    <n v="2"/>
    <x v="1"/>
    <x v="2"/>
    <x v="1"/>
    <n v="0"/>
    <n v="2E+20"/>
    <n v="0"/>
    <n v="0"/>
    <n v="253"/>
    <s v="Unnamed ProjectEntity 1Other TimeEntity"/>
    <n v="10"/>
    <n v="0"/>
    <n v="0"/>
    <n v="0.95"/>
    <n v="0"/>
    <n v="0"/>
    <n v="0"/>
    <n v="0"/>
    <n v="0"/>
    <n v="269.39999999999998"/>
    <n v="0"/>
    <n v="10"/>
    <n v="1"/>
  </r>
  <r>
    <x v="0"/>
    <s v="2023-05-15 11:51:53"/>
    <n v="2"/>
    <x v="1"/>
    <x v="3"/>
    <x v="1"/>
    <n v="4.41177171560002"/>
    <n v="2E+20"/>
    <n v="8.2142189129342597E-2"/>
    <n v="20.873316723158599"/>
    <n v="253"/>
    <s v="Unnamed ProjectEntity 1Total TimeEntity"/>
    <n v="10"/>
    <n v="4.2506265349951864"/>
    <n v="0.33522271329790426"/>
    <n v="0.95"/>
    <n v="0.23980388299587996"/>
    <n v="3.68321155667787"/>
    <n v="4.7905634672515101"/>
    <n v="9.2046050770022703E-4"/>
    <n v="29.442824674908099"/>
    <n v="269.39999999999998"/>
    <n v="0.23980388299587996"/>
    <n v="10"/>
    <n v="1"/>
  </r>
  <r>
    <x v="0"/>
    <s v="2023-05-15 11:51:53"/>
    <n v="2"/>
    <x v="1"/>
    <x v="4"/>
    <x v="1"/>
    <n v="0"/>
    <n v="2E+20"/>
    <n v="0"/>
    <n v="0"/>
    <n v="253"/>
    <s v="Unnamed ProjectEntity 1Transfer TimeEntity"/>
    <n v="10"/>
    <n v="0"/>
    <n v="0"/>
    <n v="0.95"/>
    <n v="0"/>
    <n v="0"/>
    <n v="0"/>
    <n v="0"/>
    <n v="0"/>
    <n v="269.39999999999998"/>
    <n v="0"/>
    <n v="10"/>
    <n v="1"/>
  </r>
  <r>
    <x v="0"/>
    <s v="2023-05-15 11:51:53"/>
    <n v="2"/>
    <x v="1"/>
    <x v="5"/>
    <x v="1"/>
    <n v="2.5948904259568901"/>
    <n v="2E+20"/>
    <n v="3.3567997090813199E-3"/>
    <n v="19.917548578788601"/>
    <n v="253"/>
    <s v="Unnamed ProjectEntity 1VA TimeEntity"/>
    <n v="10"/>
    <n v="2.4755245358865192"/>
    <n v="7.2660839626707885E-2"/>
    <n v="0.95"/>
    <n v="5.1978433420592413E-2"/>
    <n v="2.3277411765877201"/>
    <n v="2.5948904259568901"/>
    <n v="9.2046050770022703E-4"/>
    <n v="25.940347636007399"/>
    <n v="269.39999999999998"/>
    <n v="5.1978433420592413E-2"/>
    <n v="10"/>
    <n v="1"/>
  </r>
  <r>
    <x v="0"/>
    <s v="2023-05-15 11:51:53"/>
    <n v="2"/>
    <x v="1"/>
    <x v="6"/>
    <x v="1"/>
    <n v="1.8168812896431199"/>
    <n v="2E+20"/>
    <n v="0"/>
    <n v="17.6995051976144"/>
    <n v="253"/>
    <s v="Unnamed ProjectEntity 1Wait TimeEntity"/>
    <n v="10"/>
    <n v="1.7751019991086672"/>
    <n v="0.32227846271676236"/>
    <n v="0.95"/>
    <n v="0.23054412395004534"/>
    <n v="1.3209394716032301"/>
    <n v="2.3332172655150498"/>
    <n v="0"/>
    <n v="21.652390393913599"/>
    <n v="269.39999999999998"/>
    <n v="0.23054412395004534"/>
    <n v="10"/>
    <n v="1"/>
  </r>
  <r>
    <x v="0"/>
    <s v="2023-05-15 11:51:53"/>
    <n v="3"/>
    <x v="1"/>
    <x v="1"/>
    <x v="1"/>
    <n v="0"/>
    <n v="2E+20"/>
    <n v="0"/>
    <n v="0"/>
    <n v="269"/>
    <s v="Unnamed ProjectEntity 1NVA TimeEntity"/>
    <n v="10"/>
    <n v="0"/>
    <n v="0"/>
    <n v="0.95"/>
    <n v="0"/>
    <n v="0"/>
    <n v="0"/>
    <n v="0"/>
    <n v="0"/>
    <n v="269.39999999999998"/>
    <n v="0"/>
    <n v="10"/>
    <n v="1"/>
  </r>
  <r>
    <x v="0"/>
    <s v="2023-05-15 11:51:53"/>
    <n v="3"/>
    <x v="1"/>
    <x v="2"/>
    <x v="1"/>
    <n v="0"/>
    <n v="2E+20"/>
    <n v="0"/>
    <n v="0"/>
    <n v="269"/>
    <s v="Unnamed ProjectEntity 1Other TimeEntity"/>
    <n v="10"/>
    <n v="0"/>
    <n v="0"/>
    <n v="0.95"/>
    <n v="0"/>
    <n v="0"/>
    <n v="0"/>
    <n v="0"/>
    <n v="0"/>
    <n v="269.39999999999998"/>
    <n v="0"/>
    <n v="10"/>
    <n v="1"/>
  </r>
  <r>
    <x v="0"/>
    <s v="2023-05-15 11:51:53"/>
    <n v="3"/>
    <x v="1"/>
    <x v="3"/>
    <x v="1"/>
    <n v="3.8334790473623599"/>
    <n v="2E+20"/>
    <n v="5.9157540075602802E-3"/>
    <n v="18.2314256423826"/>
    <n v="269"/>
    <s v="Unnamed ProjectEntity 1Total TimeEntity"/>
    <n v="10"/>
    <n v="4.2506265349951864"/>
    <n v="0.33522271329790426"/>
    <n v="0.95"/>
    <n v="0.23980388299587996"/>
    <n v="3.68321155667787"/>
    <n v="4.7905634672515101"/>
    <n v="9.2046050770022703E-4"/>
    <n v="29.442824674908099"/>
    <n v="269.39999999999998"/>
    <n v="0.23980388299587996"/>
    <n v="10"/>
    <n v="1"/>
  </r>
  <r>
    <x v="0"/>
    <s v="2023-05-15 11:51:53"/>
    <n v="3"/>
    <x v="1"/>
    <x v="4"/>
    <x v="1"/>
    <n v="0"/>
    <n v="2E+20"/>
    <n v="0"/>
    <n v="0"/>
    <n v="269"/>
    <s v="Unnamed ProjectEntity 1Transfer TimeEntity"/>
    <n v="10"/>
    <n v="0"/>
    <n v="0"/>
    <n v="0.95"/>
    <n v="0"/>
    <n v="0"/>
    <n v="0"/>
    <n v="0"/>
    <n v="0"/>
    <n v="269.39999999999998"/>
    <n v="0"/>
    <n v="10"/>
    <n v="1"/>
  </r>
  <r>
    <x v="0"/>
    <s v="2023-05-15 11:51:53"/>
    <n v="3"/>
    <x v="1"/>
    <x v="5"/>
    <x v="1"/>
    <n v="2.5125395757591402"/>
    <n v="2E+20"/>
    <n v="5.9157540075602802E-3"/>
    <n v="17.248755651096701"/>
    <n v="269"/>
    <s v="Unnamed ProjectEntity 1VA TimeEntity"/>
    <n v="10"/>
    <n v="2.4755245358865192"/>
    <n v="7.2660839626707885E-2"/>
    <n v="0.95"/>
    <n v="5.1978433420592413E-2"/>
    <n v="2.3277411765877201"/>
    <n v="2.5948904259568901"/>
    <n v="9.2046050770022703E-4"/>
    <n v="25.940347636007399"/>
    <n v="269.39999999999998"/>
    <n v="5.1978433420592413E-2"/>
    <n v="10"/>
    <n v="1"/>
  </r>
  <r>
    <x v="0"/>
    <s v="2023-05-15 11:51:53"/>
    <n v="3"/>
    <x v="1"/>
    <x v="6"/>
    <x v="1"/>
    <n v="1.3209394716032301"/>
    <n v="2E+20"/>
    <n v="0"/>
    <n v="13.755502457459199"/>
    <n v="269"/>
    <s v="Unnamed ProjectEntity 1Wait TimeEntity"/>
    <n v="10"/>
    <n v="1.7751019991086672"/>
    <n v="0.32227846271676236"/>
    <n v="0.95"/>
    <n v="0.23054412395004534"/>
    <n v="1.3209394716032301"/>
    <n v="2.3332172655150498"/>
    <n v="0"/>
    <n v="21.652390393913599"/>
    <n v="269.39999999999998"/>
    <n v="0.23054412395004534"/>
    <n v="10"/>
    <n v="1"/>
  </r>
  <r>
    <x v="0"/>
    <s v="2023-05-15 11:51:53"/>
    <n v="4"/>
    <x v="1"/>
    <x v="1"/>
    <x v="1"/>
    <n v="0"/>
    <n v="2E+20"/>
    <n v="0"/>
    <n v="0"/>
    <n v="307"/>
    <s v="Unnamed ProjectEntity 1NVA TimeEntity"/>
    <n v="10"/>
    <n v="0"/>
    <n v="0"/>
    <n v="0.95"/>
    <n v="0"/>
    <n v="0"/>
    <n v="0"/>
    <n v="0"/>
    <n v="0"/>
    <n v="269.39999999999998"/>
    <n v="0"/>
    <n v="10"/>
    <n v="1"/>
  </r>
  <r>
    <x v="0"/>
    <s v="2023-05-15 11:51:53"/>
    <n v="4"/>
    <x v="1"/>
    <x v="2"/>
    <x v="1"/>
    <n v="0"/>
    <n v="2E+20"/>
    <n v="0"/>
    <n v="0"/>
    <n v="307"/>
    <s v="Unnamed ProjectEntity 1Other TimeEntity"/>
    <n v="10"/>
    <n v="0"/>
    <n v="0"/>
    <n v="0.95"/>
    <n v="0"/>
    <n v="0"/>
    <n v="0"/>
    <n v="0"/>
    <n v="0"/>
    <n v="269.39999999999998"/>
    <n v="0"/>
    <n v="10"/>
    <n v="1"/>
  </r>
  <r>
    <x v="0"/>
    <s v="2023-05-15 11:51:53"/>
    <n v="4"/>
    <x v="1"/>
    <x v="3"/>
    <x v="1"/>
    <n v="4.4978287389477503"/>
    <n v="2E+20"/>
    <n v="9.2046050770022703E-4"/>
    <n v="20.518539873297001"/>
    <n v="307"/>
    <s v="Unnamed ProjectEntity 1Total TimeEntity"/>
    <n v="10"/>
    <n v="4.2506265349951864"/>
    <n v="0.33522271329790426"/>
    <n v="0.95"/>
    <n v="0.23980388299587996"/>
    <n v="3.68321155667787"/>
    <n v="4.7905634672515101"/>
    <n v="9.2046050770022703E-4"/>
    <n v="29.442824674908099"/>
    <n v="269.39999999999998"/>
    <n v="0.23980388299587996"/>
    <n v="10"/>
    <n v="1"/>
  </r>
  <r>
    <x v="0"/>
    <s v="2023-05-15 11:51:53"/>
    <n v="4"/>
    <x v="1"/>
    <x v="4"/>
    <x v="1"/>
    <n v="0"/>
    <n v="2E+20"/>
    <n v="0"/>
    <n v="0"/>
    <n v="307"/>
    <s v="Unnamed ProjectEntity 1Transfer TimeEntity"/>
    <n v="10"/>
    <n v="0"/>
    <n v="0"/>
    <n v="0.95"/>
    <n v="0"/>
    <n v="0"/>
    <n v="0"/>
    <n v="0"/>
    <n v="0"/>
    <n v="269.39999999999998"/>
    <n v="0"/>
    <n v="10"/>
    <n v="1"/>
  </r>
  <r>
    <x v="0"/>
    <s v="2023-05-15 11:51:53"/>
    <n v="4"/>
    <x v="1"/>
    <x v="5"/>
    <x v="1"/>
    <n v="2.41241108739217"/>
    <n v="2E+20"/>
    <n v="9.2046050770022703E-4"/>
    <n v="15.1165819616678"/>
    <n v="307"/>
    <s v="Unnamed ProjectEntity 1VA TimeEntity"/>
    <n v="10"/>
    <n v="2.4755245358865192"/>
    <n v="7.2660839626707885E-2"/>
    <n v="0.95"/>
    <n v="5.1978433420592413E-2"/>
    <n v="2.3277411765877201"/>
    <n v="2.5948904259568901"/>
    <n v="9.2046050770022703E-4"/>
    <n v="25.940347636007399"/>
    <n v="269.39999999999998"/>
    <n v="5.1978433420592413E-2"/>
    <n v="10"/>
    <n v="1"/>
  </r>
  <r>
    <x v="0"/>
    <s v="2023-05-15 11:51:53"/>
    <n v="4"/>
    <x v="1"/>
    <x v="6"/>
    <x v="1"/>
    <n v="2.08541765155557"/>
    <n v="2E+20"/>
    <n v="0"/>
    <n v="18.8698617977753"/>
    <n v="307"/>
    <s v="Unnamed ProjectEntity 1Wait TimeEntity"/>
    <n v="10"/>
    <n v="1.7751019991086672"/>
    <n v="0.32227846271676236"/>
    <n v="0.95"/>
    <n v="0.23054412395004534"/>
    <n v="1.3209394716032301"/>
    <n v="2.3332172655150498"/>
    <n v="0"/>
    <n v="21.652390393913599"/>
    <n v="269.39999999999998"/>
    <n v="0.23054412395004534"/>
    <n v="10"/>
    <n v="1"/>
  </r>
  <r>
    <x v="0"/>
    <s v="2023-05-15 11:51:53"/>
    <n v="5"/>
    <x v="1"/>
    <x v="1"/>
    <x v="1"/>
    <n v="0"/>
    <n v="2E+20"/>
    <n v="0"/>
    <n v="0"/>
    <n v="276"/>
    <s v="Unnamed ProjectEntity 1NVA TimeEntity"/>
    <n v="10"/>
    <n v="0"/>
    <n v="0"/>
    <n v="0.95"/>
    <n v="0"/>
    <n v="0"/>
    <n v="0"/>
    <n v="0"/>
    <n v="0"/>
    <n v="269.39999999999998"/>
    <n v="0"/>
    <n v="10"/>
    <n v="1"/>
  </r>
  <r>
    <x v="0"/>
    <s v="2023-05-15 11:51:53"/>
    <n v="5"/>
    <x v="1"/>
    <x v="2"/>
    <x v="1"/>
    <n v="0"/>
    <n v="2E+20"/>
    <n v="0"/>
    <n v="0"/>
    <n v="276"/>
    <s v="Unnamed ProjectEntity 1Other TimeEntity"/>
    <n v="10"/>
    <n v="0"/>
    <n v="0"/>
    <n v="0.95"/>
    <n v="0"/>
    <n v="0"/>
    <n v="0"/>
    <n v="0"/>
    <n v="0"/>
    <n v="269.39999999999998"/>
    <n v="0"/>
    <n v="10"/>
    <n v="1"/>
  </r>
  <r>
    <x v="0"/>
    <s v="2023-05-15 11:51:53"/>
    <n v="5"/>
    <x v="1"/>
    <x v="3"/>
    <x v="1"/>
    <n v="4.36378166292097"/>
    <n v="2E+20"/>
    <n v="2.1520594558694501E-2"/>
    <n v="18.972620415251502"/>
    <n v="276"/>
    <s v="Unnamed ProjectEntity 1Total TimeEntity"/>
    <n v="10"/>
    <n v="4.2506265349951864"/>
    <n v="0.33522271329790426"/>
    <n v="0.95"/>
    <n v="0.23980388299587996"/>
    <n v="3.68321155667787"/>
    <n v="4.7905634672515101"/>
    <n v="9.2046050770022703E-4"/>
    <n v="29.442824674908099"/>
    <n v="269.39999999999998"/>
    <n v="0.23980388299587996"/>
    <n v="10"/>
    <n v="1"/>
  </r>
  <r>
    <x v="0"/>
    <s v="2023-05-15 11:51:53"/>
    <n v="5"/>
    <x v="1"/>
    <x v="4"/>
    <x v="1"/>
    <n v="0"/>
    <n v="2E+20"/>
    <n v="0"/>
    <n v="0"/>
    <n v="276"/>
    <s v="Unnamed ProjectEntity 1Transfer TimeEntity"/>
    <n v="10"/>
    <n v="0"/>
    <n v="0"/>
    <n v="0.95"/>
    <n v="0"/>
    <n v="0"/>
    <n v="0"/>
    <n v="0"/>
    <n v="0"/>
    <n v="269.39999999999998"/>
    <n v="0"/>
    <n v="10"/>
    <n v="1"/>
  </r>
  <r>
    <x v="0"/>
    <s v="2023-05-15 11:51:53"/>
    <n v="5"/>
    <x v="1"/>
    <x v="5"/>
    <x v="1"/>
    <n v="2.4358458328072601"/>
    <n v="2E+20"/>
    <n v="8.16068153312699E-3"/>
    <n v="13.912283929199599"/>
    <n v="276"/>
    <s v="Unnamed ProjectEntity 1VA TimeEntity"/>
    <n v="10"/>
    <n v="2.4755245358865192"/>
    <n v="7.2660839626707885E-2"/>
    <n v="0.95"/>
    <n v="5.1978433420592413E-2"/>
    <n v="2.3277411765877201"/>
    <n v="2.5948904259568901"/>
    <n v="9.2046050770022703E-4"/>
    <n v="25.940347636007399"/>
    <n v="269.39999999999998"/>
    <n v="5.1978433420592413E-2"/>
    <n v="10"/>
    <n v="1"/>
  </r>
  <r>
    <x v="0"/>
    <s v="2023-05-15 11:51:53"/>
    <n v="5"/>
    <x v="1"/>
    <x v="6"/>
    <x v="1"/>
    <n v="1.9279358301137099"/>
    <n v="2E+20"/>
    <n v="0"/>
    <n v="17.669213588668001"/>
    <n v="276"/>
    <s v="Unnamed ProjectEntity 1Wait TimeEntity"/>
    <n v="10"/>
    <n v="1.7751019991086672"/>
    <n v="0.32227846271676236"/>
    <n v="0.95"/>
    <n v="0.23054412395004534"/>
    <n v="1.3209394716032301"/>
    <n v="2.3332172655150498"/>
    <n v="0"/>
    <n v="21.652390393913599"/>
    <n v="269.39999999999998"/>
    <n v="0.23054412395004534"/>
    <n v="10"/>
    <n v="1"/>
  </r>
  <r>
    <x v="0"/>
    <s v="2023-05-15 11:51:53"/>
    <n v="6"/>
    <x v="1"/>
    <x v="1"/>
    <x v="1"/>
    <n v="0"/>
    <n v="2E+20"/>
    <n v="0"/>
    <n v="0"/>
    <n v="286"/>
    <s v="Unnamed ProjectEntity 1NVA TimeEntity"/>
    <n v="10"/>
    <n v="0"/>
    <n v="0"/>
    <n v="0.95"/>
    <n v="0"/>
    <n v="0"/>
    <n v="0"/>
    <n v="0"/>
    <n v="0"/>
    <n v="269.39999999999998"/>
    <n v="0"/>
    <n v="10"/>
    <n v="1"/>
  </r>
  <r>
    <x v="0"/>
    <s v="2023-05-15 11:51:53"/>
    <n v="6"/>
    <x v="1"/>
    <x v="2"/>
    <x v="1"/>
    <n v="0"/>
    <n v="2E+20"/>
    <n v="0"/>
    <n v="0"/>
    <n v="286"/>
    <s v="Unnamed ProjectEntity 1Other TimeEntity"/>
    <n v="10"/>
    <n v="0"/>
    <n v="0"/>
    <n v="0.95"/>
    <n v="0"/>
    <n v="0"/>
    <n v="0"/>
    <n v="0"/>
    <n v="0"/>
    <n v="269.39999999999998"/>
    <n v="0"/>
    <n v="10"/>
    <n v="1"/>
  </r>
  <r>
    <x v="0"/>
    <s v="2023-05-15 11:51:53"/>
    <n v="6"/>
    <x v="1"/>
    <x v="3"/>
    <x v="1"/>
    <n v="4.3971535971228102"/>
    <n v="2E+20"/>
    <n v="5.0067077897537598E-3"/>
    <n v="19.0077210297022"/>
    <n v="286"/>
    <s v="Unnamed ProjectEntity 1Total TimeEntity"/>
    <n v="10"/>
    <n v="4.2506265349951864"/>
    <n v="0.33522271329790426"/>
    <n v="0.95"/>
    <n v="0.23980388299587996"/>
    <n v="3.68321155667787"/>
    <n v="4.7905634672515101"/>
    <n v="9.2046050770022703E-4"/>
    <n v="29.442824674908099"/>
    <n v="269.39999999999998"/>
    <n v="0.23980388299587996"/>
    <n v="10"/>
    <n v="1"/>
  </r>
  <r>
    <x v="0"/>
    <s v="2023-05-15 11:51:53"/>
    <n v="6"/>
    <x v="1"/>
    <x v="4"/>
    <x v="1"/>
    <n v="0"/>
    <n v="2E+20"/>
    <n v="0"/>
    <n v="0"/>
    <n v="286"/>
    <s v="Unnamed ProjectEntity 1Transfer TimeEntity"/>
    <n v="10"/>
    <n v="0"/>
    <n v="0"/>
    <n v="0.95"/>
    <n v="0"/>
    <n v="0"/>
    <n v="0"/>
    <n v="0"/>
    <n v="0"/>
    <n v="269.39999999999998"/>
    <n v="0"/>
    <n v="10"/>
    <n v="1"/>
  </r>
  <r>
    <x v="0"/>
    <s v="2023-05-15 11:51:53"/>
    <n v="6"/>
    <x v="1"/>
    <x v="5"/>
    <x v="1"/>
    <n v="2.4936498908409699"/>
    <n v="2E+20"/>
    <n v="5.0067077897537598E-3"/>
    <n v="18.615570409758099"/>
    <n v="286"/>
    <s v="Unnamed ProjectEntity 1VA TimeEntity"/>
    <n v="10"/>
    <n v="2.4755245358865192"/>
    <n v="7.2660839626707885E-2"/>
    <n v="0.95"/>
    <n v="5.1978433420592413E-2"/>
    <n v="2.3277411765877201"/>
    <n v="2.5948904259568901"/>
    <n v="9.2046050770022703E-4"/>
    <n v="25.940347636007399"/>
    <n v="269.39999999999998"/>
    <n v="5.1978433420592413E-2"/>
    <n v="10"/>
    <n v="1"/>
  </r>
  <r>
    <x v="0"/>
    <s v="2023-05-15 11:51:53"/>
    <n v="6"/>
    <x v="1"/>
    <x v="6"/>
    <x v="1"/>
    <n v="1.9035037062818501"/>
    <n v="2E+20"/>
    <n v="0"/>
    <n v="18.5346844444935"/>
    <n v="286"/>
    <s v="Unnamed ProjectEntity 1Wait TimeEntity"/>
    <n v="10"/>
    <n v="1.7751019991086672"/>
    <n v="0.32227846271676236"/>
    <n v="0.95"/>
    <n v="0.23054412395004534"/>
    <n v="1.3209394716032301"/>
    <n v="2.3332172655150498"/>
    <n v="0"/>
    <n v="21.652390393913599"/>
    <n v="269.39999999999998"/>
    <n v="0.23054412395004534"/>
    <n v="10"/>
    <n v="1"/>
  </r>
  <r>
    <x v="0"/>
    <s v="2023-05-15 11:51:53"/>
    <n v="7"/>
    <x v="1"/>
    <x v="1"/>
    <x v="1"/>
    <n v="0"/>
    <n v="2E+20"/>
    <n v="0"/>
    <n v="0"/>
    <n v="242"/>
    <s v="Unnamed ProjectEntity 1NVA TimeEntity"/>
    <n v="10"/>
    <n v="0"/>
    <n v="0"/>
    <n v="0.95"/>
    <n v="0"/>
    <n v="0"/>
    <n v="0"/>
    <n v="0"/>
    <n v="0"/>
    <n v="269.39999999999998"/>
    <n v="0"/>
    <n v="10"/>
    <n v="1"/>
  </r>
  <r>
    <x v="0"/>
    <s v="2023-05-15 11:51:53"/>
    <n v="7"/>
    <x v="1"/>
    <x v="2"/>
    <x v="1"/>
    <n v="0"/>
    <n v="2E+20"/>
    <n v="0"/>
    <n v="0"/>
    <n v="242"/>
    <s v="Unnamed ProjectEntity 1Other TimeEntity"/>
    <n v="10"/>
    <n v="0"/>
    <n v="0"/>
    <n v="0.95"/>
    <n v="0"/>
    <n v="0"/>
    <n v="0"/>
    <n v="0"/>
    <n v="0"/>
    <n v="269.39999999999998"/>
    <n v="0"/>
    <n v="10"/>
    <n v="1"/>
  </r>
  <r>
    <x v="0"/>
    <s v="2023-05-15 11:51:53"/>
    <n v="7"/>
    <x v="1"/>
    <x v="3"/>
    <x v="1"/>
    <n v="4.3075233834390696"/>
    <n v="2E+20"/>
    <n v="1.8769655498658701E-2"/>
    <n v="29.442824674908099"/>
    <n v="242"/>
    <s v="Unnamed ProjectEntity 1Total TimeEntity"/>
    <n v="10"/>
    <n v="4.2506265349951864"/>
    <n v="0.33522271329790426"/>
    <n v="0.95"/>
    <n v="0.23980388299587996"/>
    <n v="3.68321155667787"/>
    <n v="4.7905634672515101"/>
    <n v="9.2046050770022703E-4"/>
    <n v="29.442824674908099"/>
    <n v="269.39999999999998"/>
    <n v="0.23980388299587996"/>
    <n v="10"/>
    <n v="1"/>
  </r>
  <r>
    <x v="0"/>
    <s v="2023-05-15 11:51:53"/>
    <n v="7"/>
    <x v="1"/>
    <x v="4"/>
    <x v="1"/>
    <n v="0"/>
    <n v="2E+20"/>
    <n v="0"/>
    <n v="0"/>
    <n v="242"/>
    <s v="Unnamed ProjectEntity 1Transfer TimeEntity"/>
    <n v="10"/>
    <n v="0"/>
    <n v="0"/>
    <n v="0.95"/>
    <n v="0"/>
    <n v="0"/>
    <n v="0"/>
    <n v="0"/>
    <n v="0"/>
    <n v="269.39999999999998"/>
    <n v="0"/>
    <n v="10"/>
    <n v="1"/>
  </r>
  <r>
    <x v="0"/>
    <s v="2023-05-15 11:51:53"/>
    <n v="7"/>
    <x v="1"/>
    <x v="5"/>
    <x v="1"/>
    <n v="2.51888918265215"/>
    <n v="2E+20"/>
    <n v="1.8769655498658701E-2"/>
    <n v="25.940347636007399"/>
    <n v="242"/>
    <s v="Unnamed ProjectEntity 1VA TimeEntity"/>
    <n v="10"/>
    <n v="2.4755245358865192"/>
    <n v="7.2660839626707885E-2"/>
    <n v="0.95"/>
    <n v="5.1978433420592413E-2"/>
    <n v="2.3277411765877201"/>
    <n v="2.5948904259568901"/>
    <n v="9.2046050770022703E-4"/>
    <n v="25.940347636007399"/>
    <n v="269.39999999999998"/>
    <n v="5.1978433420592413E-2"/>
    <n v="10"/>
    <n v="1"/>
  </r>
  <r>
    <x v="0"/>
    <s v="2023-05-15 11:51:53"/>
    <n v="7"/>
    <x v="1"/>
    <x v="6"/>
    <x v="1"/>
    <n v="1.78863420078691"/>
    <n v="2E+20"/>
    <n v="0"/>
    <n v="21.652390393913599"/>
    <n v="242"/>
    <s v="Unnamed ProjectEntity 1Wait TimeEntity"/>
    <n v="10"/>
    <n v="1.7751019991086672"/>
    <n v="0.32227846271676236"/>
    <n v="0.95"/>
    <n v="0.23054412395004534"/>
    <n v="1.3209394716032301"/>
    <n v="2.3332172655150498"/>
    <n v="0"/>
    <n v="21.652390393913599"/>
    <n v="269.39999999999998"/>
    <n v="0.23054412395004534"/>
    <n v="10"/>
    <n v="1"/>
  </r>
  <r>
    <x v="0"/>
    <s v="2023-05-15 11:51:53"/>
    <n v="8"/>
    <x v="1"/>
    <x v="1"/>
    <x v="1"/>
    <n v="0"/>
    <n v="2E+20"/>
    <n v="0"/>
    <n v="0"/>
    <n v="248"/>
    <s v="Unnamed ProjectEntity 1NVA TimeEntity"/>
    <n v="10"/>
    <n v="0"/>
    <n v="0"/>
    <n v="0.95"/>
    <n v="0"/>
    <n v="0"/>
    <n v="0"/>
    <n v="0"/>
    <n v="0"/>
    <n v="269.39999999999998"/>
    <n v="0"/>
    <n v="10"/>
    <n v="1"/>
  </r>
  <r>
    <x v="0"/>
    <s v="2023-05-15 11:51:53"/>
    <n v="8"/>
    <x v="1"/>
    <x v="2"/>
    <x v="1"/>
    <n v="0"/>
    <n v="2E+20"/>
    <n v="0"/>
    <n v="0"/>
    <n v="248"/>
    <s v="Unnamed ProjectEntity 1Other TimeEntity"/>
    <n v="10"/>
    <n v="0"/>
    <n v="0"/>
    <n v="0.95"/>
    <n v="0"/>
    <n v="0"/>
    <n v="0"/>
    <n v="0"/>
    <n v="0"/>
    <n v="269.39999999999998"/>
    <n v="0"/>
    <n v="10"/>
    <n v="1"/>
  </r>
  <r>
    <x v="0"/>
    <s v="2023-05-15 11:51:53"/>
    <n v="8"/>
    <x v="1"/>
    <x v="3"/>
    <x v="1"/>
    <n v="4.2836699488833698"/>
    <n v="2E+20"/>
    <n v="4.6984306415993202E-2"/>
    <n v="17.417135816646802"/>
    <n v="248"/>
    <s v="Unnamed ProjectEntity 1Total TimeEntity"/>
    <n v="10"/>
    <n v="4.2506265349951864"/>
    <n v="0.33522271329790426"/>
    <n v="0.95"/>
    <n v="0.23980388299587996"/>
    <n v="3.68321155667787"/>
    <n v="4.7905634672515101"/>
    <n v="9.2046050770022703E-4"/>
    <n v="29.442824674908099"/>
    <n v="269.39999999999998"/>
    <n v="0.23980388299587996"/>
    <n v="10"/>
    <n v="1"/>
  </r>
  <r>
    <x v="0"/>
    <s v="2023-05-15 11:51:53"/>
    <n v="8"/>
    <x v="1"/>
    <x v="4"/>
    <x v="1"/>
    <n v="0"/>
    <n v="2E+20"/>
    <n v="0"/>
    <n v="0"/>
    <n v="248"/>
    <s v="Unnamed ProjectEntity 1Transfer TimeEntity"/>
    <n v="10"/>
    <n v="0"/>
    <n v="0"/>
    <n v="0.95"/>
    <n v="0"/>
    <n v="0"/>
    <n v="0"/>
    <n v="0"/>
    <n v="0"/>
    <n v="269.39999999999998"/>
    <n v="0"/>
    <n v="10"/>
    <n v="1"/>
  </r>
  <r>
    <x v="0"/>
    <s v="2023-05-15 11:51:53"/>
    <n v="8"/>
    <x v="1"/>
    <x v="5"/>
    <x v="1"/>
    <n v="2.51921993945377"/>
    <n v="2E+20"/>
    <n v="3.04758479908003E-2"/>
    <n v="11.4119594210553"/>
    <n v="248"/>
    <s v="Unnamed ProjectEntity 1VA TimeEntity"/>
    <n v="10"/>
    <n v="2.4755245358865192"/>
    <n v="7.2660839626707885E-2"/>
    <n v="0.95"/>
    <n v="5.1978433420592413E-2"/>
    <n v="2.3277411765877201"/>
    <n v="2.5948904259568901"/>
    <n v="9.2046050770022703E-4"/>
    <n v="25.940347636007399"/>
    <n v="269.39999999999998"/>
    <n v="5.1978433420592413E-2"/>
    <n v="10"/>
    <n v="1"/>
  </r>
  <r>
    <x v="0"/>
    <s v="2023-05-15 11:51:53"/>
    <n v="8"/>
    <x v="1"/>
    <x v="6"/>
    <x v="1"/>
    <n v="1.7644500094296001"/>
    <n v="2E+20"/>
    <n v="0"/>
    <n v="14.6359815796469"/>
    <n v="248"/>
    <s v="Unnamed ProjectEntity 1Wait TimeEntity"/>
    <n v="10"/>
    <n v="1.7751019991086672"/>
    <n v="0.32227846271676236"/>
    <n v="0.95"/>
    <n v="0.23054412395004534"/>
    <n v="1.3209394716032301"/>
    <n v="2.3332172655150498"/>
    <n v="0"/>
    <n v="21.652390393913599"/>
    <n v="269.39999999999998"/>
    <n v="0.23054412395004534"/>
    <n v="10"/>
    <n v="1"/>
  </r>
  <r>
    <x v="0"/>
    <s v="2023-05-15 11:51:53"/>
    <n v="9"/>
    <x v="1"/>
    <x v="1"/>
    <x v="1"/>
    <n v="0"/>
    <n v="2E+20"/>
    <n v="0"/>
    <n v="0"/>
    <n v="289"/>
    <s v="Unnamed ProjectEntity 1NVA TimeEntity"/>
    <n v="10"/>
    <n v="0"/>
    <n v="0"/>
    <n v="0.95"/>
    <n v="0"/>
    <n v="0"/>
    <n v="0"/>
    <n v="0"/>
    <n v="0"/>
    <n v="269.39999999999998"/>
    <n v="0"/>
    <n v="10"/>
    <n v="1"/>
  </r>
  <r>
    <x v="0"/>
    <s v="2023-05-15 11:51:53"/>
    <n v="9"/>
    <x v="1"/>
    <x v="2"/>
    <x v="1"/>
    <n v="0"/>
    <n v="2E+20"/>
    <n v="0"/>
    <n v="0"/>
    <n v="289"/>
    <s v="Unnamed ProjectEntity 1Other TimeEntity"/>
    <n v="10"/>
    <n v="0"/>
    <n v="0"/>
    <n v="0.95"/>
    <n v="0"/>
    <n v="0"/>
    <n v="0"/>
    <n v="0"/>
    <n v="0"/>
    <n v="269.39999999999998"/>
    <n v="0"/>
    <n v="10"/>
    <n v="1"/>
  </r>
  <r>
    <x v="0"/>
    <s v="2023-05-15 11:51:53"/>
    <n v="9"/>
    <x v="1"/>
    <x v="3"/>
    <x v="1"/>
    <n v="4.7905634672515101"/>
    <n v="2E+20"/>
    <n v="4.3783446473355497E-2"/>
    <n v="17.678625400923199"/>
    <n v="289"/>
    <s v="Unnamed ProjectEntity 1Total TimeEntity"/>
    <n v="10"/>
    <n v="4.2506265349951864"/>
    <n v="0.33522271329790426"/>
    <n v="0.95"/>
    <n v="0.23980388299587996"/>
    <n v="3.68321155667787"/>
    <n v="4.7905634672515101"/>
    <n v="9.2046050770022703E-4"/>
    <n v="29.442824674908099"/>
    <n v="269.39999999999998"/>
    <n v="0.23980388299587996"/>
    <n v="10"/>
    <n v="1"/>
  </r>
  <r>
    <x v="0"/>
    <s v="2023-05-15 11:51:53"/>
    <n v="9"/>
    <x v="1"/>
    <x v="4"/>
    <x v="1"/>
    <n v="0"/>
    <n v="2E+20"/>
    <n v="0"/>
    <n v="0"/>
    <n v="289"/>
    <s v="Unnamed ProjectEntity 1Transfer TimeEntity"/>
    <n v="10"/>
    <n v="0"/>
    <n v="0"/>
    <n v="0.95"/>
    <n v="0"/>
    <n v="0"/>
    <n v="0"/>
    <n v="0"/>
    <n v="0"/>
    <n v="269.39999999999998"/>
    <n v="0"/>
    <n v="10"/>
    <n v="1"/>
  </r>
  <r>
    <x v="0"/>
    <s v="2023-05-15 11:51:53"/>
    <n v="9"/>
    <x v="1"/>
    <x v="5"/>
    <x v="1"/>
    <n v="2.4573462017364598"/>
    <n v="2E+20"/>
    <n v="2.0698240301726401E-2"/>
    <n v="12.2435369379749"/>
    <n v="289"/>
    <s v="Unnamed ProjectEntity 1VA TimeEntity"/>
    <n v="10"/>
    <n v="2.4755245358865192"/>
    <n v="7.2660839626707885E-2"/>
    <n v="0.95"/>
    <n v="5.1978433420592413E-2"/>
    <n v="2.3277411765877201"/>
    <n v="2.5948904259568901"/>
    <n v="9.2046050770022703E-4"/>
    <n v="25.940347636007399"/>
    <n v="269.39999999999998"/>
    <n v="5.1978433420592413E-2"/>
    <n v="10"/>
    <n v="1"/>
  </r>
  <r>
    <x v="0"/>
    <s v="2023-05-15 11:51:53"/>
    <n v="9"/>
    <x v="1"/>
    <x v="6"/>
    <x v="1"/>
    <n v="2.3332172655150498"/>
    <n v="2E+20"/>
    <n v="0"/>
    <n v="16.6213583408612"/>
    <n v="289"/>
    <s v="Unnamed ProjectEntity 1Wait TimeEntity"/>
    <n v="10"/>
    <n v="1.7751019991086672"/>
    <n v="0.32227846271676236"/>
    <n v="0.95"/>
    <n v="0.23054412395004534"/>
    <n v="1.3209394716032301"/>
    <n v="2.3332172655150498"/>
    <n v="0"/>
    <n v="21.652390393913599"/>
    <n v="269.39999999999998"/>
    <n v="0.23054412395004534"/>
    <n v="10"/>
    <n v="1"/>
  </r>
  <r>
    <x v="0"/>
    <s v="2023-05-15 11:51:53"/>
    <n v="10"/>
    <x v="1"/>
    <x v="1"/>
    <x v="1"/>
    <n v="0"/>
    <n v="2E+20"/>
    <n v="0"/>
    <n v="0"/>
    <n v="253"/>
    <s v="Unnamed ProjectEntity 1NVA TimeEntity"/>
    <n v="10"/>
    <n v="0"/>
    <n v="0"/>
    <n v="0.95"/>
    <n v="0"/>
    <n v="0"/>
    <n v="0"/>
    <n v="0"/>
    <n v="0"/>
    <n v="269.39999999999998"/>
    <n v="0"/>
    <n v="10"/>
    <n v="1"/>
  </r>
  <r>
    <x v="0"/>
    <s v="2023-05-15 11:51:53"/>
    <n v="10"/>
    <x v="1"/>
    <x v="2"/>
    <x v="1"/>
    <n v="0"/>
    <n v="2E+20"/>
    <n v="0"/>
    <n v="0"/>
    <n v="253"/>
    <s v="Unnamed ProjectEntity 1Other TimeEntity"/>
    <n v="10"/>
    <n v="0"/>
    <n v="0"/>
    <n v="0.95"/>
    <n v="0"/>
    <n v="0"/>
    <n v="0"/>
    <n v="0"/>
    <n v="0"/>
    <n v="269.39999999999998"/>
    <n v="0"/>
    <n v="10"/>
    <n v="1"/>
  </r>
  <r>
    <x v="0"/>
    <s v="2023-05-15 11:51:53"/>
    <n v="10"/>
    <x v="1"/>
    <x v="3"/>
    <x v="1"/>
    <n v="3.93728223174613"/>
    <n v="2E+20"/>
    <n v="1.14479535724854E-2"/>
    <n v="16.7454627850157"/>
    <n v="253"/>
    <s v="Unnamed ProjectEntity 1Total TimeEntity"/>
    <n v="10"/>
    <n v="4.2506265349951864"/>
    <n v="0.33522271329790426"/>
    <n v="0.95"/>
    <n v="0.23980388299587996"/>
    <n v="3.68321155667787"/>
    <n v="4.7905634672515101"/>
    <n v="9.2046050770022703E-4"/>
    <n v="29.442824674908099"/>
    <n v="269.39999999999998"/>
    <n v="0.23980388299587996"/>
    <n v="10"/>
    <n v="1"/>
  </r>
  <r>
    <x v="0"/>
    <s v="2023-05-15 11:51:53"/>
    <n v="10"/>
    <x v="1"/>
    <x v="4"/>
    <x v="1"/>
    <n v="0"/>
    <n v="2E+20"/>
    <n v="0"/>
    <n v="0"/>
    <n v="253"/>
    <s v="Unnamed ProjectEntity 1Transfer TimeEntity"/>
    <n v="10"/>
    <n v="0"/>
    <n v="0"/>
    <n v="0.95"/>
    <n v="0"/>
    <n v="0"/>
    <n v="0"/>
    <n v="0"/>
    <n v="0"/>
    <n v="269.39999999999998"/>
    <n v="0"/>
    <n v="10"/>
    <n v="1"/>
  </r>
  <r>
    <x v="0"/>
    <s v="2023-05-15 11:51:53"/>
    <n v="10"/>
    <x v="1"/>
    <x v="5"/>
    <x v="1"/>
    <n v="2.4827120456786602"/>
    <n v="2E+20"/>
    <n v="1.14479535724854E-2"/>
    <n v="16.7454627850157"/>
    <n v="253"/>
    <s v="Unnamed ProjectEntity 1VA TimeEntity"/>
    <n v="10"/>
    <n v="2.4755245358865192"/>
    <n v="7.2660839626707885E-2"/>
    <n v="0.95"/>
    <n v="5.1978433420592413E-2"/>
    <n v="2.3277411765877201"/>
    <n v="2.5948904259568901"/>
    <n v="9.2046050770022703E-4"/>
    <n v="25.940347636007399"/>
    <n v="269.39999999999998"/>
    <n v="5.1978433420592413E-2"/>
    <n v="10"/>
    <n v="1"/>
  </r>
  <r>
    <x v="0"/>
    <s v="2023-05-15 11:51:53"/>
    <n v="10"/>
    <x v="1"/>
    <x v="6"/>
    <x v="1"/>
    <n v="1.45457018606748"/>
    <n v="2E+20"/>
    <n v="0"/>
    <n v="13.299250752611901"/>
    <n v="253"/>
    <s v="Unnamed ProjectEntity 1Wait TimeEntity"/>
    <n v="10"/>
    <n v="1.7751019991086672"/>
    <n v="0.32227846271676236"/>
    <n v="0.95"/>
    <n v="0.23054412395004534"/>
    <n v="1.3209394716032301"/>
    <n v="2.3332172655150498"/>
    <n v="0"/>
    <n v="21.652390393913599"/>
    <n v="269.39999999999998"/>
    <n v="0.23054412395004534"/>
    <n v="10"/>
    <n v="1"/>
  </r>
  <r>
    <x v="0"/>
    <s v="2023-05-15 11:51:53"/>
    <n v="1"/>
    <x v="2"/>
    <x v="0"/>
    <x v="0"/>
    <n v="0.30057172662183301"/>
    <n v="2.3985910966172901E-2"/>
    <n v="0"/>
    <n v="1.1431369630353201"/>
    <n v="402"/>
    <s v="Unnamed ProjectLeave 1.QueueWaiting TimeQueue"/>
    <n v="10"/>
    <n v="0.3008886226313745"/>
    <n v="1.933471833668508E-2"/>
    <n v="0.95"/>
    <n v="1.3831224287145314E-2"/>
    <n v="0.26888675177172"/>
    <n v="0.33364412431166102"/>
    <n v="0"/>
    <n v="1.85671172404545"/>
    <n v="404.1"/>
    <n v="1.3831224287145314E-2"/>
    <n v="10"/>
    <n v="1"/>
  </r>
  <r>
    <x v="0"/>
    <s v="2023-05-15 11:51:53"/>
    <n v="2"/>
    <x v="2"/>
    <x v="0"/>
    <x v="0"/>
    <n v="0.28877762175470501"/>
    <n v="3.6699097810817899E-2"/>
    <n v="0"/>
    <n v="1.1937703593168301"/>
    <n v="374"/>
    <s v="Unnamed ProjectLeave 1.QueueWaiting TimeQueue"/>
    <n v="10"/>
    <n v="0.3008886226313745"/>
    <n v="1.933471833668508E-2"/>
    <n v="0.95"/>
    <n v="1.3831224287145314E-2"/>
    <n v="0.26888675177172"/>
    <n v="0.33364412431166102"/>
    <n v="0"/>
    <n v="1.85671172404545"/>
    <n v="404.1"/>
    <n v="1.3831224287145314E-2"/>
    <n v="10"/>
    <n v="1"/>
  </r>
  <r>
    <x v="0"/>
    <s v="2023-05-15 11:51:53"/>
    <n v="3"/>
    <x v="2"/>
    <x v="0"/>
    <x v="0"/>
    <n v="0.29516046107423599"/>
    <n v="3.3581262818912001E-2"/>
    <n v="0"/>
    <n v="1.4574220735779"/>
    <n v="404"/>
    <s v="Unnamed ProjectLeave 1.QueueWaiting TimeQueue"/>
    <n v="10"/>
    <n v="0.3008886226313745"/>
    <n v="1.933471833668508E-2"/>
    <n v="0.95"/>
    <n v="1.3831224287145314E-2"/>
    <n v="0.26888675177172"/>
    <n v="0.33364412431166102"/>
    <n v="0"/>
    <n v="1.85671172404545"/>
    <n v="404.1"/>
    <n v="1.3831224287145314E-2"/>
    <n v="10"/>
    <n v="1"/>
  </r>
  <r>
    <x v="0"/>
    <s v="2023-05-15 11:51:53"/>
    <n v="4"/>
    <x v="2"/>
    <x v="0"/>
    <x v="0"/>
    <n v="0.31344500408864501"/>
    <n v="3.8223353085843299E-2"/>
    <n v="0"/>
    <n v="1.53647475104015"/>
    <n v="448"/>
    <s v="Unnamed ProjectLeave 1.QueueWaiting TimeQueue"/>
    <n v="10"/>
    <n v="0.3008886226313745"/>
    <n v="1.933471833668508E-2"/>
    <n v="0.95"/>
    <n v="1.3831224287145314E-2"/>
    <n v="0.26888675177172"/>
    <n v="0.33364412431166102"/>
    <n v="0"/>
    <n v="1.85671172404545"/>
    <n v="404.1"/>
    <n v="1.3831224287145314E-2"/>
    <n v="10"/>
    <n v="1"/>
  </r>
  <r>
    <x v="0"/>
    <s v="2023-05-15 11:51:53"/>
    <n v="5"/>
    <x v="2"/>
    <x v="0"/>
    <x v="0"/>
    <n v="0.32618991629438499"/>
    <n v="5.3855448368027699E-2"/>
    <n v="0"/>
    <n v="1.6950711443032001"/>
    <n v="429"/>
    <s v="Unnamed ProjectLeave 1.QueueWaiting TimeQueue"/>
    <n v="10"/>
    <n v="0.3008886226313745"/>
    <n v="1.933471833668508E-2"/>
    <n v="0.95"/>
    <n v="1.3831224287145314E-2"/>
    <n v="0.26888675177172"/>
    <n v="0.33364412431166102"/>
    <n v="0"/>
    <n v="1.85671172404545"/>
    <n v="404.1"/>
    <n v="1.3831224287145314E-2"/>
    <n v="10"/>
    <n v="1"/>
  </r>
  <r>
    <x v="0"/>
    <s v="2023-05-15 11:51:53"/>
    <n v="6"/>
    <x v="2"/>
    <x v="0"/>
    <x v="0"/>
    <n v="0.28405615005514201"/>
    <n v="3E+20"/>
    <n v="0"/>
    <n v="1.1933449576856201"/>
    <n v="428"/>
    <s v="Unnamed ProjectLeave 1.QueueWaiting TimeQueue"/>
    <n v="10"/>
    <n v="0.3008886226313745"/>
    <n v="1.933471833668508E-2"/>
    <n v="0.95"/>
    <n v="1.3831224287145314E-2"/>
    <n v="0.26888675177172"/>
    <n v="0.33364412431166102"/>
    <n v="0"/>
    <n v="1.85671172404545"/>
    <n v="404.1"/>
    <n v="1.3831224287145314E-2"/>
    <n v="10"/>
    <n v="1"/>
  </r>
  <r>
    <x v="0"/>
    <s v="2023-05-15 11:51:53"/>
    <n v="7"/>
    <x v="2"/>
    <x v="0"/>
    <x v="0"/>
    <n v="0.299340114446913"/>
    <n v="3E+20"/>
    <n v="0"/>
    <n v="1.85671172404545"/>
    <n v="366"/>
    <s v="Unnamed ProjectLeave 1.QueueWaiting TimeQueue"/>
    <n v="10"/>
    <n v="0.3008886226313745"/>
    <n v="1.933471833668508E-2"/>
    <n v="0.95"/>
    <n v="1.3831224287145314E-2"/>
    <n v="0.26888675177172"/>
    <n v="0.33364412431166102"/>
    <n v="0"/>
    <n v="1.85671172404545"/>
    <n v="404.1"/>
    <n v="1.3831224287145314E-2"/>
    <n v="10"/>
    <n v="1"/>
  </r>
  <r>
    <x v="0"/>
    <s v="2023-05-15 11:51:53"/>
    <n v="8"/>
    <x v="2"/>
    <x v="0"/>
    <x v="0"/>
    <n v="0.26888675177172"/>
    <n v="2.4100305995701201E-2"/>
    <n v="0"/>
    <n v="1.1123592968388001"/>
    <n v="376"/>
    <s v="Unnamed ProjectLeave 1.QueueWaiting TimeQueue"/>
    <n v="10"/>
    <n v="0.3008886226313745"/>
    <n v="1.933471833668508E-2"/>
    <n v="0.95"/>
    <n v="1.3831224287145314E-2"/>
    <n v="0.26888675177172"/>
    <n v="0.33364412431166102"/>
    <n v="0"/>
    <n v="1.85671172404545"/>
    <n v="404.1"/>
    <n v="1.3831224287145314E-2"/>
    <n v="10"/>
    <n v="1"/>
  </r>
  <r>
    <x v="0"/>
    <s v="2023-05-15 11:51:53"/>
    <n v="9"/>
    <x v="2"/>
    <x v="0"/>
    <x v="0"/>
    <n v="0.33364412431166102"/>
    <n v="4.6143546059850403E-2"/>
    <n v="0"/>
    <n v="1.6241827438930201"/>
    <n v="442"/>
    <s v="Unnamed ProjectLeave 1.QueueWaiting TimeQueue"/>
    <n v="10"/>
    <n v="0.3008886226313745"/>
    <n v="1.933471833668508E-2"/>
    <n v="0.95"/>
    <n v="1.3831224287145314E-2"/>
    <n v="0.26888675177172"/>
    <n v="0.33364412431166102"/>
    <n v="0"/>
    <n v="1.85671172404545"/>
    <n v="404.1"/>
    <n v="1.3831224287145314E-2"/>
    <n v="10"/>
    <n v="1"/>
  </r>
  <r>
    <x v="0"/>
    <s v="2023-05-15 11:51:53"/>
    <n v="10"/>
    <x v="2"/>
    <x v="0"/>
    <x v="0"/>
    <n v="0.298814355894505"/>
    <n v="5.5482518025806199E-2"/>
    <n v="0"/>
    <n v="1.7061922225127499"/>
    <n v="372"/>
    <s v="Unnamed ProjectLeave 1.QueueWaiting TimeQueue"/>
    <n v="10"/>
    <n v="0.3008886226313745"/>
    <n v="1.933471833668508E-2"/>
    <n v="0.95"/>
    <n v="1.3831224287145314E-2"/>
    <n v="0.26888675177172"/>
    <n v="0.33364412431166102"/>
    <n v="0"/>
    <n v="1.85671172404545"/>
    <n v="404.1"/>
    <n v="1.3831224287145314E-2"/>
    <n v="10"/>
    <n v="1"/>
  </r>
  <r>
    <x v="0"/>
    <s v="2023-05-15 11:51:53"/>
    <n v="1"/>
    <x v="3"/>
    <x v="0"/>
    <x v="0"/>
    <n v="0.172367306210509"/>
    <n v="2E+20"/>
    <n v="1.57556435766537E-3"/>
    <n v="0.56470635809105796"/>
    <n v="21"/>
    <s v="Unnamed ProjectLeave 4.QueueWaiting TimeQueue"/>
    <n v="10"/>
    <n v="0.1517737400408988"/>
    <n v="3.3769420229538806E-2"/>
    <n v="0.95"/>
    <n v="2.4157187971826054E-2"/>
    <n v="0.10109150355485701"/>
    <n v="0.208761085607581"/>
    <n v="0"/>
    <n v="0.943557278707431"/>
    <n v="19.5"/>
    <n v="2.4157187971826054E-2"/>
    <n v="10"/>
    <n v="1"/>
  </r>
  <r>
    <x v="0"/>
    <s v="2023-05-15 11:51:53"/>
    <n v="2"/>
    <x v="3"/>
    <x v="0"/>
    <x v="0"/>
    <n v="0.13124546986837399"/>
    <n v="2E+20"/>
    <n v="1.03772588984654E-2"/>
    <n v="0.47406751298871103"/>
    <n v="20"/>
    <s v="Unnamed ProjectLeave 4.QueueWaiting TimeQueue"/>
    <n v="10"/>
    <n v="0.1517737400408988"/>
    <n v="3.3769420229538806E-2"/>
    <n v="0.95"/>
    <n v="2.4157187971826054E-2"/>
    <n v="0.10109150355485701"/>
    <n v="0.208761085607581"/>
    <n v="0"/>
    <n v="0.943557278707431"/>
    <n v="19.5"/>
    <n v="2.4157187971826054E-2"/>
    <n v="10"/>
    <n v="1"/>
  </r>
  <r>
    <x v="0"/>
    <s v="2023-05-15 11:51:53"/>
    <n v="3"/>
    <x v="3"/>
    <x v="0"/>
    <x v="0"/>
    <n v="0.136712396054294"/>
    <n v="2E+20"/>
    <n v="0"/>
    <n v="0.30461637498982003"/>
    <n v="25"/>
    <s v="Unnamed ProjectLeave 4.QueueWaiting TimeQueue"/>
    <n v="10"/>
    <n v="0.1517737400408988"/>
    <n v="3.3769420229538806E-2"/>
    <n v="0.95"/>
    <n v="2.4157187971826054E-2"/>
    <n v="0.10109150355485701"/>
    <n v="0.208761085607581"/>
    <n v="0"/>
    <n v="0.943557278707431"/>
    <n v="19.5"/>
    <n v="2.4157187971826054E-2"/>
    <n v="10"/>
    <n v="1"/>
  </r>
  <r>
    <x v="0"/>
    <s v="2023-05-15 11:51:53"/>
    <n v="4"/>
    <x v="3"/>
    <x v="0"/>
    <x v="0"/>
    <n v="0.129497520900095"/>
    <n v="2E+20"/>
    <n v="0"/>
    <n v="0.28879537813247702"/>
    <n v="21"/>
    <s v="Unnamed ProjectLeave 4.QueueWaiting TimeQueue"/>
    <n v="10"/>
    <n v="0.1517737400408988"/>
    <n v="3.3769420229538806E-2"/>
    <n v="0.95"/>
    <n v="2.4157187971826054E-2"/>
    <n v="0.10109150355485701"/>
    <n v="0.208761085607581"/>
    <n v="0"/>
    <n v="0.943557278707431"/>
    <n v="19.5"/>
    <n v="2.4157187971826054E-2"/>
    <n v="10"/>
    <n v="1"/>
  </r>
  <r>
    <x v="0"/>
    <s v="2023-05-15 11:51:53"/>
    <n v="5"/>
    <x v="3"/>
    <x v="0"/>
    <x v="0"/>
    <n v="0.13487626433576799"/>
    <n v="2E+20"/>
    <n v="0"/>
    <n v="0.49169034336801998"/>
    <n v="20"/>
    <s v="Unnamed ProjectLeave 4.QueueWaiting TimeQueue"/>
    <n v="10"/>
    <n v="0.1517737400408988"/>
    <n v="3.3769420229538806E-2"/>
    <n v="0.95"/>
    <n v="2.4157187971826054E-2"/>
    <n v="0.10109150355485701"/>
    <n v="0.208761085607581"/>
    <n v="0"/>
    <n v="0.943557278707431"/>
    <n v="19.5"/>
    <n v="2.4157187971826054E-2"/>
    <n v="10"/>
    <n v="1"/>
  </r>
  <r>
    <x v="0"/>
    <s v="2023-05-15 11:51:53"/>
    <n v="6"/>
    <x v="3"/>
    <x v="0"/>
    <x v="0"/>
    <n v="0.201127684235963"/>
    <n v="2E+20"/>
    <n v="8.7474763910790898E-3"/>
    <n v="0.943557278707431"/>
    <n v="18"/>
    <s v="Unnamed ProjectLeave 4.QueueWaiting TimeQueue"/>
    <n v="10"/>
    <n v="0.1517737400408988"/>
    <n v="3.3769420229538806E-2"/>
    <n v="0.95"/>
    <n v="2.4157187971826054E-2"/>
    <n v="0.10109150355485701"/>
    <n v="0.208761085607581"/>
    <n v="0"/>
    <n v="0.943557278707431"/>
    <n v="19.5"/>
    <n v="2.4157187971826054E-2"/>
    <n v="10"/>
    <n v="1"/>
  </r>
  <r>
    <x v="0"/>
    <s v="2023-05-15 11:51:53"/>
    <n v="7"/>
    <x v="3"/>
    <x v="0"/>
    <x v="0"/>
    <n v="0.208761085607581"/>
    <n v="2E+20"/>
    <n v="0"/>
    <n v="0.93279576417194199"/>
    <n v="16"/>
    <s v="Unnamed ProjectLeave 4.QueueWaiting TimeQueue"/>
    <n v="10"/>
    <n v="0.1517737400408988"/>
    <n v="3.3769420229538806E-2"/>
    <n v="0.95"/>
    <n v="2.4157187971826054E-2"/>
    <n v="0.10109150355485701"/>
    <n v="0.208761085607581"/>
    <n v="0"/>
    <n v="0.943557278707431"/>
    <n v="19.5"/>
    <n v="2.4157187971826054E-2"/>
    <n v="10"/>
    <n v="1"/>
  </r>
  <r>
    <x v="0"/>
    <s v="2023-05-15 11:51:53"/>
    <n v="8"/>
    <x v="3"/>
    <x v="0"/>
    <x v="0"/>
    <n v="0.10109150355485701"/>
    <n v="2E+20"/>
    <n v="0"/>
    <n v="0.24255717161633999"/>
    <n v="19"/>
    <s v="Unnamed ProjectLeave 4.QueueWaiting TimeQueue"/>
    <n v="10"/>
    <n v="0.1517737400408988"/>
    <n v="3.3769420229538806E-2"/>
    <n v="0.95"/>
    <n v="2.4157187971826054E-2"/>
    <n v="0.10109150355485701"/>
    <n v="0.208761085607581"/>
    <n v="0"/>
    <n v="0.943557278707431"/>
    <n v="19.5"/>
    <n v="2.4157187971826054E-2"/>
    <n v="10"/>
    <n v="1"/>
  </r>
  <r>
    <x v="0"/>
    <s v="2023-05-15 11:51:53"/>
    <n v="9"/>
    <x v="3"/>
    <x v="0"/>
    <x v="0"/>
    <n v="0.15986346800326601"/>
    <n v="2E+20"/>
    <n v="2.5722818065389699E-2"/>
    <n v="0.46314628587413198"/>
    <n v="17"/>
    <s v="Unnamed ProjectLeave 4.QueueWaiting TimeQueue"/>
    <n v="10"/>
    <n v="0.1517737400408988"/>
    <n v="3.3769420229538806E-2"/>
    <n v="0.95"/>
    <n v="2.4157187971826054E-2"/>
    <n v="0.10109150355485701"/>
    <n v="0.208761085607581"/>
    <n v="0"/>
    <n v="0.943557278707431"/>
    <n v="19.5"/>
    <n v="2.4157187971826054E-2"/>
    <n v="10"/>
    <n v="1"/>
  </r>
  <r>
    <x v="0"/>
    <s v="2023-05-15 11:51:53"/>
    <n v="10"/>
    <x v="3"/>
    <x v="0"/>
    <x v="0"/>
    <n v="0.14219470163828099"/>
    <n v="2E+20"/>
    <n v="0"/>
    <n v="0.46389967301038798"/>
    <n v="18"/>
    <s v="Unnamed ProjectLeave 4.QueueWaiting TimeQueue"/>
    <n v="10"/>
    <n v="0.1517737400408988"/>
    <n v="3.3769420229538806E-2"/>
    <n v="0.95"/>
    <n v="2.4157187971826054E-2"/>
    <n v="0.10109150355485701"/>
    <n v="0.208761085607581"/>
    <n v="0"/>
    <n v="0.943557278707431"/>
    <n v="19.5"/>
    <n v="2.4157187971826054E-2"/>
    <n v="10"/>
    <n v="1"/>
  </r>
  <r>
    <x v="0"/>
    <s v="2023-05-15 11:51:53"/>
    <n v="1"/>
    <x v="4"/>
    <x v="0"/>
    <x v="0"/>
    <n v="0.14853803844049199"/>
    <n v="2E+20"/>
    <n v="0"/>
    <n v="0.66216657013278302"/>
    <n v="208"/>
    <s v="Unnamed ProjectLeave 5.QueueWaiting TimeQueue"/>
    <n v="10"/>
    <n v="0.13862345355425409"/>
    <n v="6.2605571929319906E-3"/>
    <n v="0.95"/>
    <n v="4.4785328231882185E-3"/>
    <n v="0.12897832957149399"/>
    <n v="0.14853803844049199"/>
    <n v="0"/>
    <n v="0.68196988748354703"/>
    <n v="211.1"/>
    <n v="4.4785328231882185E-3"/>
    <n v="10"/>
    <n v="1"/>
  </r>
  <r>
    <x v="0"/>
    <s v="2023-05-15 11:51:53"/>
    <n v="2"/>
    <x v="4"/>
    <x v="0"/>
    <x v="0"/>
    <n v="0.131360477983233"/>
    <n v="2E+20"/>
    <n v="0"/>
    <n v="0.50716273813509405"/>
    <n v="198"/>
    <s v="Unnamed ProjectLeave 5.QueueWaiting TimeQueue"/>
    <n v="10"/>
    <n v="0.13862345355425409"/>
    <n v="6.2605571929319906E-3"/>
    <n v="0.95"/>
    <n v="4.4785328231882185E-3"/>
    <n v="0.12897832957149399"/>
    <n v="0.14853803844049199"/>
    <n v="0"/>
    <n v="0.68196988748354703"/>
    <n v="211.1"/>
    <n v="4.4785328231882185E-3"/>
    <n v="10"/>
    <n v="1"/>
  </r>
  <r>
    <x v="0"/>
    <s v="2023-05-15 11:51:53"/>
    <n v="3"/>
    <x v="4"/>
    <x v="0"/>
    <x v="0"/>
    <n v="0.138246341701071"/>
    <n v="2E+20"/>
    <n v="0"/>
    <n v="0.40865860767928602"/>
    <n v="205"/>
    <s v="Unnamed ProjectLeave 5.QueueWaiting TimeQueue"/>
    <n v="10"/>
    <n v="0.13862345355425409"/>
    <n v="6.2605571929319906E-3"/>
    <n v="0.95"/>
    <n v="4.4785328231882185E-3"/>
    <n v="0.12897832957149399"/>
    <n v="0.14853803844049199"/>
    <n v="0"/>
    <n v="0.68196988748354703"/>
    <n v="211.1"/>
    <n v="4.4785328231882185E-3"/>
    <n v="10"/>
    <n v="1"/>
  </r>
  <r>
    <x v="0"/>
    <s v="2023-05-15 11:51:53"/>
    <n v="4"/>
    <x v="4"/>
    <x v="0"/>
    <x v="0"/>
    <n v="0.132019636018433"/>
    <n v="2E+20"/>
    <n v="0"/>
    <n v="0.68196988748354703"/>
    <n v="242"/>
    <s v="Unnamed ProjectLeave 5.QueueWaiting TimeQueue"/>
    <n v="10"/>
    <n v="0.13862345355425409"/>
    <n v="6.2605571929319906E-3"/>
    <n v="0.95"/>
    <n v="4.4785328231882185E-3"/>
    <n v="0.12897832957149399"/>
    <n v="0.14853803844049199"/>
    <n v="0"/>
    <n v="0.68196988748354703"/>
    <n v="211.1"/>
    <n v="4.4785328231882185E-3"/>
    <n v="10"/>
    <n v="1"/>
  </r>
  <r>
    <x v="0"/>
    <s v="2023-05-15 11:51:53"/>
    <n v="5"/>
    <x v="4"/>
    <x v="0"/>
    <x v="0"/>
    <n v="0.14302709067236299"/>
    <n v="2E+20"/>
    <n v="0"/>
    <n v="0.42587055148624098"/>
    <n v="215"/>
    <s v="Unnamed ProjectLeave 5.QueueWaiting TimeQueue"/>
    <n v="10"/>
    <n v="0.13862345355425409"/>
    <n v="6.2605571929319906E-3"/>
    <n v="0.95"/>
    <n v="4.4785328231882185E-3"/>
    <n v="0.12897832957149399"/>
    <n v="0.14853803844049199"/>
    <n v="0"/>
    <n v="0.68196988748354703"/>
    <n v="211.1"/>
    <n v="4.4785328231882185E-3"/>
    <n v="10"/>
    <n v="1"/>
  </r>
  <r>
    <x v="0"/>
    <s v="2023-05-15 11:51:53"/>
    <n v="6"/>
    <x v="4"/>
    <x v="0"/>
    <x v="0"/>
    <n v="0.139226476820074"/>
    <n v="2E+20"/>
    <n v="0"/>
    <n v="0.450468671557189"/>
    <n v="243"/>
    <s v="Unnamed ProjectLeave 5.QueueWaiting TimeQueue"/>
    <n v="10"/>
    <n v="0.13862345355425409"/>
    <n v="6.2605571929319906E-3"/>
    <n v="0.95"/>
    <n v="4.4785328231882185E-3"/>
    <n v="0.12897832957149399"/>
    <n v="0.14853803844049199"/>
    <n v="0"/>
    <n v="0.68196988748354703"/>
    <n v="211.1"/>
    <n v="4.4785328231882185E-3"/>
    <n v="10"/>
    <n v="1"/>
  </r>
  <r>
    <x v="0"/>
    <s v="2023-05-15 11:51:53"/>
    <n v="7"/>
    <x v="4"/>
    <x v="0"/>
    <x v="0"/>
    <n v="0.12897832957149399"/>
    <n v="2E+20"/>
    <n v="0"/>
    <n v="0.42121400572460699"/>
    <n v="191"/>
    <s v="Unnamed ProjectLeave 5.QueueWaiting TimeQueue"/>
    <n v="10"/>
    <n v="0.13862345355425409"/>
    <n v="6.2605571929319906E-3"/>
    <n v="0.95"/>
    <n v="4.4785328231882185E-3"/>
    <n v="0.12897832957149399"/>
    <n v="0.14853803844049199"/>
    <n v="0"/>
    <n v="0.68196988748354703"/>
    <n v="211.1"/>
    <n v="4.4785328231882185E-3"/>
    <n v="10"/>
    <n v="1"/>
  </r>
  <r>
    <x v="0"/>
    <s v="2023-05-15 11:51:53"/>
    <n v="8"/>
    <x v="4"/>
    <x v="0"/>
    <x v="0"/>
    <n v="0.14419343089282999"/>
    <n v="2E+20"/>
    <n v="0"/>
    <n v="0.52363983126190305"/>
    <n v="199"/>
    <s v="Unnamed ProjectLeave 5.QueueWaiting TimeQueue"/>
    <n v="10"/>
    <n v="0.13862345355425409"/>
    <n v="6.2605571929319906E-3"/>
    <n v="0.95"/>
    <n v="4.4785328231882185E-3"/>
    <n v="0.12897832957149399"/>
    <n v="0.14853803844049199"/>
    <n v="0"/>
    <n v="0.68196988748354703"/>
    <n v="211.1"/>
    <n v="4.4785328231882185E-3"/>
    <n v="10"/>
    <n v="1"/>
  </r>
  <r>
    <x v="0"/>
    <s v="2023-05-15 11:51:53"/>
    <n v="9"/>
    <x v="4"/>
    <x v="0"/>
    <x v="0"/>
    <n v="0.14236777785417901"/>
    <n v="2E+20"/>
    <n v="0"/>
    <n v="0.59183645754399095"/>
    <n v="227"/>
    <s v="Unnamed ProjectLeave 5.QueueWaiting TimeQueue"/>
    <n v="10"/>
    <n v="0.13862345355425409"/>
    <n v="6.2605571929319906E-3"/>
    <n v="0.95"/>
    <n v="4.4785328231882185E-3"/>
    <n v="0.12897832957149399"/>
    <n v="0.14853803844049199"/>
    <n v="0"/>
    <n v="0.68196988748354703"/>
    <n v="211.1"/>
    <n v="4.4785328231882185E-3"/>
    <n v="10"/>
    <n v="1"/>
  </r>
  <r>
    <x v="0"/>
    <s v="2023-05-15 11:51:53"/>
    <n v="10"/>
    <x v="4"/>
    <x v="0"/>
    <x v="0"/>
    <n v="0.13827693558837201"/>
    <n v="2E+20"/>
    <n v="0"/>
    <n v="0.58328853427691696"/>
    <n v="183"/>
    <s v="Unnamed ProjectLeave 5.QueueWaiting TimeQueue"/>
    <n v="10"/>
    <n v="0.13862345355425409"/>
    <n v="6.2605571929319906E-3"/>
    <n v="0.95"/>
    <n v="4.4785328231882185E-3"/>
    <n v="0.12897832957149399"/>
    <n v="0.14853803844049199"/>
    <n v="0"/>
    <n v="0.68196988748354703"/>
    <n v="211.1"/>
    <n v="4.4785328231882185E-3"/>
    <n v="10"/>
    <n v="1"/>
  </r>
  <r>
    <x v="0"/>
    <s v="2023-05-15 11:51:53"/>
    <n v="1"/>
    <x v="5"/>
    <x v="0"/>
    <x v="0"/>
    <n v="0.28540583753946402"/>
    <n v="2E+20"/>
    <n v="3.5135216831690699E-2"/>
    <n v="0.85722135471971195"/>
    <n v="4"/>
    <s v="Unnamed ProjectLeave 6.QueueWaiting TimeQueue"/>
    <n v="10"/>
    <n v="0.25786916325077475"/>
    <n v="0.10063233120279175"/>
    <n v="0.95"/>
    <n v="7.1988033089844278E-2"/>
    <n v="7.08022291539461E-2"/>
    <n v="0.399056420325756"/>
    <n v="0"/>
    <n v="1.47939229109431"/>
    <n v="7.6"/>
    <n v="7.1988033089844278E-2"/>
    <n v="10"/>
    <n v="1"/>
  </r>
  <r>
    <x v="0"/>
    <s v="2023-05-15 11:51:53"/>
    <n v="2"/>
    <x v="5"/>
    <x v="0"/>
    <x v="0"/>
    <n v="0.21626401593358899"/>
    <n v="2E+20"/>
    <n v="0"/>
    <n v="0.67322741380661499"/>
    <n v="9"/>
    <s v="Unnamed ProjectLeave 6.QueueWaiting TimeQueue"/>
    <n v="10"/>
    <n v="0.25786916325077475"/>
    <n v="0.10063233120279175"/>
    <n v="0.95"/>
    <n v="7.1988033089844278E-2"/>
    <n v="7.08022291539461E-2"/>
    <n v="0.399056420325756"/>
    <n v="0"/>
    <n v="1.47939229109431"/>
    <n v="7.6"/>
    <n v="7.1988033089844278E-2"/>
    <n v="10"/>
    <n v="1"/>
  </r>
  <r>
    <x v="0"/>
    <s v="2023-05-15 11:51:53"/>
    <n v="3"/>
    <x v="5"/>
    <x v="0"/>
    <x v="0"/>
    <n v="0.28179525089237201"/>
    <n v="2E+20"/>
    <n v="5.0240358265966699E-2"/>
    <n v="0.60508004372530899"/>
    <n v="6"/>
    <s v="Unnamed ProjectLeave 6.QueueWaiting TimeQueue"/>
    <n v="10"/>
    <n v="0.25786916325077475"/>
    <n v="0.10063233120279175"/>
    <n v="0.95"/>
    <n v="7.1988033089844278E-2"/>
    <n v="7.08022291539461E-2"/>
    <n v="0.399056420325756"/>
    <n v="0"/>
    <n v="1.47939229109431"/>
    <n v="7.6"/>
    <n v="7.1988033089844278E-2"/>
    <n v="10"/>
    <n v="1"/>
  </r>
  <r>
    <x v="0"/>
    <s v="2023-05-15 11:51:53"/>
    <n v="4"/>
    <x v="5"/>
    <x v="0"/>
    <x v="0"/>
    <n v="0.37471529767811901"/>
    <n v="2E+20"/>
    <n v="1.9400429858194498E-2"/>
    <n v="1.2820789194531701"/>
    <n v="10"/>
    <s v="Unnamed ProjectLeave 6.QueueWaiting TimeQueue"/>
    <n v="10"/>
    <n v="0.25786916325077475"/>
    <n v="0.10063233120279175"/>
    <n v="0.95"/>
    <n v="7.1988033089844278E-2"/>
    <n v="7.08022291539461E-2"/>
    <n v="0.399056420325756"/>
    <n v="0"/>
    <n v="1.47939229109431"/>
    <n v="7.6"/>
    <n v="7.1988033089844278E-2"/>
    <n v="10"/>
    <n v="1"/>
  </r>
  <r>
    <x v="0"/>
    <s v="2023-05-15 11:51:53"/>
    <n v="5"/>
    <x v="5"/>
    <x v="0"/>
    <x v="0"/>
    <n v="0.16835101310082901"/>
    <n v="2E+20"/>
    <n v="6.6851821961719802E-3"/>
    <n v="0.60373755813883201"/>
    <n v="10"/>
    <s v="Unnamed ProjectLeave 6.QueueWaiting TimeQueue"/>
    <n v="10"/>
    <n v="0.25786916325077475"/>
    <n v="0.10063233120279175"/>
    <n v="0.95"/>
    <n v="7.1988033089844278E-2"/>
    <n v="7.08022291539461E-2"/>
    <n v="0.399056420325756"/>
    <n v="0"/>
    <n v="1.47939229109431"/>
    <n v="7.6"/>
    <n v="7.1988033089844278E-2"/>
    <n v="10"/>
    <n v="1"/>
  </r>
  <r>
    <x v="0"/>
    <s v="2023-05-15 11:51:53"/>
    <n v="6"/>
    <x v="5"/>
    <x v="0"/>
    <x v="0"/>
    <n v="0.399056420325756"/>
    <n v="2E+20"/>
    <n v="5.1194541889003596E-3"/>
    <n v="0.96296974176777905"/>
    <n v="5"/>
    <s v="Unnamed ProjectLeave 6.QueueWaiting TimeQueue"/>
    <n v="10"/>
    <n v="0.25786916325077475"/>
    <n v="0.10063233120279175"/>
    <n v="0.95"/>
    <n v="7.1988033089844278E-2"/>
    <n v="7.08022291539461E-2"/>
    <n v="0.399056420325756"/>
    <n v="0"/>
    <n v="1.47939229109431"/>
    <n v="7.6"/>
    <n v="7.1988033089844278E-2"/>
    <n v="10"/>
    <n v="1"/>
  </r>
  <r>
    <x v="0"/>
    <s v="2023-05-15 11:51:53"/>
    <n v="7"/>
    <x v="5"/>
    <x v="0"/>
    <x v="0"/>
    <n v="0.21120764249517901"/>
    <n v="2E+20"/>
    <n v="0"/>
    <n v="0.93044596351262499"/>
    <n v="10"/>
    <s v="Unnamed ProjectLeave 6.QueueWaiting TimeQueue"/>
    <n v="10"/>
    <n v="0.25786916325077475"/>
    <n v="0.10063233120279175"/>
    <n v="0.95"/>
    <n v="7.1988033089844278E-2"/>
    <n v="7.08022291539461E-2"/>
    <n v="0.399056420325756"/>
    <n v="0"/>
    <n v="1.47939229109431"/>
    <n v="7.6"/>
    <n v="7.1988033089844278E-2"/>
    <n v="10"/>
    <n v="1"/>
  </r>
  <r>
    <x v="0"/>
    <s v="2023-05-15 11:51:53"/>
    <n v="8"/>
    <x v="5"/>
    <x v="0"/>
    <x v="0"/>
    <n v="7.08022291539461E-2"/>
    <n v="2E+20"/>
    <n v="2.34641212009024E-2"/>
    <n v="0.117179152739027"/>
    <n v="4"/>
    <s v="Unnamed ProjectLeave 6.QueueWaiting TimeQueue"/>
    <n v="10"/>
    <n v="0.25786916325077475"/>
    <n v="0.10063233120279175"/>
    <n v="0.95"/>
    <n v="7.1988033089844278E-2"/>
    <n v="7.08022291539461E-2"/>
    <n v="0.399056420325756"/>
    <n v="0"/>
    <n v="1.47939229109431"/>
    <n v="7.6"/>
    <n v="7.1988033089844278E-2"/>
    <n v="10"/>
    <n v="1"/>
  </r>
  <r>
    <x v="0"/>
    <s v="2023-05-15 11:51:53"/>
    <n v="9"/>
    <x v="5"/>
    <x v="0"/>
    <x v="0"/>
    <n v="0.223192075344257"/>
    <n v="2E+20"/>
    <n v="4.0843878139952501E-2"/>
    <n v="0.68933185879396297"/>
    <n v="12"/>
    <s v="Unnamed ProjectLeave 6.QueueWaiting TimeQueue"/>
    <n v="10"/>
    <n v="0.25786916325077475"/>
    <n v="0.10063233120279175"/>
    <n v="0.95"/>
    <n v="7.1988033089844278E-2"/>
    <n v="7.08022291539461E-2"/>
    <n v="0.399056420325756"/>
    <n v="0"/>
    <n v="1.47939229109431"/>
    <n v="7.6"/>
    <n v="7.1988033089844278E-2"/>
    <n v="10"/>
    <n v="1"/>
  </r>
  <r>
    <x v="0"/>
    <s v="2023-05-15 11:51:53"/>
    <n v="10"/>
    <x v="5"/>
    <x v="0"/>
    <x v="0"/>
    <n v="0.34790185004423602"/>
    <n v="2E+20"/>
    <n v="1.0254701541185801E-2"/>
    <n v="1.47939229109431"/>
    <n v="6"/>
    <s v="Unnamed ProjectLeave 6.QueueWaiting TimeQueue"/>
    <n v="10"/>
    <n v="0.25786916325077475"/>
    <n v="0.10063233120279175"/>
    <n v="0.95"/>
    <n v="7.1988033089844278E-2"/>
    <n v="7.08022291539461E-2"/>
    <n v="0.399056420325756"/>
    <n v="0"/>
    <n v="1.47939229109431"/>
    <n v="7.6"/>
    <n v="7.1988033089844278E-2"/>
    <n v="10"/>
    <n v="1"/>
  </r>
  <r>
    <x v="0"/>
    <s v="2023-05-15 11:51:53"/>
    <n v="1"/>
    <x v="6"/>
    <x v="0"/>
    <x v="0"/>
    <n v="0.274869257879017"/>
    <n v="2E+20"/>
    <n v="0"/>
    <n v="1.3734706259354099"/>
    <n v="159"/>
    <s v="Unnamed ProjectLeave 7.QueueWaiting TimeQueue"/>
    <n v="10"/>
    <n v="0.23128742376476713"/>
    <n v="3.5667228713169172E-2"/>
    <n v="0.95"/>
    <n v="2.5514798376800749E-2"/>
    <n v="0.17915813945078701"/>
    <n v="0.277529513746193"/>
    <n v="0"/>
    <n v="1.7322363982992499"/>
    <n v="153.69999999999999"/>
    <n v="2.5514798376800749E-2"/>
    <n v="10"/>
    <n v="1"/>
  </r>
  <r>
    <x v="0"/>
    <s v="2023-05-15 11:51:53"/>
    <n v="2"/>
    <x v="6"/>
    <x v="0"/>
    <x v="0"/>
    <n v="0.20318838707897299"/>
    <n v="2E+20"/>
    <n v="0"/>
    <n v="1.5973335260641199"/>
    <n v="138"/>
    <s v="Unnamed ProjectLeave 7.QueueWaiting TimeQueue"/>
    <n v="10"/>
    <n v="0.23128742376476713"/>
    <n v="3.5667228713169172E-2"/>
    <n v="0.95"/>
    <n v="2.5514798376800749E-2"/>
    <n v="0.17915813945078701"/>
    <n v="0.277529513746193"/>
    <n v="0"/>
    <n v="1.7322363982992499"/>
    <n v="153.69999999999999"/>
    <n v="2.5514798376800749E-2"/>
    <n v="10"/>
    <n v="1"/>
  </r>
  <r>
    <x v="0"/>
    <s v="2023-05-15 11:51:53"/>
    <n v="3"/>
    <x v="6"/>
    <x v="0"/>
    <x v="0"/>
    <n v="0.207625545960684"/>
    <n v="2E+20"/>
    <n v="0"/>
    <n v="1.10620580617103"/>
    <n v="147"/>
    <s v="Unnamed ProjectLeave 7.QueueWaiting TimeQueue"/>
    <n v="10"/>
    <n v="0.23128742376476713"/>
    <n v="3.5667228713169172E-2"/>
    <n v="0.95"/>
    <n v="2.5514798376800749E-2"/>
    <n v="0.17915813945078701"/>
    <n v="0.277529513746193"/>
    <n v="0"/>
    <n v="1.7322363982992499"/>
    <n v="153.69999999999999"/>
    <n v="2.5514798376800749E-2"/>
    <n v="10"/>
    <n v="1"/>
  </r>
  <r>
    <x v="0"/>
    <s v="2023-05-15 11:51:53"/>
    <n v="4"/>
    <x v="6"/>
    <x v="0"/>
    <x v="0"/>
    <n v="0.26201496231848198"/>
    <n v="2E+20"/>
    <n v="0"/>
    <n v="1.42296403643525"/>
    <n v="151"/>
    <s v="Unnamed ProjectLeave 7.QueueWaiting TimeQueue"/>
    <n v="10"/>
    <n v="0.23128742376476713"/>
    <n v="3.5667228713169172E-2"/>
    <n v="0.95"/>
    <n v="2.5514798376800749E-2"/>
    <n v="0.17915813945078701"/>
    <n v="0.277529513746193"/>
    <n v="0"/>
    <n v="1.7322363982992499"/>
    <n v="153.69999999999999"/>
    <n v="2.5514798376800749E-2"/>
    <n v="10"/>
    <n v="1"/>
  </r>
  <r>
    <x v="0"/>
    <s v="2023-05-15 11:51:53"/>
    <n v="5"/>
    <x v="6"/>
    <x v="0"/>
    <x v="0"/>
    <n v="0.277529513746193"/>
    <n v="2E+20"/>
    <n v="0"/>
    <n v="1.7322363982992499"/>
    <n v="170"/>
    <s v="Unnamed ProjectLeave 7.QueueWaiting TimeQueue"/>
    <n v="10"/>
    <n v="0.23128742376476713"/>
    <n v="3.5667228713169172E-2"/>
    <n v="0.95"/>
    <n v="2.5514798376800749E-2"/>
    <n v="0.17915813945078701"/>
    <n v="0.277529513746193"/>
    <n v="0"/>
    <n v="1.7322363982992499"/>
    <n v="153.69999999999999"/>
    <n v="2.5514798376800749E-2"/>
    <n v="10"/>
    <n v="1"/>
  </r>
  <r>
    <x v="0"/>
    <s v="2023-05-15 11:51:53"/>
    <n v="6"/>
    <x v="6"/>
    <x v="0"/>
    <x v="0"/>
    <n v="0.25053670978425602"/>
    <n v="2E+20"/>
    <n v="0"/>
    <n v="1.43812859957434"/>
    <n v="150"/>
    <s v="Unnamed ProjectLeave 7.QueueWaiting TimeQueue"/>
    <n v="10"/>
    <n v="0.23128742376476713"/>
    <n v="3.5667228713169172E-2"/>
    <n v="0.95"/>
    <n v="2.5514798376800749E-2"/>
    <n v="0.17915813945078701"/>
    <n v="0.277529513746193"/>
    <n v="0"/>
    <n v="1.7322363982992499"/>
    <n v="153.69999999999999"/>
    <n v="2.5514798376800749E-2"/>
    <n v="10"/>
    <n v="1"/>
  </r>
  <r>
    <x v="0"/>
    <s v="2023-05-15 11:51:53"/>
    <n v="7"/>
    <x v="6"/>
    <x v="0"/>
    <x v="0"/>
    <n v="0.194926321657657"/>
    <n v="2E+20"/>
    <n v="0"/>
    <n v="0.97674778457780997"/>
    <n v="146"/>
    <s v="Unnamed ProjectLeave 7.QueueWaiting TimeQueue"/>
    <n v="10"/>
    <n v="0.23128742376476713"/>
    <n v="3.5667228713169172E-2"/>
    <n v="0.95"/>
    <n v="2.5514798376800749E-2"/>
    <n v="0.17915813945078701"/>
    <n v="0.277529513746193"/>
    <n v="0"/>
    <n v="1.7322363982992499"/>
    <n v="153.69999999999999"/>
    <n v="2.5514798376800749E-2"/>
    <n v="10"/>
    <n v="1"/>
  </r>
  <r>
    <x v="0"/>
    <s v="2023-05-15 11:51:53"/>
    <n v="8"/>
    <x v="6"/>
    <x v="0"/>
    <x v="0"/>
    <n v="0.25032497242500201"/>
    <n v="2E+20"/>
    <n v="0"/>
    <n v="1.36665760469788"/>
    <n v="145"/>
    <s v="Unnamed ProjectLeave 7.QueueWaiting TimeQueue"/>
    <n v="10"/>
    <n v="0.23128742376476713"/>
    <n v="3.5667228713169172E-2"/>
    <n v="0.95"/>
    <n v="2.5514798376800749E-2"/>
    <n v="0.17915813945078701"/>
    <n v="0.277529513746193"/>
    <n v="0"/>
    <n v="1.7322363982992499"/>
    <n v="153.69999999999999"/>
    <n v="2.5514798376800749E-2"/>
    <n v="10"/>
    <n v="1"/>
  </r>
  <r>
    <x v="0"/>
    <s v="2023-05-15 11:51:53"/>
    <n v="9"/>
    <x v="6"/>
    <x v="0"/>
    <x v="0"/>
    <n v="0.21270042734662001"/>
    <n v="2E+20"/>
    <n v="0"/>
    <n v="1.1066964644169599"/>
    <n v="179"/>
    <s v="Unnamed ProjectLeave 7.QueueWaiting TimeQueue"/>
    <n v="10"/>
    <n v="0.23128742376476713"/>
    <n v="3.5667228713169172E-2"/>
    <n v="0.95"/>
    <n v="2.5514798376800749E-2"/>
    <n v="0.17915813945078701"/>
    <n v="0.277529513746193"/>
    <n v="0"/>
    <n v="1.7322363982992499"/>
    <n v="153.69999999999999"/>
    <n v="2.5514798376800749E-2"/>
    <n v="10"/>
    <n v="1"/>
  </r>
  <r>
    <x v="0"/>
    <s v="2023-05-15 11:51:53"/>
    <n v="10"/>
    <x v="6"/>
    <x v="0"/>
    <x v="0"/>
    <n v="0.17915813945078701"/>
    <n v="2E+20"/>
    <n v="0"/>
    <n v="1.0492974260010299"/>
    <n v="152"/>
    <s v="Unnamed ProjectLeave 7.QueueWaiting TimeQueue"/>
    <n v="10"/>
    <n v="0.23128742376476713"/>
    <n v="3.5667228713169172E-2"/>
    <n v="0.95"/>
    <n v="2.5514798376800749E-2"/>
    <n v="0.17915813945078701"/>
    <n v="0.277529513746193"/>
    <n v="0"/>
    <n v="1.7322363982992499"/>
    <n v="153.69999999999999"/>
    <n v="2.5514798376800749E-2"/>
    <n v="10"/>
    <n v="1"/>
  </r>
  <r>
    <x v="0"/>
    <s v="2023-05-15 11:51:53"/>
    <n v="1"/>
    <x v="7"/>
    <x v="0"/>
    <x v="0"/>
    <n v="0.108541277691984"/>
    <n v="2E+20"/>
    <n v="1.4527022355309799E-2"/>
    <n v="0.21152805389385801"/>
    <n v="5"/>
    <s v="Unnamed ProjectLeave 8.QueueWaiting TimeQueue"/>
    <n v="10"/>
    <n v="0.17396237066656711"/>
    <n v="4.0306321472700482E-2"/>
    <n v="0.95"/>
    <n v="2.8833405419769982E-2"/>
    <n v="0.108541277691984"/>
    <n v="0.23660238745968801"/>
    <n v="0"/>
    <n v="0.62071569718057196"/>
    <n v="7.2"/>
    <n v="2.8833405419769982E-2"/>
    <n v="10"/>
    <n v="1"/>
  </r>
  <r>
    <x v="0"/>
    <s v="2023-05-15 11:51:53"/>
    <n v="2"/>
    <x v="7"/>
    <x v="0"/>
    <x v="0"/>
    <n v="0.149024419919662"/>
    <n v="2E+20"/>
    <n v="8.8100973286714193E-2"/>
    <n v="0.214622133805904"/>
    <n v="6"/>
    <s v="Unnamed ProjectLeave 8.QueueWaiting TimeQueue"/>
    <n v="10"/>
    <n v="0.17396237066656711"/>
    <n v="4.0306321472700482E-2"/>
    <n v="0.95"/>
    <n v="2.8833405419769982E-2"/>
    <n v="0.108541277691984"/>
    <n v="0.23660238745968801"/>
    <n v="0"/>
    <n v="0.62071569718057196"/>
    <n v="7.2"/>
    <n v="2.8833405419769982E-2"/>
    <n v="10"/>
    <n v="1"/>
  </r>
  <r>
    <x v="0"/>
    <s v="2023-05-15 11:51:53"/>
    <n v="3"/>
    <x v="7"/>
    <x v="0"/>
    <x v="0"/>
    <n v="0.14433909010523699"/>
    <n v="2E+20"/>
    <n v="0"/>
    <n v="0.25"/>
    <n v="10"/>
    <s v="Unnamed ProjectLeave 8.QueueWaiting TimeQueue"/>
    <n v="10"/>
    <n v="0.17396237066656711"/>
    <n v="4.0306321472700482E-2"/>
    <n v="0.95"/>
    <n v="2.8833405419769982E-2"/>
    <n v="0.108541277691984"/>
    <n v="0.23660238745968801"/>
    <n v="0"/>
    <n v="0.62071569718057196"/>
    <n v="7.2"/>
    <n v="2.8833405419769982E-2"/>
    <n v="10"/>
    <n v="1"/>
  </r>
  <r>
    <x v="0"/>
    <s v="2023-05-15 11:51:53"/>
    <n v="4"/>
    <x v="7"/>
    <x v="0"/>
    <x v="0"/>
    <n v="0.20383281150276999"/>
    <n v="2E+20"/>
    <n v="4.3708775436712699E-2"/>
    <n v="0.410807622241464"/>
    <n v="7"/>
    <s v="Unnamed ProjectLeave 8.QueueWaiting TimeQueue"/>
    <n v="10"/>
    <n v="0.17396237066656711"/>
    <n v="4.0306321472700482E-2"/>
    <n v="0.95"/>
    <n v="2.8833405419769982E-2"/>
    <n v="0.108541277691984"/>
    <n v="0.23660238745968801"/>
    <n v="0"/>
    <n v="0.62071569718057196"/>
    <n v="7.2"/>
    <n v="2.8833405419769982E-2"/>
    <n v="10"/>
    <n v="1"/>
  </r>
  <r>
    <x v="0"/>
    <s v="2023-05-15 11:51:53"/>
    <n v="5"/>
    <x v="7"/>
    <x v="0"/>
    <x v="0"/>
    <n v="0.193583434044097"/>
    <n v="2E+20"/>
    <n v="0.104250314721753"/>
    <n v="0.43047968144162502"/>
    <n v="11"/>
    <s v="Unnamed ProjectLeave 8.QueueWaiting TimeQueue"/>
    <n v="10"/>
    <n v="0.17396237066656711"/>
    <n v="4.0306321472700482E-2"/>
    <n v="0.95"/>
    <n v="2.8833405419769982E-2"/>
    <n v="0.108541277691984"/>
    <n v="0.23660238745968801"/>
    <n v="0"/>
    <n v="0.62071569718057196"/>
    <n v="7.2"/>
    <n v="2.8833405419769982E-2"/>
    <n v="10"/>
    <n v="1"/>
  </r>
  <r>
    <x v="0"/>
    <s v="2023-05-15 11:51:53"/>
    <n v="6"/>
    <x v="7"/>
    <x v="0"/>
    <x v="0"/>
    <n v="0.17131779798257701"/>
    <n v="2E+20"/>
    <n v="2.4313649800888001E-2"/>
    <n v="0.48164486377015697"/>
    <n v="7"/>
    <s v="Unnamed ProjectLeave 8.QueueWaiting TimeQueue"/>
    <n v="10"/>
    <n v="0.17396237066656711"/>
    <n v="4.0306321472700482E-2"/>
    <n v="0.95"/>
    <n v="2.8833405419769982E-2"/>
    <n v="0.108541277691984"/>
    <n v="0.23660238745968801"/>
    <n v="0"/>
    <n v="0.62071569718057196"/>
    <n v="7.2"/>
    <n v="2.8833405419769982E-2"/>
    <n v="10"/>
    <n v="1"/>
  </r>
  <r>
    <x v="0"/>
    <s v="2023-05-15 11:51:53"/>
    <n v="7"/>
    <x v="7"/>
    <x v="0"/>
    <x v="0"/>
    <n v="0.22084331737049501"/>
    <n v="2E+20"/>
    <n v="1.28016881187136E-2"/>
    <n v="0.62071569718057196"/>
    <n v="8"/>
    <s v="Unnamed ProjectLeave 8.QueueWaiting TimeQueue"/>
    <n v="10"/>
    <n v="0.17396237066656711"/>
    <n v="4.0306321472700482E-2"/>
    <n v="0.95"/>
    <n v="2.8833405419769982E-2"/>
    <n v="0.108541277691984"/>
    <n v="0.23660238745968801"/>
    <n v="0"/>
    <n v="0.62071569718057196"/>
    <n v="7.2"/>
    <n v="2.8833405419769982E-2"/>
    <n v="10"/>
    <n v="1"/>
  </r>
  <r>
    <x v="0"/>
    <s v="2023-05-15 11:51:53"/>
    <n v="8"/>
    <x v="7"/>
    <x v="0"/>
    <x v="0"/>
    <n v="0.136093920935906"/>
    <n v="2E+20"/>
    <n v="2.9846907295905101E-2"/>
    <n v="0.33686124954220997"/>
    <n v="5"/>
    <s v="Unnamed ProjectLeave 8.QueueWaiting TimeQueue"/>
    <n v="10"/>
    <n v="0.17396237066656711"/>
    <n v="4.0306321472700482E-2"/>
    <n v="0.95"/>
    <n v="2.8833405419769982E-2"/>
    <n v="0.108541277691984"/>
    <n v="0.23660238745968801"/>
    <n v="0"/>
    <n v="0.62071569718057196"/>
    <n v="7.2"/>
    <n v="2.8833405419769982E-2"/>
    <n v="10"/>
    <n v="1"/>
  </r>
  <r>
    <x v="0"/>
    <s v="2023-05-15 11:51:53"/>
    <n v="9"/>
    <x v="7"/>
    <x v="0"/>
    <x v="0"/>
    <n v="0.23660238745968801"/>
    <n v="2E+20"/>
    <n v="4.4384876168805897E-2"/>
    <n v="0.461745961402869"/>
    <n v="6"/>
    <s v="Unnamed ProjectLeave 8.QueueWaiting TimeQueue"/>
    <n v="10"/>
    <n v="0.17396237066656711"/>
    <n v="4.0306321472700482E-2"/>
    <n v="0.95"/>
    <n v="2.8833405419769982E-2"/>
    <n v="0.108541277691984"/>
    <n v="0.23660238745968801"/>
    <n v="0"/>
    <n v="0.62071569718057196"/>
    <n v="7.2"/>
    <n v="2.8833405419769982E-2"/>
    <n v="10"/>
    <n v="1"/>
  </r>
  <r>
    <x v="0"/>
    <s v="2023-05-15 11:51:53"/>
    <n v="10"/>
    <x v="7"/>
    <x v="0"/>
    <x v="0"/>
    <n v="0.175445249653255"/>
    <n v="2E+20"/>
    <n v="8.4548822628619305E-2"/>
    <n v="0.45505557331173901"/>
    <n v="7"/>
    <s v="Unnamed ProjectLeave 8.QueueWaiting TimeQueue"/>
    <n v="10"/>
    <n v="0.17396237066656711"/>
    <n v="4.0306321472700482E-2"/>
    <n v="0.95"/>
    <n v="2.8833405419769982E-2"/>
    <n v="0.108541277691984"/>
    <n v="0.23660238745968801"/>
    <n v="0"/>
    <n v="0.62071569718057196"/>
    <n v="7.2"/>
    <n v="2.8833405419769982E-2"/>
    <n v="10"/>
    <n v="1"/>
  </r>
  <r>
    <x v="0"/>
    <s v="2023-05-15 11:51:53"/>
    <n v="1"/>
    <x v="8"/>
    <x v="0"/>
    <x v="0"/>
    <n v="0.301188913671119"/>
    <n v="2E+20"/>
    <n v="2.3709873532766299E-2"/>
    <n v="0.91780860791047303"/>
    <n v="4"/>
    <s v="Unnamed ProjectLeave 9.QueueWaiting TimeQueue"/>
    <n v="10"/>
    <n v="0.24363801759755802"/>
    <n v="0.15414980070793341"/>
    <n v="0.95"/>
    <n v="0.11027212449042181"/>
    <n v="0.123426281098375"/>
    <n v="0.65491181441629098"/>
    <n v="1.48746592609541E-2"/>
    <n v="1.28977936785787"/>
    <n v="3.6"/>
    <n v="0.11027212449042181"/>
    <n v="10"/>
    <n v="1"/>
  </r>
  <r>
    <x v="0"/>
    <s v="2023-05-15 11:51:53"/>
    <n v="2"/>
    <x v="8"/>
    <x v="0"/>
    <x v="0"/>
    <n v="0.15112656138800001"/>
    <n v="2E+20"/>
    <n v="3.3245112822328303E-2"/>
    <n v="0.297438022446045"/>
    <n v="5"/>
    <s v="Unnamed ProjectLeave 9.QueueWaiting TimeQueue"/>
    <n v="10"/>
    <n v="0.24363801759755802"/>
    <n v="0.15414980070793341"/>
    <n v="0.95"/>
    <n v="0.11027212449042181"/>
    <n v="0.123426281098375"/>
    <n v="0.65491181441629098"/>
    <n v="1.48746592609541E-2"/>
    <n v="1.28977936785787"/>
    <n v="3.6"/>
    <n v="0.11027212449042181"/>
    <n v="10"/>
    <n v="1"/>
  </r>
  <r>
    <x v="0"/>
    <s v="2023-05-15 11:51:53"/>
    <n v="3"/>
    <x v="8"/>
    <x v="0"/>
    <x v="0"/>
    <n v="0.123426281098375"/>
    <n v="2E+20"/>
    <n v="7.70048213348105E-2"/>
    <n v="0.16984774086193999"/>
    <n v="2"/>
    <s v="Unnamed ProjectLeave 9.QueueWaiting TimeQueue"/>
    <n v="10"/>
    <n v="0.24363801759755802"/>
    <n v="0.15414980070793341"/>
    <n v="0.95"/>
    <n v="0.11027212449042181"/>
    <n v="0.123426281098375"/>
    <n v="0.65491181441629098"/>
    <n v="1.48746592609541E-2"/>
    <n v="1.28977936785787"/>
    <n v="3.6"/>
    <n v="0.11027212449042181"/>
    <n v="10"/>
    <n v="1"/>
  </r>
  <r>
    <x v="0"/>
    <s v="2023-05-15 11:51:53"/>
    <n v="4"/>
    <x v="8"/>
    <x v="0"/>
    <x v="0"/>
    <n v="0.241244181022267"/>
    <n v="2E+20"/>
    <n v="9.2178571042865101E-2"/>
    <n v="0.44088562305398699"/>
    <n v="4"/>
    <s v="Unnamed ProjectLeave 9.QueueWaiting TimeQueue"/>
    <n v="10"/>
    <n v="0.24363801759755802"/>
    <n v="0.15414980070793341"/>
    <n v="0.95"/>
    <n v="0.11027212449042181"/>
    <n v="0.123426281098375"/>
    <n v="0.65491181441629098"/>
    <n v="1.48746592609541E-2"/>
    <n v="1.28977936785787"/>
    <n v="3.6"/>
    <n v="0.11027212449042181"/>
    <n v="10"/>
    <n v="1"/>
  </r>
  <r>
    <x v="0"/>
    <s v="2023-05-15 11:51:53"/>
    <n v="5"/>
    <x v="8"/>
    <x v="0"/>
    <x v="0"/>
    <n v="0.15743240460320099"/>
    <n v="2E+20"/>
    <n v="5.0988822317904699E-2"/>
    <n v="0.21448023063060601"/>
    <n v="4"/>
    <s v="Unnamed ProjectLeave 9.QueueWaiting TimeQueue"/>
    <n v="10"/>
    <n v="0.24363801759755802"/>
    <n v="0.15414980070793341"/>
    <n v="0.95"/>
    <n v="0.11027212449042181"/>
    <n v="0.123426281098375"/>
    <n v="0.65491181441629098"/>
    <n v="1.48746592609541E-2"/>
    <n v="1.28977936785787"/>
    <n v="3.6"/>
    <n v="0.11027212449042181"/>
    <n v="10"/>
    <n v="1"/>
  </r>
  <r>
    <x v="0"/>
    <s v="2023-05-15 11:51:53"/>
    <n v="6"/>
    <x v="8"/>
    <x v="0"/>
    <x v="0"/>
    <n v="0.17133167973685201"/>
    <n v="2E+20"/>
    <n v="0.17133167973685201"/>
    <n v="0.17133167973685201"/>
    <n v="1"/>
    <s v="Unnamed ProjectLeave 9.QueueWaiting TimeQueue"/>
    <n v="10"/>
    <n v="0.24363801759755802"/>
    <n v="0.15414980070793341"/>
    <n v="0.95"/>
    <n v="0.11027212449042181"/>
    <n v="0.123426281098375"/>
    <n v="0.65491181441629098"/>
    <n v="1.48746592609541E-2"/>
    <n v="1.28977936785787"/>
    <n v="3.6"/>
    <n v="0.11027212449042181"/>
    <n v="10"/>
    <n v="1"/>
  </r>
  <r>
    <x v="0"/>
    <s v="2023-05-15 11:51:53"/>
    <n v="7"/>
    <x v="8"/>
    <x v="0"/>
    <x v="0"/>
    <n v="0.20870142151704801"/>
    <n v="2E+20"/>
    <n v="3.2216873445918302E-2"/>
    <n v="0.52996131785073397"/>
    <n v="4"/>
    <s v="Unnamed ProjectLeave 9.QueueWaiting TimeQueue"/>
    <n v="10"/>
    <n v="0.24363801759755802"/>
    <n v="0.15414980070793341"/>
    <n v="0.95"/>
    <n v="0.11027212449042181"/>
    <n v="0.123426281098375"/>
    <n v="0.65491181441629098"/>
    <n v="1.48746592609541E-2"/>
    <n v="1.28977936785787"/>
    <n v="3.6"/>
    <n v="0.11027212449042181"/>
    <n v="10"/>
    <n v="1"/>
  </r>
  <r>
    <x v="0"/>
    <s v="2023-05-15 11:51:53"/>
    <n v="8"/>
    <x v="8"/>
    <x v="0"/>
    <x v="0"/>
    <n v="0.65491181441629098"/>
    <n v="2E+20"/>
    <n v="2.0044260974714199E-2"/>
    <n v="1.28977936785787"/>
    <n v="2"/>
    <s v="Unnamed ProjectLeave 9.QueueWaiting TimeQueue"/>
    <n v="10"/>
    <n v="0.24363801759755802"/>
    <n v="0.15414980070793341"/>
    <n v="0.95"/>
    <n v="0.11027212449042181"/>
    <n v="0.123426281098375"/>
    <n v="0.65491181441629098"/>
    <n v="1.48746592609541E-2"/>
    <n v="1.28977936785787"/>
    <n v="3.6"/>
    <n v="0.11027212449042181"/>
    <n v="10"/>
    <n v="1"/>
  </r>
  <r>
    <x v="0"/>
    <s v="2023-05-15 11:51:53"/>
    <n v="9"/>
    <x v="8"/>
    <x v="0"/>
    <x v="0"/>
    <n v="0.25018601259458301"/>
    <n v="2E+20"/>
    <n v="1.48746592609541E-2"/>
    <n v="0.536305471281878"/>
    <n v="6"/>
    <s v="Unnamed ProjectLeave 9.QueueWaiting TimeQueue"/>
    <n v="10"/>
    <n v="0.24363801759755802"/>
    <n v="0.15414980070793341"/>
    <n v="0.95"/>
    <n v="0.11027212449042181"/>
    <n v="0.123426281098375"/>
    <n v="0.65491181441629098"/>
    <n v="1.48746592609541E-2"/>
    <n v="1.28977936785787"/>
    <n v="3.6"/>
    <n v="0.11027212449042181"/>
    <n v="10"/>
    <n v="1"/>
  </r>
  <r>
    <x v="0"/>
    <s v="2023-05-15 11:51:53"/>
    <n v="10"/>
    <x v="8"/>
    <x v="0"/>
    <x v="0"/>
    <n v="0.17683090592784401"/>
    <n v="2E+20"/>
    <n v="0.10565646743410199"/>
    <n v="0.237845580169534"/>
    <n v="4"/>
    <s v="Unnamed ProjectLeave 9.QueueWaiting TimeQueue"/>
    <n v="10"/>
    <n v="0.24363801759755802"/>
    <n v="0.15414980070793341"/>
    <n v="0.95"/>
    <n v="0.11027212449042181"/>
    <n v="0.123426281098375"/>
    <n v="0.65491181441629098"/>
    <n v="1.48746592609541E-2"/>
    <n v="1.28977936785787"/>
    <n v="3.6"/>
    <n v="0.11027212449042181"/>
    <n v="10"/>
    <n v="1"/>
  </r>
  <r>
    <x v="0"/>
    <s v="2023-05-15 11:51:53"/>
    <n v="1"/>
    <x v="9"/>
    <x v="1"/>
    <x v="1"/>
    <n v="0"/>
    <n v="2E+20"/>
    <n v="0"/>
    <n v="0"/>
    <n v="224"/>
    <s v="Unnamed ProjectMaleta InternacionalNVA TimeEntity"/>
    <n v="10"/>
    <n v="0"/>
    <n v="0"/>
    <n v="0.95"/>
    <n v="0"/>
    <n v="0"/>
    <n v="0"/>
    <n v="0"/>
    <n v="0"/>
    <n v="224.5"/>
    <n v="0"/>
    <n v="10"/>
    <n v="1"/>
  </r>
  <r>
    <x v="0"/>
    <s v="2023-05-15 11:51:53"/>
    <n v="1"/>
    <x v="9"/>
    <x v="2"/>
    <x v="1"/>
    <n v="0"/>
    <n v="2E+20"/>
    <n v="0"/>
    <n v="0"/>
    <n v="224"/>
    <s v="Unnamed ProjectMaleta InternacionalOther TimeEntity"/>
    <n v="10"/>
    <n v="0"/>
    <n v="0"/>
    <n v="0.95"/>
    <n v="0"/>
    <n v="0"/>
    <n v="0"/>
    <n v="0"/>
    <n v="0"/>
    <n v="224.5"/>
    <n v="0"/>
    <n v="10"/>
    <n v="1"/>
  </r>
  <r>
    <x v="0"/>
    <s v="2023-05-15 11:51:53"/>
    <n v="1"/>
    <x v="9"/>
    <x v="3"/>
    <x v="1"/>
    <n v="32.588376923965598"/>
    <n v="2E+20"/>
    <n v="22.866453143351102"/>
    <n v="82.685285525565305"/>
    <n v="224"/>
    <s v="Unnamed ProjectMaleta InternacionalTotal TimeEntity"/>
    <n v="10"/>
    <n v="33.253502377545352"/>
    <n v="2.1177998980631196"/>
    <n v="0.95"/>
    <n v="1.5149827825434223"/>
    <n v="30.4429454447571"/>
    <n v="37.550474842510702"/>
    <n v="16.120227250597601"/>
    <n v="113.799943366541"/>
    <n v="224.5"/>
    <n v="1.5149827825434223"/>
    <n v="10"/>
    <n v="1"/>
  </r>
  <r>
    <x v="0"/>
    <s v="2023-05-15 11:51:53"/>
    <n v="1"/>
    <x v="9"/>
    <x v="4"/>
    <x v="1"/>
    <n v="22.093830728491"/>
    <n v="2E+20"/>
    <n v="12.496657505961901"/>
    <n v="23.670962550056601"/>
    <n v="224"/>
    <s v="Unnamed ProjectMaleta InternacionalTransfer TimeEntity"/>
    <n v="10"/>
    <n v="22.240004336080037"/>
    <n v="0.10870076266182885"/>
    <n v="0.95"/>
    <n v="7.7759841254417442E-2"/>
    <n v="22.093830728491"/>
    <n v="22.3674390933379"/>
    <n v="12.495157320109101"/>
    <n v="24.7092274641826"/>
    <n v="224.5"/>
    <n v="7.7759841254417442E-2"/>
    <n v="10"/>
    <n v="1"/>
  </r>
  <r>
    <x v="0"/>
    <s v="2023-05-15 11:51:53"/>
    <n v="1"/>
    <x v="9"/>
    <x v="5"/>
    <x v="1"/>
    <n v="3.5971036954125899"/>
    <n v="2E+20"/>
    <n v="1.19850422442198E-2"/>
    <n v="51.805321942351704"/>
    <n v="224"/>
    <s v="Unnamed ProjectMaleta InternacionalVA TimeEntity"/>
    <n v="10"/>
    <n v="3.080292683880868"/>
    <n v="0.28309972431314245"/>
    <n v="0.95"/>
    <n v="0.20251734286579773"/>
    <n v="2.6200471420642701"/>
    <n v="3.5971036954125899"/>
    <n v="6.7622472681705403E-4"/>
    <n v="72.821351831539602"/>
    <n v="224.5"/>
    <n v="0.20251734286579773"/>
    <n v="10"/>
    <n v="1"/>
  </r>
  <r>
    <x v="0"/>
    <s v="2023-05-15 11:51:53"/>
    <n v="1"/>
    <x v="9"/>
    <x v="6"/>
    <x v="1"/>
    <n v="6.8974425000619997"/>
    <n v="2E+20"/>
    <n v="3.2750072748342497E-2"/>
    <n v="49.7743885948383"/>
    <n v="224"/>
    <s v="Unnamed ProjectMaleta InternacionalWait TimeEntity"/>
    <n v="10"/>
    <n v="7.9332053575844457"/>
    <n v="2.2413755170531835"/>
    <n v="0.95"/>
    <n v="1.6033834549975641"/>
    <n v="4.95941310790713"/>
    <n v="12.590607922773099"/>
    <n v="0"/>
    <n v="77.827526023274501"/>
    <n v="224.5"/>
    <n v="1.6033834549975641"/>
    <n v="10"/>
    <n v="1"/>
  </r>
  <r>
    <x v="0"/>
    <s v="2023-05-15 11:51:53"/>
    <n v="2"/>
    <x v="9"/>
    <x v="1"/>
    <x v="1"/>
    <n v="0"/>
    <n v="2E+20"/>
    <n v="0"/>
    <n v="0"/>
    <n v="211"/>
    <s v="Unnamed ProjectMaleta InternacionalNVA TimeEntity"/>
    <n v="10"/>
    <n v="0"/>
    <n v="0"/>
    <n v="0.95"/>
    <n v="0"/>
    <n v="0"/>
    <n v="0"/>
    <n v="0"/>
    <n v="0"/>
    <n v="224.5"/>
    <n v="0"/>
    <n v="10"/>
    <n v="1"/>
  </r>
  <r>
    <x v="0"/>
    <s v="2023-05-15 11:51:53"/>
    <n v="2"/>
    <x v="9"/>
    <x v="2"/>
    <x v="1"/>
    <n v="0"/>
    <n v="2E+20"/>
    <n v="0"/>
    <n v="0"/>
    <n v="211"/>
    <s v="Unnamed ProjectMaleta InternacionalOther TimeEntity"/>
    <n v="10"/>
    <n v="0"/>
    <n v="0"/>
    <n v="0.95"/>
    <n v="0"/>
    <n v="0"/>
    <n v="0"/>
    <n v="0"/>
    <n v="0"/>
    <n v="224.5"/>
    <n v="0"/>
    <n v="10"/>
    <n v="1"/>
  </r>
  <r>
    <x v="0"/>
    <s v="2023-05-15 11:51:53"/>
    <n v="2"/>
    <x v="9"/>
    <x v="3"/>
    <x v="1"/>
    <n v="32.054233310652798"/>
    <n v="2E+20"/>
    <n v="16.120227250597601"/>
    <n v="99.620612215148299"/>
    <n v="211"/>
    <s v="Unnamed ProjectMaleta InternacionalTotal TimeEntity"/>
    <n v="10"/>
    <n v="33.253502377545352"/>
    <n v="2.1177998980631196"/>
    <n v="0.95"/>
    <n v="1.5149827825434223"/>
    <n v="30.4429454447571"/>
    <n v="37.550474842510702"/>
    <n v="16.120227250597601"/>
    <n v="113.799943366541"/>
    <n v="224.5"/>
    <n v="1.5149827825434223"/>
    <n v="10"/>
    <n v="1"/>
  </r>
  <r>
    <x v="0"/>
    <s v="2023-05-15 11:51:53"/>
    <n v="2"/>
    <x v="9"/>
    <x v="4"/>
    <x v="1"/>
    <n v="22.097304470927799"/>
    <n v="2E+20"/>
    <n v="12.497976932357201"/>
    <n v="24.520641392739499"/>
    <n v="211"/>
    <s v="Unnamed ProjectMaleta InternacionalTransfer TimeEntity"/>
    <n v="10"/>
    <n v="22.240004336080037"/>
    <n v="0.10870076266182885"/>
    <n v="0.95"/>
    <n v="7.7759841254417442E-2"/>
    <n v="22.093830728491"/>
    <n v="22.3674390933379"/>
    <n v="12.495157320109101"/>
    <n v="24.7092274641826"/>
    <n v="224.5"/>
    <n v="7.7759841254417442E-2"/>
    <n v="10"/>
    <n v="1"/>
  </r>
  <r>
    <x v="0"/>
    <s v="2023-05-15 11:51:53"/>
    <n v="2"/>
    <x v="9"/>
    <x v="5"/>
    <x v="1"/>
    <n v="3.31547386713294"/>
    <n v="2E+20"/>
    <n v="3.6810247664220701E-3"/>
    <n v="67.012873882025005"/>
    <n v="211"/>
    <s v="Unnamed ProjectMaleta InternacionalVA TimeEntity"/>
    <n v="10"/>
    <n v="3.080292683880868"/>
    <n v="0.28309972431314245"/>
    <n v="0.95"/>
    <n v="0.20251734286579773"/>
    <n v="2.6200471420642701"/>
    <n v="3.5971036954125899"/>
    <n v="6.7622472681705403E-4"/>
    <n v="72.821351831539602"/>
    <n v="224.5"/>
    <n v="0.20251734286579773"/>
    <n v="10"/>
    <n v="1"/>
  </r>
  <r>
    <x v="0"/>
    <s v="2023-05-15 11:51:53"/>
    <n v="2"/>
    <x v="9"/>
    <x v="6"/>
    <x v="1"/>
    <n v="6.6414549725920402"/>
    <n v="2E+20"/>
    <n v="7.1860643121112802E-2"/>
    <n v="34.7654887414553"/>
    <n v="211"/>
    <s v="Unnamed ProjectMaleta InternacionalWait TimeEntity"/>
    <n v="10"/>
    <n v="7.9332053575844457"/>
    <n v="2.2413755170531835"/>
    <n v="0.95"/>
    <n v="1.6033834549975641"/>
    <n v="4.95941310790713"/>
    <n v="12.590607922773099"/>
    <n v="0"/>
    <n v="77.827526023274501"/>
    <n v="224.5"/>
    <n v="1.6033834549975641"/>
    <n v="10"/>
    <n v="1"/>
  </r>
  <r>
    <x v="0"/>
    <s v="2023-05-15 11:51:53"/>
    <n v="3"/>
    <x v="9"/>
    <x v="1"/>
    <x v="1"/>
    <n v="0"/>
    <n v="2E+20"/>
    <n v="0"/>
    <n v="0"/>
    <n v="221"/>
    <s v="Unnamed ProjectMaleta InternacionalNVA TimeEntity"/>
    <n v="10"/>
    <n v="0"/>
    <n v="0"/>
    <n v="0.95"/>
    <n v="0"/>
    <n v="0"/>
    <n v="0"/>
    <n v="0"/>
    <n v="0"/>
    <n v="224.5"/>
    <n v="0"/>
    <n v="10"/>
    <n v="1"/>
  </r>
  <r>
    <x v="0"/>
    <s v="2023-05-15 11:51:53"/>
    <n v="3"/>
    <x v="9"/>
    <x v="2"/>
    <x v="1"/>
    <n v="0"/>
    <n v="2E+20"/>
    <n v="0"/>
    <n v="0"/>
    <n v="221"/>
    <s v="Unnamed ProjectMaleta InternacionalOther TimeEntity"/>
    <n v="10"/>
    <n v="0"/>
    <n v="0"/>
    <n v="0.95"/>
    <n v="0"/>
    <n v="0"/>
    <n v="0"/>
    <n v="0"/>
    <n v="0"/>
    <n v="224.5"/>
    <n v="0"/>
    <n v="10"/>
    <n v="1"/>
  </r>
  <r>
    <x v="0"/>
    <s v="2023-05-15 11:51:53"/>
    <n v="3"/>
    <x v="9"/>
    <x v="3"/>
    <x v="1"/>
    <n v="35.2837505615582"/>
    <n v="2E+20"/>
    <n v="17.412504075745598"/>
    <n v="69.643230726777304"/>
    <n v="221"/>
    <s v="Unnamed ProjectMaleta InternacionalTotal TimeEntity"/>
    <n v="10"/>
    <n v="33.253502377545352"/>
    <n v="2.1177998980631196"/>
    <n v="0.95"/>
    <n v="1.5149827825434223"/>
    <n v="30.4429454447571"/>
    <n v="37.550474842510702"/>
    <n v="16.120227250597601"/>
    <n v="113.799943366541"/>
    <n v="224.5"/>
    <n v="1.5149827825434223"/>
    <n v="10"/>
    <n v="1"/>
  </r>
  <r>
    <x v="0"/>
    <s v="2023-05-15 11:51:53"/>
    <n v="3"/>
    <x v="9"/>
    <x v="4"/>
    <x v="1"/>
    <n v="22.145425833517301"/>
    <n v="2E+20"/>
    <n v="12.5"/>
    <n v="23.681079053783499"/>
    <n v="221"/>
    <s v="Unnamed ProjectMaleta InternacionalTransfer TimeEntity"/>
    <n v="10"/>
    <n v="22.240004336080037"/>
    <n v="0.10870076266182885"/>
    <n v="0.95"/>
    <n v="7.7759841254417442E-2"/>
    <n v="22.093830728491"/>
    <n v="22.3674390933379"/>
    <n v="12.495157320109101"/>
    <n v="24.7092274641826"/>
    <n v="224.5"/>
    <n v="7.7759841254417442E-2"/>
    <n v="10"/>
    <n v="1"/>
  </r>
  <r>
    <x v="0"/>
    <s v="2023-05-15 11:51:53"/>
    <n v="3"/>
    <x v="9"/>
    <x v="5"/>
    <x v="1"/>
    <n v="3.1828920965921599"/>
    <n v="2E+20"/>
    <n v="1.02277069211709E-2"/>
    <n v="39.261351671028798"/>
    <n v="221"/>
    <s v="Unnamed ProjectMaleta InternacionalVA TimeEntity"/>
    <n v="10"/>
    <n v="3.080292683880868"/>
    <n v="0.28309972431314245"/>
    <n v="0.95"/>
    <n v="0.20251734286579773"/>
    <n v="2.6200471420642701"/>
    <n v="3.5971036954125899"/>
    <n v="6.7622472681705403E-4"/>
    <n v="72.821351831539602"/>
    <n v="224.5"/>
    <n v="0.20251734286579773"/>
    <n v="10"/>
    <n v="1"/>
  </r>
  <r>
    <x v="0"/>
    <s v="2023-05-15 11:51:53"/>
    <n v="3"/>
    <x v="9"/>
    <x v="6"/>
    <x v="1"/>
    <n v="9.9554326314487298"/>
    <n v="2E+20"/>
    <n v="7.3783858819808798E-2"/>
    <n v="36.654585251788099"/>
    <n v="221"/>
    <s v="Unnamed ProjectMaleta InternacionalWait TimeEntity"/>
    <n v="10"/>
    <n v="7.9332053575844457"/>
    <n v="2.2413755170531835"/>
    <n v="0.95"/>
    <n v="1.6033834549975641"/>
    <n v="4.95941310790713"/>
    <n v="12.590607922773099"/>
    <n v="0"/>
    <n v="77.827526023274501"/>
    <n v="224.5"/>
    <n v="1.6033834549975641"/>
    <n v="10"/>
    <n v="1"/>
  </r>
  <r>
    <x v="0"/>
    <s v="2023-05-15 11:51:53"/>
    <n v="4"/>
    <x v="9"/>
    <x v="1"/>
    <x v="1"/>
    <n v="0"/>
    <n v="2E+20"/>
    <n v="0"/>
    <n v="0"/>
    <n v="256"/>
    <s v="Unnamed ProjectMaleta InternacionalNVA TimeEntity"/>
    <n v="10"/>
    <n v="0"/>
    <n v="0"/>
    <n v="0.95"/>
    <n v="0"/>
    <n v="0"/>
    <n v="0"/>
    <n v="0"/>
    <n v="0"/>
    <n v="224.5"/>
    <n v="0"/>
    <n v="10"/>
    <n v="1"/>
  </r>
  <r>
    <x v="0"/>
    <s v="2023-05-15 11:51:53"/>
    <n v="4"/>
    <x v="9"/>
    <x v="2"/>
    <x v="1"/>
    <n v="0"/>
    <n v="2E+20"/>
    <n v="0"/>
    <n v="0"/>
    <n v="256"/>
    <s v="Unnamed ProjectMaleta InternacionalOther TimeEntity"/>
    <n v="10"/>
    <n v="0"/>
    <n v="0"/>
    <n v="0.95"/>
    <n v="0"/>
    <n v="0"/>
    <n v="0"/>
    <n v="0"/>
    <n v="0"/>
    <n v="224.5"/>
    <n v="0"/>
    <n v="10"/>
    <n v="1"/>
  </r>
  <r>
    <x v="0"/>
    <s v="2023-05-15 11:51:53"/>
    <n v="4"/>
    <x v="9"/>
    <x v="3"/>
    <x v="1"/>
    <n v="35.276900046669297"/>
    <n v="2E+20"/>
    <n v="16.344617833747801"/>
    <n v="94.887896330810904"/>
    <n v="256"/>
    <s v="Unnamed ProjectMaleta InternacionalTotal TimeEntity"/>
    <n v="10"/>
    <n v="33.253502377545352"/>
    <n v="2.1177998980631196"/>
    <n v="0.95"/>
    <n v="1.5149827825434223"/>
    <n v="30.4429454447571"/>
    <n v="37.550474842510702"/>
    <n v="16.120227250597601"/>
    <n v="113.799943366541"/>
    <n v="224.5"/>
    <n v="1.5149827825434223"/>
    <n v="10"/>
    <n v="1"/>
  </r>
  <r>
    <x v="0"/>
    <s v="2023-05-15 11:51:53"/>
    <n v="4"/>
    <x v="9"/>
    <x v="4"/>
    <x v="1"/>
    <n v="22.177127192710699"/>
    <n v="2E+20"/>
    <n v="12.496127409527301"/>
    <n v="23.978614259696801"/>
    <n v="256"/>
    <s v="Unnamed ProjectMaleta InternacionalTransfer TimeEntity"/>
    <n v="10"/>
    <n v="22.240004336080037"/>
    <n v="0.10870076266182885"/>
    <n v="0.95"/>
    <n v="7.7759841254417442E-2"/>
    <n v="22.093830728491"/>
    <n v="22.3674390933379"/>
    <n v="12.495157320109101"/>
    <n v="24.7092274641826"/>
    <n v="224.5"/>
    <n v="7.7759841254417442E-2"/>
    <n v="10"/>
    <n v="1"/>
  </r>
  <r>
    <x v="0"/>
    <s v="2023-05-15 11:51:53"/>
    <n v="4"/>
    <x v="9"/>
    <x v="5"/>
    <x v="1"/>
    <n v="3.0523418293051301"/>
    <n v="2E+20"/>
    <n v="4.3549258395501099E-3"/>
    <n v="48.0632492277404"/>
    <n v="256"/>
    <s v="Unnamed ProjectMaleta InternacionalVA TimeEntity"/>
    <n v="10"/>
    <n v="3.080292683880868"/>
    <n v="0.28309972431314245"/>
    <n v="0.95"/>
    <n v="0.20251734286579773"/>
    <n v="2.6200471420642701"/>
    <n v="3.5971036954125899"/>
    <n v="6.7622472681705403E-4"/>
    <n v="72.821351831539602"/>
    <n v="224.5"/>
    <n v="0.20251734286579773"/>
    <n v="10"/>
    <n v="1"/>
  </r>
  <r>
    <x v="0"/>
    <s v="2023-05-15 11:51:53"/>
    <n v="4"/>
    <x v="9"/>
    <x v="6"/>
    <x v="1"/>
    <n v="10.0474310246535"/>
    <n v="2E+20"/>
    <n v="0"/>
    <n v="62.731086076706298"/>
    <n v="256"/>
    <s v="Unnamed ProjectMaleta InternacionalWait TimeEntity"/>
    <n v="10"/>
    <n v="7.9332053575844457"/>
    <n v="2.2413755170531835"/>
    <n v="0.95"/>
    <n v="1.6033834549975641"/>
    <n v="4.95941310790713"/>
    <n v="12.590607922773099"/>
    <n v="0"/>
    <n v="77.827526023274501"/>
    <n v="224.5"/>
    <n v="1.6033834549975641"/>
    <n v="10"/>
    <n v="1"/>
  </r>
  <r>
    <x v="0"/>
    <s v="2023-05-15 11:51:53"/>
    <n v="5"/>
    <x v="9"/>
    <x v="1"/>
    <x v="1"/>
    <n v="0"/>
    <n v="2E+20"/>
    <n v="0"/>
    <n v="0"/>
    <n v="229"/>
    <s v="Unnamed ProjectMaleta InternacionalNVA TimeEntity"/>
    <n v="10"/>
    <n v="0"/>
    <n v="0"/>
    <n v="0.95"/>
    <n v="0"/>
    <n v="0"/>
    <n v="0"/>
    <n v="0"/>
    <n v="0"/>
    <n v="224.5"/>
    <n v="0"/>
    <n v="10"/>
    <n v="1"/>
  </r>
  <r>
    <x v="0"/>
    <s v="2023-05-15 11:51:53"/>
    <n v="5"/>
    <x v="9"/>
    <x v="2"/>
    <x v="1"/>
    <n v="0"/>
    <n v="2E+20"/>
    <n v="0"/>
    <n v="0"/>
    <n v="229"/>
    <s v="Unnamed ProjectMaleta InternacionalOther TimeEntity"/>
    <n v="10"/>
    <n v="0"/>
    <n v="0"/>
    <n v="0.95"/>
    <n v="0"/>
    <n v="0"/>
    <n v="0"/>
    <n v="0"/>
    <n v="0"/>
    <n v="224.5"/>
    <n v="0"/>
    <n v="10"/>
    <n v="1"/>
  </r>
  <r>
    <x v="0"/>
    <s v="2023-05-15 11:51:53"/>
    <n v="5"/>
    <x v="9"/>
    <x v="3"/>
    <x v="1"/>
    <n v="32.933210045274997"/>
    <n v="2E+20"/>
    <n v="19.936086767058299"/>
    <n v="95.041228932584204"/>
    <n v="229"/>
    <s v="Unnamed ProjectMaleta InternacionalTotal TimeEntity"/>
    <n v="10"/>
    <n v="33.253502377545352"/>
    <n v="2.1177998980631196"/>
    <n v="0.95"/>
    <n v="1.5149827825434223"/>
    <n v="30.4429454447571"/>
    <n v="37.550474842510702"/>
    <n v="16.120227250597601"/>
    <n v="113.799943366541"/>
    <n v="224.5"/>
    <n v="1.5149827825434223"/>
    <n v="10"/>
    <n v="1"/>
  </r>
  <r>
    <x v="0"/>
    <s v="2023-05-15 11:51:53"/>
    <n v="5"/>
    <x v="9"/>
    <x v="4"/>
    <x v="1"/>
    <n v="22.337050237665199"/>
    <n v="2E+20"/>
    <n v="12.4972689708966"/>
    <n v="23.8201610998299"/>
    <n v="229"/>
    <s v="Unnamed ProjectMaleta InternacionalTransfer TimeEntity"/>
    <n v="10"/>
    <n v="22.240004336080037"/>
    <n v="0.10870076266182885"/>
    <n v="0.95"/>
    <n v="7.7759841254417442E-2"/>
    <n v="22.093830728491"/>
    <n v="22.3674390933379"/>
    <n v="12.495157320109101"/>
    <n v="24.7092274641826"/>
    <n v="224.5"/>
    <n v="7.7759841254417442E-2"/>
    <n v="10"/>
    <n v="1"/>
  </r>
  <r>
    <x v="0"/>
    <s v="2023-05-15 11:51:53"/>
    <n v="5"/>
    <x v="9"/>
    <x v="5"/>
    <x v="1"/>
    <n v="3.1379513791757701"/>
    <n v="2E+20"/>
    <n v="6.7622472681705403E-4"/>
    <n v="62.565935795930102"/>
    <n v="229"/>
    <s v="Unnamed ProjectMaleta InternacionalVA TimeEntity"/>
    <n v="10"/>
    <n v="3.080292683880868"/>
    <n v="0.28309972431314245"/>
    <n v="0.95"/>
    <n v="0.20251734286579773"/>
    <n v="2.6200471420642701"/>
    <n v="3.5971036954125899"/>
    <n v="6.7622472681705403E-4"/>
    <n v="72.821351831539602"/>
    <n v="224.5"/>
    <n v="0.20251734286579773"/>
    <n v="10"/>
    <n v="1"/>
  </r>
  <r>
    <x v="0"/>
    <s v="2023-05-15 11:51:53"/>
    <n v="5"/>
    <x v="9"/>
    <x v="6"/>
    <x v="1"/>
    <n v="7.4582084284339603"/>
    <n v="2E+20"/>
    <n v="4.9103954316976201E-2"/>
    <n v="62.807333003385097"/>
    <n v="229"/>
    <s v="Unnamed ProjectMaleta InternacionalWait TimeEntity"/>
    <n v="10"/>
    <n v="7.9332053575844457"/>
    <n v="2.2413755170531835"/>
    <n v="0.95"/>
    <n v="1.6033834549975641"/>
    <n v="4.95941310790713"/>
    <n v="12.590607922773099"/>
    <n v="0"/>
    <n v="77.827526023274501"/>
    <n v="224.5"/>
    <n v="1.6033834549975641"/>
    <n v="10"/>
    <n v="1"/>
  </r>
  <r>
    <x v="0"/>
    <s v="2023-05-15 11:51:53"/>
    <n v="6"/>
    <x v="9"/>
    <x v="1"/>
    <x v="1"/>
    <n v="0"/>
    <n v="2E+20"/>
    <n v="0"/>
    <n v="0"/>
    <n v="253"/>
    <s v="Unnamed ProjectMaleta InternacionalNVA TimeEntity"/>
    <n v="10"/>
    <n v="0"/>
    <n v="0"/>
    <n v="0.95"/>
    <n v="0"/>
    <n v="0"/>
    <n v="0"/>
    <n v="0"/>
    <n v="0"/>
    <n v="224.5"/>
    <n v="0"/>
    <n v="10"/>
    <n v="1"/>
  </r>
  <r>
    <x v="0"/>
    <s v="2023-05-15 11:51:53"/>
    <n v="6"/>
    <x v="9"/>
    <x v="2"/>
    <x v="1"/>
    <n v="0"/>
    <n v="2E+20"/>
    <n v="0"/>
    <n v="0"/>
    <n v="253"/>
    <s v="Unnamed ProjectMaleta InternacionalOther TimeEntity"/>
    <n v="10"/>
    <n v="0"/>
    <n v="0"/>
    <n v="0.95"/>
    <n v="0"/>
    <n v="0"/>
    <n v="0"/>
    <n v="0"/>
    <n v="0"/>
    <n v="224.5"/>
    <n v="0"/>
    <n v="10"/>
    <n v="1"/>
  </r>
  <r>
    <x v="0"/>
    <s v="2023-05-15 11:51:53"/>
    <n v="6"/>
    <x v="9"/>
    <x v="3"/>
    <x v="1"/>
    <n v="37.550474842510702"/>
    <n v="2E+20"/>
    <n v="22.870567529582999"/>
    <n v="72.572947376521"/>
    <n v="253"/>
    <s v="Unnamed ProjectMaleta InternacionalTotal TimeEntity"/>
    <n v="10"/>
    <n v="33.253502377545352"/>
    <n v="2.1177998980631196"/>
    <n v="0.95"/>
    <n v="1.5149827825434223"/>
    <n v="30.4429454447571"/>
    <n v="37.550474842510702"/>
    <n v="16.120227250597601"/>
    <n v="113.799943366541"/>
    <n v="224.5"/>
    <n v="1.5149827825434223"/>
    <n v="10"/>
    <n v="1"/>
  </r>
  <r>
    <x v="0"/>
    <s v="2023-05-15 11:51:53"/>
    <n v="6"/>
    <x v="9"/>
    <x v="4"/>
    <x v="1"/>
    <n v="22.339819777673402"/>
    <n v="2E+20"/>
    <n v="12.495884701141501"/>
    <n v="24.191769766069701"/>
    <n v="253"/>
    <s v="Unnamed ProjectMaleta InternacionalTransfer TimeEntity"/>
    <n v="10"/>
    <n v="22.240004336080037"/>
    <n v="0.10870076266182885"/>
    <n v="0.95"/>
    <n v="7.7759841254417442E-2"/>
    <n v="22.093830728491"/>
    <n v="22.3674390933379"/>
    <n v="12.495157320109101"/>
    <n v="24.7092274641826"/>
    <n v="224.5"/>
    <n v="7.7759841254417442E-2"/>
    <n v="10"/>
    <n v="1"/>
  </r>
  <r>
    <x v="0"/>
    <s v="2023-05-15 11:51:53"/>
    <n v="6"/>
    <x v="9"/>
    <x v="5"/>
    <x v="1"/>
    <n v="2.6200471420642701"/>
    <n v="2E+20"/>
    <n v="9.1459471464077104E-3"/>
    <n v="40.687817037687203"/>
    <n v="253"/>
    <s v="Unnamed ProjectMaleta InternacionalVA TimeEntity"/>
    <n v="10"/>
    <n v="3.080292683880868"/>
    <n v="0.28309972431314245"/>
    <n v="0.95"/>
    <n v="0.20251734286579773"/>
    <n v="2.6200471420642701"/>
    <n v="3.5971036954125899"/>
    <n v="6.7622472681705403E-4"/>
    <n v="72.821351831539602"/>
    <n v="224.5"/>
    <n v="0.20251734286579773"/>
    <n v="10"/>
    <n v="1"/>
  </r>
  <r>
    <x v="0"/>
    <s v="2023-05-15 11:51:53"/>
    <n v="6"/>
    <x v="9"/>
    <x v="6"/>
    <x v="1"/>
    <n v="12.590607922773099"/>
    <n v="2E+20"/>
    <n v="1.6651314113929099E-2"/>
    <n v="36.5907382143766"/>
    <n v="253"/>
    <s v="Unnamed ProjectMaleta InternacionalWait TimeEntity"/>
    <n v="10"/>
    <n v="7.9332053575844457"/>
    <n v="2.2413755170531835"/>
    <n v="0.95"/>
    <n v="1.6033834549975641"/>
    <n v="4.95941310790713"/>
    <n v="12.590607922773099"/>
    <n v="0"/>
    <n v="77.827526023274501"/>
    <n v="224.5"/>
    <n v="1.6033834549975641"/>
    <n v="10"/>
    <n v="1"/>
  </r>
  <r>
    <x v="0"/>
    <s v="2023-05-15 11:51:53"/>
    <n v="7"/>
    <x v="9"/>
    <x v="1"/>
    <x v="1"/>
    <n v="0"/>
    <n v="2E+20"/>
    <n v="0"/>
    <n v="0"/>
    <n v="202"/>
    <s v="Unnamed ProjectMaleta InternacionalNVA TimeEntity"/>
    <n v="10"/>
    <n v="0"/>
    <n v="0"/>
    <n v="0.95"/>
    <n v="0"/>
    <n v="0"/>
    <n v="0"/>
    <n v="0"/>
    <n v="0"/>
    <n v="224.5"/>
    <n v="0"/>
    <n v="10"/>
    <n v="1"/>
  </r>
  <r>
    <x v="0"/>
    <s v="2023-05-15 11:51:53"/>
    <n v="7"/>
    <x v="9"/>
    <x v="2"/>
    <x v="1"/>
    <n v="0"/>
    <n v="2E+20"/>
    <n v="0"/>
    <n v="0"/>
    <n v="202"/>
    <s v="Unnamed ProjectMaleta InternacionalOther TimeEntity"/>
    <n v="10"/>
    <n v="0"/>
    <n v="0"/>
    <n v="0.95"/>
    <n v="0"/>
    <n v="0"/>
    <n v="0"/>
    <n v="0"/>
    <n v="0"/>
    <n v="224.5"/>
    <n v="0"/>
    <n v="10"/>
    <n v="1"/>
  </r>
  <r>
    <x v="0"/>
    <s v="2023-05-15 11:51:53"/>
    <n v="7"/>
    <x v="9"/>
    <x v="3"/>
    <x v="1"/>
    <n v="32.142377152246901"/>
    <n v="2E+20"/>
    <n v="17.618686041694701"/>
    <n v="113.799943366541"/>
    <n v="202"/>
    <s v="Unnamed ProjectMaleta InternacionalTotal TimeEntity"/>
    <n v="10"/>
    <n v="33.253502377545352"/>
    <n v="2.1177998980631196"/>
    <n v="0.95"/>
    <n v="1.5149827825434223"/>
    <n v="30.4429454447571"/>
    <n v="37.550474842510702"/>
    <n v="16.120227250597601"/>
    <n v="113.799943366541"/>
    <n v="224.5"/>
    <n v="1.5149827825434223"/>
    <n v="10"/>
    <n v="1"/>
  </r>
  <r>
    <x v="0"/>
    <s v="2023-05-15 11:51:53"/>
    <n v="7"/>
    <x v="9"/>
    <x v="4"/>
    <x v="1"/>
    <n v="22.355570326106498"/>
    <n v="2E+20"/>
    <n v="12.499999999999901"/>
    <n v="24.314570614997699"/>
    <n v="202"/>
    <s v="Unnamed ProjectMaleta InternacionalTransfer TimeEntity"/>
    <n v="10"/>
    <n v="22.240004336080037"/>
    <n v="0.10870076266182885"/>
    <n v="0.95"/>
    <n v="7.7759841254417442E-2"/>
    <n v="22.093830728491"/>
    <n v="22.3674390933379"/>
    <n v="12.495157320109101"/>
    <n v="24.7092274641826"/>
    <n v="224.5"/>
    <n v="7.7759841254417442E-2"/>
    <n v="10"/>
    <n v="1"/>
  </r>
  <r>
    <x v="0"/>
    <s v="2023-05-15 11:51:53"/>
    <n v="7"/>
    <x v="9"/>
    <x v="5"/>
    <x v="1"/>
    <n v="2.91589516137465"/>
    <n v="2E+20"/>
    <n v="5.9605752501852302E-3"/>
    <n v="72.821351831539602"/>
    <n v="202"/>
    <s v="Unnamed ProjectMaleta InternacionalVA TimeEntity"/>
    <n v="10"/>
    <n v="3.080292683880868"/>
    <n v="0.28309972431314245"/>
    <n v="0.95"/>
    <n v="0.20251734286579773"/>
    <n v="2.6200471420642701"/>
    <n v="3.5971036954125899"/>
    <n v="6.7622472681705403E-4"/>
    <n v="72.821351831539602"/>
    <n v="224.5"/>
    <n v="0.20251734286579773"/>
    <n v="10"/>
    <n v="1"/>
  </r>
  <r>
    <x v="0"/>
    <s v="2023-05-15 11:51:53"/>
    <n v="7"/>
    <x v="9"/>
    <x v="6"/>
    <x v="1"/>
    <n v="6.8709116647657904"/>
    <n v="2E+20"/>
    <n v="0"/>
    <n v="72.899308722550899"/>
    <n v="202"/>
    <s v="Unnamed ProjectMaleta InternacionalWait TimeEntity"/>
    <n v="10"/>
    <n v="7.9332053575844457"/>
    <n v="2.2413755170531835"/>
    <n v="0.95"/>
    <n v="1.6033834549975641"/>
    <n v="4.95941310790713"/>
    <n v="12.590607922773099"/>
    <n v="0"/>
    <n v="77.827526023274501"/>
    <n v="224.5"/>
    <n v="1.6033834549975641"/>
    <n v="10"/>
    <n v="1"/>
  </r>
  <r>
    <x v="0"/>
    <s v="2023-05-15 11:51:53"/>
    <n v="8"/>
    <x v="9"/>
    <x v="1"/>
    <x v="1"/>
    <n v="0"/>
    <n v="2E+20"/>
    <n v="0"/>
    <n v="0"/>
    <n v="206"/>
    <s v="Unnamed ProjectMaleta InternacionalNVA TimeEntity"/>
    <n v="10"/>
    <n v="0"/>
    <n v="0"/>
    <n v="0.95"/>
    <n v="0"/>
    <n v="0"/>
    <n v="0"/>
    <n v="0"/>
    <n v="0"/>
    <n v="224.5"/>
    <n v="0"/>
    <n v="10"/>
    <n v="1"/>
  </r>
  <r>
    <x v="0"/>
    <s v="2023-05-15 11:51:53"/>
    <n v="8"/>
    <x v="9"/>
    <x v="2"/>
    <x v="1"/>
    <n v="0"/>
    <n v="2E+20"/>
    <n v="0"/>
    <n v="0"/>
    <n v="206"/>
    <s v="Unnamed ProjectMaleta InternacionalOther TimeEntity"/>
    <n v="10"/>
    <n v="0"/>
    <n v="0"/>
    <n v="0.95"/>
    <n v="0"/>
    <n v="0"/>
    <n v="0"/>
    <n v="0"/>
    <n v="0"/>
    <n v="224.5"/>
    <n v="0"/>
    <n v="10"/>
    <n v="1"/>
  </r>
  <r>
    <x v="0"/>
    <s v="2023-05-15 11:51:53"/>
    <n v="8"/>
    <x v="9"/>
    <x v="3"/>
    <x v="1"/>
    <n v="31.9728104888014"/>
    <n v="2E+20"/>
    <n v="22.8840868599675"/>
    <n v="112.077307388796"/>
    <n v="206"/>
    <s v="Unnamed ProjectMaleta InternacionalTotal TimeEntity"/>
    <n v="10"/>
    <n v="33.253502377545352"/>
    <n v="2.1177998980631196"/>
    <n v="0.95"/>
    <n v="1.5149827825434223"/>
    <n v="30.4429454447571"/>
    <n v="37.550474842510702"/>
    <n v="16.120227250597601"/>
    <n v="113.799943366541"/>
    <n v="224.5"/>
    <n v="1.5149827825434223"/>
    <n v="10"/>
    <n v="1"/>
  </r>
  <r>
    <x v="0"/>
    <s v="2023-05-15 11:51:53"/>
    <n v="8"/>
    <x v="9"/>
    <x v="4"/>
    <x v="1"/>
    <n v="22.3674390933379"/>
    <n v="2E+20"/>
    <n v="12.495157320109101"/>
    <n v="24.4243511105511"/>
    <n v="206"/>
    <s v="Unnamed ProjectMaleta InternacionalTransfer TimeEntity"/>
    <n v="10"/>
    <n v="22.240004336080037"/>
    <n v="0.10870076266182885"/>
    <n v="0.95"/>
    <n v="7.7759841254417442E-2"/>
    <n v="22.093830728491"/>
    <n v="22.3674390933379"/>
    <n v="12.495157320109101"/>
    <n v="24.7092274641826"/>
    <n v="224.5"/>
    <n v="7.7759841254417442E-2"/>
    <n v="10"/>
    <n v="1"/>
  </r>
  <r>
    <x v="0"/>
    <s v="2023-05-15 11:51:53"/>
    <n v="8"/>
    <x v="9"/>
    <x v="5"/>
    <x v="1"/>
    <n v="2.8871269238731898"/>
    <n v="2E+20"/>
    <n v="4.3239075014760396E-3"/>
    <n v="30.676057224293601"/>
    <n v="206"/>
    <s v="Unnamed ProjectMaleta InternacionalVA TimeEntity"/>
    <n v="10"/>
    <n v="3.080292683880868"/>
    <n v="0.28309972431314245"/>
    <n v="0.95"/>
    <n v="0.20251734286579773"/>
    <n v="2.6200471420642701"/>
    <n v="3.5971036954125899"/>
    <n v="6.7622472681705403E-4"/>
    <n v="72.821351831539602"/>
    <n v="224.5"/>
    <n v="0.20251734286579773"/>
    <n v="10"/>
    <n v="1"/>
  </r>
  <r>
    <x v="0"/>
    <s v="2023-05-15 11:51:53"/>
    <n v="8"/>
    <x v="9"/>
    <x v="6"/>
    <x v="1"/>
    <n v="6.7182444715903102"/>
    <n v="2E+20"/>
    <n v="4.7070794742534602E-2"/>
    <n v="77.827526023274501"/>
    <n v="206"/>
    <s v="Unnamed ProjectMaleta InternacionalWait TimeEntity"/>
    <n v="10"/>
    <n v="7.9332053575844457"/>
    <n v="2.2413755170531835"/>
    <n v="0.95"/>
    <n v="1.6033834549975641"/>
    <n v="4.95941310790713"/>
    <n v="12.590607922773099"/>
    <n v="0"/>
    <n v="77.827526023274501"/>
    <n v="224.5"/>
    <n v="1.6033834549975641"/>
    <n v="10"/>
    <n v="1"/>
  </r>
  <r>
    <x v="0"/>
    <s v="2023-05-15 11:51:53"/>
    <n v="9"/>
    <x v="9"/>
    <x v="1"/>
    <x v="1"/>
    <n v="0"/>
    <n v="2E+20"/>
    <n v="0"/>
    <n v="0"/>
    <n v="244"/>
    <s v="Unnamed ProjectMaleta InternacionalNVA TimeEntity"/>
    <n v="10"/>
    <n v="0"/>
    <n v="0"/>
    <n v="0.95"/>
    <n v="0"/>
    <n v="0"/>
    <n v="0"/>
    <n v="0"/>
    <n v="0"/>
    <n v="224.5"/>
    <n v="0"/>
    <n v="10"/>
    <n v="1"/>
  </r>
  <r>
    <x v="0"/>
    <s v="2023-05-15 11:51:53"/>
    <n v="9"/>
    <x v="9"/>
    <x v="2"/>
    <x v="1"/>
    <n v="0"/>
    <n v="2E+20"/>
    <n v="0"/>
    <n v="0"/>
    <n v="244"/>
    <s v="Unnamed ProjectMaleta InternacionalOther TimeEntity"/>
    <n v="10"/>
    <n v="0"/>
    <n v="0"/>
    <n v="0.95"/>
    <n v="0"/>
    <n v="0"/>
    <n v="0"/>
    <n v="0"/>
    <n v="0"/>
    <n v="224.5"/>
    <n v="0"/>
    <n v="10"/>
    <n v="1"/>
  </r>
  <r>
    <x v="0"/>
    <s v="2023-05-15 11:51:53"/>
    <n v="9"/>
    <x v="9"/>
    <x v="3"/>
    <x v="1"/>
    <n v="32.289944959016502"/>
    <n v="2E+20"/>
    <n v="23.0150262562269"/>
    <n v="89.897614620504797"/>
    <n v="244"/>
    <s v="Unnamed ProjectMaleta InternacionalTotal TimeEntity"/>
    <n v="10"/>
    <n v="33.253502377545352"/>
    <n v="2.1177998980631196"/>
    <n v="0.95"/>
    <n v="1.5149827825434223"/>
    <n v="30.4429454447571"/>
    <n v="37.550474842510702"/>
    <n v="16.120227250597601"/>
    <n v="113.799943366541"/>
    <n v="224.5"/>
    <n v="1.5149827825434223"/>
    <n v="10"/>
    <n v="1"/>
  </r>
  <r>
    <x v="0"/>
    <s v="2023-05-15 11:51:53"/>
    <n v="9"/>
    <x v="9"/>
    <x v="4"/>
    <x v="1"/>
    <n v="22.280095975639199"/>
    <n v="2E+20"/>
    <n v="12.5"/>
    <n v="24.7092274641826"/>
    <n v="244"/>
    <s v="Unnamed ProjectMaleta InternacionalTransfer TimeEntity"/>
    <n v="10"/>
    <n v="22.240004336080037"/>
    <n v="0.10870076266182885"/>
    <n v="0.95"/>
    <n v="7.7759841254417442E-2"/>
    <n v="22.093830728491"/>
    <n v="22.3674390933379"/>
    <n v="12.495157320109101"/>
    <n v="24.7092274641826"/>
    <n v="224.5"/>
    <n v="7.7759841254417442E-2"/>
    <n v="10"/>
    <n v="1"/>
  </r>
  <r>
    <x v="0"/>
    <s v="2023-05-15 11:51:53"/>
    <n v="9"/>
    <x v="9"/>
    <x v="5"/>
    <x v="1"/>
    <n v="2.8169421317594399"/>
    <n v="2E+20"/>
    <n v="8.30425491773212E-3"/>
    <n v="35.810877779816202"/>
    <n v="244"/>
    <s v="Unnamed ProjectMaleta InternacionalVA TimeEntity"/>
    <n v="10"/>
    <n v="3.080292683880868"/>
    <n v="0.28309972431314245"/>
    <n v="0.95"/>
    <n v="0.20251734286579773"/>
    <n v="2.6200471420642701"/>
    <n v="3.5971036954125899"/>
    <n v="6.7622472681705403E-4"/>
    <n v="72.821351831539602"/>
    <n v="224.5"/>
    <n v="0.20251734286579773"/>
    <n v="10"/>
    <n v="1"/>
  </r>
  <r>
    <x v="0"/>
    <s v="2023-05-15 11:51:53"/>
    <n v="9"/>
    <x v="9"/>
    <x v="6"/>
    <x v="1"/>
    <n v="7.1929068516179102"/>
    <n v="2E+20"/>
    <n v="3.5023319094250403E-2"/>
    <n v="70.665291646488797"/>
    <n v="244"/>
    <s v="Unnamed ProjectMaleta InternacionalWait TimeEntity"/>
    <n v="10"/>
    <n v="7.9332053575844457"/>
    <n v="2.2413755170531835"/>
    <n v="0.95"/>
    <n v="1.6033834549975641"/>
    <n v="4.95941310790713"/>
    <n v="12.590607922773099"/>
    <n v="0"/>
    <n v="77.827526023274501"/>
    <n v="224.5"/>
    <n v="1.6033834549975641"/>
    <n v="10"/>
    <n v="1"/>
  </r>
  <r>
    <x v="0"/>
    <s v="2023-05-15 11:51:53"/>
    <n v="10"/>
    <x v="9"/>
    <x v="1"/>
    <x v="1"/>
    <n v="0"/>
    <n v="2E+20"/>
    <n v="0"/>
    <n v="0"/>
    <n v="199"/>
    <s v="Unnamed ProjectMaleta InternacionalNVA TimeEntity"/>
    <n v="10"/>
    <n v="0"/>
    <n v="0"/>
    <n v="0.95"/>
    <n v="0"/>
    <n v="0"/>
    <n v="0"/>
    <n v="0"/>
    <n v="0"/>
    <n v="224.5"/>
    <n v="0"/>
    <n v="10"/>
    <n v="1"/>
  </r>
  <r>
    <x v="0"/>
    <s v="2023-05-15 11:51:53"/>
    <n v="10"/>
    <x v="9"/>
    <x v="2"/>
    <x v="1"/>
    <n v="0"/>
    <n v="2E+20"/>
    <n v="0"/>
    <n v="0"/>
    <n v="199"/>
    <s v="Unnamed ProjectMaleta InternacionalOther TimeEntity"/>
    <n v="10"/>
    <n v="0"/>
    <n v="0"/>
    <n v="0.95"/>
    <n v="0"/>
    <n v="0"/>
    <n v="0"/>
    <n v="0"/>
    <n v="0"/>
    <n v="224.5"/>
    <n v="0"/>
    <n v="10"/>
    <n v="1"/>
  </r>
  <r>
    <x v="0"/>
    <s v="2023-05-15 11:51:53"/>
    <n v="10"/>
    <x v="9"/>
    <x v="3"/>
    <x v="1"/>
    <n v="30.4429454447571"/>
    <n v="2E+20"/>
    <n v="18.9262923546029"/>
    <n v="90.760344746787297"/>
    <n v="199"/>
    <s v="Unnamed ProjectMaleta InternacionalTotal TimeEntity"/>
    <n v="10"/>
    <n v="33.253502377545352"/>
    <n v="2.1177998980631196"/>
    <n v="0.95"/>
    <n v="1.5149827825434223"/>
    <n v="30.4429454447571"/>
    <n v="37.550474842510702"/>
    <n v="16.120227250597601"/>
    <n v="113.799943366541"/>
    <n v="224.5"/>
    <n v="1.5149827825434223"/>
    <n v="10"/>
    <n v="1"/>
  </r>
  <r>
    <x v="0"/>
    <s v="2023-05-15 11:51:53"/>
    <n v="10"/>
    <x v="9"/>
    <x v="4"/>
    <x v="1"/>
    <n v="22.206379724731399"/>
    <n v="2E+20"/>
    <n v="12.5"/>
    <n v="24.152940468090399"/>
    <n v="199"/>
    <s v="Unnamed ProjectMaleta InternacionalTransfer TimeEntity"/>
    <n v="10"/>
    <n v="22.240004336080037"/>
    <n v="0.10870076266182885"/>
    <n v="0.95"/>
    <n v="7.7759841254417442E-2"/>
    <n v="22.093830728491"/>
    <n v="22.3674390933379"/>
    <n v="12.495157320109101"/>
    <n v="24.7092274641826"/>
    <n v="224.5"/>
    <n v="7.7759841254417442E-2"/>
    <n v="10"/>
    <n v="1"/>
  </r>
  <r>
    <x v="0"/>
    <s v="2023-05-15 11:51:53"/>
    <n v="10"/>
    <x v="9"/>
    <x v="5"/>
    <x v="1"/>
    <n v="3.2771526121185399"/>
    <n v="2E+20"/>
    <n v="6.9355279478600096E-4"/>
    <n v="52.714447853573198"/>
    <n v="199"/>
    <s v="Unnamed ProjectMaleta InternacionalVA TimeEntity"/>
    <n v="10"/>
    <n v="3.080292683880868"/>
    <n v="0.28309972431314245"/>
    <n v="0.95"/>
    <n v="0.20251734286579773"/>
    <n v="2.6200471420642701"/>
    <n v="3.5971036954125899"/>
    <n v="6.7622472681705403E-4"/>
    <n v="72.821351831539602"/>
    <n v="224.5"/>
    <n v="0.20251734286579773"/>
    <n v="10"/>
    <n v="1"/>
  </r>
  <r>
    <x v="0"/>
    <s v="2023-05-15 11:51:53"/>
    <n v="10"/>
    <x v="9"/>
    <x v="6"/>
    <x v="1"/>
    <n v="4.95941310790713"/>
    <n v="2E+20"/>
    <n v="6.2253620706712802E-2"/>
    <n v="49.450482064743703"/>
    <n v="199"/>
    <s v="Unnamed ProjectMaleta InternacionalWait TimeEntity"/>
    <n v="10"/>
    <n v="7.9332053575844457"/>
    <n v="2.2413755170531835"/>
    <n v="0.95"/>
    <n v="1.6033834549975641"/>
    <n v="4.95941310790713"/>
    <n v="12.590607922773099"/>
    <n v="0"/>
    <n v="77.827526023274501"/>
    <n v="224.5"/>
    <n v="1.6033834549975641"/>
    <n v="10"/>
    <n v="1"/>
  </r>
  <r>
    <x v="0"/>
    <s v="2023-05-15 11:51:53"/>
    <n v="1"/>
    <x v="10"/>
    <x v="1"/>
    <x v="1"/>
    <n v="0"/>
    <n v="2E+20"/>
    <n v="0"/>
    <n v="0"/>
    <n v="162"/>
    <s v="Unnamed ProjectMaleta NacionalNVA TimeEntity"/>
    <n v="10"/>
    <n v="0"/>
    <n v="0"/>
    <n v="0.95"/>
    <n v="0"/>
    <n v="0"/>
    <n v="0"/>
    <n v="0"/>
    <n v="0"/>
    <n v="159.1"/>
    <n v="0"/>
    <n v="10"/>
    <n v="1"/>
  </r>
  <r>
    <x v="0"/>
    <s v="2023-05-15 11:51:53"/>
    <n v="1"/>
    <x v="10"/>
    <x v="2"/>
    <x v="1"/>
    <n v="0"/>
    <n v="2E+20"/>
    <n v="0"/>
    <n v="0"/>
    <n v="162"/>
    <s v="Unnamed ProjectMaleta NacionalOther TimeEntity"/>
    <n v="10"/>
    <n v="0"/>
    <n v="0"/>
    <n v="0.95"/>
    <n v="0"/>
    <n v="0"/>
    <n v="0"/>
    <n v="0"/>
    <n v="0"/>
    <n v="159.1"/>
    <n v="0"/>
    <n v="10"/>
    <n v="1"/>
  </r>
  <r>
    <x v="0"/>
    <s v="2023-05-15 11:51:53"/>
    <n v="1"/>
    <x v="10"/>
    <x v="3"/>
    <x v="1"/>
    <n v="9.8624291351379192"/>
    <n v="2E+20"/>
    <n v="7.7116398606970504"/>
    <n v="16.4818218170881"/>
    <n v="162"/>
    <s v="Unnamed ProjectMaleta NacionalTotal TimeEntity"/>
    <n v="10"/>
    <n v="10.155322958912489"/>
    <n v="0.33418682093278973"/>
    <n v="0.95"/>
    <n v="0.23906285023865298"/>
    <n v="9.5096808134995996"/>
    <n v="10.541225271035399"/>
    <n v="6.3921838050257502"/>
    <n v="33.212781474357499"/>
    <n v="159.1"/>
    <n v="0.23906285023865298"/>
    <n v="10"/>
    <n v="1"/>
  </r>
  <r>
    <x v="0"/>
    <s v="2023-05-15 11:51:53"/>
    <n v="1"/>
    <x v="10"/>
    <x v="4"/>
    <x v="1"/>
    <n v="7.6972488756836404"/>
    <n v="2E+20"/>
    <n v="7.5003223244842703"/>
    <n v="8.6969623334451303"/>
    <n v="162"/>
    <s v="Unnamed ProjectMaleta NacionalTransfer TimeEntity"/>
    <n v="10"/>
    <n v="7.6753288500844494"/>
    <n v="3.9746429823300011E-2"/>
    <n v="0.95"/>
    <n v="2.8432883061776049E-2"/>
    <n v="7.6171173934620997"/>
    <n v="7.7465011776556301"/>
    <n v="4.9973602639356596"/>
    <n v="10.3780432567189"/>
    <n v="159.1"/>
    <n v="2.8432883061776049E-2"/>
    <n v="10"/>
    <n v="1"/>
  </r>
  <r>
    <x v="0"/>
    <s v="2023-05-15 11:51:53"/>
    <n v="1"/>
    <x v="10"/>
    <x v="5"/>
    <x v="1"/>
    <n v="1.09575610875596"/>
    <n v="2E+20"/>
    <n v="3.2627248679943902E-3"/>
    <n v="6.6255173495391899"/>
    <n v="162"/>
    <s v="Unnamed ProjectMaleta NacionalVA TimeEntity"/>
    <n v="10"/>
    <n v="1.1970866370450852"/>
    <n v="0.16160338579426173"/>
    <n v="0.95"/>
    <n v="0.11560409805616673"/>
    <n v="0.93154168311307295"/>
    <n v="1.4326343791811"/>
    <n v="3.5780155263864799E-4"/>
    <n v="27.4453656088955"/>
    <n v="159.1"/>
    <n v="0.11560409805616673"/>
    <n v="10"/>
    <n v="1"/>
  </r>
  <r>
    <x v="0"/>
    <s v="2023-05-15 11:51:53"/>
    <n v="1"/>
    <x v="10"/>
    <x v="6"/>
    <x v="1"/>
    <n v="1.06942415069832"/>
    <n v="2E+20"/>
    <n v="0"/>
    <n v="5.0314222489164102"/>
    <n v="162"/>
    <s v="Unnamed ProjectMaleta NacionalWait TimeEntity"/>
    <n v="10"/>
    <n v="1.2829074717829589"/>
    <n v="0.19900819614524773"/>
    <n v="0.95"/>
    <n v="0.14236188745726755"/>
    <n v="0.93034835796656001"/>
    <n v="1.5005499568751099"/>
    <n v="0"/>
    <n v="10.9519173465048"/>
    <n v="159.1"/>
    <n v="0.14236188745726755"/>
    <n v="10"/>
    <n v="1"/>
  </r>
  <r>
    <x v="0"/>
    <s v="2023-05-15 11:51:53"/>
    <n v="2"/>
    <x v="10"/>
    <x v="1"/>
    <x v="1"/>
    <n v="0"/>
    <n v="2E+20"/>
    <n v="0"/>
    <n v="0"/>
    <n v="145"/>
    <s v="Unnamed ProjectMaleta NacionalNVA TimeEntity"/>
    <n v="10"/>
    <n v="0"/>
    <n v="0"/>
    <n v="0.95"/>
    <n v="0"/>
    <n v="0"/>
    <n v="0"/>
    <n v="0"/>
    <n v="0"/>
    <n v="159.1"/>
    <n v="0"/>
    <n v="10"/>
    <n v="1"/>
  </r>
  <r>
    <x v="0"/>
    <s v="2023-05-15 11:51:53"/>
    <n v="2"/>
    <x v="10"/>
    <x v="2"/>
    <x v="1"/>
    <n v="0"/>
    <n v="2E+20"/>
    <n v="0"/>
    <n v="0"/>
    <n v="145"/>
    <s v="Unnamed ProjectMaleta NacionalOther TimeEntity"/>
    <n v="10"/>
    <n v="0"/>
    <n v="0"/>
    <n v="0.95"/>
    <n v="0"/>
    <n v="0"/>
    <n v="0"/>
    <n v="0"/>
    <n v="0"/>
    <n v="159.1"/>
    <n v="0"/>
    <n v="10"/>
    <n v="1"/>
  </r>
  <r>
    <x v="0"/>
    <s v="2023-05-15 11:51:53"/>
    <n v="2"/>
    <x v="10"/>
    <x v="3"/>
    <x v="1"/>
    <n v="10.541225271035399"/>
    <n v="2E+20"/>
    <n v="7.8697956898286101"/>
    <n v="27.301493515526801"/>
    <n v="145"/>
    <s v="Unnamed ProjectMaleta NacionalTotal TimeEntity"/>
    <n v="10"/>
    <n v="10.155322958912489"/>
    <n v="0.33418682093278973"/>
    <n v="0.95"/>
    <n v="0.23906285023865298"/>
    <n v="9.5096808134995996"/>
    <n v="10.541225271035399"/>
    <n v="6.3921838050257502"/>
    <n v="33.212781474357499"/>
    <n v="159.1"/>
    <n v="0.23906285023865298"/>
    <n v="10"/>
    <n v="1"/>
  </r>
  <r>
    <x v="0"/>
    <s v="2023-05-15 11:51:53"/>
    <n v="2"/>
    <x v="10"/>
    <x v="4"/>
    <x v="1"/>
    <n v="7.6767120414845804"/>
    <n v="2E+20"/>
    <n v="4.9999853086672799"/>
    <n v="8.7385482137278796"/>
    <n v="145"/>
    <s v="Unnamed ProjectMaleta NacionalTransfer TimeEntity"/>
    <n v="10"/>
    <n v="7.6753288500844494"/>
    <n v="3.9746429823300011E-2"/>
    <n v="0.95"/>
    <n v="2.8432883061776049E-2"/>
    <n v="7.6171173934620997"/>
    <n v="7.7465011776556301"/>
    <n v="4.9973602639356596"/>
    <n v="10.3780432567189"/>
    <n v="159.1"/>
    <n v="2.8432883061776049E-2"/>
    <n v="10"/>
    <n v="1"/>
  </r>
  <r>
    <x v="0"/>
    <s v="2023-05-15 11:51:53"/>
    <n v="2"/>
    <x v="10"/>
    <x v="5"/>
    <x v="1"/>
    <n v="1.4326343791811"/>
    <n v="2E+20"/>
    <n v="8.8507564251472104E-4"/>
    <n v="14.339061477967"/>
    <n v="145"/>
    <s v="Unnamed ProjectMaleta NacionalVA TimeEntity"/>
    <n v="10"/>
    <n v="1.1970866370450852"/>
    <n v="0.16160338579426173"/>
    <n v="0.95"/>
    <n v="0.11560409805616673"/>
    <n v="0.93154168311307295"/>
    <n v="1.4326343791811"/>
    <n v="3.5780155263864799E-4"/>
    <n v="27.4453656088955"/>
    <n v="159.1"/>
    <n v="0.11560409805616673"/>
    <n v="10"/>
    <n v="1"/>
  </r>
  <r>
    <x v="0"/>
    <s v="2023-05-15 11:51:53"/>
    <n v="2"/>
    <x v="10"/>
    <x v="6"/>
    <x v="1"/>
    <n v="1.4318788503697499"/>
    <n v="2E+20"/>
    <n v="0"/>
    <n v="8.8218365151187808"/>
    <n v="145"/>
    <s v="Unnamed ProjectMaleta NacionalWait TimeEntity"/>
    <n v="10"/>
    <n v="1.2829074717829589"/>
    <n v="0.19900819614524773"/>
    <n v="0.95"/>
    <n v="0.14236188745726755"/>
    <n v="0.93034835796656001"/>
    <n v="1.5005499568751099"/>
    <n v="0"/>
    <n v="10.9519173465048"/>
    <n v="159.1"/>
    <n v="0.14236188745726755"/>
    <n v="10"/>
    <n v="1"/>
  </r>
  <r>
    <x v="0"/>
    <s v="2023-05-15 11:51:53"/>
    <n v="3"/>
    <x v="10"/>
    <x v="1"/>
    <x v="1"/>
    <n v="0"/>
    <n v="2E+20"/>
    <n v="0"/>
    <n v="0"/>
    <n v="153"/>
    <s v="Unnamed ProjectMaleta NacionalNVA TimeEntity"/>
    <n v="10"/>
    <n v="0"/>
    <n v="0"/>
    <n v="0.95"/>
    <n v="0"/>
    <n v="0"/>
    <n v="0"/>
    <n v="0"/>
    <n v="0"/>
    <n v="159.1"/>
    <n v="0"/>
    <n v="10"/>
    <n v="1"/>
  </r>
  <r>
    <x v="0"/>
    <s v="2023-05-15 11:51:53"/>
    <n v="3"/>
    <x v="10"/>
    <x v="2"/>
    <x v="1"/>
    <n v="0"/>
    <n v="2E+20"/>
    <n v="0"/>
    <n v="0"/>
    <n v="153"/>
    <s v="Unnamed ProjectMaleta NacionalOther TimeEntity"/>
    <n v="10"/>
    <n v="0"/>
    <n v="0"/>
    <n v="0.95"/>
    <n v="0"/>
    <n v="0"/>
    <n v="0"/>
    <n v="0"/>
    <n v="0"/>
    <n v="159.1"/>
    <n v="0"/>
    <n v="10"/>
    <n v="1"/>
  </r>
  <r>
    <x v="0"/>
    <s v="2023-05-15 11:51:53"/>
    <n v="3"/>
    <x v="10"/>
    <x v="3"/>
    <x v="1"/>
    <n v="10.3794011084799"/>
    <n v="2E+20"/>
    <n v="7.8075715797093999"/>
    <n v="33.212781474357499"/>
    <n v="153"/>
    <s v="Unnamed ProjectMaleta NacionalTotal TimeEntity"/>
    <n v="10"/>
    <n v="10.155322958912489"/>
    <n v="0.33418682093278973"/>
    <n v="0.95"/>
    <n v="0.23906285023865298"/>
    <n v="9.5096808134995996"/>
    <n v="10.541225271035399"/>
    <n v="6.3921838050257502"/>
    <n v="33.212781474357499"/>
    <n v="159.1"/>
    <n v="0.23906285023865298"/>
    <n v="10"/>
    <n v="1"/>
  </r>
  <r>
    <x v="0"/>
    <s v="2023-05-15 11:51:53"/>
    <n v="3"/>
    <x v="10"/>
    <x v="4"/>
    <x v="1"/>
    <n v="7.6823733509675503"/>
    <n v="2E+20"/>
    <n v="5"/>
    <n v="8.9432049844583297"/>
    <n v="153"/>
    <s v="Unnamed ProjectMaleta NacionalTransfer TimeEntity"/>
    <n v="10"/>
    <n v="7.6753288500844494"/>
    <n v="3.9746429823300011E-2"/>
    <n v="0.95"/>
    <n v="2.8432883061776049E-2"/>
    <n v="7.6171173934620997"/>
    <n v="7.7465011776556301"/>
    <n v="4.9973602639356596"/>
    <n v="10.3780432567189"/>
    <n v="159.1"/>
    <n v="2.8432883061776049E-2"/>
    <n v="10"/>
    <n v="1"/>
  </r>
  <r>
    <x v="0"/>
    <s v="2023-05-15 11:51:53"/>
    <n v="3"/>
    <x v="10"/>
    <x v="5"/>
    <x v="1"/>
    <n v="1.3077033329996699"/>
    <n v="2E+20"/>
    <n v="3.5780155263864799E-4"/>
    <n v="27.4453656088955"/>
    <n v="153"/>
    <s v="Unnamed ProjectMaleta NacionalVA TimeEntity"/>
    <n v="10"/>
    <n v="1.1970866370450852"/>
    <n v="0.16160338579426173"/>
    <n v="0.95"/>
    <n v="0.11560409805616673"/>
    <n v="0.93154168311307295"/>
    <n v="1.4326343791811"/>
    <n v="3.5780155263864799E-4"/>
    <n v="27.4453656088955"/>
    <n v="159.1"/>
    <n v="0.11560409805616673"/>
    <n v="10"/>
    <n v="1"/>
  </r>
  <r>
    <x v="0"/>
    <s v="2023-05-15 11:51:53"/>
    <n v="3"/>
    <x v="10"/>
    <x v="6"/>
    <x v="1"/>
    <n v="1.3893244245127101"/>
    <n v="2E+20"/>
    <n v="9.2468052761205399E-3"/>
    <n v="9.1444963606004404"/>
    <n v="153"/>
    <s v="Unnamed ProjectMaleta NacionalWait TimeEntity"/>
    <n v="10"/>
    <n v="1.2829074717829589"/>
    <n v="0.19900819614524773"/>
    <n v="0.95"/>
    <n v="0.14236188745726755"/>
    <n v="0.93034835796656001"/>
    <n v="1.5005499568751099"/>
    <n v="0"/>
    <n v="10.9519173465048"/>
    <n v="159.1"/>
    <n v="0.14236188745726755"/>
    <n v="10"/>
    <n v="1"/>
  </r>
  <r>
    <x v="0"/>
    <s v="2023-05-15 11:51:53"/>
    <n v="4"/>
    <x v="10"/>
    <x v="1"/>
    <x v="1"/>
    <n v="0"/>
    <n v="2E+20"/>
    <n v="0"/>
    <n v="0"/>
    <n v="158"/>
    <s v="Unnamed ProjectMaleta NacionalNVA TimeEntity"/>
    <n v="10"/>
    <n v="0"/>
    <n v="0"/>
    <n v="0.95"/>
    <n v="0"/>
    <n v="0"/>
    <n v="0"/>
    <n v="0"/>
    <n v="0"/>
    <n v="159.1"/>
    <n v="0"/>
    <n v="10"/>
    <n v="1"/>
  </r>
  <r>
    <x v="0"/>
    <s v="2023-05-15 11:51:53"/>
    <n v="4"/>
    <x v="10"/>
    <x v="2"/>
    <x v="1"/>
    <n v="0"/>
    <n v="2E+20"/>
    <n v="0"/>
    <n v="0"/>
    <n v="158"/>
    <s v="Unnamed ProjectMaleta NacionalOther TimeEntity"/>
    <n v="10"/>
    <n v="0"/>
    <n v="0"/>
    <n v="0.95"/>
    <n v="0"/>
    <n v="0"/>
    <n v="0"/>
    <n v="0"/>
    <n v="0"/>
    <n v="159.1"/>
    <n v="0"/>
    <n v="10"/>
    <n v="1"/>
  </r>
  <r>
    <x v="0"/>
    <s v="2023-05-15 11:51:53"/>
    <n v="4"/>
    <x v="10"/>
    <x v="3"/>
    <x v="1"/>
    <n v="10.455165648130601"/>
    <n v="2E+20"/>
    <n v="7.6455051479082998"/>
    <n v="29.912716730147501"/>
    <n v="158"/>
    <s v="Unnamed ProjectMaleta NacionalTotal TimeEntity"/>
    <n v="10"/>
    <n v="10.155322958912489"/>
    <n v="0.33418682093278973"/>
    <n v="0.95"/>
    <n v="0.23906285023865298"/>
    <n v="9.5096808134995996"/>
    <n v="10.541225271035399"/>
    <n v="6.3921838050257502"/>
    <n v="33.212781474357499"/>
    <n v="159.1"/>
    <n v="0.23906285023865298"/>
    <n v="10"/>
    <n v="1"/>
  </r>
  <r>
    <x v="0"/>
    <s v="2023-05-15 11:51:53"/>
    <n v="4"/>
    <x v="10"/>
    <x v="4"/>
    <x v="1"/>
    <n v="7.6171173934620997"/>
    <n v="2E+20"/>
    <n v="5"/>
    <n v="8.8205026424385604"/>
    <n v="158"/>
    <s v="Unnamed ProjectMaleta NacionalTransfer TimeEntity"/>
    <n v="10"/>
    <n v="7.6753288500844494"/>
    <n v="3.9746429823300011E-2"/>
    <n v="0.95"/>
    <n v="2.8432883061776049E-2"/>
    <n v="7.6171173934620997"/>
    <n v="7.7465011776556301"/>
    <n v="4.9973602639356596"/>
    <n v="10.3780432567189"/>
    <n v="159.1"/>
    <n v="2.8432883061776049E-2"/>
    <n v="10"/>
    <n v="1"/>
  </r>
  <r>
    <x v="0"/>
    <s v="2023-05-15 11:51:53"/>
    <n v="4"/>
    <x v="10"/>
    <x v="5"/>
    <x v="1"/>
    <n v="1.39375031429478"/>
    <n v="2E+20"/>
    <n v="1.46489743575273E-2"/>
    <n v="20.666513651937599"/>
    <n v="158"/>
    <s v="Unnamed ProjectMaleta NacionalVA TimeEntity"/>
    <n v="10"/>
    <n v="1.1970866370450852"/>
    <n v="0.16160338579426173"/>
    <n v="0.95"/>
    <n v="0.11560409805616673"/>
    <n v="0.93154168311307295"/>
    <n v="1.4326343791811"/>
    <n v="3.5780155263864799E-4"/>
    <n v="27.4453656088955"/>
    <n v="159.1"/>
    <n v="0.11560409805616673"/>
    <n v="10"/>
    <n v="1"/>
  </r>
  <r>
    <x v="0"/>
    <s v="2023-05-15 11:51:53"/>
    <n v="4"/>
    <x v="10"/>
    <x v="6"/>
    <x v="1"/>
    <n v="1.4442979403737499"/>
    <n v="2E+20"/>
    <n v="7.1711218162605006E-2"/>
    <n v="9.3109921905705697"/>
    <n v="158"/>
    <s v="Unnamed ProjectMaleta NacionalWait TimeEntity"/>
    <n v="10"/>
    <n v="1.2829074717829589"/>
    <n v="0.19900819614524773"/>
    <n v="0.95"/>
    <n v="0.14236188745726755"/>
    <n v="0.93034835796656001"/>
    <n v="1.5005499568751099"/>
    <n v="0"/>
    <n v="10.9519173465048"/>
    <n v="159.1"/>
    <n v="0.14236188745726755"/>
    <n v="10"/>
    <n v="1"/>
  </r>
  <r>
    <x v="0"/>
    <s v="2023-05-15 11:51:53"/>
    <n v="5"/>
    <x v="10"/>
    <x v="1"/>
    <x v="1"/>
    <n v="0"/>
    <n v="2E+20"/>
    <n v="0"/>
    <n v="0"/>
    <n v="179"/>
    <s v="Unnamed ProjectMaleta NacionalNVA TimeEntity"/>
    <n v="10"/>
    <n v="0"/>
    <n v="0"/>
    <n v="0.95"/>
    <n v="0"/>
    <n v="0"/>
    <n v="0"/>
    <n v="0"/>
    <n v="0"/>
    <n v="159.1"/>
    <n v="0"/>
    <n v="10"/>
    <n v="1"/>
  </r>
  <r>
    <x v="0"/>
    <s v="2023-05-15 11:51:53"/>
    <n v="5"/>
    <x v="10"/>
    <x v="2"/>
    <x v="1"/>
    <n v="0"/>
    <n v="2E+20"/>
    <n v="0"/>
    <n v="0"/>
    <n v="179"/>
    <s v="Unnamed ProjectMaleta NacionalOther TimeEntity"/>
    <n v="10"/>
    <n v="0"/>
    <n v="0"/>
    <n v="0.95"/>
    <n v="0"/>
    <n v="0"/>
    <n v="0"/>
    <n v="0"/>
    <n v="0"/>
    <n v="159.1"/>
    <n v="0"/>
    <n v="10"/>
    <n v="1"/>
  </r>
  <r>
    <x v="0"/>
    <s v="2023-05-15 11:51:53"/>
    <n v="5"/>
    <x v="10"/>
    <x v="3"/>
    <x v="1"/>
    <n v="9.9881843824663594"/>
    <n v="2E+20"/>
    <n v="6.7403231388921503"/>
    <n v="21.2554468668468"/>
    <n v="179"/>
    <s v="Unnamed ProjectMaleta NacionalTotal TimeEntity"/>
    <n v="10"/>
    <n v="10.155322958912489"/>
    <n v="0.33418682093278973"/>
    <n v="0.95"/>
    <n v="0.23906285023865298"/>
    <n v="9.5096808134995996"/>
    <n v="10.541225271035399"/>
    <n v="6.3921838050257502"/>
    <n v="33.212781474357499"/>
    <n v="159.1"/>
    <n v="0.23906285023865298"/>
    <n v="10"/>
    <n v="1"/>
  </r>
  <r>
    <x v="0"/>
    <s v="2023-05-15 11:51:53"/>
    <n v="5"/>
    <x v="10"/>
    <x v="4"/>
    <x v="1"/>
    <n v="7.6409975959341896"/>
    <n v="2E+20"/>
    <n v="5"/>
    <n v="9.4861191982811306"/>
    <n v="179"/>
    <s v="Unnamed ProjectMaleta NacionalTransfer TimeEntity"/>
    <n v="10"/>
    <n v="7.6753288500844494"/>
    <n v="3.9746429823300011E-2"/>
    <n v="0.95"/>
    <n v="2.8432883061776049E-2"/>
    <n v="7.6171173934620997"/>
    <n v="7.7465011776556301"/>
    <n v="4.9973602639356596"/>
    <n v="10.3780432567189"/>
    <n v="159.1"/>
    <n v="2.8432883061776049E-2"/>
    <n v="10"/>
    <n v="1"/>
  </r>
  <r>
    <x v="0"/>
    <s v="2023-05-15 11:51:53"/>
    <n v="5"/>
    <x v="10"/>
    <x v="5"/>
    <x v="1"/>
    <n v="1.12985180913973"/>
    <n v="2E+20"/>
    <n v="4.8364008379166998E-3"/>
    <n v="10.7216462692334"/>
    <n v="179"/>
    <s v="Unnamed ProjectMaleta NacionalVA TimeEntity"/>
    <n v="10"/>
    <n v="1.1970866370450852"/>
    <n v="0.16160338579426173"/>
    <n v="0.95"/>
    <n v="0.11560409805616673"/>
    <n v="0.93154168311307295"/>
    <n v="1.4326343791811"/>
    <n v="3.5780155263864799E-4"/>
    <n v="27.4453656088955"/>
    <n v="159.1"/>
    <n v="0.11560409805616673"/>
    <n v="10"/>
    <n v="1"/>
  </r>
  <r>
    <x v="0"/>
    <s v="2023-05-15 11:51:53"/>
    <n v="5"/>
    <x v="10"/>
    <x v="6"/>
    <x v="1"/>
    <n v="1.21733497739244"/>
    <n v="2E+20"/>
    <n v="3.6384183428140197E-2"/>
    <n v="6.0796475947502104"/>
    <n v="179"/>
    <s v="Unnamed ProjectMaleta NacionalWait TimeEntity"/>
    <n v="10"/>
    <n v="1.2829074717829589"/>
    <n v="0.19900819614524773"/>
    <n v="0.95"/>
    <n v="0.14236188745726755"/>
    <n v="0.93034835796656001"/>
    <n v="1.5005499568751099"/>
    <n v="0"/>
    <n v="10.9519173465048"/>
    <n v="159.1"/>
    <n v="0.14236188745726755"/>
    <n v="10"/>
    <n v="1"/>
  </r>
  <r>
    <x v="0"/>
    <s v="2023-05-15 11:51:53"/>
    <n v="6"/>
    <x v="10"/>
    <x v="1"/>
    <x v="1"/>
    <n v="0"/>
    <n v="2E+20"/>
    <n v="0"/>
    <n v="0"/>
    <n v="155"/>
    <s v="Unnamed ProjectMaleta NacionalNVA TimeEntity"/>
    <n v="10"/>
    <n v="0"/>
    <n v="0"/>
    <n v="0.95"/>
    <n v="0"/>
    <n v="0"/>
    <n v="0"/>
    <n v="0"/>
    <n v="0"/>
    <n v="159.1"/>
    <n v="0"/>
    <n v="10"/>
    <n v="1"/>
  </r>
  <r>
    <x v="0"/>
    <s v="2023-05-15 11:51:53"/>
    <n v="6"/>
    <x v="10"/>
    <x v="2"/>
    <x v="1"/>
    <n v="0"/>
    <n v="2E+20"/>
    <n v="0"/>
    <n v="0"/>
    <n v="155"/>
    <s v="Unnamed ProjectMaleta NacionalOther TimeEntity"/>
    <n v="10"/>
    <n v="0"/>
    <n v="0"/>
    <n v="0.95"/>
    <n v="0"/>
    <n v="0"/>
    <n v="0"/>
    <n v="0"/>
    <n v="0"/>
    <n v="159.1"/>
    <n v="0"/>
    <n v="10"/>
    <n v="1"/>
  </r>
  <r>
    <x v="0"/>
    <s v="2023-05-15 11:51:53"/>
    <n v="6"/>
    <x v="10"/>
    <x v="3"/>
    <x v="1"/>
    <n v="9.5096808134995996"/>
    <n v="2E+20"/>
    <n v="6.8274670267818198"/>
    <n v="16.744731834428102"/>
    <n v="155"/>
    <s v="Unnamed ProjectMaleta NacionalTotal TimeEntity"/>
    <n v="10"/>
    <n v="10.155322958912489"/>
    <n v="0.33418682093278973"/>
    <n v="0.95"/>
    <n v="0.23906285023865298"/>
    <n v="9.5096808134995996"/>
    <n v="10.541225271035399"/>
    <n v="6.3921838050257502"/>
    <n v="33.212781474357499"/>
    <n v="159.1"/>
    <n v="0.23906285023865298"/>
    <n v="10"/>
    <n v="1"/>
  </r>
  <r>
    <x v="0"/>
    <s v="2023-05-15 11:51:53"/>
    <n v="6"/>
    <x v="10"/>
    <x v="4"/>
    <x v="1"/>
    <n v="7.6477907724199703"/>
    <n v="2E+20"/>
    <n v="5"/>
    <n v="9.0192719041118607"/>
    <n v="155"/>
    <s v="Unnamed ProjectMaleta NacionalTransfer TimeEntity"/>
    <n v="10"/>
    <n v="7.6753288500844494"/>
    <n v="3.9746429823300011E-2"/>
    <n v="0.95"/>
    <n v="2.8432883061776049E-2"/>
    <n v="7.6171173934620997"/>
    <n v="7.7465011776556301"/>
    <n v="4.9973602639356596"/>
    <n v="10.3780432567189"/>
    <n v="159.1"/>
    <n v="2.8432883061776049E-2"/>
    <n v="10"/>
    <n v="1"/>
  </r>
  <r>
    <x v="0"/>
    <s v="2023-05-15 11:51:53"/>
    <n v="6"/>
    <x v="10"/>
    <x v="5"/>
    <x v="1"/>
    <n v="0.93154168311307295"/>
    <n v="2E+20"/>
    <n v="5.2560825793079901E-4"/>
    <n v="8.0934495312390293"/>
    <n v="155"/>
    <s v="Unnamed ProjectMaleta NacionalVA TimeEntity"/>
    <n v="10"/>
    <n v="1.1970866370450852"/>
    <n v="0.16160338579426173"/>
    <n v="0.95"/>
    <n v="0.11560409805616673"/>
    <n v="0.93154168311307295"/>
    <n v="1.4326343791811"/>
    <n v="3.5780155263864799E-4"/>
    <n v="27.4453656088955"/>
    <n v="159.1"/>
    <n v="0.11560409805616673"/>
    <n v="10"/>
    <n v="1"/>
  </r>
  <r>
    <x v="0"/>
    <s v="2023-05-15 11:51:53"/>
    <n v="6"/>
    <x v="10"/>
    <x v="6"/>
    <x v="1"/>
    <n v="0.93034835796656001"/>
    <n v="2E+20"/>
    <n v="2.7928042273970301E-2"/>
    <n v="4.8117342938450598"/>
    <n v="155"/>
    <s v="Unnamed ProjectMaleta NacionalWait TimeEntity"/>
    <n v="10"/>
    <n v="1.2829074717829589"/>
    <n v="0.19900819614524773"/>
    <n v="0.95"/>
    <n v="0.14236188745726755"/>
    <n v="0.93034835796656001"/>
    <n v="1.5005499568751099"/>
    <n v="0"/>
    <n v="10.9519173465048"/>
    <n v="159.1"/>
    <n v="0.14236188745726755"/>
    <n v="10"/>
    <n v="1"/>
  </r>
  <r>
    <x v="0"/>
    <s v="2023-05-15 11:51:53"/>
    <n v="7"/>
    <x v="10"/>
    <x v="1"/>
    <x v="1"/>
    <n v="0"/>
    <n v="2E+20"/>
    <n v="0"/>
    <n v="0"/>
    <n v="150"/>
    <s v="Unnamed ProjectMaleta NacionalNVA TimeEntity"/>
    <n v="10"/>
    <n v="0"/>
    <n v="0"/>
    <n v="0.95"/>
    <n v="0"/>
    <n v="0"/>
    <n v="0"/>
    <n v="0"/>
    <n v="0"/>
    <n v="159.1"/>
    <n v="0"/>
    <n v="10"/>
    <n v="1"/>
  </r>
  <r>
    <x v="0"/>
    <s v="2023-05-15 11:51:53"/>
    <n v="7"/>
    <x v="10"/>
    <x v="2"/>
    <x v="1"/>
    <n v="0"/>
    <n v="2E+20"/>
    <n v="0"/>
    <n v="0"/>
    <n v="150"/>
    <s v="Unnamed ProjectMaleta NacionalOther TimeEntity"/>
    <n v="10"/>
    <n v="0"/>
    <n v="0"/>
    <n v="0.95"/>
    <n v="0"/>
    <n v="0"/>
    <n v="0"/>
    <n v="0"/>
    <n v="0"/>
    <n v="159.1"/>
    <n v="0"/>
    <n v="10"/>
    <n v="1"/>
  </r>
  <r>
    <x v="0"/>
    <s v="2023-05-15 11:51:53"/>
    <n v="7"/>
    <x v="10"/>
    <x v="3"/>
    <x v="1"/>
    <n v="10.430291574371299"/>
    <n v="2E+20"/>
    <n v="6.9271101107642004"/>
    <n v="22.094485450802299"/>
    <n v="150"/>
    <s v="Unnamed ProjectMaleta NacionalTotal TimeEntity"/>
    <n v="10"/>
    <n v="10.155322958912489"/>
    <n v="0.33418682093278973"/>
    <n v="0.95"/>
    <n v="0.23906285023865298"/>
    <n v="9.5096808134995996"/>
    <n v="10.541225271035399"/>
    <n v="6.3921838050257502"/>
    <n v="33.212781474357499"/>
    <n v="159.1"/>
    <n v="0.23906285023865298"/>
    <n v="10"/>
    <n v="1"/>
  </r>
  <r>
    <x v="0"/>
    <s v="2023-05-15 11:51:53"/>
    <n v="7"/>
    <x v="10"/>
    <x v="4"/>
    <x v="1"/>
    <n v="7.6420949074783504"/>
    <n v="2E+20"/>
    <n v="5"/>
    <n v="8.6750691028164493"/>
    <n v="150"/>
    <s v="Unnamed ProjectMaleta NacionalTransfer TimeEntity"/>
    <n v="10"/>
    <n v="7.6753288500844494"/>
    <n v="3.9746429823300011E-2"/>
    <n v="0.95"/>
    <n v="2.8432883061776049E-2"/>
    <n v="7.6171173934620997"/>
    <n v="7.7465011776556301"/>
    <n v="4.9973602639356596"/>
    <n v="10.3780432567189"/>
    <n v="159.1"/>
    <n v="2.8432883061776049E-2"/>
    <n v="10"/>
    <n v="1"/>
  </r>
  <r>
    <x v="0"/>
    <s v="2023-05-15 11:51:53"/>
    <n v="7"/>
    <x v="10"/>
    <x v="5"/>
    <x v="1"/>
    <n v="1.3301764722473599"/>
    <n v="2E+20"/>
    <n v="1.4624646529284699E-2"/>
    <n v="8.8132763200057394"/>
    <n v="150"/>
    <s v="Unnamed ProjectMaleta NacionalVA TimeEntity"/>
    <n v="10"/>
    <n v="1.1970866370450852"/>
    <n v="0.16160338579426173"/>
    <n v="0.95"/>
    <n v="0.11560409805616673"/>
    <n v="0.93154168311307295"/>
    <n v="1.4326343791811"/>
    <n v="3.5780155263864799E-4"/>
    <n v="27.4453656088955"/>
    <n v="159.1"/>
    <n v="0.11560409805616673"/>
    <n v="10"/>
    <n v="1"/>
  </r>
  <r>
    <x v="0"/>
    <s v="2023-05-15 11:51:53"/>
    <n v="7"/>
    <x v="10"/>
    <x v="6"/>
    <x v="1"/>
    <n v="1.45802019464556"/>
    <n v="2E+20"/>
    <n v="4.8580951333406099E-2"/>
    <n v="8.5431258008795794"/>
    <n v="150"/>
    <s v="Unnamed ProjectMaleta NacionalWait TimeEntity"/>
    <n v="10"/>
    <n v="1.2829074717829589"/>
    <n v="0.19900819614524773"/>
    <n v="0.95"/>
    <n v="0.14236188745726755"/>
    <n v="0.93034835796656001"/>
    <n v="1.5005499568751099"/>
    <n v="0"/>
    <n v="10.9519173465048"/>
    <n v="159.1"/>
    <n v="0.14236188745726755"/>
    <n v="10"/>
    <n v="1"/>
  </r>
  <r>
    <x v="0"/>
    <s v="2023-05-15 11:51:53"/>
    <n v="8"/>
    <x v="10"/>
    <x v="1"/>
    <x v="1"/>
    <n v="0"/>
    <n v="2E+20"/>
    <n v="0"/>
    <n v="0"/>
    <n v="149"/>
    <s v="Unnamed ProjectMaleta NacionalNVA TimeEntity"/>
    <n v="10"/>
    <n v="0"/>
    <n v="0"/>
    <n v="0.95"/>
    <n v="0"/>
    <n v="0"/>
    <n v="0"/>
    <n v="0"/>
    <n v="0"/>
    <n v="159.1"/>
    <n v="0"/>
    <n v="10"/>
    <n v="1"/>
  </r>
  <r>
    <x v="0"/>
    <s v="2023-05-15 11:51:53"/>
    <n v="8"/>
    <x v="10"/>
    <x v="2"/>
    <x v="1"/>
    <n v="0"/>
    <n v="2E+20"/>
    <n v="0"/>
    <n v="0"/>
    <n v="149"/>
    <s v="Unnamed ProjectMaleta NacionalOther TimeEntity"/>
    <n v="10"/>
    <n v="0"/>
    <n v="0"/>
    <n v="0.95"/>
    <n v="0"/>
    <n v="0"/>
    <n v="0"/>
    <n v="0"/>
    <n v="0"/>
    <n v="159.1"/>
    <n v="0"/>
    <n v="10"/>
    <n v="1"/>
  </r>
  <r>
    <x v="0"/>
    <s v="2023-05-15 11:51:53"/>
    <n v="8"/>
    <x v="10"/>
    <x v="3"/>
    <x v="1"/>
    <n v="10.129584245595201"/>
    <n v="2E+20"/>
    <n v="7.57241276722067"/>
    <n v="21.2305305449886"/>
    <n v="149"/>
    <s v="Unnamed ProjectMaleta NacionalTotal TimeEntity"/>
    <n v="10"/>
    <n v="10.155322958912489"/>
    <n v="0.33418682093278973"/>
    <n v="0.95"/>
    <n v="0.23906285023865298"/>
    <n v="9.5096808134995996"/>
    <n v="10.541225271035399"/>
    <n v="6.3921838050257502"/>
    <n v="33.212781474357499"/>
    <n v="159.1"/>
    <n v="0.23906285023865298"/>
    <n v="10"/>
    <n v="1"/>
  </r>
  <r>
    <x v="0"/>
    <s v="2023-05-15 11:51:53"/>
    <n v="8"/>
    <x v="10"/>
    <x v="4"/>
    <x v="1"/>
    <n v="7.7218306599202604"/>
    <n v="2E+20"/>
    <n v="5"/>
    <n v="8.8233717001333503"/>
    <n v="149"/>
    <s v="Unnamed ProjectMaleta NacionalTransfer TimeEntity"/>
    <n v="10"/>
    <n v="7.6753288500844494"/>
    <n v="3.9746429823300011E-2"/>
    <n v="0.95"/>
    <n v="2.8432883061776049E-2"/>
    <n v="7.6171173934620997"/>
    <n v="7.7465011776556301"/>
    <n v="4.9973602639356596"/>
    <n v="10.3780432567189"/>
    <n v="159.1"/>
    <n v="2.8432883061776049E-2"/>
    <n v="10"/>
    <n v="1"/>
  </r>
  <r>
    <x v="0"/>
    <s v="2023-05-15 11:51:53"/>
    <n v="8"/>
    <x v="10"/>
    <x v="5"/>
    <x v="1"/>
    <n v="1.0937196195253001"/>
    <n v="2E+20"/>
    <n v="6.1067595521535597E-3"/>
    <n v="7.9982317478479503"/>
    <n v="149"/>
    <s v="Unnamed ProjectMaleta NacionalVA TimeEntity"/>
    <n v="10"/>
    <n v="1.1970866370450852"/>
    <n v="0.16160338579426173"/>
    <n v="0.95"/>
    <n v="0.11560409805616673"/>
    <n v="0.93154168311307295"/>
    <n v="1.4326343791811"/>
    <n v="3.5780155263864799E-4"/>
    <n v="27.4453656088955"/>
    <n v="159.1"/>
    <n v="0.11560409805616673"/>
    <n v="10"/>
    <n v="1"/>
  </r>
  <r>
    <x v="0"/>
    <s v="2023-05-15 11:51:53"/>
    <n v="8"/>
    <x v="10"/>
    <x v="6"/>
    <x v="1"/>
    <n v="1.3140339661496501"/>
    <n v="2E+20"/>
    <n v="2.9464394214087999E-2"/>
    <n v="10.9519173465048"/>
    <n v="149"/>
    <s v="Unnamed ProjectMaleta NacionalWait TimeEntity"/>
    <n v="10"/>
    <n v="1.2829074717829589"/>
    <n v="0.19900819614524773"/>
    <n v="0.95"/>
    <n v="0.14236188745726755"/>
    <n v="0.93034835796656001"/>
    <n v="1.5005499568751099"/>
    <n v="0"/>
    <n v="10.9519173465048"/>
    <n v="159.1"/>
    <n v="0.14236188745726755"/>
    <n v="10"/>
    <n v="1"/>
  </r>
  <r>
    <x v="0"/>
    <s v="2023-05-15 11:51:53"/>
    <n v="9"/>
    <x v="10"/>
    <x v="1"/>
    <x v="1"/>
    <n v="0"/>
    <n v="2E+20"/>
    <n v="0"/>
    <n v="0"/>
    <n v="189"/>
    <s v="Unnamed ProjectMaleta NacionalNVA TimeEntity"/>
    <n v="10"/>
    <n v="0"/>
    <n v="0"/>
    <n v="0.95"/>
    <n v="0"/>
    <n v="0"/>
    <n v="0"/>
    <n v="0"/>
    <n v="0"/>
    <n v="159.1"/>
    <n v="0"/>
    <n v="10"/>
    <n v="1"/>
  </r>
  <r>
    <x v="0"/>
    <s v="2023-05-15 11:51:53"/>
    <n v="9"/>
    <x v="10"/>
    <x v="2"/>
    <x v="1"/>
    <n v="0"/>
    <n v="2E+20"/>
    <n v="0"/>
    <n v="0"/>
    <n v="189"/>
    <s v="Unnamed ProjectMaleta NacionalOther TimeEntity"/>
    <n v="10"/>
    <n v="0"/>
    <n v="0"/>
    <n v="0.95"/>
    <n v="0"/>
    <n v="0"/>
    <n v="0"/>
    <n v="0"/>
    <n v="0"/>
    <n v="159.1"/>
    <n v="0"/>
    <n v="10"/>
    <n v="1"/>
  </r>
  <r>
    <x v="0"/>
    <s v="2023-05-15 11:51:53"/>
    <n v="9"/>
    <x v="10"/>
    <x v="3"/>
    <x v="1"/>
    <n v="10.360818440513199"/>
    <n v="2E+20"/>
    <n v="6.3921838050257502"/>
    <n v="21.834987972594998"/>
    <n v="189"/>
    <s v="Unnamed ProjectMaleta NacionalTotal TimeEntity"/>
    <n v="10"/>
    <n v="10.155322958912489"/>
    <n v="0.33418682093278973"/>
    <n v="0.95"/>
    <n v="0.23906285023865298"/>
    <n v="9.5096808134995996"/>
    <n v="10.541225271035399"/>
    <n v="6.3921838050257502"/>
    <n v="33.212781474357499"/>
    <n v="159.1"/>
    <n v="0.23906285023865298"/>
    <n v="10"/>
    <n v="1"/>
  </r>
  <r>
    <x v="0"/>
    <s v="2023-05-15 11:51:53"/>
    <n v="9"/>
    <x v="10"/>
    <x v="4"/>
    <x v="1"/>
    <n v="7.6806217258382201"/>
    <n v="2E+20"/>
    <n v="4.9973602639356596"/>
    <n v="9.4030921293850191"/>
    <n v="189"/>
    <s v="Unnamed ProjectMaleta NacionalTransfer TimeEntity"/>
    <n v="10"/>
    <n v="7.6753288500844494"/>
    <n v="3.9746429823300011E-2"/>
    <n v="0.95"/>
    <n v="2.8432883061776049E-2"/>
    <n v="7.6171173934620997"/>
    <n v="7.7465011776556301"/>
    <n v="4.9973602639356596"/>
    <n v="10.3780432567189"/>
    <n v="159.1"/>
    <n v="2.8432883061776049E-2"/>
    <n v="10"/>
    <n v="1"/>
  </r>
  <r>
    <x v="0"/>
    <s v="2023-05-15 11:51:53"/>
    <n v="9"/>
    <x v="10"/>
    <x v="5"/>
    <x v="1"/>
    <n v="1.17964675779983"/>
    <n v="2E+20"/>
    <n v="1.7376765557628501E-3"/>
    <n v="12.3289464572126"/>
    <n v="189"/>
    <s v="Unnamed ProjectMaleta NacionalVA TimeEntity"/>
    <n v="10"/>
    <n v="1.1970866370450852"/>
    <n v="0.16160338579426173"/>
    <n v="0.95"/>
    <n v="0.11560409805616673"/>
    <n v="0.93154168311307295"/>
    <n v="1.4326343791811"/>
    <n v="3.5780155263864799E-4"/>
    <n v="27.4453656088955"/>
    <n v="159.1"/>
    <n v="0.11560409805616673"/>
    <n v="10"/>
    <n v="1"/>
  </r>
  <r>
    <x v="0"/>
    <s v="2023-05-15 11:51:53"/>
    <n v="9"/>
    <x v="10"/>
    <x v="6"/>
    <x v="1"/>
    <n v="1.5005499568751099"/>
    <n v="2E+20"/>
    <n v="0"/>
    <n v="9.9127760747288107"/>
    <n v="189"/>
    <s v="Unnamed ProjectMaleta NacionalWait TimeEntity"/>
    <n v="10"/>
    <n v="1.2829074717829589"/>
    <n v="0.19900819614524773"/>
    <n v="0.95"/>
    <n v="0.14236188745726755"/>
    <n v="0.93034835796656001"/>
    <n v="1.5005499568751099"/>
    <n v="0"/>
    <n v="10.9519173465048"/>
    <n v="159.1"/>
    <n v="0.14236188745726755"/>
    <n v="10"/>
    <n v="1"/>
  </r>
  <r>
    <x v="0"/>
    <s v="2023-05-15 11:51:53"/>
    <n v="10"/>
    <x v="10"/>
    <x v="1"/>
    <x v="1"/>
    <n v="0"/>
    <n v="2E+20"/>
    <n v="0"/>
    <n v="0"/>
    <n v="151"/>
    <s v="Unnamed ProjectMaleta NacionalNVA TimeEntity"/>
    <n v="10"/>
    <n v="0"/>
    <n v="0"/>
    <n v="0.95"/>
    <n v="0"/>
    <n v="0"/>
    <n v="0"/>
    <n v="0"/>
    <n v="0"/>
    <n v="159.1"/>
    <n v="0"/>
    <n v="10"/>
    <n v="1"/>
  </r>
  <r>
    <x v="0"/>
    <s v="2023-05-15 11:51:53"/>
    <n v="10"/>
    <x v="10"/>
    <x v="2"/>
    <x v="1"/>
    <n v="0"/>
    <n v="2E+20"/>
    <n v="0"/>
    <n v="0"/>
    <n v="151"/>
    <s v="Unnamed ProjectMaleta NacionalOther TimeEntity"/>
    <n v="10"/>
    <n v="0"/>
    <n v="0"/>
    <n v="0.95"/>
    <n v="0"/>
    <n v="0"/>
    <n v="0"/>
    <n v="0"/>
    <n v="0"/>
    <n v="159.1"/>
    <n v="0"/>
    <n v="10"/>
    <n v="1"/>
  </r>
  <r>
    <x v="0"/>
    <s v="2023-05-15 11:51:53"/>
    <n v="10"/>
    <x v="10"/>
    <x v="3"/>
    <x v="1"/>
    <n v="9.8964489698954203"/>
    <n v="2E+20"/>
    <n v="7.8040689954296996"/>
    <n v="18.845944453778898"/>
    <n v="151"/>
    <s v="Unnamed ProjectMaleta NacionalTotal TimeEntity"/>
    <n v="10"/>
    <n v="10.155322958912489"/>
    <n v="0.33418682093278973"/>
    <n v="0.95"/>
    <n v="0.23906285023865298"/>
    <n v="9.5096808134995996"/>
    <n v="10.541225271035399"/>
    <n v="6.3921838050257502"/>
    <n v="33.212781474357499"/>
    <n v="159.1"/>
    <n v="0.23906285023865298"/>
    <n v="10"/>
    <n v="1"/>
  </r>
  <r>
    <x v="0"/>
    <s v="2023-05-15 11:51:53"/>
    <n v="10"/>
    <x v="10"/>
    <x v="4"/>
    <x v="1"/>
    <n v="7.7465011776556301"/>
    <n v="2E+20"/>
    <n v="5"/>
    <n v="10.3780432567189"/>
    <n v="151"/>
    <s v="Unnamed ProjectMaleta NacionalTransfer TimeEntity"/>
    <n v="10"/>
    <n v="7.6753288500844494"/>
    <n v="3.9746429823300011E-2"/>
    <n v="0.95"/>
    <n v="2.8432883061776049E-2"/>
    <n v="7.6171173934620997"/>
    <n v="7.7465011776556301"/>
    <n v="4.9973602639356596"/>
    <n v="10.3780432567189"/>
    <n v="159.1"/>
    <n v="2.8432883061776049E-2"/>
    <n v="10"/>
    <n v="1"/>
  </r>
  <r>
    <x v="0"/>
    <s v="2023-05-15 11:51:53"/>
    <n v="10"/>
    <x v="10"/>
    <x v="5"/>
    <x v="1"/>
    <n v="1.07608589339405"/>
    <n v="2E+20"/>
    <n v="5.9944579725730298E-3"/>
    <n v="12.276802385452299"/>
    <n v="151"/>
    <s v="Unnamed ProjectMaleta NacionalVA TimeEntity"/>
    <n v="10"/>
    <n v="1.1970866370450852"/>
    <n v="0.16160338579426173"/>
    <n v="0.95"/>
    <n v="0.11560409805616673"/>
    <n v="0.93154168311307295"/>
    <n v="1.4326343791811"/>
    <n v="3.5780155263864799E-4"/>
    <n v="27.4453656088955"/>
    <n v="159.1"/>
    <n v="0.11560409805616673"/>
    <n v="10"/>
    <n v="1"/>
  </r>
  <r>
    <x v="0"/>
    <s v="2023-05-15 11:51:53"/>
    <n v="10"/>
    <x v="10"/>
    <x v="6"/>
    <x v="1"/>
    <n v="1.07386189884574"/>
    <n v="2E+20"/>
    <n v="9.4028366282827805E-2"/>
    <n v="7.6966528925510298"/>
    <n v="151"/>
    <s v="Unnamed ProjectMaleta NacionalWait TimeEntity"/>
    <n v="10"/>
    <n v="1.2829074717829589"/>
    <n v="0.19900819614524773"/>
    <n v="0.95"/>
    <n v="0.14236188745726755"/>
    <n v="0.93034835796656001"/>
    <n v="1.5005499568751099"/>
    <n v="0"/>
    <n v="10.9519173465048"/>
    <n v="159.1"/>
    <n v="0.14236188745726755"/>
    <n v="10"/>
    <n v="1"/>
  </r>
  <r>
    <x v="0"/>
    <s v="2023-05-15 11:51:53"/>
    <n v="1"/>
    <x v="11"/>
    <x v="0"/>
    <x v="0"/>
    <n v="12.690999125507901"/>
    <n v="2E+20"/>
    <n v="0"/>
    <n v="47.5384719461061"/>
    <n v="20"/>
    <s v="Unnamed Projectmanualinter.QueueWaiting TimeQueue"/>
    <n v="10"/>
    <n v="9.7731099319170269"/>
    <n v="6.9679354222105561"/>
    <n v="0.95"/>
    <n v="4.9845607246359398"/>
    <n v="1.62812611166987"/>
    <n v="21.612732095934501"/>
    <n v="0"/>
    <n v="77.725628461856203"/>
    <n v="18.8"/>
    <n v="4.9845607246359398"/>
    <n v="10"/>
    <n v="1"/>
  </r>
  <r>
    <x v="0"/>
    <s v="2023-05-15 11:51:53"/>
    <n v="2"/>
    <x v="11"/>
    <x v="0"/>
    <x v="0"/>
    <n v="3.86328286561226"/>
    <n v="2E+20"/>
    <n v="0"/>
    <n v="18.7265035526909"/>
    <n v="20"/>
    <s v="Unnamed Projectmanualinter.QueueWaiting TimeQueue"/>
    <n v="10"/>
    <n v="9.7731099319170269"/>
    <n v="6.9679354222105561"/>
    <n v="0.95"/>
    <n v="4.9845607246359398"/>
    <n v="1.62812611166987"/>
    <n v="21.612732095934501"/>
    <n v="0"/>
    <n v="77.725628461856203"/>
    <n v="18.8"/>
    <n v="4.9845607246359398"/>
    <n v="10"/>
    <n v="1"/>
  </r>
  <r>
    <x v="0"/>
    <s v="2023-05-15 11:51:53"/>
    <n v="3"/>
    <x v="11"/>
    <x v="0"/>
    <x v="0"/>
    <n v="3.77417929918846"/>
    <n v="2E+20"/>
    <n v="0"/>
    <n v="21.923135132236499"/>
    <n v="24"/>
    <s v="Unnamed Projectmanualinter.QueueWaiting TimeQueue"/>
    <n v="10"/>
    <n v="9.7731099319170269"/>
    <n v="6.9679354222105561"/>
    <n v="0.95"/>
    <n v="4.9845607246359398"/>
    <n v="1.62812611166987"/>
    <n v="21.612732095934501"/>
    <n v="0"/>
    <n v="77.725628461856203"/>
    <n v="18.8"/>
    <n v="4.9845607246359398"/>
    <n v="10"/>
    <n v="1"/>
  </r>
  <r>
    <x v="0"/>
    <s v="2023-05-15 11:51:53"/>
    <n v="4"/>
    <x v="11"/>
    <x v="0"/>
    <x v="0"/>
    <n v="3.30151938407159"/>
    <n v="2E+20"/>
    <n v="0"/>
    <n v="46.094526020113697"/>
    <n v="21"/>
    <s v="Unnamed Projectmanualinter.QueueWaiting TimeQueue"/>
    <n v="10"/>
    <n v="9.7731099319170269"/>
    <n v="6.9679354222105561"/>
    <n v="0.95"/>
    <n v="4.9845607246359398"/>
    <n v="1.62812611166987"/>
    <n v="21.612732095934501"/>
    <n v="0"/>
    <n v="77.725628461856203"/>
    <n v="18.8"/>
    <n v="4.9845607246359398"/>
    <n v="10"/>
    <n v="1"/>
  </r>
  <r>
    <x v="0"/>
    <s v="2023-05-15 11:51:53"/>
    <n v="5"/>
    <x v="11"/>
    <x v="0"/>
    <x v="0"/>
    <n v="13.5715845263309"/>
    <n v="2E+20"/>
    <n v="0"/>
    <n v="42.526133864530003"/>
    <n v="20"/>
    <s v="Unnamed Projectmanualinter.QueueWaiting TimeQueue"/>
    <n v="10"/>
    <n v="9.7731099319170269"/>
    <n v="6.9679354222105561"/>
    <n v="0.95"/>
    <n v="4.9845607246359398"/>
    <n v="1.62812611166987"/>
    <n v="21.612732095934501"/>
    <n v="0"/>
    <n v="77.725628461856203"/>
    <n v="18.8"/>
    <n v="4.9845607246359398"/>
    <n v="10"/>
    <n v="1"/>
  </r>
  <r>
    <x v="0"/>
    <s v="2023-05-15 11:51:53"/>
    <n v="6"/>
    <x v="11"/>
    <x v="0"/>
    <x v="0"/>
    <n v="1.62812611166987"/>
    <n v="2E+20"/>
    <n v="0"/>
    <n v="8.9092260857184993"/>
    <n v="18"/>
    <s v="Unnamed Projectmanualinter.QueueWaiting TimeQueue"/>
    <n v="10"/>
    <n v="9.7731099319170269"/>
    <n v="6.9679354222105561"/>
    <n v="0.95"/>
    <n v="4.9845607246359398"/>
    <n v="1.62812611166987"/>
    <n v="21.612732095934501"/>
    <n v="0"/>
    <n v="77.725628461856203"/>
    <n v="18.8"/>
    <n v="4.9845607246359398"/>
    <n v="10"/>
    <n v="1"/>
  </r>
  <r>
    <x v="0"/>
    <s v="2023-05-15 11:51:53"/>
    <n v="7"/>
    <x v="11"/>
    <x v="0"/>
    <x v="0"/>
    <n v="17.042676577098199"/>
    <n v="2E+20"/>
    <n v="0"/>
    <n v="55.663279810317299"/>
    <n v="16"/>
    <s v="Unnamed Projectmanualinter.QueueWaiting TimeQueue"/>
    <n v="10"/>
    <n v="9.7731099319170269"/>
    <n v="6.9679354222105561"/>
    <n v="0.95"/>
    <n v="4.9845607246359398"/>
    <n v="1.62812611166987"/>
    <n v="21.612732095934501"/>
    <n v="0"/>
    <n v="77.725628461856203"/>
    <n v="18.8"/>
    <n v="4.9845607246359398"/>
    <n v="10"/>
    <n v="1"/>
  </r>
  <r>
    <x v="0"/>
    <s v="2023-05-15 11:51:53"/>
    <n v="8"/>
    <x v="11"/>
    <x v="0"/>
    <x v="0"/>
    <n v="21.612732095934501"/>
    <n v="2E+20"/>
    <n v="0"/>
    <n v="77.725628461856203"/>
    <n v="14"/>
    <s v="Unnamed Projectmanualinter.QueueWaiting TimeQueue"/>
    <n v="10"/>
    <n v="9.7731099319170269"/>
    <n v="6.9679354222105561"/>
    <n v="0.95"/>
    <n v="4.9845607246359398"/>
    <n v="1.62812611166987"/>
    <n v="21.612732095934501"/>
    <n v="0"/>
    <n v="77.725628461856203"/>
    <n v="18.8"/>
    <n v="4.9845607246359398"/>
    <n v="10"/>
    <n v="1"/>
  </r>
  <r>
    <x v="0"/>
    <s v="2023-05-15 11:51:53"/>
    <n v="9"/>
    <x v="11"/>
    <x v="0"/>
    <x v="0"/>
    <n v="14.6849653425894"/>
    <n v="2E+20"/>
    <n v="0"/>
    <n v="64.859773785888294"/>
    <n v="17"/>
    <s v="Unnamed Projectmanualinter.QueueWaiting TimeQueue"/>
    <n v="10"/>
    <n v="9.7731099319170269"/>
    <n v="6.9679354222105561"/>
    <n v="0.95"/>
    <n v="4.9845607246359398"/>
    <n v="1.62812611166987"/>
    <n v="21.612732095934501"/>
    <n v="0"/>
    <n v="77.725628461856203"/>
    <n v="18.8"/>
    <n v="4.9845607246359398"/>
    <n v="10"/>
    <n v="1"/>
  </r>
  <r>
    <x v="0"/>
    <s v="2023-05-15 11:51:53"/>
    <n v="10"/>
    <x v="11"/>
    <x v="0"/>
    <x v="0"/>
    <n v="5.5610339911671796"/>
    <n v="2E+20"/>
    <n v="0"/>
    <n v="46.909201081232098"/>
    <n v="18"/>
    <s v="Unnamed Projectmanualinter.QueueWaiting TimeQueue"/>
    <n v="10"/>
    <n v="9.7731099319170269"/>
    <n v="6.9679354222105561"/>
    <n v="0.95"/>
    <n v="4.9845607246359398"/>
    <n v="1.62812611166987"/>
    <n v="21.612732095934501"/>
    <n v="0"/>
    <n v="77.725628461856203"/>
    <n v="18.8"/>
    <n v="4.9845607246359398"/>
    <n v="10"/>
    <n v="1"/>
  </r>
  <r>
    <x v="0"/>
    <s v="2023-05-15 11:51:53"/>
    <n v="1"/>
    <x v="12"/>
    <x v="0"/>
    <x v="0"/>
    <n v="0"/>
    <n v="2E+20"/>
    <n v="0"/>
    <n v="0"/>
    <n v="4"/>
    <s v="Unnamed Projectmanualnaciona.QueueWaiting TimeQueue"/>
    <n v="10"/>
    <n v="0.13353088580878619"/>
    <n v="0.38480601475423104"/>
    <n v="0.95"/>
    <n v="0.27527364011348865"/>
    <n v="0"/>
    <n v="1.22682576767282"/>
    <n v="0"/>
    <n v="6.3562688714400801"/>
    <n v="7.6"/>
    <n v="0.27527364011348865"/>
    <n v="10"/>
    <n v="1"/>
  </r>
  <r>
    <x v="0"/>
    <s v="2023-05-15 11:51:53"/>
    <n v="2"/>
    <x v="12"/>
    <x v="0"/>
    <x v="0"/>
    <n v="0"/>
    <n v="2E+20"/>
    <n v="0"/>
    <n v="0"/>
    <n v="9"/>
    <s v="Unnamed Projectmanualnaciona.QueueWaiting TimeQueue"/>
    <n v="10"/>
    <n v="0.13353088580878619"/>
    <n v="0.38480601475423104"/>
    <n v="0.95"/>
    <n v="0.27527364011348865"/>
    <n v="0"/>
    <n v="1.22682576767282"/>
    <n v="0"/>
    <n v="6.3562688714400801"/>
    <n v="7.6"/>
    <n v="0.27527364011348865"/>
    <n v="10"/>
    <n v="1"/>
  </r>
  <r>
    <x v="0"/>
    <s v="2023-05-15 11:51:53"/>
    <n v="3"/>
    <x v="12"/>
    <x v="0"/>
    <x v="0"/>
    <n v="0"/>
    <n v="2E+20"/>
    <n v="0"/>
    <n v="0"/>
    <n v="6"/>
    <s v="Unnamed Projectmanualnaciona.QueueWaiting TimeQueue"/>
    <n v="10"/>
    <n v="0.13353088580878619"/>
    <n v="0.38480601475423104"/>
    <n v="0.95"/>
    <n v="0.27527364011348865"/>
    <n v="0"/>
    <n v="1.22682576767282"/>
    <n v="0"/>
    <n v="6.3562688714400801"/>
    <n v="7.6"/>
    <n v="0.27527364011348865"/>
    <n v="10"/>
    <n v="1"/>
  </r>
  <r>
    <x v="0"/>
    <s v="2023-05-15 11:51:53"/>
    <n v="4"/>
    <x v="12"/>
    <x v="0"/>
    <x v="0"/>
    <n v="0"/>
    <n v="2E+20"/>
    <n v="0"/>
    <n v="0"/>
    <n v="10"/>
    <s v="Unnamed Projectmanualnaciona.QueueWaiting TimeQueue"/>
    <n v="10"/>
    <n v="0.13353088580878619"/>
    <n v="0.38480601475423104"/>
    <n v="0.95"/>
    <n v="0.27527364011348865"/>
    <n v="0"/>
    <n v="1.22682576767282"/>
    <n v="0"/>
    <n v="6.3562688714400801"/>
    <n v="7.6"/>
    <n v="0.27527364011348865"/>
    <n v="10"/>
    <n v="1"/>
  </r>
  <r>
    <x v="0"/>
    <s v="2023-05-15 11:51:53"/>
    <n v="5"/>
    <x v="12"/>
    <x v="0"/>
    <x v="0"/>
    <n v="5.3894493994523902E-2"/>
    <n v="2E+20"/>
    <n v="0"/>
    <n v="0.53894493994523895"/>
    <n v="10"/>
    <s v="Unnamed Projectmanualnaciona.QueueWaiting TimeQueue"/>
    <n v="10"/>
    <n v="0.13353088580878619"/>
    <n v="0.38480601475423104"/>
    <n v="0.95"/>
    <n v="0.27527364011348865"/>
    <n v="0"/>
    <n v="1.22682576767282"/>
    <n v="0"/>
    <n v="6.3562688714400801"/>
    <n v="7.6"/>
    <n v="0.27527364011348865"/>
    <n v="10"/>
    <n v="1"/>
  </r>
  <r>
    <x v="0"/>
    <s v="2023-05-15 11:51:53"/>
    <n v="6"/>
    <x v="12"/>
    <x v="0"/>
    <x v="0"/>
    <n v="0"/>
    <n v="2E+20"/>
    <n v="0"/>
    <n v="0"/>
    <n v="5"/>
    <s v="Unnamed Projectmanualnaciona.QueueWaiting TimeQueue"/>
    <n v="10"/>
    <n v="0.13353088580878619"/>
    <n v="0.38480601475423104"/>
    <n v="0.95"/>
    <n v="0.27527364011348865"/>
    <n v="0"/>
    <n v="1.22682576767282"/>
    <n v="0"/>
    <n v="6.3562688714400801"/>
    <n v="7.6"/>
    <n v="0.27527364011348865"/>
    <n v="10"/>
    <n v="1"/>
  </r>
  <r>
    <x v="0"/>
    <s v="2023-05-15 11:51:53"/>
    <n v="7"/>
    <x v="12"/>
    <x v="0"/>
    <x v="0"/>
    <n v="1.22682576767282"/>
    <n v="2E+20"/>
    <n v="0"/>
    <n v="6.3562688714400801"/>
    <n v="10"/>
    <s v="Unnamed Projectmanualnaciona.QueueWaiting TimeQueue"/>
    <n v="10"/>
    <n v="0.13353088580878619"/>
    <n v="0.38480601475423104"/>
    <n v="0.95"/>
    <n v="0.27527364011348865"/>
    <n v="0"/>
    <n v="1.22682576767282"/>
    <n v="0"/>
    <n v="6.3562688714400801"/>
    <n v="7.6"/>
    <n v="0.27527364011348865"/>
    <n v="10"/>
    <n v="1"/>
  </r>
  <r>
    <x v="0"/>
    <s v="2023-05-15 11:51:53"/>
    <n v="8"/>
    <x v="12"/>
    <x v="0"/>
    <x v="0"/>
    <n v="0"/>
    <n v="2E+20"/>
    <n v="0"/>
    <n v="0"/>
    <n v="4"/>
    <s v="Unnamed Projectmanualnaciona.QueueWaiting TimeQueue"/>
    <n v="10"/>
    <n v="0.13353088580878619"/>
    <n v="0.38480601475423104"/>
    <n v="0.95"/>
    <n v="0.27527364011348865"/>
    <n v="0"/>
    <n v="1.22682576767282"/>
    <n v="0"/>
    <n v="6.3562688714400801"/>
    <n v="7.6"/>
    <n v="0.27527364011348865"/>
    <n v="10"/>
    <n v="1"/>
  </r>
  <r>
    <x v="0"/>
    <s v="2023-05-15 11:51:53"/>
    <n v="9"/>
    <x v="12"/>
    <x v="0"/>
    <x v="0"/>
    <n v="5.4588596420517901E-2"/>
    <n v="2E+20"/>
    <n v="0"/>
    <n v="0.65506315704621398"/>
    <n v="12"/>
    <s v="Unnamed Projectmanualnaciona.QueueWaiting TimeQueue"/>
    <n v="10"/>
    <n v="0.13353088580878619"/>
    <n v="0.38480601475423104"/>
    <n v="0.95"/>
    <n v="0.27527364011348865"/>
    <n v="0"/>
    <n v="1.22682576767282"/>
    <n v="0"/>
    <n v="6.3562688714400801"/>
    <n v="7.6"/>
    <n v="0.27527364011348865"/>
    <n v="10"/>
    <n v="1"/>
  </r>
  <r>
    <x v="0"/>
    <s v="2023-05-15 11:51:53"/>
    <n v="10"/>
    <x v="12"/>
    <x v="0"/>
    <x v="0"/>
    <n v="0"/>
    <n v="2E+20"/>
    <n v="0"/>
    <n v="0"/>
    <n v="6"/>
    <s v="Unnamed Projectmanualnaciona.QueueWaiting TimeQueue"/>
    <n v="10"/>
    <n v="0.13353088580878619"/>
    <n v="0.38480601475423104"/>
    <n v="0.95"/>
    <n v="0.27527364011348865"/>
    <n v="0"/>
    <n v="1.22682576767282"/>
    <n v="0"/>
    <n v="6.3562688714400801"/>
    <n v="7.6"/>
    <n v="0.27527364011348865"/>
    <n v="10"/>
    <n v="1"/>
  </r>
  <r>
    <x v="0"/>
    <s v="2023-05-15 11:51:53"/>
    <n v="1"/>
    <x v="13"/>
    <x v="0"/>
    <x v="0"/>
    <n v="5.5253802839661796"/>
    <n v="2E+20"/>
    <n v="0"/>
    <n v="24.300961705830101"/>
    <n v="230"/>
    <s v="Unnamed Projectmaquinainter.QueueWaiting TimeQueue"/>
    <n v="10"/>
    <n v="6.8041660941550974"/>
    <n v="2.5888060068808318"/>
    <n v="0.95"/>
    <n v="1.8519202552405429"/>
    <n v="3.9788744982611002"/>
    <n v="12.032353435961801"/>
    <n v="0"/>
    <n v="36.036638692237297"/>
    <n v="231.5"/>
    <n v="1.8519202552405429"/>
    <n v="10"/>
    <n v="1"/>
  </r>
  <r>
    <x v="0"/>
    <s v="2023-05-15 11:51:53"/>
    <n v="2"/>
    <x v="13"/>
    <x v="0"/>
    <x v="0"/>
    <n v="5.6777322311664999"/>
    <n v="2E+20"/>
    <n v="0"/>
    <n v="22.0810918508745"/>
    <n v="219"/>
    <s v="Unnamed Projectmaquinainter.QueueWaiting TimeQueue"/>
    <n v="10"/>
    <n v="6.8041660941550974"/>
    <n v="2.5888060068808318"/>
    <n v="0.95"/>
    <n v="1.8519202552405429"/>
    <n v="3.9788744982611002"/>
    <n v="12.032353435961801"/>
    <n v="0"/>
    <n v="36.036638692237297"/>
    <n v="231.5"/>
    <n v="1.8519202552405429"/>
    <n v="10"/>
    <n v="1"/>
  </r>
  <r>
    <x v="0"/>
    <s v="2023-05-15 11:51:53"/>
    <n v="3"/>
    <x v="13"/>
    <x v="0"/>
    <x v="0"/>
    <n v="9.6070919503649606"/>
    <n v="2E+20"/>
    <n v="0"/>
    <n v="32.067682786503298"/>
    <n v="231"/>
    <s v="Unnamed Projectmaquinainter.QueueWaiting TimeQueue"/>
    <n v="10"/>
    <n v="6.8041660941550974"/>
    <n v="2.5888060068808318"/>
    <n v="0.95"/>
    <n v="1.8519202552405429"/>
    <n v="3.9788744982611002"/>
    <n v="12.032353435961801"/>
    <n v="0"/>
    <n v="36.036638692237297"/>
    <n v="231.5"/>
    <n v="1.8519202552405429"/>
    <n v="10"/>
    <n v="1"/>
  </r>
  <r>
    <x v="0"/>
    <s v="2023-05-15 11:51:53"/>
    <n v="4"/>
    <x v="13"/>
    <x v="0"/>
    <x v="0"/>
    <n v="9.3304600755607296"/>
    <n v="2E+20"/>
    <n v="0"/>
    <n v="31.1269188402784"/>
    <n v="264"/>
    <s v="Unnamed Projectmaquinainter.QueueWaiting TimeQueue"/>
    <n v="10"/>
    <n v="6.8041660941550974"/>
    <n v="2.5888060068808318"/>
    <n v="0.95"/>
    <n v="1.8519202552405429"/>
    <n v="3.9788744982611002"/>
    <n v="12.032353435961801"/>
    <n v="0"/>
    <n v="36.036638692237297"/>
    <n v="231.5"/>
    <n v="1.8519202552405429"/>
    <n v="10"/>
    <n v="1"/>
  </r>
  <r>
    <x v="0"/>
    <s v="2023-05-15 11:51:53"/>
    <n v="5"/>
    <x v="13"/>
    <x v="0"/>
    <x v="0"/>
    <n v="6.0676444859460901"/>
    <n v="2E+20"/>
    <n v="0"/>
    <n v="21.7686868213524"/>
    <n v="236"/>
    <s v="Unnamed Projectmaquinainter.QueueWaiting TimeQueue"/>
    <n v="10"/>
    <n v="6.8041660941550974"/>
    <n v="2.5888060068808318"/>
    <n v="0.95"/>
    <n v="1.8519202552405429"/>
    <n v="3.9788744982611002"/>
    <n v="12.032353435961801"/>
    <n v="0"/>
    <n v="36.036638692237297"/>
    <n v="231.5"/>
    <n v="1.8519202552405429"/>
    <n v="10"/>
    <n v="1"/>
  </r>
  <r>
    <x v="0"/>
    <s v="2023-05-15 11:51:53"/>
    <n v="6"/>
    <x v="13"/>
    <x v="0"/>
    <x v="0"/>
    <n v="12.032353435961801"/>
    <n v="2E+20"/>
    <n v="0"/>
    <n v="36.036638692237297"/>
    <n v="262"/>
    <s v="Unnamed Projectmaquinainter.QueueWaiting TimeQueue"/>
    <n v="10"/>
    <n v="6.8041660941550974"/>
    <n v="2.5888060068808318"/>
    <n v="0.95"/>
    <n v="1.8519202552405429"/>
    <n v="3.9788744982611002"/>
    <n v="12.032353435961801"/>
    <n v="0"/>
    <n v="36.036638692237297"/>
    <n v="231.5"/>
    <n v="1.8519202552405429"/>
    <n v="10"/>
    <n v="1"/>
  </r>
  <r>
    <x v="0"/>
    <s v="2023-05-15 11:51:53"/>
    <n v="7"/>
    <x v="13"/>
    <x v="0"/>
    <x v="0"/>
    <n v="4.9737081852724598"/>
    <n v="2E+20"/>
    <n v="0"/>
    <n v="23.155963467738001"/>
    <n v="208"/>
    <s v="Unnamed Projectmaquinainter.QueueWaiting TimeQueue"/>
    <n v="10"/>
    <n v="6.8041660941550974"/>
    <n v="2.5888060068808318"/>
    <n v="0.95"/>
    <n v="1.8519202552405429"/>
    <n v="3.9788744982611002"/>
    <n v="12.032353435961801"/>
    <n v="0"/>
    <n v="36.036638692237297"/>
    <n v="231.5"/>
    <n v="1.8519202552405429"/>
    <n v="10"/>
    <n v="1"/>
  </r>
  <r>
    <x v="0"/>
    <s v="2023-05-15 11:51:53"/>
    <n v="8"/>
    <x v="13"/>
    <x v="0"/>
    <x v="0"/>
    <n v="5.1442767701570098"/>
    <n v="2E+20"/>
    <n v="0"/>
    <n v="22.759753785881902"/>
    <n v="219"/>
    <s v="Unnamed Projectmaquinainter.QueueWaiting TimeQueue"/>
    <n v="10"/>
    <n v="6.8041660941550974"/>
    <n v="2.5888060068808318"/>
    <n v="0.95"/>
    <n v="1.8519202552405429"/>
    <n v="3.9788744982611002"/>
    <n v="12.032353435961801"/>
    <n v="0"/>
    <n v="36.036638692237297"/>
    <n v="231.5"/>
    <n v="1.8519202552405429"/>
    <n v="10"/>
    <n v="1"/>
  </r>
  <r>
    <x v="0"/>
    <s v="2023-05-15 11:51:53"/>
    <n v="9"/>
    <x v="13"/>
    <x v="0"/>
    <x v="0"/>
    <n v="5.7041390248941397"/>
    <n v="2E+20"/>
    <n v="0"/>
    <n v="35.607527630308198"/>
    <n v="244"/>
    <s v="Unnamed Projectmaquinainter.QueueWaiting TimeQueue"/>
    <n v="10"/>
    <n v="6.8041660941550974"/>
    <n v="2.5888060068808318"/>
    <n v="0.95"/>
    <n v="1.8519202552405429"/>
    <n v="3.9788744982611002"/>
    <n v="12.032353435961801"/>
    <n v="0"/>
    <n v="36.036638692237297"/>
    <n v="231.5"/>
    <n v="1.8519202552405429"/>
    <n v="10"/>
    <n v="1"/>
  </r>
  <r>
    <x v="0"/>
    <s v="2023-05-15 11:51:53"/>
    <n v="10"/>
    <x v="13"/>
    <x v="0"/>
    <x v="0"/>
    <n v="3.9788744982611002"/>
    <n v="2E+20"/>
    <n v="0"/>
    <n v="16.280673215737"/>
    <n v="202"/>
    <s v="Unnamed Projectmaquinainter.QueueWaiting TimeQueue"/>
    <n v="10"/>
    <n v="6.8041660941550974"/>
    <n v="2.5888060068808318"/>
    <n v="0.95"/>
    <n v="1.8519202552405429"/>
    <n v="3.9788744982611002"/>
    <n v="12.032353435961801"/>
    <n v="0"/>
    <n v="36.036638692237297"/>
    <n v="231.5"/>
    <n v="1.8519202552405429"/>
    <n v="10"/>
    <n v="1"/>
  </r>
  <r>
    <x v="0"/>
    <s v="2023-05-15 11:51:53"/>
    <n v="1"/>
    <x v="14"/>
    <x v="0"/>
    <x v="0"/>
    <n v="0.49294909666530401"/>
    <n v="2E+20"/>
    <n v="0"/>
    <n v="4.3282416669186903"/>
    <n v="163"/>
    <s v="Unnamed Projectmaquinanacional.QueueWaiting TimeQueue"/>
    <n v="10"/>
    <n v="0.747489081451579"/>
    <n v="0.19060672289655917"/>
    <n v="0.95"/>
    <n v="0.1363518355484904"/>
    <n v="0.37607609012155202"/>
    <n v="0.917362804937359"/>
    <n v="0"/>
    <n v="10.402532424877601"/>
    <n v="161.5"/>
    <n v="0.1363518355484904"/>
    <n v="10"/>
    <n v="1"/>
  </r>
  <r>
    <x v="0"/>
    <s v="2023-05-15 11:51:53"/>
    <n v="2"/>
    <x v="14"/>
    <x v="0"/>
    <x v="0"/>
    <n v="0.917362804937359"/>
    <n v="2E+20"/>
    <n v="0"/>
    <n v="7.54850836112763"/>
    <n v="147"/>
    <s v="Unnamed Projectmaquinanacional.QueueWaiting TimeQueue"/>
    <n v="10"/>
    <n v="0.747489081451579"/>
    <n v="0.19060672289655917"/>
    <n v="0.95"/>
    <n v="0.1363518355484904"/>
    <n v="0.37607609012155202"/>
    <n v="0.917362804937359"/>
    <n v="0"/>
    <n v="10.402532424877601"/>
    <n v="161.5"/>
    <n v="0.1363518355484904"/>
    <n v="10"/>
    <n v="1"/>
  </r>
  <r>
    <x v="0"/>
    <s v="2023-05-15 11:51:53"/>
    <n v="3"/>
    <x v="14"/>
    <x v="0"/>
    <x v="0"/>
    <n v="0.88418174761786505"/>
    <n v="2E+20"/>
    <n v="0"/>
    <n v="8.7871271491066505"/>
    <n v="153"/>
    <s v="Unnamed Projectmaquinanacional.QueueWaiting TimeQueue"/>
    <n v="10"/>
    <n v="0.747489081451579"/>
    <n v="0.19060672289655917"/>
    <n v="0.95"/>
    <n v="0.1363518355484904"/>
    <n v="0.37607609012155202"/>
    <n v="0.917362804937359"/>
    <n v="0"/>
    <n v="10.402532424877601"/>
    <n v="161.5"/>
    <n v="0.1363518355484904"/>
    <n v="10"/>
    <n v="1"/>
  </r>
  <r>
    <x v="0"/>
    <s v="2023-05-15 11:51:53"/>
    <n v="4"/>
    <x v="14"/>
    <x v="0"/>
    <x v="0"/>
    <n v="0.87057864383237205"/>
    <n v="2E+20"/>
    <n v="0"/>
    <n v="8.4566388793584206"/>
    <n v="161"/>
    <s v="Unnamed Projectmaquinanacional.QueueWaiting TimeQueue"/>
    <n v="10"/>
    <n v="0.747489081451579"/>
    <n v="0.19060672289655917"/>
    <n v="0.95"/>
    <n v="0.1363518355484904"/>
    <n v="0.37607609012155202"/>
    <n v="0.917362804937359"/>
    <n v="0"/>
    <n v="10.402532424877601"/>
    <n v="161.5"/>
    <n v="0.1363518355484904"/>
    <n v="10"/>
    <n v="1"/>
  </r>
  <r>
    <x v="0"/>
    <s v="2023-05-15 11:51:53"/>
    <n v="5"/>
    <x v="14"/>
    <x v="0"/>
    <x v="0"/>
    <n v="0.59317717093501199"/>
    <n v="2E+20"/>
    <n v="0"/>
    <n v="4.61297440329691"/>
    <n v="180"/>
    <s v="Unnamed Projectmaquinanacional.QueueWaiting TimeQueue"/>
    <n v="10"/>
    <n v="0.747489081451579"/>
    <n v="0.19060672289655917"/>
    <n v="0.95"/>
    <n v="0.1363518355484904"/>
    <n v="0.37607609012155202"/>
    <n v="0.917362804937359"/>
    <n v="0"/>
    <n v="10.402532424877601"/>
    <n v="161.5"/>
    <n v="0.1363518355484904"/>
    <n v="10"/>
    <n v="1"/>
  </r>
  <r>
    <x v="0"/>
    <s v="2023-05-15 11:51:53"/>
    <n v="6"/>
    <x v="14"/>
    <x v="0"/>
    <x v="0"/>
    <n v="0.37607609012155202"/>
    <n v="2E+20"/>
    <n v="0"/>
    <n v="4.16931664440511"/>
    <n v="155"/>
    <s v="Unnamed Projectmaquinanacional.QueueWaiting TimeQueue"/>
    <n v="10"/>
    <n v="0.747489081451579"/>
    <n v="0.19060672289655917"/>
    <n v="0.95"/>
    <n v="0.1363518355484904"/>
    <n v="0.37607609012155202"/>
    <n v="0.917362804937359"/>
    <n v="0"/>
    <n v="10.402532424877601"/>
    <n v="161.5"/>
    <n v="0.1363518355484904"/>
    <n v="10"/>
    <n v="1"/>
  </r>
  <r>
    <x v="0"/>
    <s v="2023-05-15 11:51:53"/>
    <n v="7"/>
    <x v="14"/>
    <x v="0"/>
    <x v="0"/>
    <n v="0.838929912748969"/>
    <n v="2E+20"/>
    <n v="0"/>
    <n v="6.9308970342048903"/>
    <n v="156"/>
    <s v="Unnamed Projectmaquinanacional.QueueWaiting TimeQueue"/>
    <n v="10"/>
    <n v="0.747489081451579"/>
    <n v="0.19060672289655917"/>
    <n v="0.95"/>
    <n v="0.1363518355484904"/>
    <n v="0.37607609012155202"/>
    <n v="0.917362804937359"/>
    <n v="0"/>
    <n v="10.402532424877601"/>
    <n v="161.5"/>
    <n v="0.1363518355484904"/>
    <n v="10"/>
    <n v="1"/>
  </r>
  <r>
    <x v="0"/>
    <s v="2023-05-15 11:51:53"/>
    <n v="8"/>
    <x v="14"/>
    <x v="0"/>
    <x v="0"/>
    <n v="0.79157754210732001"/>
    <n v="2E+20"/>
    <n v="0"/>
    <n v="10.402532424877601"/>
    <n v="150"/>
    <s v="Unnamed Projectmaquinanacional.QueueWaiting TimeQueue"/>
    <n v="10"/>
    <n v="0.747489081451579"/>
    <n v="0.19060672289655917"/>
    <n v="0.95"/>
    <n v="0.1363518355484904"/>
    <n v="0.37607609012155202"/>
    <n v="0.917362804937359"/>
    <n v="0"/>
    <n v="10.402532424877601"/>
    <n v="161.5"/>
    <n v="0.1363518355484904"/>
    <n v="10"/>
    <n v="1"/>
  </r>
  <r>
    <x v="0"/>
    <s v="2023-05-15 11:51:53"/>
    <n v="9"/>
    <x v="14"/>
    <x v="0"/>
    <x v="0"/>
    <n v="0.90139739420903697"/>
    <n v="2E+20"/>
    <n v="0"/>
    <n v="7.8549639686333403"/>
    <n v="191"/>
    <s v="Unnamed Projectmaquinanacional.QueueWaiting TimeQueue"/>
    <n v="10"/>
    <n v="0.747489081451579"/>
    <n v="0.19060672289655917"/>
    <n v="0.95"/>
    <n v="0.1363518355484904"/>
    <n v="0.37607609012155202"/>
    <n v="0.917362804937359"/>
    <n v="0"/>
    <n v="10.402532424877601"/>
    <n v="161.5"/>
    <n v="0.1363518355484904"/>
    <n v="10"/>
    <n v="1"/>
  </r>
  <r>
    <x v="0"/>
    <s v="2023-05-15 11:51:53"/>
    <n v="10"/>
    <x v="14"/>
    <x v="0"/>
    <x v="0"/>
    <n v="0.80866041134099897"/>
    <n v="2E+20"/>
    <n v="0"/>
    <n v="6.8602190980317301"/>
    <n v="159"/>
    <s v="Unnamed Projectmaquinanacional.QueueWaiting TimeQueue"/>
    <n v="10"/>
    <n v="0.747489081451579"/>
    <n v="0.19060672289655917"/>
    <n v="0.95"/>
    <n v="0.1363518355484904"/>
    <n v="0.37607609012155202"/>
    <n v="0.917362804937359"/>
    <n v="0"/>
    <n v="10.402532424877601"/>
    <n v="161.5"/>
    <n v="0.1363518355484904"/>
    <n v="10"/>
    <n v="1"/>
  </r>
  <r>
    <x v="0"/>
    <s v="2023-05-15 11:51:53"/>
    <n v="1"/>
    <x v="15"/>
    <x v="0"/>
    <x v="0"/>
    <n v="1.06060417498293"/>
    <n v="2E+20"/>
    <n v="0"/>
    <n v="10.1060765196916"/>
    <n v="82"/>
    <s v="Unnamed Projectmostrador1.QueueWaiting TimeQueue"/>
    <n v="10"/>
    <n v="1.629848414966363"/>
    <n v="0.49941564973950264"/>
    <n v="0.95"/>
    <n v="0.35726043399097979"/>
    <n v="0.86566386323483102"/>
    <n v="2.39065565653069"/>
    <n v="0"/>
    <n v="18.5346844444935"/>
    <n v="89.7"/>
    <n v="0.35726043399097979"/>
    <n v="10"/>
    <n v="1"/>
  </r>
  <r>
    <x v="0"/>
    <s v="2023-05-15 11:51:53"/>
    <n v="2"/>
    <x v="15"/>
    <x v="0"/>
    <x v="0"/>
    <n v="1.4523069614961599"/>
    <n v="2E+20"/>
    <n v="0"/>
    <n v="10.4492600679981"/>
    <n v="85"/>
    <s v="Unnamed Projectmostrador1.QueueWaiting TimeQueue"/>
    <n v="10"/>
    <n v="1.629848414966363"/>
    <n v="0.49941564973950264"/>
    <n v="0.95"/>
    <n v="0.35726043399097979"/>
    <n v="0.86566386323483102"/>
    <n v="2.39065565653069"/>
    <n v="0"/>
    <n v="18.5346844444935"/>
    <n v="89.7"/>
    <n v="0.35726043399097979"/>
    <n v="10"/>
    <n v="1"/>
  </r>
  <r>
    <x v="0"/>
    <s v="2023-05-15 11:51:53"/>
    <n v="3"/>
    <x v="15"/>
    <x v="0"/>
    <x v="0"/>
    <n v="0.86566386323483102"/>
    <n v="2E+20"/>
    <n v="0"/>
    <n v="8.8676281650516593"/>
    <n v="86"/>
    <s v="Unnamed Projectmostrador1.QueueWaiting TimeQueue"/>
    <n v="10"/>
    <n v="1.629848414966363"/>
    <n v="0.49941564973950264"/>
    <n v="0.95"/>
    <n v="0.35726043399097979"/>
    <n v="0.86566386323483102"/>
    <n v="2.39065565653069"/>
    <n v="0"/>
    <n v="18.5346844444935"/>
    <n v="89.7"/>
    <n v="0.35726043399097979"/>
    <n v="10"/>
    <n v="1"/>
  </r>
  <r>
    <x v="0"/>
    <s v="2023-05-15 11:51:53"/>
    <n v="4"/>
    <x v="15"/>
    <x v="0"/>
    <x v="0"/>
    <n v="1.7970822535341"/>
    <n v="2E+20"/>
    <n v="0"/>
    <n v="11.786608250126701"/>
    <n v="119"/>
    <s v="Unnamed Projectmostrador1.QueueWaiting TimeQueue"/>
    <n v="10"/>
    <n v="1.629848414966363"/>
    <n v="0.49941564973950264"/>
    <n v="0.95"/>
    <n v="0.35726043399097979"/>
    <n v="0.86566386323483102"/>
    <n v="2.39065565653069"/>
    <n v="0"/>
    <n v="18.5346844444935"/>
    <n v="89.7"/>
    <n v="0.35726043399097979"/>
    <n v="10"/>
    <n v="1"/>
  </r>
  <r>
    <x v="0"/>
    <s v="2023-05-15 11:51:53"/>
    <n v="5"/>
    <x v="15"/>
    <x v="0"/>
    <x v="0"/>
    <n v="2.39065565653069"/>
    <n v="2E+20"/>
    <n v="0"/>
    <n v="17.669213588668001"/>
    <n v="86"/>
    <s v="Unnamed Projectmostrador1.QueueWaiting TimeQueue"/>
    <n v="10"/>
    <n v="1.629848414966363"/>
    <n v="0.49941564973950264"/>
    <n v="0.95"/>
    <n v="0.35726043399097979"/>
    <n v="0.86566386323483102"/>
    <n v="2.39065565653069"/>
    <n v="0"/>
    <n v="18.5346844444935"/>
    <n v="89.7"/>
    <n v="0.35726043399097979"/>
    <n v="10"/>
    <n v="1"/>
  </r>
  <r>
    <x v="0"/>
    <s v="2023-05-15 11:51:53"/>
    <n v="6"/>
    <x v="15"/>
    <x v="0"/>
    <x v="0"/>
    <n v="2.0940024562042399"/>
    <n v="2E+20"/>
    <n v="0"/>
    <n v="18.5346844444935"/>
    <n v="94"/>
    <s v="Unnamed Projectmostrador1.QueueWaiting TimeQueue"/>
    <n v="10"/>
    <n v="1.629848414966363"/>
    <n v="0.49941564973950264"/>
    <n v="0.95"/>
    <n v="0.35726043399097979"/>
    <n v="0.86566386323483102"/>
    <n v="2.39065565653069"/>
    <n v="0"/>
    <n v="18.5346844444935"/>
    <n v="89.7"/>
    <n v="0.35726043399097979"/>
    <n v="10"/>
    <n v="1"/>
  </r>
  <r>
    <x v="0"/>
    <s v="2023-05-15 11:51:53"/>
    <n v="7"/>
    <x v="15"/>
    <x v="0"/>
    <x v="0"/>
    <n v="1.6613604324245099"/>
    <n v="2E+20"/>
    <n v="0"/>
    <n v="9.8671467596435605"/>
    <n v="72"/>
    <s v="Unnamed Projectmostrador1.QueueWaiting TimeQueue"/>
    <n v="10"/>
    <n v="1.629848414966363"/>
    <n v="0.49941564973950264"/>
    <n v="0.95"/>
    <n v="0.35726043399097979"/>
    <n v="0.86566386323483102"/>
    <n v="2.39065565653069"/>
    <n v="0"/>
    <n v="18.5346844444935"/>
    <n v="89.7"/>
    <n v="0.35726043399097979"/>
    <n v="10"/>
    <n v="1"/>
  </r>
  <r>
    <x v="0"/>
    <s v="2023-05-15 11:51:53"/>
    <n v="8"/>
    <x v="15"/>
    <x v="0"/>
    <x v="0"/>
    <n v="1.8685484203486"/>
    <n v="2E+20"/>
    <n v="0"/>
    <n v="11.325463521988199"/>
    <n v="76"/>
    <s v="Unnamed Projectmostrador1.QueueWaiting TimeQueue"/>
    <n v="10"/>
    <n v="1.629848414966363"/>
    <n v="0.49941564973950264"/>
    <n v="0.95"/>
    <n v="0.35726043399097979"/>
    <n v="0.86566386323483102"/>
    <n v="2.39065565653069"/>
    <n v="0"/>
    <n v="18.5346844444935"/>
    <n v="89.7"/>
    <n v="0.35726043399097979"/>
    <n v="10"/>
    <n v="1"/>
  </r>
  <r>
    <x v="0"/>
    <s v="2023-05-15 11:51:53"/>
    <n v="9"/>
    <x v="15"/>
    <x v="0"/>
    <x v="0"/>
    <n v="2.00884683488992"/>
    <n v="2E+20"/>
    <n v="0"/>
    <n v="11.512819933410499"/>
    <n v="114"/>
    <s v="Unnamed Projectmostrador1.QueueWaiting TimeQueue"/>
    <n v="10"/>
    <n v="1.629848414966363"/>
    <n v="0.49941564973950264"/>
    <n v="0.95"/>
    <n v="0.35726043399097979"/>
    <n v="0.86566386323483102"/>
    <n v="2.39065565653069"/>
    <n v="0"/>
    <n v="18.5346844444935"/>
    <n v="89.7"/>
    <n v="0.35726043399097979"/>
    <n v="10"/>
    <n v="1"/>
  </r>
  <r>
    <x v="0"/>
    <s v="2023-05-15 11:51:53"/>
    <n v="10"/>
    <x v="15"/>
    <x v="0"/>
    <x v="0"/>
    <n v="1.09941309601765"/>
    <n v="2E+20"/>
    <n v="0"/>
    <n v="9.0250784035802099"/>
    <n v="83"/>
    <s v="Unnamed Projectmostrador1.QueueWaiting TimeQueue"/>
    <n v="10"/>
    <n v="1.629848414966363"/>
    <n v="0.49941564973950264"/>
    <n v="0.95"/>
    <n v="0.35726043399097979"/>
    <n v="0.86566386323483102"/>
    <n v="2.39065565653069"/>
    <n v="0"/>
    <n v="18.5346844444935"/>
    <n v="89.7"/>
    <n v="0.35726043399097979"/>
    <n v="10"/>
    <n v="1"/>
  </r>
  <r>
    <x v="0"/>
    <s v="2023-05-15 11:51:53"/>
    <n v="1"/>
    <x v="16"/>
    <x v="0"/>
    <x v="0"/>
    <n v="1.4883474828955501"/>
    <n v="2E+20"/>
    <n v="0"/>
    <n v="16.669499567158699"/>
    <n v="191"/>
    <s v="Unnamed Projectmostrador2.QueueWaiting TimeQueue"/>
    <n v="10"/>
    <n v="1.8591428303213111"/>
    <n v="0.32590913678849398"/>
    <n v="0.95"/>
    <n v="0.23314135172058717"/>
    <n v="1.4883474828955501"/>
    <n v="2.5323142314576299"/>
    <n v="0"/>
    <n v="21.652390393913599"/>
    <n v="181.1"/>
    <n v="0.23314135172058717"/>
    <n v="10"/>
    <n v="1"/>
  </r>
  <r>
    <x v="0"/>
    <s v="2023-05-15 11:51:53"/>
    <n v="2"/>
    <x v="16"/>
    <x v="0"/>
    <x v="0"/>
    <n v="2.0065186737156502"/>
    <n v="2E+20"/>
    <n v="0"/>
    <n v="17.6995051976144"/>
    <n v="169"/>
    <s v="Unnamed Projectmostrador2.QueueWaiting TimeQueue"/>
    <n v="10"/>
    <n v="1.8591428303213111"/>
    <n v="0.32590913678849398"/>
    <n v="0.95"/>
    <n v="0.23314135172058717"/>
    <n v="1.4883474828955501"/>
    <n v="2.5323142314576299"/>
    <n v="0"/>
    <n v="21.652390393913599"/>
    <n v="181.1"/>
    <n v="0.23314135172058717"/>
    <n v="10"/>
    <n v="1"/>
  </r>
  <r>
    <x v="0"/>
    <s v="2023-05-15 11:51:53"/>
    <n v="3"/>
    <x v="16"/>
    <x v="0"/>
    <x v="0"/>
    <n v="1.53489412908783"/>
    <n v="2E+20"/>
    <n v="0"/>
    <n v="13.755502457459199"/>
    <n v="183"/>
    <s v="Unnamed Projectmostrador2.QueueWaiting TimeQueue"/>
    <n v="10"/>
    <n v="1.8591428303213111"/>
    <n v="0.32590913678849398"/>
    <n v="0.95"/>
    <n v="0.23314135172058717"/>
    <n v="1.4883474828955501"/>
    <n v="2.5323142314576299"/>
    <n v="0"/>
    <n v="21.652390393913599"/>
    <n v="181.1"/>
    <n v="0.23314135172058717"/>
    <n v="10"/>
    <n v="1"/>
  </r>
  <r>
    <x v="0"/>
    <s v="2023-05-15 11:51:53"/>
    <n v="4"/>
    <x v="16"/>
    <x v="0"/>
    <x v="0"/>
    <n v="2.25236035044205"/>
    <n v="2E+20"/>
    <n v="0"/>
    <n v="18.8698617977753"/>
    <n v="190"/>
    <s v="Unnamed Projectmostrador2.QueueWaiting TimeQueue"/>
    <n v="10"/>
    <n v="1.8591428303213111"/>
    <n v="0.32590913678849398"/>
    <n v="0.95"/>
    <n v="0.23314135172058717"/>
    <n v="1.4883474828955501"/>
    <n v="2.5323142314576299"/>
    <n v="0"/>
    <n v="21.652390393913599"/>
    <n v="181.1"/>
    <n v="0.23314135172058717"/>
    <n v="10"/>
    <n v="1"/>
  </r>
  <r>
    <x v="0"/>
    <s v="2023-05-15 11:51:53"/>
    <n v="5"/>
    <x v="16"/>
    <x v="0"/>
    <x v="0"/>
    <n v="1.72834693443274"/>
    <n v="2E+20"/>
    <n v="0"/>
    <n v="11.1356305727492"/>
    <n v="191"/>
    <s v="Unnamed Projectmostrador2.QueueWaiting TimeQueue"/>
    <n v="10"/>
    <n v="1.8591428303213111"/>
    <n v="0.32590913678849398"/>
    <n v="0.95"/>
    <n v="0.23314135172058717"/>
    <n v="1.4883474828955501"/>
    <n v="2.5323142314576299"/>
    <n v="0"/>
    <n v="21.652390393913599"/>
    <n v="181.1"/>
    <n v="0.23314135172058717"/>
    <n v="10"/>
    <n v="1"/>
  </r>
  <r>
    <x v="0"/>
    <s v="2023-05-15 11:51:53"/>
    <n v="6"/>
    <x v="16"/>
    <x v="0"/>
    <x v="0"/>
    <n v="1.8003903703214501"/>
    <n v="2E+20"/>
    <n v="0"/>
    <n v="15.919686073775599"/>
    <n v="194"/>
    <s v="Unnamed Projectmostrador2.QueueWaiting TimeQueue"/>
    <n v="10"/>
    <n v="1.8591428303213111"/>
    <n v="0.32590913678849398"/>
    <n v="0.95"/>
    <n v="0.23314135172058717"/>
    <n v="1.4883474828955501"/>
    <n v="2.5323142314576299"/>
    <n v="0"/>
    <n v="21.652390393913599"/>
    <n v="181.1"/>
    <n v="0.23314135172058717"/>
    <n v="10"/>
    <n v="1"/>
  </r>
  <r>
    <x v="0"/>
    <s v="2023-05-15 11:51:53"/>
    <n v="7"/>
    <x v="16"/>
    <x v="0"/>
    <x v="0"/>
    <n v="1.8415334638079801"/>
    <n v="2E+20"/>
    <n v="0"/>
    <n v="21.652390393913599"/>
    <n v="172"/>
    <s v="Unnamed Projectmostrador2.QueueWaiting TimeQueue"/>
    <n v="10"/>
    <n v="1.8591428303213111"/>
    <n v="0.32590913678849398"/>
    <n v="0.95"/>
    <n v="0.23314135172058717"/>
    <n v="1.4883474828955501"/>
    <n v="2.5323142314576299"/>
    <n v="0"/>
    <n v="21.652390393913599"/>
    <n v="181.1"/>
    <n v="0.23314135172058717"/>
    <n v="10"/>
    <n v="1"/>
  </r>
  <r>
    <x v="0"/>
    <s v="2023-05-15 11:51:53"/>
    <n v="8"/>
    <x v="16"/>
    <x v="0"/>
    <x v="0"/>
    <n v="1.78827254947558"/>
    <n v="2E+20"/>
    <n v="0"/>
    <n v="14.6359815796469"/>
    <n v="174"/>
    <s v="Unnamed Projectmostrador2.QueueWaiting TimeQueue"/>
    <n v="10"/>
    <n v="1.8591428303213111"/>
    <n v="0.32590913678849398"/>
    <n v="0.95"/>
    <n v="0.23314135172058717"/>
    <n v="1.4883474828955501"/>
    <n v="2.5323142314576299"/>
    <n v="0"/>
    <n v="21.652390393913599"/>
    <n v="181.1"/>
    <n v="0.23314135172058717"/>
    <n v="10"/>
    <n v="1"/>
  </r>
  <r>
    <x v="0"/>
    <s v="2023-05-15 11:51:53"/>
    <n v="9"/>
    <x v="16"/>
    <x v="0"/>
    <x v="0"/>
    <n v="2.5323142314576299"/>
    <n v="2E+20"/>
    <n v="0"/>
    <n v="16.6213583408612"/>
    <n v="176"/>
    <s v="Unnamed Projectmostrador2.QueueWaiting TimeQueue"/>
    <n v="10"/>
    <n v="1.8591428303213111"/>
    <n v="0.32590913678849398"/>
    <n v="0.95"/>
    <n v="0.23314135172058717"/>
    <n v="1.4883474828955501"/>
    <n v="2.5323142314576299"/>
    <n v="0"/>
    <n v="21.652390393913599"/>
    <n v="181.1"/>
    <n v="0.23314135172058717"/>
    <n v="10"/>
    <n v="1"/>
  </r>
  <r>
    <x v="0"/>
    <s v="2023-05-15 11:51:53"/>
    <n v="10"/>
    <x v="16"/>
    <x v="0"/>
    <x v="0"/>
    <n v="1.6184501175766499"/>
    <n v="2E+20"/>
    <n v="0"/>
    <n v="13.299250752611901"/>
    <n v="171"/>
    <s v="Unnamed Projectmostrador2.QueueWaiting TimeQueue"/>
    <n v="10"/>
    <n v="1.8591428303213111"/>
    <n v="0.32590913678849398"/>
    <n v="0.95"/>
    <n v="0.23314135172058717"/>
    <n v="1.4883474828955501"/>
    <n v="2.5323142314576299"/>
    <n v="0"/>
    <n v="21.652390393913599"/>
    <n v="181.1"/>
    <n v="0.23314135172058717"/>
    <n v="10"/>
    <n v="1"/>
  </r>
  <r>
    <x v="0"/>
    <s v="2023-05-15 11:51:53"/>
    <n v="1"/>
    <x v="17"/>
    <x v="7"/>
    <x v="2"/>
    <n v="34.7545467702097"/>
    <n v="2E+20"/>
    <n v="23.796442963815899"/>
    <n v="88.081600023830703"/>
    <n v="210"/>
    <s v="Unnamed ProjectTCiclo InternacionalNoneUser Specified"/>
    <n v="10"/>
    <n v="37.229253620322382"/>
    <n v="2.4529302067208123"/>
    <n v="0.95"/>
    <n v="1.7547205632417833"/>
    <n v="34.084822591333797"/>
    <n v="42.045643918903899"/>
    <n v="23.2621458877368"/>
    <n v="115.03202502190101"/>
    <n v="213.3"/>
    <n v="1.7547205632417833"/>
    <n v="10"/>
    <n v="1"/>
  </r>
  <r>
    <x v="0"/>
    <s v="2023-05-15 11:51:53"/>
    <n v="2"/>
    <x v="17"/>
    <x v="7"/>
    <x v="2"/>
    <n v="36.3011648447998"/>
    <n v="2E+20"/>
    <n v="24.534649860201501"/>
    <n v="69.859917188264305"/>
    <n v="197"/>
    <s v="Unnamed ProjectTCiclo InternacionalNoneUser Specified"/>
    <n v="10"/>
    <n v="37.229253620322382"/>
    <n v="2.4529302067208123"/>
    <n v="0.95"/>
    <n v="1.7547205632417833"/>
    <n v="34.084822591333797"/>
    <n v="42.045643918903899"/>
    <n v="23.2621458877368"/>
    <n v="115.03202502190101"/>
    <n v="213.3"/>
    <n v="1.7547205632417833"/>
    <n v="10"/>
    <n v="1"/>
  </r>
  <r>
    <x v="0"/>
    <s v="2023-05-15 11:51:53"/>
    <n v="3"/>
    <x v="17"/>
    <x v="7"/>
    <x v="2"/>
    <n v="39.6086358688055"/>
    <n v="2E+20"/>
    <n v="23.2621458877368"/>
    <n v="73.576454427159902"/>
    <n v="208"/>
    <s v="Unnamed ProjectTCiclo InternacionalNoneUser Specified"/>
    <n v="10"/>
    <n v="37.229253620322382"/>
    <n v="2.4529302067208123"/>
    <n v="0.95"/>
    <n v="1.7547205632417833"/>
    <n v="34.084822591333797"/>
    <n v="42.045643918903899"/>
    <n v="23.2621458877368"/>
    <n v="115.03202502190101"/>
    <n v="213.3"/>
    <n v="1.7547205632417833"/>
    <n v="10"/>
    <n v="1"/>
  </r>
  <r>
    <x v="0"/>
    <s v="2023-05-15 11:51:53"/>
    <n v="4"/>
    <x v="17"/>
    <x v="7"/>
    <x v="2"/>
    <n v="39.349423870511004"/>
    <n v="2E+20"/>
    <n v="24.900372240101401"/>
    <n v="79.908722369558504"/>
    <n v="242"/>
    <s v="Unnamed ProjectTCiclo InternacionalNoneUser Specified"/>
    <n v="10"/>
    <n v="37.229253620322382"/>
    <n v="2.4529302067208123"/>
    <n v="0.95"/>
    <n v="1.7547205632417833"/>
    <n v="34.084822591333797"/>
    <n v="42.045643918903899"/>
    <n v="23.2621458877368"/>
    <n v="115.03202502190101"/>
    <n v="213.3"/>
    <n v="1.7547205632417833"/>
    <n v="10"/>
    <n v="1"/>
  </r>
  <r>
    <x v="0"/>
    <s v="2023-05-15 11:51:53"/>
    <n v="5"/>
    <x v="17"/>
    <x v="7"/>
    <x v="2"/>
    <n v="37.631815441495597"/>
    <n v="2E+20"/>
    <n v="24.895205168716299"/>
    <n v="95.254098387809094"/>
    <n v="220"/>
    <s v="Unnamed ProjectTCiclo InternacionalNoneUser Specified"/>
    <n v="10"/>
    <n v="37.229253620322382"/>
    <n v="2.4529302067208123"/>
    <n v="0.95"/>
    <n v="1.7547205632417833"/>
    <n v="34.084822591333797"/>
    <n v="42.045643918903899"/>
    <n v="23.2621458877368"/>
    <n v="115.03202502190101"/>
    <n v="213.3"/>
    <n v="1.7547205632417833"/>
    <n v="10"/>
    <n v="1"/>
  </r>
  <r>
    <x v="0"/>
    <s v="2023-05-15 11:51:53"/>
    <n v="6"/>
    <x v="17"/>
    <x v="7"/>
    <x v="2"/>
    <n v="42.045643918903899"/>
    <n v="2E+20"/>
    <n v="23.468719829916601"/>
    <n v="78.545351585803999"/>
    <n v="243"/>
    <s v="Unnamed ProjectTCiclo InternacionalNoneUser Specified"/>
    <n v="10"/>
    <n v="37.229253620322382"/>
    <n v="2.4529302067208123"/>
    <n v="0.95"/>
    <n v="1.7547205632417833"/>
    <n v="34.084822591333797"/>
    <n v="42.045643918903899"/>
    <n v="23.2621458877368"/>
    <n v="115.03202502190101"/>
    <n v="213.3"/>
    <n v="1.7547205632417833"/>
    <n v="10"/>
    <n v="1"/>
  </r>
  <r>
    <x v="0"/>
    <s v="2023-05-15 11:51:53"/>
    <n v="7"/>
    <x v="17"/>
    <x v="7"/>
    <x v="2"/>
    <n v="35.877097368048602"/>
    <n v="2E+20"/>
    <n v="23.4963358267693"/>
    <n v="90.137728651436802"/>
    <n v="194"/>
    <s v="Unnamed ProjectTCiclo InternacionalNoneUser Specified"/>
    <n v="10"/>
    <n v="37.229253620322382"/>
    <n v="2.4529302067208123"/>
    <n v="0.95"/>
    <n v="1.7547205632417833"/>
    <n v="34.084822591333797"/>
    <n v="42.045643918903899"/>
    <n v="23.2621458877368"/>
    <n v="115.03202502190101"/>
    <n v="213.3"/>
    <n v="1.7547205632417833"/>
    <n v="10"/>
    <n v="1"/>
  </r>
  <r>
    <x v="0"/>
    <s v="2023-05-15 11:51:53"/>
    <n v="8"/>
    <x v="17"/>
    <x v="7"/>
    <x v="2"/>
    <n v="35.945762027308398"/>
    <n v="2E+20"/>
    <n v="23.401682553857899"/>
    <n v="115.03202502190101"/>
    <n v="198"/>
    <s v="Unnamed ProjectTCiclo InternacionalNoneUser Specified"/>
    <n v="10"/>
    <n v="37.229253620322382"/>
    <n v="2.4529302067208123"/>
    <n v="0.95"/>
    <n v="1.7547205632417833"/>
    <n v="34.084822591333797"/>
    <n v="42.045643918903899"/>
    <n v="23.2621458877368"/>
    <n v="115.03202502190101"/>
    <n v="213.3"/>
    <n v="1.7547205632417833"/>
    <n v="10"/>
    <n v="1"/>
  </r>
  <r>
    <x v="0"/>
    <s v="2023-05-15 11:51:53"/>
    <n v="9"/>
    <x v="17"/>
    <x v="7"/>
    <x v="2"/>
    <n v="36.693623501807501"/>
    <n v="2E+20"/>
    <n v="24.0221212972309"/>
    <n v="72.4771574738281"/>
    <n v="233"/>
    <s v="Unnamed ProjectTCiclo InternacionalNoneUser Specified"/>
    <n v="10"/>
    <n v="37.229253620322382"/>
    <n v="2.4529302067208123"/>
    <n v="0.95"/>
    <n v="1.7547205632417833"/>
    <n v="34.084822591333797"/>
    <n v="42.045643918903899"/>
    <n v="23.2621458877368"/>
    <n v="115.03202502190101"/>
    <n v="213.3"/>
    <n v="1.7547205632417833"/>
    <n v="10"/>
    <n v="1"/>
  </r>
  <r>
    <x v="0"/>
    <s v="2023-05-15 11:51:53"/>
    <n v="10"/>
    <x v="17"/>
    <x v="7"/>
    <x v="2"/>
    <n v="34.084822591333797"/>
    <n v="2E+20"/>
    <n v="23.653765019616799"/>
    <n v="74.010963669073305"/>
    <n v="188"/>
    <s v="Unnamed ProjectTCiclo InternacionalNoneUser Specified"/>
    <n v="10"/>
    <n v="37.229253620322382"/>
    <n v="2.4529302067208123"/>
    <n v="0.95"/>
    <n v="1.7547205632417833"/>
    <n v="34.084822591333797"/>
    <n v="42.045643918903899"/>
    <n v="23.2621458877368"/>
    <n v="115.03202502190101"/>
    <n v="213.3"/>
    <n v="1.7547205632417833"/>
    <n v="10"/>
    <n v="1"/>
  </r>
  <r>
    <x v="0"/>
    <s v="2023-05-15 11:51:53"/>
    <n v="1"/>
    <x v="18"/>
    <x v="7"/>
    <x v="2"/>
    <n v="13.229725974501401"/>
    <n v="2E+20"/>
    <n v="7.9929942684415503"/>
    <n v="31.942653901493699"/>
    <n v="162"/>
    <s v="Unnamed ProjectTCiclo NacionalNoneUser Specified"/>
    <n v="10"/>
    <n v="13.7917642070894"/>
    <n v="0.56169949914077655"/>
    <n v="0.95"/>
    <n v="0.40181561579061792"/>
    <n v="13.1762012321516"/>
    <n v="14.645498483682401"/>
    <n v="7.7554535873941601"/>
    <n v="32.234342623085197"/>
    <n v="155.19999999999999"/>
    <n v="0.40181561579061792"/>
    <n v="10"/>
    <n v="1"/>
  </r>
  <r>
    <x v="0"/>
    <s v="2023-05-15 11:51:53"/>
    <n v="2"/>
    <x v="18"/>
    <x v="7"/>
    <x v="2"/>
    <n v="13.903832864086"/>
    <n v="2E+20"/>
    <n v="8.2894787389338909"/>
    <n v="29.6638083919851"/>
    <n v="141"/>
    <s v="Unnamed ProjectTCiclo NacionalNoneUser Specified"/>
    <n v="10"/>
    <n v="13.7917642070894"/>
    <n v="0.56169949914077655"/>
    <n v="0.95"/>
    <n v="0.40181561579061792"/>
    <n v="13.1762012321516"/>
    <n v="14.645498483682401"/>
    <n v="7.7554535873941601"/>
    <n v="32.234342623085197"/>
    <n v="155.19999999999999"/>
    <n v="0.40181561579061792"/>
    <n v="10"/>
    <n v="1"/>
  </r>
  <r>
    <x v="0"/>
    <s v="2023-05-15 11:51:53"/>
    <n v="3"/>
    <x v="18"/>
    <x v="7"/>
    <x v="2"/>
    <n v="13.289440133790499"/>
    <n v="2E+20"/>
    <n v="7.9666748572838104"/>
    <n v="25.090279975966698"/>
    <n v="149"/>
    <s v="Unnamed ProjectTCiclo NacionalNoneUser Specified"/>
    <n v="10"/>
    <n v="13.7917642070894"/>
    <n v="0.56169949914077655"/>
    <n v="0.95"/>
    <n v="0.40181561579061792"/>
    <n v="13.1762012321516"/>
    <n v="14.645498483682401"/>
    <n v="7.7554535873941601"/>
    <n v="32.234342623085197"/>
    <n v="155.19999999999999"/>
    <n v="0.40181561579061792"/>
    <n v="10"/>
    <n v="1"/>
  </r>
  <r>
    <x v="0"/>
    <s v="2023-05-15 11:51:53"/>
    <n v="4"/>
    <x v="18"/>
    <x v="7"/>
    <x v="2"/>
    <n v="14.645498483682401"/>
    <n v="2E+20"/>
    <n v="7.7554535873941601"/>
    <n v="32.177315532482801"/>
    <n v="152"/>
    <s v="Unnamed ProjectTCiclo NacionalNoneUser Specified"/>
    <n v="10"/>
    <n v="13.7917642070894"/>
    <n v="0.56169949914077655"/>
    <n v="0.95"/>
    <n v="0.40181561579061792"/>
    <n v="13.1762012321516"/>
    <n v="14.645498483682401"/>
    <n v="7.7554535873941601"/>
    <n v="32.234342623085197"/>
    <n v="155.19999999999999"/>
    <n v="0.40181561579061792"/>
    <n v="10"/>
    <n v="1"/>
  </r>
  <r>
    <x v="0"/>
    <s v="2023-05-15 11:51:53"/>
    <n v="5"/>
    <x v="18"/>
    <x v="7"/>
    <x v="2"/>
    <n v="13.393037327038501"/>
    <n v="2E+20"/>
    <n v="7.8705429873440398"/>
    <n v="27.2533580855678"/>
    <n v="173"/>
    <s v="Unnamed ProjectTCiclo NacionalNoneUser Specified"/>
    <n v="10"/>
    <n v="13.7917642070894"/>
    <n v="0.56169949914077655"/>
    <n v="0.95"/>
    <n v="0.40181561579061792"/>
    <n v="13.1762012321516"/>
    <n v="14.645498483682401"/>
    <n v="7.7554535873941601"/>
    <n v="32.234342623085197"/>
    <n v="155.19999999999999"/>
    <n v="0.40181561579061792"/>
    <n v="10"/>
    <n v="1"/>
  </r>
  <r>
    <x v="0"/>
    <s v="2023-05-15 11:51:53"/>
    <n v="6"/>
    <x v="18"/>
    <x v="7"/>
    <x v="2"/>
    <n v="13.502952552557399"/>
    <n v="2E+20"/>
    <n v="7.9105571145921703"/>
    <n v="29.522832692181701"/>
    <n v="151"/>
    <s v="Unnamed ProjectTCiclo NacionalNoneUser Specified"/>
    <n v="10"/>
    <n v="13.7917642070894"/>
    <n v="0.56169949914077655"/>
    <n v="0.95"/>
    <n v="0.40181561579061792"/>
    <n v="13.1762012321516"/>
    <n v="14.645498483682401"/>
    <n v="7.7554535873941601"/>
    <n v="32.234342623085197"/>
    <n v="155.19999999999999"/>
    <n v="0.40181561579061792"/>
    <n v="10"/>
    <n v="1"/>
  </r>
  <r>
    <x v="0"/>
    <s v="2023-05-15 11:51:53"/>
    <n v="7"/>
    <x v="18"/>
    <x v="7"/>
    <x v="2"/>
    <n v="14.3606556052407"/>
    <n v="2E+20"/>
    <n v="8.3012236072645997"/>
    <n v="32.234342623085197"/>
    <n v="144"/>
    <s v="Unnamed ProjectTCiclo NacionalNoneUser Specified"/>
    <n v="10"/>
    <n v="13.7917642070894"/>
    <n v="0.56169949914077655"/>
    <n v="0.95"/>
    <n v="0.40181561579061792"/>
    <n v="13.1762012321516"/>
    <n v="14.645498483682401"/>
    <n v="7.7554535873941601"/>
    <n v="32.234342623085197"/>
    <n v="155.19999999999999"/>
    <n v="0.40181561579061792"/>
    <n v="10"/>
    <n v="1"/>
  </r>
  <r>
    <x v="0"/>
    <s v="2023-05-15 11:51:53"/>
    <n v="8"/>
    <x v="18"/>
    <x v="7"/>
    <x v="2"/>
    <n v="13.863028755757201"/>
    <n v="2E+20"/>
    <n v="8.5275343257946297"/>
    <n v="31.317383316312601"/>
    <n v="147"/>
    <s v="Unnamed ProjectTCiclo NacionalNoneUser Specified"/>
    <n v="10"/>
    <n v="13.7917642070894"/>
    <n v="0.56169949914077655"/>
    <n v="0.95"/>
    <n v="0.40181561579061792"/>
    <n v="13.1762012321516"/>
    <n v="14.645498483682401"/>
    <n v="7.7554535873941601"/>
    <n v="32.234342623085197"/>
    <n v="155.19999999999999"/>
    <n v="0.40181561579061792"/>
    <n v="10"/>
    <n v="1"/>
  </r>
  <r>
    <x v="0"/>
    <s v="2023-05-15 11:51:53"/>
    <n v="9"/>
    <x v="18"/>
    <x v="7"/>
    <x v="2"/>
    <n v="14.5532691420883"/>
    <n v="2E+20"/>
    <n v="8.7299795277762708"/>
    <n v="26.4692106318385"/>
    <n v="183"/>
    <s v="Unnamed ProjectTCiclo NacionalNoneUser Specified"/>
    <n v="10"/>
    <n v="13.7917642070894"/>
    <n v="0.56169949914077655"/>
    <n v="0.95"/>
    <n v="0.40181561579061792"/>
    <n v="13.1762012321516"/>
    <n v="14.645498483682401"/>
    <n v="7.7554535873941601"/>
    <n v="32.234342623085197"/>
    <n v="155.19999999999999"/>
    <n v="0.40181561579061792"/>
    <n v="10"/>
    <n v="1"/>
  </r>
  <r>
    <x v="0"/>
    <s v="2023-05-15 11:51:53"/>
    <n v="10"/>
    <x v="18"/>
    <x v="7"/>
    <x v="2"/>
    <n v="13.1762012321516"/>
    <n v="2E+20"/>
    <n v="8.0907400819754098"/>
    <n v="20.714579896292001"/>
    <n v="150"/>
    <s v="Unnamed ProjectTCiclo NacionalNoneUser Specified"/>
    <n v="10"/>
    <n v="13.7917642070894"/>
    <n v="0.56169949914077655"/>
    <n v="0.95"/>
    <n v="0.40181561579061792"/>
    <n v="13.1762012321516"/>
    <n v="14.645498483682401"/>
    <n v="7.7554535873941601"/>
    <n v="32.234342623085197"/>
    <n v="155.19999999999999"/>
    <n v="0.40181561579061792"/>
    <n v="1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0">
  <r>
    <x v="0"/>
    <s v="2023-05-15 11:51:53"/>
    <n v="1"/>
    <x v="0"/>
    <x v="0"/>
    <x v="0"/>
    <n v="679"/>
    <n v="0"/>
    <s v="Unnamed ProjectEntity 1.NumberInNumber InEntity"/>
    <n v="10"/>
    <n v="677.4"/>
    <n v="50.383418789209699"/>
    <n v="0.95"/>
    <n v="36.042126577273301"/>
    <n v="612"/>
    <n v="757"/>
  </r>
  <r>
    <x v="0"/>
    <s v="2023-05-15 11:51:53"/>
    <n v="1"/>
    <x v="1"/>
    <x v="1"/>
    <x v="0"/>
    <n v="673"/>
    <n v="0"/>
    <s v="Unnamed ProjectEntity 1.NumberOutNumber OutEntity"/>
    <n v="10"/>
    <n v="673.8"/>
    <n v="51.503613681199326"/>
    <n v="0.95"/>
    <n v="36.843465729291147"/>
    <n v="608"/>
    <n v="755"/>
  </r>
  <r>
    <x v="0"/>
    <s v="2023-05-15 11:51:53"/>
    <n v="1"/>
    <x v="2"/>
    <x v="2"/>
    <x v="1"/>
    <n v="163"/>
    <n v="0"/>
    <s v="Unnamed ProjectInterauto.NumberSeizedTotal Number SeizedResource"/>
    <n v="10"/>
    <n v="161.5"/>
    <n v="13.778001790293589"/>
    <n v="0.95"/>
    <n v="9.8561887311626997"/>
    <n v="147"/>
    <n v="191"/>
  </r>
  <r>
    <x v="0"/>
    <s v="2023-05-15 11:51:53"/>
    <n v="1"/>
    <x v="3"/>
    <x v="3"/>
    <x v="1"/>
    <n v="0.26574304531041898"/>
    <n v="0"/>
    <s v="Unnamed ProjectInterauto.ScheduledUtilizationScheduled UtilizationResource"/>
    <n v="10"/>
    <n v="0.26535205929836458"/>
    <n v="2.5807993647623796E-2"/>
    <n v="0.95"/>
    <n v="1.8461926485074727E-2"/>
    <n v="0.20483176768320299"/>
    <n v="0.29552077299252399"/>
  </r>
  <r>
    <x v="0"/>
    <s v="2023-05-15 11:51:53"/>
    <n v="1"/>
    <x v="4"/>
    <x v="0"/>
    <x v="0"/>
    <n v="239"/>
    <n v="0"/>
    <s v="Unnamed ProjectMaleta Internacional.NumberInNumber InEntity"/>
    <n v="10"/>
    <n v="241.3"/>
    <n v="25.59101404790356"/>
    <n v="0.95"/>
    <n v="18.306708629960106"/>
    <n v="207"/>
    <n v="287"/>
  </r>
  <r>
    <x v="0"/>
    <s v="2023-05-15 11:51:53"/>
    <n v="1"/>
    <x v="5"/>
    <x v="1"/>
    <x v="0"/>
    <n v="224"/>
    <n v="0"/>
    <s v="Unnamed ProjectMaleta Internacional.NumberOutNumber OutEntity"/>
    <n v="10"/>
    <n v="224.5"/>
    <n v="20.812656405818711"/>
    <n v="0.95"/>
    <n v="14.888477491497007"/>
    <n v="199"/>
    <n v="256"/>
  </r>
  <r>
    <x v="0"/>
    <s v="2023-05-15 11:51:53"/>
    <n v="1"/>
    <x v="6"/>
    <x v="0"/>
    <x v="0"/>
    <n v="163"/>
    <n v="0"/>
    <s v="Unnamed ProjectMaleta Nacional.NumberInNumber InEntity"/>
    <n v="10"/>
    <n v="163.1"/>
    <n v="14.371654200002325"/>
    <n v="0.95"/>
    <n v="10.280862082193972"/>
    <n v="149"/>
    <n v="191"/>
  </r>
  <r>
    <x v="0"/>
    <s v="2023-05-15 11:51:53"/>
    <n v="1"/>
    <x v="7"/>
    <x v="1"/>
    <x v="0"/>
    <n v="162"/>
    <n v="0"/>
    <s v="Unnamed ProjectMaleta Nacional.NumberOutNumber OutEntity"/>
    <n v="10"/>
    <n v="159.1"/>
    <n v="14.153523314787106"/>
    <n v="0.95"/>
    <n v="10.12482064704977"/>
    <n v="145"/>
    <n v="189"/>
  </r>
  <r>
    <x v="0"/>
    <s v="2023-05-15 11:51:53"/>
    <n v="1"/>
    <x v="8"/>
    <x v="2"/>
    <x v="1"/>
    <n v="230"/>
    <n v="0"/>
    <s v="Unnamed ProjectNacionalauto.NumberSeizedTotal Number SeizedResource"/>
    <n v="10"/>
    <n v="231.5"/>
    <n v="20.817994353176505"/>
    <n v="0.95"/>
    <n v="14.892296029003113"/>
    <n v="202"/>
    <n v="264"/>
  </r>
  <r>
    <x v="0"/>
    <s v="2023-05-15 11:51:53"/>
    <n v="1"/>
    <x v="9"/>
    <x v="3"/>
    <x v="1"/>
    <n v="0.72909322032718105"/>
    <n v="0"/>
    <s v="Unnamed ProjectNacionalauto.ScheduledUtilizationScheduled UtilizationResource"/>
    <n v="10"/>
    <n v="0.73175058451933661"/>
    <n v="6.0813477412386734E-2"/>
    <n v="0.95"/>
    <n v="4.3503341043041877E-2"/>
    <n v="0.64995347349336796"/>
    <n v="0.82581624655093899"/>
  </r>
  <r>
    <x v="0"/>
    <s v="2023-05-15 11:51:53"/>
    <n v="1"/>
    <x v="10"/>
    <x v="2"/>
    <x v="1"/>
    <n v="372"/>
    <n v="0"/>
    <s v="Unnamed ProjectOperarios Avion.NumberSeizedTotal Number SeizedResource"/>
    <n v="10"/>
    <n v="368.6"/>
    <n v="29.243042857328572"/>
    <n v="0.95"/>
    <n v="20.919212659586112"/>
    <n v="338"/>
    <n v="416"/>
  </r>
  <r>
    <x v="0"/>
    <s v="2023-05-15 11:51:53"/>
    <n v="1"/>
    <x v="11"/>
    <x v="3"/>
    <x v="1"/>
    <n v="6.7485948117393404E-2"/>
    <n v="0"/>
    <s v="Unnamed ProjectOperarios Avion.ScheduledUtilizationScheduled UtilizationResource"/>
    <n v="10"/>
    <n v="7.5958437118625627E-2"/>
    <n v="5.0572810112240948E-3"/>
    <n v="0.95"/>
    <n v="3.6177608968134627E-3"/>
    <n v="6.7485948117393404E-2"/>
    <n v="8.7852447587946303E-2"/>
  </r>
  <r>
    <x v="0"/>
    <s v="2023-05-15 11:51:53"/>
    <n v="1"/>
    <x v="12"/>
    <x v="1"/>
    <x v="2"/>
    <n v="657"/>
    <n v="0"/>
    <s v="Unnamed ProjectSystem.NumberOutNumber OutSystem"/>
    <n v="10"/>
    <n v="653"/>
    <n v="50.066622281382898"/>
    <n v="0.95"/>
    <n v="35.815504007612013"/>
    <n v="594"/>
    <n v="722"/>
  </r>
  <r>
    <x v="0"/>
    <s v="2023-05-15 11:51:53"/>
    <n v="1"/>
    <x v="13"/>
    <x v="2"/>
    <x v="1"/>
    <n v="82"/>
    <n v="0"/>
    <s v="Unnamed Projectcajera.NumberSeizedTotal Number SeizedResource"/>
    <n v="10"/>
    <n v="89.7"/>
    <n v="15.3554188770248"/>
    <n v="0.95"/>
    <n v="10.984604937751998"/>
    <n v="72"/>
    <n v="119"/>
  </r>
  <r>
    <x v="0"/>
    <s v="2023-05-15 11:51:53"/>
    <n v="1"/>
    <x v="14"/>
    <x v="3"/>
    <x v="1"/>
    <n v="0.35968491066771402"/>
    <n v="0"/>
    <s v="Unnamed Projectcajera.ScheduledUtilizationScheduled UtilizationResource"/>
    <n v="10"/>
    <n v="0.38078385056341441"/>
    <n v="5.6481911326734656E-2"/>
    <n v="0.95"/>
    <n v="4.040472533000234E-2"/>
    <n v="0.28913636698845602"/>
    <n v="0.46134650546047301"/>
  </r>
  <r>
    <x v="0"/>
    <s v="2023-05-15 11:51:53"/>
    <n v="1"/>
    <x v="15"/>
    <x v="2"/>
    <x v="1"/>
    <n v="191"/>
    <n v="0"/>
    <s v="Unnamed Projectcajera2.NumberSeizedTotal Number SeizedResource"/>
    <n v="10"/>
    <n v="181.1"/>
    <n v="9.7348172384830463"/>
    <n v="0.95"/>
    <n v="6.9638687399111214"/>
    <n v="169"/>
    <n v="194"/>
  </r>
  <r>
    <x v="0"/>
    <s v="2023-05-15 11:51:53"/>
    <n v="1"/>
    <x v="16"/>
    <x v="3"/>
    <x v="1"/>
    <n v="0.69752119636771104"/>
    <n v="0"/>
    <s v="Unnamed Projectcajera2.ScheduledUtilizationScheduled UtilizationResource"/>
    <n v="10"/>
    <n v="0.73571117943508912"/>
    <n v="2.3945213257811505E-2"/>
    <n v="0.95"/>
    <n v="1.7129373668915777E-2"/>
    <n v="0.69752119636771104"/>
    <n v="0.77845968782647601"/>
  </r>
  <r>
    <x v="0"/>
    <s v="2023-05-15 11:51:53"/>
    <n v="1"/>
    <x v="17"/>
    <x v="0"/>
    <x v="0"/>
    <n v="0"/>
    <n v="0"/>
    <s v="Unnamed Projectpersona.NumberInNumber InEntity"/>
    <n v="10"/>
    <n v="0"/>
    <n v="0"/>
    <n v="0.95"/>
    <n v="0"/>
    <n v="0"/>
    <n v="0"/>
  </r>
  <r>
    <x v="0"/>
    <s v="2023-05-15 11:51:53"/>
    <n v="1"/>
    <x v="18"/>
    <x v="1"/>
    <x v="0"/>
    <n v="0"/>
    <n v="0"/>
    <s v="Unnamed Projectpersona.NumberOutNumber OutEntity"/>
    <n v="10"/>
    <n v="0"/>
    <n v="0"/>
    <n v="0.95"/>
    <n v="0"/>
    <n v="0"/>
    <n v="0"/>
  </r>
  <r>
    <x v="0"/>
    <s v="2023-05-15 11:51:53"/>
    <n v="1"/>
    <x v="19"/>
    <x v="2"/>
    <x v="1"/>
    <n v="4"/>
    <n v="0"/>
    <s v="Unnamed Projectregistro1.NumberSeizedTotal Number SeizedResource"/>
    <n v="10"/>
    <n v="7.6"/>
    <n v="2.9135697844549542"/>
    <n v="0.95"/>
    <n v="2.0842422663373124"/>
    <n v="4"/>
    <n v="12"/>
  </r>
  <r>
    <x v="0"/>
    <s v="2023-05-15 11:51:53"/>
    <n v="1"/>
    <x v="20"/>
    <x v="3"/>
    <x v="1"/>
    <n v="3.1325407242192502E-2"/>
    <n v="0"/>
    <s v="Unnamed Projectregistro1.ScheduledUtilizationScheduled UtilizationResource"/>
    <n v="10"/>
    <n v="5.6433247648491516E-2"/>
    <n v="2.4456082934732001E-2"/>
    <n v="0.95"/>
    <n v="1.7494827820351853E-2"/>
    <n v="2.1279401430778E-2"/>
    <n v="8.8472374570180701E-2"/>
  </r>
  <r>
    <x v="0"/>
    <s v="2023-05-15 11:51:53"/>
    <n v="1"/>
    <x v="21"/>
    <x v="2"/>
    <x v="1"/>
    <n v="20"/>
    <n v="0"/>
    <s v="Unnamed Projectregistro2.NumberSeizedTotal Number SeizedResource"/>
    <n v="10"/>
    <n v="18.8"/>
    <n v="2.8205594401741556"/>
    <n v="0.95"/>
    <n v="2.0177066742293341"/>
    <n v="14"/>
    <n v="24"/>
  </r>
  <r>
    <x v="0"/>
    <s v="2023-05-15 11:51:53"/>
    <n v="1"/>
    <x v="22"/>
    <x v="3"/>
    <x v="1"/>
    <n v="0.66990172486561195"/>
    <n v="0"/>
    <s v="Unnamed Projectregistro2.ScheduledUtilizationScheduled UtilizationResource"/>
    <n v="10"/>
    <n v="0.46274808587050231"/>
    <n v="9.1165192054027525E-2"/>
    <n v="0.95"/>
    <n v="6.5215649719990554E-2"/>
    <n v="0.338210899349628"/>
    <n v="0.66990172486561195"/>
  </r>
  <r>
    <x v="0"/>
    <s v="2023-05-15 11:51:53"/>
    <n v="2"/>
    <x v="0"/>
    <x v="0"/>
    <x v="0"/>
    <n v="632"/>
    <n v="0"/>
    <s v="Unnamed ProjectEntity 1.NumberInNumber InEntity"/>
    <n v="10"/>
    <n v="677.4"/>
    <n v="50.383418789209699"/>
    <n v="0.95"/>
    <n v="36.042126577273301"/>
    <n v="612"/>
    <n v="757"/>
  </r>
  <r>
    <x v="0"/>
    <s v="2023-05-15 11:51:53"/>
    <n v="2"/>
    <x v="1"/>
    <x v="1"/>
    <x v="0"/>
    <n v="628"/>
    <n v="0"/>
    <s v="Unnamed ProjectEntity 1.NumberOutNumber OutEntity"/>
    <n v="10"/>
    <n v="673.8"/>
    <n v="51.503613681199326"/>
    <n v="0.95"/>
    <n v="36.843465729291147"/>
    <n v="608"/>
    <n v="755"/>
  </r>
  <r>
    <x v="0"/>
    <s v="2023-05-15 11:51:53"/>
    <n v="2"/>
    <x v="2"/>
    <x v="2"/>
    <x v="1"/>
    <n v="147"/>
    <n v="0"/>
    <s v="Unnamed ProjectInterauto.NumberSeizedTotal Number SeizedResource"/>
    <n v="10"/>
    <n v="161.5"/>
    <n v="13.778001790293589"/>
    <n v="0.95"/>
    <n v="9.8561887311626997"/>
    <n v="147"/>
    <n v="191"/>
  </r>
  <r>
    <x v="0"/>
    <s v="2023-05-15 11:51:53"/>
    <n v="2"/>
    <x v="3"/>
    <x v="3"/>
    <x v="1"/>
    <n v="0.25945894132650299"/>
    <n v="0"/>
    <s v="Unnamed ProjectInterauto.ScheduledUtilizationScheduled UtilizationResource"/>
    <n v="10"/>
    <n v="0.26535205929836458"/>
    <n v="2.5807993647623796E-2"/>
    <n v="0.95"/>
    <n v="1.8461926485074727E-2"/>
    <n v="0.20483176768320299"/>
    <n v="0.29552077299252399"/>
  </r>
  <r>
    <x v="0"/>
    <s v="2023-05-15 11:51:53"/>
    <n v="2"/>
    <x v="4"/>
    <x v="0"/>
    <x v="0"/>
    <n v="226"/>
    <n v="0"/>
    <s v="Unnamed ProjectMaleta Internacional.NumberInNumber InEntity"/>
    <n v="10"/>
    <n v="241.3"/>
    <n v="25.59101404790356"/>
    <n v="0.95"/>
    <n v="18.306708629960106"/>
    <n v="207"/>
    <n v="287"/>
  </r>
  <r>
    <x v="0"/>
    <s v="2023-05-15 11:51:53"/>
    <n v="2"/>
    <x v="5"/>
    <x v="1"/>
    <x v="0"/>
    <n v="211"/>
    <n v="0"/>
    <s v="Unnamed ProjectMaleta Internacional.NumberOutNumber OutEntity"/>
    <n v="10"/>
    <n v="224.5"/>
    <n v="20.812656405818711"/>
    <n v="0.95"/>
    <n v="14.888477491497007"/>
    <n v="199"/>
    <n v="256"/>
  </r>
  <r>
    <x v="0"/>
    <s v="2023-05-15 11:51:53"/>
    <n v="2"/>
    <x v="6"/>
    <x v="0"/>
    <x v="0"/>
    <n v="149"/>
    <n v="0"/>
    <s v="Unnamed ProjectMaleta Nacional.NumberInNumber InEntity"/>
    <n v="10"/>
    <n v="163.1"/>
    <n v="14.371654200002325"/>
    <n v="0.95"/>
    <n v="10.280862082193972"/>
    <n v="149"/>
    <n v="191"/>
  </r>
  <r>
    <x v="0"/>
    <s v="2023-05-15 11:51:53"/>
    <n v="2"/>
    <x v="7"/>
    <x v="1"/>
    <x v="0"/>
    <n v="145"/>
    <n v="0"/>
    <s v="Unnamed ProjectMaleta Nacional.NumberOutNumber OutEntity"/>
    <n v="10"/>
    <n v="159.1"/>
    <n v="14.153523314787106"/>
    <n v="0.95"/>
    <n v="10.12482064704977"/>
    <n v="145"/>
    <n v="189"/>
  </r>
  <r>
    <x v="0"/>
    <s v="2023-05-15 11:51:53"/>
    <n v="2"/>
    <x v="8"/>
    <x v="2"/>
    <x v="1"/>
    <n v="219"/>
    <n v="0"/>
    <s v="Unnamed ProjectNacionalauto.NumberSeizedTotal Number SeizedResource"/>
    <n v="10"/>
    <n v="231.5"/>
    <n v="20.817994353176505"/>
    <n v="0.95"/>
    <n v="14.892296029003113"/>
    <n v="202"/>
    <n v="264"/>
  </r>
  <r>
    <x v="0"/>
    <s v="2023-05-15 11:51:53"/>
    <n v="2"/>
    <x v="9"/>
    <x v="3"/>
    <x v="1"/>
    <n v="0.68944986969492195"/>
    <n v="0"/>
    <s v="Unnamed ProjectNacionalauto.ScheduledUtilizationScheduled UtilizationResource"/>
    <n v="10"/>
    <n v="0.73175058451933661"/>
    <n v="6.0813477412386734E-2"/>
    <n v="0.95"/>
    <n v="4.3503341043041877E-2"/>
    <n v="0.64995347349336796"/>
    <n v="0.82581624655093899"/>
  </r>
  <r>
    <x v="0"/>
    <s v="2023-05-15 11:51:53"/>
    <n v="2"/>
    <x v="10"/>
    <x v="2"/>
    <x v="1"/>
    <n v="338"/>
    <n v="0"/>
    <s v="Unnamed ProjectOperarios Avion.NumberSeizedTotal Number SeizedResource"/>
    <n v="10"/>
    <n v="368.6"/>
    <n v="29.243042857328572"/>
    <n v="0.95"/>
    <n v="20.919212659586112"/>
    <n v="338"/>
    <n v="416"/>
  </r>
  <r>
    <x v="0"/>
    <s v="2023-05-15 11:51:53"/>
    <n v="2"/>
    <x v="11"/>
    <x v="3"/>
    <x v="1"/>
    <n v="7.5522136747554799E-2"/>
    <n v="0"/>
    <s v="Unnamed ProjectOperarios Avion.ScheduledUtilizationScheduled UtilizationResource"/>
    <n v="10"/>
    <n v="7.5958437118625627E-2"/>
    <n v="5.0572810112240948E-3"/>
    <n v="0.95"/>
    <n v="3.6177608968134627E-3"/>
    <n v="6.7485948117393404E-2"/>
    <n v="8.7852447587946303E-2"/>
  </r>
  <r>
    <x v="0"/>
    <s v="2023-05-15 11:51:53"/>
    <n v="2"/>
    <x v="12"/>
    <x v="1"/>
    <x v="2"/>
    <n v="609"/>
    <n v="0"/>
    <s v="Unnamed ProjectSystem.NumberOutNumber OutSystem"/>
    <n v="10"/>
    <n v="653"/>
    <n v="50.066622281382898"/>
    <n v="0.95"/>
    <n v="35.815504007612013"/>
    <n v="594"/>
    <n v="722"/>
  </r>
  <r>
    <x v="0"/>
    <s v="2023-05-15 11:51:53"/>
    <n v="2"/>
    <x v="13"/>
    <x v="2"/>
    <x v="1"/>
    <n v="85"/>
    <n v="0"/>
    <s v="Unnamed Projectcajera.NumberSeizedTotal Number SeizedResource"/>
    <n v="10"/>
    <n v="89.7"/>
    <n v="15.3554188770248"/>
    <n v="0.95"/>
    <n v="10.984604937751998"/>
    <n v="72"/>
    <n v="119"/>
  </r>
  <r>
    <x v="0"/>
    <s v="2023-05-15 11:51:53"/>
    <n v="2"/>
    <x v="14"/>
    <x v="3"/>
    <x v="1"/>
    <n v="0.35108547037536902"/>
    <n v="0"/>
    <s v="Unnamed Projectcajera.ScheduledUtilizationScheduled UtilizationResource"/>
    <n v="10"/>
    <n v="0.38078385056341441"/>
    <n v="5.6481911326734656E-2"/>
    <n v="0.95"/>
    <n v="4.040472533000234E-2"/>
    <n v="0.28913636698845602"/>
    <n v="0.46134650546047301"/>
  </r>
  <r>
    <x v="0"/>
    <s v="2023-05-15 11:51:53"/>
    <n v="2"/>
    <x v="15"/>
    <x v="2"/>
    <x v="1"/>
    <n v="169"/>
    <n v="0"/>
    <s v="Unnamed Projectcajera2.NumberSeizedTotal Number SeizedResource"/>
    <n v="10"/>
    <n v="181.1"/>
    <n v="9.7348172384830463"/>
    <n v="0.95"/>
    <n v="6.9638687399111214"/>
    <n v="169"/>
    <n v="194"/>
  </r>
  <r>
    <x v="0"/>
    <s v="2023-05-15 11:51:53"/>
    <n v="2"/>
    <x v="16"/>
    <x v="3"/>
    <x v="1"/>
    <n v="0.74845428172863504"/>
    <n v="0"/>
    <s v="Unnamed Projectcajera2.ScheduledUtilizationScheduled UtilizationResource"/>
    <n v="10"/>
    <n v="0.73571117943508912"/>
    <n v="2.3945213257811505E-2"/>
    <n v="0.95"/>
    <n v="1.7129373668915777E-2"/>
    <n v="0.69752119636771104"/>
    <n v="0.77845968782647601"/>
  </r>
  <r>
    <x v="0"/>
    <s v="2023-05-15 11:51:53"/>
    <n v="2"/>
    <x v="17"/>
    <x v="0"/>
    <x v="0"/>
    <n v="0"/>
    <n v="0"/>
    <s v="Unnamed Projectpersona.NumberInNumber InEntity"/>
    <n v="10"/>
    <n v="0"/>
    <n v="0"/>
    <n v="0.95"/>
    <n v="0"/>
    <n v="0"/>
    <n v="0"/>
  </r>
  <r>
    <x v="0"/>
    <s v="2023-05-15 11:51:53"/>
    <n v="2"/>
    <x v="18"/>
    <x v="1"/>
    <x v="0"/>
    <n v="0"/>
    <n v="0"/>
    <s v="Unnamed Projectpersona.NumberOutNumber OutEntity"/>
    <n v="10"/>
    <n v="0"/>
    <n v="0"/>
    <n v="0.95"/>
    <n v="0"/>
    <n v="0"/>
    <n v="0"/>
  </r>
  <r>
    <x v="0"/>
    <s v="2023-05-15 11:51:53"/>
    <n v="2"/>
    <x v="19"/>
    <x v="2"/>
    <x v="1"/>
    <n v="9"/>
    <n v="0"/>
    <s v="Unnamed Projectregistro1.NumberSeizedTotal Number SeizedResource"/>
    <n v="10"/>
    <n v="7.6"/>
    <n v="2.9135697844549542"/>
    <n v="0.95"/>
    <n v="2.0842422663373124"/>
    <n v="4"/>
    <n v="12"/>
  </r>
  <r>
    <x v="0"/>
    <s v="2023-05-15 11:51:53"/>
    <n v="2"/>
    <x v="20"/>
    <x v="3"/>
    <x v="1"/>
    <n v="8.8472374570180701E-2"/>
    <n v="0"/>
    <s v="Unnamed Projectregistro1.ScheduledUtilizationScheduled UtilizationResource"/>
    <n v="10"/>
    <n v="5.6433247648491516E-2"/>
    <n v="2.4456082934732001E-2"/>
    <n v="0.95"/>
    <n v="1.7494827820351853E-2"/>
    <n v="2.1279401430778E-2"/>
    <n v="8.8472374570180701E-2"/>
  </r>
  <r>
    <x v="0"/>
    <s v="2023-05-15 11:51:53"/>
    <n v="2"/>
    <x v="21"/>
    <x v="2"/>
    <x v="1"/>
    <n v="20"/>
    <n v="0"/>
    <s v="Unnamed Projectregistro2.NumberSeizedTotal Number SeizedResource"/>
    <n v="10"/>
    <n v="18.8"/>
    <n v="2.8205594401741556"/>
    <n v="0.95"/>
    <n v="2.0177066742293341"/>
    <n v="14"/>
    <n v="24"/>
  </r>
  <r>
    <x v="0"/>
    <s v="2023-05-15 11:51:53"/>
    <n v="2"/>
    <x v="22"/>
    <x v="3"/>
    <x v="1"/>
    <n v="0.49654893419644103"/>
    <n v="0"/>
    <s v="Unnamed Projectregistro2.ScheduledUtilizationScheduled UtilizationResource"/>
    <n v="10"/>
    <n v="0.46274808587050231"/>
    <n v="9.1165192054027525E-2"/>
    <n v="0.95"/>
    <n v="6.5215649719990554E-2"/>
    <n v="0.338210899349628"/>
    <n v="0.66990172486561195"/>
  </r>
  <r>
    <x v="0"/>
    <s v="2023-05-15 11:51:53"/>
    <n v="3"/>
    <x v="0"/>
    <x v="0"/>
    <x v="0"/>
    <n v="673"/>
    <n v="0"/>
    <s v="Unnamed ProjectEntity 1.NumberInNumber InEntity"/>
    <n v="10"/>
    <n v="677.4"/>
    <n v="50.383418789209699"/>
    <n v="0.95"/>
    <n v="36.042126577273301"/>
    <n v="612"/>
    <n v="757"/>
  </r>
  <r>
    <x v="0"/>
    <s v="2023-05-15 11:51:53"/>
    <n v="3"/>
    <x v="1"/>
    <x v="1"/>
    <x v="0"/>
    <n v="673"/>
    <n v="0"/>
    <s v="Unnamed ProjectEntity 1.NumberOutNumber OutEntity"/>
    <n v="10"/>
    <n v="673.8"/>
    <n v="51.503613681199326"/>
    <n v="0.95"/>
    <n v="36.843465729291147"/>
    <n v="608"/>
    <n v="755"/>
  </r>
  <r>
    <x v="0"/>
    <s v="2023-05-15 11:51:53"/>
    <n v="3"/>
    <x v="2"/>
    <x v="2"/>
    <x v="1"/>
    <n v="153"/>
    <n v="0"/>
    <s v="Unnamed ProjectInterauto.NumberSeizedTotal Number SeizedResource"/>
    <n v="10"/>
    <n v="161.5"/>
    <n v="13.778001790293589"/>
    <n v="0.95"/>
    <n v="9.8561887311626997"/>
    <n v="147"/>
    <n v="191"/>
  </r>
  <r>
    <x v="0"/>
    <s v="2023-05-15 11:51:53"/>
    <n v="3"/>
    <x v="3"/>
    <x v="3"/>
    <x v="1"/>
    <n v="0.26503388045743098"/>
    <n v="0"/>
    <s v="Unnamed ProjectInterauto.ScheduledUtilizationScheduled UtilizationResource"/>
    <n v="10"/>
    <n v="0.26535205929836458"/>
    <n v="2.5807993647623796E-2"/>
    <n v="0.95"/>
    <n v="1.8461926485074727E-2"/>
    <n v="0.20483176768320299"/>
    <n v="0.29552077299252399"/>
  </r>
  <r>
    <x v="0"/>
    <s v="2023-05-15 11:51:53"/>
    <n v="3"/>
    <x v="4"/>
    <x v="0"/>
    <x v="0"/>
    <n v="251"/>
    <n v="0"/>
    <s v="Unnamed ProjectMaleta Internacional.NumberInNumber InEntity"/>
    <n v="10"/>
    <n v="241.3"/>
    <n v="25.59101404790356"/>
    <n v="0.95"/>
    <n v="18.306708629960106"/>
    <n v="207"/>
    <n v="287"/>
  </r>
  <r>
    <x v="0"/>
    <s v="2023-05-15 11:51:53"/>
    <n v="3"/>
    <x v="5"/>
    <x v="1"/>
    <x v="0"/>
    <n v="221"/>
    <n v="0"/>
    <s v="Unnamed ProjectMaleta Internacional.NumberOutNumber OutEntity"/>
    <n v="10"/>
    <n v="224.5"/>
    <n v="20.812656405818711"/>
    <n v="0.95"/>
    <n v="14.888477491497007"/>
    <n v="199"/>
    <n v="256"/>
  </r>
  <r>
    <x v="0"/>
    <s v="2023-05-15 11:51:53"/>
    <n v="3"/>
    <x v="6"/>
    <x v="0"/>
    <x v="0"/>
    <n v="153"/>
    <n v="0"/>
    <s v="Unnamed ProjectMaleta Nacional.NumberInNumber InEntity"/>
    <n v="10"/>
    <n v="163.1"/>
    <n v="14.371654200002325"/>
    <n v="0.95"/>
    <n v="10.280862082193972"/>
    <n v="149"/>
    <n v="191"/>
  </r>
  <r>
    <x v="0"/>
    <s v="2023-05-15 11:51:53"/>
    <n v="3"/>
    <x v="7"/>
    <x v="1"/>
    <x v="0"/>
    <n v="153"/>
    <n v="0"/>
    <s v="Unnamed ProjectMaleta Nacional.NumberOutNumber OutEntity"/>
    <n v="10"/>
    <n v="159.1"/>
    <n v="14.153523314787106"/>
    <n v="0.95"/>
    <n v="10.12482064704977"/>
    <n v="145"/>
    <n v="189"/>
  </r>
  <r>
    <x v="0"/>
    <s v="2023-05-15 11:51:53"/>
    <n v="3"/>
    <x v="8"/>
    <x v="2"/>
    <x v="1"/>
    <n v="231"/>
    <n v="0"/>
    <s v="Unnamed ProjectNacionalauto.NumberSeizedTotal Number SeizedResource"/>
    <n v="10"/>
    <n v="231.5"/>
    <n v="20.817994353176505"/>
    <n v="0.95"/>
    <n v="14.892296029003113"/>
    <n v="202"/>
    <n v="264"/>
  </r>
  <r>
    <x v="0"/>
    <s v="2023-05-15 11:51:53"/>
    <n v="3"/>
    <x v="9"/>
    <x v="3"/>
    <x v="1"/>
    <n v="0.80810986871710599"/>
    <n v="0"/>
    <s v="Unnamed ProjectNacionalauto.ScheduledUtilizationScheduled UtilizationResource"/>
    <n v="10"/>
    <n v="0.73175058451933661"/>
    <n v="6.0813477412386734E-2"/>
    <n v="0.95"/>
    <n v="4.3503341043041877E-2"/>
    <n v="0.64995347349336796"/>
    <n v="0.82581624655093899"/>
  </r>
  <r>
    <x v="0"/>
    <s v="2023-05-15 11:51:53"/>
    <n v="3"/>
    <x v="10"/>
    <x v="2"/>
    <x v="1"/>
    <n v="357"/>
    <n v="0"/>
    <s v="Unnamed ProjectOperarios Avion.NumberSeizedTotal Number SeizedResource"/>
    <n v="10"/>
    <n v="368.6"/>
    <n v="29.243042857328572"/>
    <n v="0.95"/>
    <n v="20.919212659586112"/>
    <n v="338"/>
    <n v="416"/>
  </r>
  <r>
    <x v="0"/>
    <s v="2023-05-15 11:51:53"/>
    <n v="3"/>
    <x v="11"/>
    <x v="3"/>
    <x v="1"/>
    <n v="7.4589944457269602E-2"/>
    <n v="0"/>
    <s v="Unnamed ProjectOperarios Avion.ScheduledUtilizationScheduled UtilizationResource"/>
    <n v="10"/>
    <n v="7.5958437118625627E-2"/>
    <n v="5.0572810112240948E-3"/>
    <n v="0.95"/>
    <n v="3.6177608968134627E-3"/>
    <n v="6.7485948117393404E-2"/>
    <n v="8.7852447587946303E-2"/>
  </r>
  <r>
    <x v="0"/>
    <s v="2023-05-15 11:51:53"/>
    <n v="3"/>
    <x v="12"/>
    <x v="1"/>
    <x v="2"/>
    <n v="643"/>
    <n v="0"/>
    <s v="Unnamed ProjectSystem.NumberOutNumber OutSystem"/>
    <n v="10"/>
    <n v="653"/>
    <n v="50.066622281382898"/>
    <n v="0.95"/>
    <n v="35.815504007612013"/>
    <n v="594"/>
    <n v="722"/>
  </r>
  <r>
    <x v="0"/>
    <s v="2023-05-15 11:51:53"/>
    <n v="3"/>
    <x v="13"/>
    <x v="2"/>
    <x v="1"/>
    <n v="86"/>
    <n v="0"/>
    <s v="Unnamed Projectcajera.NumberSeizedTotal Number SeizedResource"/>
    <n v="10"/>
    <n v="89.7"/>
    <n v="15.3554188770248"/>
    <n v="0.95"/>
    <n v="10.984604937751998"/>
    <n v="72"/>
    <n v="119"/>
  </r>
  <r>
    <x v="0"/>
    <s v="2023-05-15 11:51:53"/>
    <n v="3"/>
    <x v="14"/>
    <x v="3"/>
    <x v="1"/>
    <n v="0.402052150629301"/>
    <n v="0"/>
    <s v="Unnamed Projectcajera.ScheduledUtilizationScheduled UtilizationResource"/>
    <n v="10"/>
    <n v="0.38078385056341441"/>
    <n v="5.6481911326734656E-2"/>
    <n v="0.95"/>
    <n v="4.040472533000234E-2"/>
    <n v="0.28913636698845602"/>
    <n v="0.46134650546047301"/>
  </r>
  <r>
    <x v="0"/>
    <s v="2023-05-15 11:51:53"/>
    <n v="3"/>
    <x v="15"/>
    <x v="2"/>
    <x v="1"/>
    <n v="183"/>
    <n v="0"/>
    <s v="Unnamed Projectcajera2.NumberSeizedTotal Number SeizedResource"/>
    <n v="10"/>
    <n v="181.1"/>
    <n v="9.7348172384830463"/>
    <n v="0.95"/>
    <n v="6.9638687399111214"/>
    <n v="169"/>
    <n v="194"/>
  </r>
  <r>
    <x v="0"/>
    <s v="2023-05-15 11:51:53"/>
    <n v="3"/>
    <x v="16"/>
    <x v="3"/>
    <x v="1"/>
    <n v="0.72440309250271195"/>
    <n v="0"/>
    <s v="Unnamed Projectcajera2.ScheduledUtilizationScheduled UtilizationResource"/>
    <n v="10"/>
    <n v="0.73571117943508912"/>
    <n v="2.3945213257811505E-2"/>
    <n v="0.95"/>
    <n v="1.7129373668915777E-2"/>
    <n v="0.69752119636771104"/>
    <n v="0.77845968782647601"/>
  </r>
  <r>
    <x v="0"/>
    <s v="2023-05-15 11:51:53"/>
    <n v="3"/>
    <x v="17"/>
    <x v="0"/>
    <x v="0"/>
    <n v="0"/>
    <n v="0"/>
    <s v="Unnamed Projectpersona.NumberInNumber InEntity"/>
    <n v="10"/>
    <n v="0"/>
    <n v="0"/>
    <n v="0.95"/>
    <n v="0"/>
    <n v="0"/>
    <n v="0"/>
  </r>
  <r>
    <x v="0"/>
    <s v="2023-05-15 11:51:53"/>
    <n v="3"/>
    <x v="18"/>
    <x v="1"/>
    <x v="0"/>
    <n v="0"/>
    <n v="0"/>
    <s v="Unnamed Projectpersona.NumberOutNumber OutEntity"/>
    <n v="10"/>
    <n v="0"/>
    <n v="0"/>
    <n v="0.95"/>
    <n v="0"/>
    <n v="0"/>
    <n v="0"/>
  </r>
  <r>
    <x v="0"/>
    <s v="2023-05-15 11:51:53"/>
    <n v="3"/>
    <x v="19"/>
    <x v="2"/>
    <x v="1"/>
    <n v="6"/>
    <n v="0"/>
    <s v="Unnamed Projectregistro1.NumberSeizedTotal Number SeizedResource"/>
    <n v="10"/>
    <n v="7.6"/>
    <n v="2.9135697844549542"/>
    <n v="0.95"/>
    <n v="2.0842422663373124"/>
    <n v="4"/>
    <n v="12"/>
  </r>
  <r>
    <x v="0"/>
    <s v="2023-05-15 11:51:53"/>
    <n v="3"/>
    <x v="20"/>
    <x v="3"/>
    <x v="1"/>
    <n v="6.8430469457483406E-2"/>
    <n v="0"/>
    <s v="Unnamed Projectregistro1.ScheduledUtilizationScheduled UtilizationResource"/>
    <n v="10"/>
    <n v="5.6433247648491516E-2"/>
    <n v="2.4456082934732001E-2"/>
    <n v="0.95"/>
    <n v="1.7494827820351853E-2"/>
    <n v="2.1279401430778E-2"/>
    <n v="8.8472374570180701E-2"/>
  </r>
  <r>
    <x v="0"/>
    <s v="2023-05-15 11:51:53"/>
    <n v="3"/>
    <x v="21"/>
    <x v="2"/>
    <x v="1"/>
    <n v="24"/>
    <n v="0"/>
    <s v="Unnamed Projectregistro2.NumberSeizedTotal Number SeizedResource"/>
    <n v="10"/>
    <n v="18.8"/>
    <n v="2.8205594401741556"/>
    <n v="0.95"/>
    <n v="2.0177066742293341"/>
    <n v="14"/>
    <n v="24"/>
  </r>
  <r>
    <x v="0"/>
    <s v="2023-05-15 11:51:53"/>
    <n v="3"/>
    <x v="22"/>
    <x v="3"/>
    <x v="1"/>
    <n v="0.4217141266426"/>
    <n v="0"/>
    <s v="Unnamed Projectregistro2.ScheduledUtilizationScheduled UtilizationResource"/>
    <n v="10"/>
    <n v="0.46274808587050231"/>
    <n v="9.1165192054027525E-2"/>
    <n v="0.95"/>
    <n v="6.5215649719990554E-2"/>
    <n v="0.338210899349628"/>
    <n v="0.66990172486561195"/>
  </r>
  <r>
    <x v="0"/>
    <s v="2023-05-15 11:51:53"/>
    <n v="4"/>
    <x v="0"/>
    <x v="0"/>
    <x v="0"/>
    <n v="757"/>
    <n v="0"/>
    <s v="Unnamed ProjectEntity 1.NumberInNumber InEntity"/>
    <n v="10"/>
    <n v="677.4"/>
    <n v="50.383418789209699"/>
    <n v="0.95"/>
    <n v="36.042126577273301"/>
    <n v="612"/>
    <n v="757"/>
  </r>
  <r>
    <x v="0"/>
    <s v="2023-05-15 11:51:53"/>
    <n v="4"/>
    <x v="1"/>
    <x v="1"/>
    <x v="0"/>
    <n v="755"/>
    <n v="0"/>
    <s v="Unnamed ProjectEntity 1.NumberOutNumber OutEntity"/>
    <n v="10"/>
    <n v="673.8"/>
    <n v="51.503613681199326"/>
    <n v="0.95"/>
    <n v="36.843465729291147"/>
    <n v="608"/>
    <n v="755"/>
  </r>
  <r>
    <x v="0"/>
    <s v="2023-05-15 11:51:53"/>
    <n v="4"/>
    <x v="2"/>
    <x v="2"/>
    <x v="1"/>
    <n v="161"/>
    <n v="0"/>
    <s v="Unnamed ProjectInterauto.NumberSeizedTotal Number SeizedResource"/>
    <n v="10"/>
    <n v="161.5"/>
    <n v="13.778001790293589"/>
    <n v="0.95"/>
    <n v="9.8561887311626997"/>
    <n v="147"/>
    <n v="191"/>
  </r>
  <r>
    <x v="0"/>
    <s v="2023-05-15 11:51:53"/>
    <n v="4"/>
    <x v="3"/>
    <x v="3"/>
    <x v="1"/>
    <n v="0.29421516955182597"/>
    <n v="0"/>
    <s v="Unnamed ProjectInterauto.ScheduledUtilizationScheduled UtilizationResource"/>
    <n v="10"/>
    <n v="0.26535205929836458"/>
    <n v="2.5807993647623796E-2"/>
    <n v="0.95"/>
    <n v="1.8461926485074727E-2"/>
    <n v="0.20483176768320299"/>
    <n v="0.29552077299252399"/>
  </r>
  <r>
    <x v="0"/>
    <s v="2023-05-15 11:51:53"/>
    <n v="4"/>
    <x v="4"/>
    <x v="0"/>
    <x v="0"/>
    <n v="287"/>
    <n v="0"/>
    <s v="Unnamed ProjectMaleta Internacional.NumberInNumber InEntity"/>
    <n v="10"/>
    <n v="241.3"/>
    <n v="25.59101404790356"/>
    <n v="0.95"/>
    <n v="18.306708629960106"/>
    <n v="207"/>
    <n v="287"/>
  </r>
  <r>
    <x v="0"/>
    <s v="2023-05-15 11:51:53"/>
    <n v="4"/>
    <x v="5"/>
    <x v="1"/>
    <x v="0"/>
    <n v="256"/>
    <n v="0"/>
    <s v="Unnamed ProjectMaleta Internacional.NumberOutNumber OutEntity"/>
    <n v="10"/>
    <n v="224.5"/>
    <n v="20.812656405818711"/>
    <n v="0.95"/>
    <n v="14.888477491497007"/>
    <n v="199"/>
    <n v="256"/>
  </r>
  <r>
    <x v="0"/>
    <s v="2023-05-15 11:51:53"/>
    <n v="4"/>
    <x v="6"/>
    <x v="0"/>
    <x v="0"/>
    <n v="161"/>
    <n v="0"/>
    <s v="Unnamed ProjectMaleta Nacional.NumberInNumber InEntity"/>
    <n v="10"/>
    <n v="163.1"/>
    <n v="14.371654200002325"/>
    <n v="0.95"/>
    <n v="10.280862082193972"/>
    <n v="149"/>
    <n v="191"/>
  </r>
  <r>
    <x v="0"/>
    <s v="2023-05-15 11:51:53"/>
    <n v="4"/>
    <x v="7"/>
    <x v="1"/>
    <x v="0"/>
    <n v="158"/>
    <n v="0"/>
    <s v="Unnamed ProjectMaleta Nacional.NumberOutNumber OutEntity"/>
    <n v="10"/>
    <n v="159.1"/>
    <n v="14.153523314787106"/>
    <n v="0.95"/>
    <n v="10.12482064704977"/>
    <n v="145"/>
    <n v="189"/>
  </r>
  <r>
    <x v="0"/>
    <s v="2023-05-15 11:51:53"/>
    <n v="4"/>
    <x v="8"/>
    <x v="2"/>
    <x v="1"/>
    <n v="264"/>
    <n v="0"/>
    <s v="Unnamed ProjectNacionalauto.NumberSeizedTotal Number SeizedResource"/>
    <n v="10"/>
    <n v="231.5"/>
    <n v="20.817994353176505"/>
    <n v="0.95"/>
    <n v="14.892296029003113"/>
    <n v="202"/>
    <n v="264"/>
  </r>
  <r>
    <x v="0"/>
    <s v="2023-05-15 11:51:53"/>
    <n v="4"/>
    <x v="9"/>
    <x v="3"/>
    <x v="1"/>
    <n v="0.82581624655093899"/>
    <n v="0"/>
    <s v="Unnamed ProjectNacionalauto.ScheduledUtilizationScheduled UtilizationResource"/>
    <n v="10"/>
    <n v="0.73175058451933661"/>
    <n v="6.0813477412386734E-2"/>
    <n v="0.95"/>
    <n v="4.3503341043041877E-2"/>
    <n v="0.64995347349336796"/>
    <n v="0.82581624655093899"/>
  </r>
  <r>
    <x v="0"/>
    <s v="2023-05-15 11:51:53"/>
    <n v="4"/>
    <x v="10"/>
    <x v="2"/>
    <x v="1"/>
    <n v="394"/>
    <n v="0"/>
    <s v="Unnamed ProjectOperarios Avion.NumberSeizedTotal Number SeizedResource"/>
    <n v="10"/>
    <n v="368.6"/>
    <n v="29.243042857328572"/>
    <n v="0.95"/>
    <n v="20.919212659586112"/>
    <n v="338"/>
    <n v="416"/>
  </r>
  <r>
    <x v="0"/>
    <s v="2023-05-15 11:51:53"/>
    <n v="4"/>
    <x v="11"/>
    <x v="3"/>
    <x v="1"/>
    <n v="7.5664719476007503E-2"/>
    <n v="0"/>
    <s v="Unnamed ProjectOperarios Avion.ScheduledUtilizationScheduled UtilizationResource"/>
    <n v="10"/>
    <n v="7.5958437118625627E-2"/>
    <n v="5.0572810112240948E-3"/>
    <n v="0.95"/>
    <n v="3.6177608968134627E-3"/>
    <n v="6.7485948117393404E-2"/>
    <n v="8.7852447587946303E-2"/>
  </r>
  <r>
    <x v="0"/>
    <s v="2023-05-15 11:51:53"/>
    <n v="4"/>
    <x v="12"/>
    <x v="1"/>
    <x v="2"/>
    <n v="721"/>
    <n v="0"/>
    <s v="Unnamed ProjectSystem.NumberOutNumber OutSystem"/>
    <n v="10"/>
    <n v="653"/>
    <n v="50.066622281382898"/>
    <n v="0.95"/>
    <n v="35.815504007612013"/>
    <n v="594"/>
    <n v="722"/>
  </r>
  <r>
    <x v="0"/>
    <s v="2023-05-15 11:51:53"/>
    <n v="4"/>
    <x v="13"/>
    <x v="2"/>
    <x v="1"/>
    <n v="119"/>
    <n v="0"/>
    <s v="Unnamed Projectcajera.NumberSeizedTotal Number SeizedResource"/>
    <n v="10"/>
    <n v="89.7"/>
    <n v="15.3554188770248"/>
    <n v="0.95"/>
    <n v="10.984604937751998"/>
    <n v="72"/>
    <n v="119"/>
  </r>
  <r>
    <x v="0"/>
    <s v="2023-05-15 11:51:53"/>
    <n v="4"/>
    <x v="14"/>
    <x v="3"/>
    <x v="1"/>
    <n v="0.46134650546047301"/>
    <n v="0"/>
    <s v="Unnamed Projectcajera.ScheduledUtilizationScheduled UtilizationResource"/>
    <n v="10"/>
    <n v="0.38078385056341441"/>
    <n v="5.6481911326734656E-2"/>
    <n v="0.95"/>
    <n v="4.040472533000234E-2"/>
    <n v="0.28913636698845602"/>
    <n v="0.46134650546047301"/>
  </r>
  <r>
    <x v="0"/>
    <s v="2023-05-15 11:51:53"/>
    <n v="4"/>
    <x v="15"/>
    <x v="2"/>
    <x v="1"/>
    <n v="190"/>
    <n v="0"/>
    <s v="Unnamed Projectcajera2.NumberSeizedTotal Number SeizedResource"/>
    <n v="10"/>
    <n v="181.1"/>
    <n v="9.7348172384830463"/>
    <n v="0.95"/>
    <n v="6.9638687399111214"/>
    <n v="169"/>
    <n v="194"/>
  </r>
  <r>
    <x v="0"/>
    <s v="2023-05-15 11:51:53"/>
    <n v="4"/>
    <x v="16"/>
    <x v="3"/>
    <x v="1"/>
    <n v="0.77845968782647601"/>
    <n v="0"/>
    <s v="Unnamed Projectcajera2.ScheduledUtilizationScheduled UtilizationResource"/>
    <n v="10"/>
    <n v="0.73571117943508912"/>
    <n v="2.3945213257811505E-2"/>
    <n v="0.95"/>
    <n v="1.7129373668915777E-2"/>
    <n v="0.69752119636771104"/>
    <n v="0.77845968782647601"/>
  </r>
  <r>
    <x v="0"/>
    <s v="2023-05-15 11:51:53"/>
    <n v="4"/>
    <x v="17"/>
    <x v="0"/>
    <x v="0"/>
    <n v="0"/>
    <n v="0"/>
    <s v="Unnamed Projectpersona.NumberInNumber InEntity"/>
    <n v="10"/>
    <n v="0"/>
    <n v="0"/>
    <n v="0.95"/>
    <n v="0"/>
    <n v="0"/>
    <n v="0"/>
  </r>
  <r>
    <x v="0"/>
    <s v="2023-05-15 11:51:53"/>
    <n v="4"/>
    <x v="18"/>
    <x v="1"/>
    <x v="0"/>
    <n v="0"/>
    <n v="0"/>
    <s v="Unnamed Projectpersona.NumberOutNumber OutEntity"/>
    <n v="10"/>
    <n v="0"/>
    <n v="0"/>
    <n v="0.95"/>
    <n v="0"/>
    <n v="0"/>
    <n v="0"/>
  </r>
  <r>
    <x v="0"/>
    <s v="2023-05-15 11:51:53"/>
    <n v="4"/>
    <x v="19"/>
    <x v="2"/>
    <x v="1"/>
    <n v="10"/>
    <n v="0"/>
    <s v="Unnamed Projectregistro1.NumberSeizedTotal Number SeizedResource"/>
    <n v="10"/>
    <n v="7.6"/>
    <n v="2.9135697844549542"/>
    <n v="0.95"/>
    <n v="2.0842422663373124"/>
    <n v="4"/>
    <n v="12"/>
  </r>
  <r>
    <x v="0"/>
    <s v="2023-05-15 11:51:53"/>
    <n v="4"/>
    <x v="20"/>
    <x v="3"/>
    <x v="1"/>
    <n v="8.6750307062005094E-2"/>
    <n v="0"/>
    <s v="Unnamed Projectregistro1.ScheduledUtilizationScheduled UtilizationResource"/>
    <n v="10"/>
    <n v="5.6433247648491516E-2"/>
    <n v="2.4456082934732001E-2"/>
    <n v="0.95"/>
    <n v="1.7494827820351853E-2"/>
    <n v="2.1279401430778E-2"/>
    <n v="8.8472374570180701E-2"/>
  </r>
  <r>
    <x v="0"/>
    <s v="2023-05-15 11:51:53"/>
    <n v="4"/>
    <x v="21"/>
    <x v="2"/>
    <x v="1"/>
    <n v="21"/>
    <n v="0"/>
    <s v="Unnamed Projectregistro2.NumberSeizedTotal Number SeizedResource"/>
    <n v="10"/>
    <n v="18.8"/>
    <n v="2.8205594401741556"/>
    <n v="0.95"/>
    <n v="2.0177066742293341"/>
    <n v="14"/>
    <n v="24"/>
  </r>
  <r>
    <x v="0"/>
    <s v="2023-05-15 11:51:53"/>
    <n v="4"/>
    <x v="22"/>
    <x v="3"/>
    <x v="1"/>
    <n v="0.49903677354296999"/>
    <n v="0"/>
    <s v="Unnamed Projectregistro2.ScheduledUtilizationScheduled UtilizationResource"/>
    <n v="10"/>
    <n v="0.46274808587050231"/>
    <n v="9.1165192054027525E-2"/>
    <n v="0.95"/>
    <n v="6.5215649719990554E-2"/>
    <n v="0.338210899349628"/>
    <n v="0.66990172486561195"/>
  </r>
  <r>
    <x v="0"/>
    <s v="2023-05-15 11:51:53"/>
    <n v="5"/>
    <x v="0"/>
    <x v="0"/>
    <x v="0"/>
    <n v="709"/>
    <n v="0"/>
    <s v="Unnamed ProjectEntity 1.NumberInNumber InEntity"/>
    <n v="10"/>
    <n v="677.4"/>
    <n v="50.383418789209699"/>
    <n v="0.95"/>
    <n v="36.042126577273301"/>
    <n v="612"/>
    <n v="757"/>
  </r>
  <r>
    <x v="0"/>
    <s v="2023-05-15 11:51:53"/>
    <n v="5"/>
    <x v="1"/>
    <x v="1"/>
    <x v="0"/>
    <n v="707"/>
    <n v="0"/>
    <s v="Unnamed ProjectEntity 1.NumberOutNumber OutEntity"/>
    <n v="10"/>
    <n v="673.8"/>
    <n v="51.503613681199326"/>
    <n v="0.95"/>
    <n v="36.843465729291147"/>
    <n v="608"/>
    <n v="755"/>
  </r>
  <r>
    <x v="0"/>
    <s v="2023-05-15 11:51:53"/>
    <n v="5"/>
    <x v="2"/>
    <x v="2"/>
    <x v="1"/>
    <n v="180"/>
    <n v="0"/>
    <s v="Unnamed ProjectInterauto.NumberSeizedTotal Number SeizedResource"/>
    <n v="10"/>
    <n v="161.5"/>
    <n v="13.778001790293589"/>
    <n v="0.95"/>
    <n v="9.8561887311626997"/>
    <n v="147"/>
    <n v="191"/>
  </r>
  <r>
    <x v="0"/>
    <s v="2023-05-15 11:51:53"/>
    <n v="5"/>
    <x v="3"/>
    <x v="3"/>
    <x v="1"/>
    <n v="0.27477476556598701"/>
    <n v="0"/>
    <s v="Unnamed ProjectInterauto.ScheduledUtilizationScheduled UtilizationResource"/>
    <n v="10"/>
    <n v="0.26535205929836458"/>
    <n v="2.5807993647623796E-2"/>
    <n v="0.95"/>
    <n v="1.8461926485074727E-2"/>
    <n v="0.20483176768320299"/>
    <n v="0.29552077299252399"/>
  </r>
  <r>
    <x v="0"/>
    <s v="2023-05-15 11:51:53"/>
    <n v="5"/>
    <x v="4"/>
    <x v="0"/>
    <x v="0"/>
    <n v="245"/>
    <n v="0"/>
    <s v="Unnamed ProjectMaleta Internacional.NumberInNumber InEntity"/>
    <n v="10"/>
    <n v="241.3"/>
    <n v="25.59101404790356"/>
    <n v="0.95"/>
    <n v="18.306708629960106"/>
    <n v="207"/>
    <n v="287"/>
  </r>
  <r>
    <x v="0"/>
    <s v="2023-05-15 11:51:53"/>
    <n v="5"/>
    <x v="5"/>
    <x v="1"/>
    <x v="0"/>
    <n v="229"/>
    <n v="0"/>
    <s v="Unnamed ProjectMaleta Internacional.NumberOutNumber OutEntity"/>
    <n v="10"/>
    <n v="224.5"/>
    <n v="20.812656405818711"/>
    <n v="0.95"/>
    <n v="14.888477491497007"/>
    <n v="199"/>
    <n v="256"/>
  </r>
  <r>
    <x v="0"/>
    <s v="2023-05-15 11:51:53"/>
    <n v="5"/>
    <x v="6"/>
    <x v="0"/>
    <x v="0"/>
    <n v="186"/>
    <n v="0"/>
    <s v="Unnamed ProjectMaleta Nacional.NumberInNumber InEntity"/>
    <n v="10"/>
    <n v="163.1"/>
    <n v="14.371654200002325"/>
    <n v="0.95"/>
    <n v="10.280862082193972"/>
    <n v="149"/>
    <n v="191"/>
  </r>
  <r>
    <x v="0"/>
    <s v="2023-05-15 11:51:53"/>
    <n v="5"/>
    <x v="7"/>
    <x v="1"/>
    <x v="0"/>
    <n v="179"/>
    <n v="0"/>
    <s v="Unnamed ProjectMaleta Nacional.NumberOutNumber OutEntity"/>
    <n v="10"/>
    <n v="159.1"/>
    <n v="14.153523314787106"/>
    <n v="0.95"/>
    <n v="10.12482064704977"/>
    <n v="145"/>
    <n v="189"/>
  </r>
  <r>
    <x v="0"/>
    <s v="2023-05-15 11:51:53"/>
    <n v="5"/>
    <x v="8"/>
    <x v="2"/>
    <x v="1"/>
    <n v="236"/>
    <n v="0"/>
    <s v="Unnamed ProjectNacionalauto.NumberSeizedTotal Number SeizedResource"/>
    <n v="10"/>
    <n v="231.5"/>
    <n v="20.817994353176505"/>
    <n v="0.95"/>
    <n v="14.892296029003113"/>
    <n v="202"/>
    <n v="264"/>
  </r>
  <r>
    <x v="0"/>
    <s v="2023-05-15 11:51:53"/>
    <n v="5"/>
    <x v="9"/>
    <x v="3"/>
    <x v="1"/>
    <n v="0.71336223524589704"/>
    <n v="0"/>
    <s v="Unnamed ProjectNacionalauto.ScheduledUtilizationScheduled UtilizationResource"/>
    <n v="10"/>
    <n v="0.73175058451933661"/>
    <n v="6.0813477412386734E-2"/>
    <n v="0.95"/>
    <n v="4.3503341043041877E-2"/>
    <n v="0.64995347349336796"/>
    <n v="0.82581624655093899"/>
  </r>
  <r>
    <x v="0"/>
    <s v="2023-05-15 11:51:53"/>
    <n v="5"/>
    <x v="10"/>
    <x v="2"/>
    <x v="1"/>
    <n v="393"/>
    <n v="0"/>
    <s v="Unnamed ProjectOperarios Avion.NumberSeizedTotal Number SeizedResource"/>
    <n v="10"/>
    <n v="368.6"/>
    <n v="29.243042857328572"/>
    <n v="0.95"/>
    <n v="20.919212659586112"/>
    <n v="338"/>
    <n v="416"/>
  </r>
  <r>
    <x v="0"/>
    <s v="2023-05-15 11:51:53"/>
    <n v="5"/>
    <x v="11"/>
    <x v="3"/>
    <x v="1"/>
    <n v="7.7377695589084194E-2"/>
    <n v="0"/>
    <s v="Unnamed ProjectOperarios Avion.ScheduledUtilizationScheduled UtilizationResource"/>
    <n v="10"/>
    <n v="7.5958437118625627E-2"/>
    <n v="5.0572810112240948E-3"/>
    <n v="0.95"/>
    <n v="3.6177608968134627E-3"/>
    <n v="6.7485948117393404E-2"/>
    <n v="8.7852447587946303E-2"/>
  </r>
  <r>
    <x v="0"/>
    <s v="2023-05-15 11:51:53"/>
    <n v="5"/>
    <x v="12"/>
    <x v="1"/>
    <x v="2"/>
    <n v="684"/>
    <n v="0"/>
    <s v="Unnamed ProjectSystem.NumberOutNumber OutSystem"/>
    <n v="10"/>
    <n v="653"/>
    <n v="50.066622281382898"/>
    <n v="0.95"/>
    <n v="35.815504007612013"/>
    <n v="594"/>
    <n v="722"/>
  </r>
  <r>
    <x v="0"/>
    <s v="2023-05-15 11:51:53"/>
    <n v="5"/>
    <x v="13"/>
    <x v="2"/>
    <x v="1"/>
    <n v="86"/>
    <n v="0"/>
    <s v="Unnamed Projectcajera.NumberSeizedTotal Number SeizedResource"/>
    <n v="10"/>
    <n v="89.7"/>
    <n v="15.3554188770248"/>
    <n v="0.95"/>
    <n v="10.984604937751998"/>
    <n v="72"/>
    <n v="119"/>
  </r>
  <r>
    <x v="0"/>
    <s v="2023-05-15 11:51:53"/>
    <n v="5"/>
    <x v="14"/>
    <x v="3"/>
    <x v="1"/>
    <n v="0.386982235410052"/>
    <n v="0"/>
    <s v="Unnamed Projectcajera.ScheduledUtilizationScheduled UtilizationResource"/>
    <n v="10"/>
    <n v="0.38078385056341441"/>
    <n v="5.6481911326734656E-2"/>
    <n v="0.95"/>
    <n v="4.040472533000234E-2"/>
    <n v="0.28913636698845602"/>
    <n v="0.46134650546047301"/>
  </r>
  <r>
    <x v="0"/>
    <s v="2023-05-15 11:51:53"/>
    <n v="5"/>
    <x v="15"/>
    <x v="2"/>
    <x v="1"/>
    <n v="191"/>
    <n v="0"/>
    <s v="Unnamed Projectcajera2.NumberSeizedTotal Number SeizedResource"/>
    <n v="10"/>
    <n v="181.1"/>
    <n v="9.7348172384830463"/>
    <n v="0.95"/>
    <n v="6.9638687399111214"/>
    <n v="169"/>
    <n v="194"/>
  </r>
  <r>
    <x v="0"/>
    <s v="2023-05-15 11:51:53"/>
    <n v="5"/>
    <x v="16"/>
    <x v="3"/>
    <x v="1"/>
    <n v="0.735269347730102"/>
    <n v="0"/>
    <s v="Unnamed Projectcajera2.ScheduledUtilizationScheduled UtilizationResource"/>
    <n v="10"/>
    <n v="0.73571117943508912"/>
    <n v="2.3945213257811505E-2"/>
    <n v="0.95"/>
    <n v="1.7129373668915777E-2"/>
    <n v="0.69752119636771104"/>
    <n v="0.77845968782647601"/>
  </r>
  <r>
    <x v="0"/>
    <s v="2023-05-15 11:51:53"/>
    <n v="5"/>
    <x v="17"/>
    <x v="0"/>
    <x v="0"/>
    <n v="0"/>
    <n v="0"/>
    <s v="Unnamed Projectpersona.NumberInNumber InEntity"/>
    <n v="10"/>
    <n v="0"/>
    <n v="0"/>
    <n v="0.95"/>
    <n v="0"/>
    <n v="0"/>
    <n v="0"/>
  </r>
  <r>
    <x v="0"/>
    <s v="2023-05-15 11:51:53"/>
    <n v="5"/>
    <x v="18"/>
    <x v="1"/>
    <x v="0"/>
    <n v="0"/>
    <n v="0"/>
    <s v="Unnamed Projectpersona.NumberOutNumber OutEntity"/>
    <n v="10"/>
    <n v="0"/>
    <n v="0"/>
    <n v="0.95"/>
    <n v="0"/>
    <n v="0"/>
    <n v="0"/>
  </r>
  <r>
    <x v="0"/>
    <s v="2023-05-15 11:51:53"/>
    <n v="5"/>
    <x v="19"/>
    <x v="2"/>
    <x v="1"/>
    <n v="10"/>
    <n v="0"/>
    <s v="Unnamed Projectregistro1.NumberSeizedTotal Number SeizedResource"/>
    <n v="10"/>
    <n v="7.6"/>
    <n v="2.9135697844549542"/>
    <n v="0.95"/>
    <n v="2.0842422663373124"/>
    <n v="4"/>
    <n v="12"/>
  </r>
  <r>
    <x v="0"/>
    <s v="2023-05-15 11:51:53"/>
    <n v="5"/>
    <x v="20"/>
    <x v="3"/>
    <x v="1"/>
    <n v="6.3839547104267397E-2"/>
    <n v="0"/>
    <s v="Unnamed Projectregistro1.ScheduledUtilizationScheduled UtilizationResource"/>
    <n v="10"/>
    <n v="5.6433247648491516E-2"/>
    <n v="2.4456082934732001E-2"/>
    <n v="0.95"/>
    <n v="1.7494827820351853E-2"/>
    <n v="2.1279401430778E-2"/>
    <n v="8.8472374570180701E-2"/>
  </r>
  <r>
    <x v="0"/>
    <s v="2023-05-15 11:51:53"/>
    <n v="5"/>
    <x v="21"/>
    <x v="2"/>
    <x v="1"/>
    <n v="20"/>
    <n v="0"/>
    <s v="Unnamed Projectregistro2.NumberSeizedTotal Number SeizedResource"/>
    <n v="10"/>
    <n v="18.8"/>
    <n v="2.8205594401741556"/>
    <n v="0.95"/>
    <n v="2.0177066742293341"/>
    <n v="14"/>
    <n v="24"/>
  </r>
  <r>
    <x v="0"/>
    <s v="2023-05-15 11:51:53"/>
    <n v="5"/>
    <x v="22"/>
    <x v="3"/>
    <x v="1"/>
    <n v="0.51308674573803204"/>
    <n v="0"/>
    <s v="Unnamed Projectregistro2.ScheduledUtilizationScheduled UtilizationResource"/>
    <n v="10"/>
    <n v="0.46274808587050231"/>
    <n v="9.1165192054027525E-2"/>
    <n v="0.95"/>
    <n v="6.5215649719990554E-2"/>
    <n v="0.338210899349628"/>
    <n v="0.66990172486561195"/>
  </r>
  <r>
    <x v="0"/>
    <s v="2023-05-15 11:51:53"/>
    <n v="6"/>
    <x v="0"/>
    <x v="0"/>
    <x v="0"/>
    <n v="719"/>
    <n v="0"/>
    <s v="Unnamed ProjectEntity 1.NumberInNumber InEntity"/>
    <n v="10"/>
    <n v="677.4"/>
    <n v="50.383418789209699"/>
    <n v="0.95"/>
    <n v="36.042126577273301"/>
    <n v="612"/>
    <n v="757"/>
  </r>
  <r>
    <x v="0"/>
    <s v="2023-05-15 11:51:53"/>
    <n v="6"/>
    <x v="1"/>
    <x v="1"/>
    <x v="0"/>
    <n v="714"/>
    <n v="0"/>
    <s v="Unnamed ProjectEntity 1.NumberOutNumber OutEntity"/>
    <n v="10"/>
    <n v="673.8"/>
    <n v="51.503613681199326"/>
    <n v="0.95"/>
    <n v="36.843465729291147"/>
    <n v="608"/>
    <n v="755"/>
  </r>
  <r>
    <x v="0"/>
    <s v="2023-05-15 11:51:53"/>
    <n v="6"/>
    <x v="2"/>
    <x v="2"/>
    <x v="1"/>
    <n v="155"/>
    <n v="0"/>
    <s v="Unnamed ProjectInterauto.NumberSeizedTotal Number SeizedResource"/>
    <n v="10"/>
    <n v="161.5"/>
    <n v="13.778001790293589"/>
    <n v="0.95"/>
    <n v="9.8561887311626997"/>
    <n v="147"/>
    <n v="191"/>
  </r>
  <r>
    <x v="0"/>
    <s v="2023-05-15 11:51:53"/>
    <n v="6"/>
    <x v="3"/>
    <x v="3"/>
    <x v="1"/>
    <n v="0.20483176768320299"/>
    <n v="0"/>
    <s v="Unnamed ProjectInterauto.ScheduledUtilizationScheduled UtilizationResource"/>
    <n v="10"/>
    <n v="0.26535205929836458"/>
    <n v="2.5807993647623796E-2"/>
    <n v="0.95"/>
    <n v="1.8461926485074727E-2"/>
    <n v="0.20483176768320299"/>
    <n v="0.29552077299252399"/>
  </r>
  <r>
    <x v="0"/>
    <s v="2023-05-15 11:51:53"/>
    <n v="6"/>
    <x v="4"/>
    <x v="0"/>
    <x v="0"/>
    <n v="272"/>
    <n v="0"/>
    <s v="Unnamed ProjectMaleta Internacional.NumberInNumber InEntity"/>
    <n v="10"/>
    <n v="241.3"/>
    <n v="25.59101404790356"/>
    <n v="0.95"/>
    <n v="18.306708629960106"/>
    <n v="207"/>
    <n v="287"/>
  </r>
  <r>
    <x v="0"/>
    <s v="2023-05-15 11:51:53"/>
    <n v="6"/>
    <x v="5"/>
    <x v="1"/>
    <x v="0"/>
    <n v="253"/>
    <n v="0"/>
    <s v="Unnamed ProjectMaleta Internacional.NumberOutNumber OutEntity"/>
    <n v="10"/>
    <n v="224.5"/>
    <n v="20.812656405818711"/>
    <n v="0.95"/>
    <n v="14.888477491497007"/>
    <n v="199"/>
    <n v="256"/>
  </r>
  <r>
    <x v="0"/>
    <s v="2023-05-15 11:51:53"/>
    <n v="6"/>
    <x v="6"/>
    <x v="0"/>
    <x v="0"/>
    <n v="156"/>
    <n v="0"/>
    <s v="Unnamed ProjectMaleta Nacional.NumberInNumber InEntity"/>
    <n v="10"/>
    <n v="163.1"/>
    <n v="14.371654200002325"/>
    <n v="0.95"/>
    <n v="10.280862082193972"/>
    <n v="149"/>
    <n v="191"/>
  </r>
  <r>
    <x v="0"/>
    <s v="2023-05-15 11:51:53"/>
    <n v="6"/>
    <x v="7"/>
    <x v="1"/>
    <x v="0"/>
    <n v="155"/>
    <n v="0"/>
    <s v="Unnamed ProjectMaleta Nacional.NumberOutNumber OutEntity"/>
    <n v="10"/>
    <n v="159.1"/>
    <n v="14.153523314787106"/>
    <n v="0.95"/>
    <n v="10.12482064704977"/>
    <n v="145"/>
    <n v="189"/>
  </r>
  <r>
    <x v="0"/>
    <s v="2023-05-15 11:51:53"/>
    <n v="6"/>
    <x v="8"/>
    <x v="2"/>
    <x v="1"/>
    <n v="262"/>
    <n v="0"/>
    <s v="Unnamed ProjectNacionalauto.NumberSeizedTotal Number SeizedResource"/>
    <n v="10"/>
    <n v="231.5"/>
    <n v="20.817994353176505"/>
    <n v="0.95"/>
    <n v="14.892296029003113"/>
    <n v="202"/>
    <n v="264"/>
  </r>
  <r>
    <x v="0"/>
    <s v="2023-05-15 11:51:53"/>
    <n v="6"/>
    <x v="9"/>
    <x v="3"/>
    <x v="1"/>
    <n v="0.79079720639107598"/>
    <n v="0"/>
    <s v="Unnamed ProjectNacionalauto.ScheduledUtilizationScheduled UtilizationResource"/>
    <n v="10"/>
    <n v="0.73175058451933661"/>
    <n v="6.0813477412386734E-2"/>
    <n v="0.95"/>
    <n v="4.3503341043041877E-2"/>
    <n v="0.64995347349336796"/>
    <n v="0.82581624655093899"/>
  </r>
  <r>
    <x v="0"/>
    <s v="2023-05-15 11:51:53"/>
    <n v="6"/>
    <x v="10"/>
    <x v="2"/>
    <x v="1"/>
    <n v="395"/>
    <n v="0"/>
    <s v="Unnamed ProjectOperarios Avion.NumberSeizedTotal Number SeizedResource"/>
    <n v="10"/>
    <n v="368.6"/>
    <n v="29.243042857328572"/>
    <n v="0.95"/>
    <n v="20.919212659586112"/>
    <n v="338"/>
    <n v="416"/>
  </r>
  <r>
    <x v="0"/>
    <s v="2023-05-15 11:51:53"/>
    <n v="6"/>
    <x v="11"/>
    <x v="3"/>
    <x v="1"/>
    <n v="7.7011627741519206E-2"/>
    <n v="0"/>
    <s v="Unnamed ProjectOperarios Avion.ScheduledUtilizationScheduled UtilizationResource"/>
    <n v="10"/>
    <n v="7.5958437118625627E-2"/>
    <n v="5.0572810112240948E-3"/>
    <n v="0.95"/>
    <n v="3.6177608968134627E-3"/>
    <n v="6.7485948117393404E-2"/>
    <n v="8.7852447587946303E-2"/>
  </r>
  <r>
    <x v="0"/>
    <s v="2023-05-15 11:51:53"/>
    <n v="6"/>
    <x v="12"/>
    <x v="1"/>
    <x v="2"/>
    <n v="694"/>
    <n v="0"/>
    <s v="Unnamed ProjectSystem.NumberOutNumber OutSystem"/>
    <n v="10"/>
    <n v="653"/>
    <n v="50.066622281382898"/>
    <n v="0.95"/>
    <n v="35.815504007612013"/>
    <n v="594"/>
    <n v="722"/>
  </r>
  <r>
    <x v="0"/>
    <s v="2023-05-15 11:51:53"/>
    <n v="6"/>
    <x v="13"/>
    <x v="2"/>
    <x v="1"/>
    <n v="94"/>
    <n v="0"/>
    <s v="Unnamed Projectcajera.NumberSeizedTotal Number SeizedResource"/>
    <n v="10"/>
    <n v="89.7"/>
    <n v="15.3554188770248"/>
    <n v="0.95"/>
    <n v="10.984604937751998"/>
    <n v="72"/>
    <n v="119"/>
  </r>
  <r>
    <x v="0"/>
    <s v="2023-05-15 11:51:53"/>
    <n v="6"/>
    <x v="14"/>
    <x v="3"/>
    <x v="1"/>
    <n v="0.43455744255240097"/>
    <n v="0"/>
    <s v="Unnamed Projectcajera.ScheduledUtilizationScheduled UtilizationResource"/>
    <n v="10"/>
    <n v="0.38078385056341441"/>
    <n v="5.6481911326734656E-2"/>
    <n v="0.95"/>
    <n v="4.040472533000234E-2"/>
    <n v="0.28913636698845602"/>
    <n v="0.46134650546047301"/>
  </r>
  <r>
    <x v="0"/>
    <s v="2023-05-15 11:51:53"/>
    <n v="6"/>
    <x v="15"/>
    <x v="2"/>
    <x v="1"/>
    <n v="194"/>
    <n v="0"/>
    <s v="Unnamed Projectcajera2.NumberSeizedTotal Number SeizedResource"/>
    <n v="10"/>
    <n v="181.1"/>
    <n v="9.7348172384830463"/>
    <n v="0.95"/>
    <n v="6.9638687399111214"/>
    <n v="169"/>
    <n v="194"/>
  </r>
  <r>
    <x v="0"/>
    <s v="2023-05-15 11:51:53"/>
    <n v="6"/>
    <x v="16"/>
    <x v="3"/>
    <x v="1"/>
    <n v="0.76508676837623901"/>
    <n v="0"/>
    <s v="Unnamed Projectcajera2.ScheduledUtilizationScheduled UtilizationResource"/>
    <n v="10"/>
    <n v="0.73571117943508912"/>
    <n v="2.3945213257811505E-2"/>
    <n v="0.95"/>
    <n v="1.7129373668915777E-2"/>
    <n v="0.69752119636771104"/>
    <n v="0.77845968782647601"/>
  </r>
  <r>
    <x v="0"/>
    <s v="2023-05-15 11:51:53"/>
    <n v="6"/>
    <x v="17"/>
    <x v="0"/>
    <x v="0"/>
    <n v="0"/>
    <n v="0"/>
    <s v="Unnamed Projectpersona.NumberInNumber InEntity"/>
    <n v="10"/>
    <n v="0"/>
    <n v="0"/>
    <n v="0.95"/>
    <n v="0"/>
    <n v="0"/>
    <n v="0"/>
  </r>
  <r>
    <x v="0"/>
    <s v="2023-05-15 11:51:53"/>
    <n v="6"/>
    <x v="18"/>
    <x v="1"/>
    <x v="0"/>
    <n v="0"/>
    <n v="0"/>
    <s v="Unnamed Projectpersona.NumberOutNumber OutEntity"/>
    <n v="10"/>
    <n v="0"/>
    <n v="0"/>
    <n v="0.95"/>
    <n v="0"/>
    <n v="0"/>
    <n v="0"/>
  </r>
  <r>
    <x v="0"/>
    <s v="2023-05-15 11:51:53"/>
    <n v="6"/>
    <x v="19"/>
    <x v="2"/>
    <x v="1"/>
    <n v="5"/>
    <n v="0"/>
    <s v="Unnamed Projectregistro1.NumberSeizedTotal Number SeizedResource"/>
    <n v="10"/>
    <n v="7.6"/>
    <n v="2.9135697844549542"/>
    <n v="0.95"/>
    <n v="2.0842422663373124"/>
    <n v="4"/>
    <n v="12"/>
  </r>
  <r>
    <x v="0"/>
    <s v="2023-05-15 11:51:53"/>
    <n v="6"/>
    <x v="20"/>
    <x v="3"/>
    <x v="1"/>
    <n v="3.5816500454340899E-2"/>
    <n v="0"/>
    <s v="Unnamed Projectregistro1.ScheduledUtilizationScheduled UtilizationResource"/>
    <n v="10"/>
    <n v="5.6433247648491516E-2"/>
    <n v="2.4456082934732001E-2"/>
    <n v="0.95"/>
    <n v="1.7494827820351853E-2"/>
    <n v="2.1279401430778E-2"/>
    <n v="8.8472374570180701E-2"/>
  </r>
  <r>
    <x v="0"/>
    <s v="2023-05-15 11:51:53"/>
    <n v="6"/>
    <x v="21"/>
    <x v="2"/>
    <x v="1"/>
    <n v="18"/>
    <n v="0"/>
    <s v="Unnamed Projectregistro2.NumberSeizedTotal Number SeizedResource"/>
    <n v="10"/>
    <n v="18.8"/>
    <n v="2.8205594401741556"/>
    <n v="0.95"/>
    <n v="2.0177066742293341"/>
    <n v="14"/>
    <n v="24"/>
  </r>
  <r>
    <x v="0"/>
    <s v="2023-05-15 11:51:53"/>
    <n v="6"/>
    <x v="22"/>
    <x v="3"/>
    <x v="1"/>
    <n v="0.38016226178227103"/>
    <n v="0"/>
    <s v="Unnamed Projectregistro2.ScheduledUtilizationScheduled UtilizationResource"/>
    <n v="10"/>
    <n v="0.46274808587050231"/>
    <n v="9.1165192054027525E-2"/>
    <n v="0.95"/>
    <n v="6.5215649719990554E-2"/>
    <n v="0.338210899349628"/>
    <n v="0.66990172486561195"/>
  </r>
  <r>
    <x v="0"/>
    <s v="2023-05-15 11:51:53"/>
    <n v="7"/>
    <x v="0"/>
    <x v="0"/>
    <x v="0"/>
    <n v="612"/>
    <n v="0"/>
    <s v="Unnamed ProjectEntity 1.NumberInNumber InEntity"/>
    <n v="10"/>
    <n v="677.4"/>
    <n v="50.383418789209699"/>
    <n v="0.95"/>
    <n v="36.042126577273301"/>
    <n v="612"/>
    <n v="757"/>
  </r>
  <r>
    <x v="0"/>
    <s v="2023-05-15 11:51:53"/>
    <n v="7"/>
    <x v="1"/>
    <x v="1"/>
    <x v="0"/>
    <n v="608"/>
    <n v="0"/>
    <s v="Unnamed ProjectEntity 1.NumberOutNumber OutEntity"/>
    <n v="10"/>
    <n v="673.8"/>
    <n v="51.503613681199326"/>
    <n v="0.95"/>
    <n v="36.843465729291147"/>
    <n v="608"/>
    <n v="755"/>
  </r>
  <r>
    <x v="0"/>
    <s v="2023-05-15 11:51:53"/>
    <n v="7"/>
    <x v="2"/>
    <x v="2"/>
    <x v="1"/>
    <n v="156"/>
    <n v="0"/>
    <s v="Unnamed ProjectInterauto.NumberSeizedTotal Number SeizedResource"/>
    <n v="10"/>
    <n v="161.5"/>
    <n v="13.778001790293589"/>
    <n v="0.95"/>
    <n v="9.8561887311626997"/>
    <n v="147"/>
    <n v="191"/>
  </r>
  <r>
    <x v="0"/>
    <s v="2023-05-15 11:51:53"/>
    <n v="7"/>
    <x v="3"/>
    <x v="3"/>
    <x v="1"/>
    <n v="0.28134582132828501"/>
    <n v="0"/>
    <s v="Unnamed ProjectInterauto.ScheduledUtilizationScheduled UtilizationResource"/>
    <n v="10"/>
    <n v="0.26535205929836458"/>
    <n v="2.5807993647623796E-2"/>
    <n v="0.95"/>
    <n v="1.8461926485074727E-2"/>
    <n v="0.20483176768320299"/>
    <n v="0.29552077299252399"/>
  </r>
  <r>
    <x v="0"/>
    <s v="2023-05-15 11:51:53"/>
    <n v="7"/>
    <x v="4"/>
    <x v="0"/>
    <x v="0"/>
    <n v="210"/>
    <n v="0"/>
    <s v="Unnamed ProjectMaleta Internacional.NumberInNumber InEntity"/>
    <n v="10"/>
    <n v="241.3"/>
    <n v="25.59101404790356"/>
    <n v="0.95"/>
    <n v="18.306708629960106"/>
    <n v="207"/>
    <n v="287"/>
  </r>
  <r>
    <x v="0"/>
    <s v="2023-05-15 11:51:53"/>
    <n v="7"/>
    <x v="5"/>
    <x v="1"/>
    <x v="0"/>
    <n v="202"/>
    <n v="0"/>
    <s v="Unnamed ProjectMaleta Internacional.NumberOutNumber OutEntity"/>
    <n v="10"/>
    <n v="224.5"/>
    <n v="20.812656405818711"/>
    <n v="0.95"/>
    <n v="14.888477491497007"/>
    <n v="199"/>
    <n v="256"/>
  </r>
  <r>
    <x v="0"/>
    <s v="2023-05-15 11:51:53"/>
    <n v="7"/>
    <x v="6"/>
    <x v="0"/>
    <x v="0"/>
    <n v="156"/>
    <n v="0"/>
    <s v="Unnamed ProjectMaleta Nacional.NumberInNumber InEntity"/>
    <n v="10"/>
    <n v="163.1"/>
    <n v="14.371654200002325"/>
    <n v="0.95"/>
    <n v="10.280862082193972"/>
    <n v="149"/>
    <n v="191"/>
  </r>
  <r>
    <x v="0"/>
    <s v="2023-05-15 11:51:53"/>
    <n v="7"/>
    <x v="7"/>
    <x v="1"/>
    <x v="0"/>
    <n v="150"/>
    <n v="0"/>
    <s v="Unnamed ProjectMaleta Nacional.NumberOutNumber OutEntity"/>
    <n v="10"/>
    <n v="159.1"/>
    <n v="14.153523314787106"/>
    <n v="0.95"/>
    <n v="10.12482064704977"/>
    <n v="145"/>
    <n v="189"/>
  </r>
  <r>
    <x v="0"/>
    <s v="2023-05-15 11:51:53"/>
    <n v="7"/>
    <x v="8"/>
    <x v="2"/>
    <x v="1"/>
    <n v="208"/>
    <n v="0"/>
    <s v="Unnamed ProjectNacionalauto.NumberSeizedTotal Number SeizedResource"/>
    <n v="10"/>
    <n v="231.5"/>
    <n v="20.817994353176505"/>
    <n v="0.95"/>
    <n v="14.892296029003113"/>
    <n v="202"/>
    <n v="264"/>
  </r>
  <r>
    <x v="0"/>
    <s v="2023-05-15 11:51:53"/>
    <n v="7"/>
    <x v="9"/>
    <x v="3"/>
    <x v="1"/>
    <n v="0.652603779419615"/>
    <n v="0"/>
    <s v="Unnamed ProjectNacionalauto.ScheduledUtilizationScheduled UtilizationResource"/>
    <n v="10"/>
    <n v="0.73175058451933661"/>
    <n v="6.0813477412386734E-2"/>
    <n v="0.95"/>
    <n v="4.3503341043041877E-2"/>
    <n v="0.64995347349336796"/>
    <n v="0.82581624655093899"/>
  </r>
  <r>
    <x v="0"/>
    <s v="2023-05-15 11:51:53"/>
    <n v="7"/>
    <x v="10"/>
    <x v="2"/>
    <x v="1"/>
    <n v="338"/>
    <n v="0"/>
    <s v="Unnamed ProjectOperarios Avion.NumberSeizedTotal Number SeizedResource"/>
    <n v="10"/>
    <n v="368.6"/>
    <n v="29.243042857328572"/>
    <n v="0.95"/>
    <n v="20.919212659586112"/>
    <n v="338"/>
    <n v="416"/>
  </r>
  <r>
    <x v="0"/>
    <s v="2023-05-15 11:51:53"/>
    <n v="7"/>
    <x v="11"/>
    <x v="3"/>
    <x v="1"/>
    <n v="7.2569428850728201E-2"/>
    <n v="0"/>
    <s v="Unnamed ProjectOperarios Avion.ScheduledUtilizationScheduled UtilizationResource"/>
    <n v="10"/>
    <n v="7.5958437118625627E-2"/>
    <n v="5.0572810112240948E-3"/>
    <n v="0.95"/>
    <n v="3.6177608968134627E-3"/>
    <n v="6.7485948117393404E-2"/>
    <n v="8.7852447587946303E-2"/>
  </r>
  <r>
    <x v="0"/>
    <s v="2023-05-15 11:51:53"/>
    <n v="7"/>
    <x v="12"/>
    <x v="1"/>
    <x v="2"/>
    <n v="594"/>
    <n v="0"/>
    <s v="Unnamed ProjectSystem.NumberOutNumber OutSystem"/>
    <n v="10"/>
    <n v="653"/>
    <n v="50.066622281382898"/>
    <n v="0.95"/>
    <n v="35.815504007612013"/>
    <n v="594"/>
    <n v="722"/>
  </r>
  <r>
    <x v="0"/>
    <s v="2023-05-15 11:51:53"/>
    <n v="7"/>
    <x v="13"/>
    <x v="2"/>
    <x v="1"/>
    <n v="72"/>
    <n v="0"/>
    <s v="Unnamed Projectcajera.NumberSeizedTotal Number SeizedResource"/>
    <n v="10"/>
    <n v="89.7"/>
    <n v="15.3554188770248"/>
    <n v="0.95"/>
    <n v="10.984604937751998"/>
    <n v="72"/>
    <n v="119"/>
  </r>
  <r>
    <x v="0"/>
    <s v="2023-05-15 11:51:53"/>
    <n v="7"/>
    <x v="14"/>
    <x v="3"/>
    <x v="1"/>
    <n v="0.28913636698845602"/>
    <n v="0"/>
    <s v="Unnamed Projectcajera.ScheduledUtilizationScheduled UtilizationResource"/>
    <n v="10"/>
    <n v="0.38078385056341441"/>
    <n v="5.6481911326734656E-2"/>
    <n v="0.95"/>
    <n v="4.040472533000234E-2"/>
    <n v="0.28913636698845602"/>
    <n v="0.46134650546047301"/>
  </r>
  <r>
    <x v="0"/>
    <s v="2023-05-15 11:51:53"/>
    <n v="7"/>
    <x v="15"/>
    <x v="2"/>
    <x v="1"/>
    <n v="172"/>
    <n v="0"/>
    <s v="Unnamed Projectcajera2.NumberSeizedTotal Number SeizedResource"/>
    <n v="10"/>
    <n v="181.1"/>
    <n v="9.7348172384830463"/>
    <n v="0.95"/>
    <n v="6.9638687399111214"/>
    <n v="169"/>
    <n v="194"/>
  </r>
  <r>
    <x v="0"/>
    <s v="2023-05-15 11:51:53"/>
    <n v="7"/>
    <x v="16"/>
    <x v="3"/>
    <x v="1"/>
    <n v="0.73344270356277796"/>
    <n v="0"/>
    <s v="Unnamed Projectcajera2.ScheduledUtilizationScheduled UtilizationResource"/>
    <n v="10"/>
    <n v="0.73571117943508912"/>
    <n v="2.3945213257811505E-2"/>
    <n v="0.95"/>
    <n v="1.7129373668915777E-2"/>
    <n v="0.69752119636771104"/>
    <n v="0.77845968782647601"/>
  </r>
  <r>
    <x v="0"/>
    <s v="2023-05-15 11:51:53"/>
    <n v="7"/>
    <x v="17"/>
    <x v="0"/>
    <x v="0"/>
    <n v="0"/>
    <n v="0"/>
    <s v="Unnamed Projectpersona.NumberInNumber InEntity"/>
    <n v="10"/>
    <n v="0"/>
    <n v="0"/>
    <n v="0.95"/>
    <n v="0"/>
    <n v="0"/>
    <n v="0"/>
  </r>
  <r>
    <x v="0"/>
    <s v="2023-05-15 11:51:53"/>
    <n v="7"/>
    <x v="18"/>
    <x v="1"/>
    <x v="0"/>
    <n v="0"/>
    <n v="0"/>
    <s v="Unnamed Projectpersona.NumberOutNumber OutEntity"/>
    <n v="10"/>
    <n v="0"/>
    <n v="0"/>
    <n v="0.95"/>
    <n v="0"/>
    <n v="0"/>
    <n v="0"/>
  </r>
  <r>
    <x v="0"/>
    <s v="2023-05-15 11:51:53"/>
    <n v="7"/>
    <x v="19"/>
    <x v="2"/>
    <x v="1"/>
    <n v="10"/>
    <n v="0"/>
    <s v="Unnamed Projectregistro1.NumberSeizedTotal Number SeizedResource"/>
    <n v="10"/>
    <n v="7.6"/>
    <n v="2.9135697844549542"/>
    <n v="0.95"/>
    <n v="2.0842422663373124"/>
    <n v="4"/>
    <n v="12"/>
  </r>
  <r>
    <x v="0"/>
    <s v="2023-05-15 11:51:53"/>
    <n v="7"/>
    <x v="20"/>
    <x v="3"/>
    <x v="1"/>
    <n v="5.5783625760767001E-2"/>
    <n v="0"/>
    <s v="Unnamed Projectregistro1.ScheduledUtilizationScheduled UtilizationResource"/>
    <n v="10"/>
    <n v="5.6433247648491516E-2"/>
    <n v="2.4456082934732001E-2"/>
    <n v="0.95"/>
    <n v="1.7494827820351853E-2"/>
    <n v="2.1279401430778E-2"/>
    <n v="8.8472374570180701E-2"/>
  </r>
  <r>
    <x v="0"/>
    <s v="2023-05-15 11:51:53"/>
    <n v="7"/>
    <x v="21"/>
    <x v="2"/>
    <x v="1"/>
    <n v="16"/>
    <n v="0"/>
    <s v="Unnamed Projectregistro2.NumberSeizedTotal Number SeizedResource"/>
    <n v="10"/>
    <n v="18.8"/>
    <n v="2.8205594401741556"/>
    <n v="0.95"/>
    <n v="2.0177066742293341"/>
    <n v="14"/>
    <n v="24"/>
  </r>
  <r>
    <x v="0"/>
    <s v="2023-05-15 11:51:53"/>
    <n v="7"/>
    <x v="22"/>
    <x v="3"/>
    <x v="1"/>
    <n v="0.338210899349628"/>
    <n v="0"/>
    <s v="Unnamed Projectregistro2.ScheduledUtilizationScheduled UtilizationResource"/>
    <n v="10"/>
    <n v="0.46274808587050231"/>
    <n v="9.1165192054027525E-2"/>
    <n v="0.95"/>
    <n v="6.5215649719990554E-2"/>
    <n v="0.338210899349628"/>
    <n v="0.66990172486561195"/>
  </r>
  <r>
    <x v="0"/>
    <s v="2023-05-15 11:51:53"/>
    <n v="8"/>
    <x v="0"/>
    <x v="0"/>
    <x v="0"/>
    <n v="635"/>
    <n v="0"/>
    <s v="Unnamed ProjectEntity 1.NumberInNumber InEntity"/>
    <n v="10"/>
    <n v="677.4"/>
    <n v="50.383418789209699"/>
    <n v="0.95"/>
    <n v="36.042126577273301"/>
    <n v="612"/>
    <n v="757"/>
  </r>
  <r>
    <x v="0"/>
    <s v="2023-05-15 11:51:53"/>
    <n v="8"/>
    <x v="1"/>
    <x v="1"/>
    <x v="0"/>
    <n v="624"/>
    <n v="0"/>
    <s v="Unnamed ProjectEntity 1.NumberOutNumber OutEntity"/>
    <n v="10"/>
    <n v="673.8"/>
    <n v="51.503613681199326"/>
    <n v="0.95"/>
    <n v="36.843465729291147"/>
    <n v="608"/>
    <n v="755"/>
  </r>
  <r>
    <x v="0"/>
    <s v="2023-05-15 11:51:53"/>
    <n v="8"/>
    <x v="2"/>
    <x v="2"/>
    <x v="1"/>
    <n v="150"/>
    <n v="0"/>
    <s v="Unnamed ProjectInterauto.NumberSeizedTotal Number SeizedResource"/>
    <n v="10"/>
    <n v="161.5"/>
    <n v="13.778001790293589"/>
    <n v="0.95"/>
    <n v="9.8561887311626997"/>
    <n v="147"/>
    <n v="191"/>
  </r>
  <r>
    <x v="0"/>
    <s v="2023-05-15 11:51:53"/>
    <n v="8"/>
    <x v="3"/>
    <x v="3"/>
    <x v="1"/>
    <n v="0.25155365284574199"/>
    <n v="0"/>
    <s v="Unnamed ProjectInterauto.ScheduledUtilizationScheduled UtilizationResource"/>
    <n v="10"/>
    <n v="0.26535205929836458"/>
    <n v="2.5807993647623796E-2"/>
    <n v="0.95"/>
    <n v="1.8461926485074727E-2"/>
    <n v="0.20483176768320299"/>
    <n v="0.29552077299252399"/>
  </r>
  <r>
    <x v="0"/>
    <s v="2023-05-15 11:51:53"/>
    <n v="8"/>
    <x v="4"/>
    <x v="0"/>
    <x v="0"/>
    <n v="225"/>
    <n v="0"/>
    <s v="Unnamed ProjectMaleta Internacional.NumberInNumber InEntity"/>
    <n v="10"/>
    <n v="241.3"/>
    <n v="25.59101404790356"/>
    <n v="0.95"/>
    <n v="18.306708629960106"/>
    <n v="207"/>
    <n v="287"/>
  </r>
  <r>
    <x v="0"/>
    <s v="2023-05-15 11:51:53"/>
    <n v="8"/>
    <x v="5"/>
    <x v="1"/>
    <x v="0"/>
    <n v="206"/>
    <n v="0"/>
    <s v="Unnamed ProjectMaleta Internacional.NumberOutNumber OutEntity"/>
    <n v="10"/>
    <n v="224.5"/>
    <n v="20.812656405818711"/>
    <n v="0.95"/>
    <n v="14.888477491497007"/>
    <n v="199"/>
    <n v="256"/>
  </r>
  <r>
    <x v="0"/>
    <s v="2023-05-15 11:51:53"/>
    <n v="8"/>
    <x v="6"/>
    <x v="0"/>
    <x v="0"/>
    <n v="151"/>
    <n v="0"/>
    <s v="Unnamed ProjectMaleta Nacional.NumberInNumber InEntity"/>
    <n v="10"/>
    <n v="163.1"/>
    <n v="14.371654200002325"/>
    <n v="0.95"/>
    <n v="10.280862082193972"/>
    <n v="149"/>
    <n v="191"/>
  </r>
  <r>
    <x v="0"/>
    <s v="2023-05-15 11:51:53"/>
    <n v="8"/>
    <x v="7"/>
    <x v="1"/>
    <x v="0"/>
    <n v="149"/>
    <n v="0"/>
    <s v="Unnamed ProjectMaleta Nacional.NumberOutNumber OutEntity"/>
    <n v="10"/>
    <n v="159.1"/>
    <n v="14.153523314787106"/>
    <n v="0.95"/>
    <n v="10.12482064704977"/>
    <n v="145"/>
    <n v="189"/>
  </r>
  <r>
    <x v="0"/>
    <s v="2023-05-15 11:51:53"/>
    <n v="8"/>
    <x v="8"/>
    <x v="2"/>
    <x v="1"/>
    <n v="219"/>
    <n v="0"/>
    <s v="Unnamed ProjectNacionalauto.NumberSeizedTotal Number SeizedResource"/>
    <n v="10"/>
    <n v="231.5"/>
    <n v="20.817994353176505"/>
    <n v="0.95"/>
    <n v="14.892296029003113"/>
    <n v="202"/>
    <n v="264"/>
  </r>
  <r>
    <x v="0"/>
    <s v="2023-05-15 11:51:53"/>
    <n v="8"/>
    <x v="9"/>
    <x v="3"/>
    <x v="1"/>
    <n v="0.72633432349962601"/>
    <n v="0"/>
    <s v="Unnamed ProjectNacionalauto.ScheduledUtilizationScheduled UtilizationResource"/>
    <n v="10"/>
    <n v="0.73175058451933661"/>
    <n v="6.0813477412386734E-2"/>
    <n v="0.95"/>
    <n v="4.3503341043041877E-2"/>
    <n v="0.64995347349336796"/>
    <n v="0.82581624655093899"/>
  </r>
  <r>
    <x v="0"/>
    <s v="2023-05-15 11:51:53"/>
    <n v="8"/>
    <x v="10"/>
    <x v="2"/>
    <x v="1"/>
    <n v="345"/>
    <n v="0"/>
    <s v="Unnamed ProjectOperarios Avion.NumberSeizedTotal Number SeizedResource"/>
    <n v="10"/>
    <n v="368.6"/>
    <n v="29.243042857328572"/>
    <n v="0.95"/>
    <n v="20.919212659586112"/>
    <n v="338"/>
    <n v="416"/>
  </r>
  <r>
    <x v="0"/>
    <s v="2023-05-15 11:51:53"/>
    <n v="8"/>
    <x v="11"/>
    <x v="3"/>
    <x v="1"/>
    <n v="7.5539129966560897E-2"/>
    <n v="0"/>
    <s v="Unnamed ProjectOperarios Avion.ScheduledUtilizationScheduled UtilizationResource"/>
    <n v="10"/>
    <n v="7.5958437118625627E-2"/>
    <n v="5.0572810112240948E-3"/>
    <n v="0.95"/>
    <n v="3.6177608968134627E-3"/>
    <n v="6.7485948117393404E-2"/>
    <n v="8.7852447587946303E-2"/>
  </r>
  <r>
    <x v="0"/>
    <s v="2023-05-15 11:51:53"/>
    <n v="8"/>
    <x v="12"/>
    <x v="1"/>
    <x v="2"/>
    <n v="603"/>
    <n v="0"/>
    <s v="Unnamed ProjectSystem.NumberOutNumber OutSystem"/>
    <n v="10"/>
    <n v="653"/>
    <n v="50.066622281382898"/>
    <n v="0.95"/>
    <n v="35.815504007612013"/>
    <n v="594"/>
    <n v="722"/>
  </r>
  <r>
    <x v="0"/>
    <s v="2023-05-15 11:51:53"/>
    <n v="8"/>
    <x v="13"/>
    <x v="2"/>
    <x v="1"/>
    <n v="76"/>
    <n v="0"/>
    <s v="Unnamed Projectcajera.NumberSeizedTotal Number SeizedResource"/>
    <n v="10"/>
    <n v="89.7"/>
    <n v="15.3554188770248"/>
    <n v="0.95"/>
    <n v="10.984604937751998"/>
    <n v="72"/>
    <n v="119"/>
  </r>
  <r>
    <x v="0"/>
    <s v="2023-05-15 11:51:53"/>
    <n v="8"/>
    <x v="14"/>
    <x v="3"/>
    <x v="1"/>
    <n v="0.35190578860197103"/>
    <n v="0"/>
    <s v="Unnamed Projectcajera.ScheduledUtilizationScheduled UtilizationResource"/>
    <n v="10"/>
    <n v="0.38078385056341441"/>
    <n v="5.6481911326734656E-2"/>
    <n v="0.95"/>
    <n v="4.040472533000234E-2"/>
    <n v="0.28913636698845602"/>
    <n v="0.46134650546047301"/>
  </r>
  <r>
    <x v="0"/>
    <s v="2023-05-15 11:51:53"/>
    <n v="8"/>
    <x v="15"/>
    <x v="2"/>
    <x v="1"/>
    <n v="174"/>
    <n v="0"/>
    <s v="Unnamed Projectcajera2.NumberSeizedTotal Number SeizedResource"/>
    <n v="10"/>
    <n v="181.1"/>
    <n v="9.7348172384830463"/>
    <n v="0.95"/>
    <n v="6.9638687399111214"/>
    <n v="169"/>
    <n v="194"/>
  </r>
  <r>
    <x v="0"/>
    <s v="2023-05-15 11:51:53"/>
    <n v="8"/>
    <x v="16"/>
    <x v="3"/>
    <x v="1"/>
    <n v="0.70985400369232299"/>
    <n v="0"/>
    <s v="Unnamed Projectcajera2.ScheduledUtilizationScheduled UtilizationResource"/>
    <n v="10"/>
    <n v="0.73571117943508912"/>
    <n v="2.3945213257811505E-2"/>
    <n v="0.95"/>
    <n v="1.7129373668915777E-2"/>
    <n v="0.69752119636771104"/>
    <n v="0.77845968782647601"/>
  </r>
  <r>
    <x v="0"/>
    <s v="2023-05-15 11:51:53"/>
    <n v="8"/>
    <x v="17"/>
    <x v="0"/>
    <x v="0"/>
    <n v="0"/>
    <n v="0"/>
    <s v="Unnamed Projectpersona.NumberInNumber InEntity"/>
    <n v="10"/>
    <n v="0"/>
    <n v="0"/>
    <n v="0.95"/>
    <n v="0"/>
    <n v="0"/>
    <n v="0"/>
  </r>
  <r>
    <x v="0"/>
    <s v="2023-05-15 11:51:53"/>
    <n v="8"/>
    <x v="18"/>
    <x v="1"/>
    <x v="0"/>
    <n v="0"/>
    <n v="0"/>
    <s v="Unnamed Projectpersona.NumberOutNumber OutEntity"/>
    <n v="10"/>
    <n v="0"/>
    <n v="0"/>
    <n v="0.95"/>
    <n v="0"/>
    <n v="0"/>
    <n v="0"/>
  </r>
  <r>
    <x v="0"/>
    <s v="2023-05-15 11:51:53"/>
    <n v="8"/>
    <x v="19"/>
    <x v="2"/>
    <x v="1"/>
    <n v="4"/>
    <n v="0"/>
    <s v="Unnamed Projectregistro1.NumberSeizedTotal Number SeizedResource"/>
    <n v="10"/>
    <n v="7.6"/>
    <n v="2.9135697844549542"/>
    <n v="0.95"/>
    <n v="2.0842422663373124"/>
    <n v="4"/>
    <n v="12"/>
  </r>
  <r>
    <x v="0"/>
    <s v="2023-05-15 11:51:53"/>
    <n v="8"/>
    <x v="20"/>
    <x v="3"/>
    <x v="1"/>
    <n v="2.1279401430778E-2"/>
    <n v="0"/>
    <s v="Unnamed Projectregistro1.ScheduledUtilizationScheduled UtilizationResource"/>
    <n v="10"/>
    <n v="5.6433247648491516E-2"/>
    <n v="2.4456082934732001E-2"/>
    <n v="0.95"/>
    <n v="1.7494827820351853E-2"/>
    <n v="2.1279401430778E-2"/>
    <n v="8.8472374570180701E-2"/>
  </r>
  <r>
    <x v="0"/>
    <s v="2023-05-15 11:51:53"/>
    <n v="8"/>
    <x v="21"/>
    <x v="2"/>
    <x v="1"/>
    <n v="14"/>
    <n v="0"/>
    <s v="Unnamed Projectregistro2.NumberSeizedTotal Number SeizedResource"/>
    <n v="10"/>
    <n v="18.8"/>
    <n v="2.8205594401741556"/>
    <n v="0.95"/>
    <n v="2.0177066742293341"/>
    <n v="14"/>
    <n v="24"/>
  </r>
  <r>
    <x v="0"/>
    <s v="2023-05-15 11:51:53"/>
    <n v="8"/>
    <x v="22"/>
    <x v="3"/>
    <x v="1"/>
    <n v="0.44908676783761903"/>
    <n v="0"/>
    <s v="Unnamed Projectregistro2.ScheduledUtilizationScheduled UtilizationResource"/>
    <n v="10"/>
    <n v="0.46274808587050231"/>
    <n v="9.1165192054027525E-2"/>
    <n v="0.95"/>
    <n v="6.5215649719990554E-2"/>
    <n v="0.338210899349628"/>
    <n v="0.66990172486561195"/>
  </r>
  <r>
    <x v="0"/>
    <s v="2023-05-15 11:51:53"/>
    <n v="9"/>
    <x v="0"/>
    <x v="0"/>
    <x v="0"/>
    <n v="732"/>
    <n v="0"/>
    <s v="Unnamed ProjectEntity 1.NumberInNumber InEntity"/>
    <n v="10"/>
    <n v="677.4"/>
    <n v="50.383418789209699"/>
    <n v="0.95"/>
    <n v="36.042126577273301"/>
    <n v="612"/>
    <n v="757"/>
  </r>
  <r>
    <x v="0"/>
    <s v="2023-05-15 11:51:53"/>
    <n v="9"/>
    <x v="1"/>
    <x v="1"/>
    <x v="0"/>
    <n v="731"/>
    <n v="0"/>
    <s v="Unnamed ProjectEntity 1.NumberOutNumber OutEntity"/>
    <n v="10"/>
    <n v="673.8"/>
    <n v="51.503613681199326"/>
    <n v="0.95"/>
    <n v="36.843465729291147"/>
    <n v="608"/>
    <n v="755"/>
  </r>
  <r>
    <x v="0"/>
    <s v="2023-05-15 11:51:53"/>
    <n v="9"/>
    <x v="2"/>
    <x v="2"/>
    <x v="1"/>
    <n v="191"/>
    <n v="0"/>
    <s v="Unnamed ProjectInterauto.NumberSeizedTotal Number SeizedResource"/>
    <n v="10"/>
    <n v="161.5"/>
    <n v="13.778001790293589"/>
    <n v="0.95"/>
    <n v="9.8561887311626997"/>
    <n v="147"/>
    <n v="191"/>
  </r>
  <r>
    <x v="0"/>
    <s v="2023-05-15 11:51:53"/>
    <n v="9"/>
    <x v="3"/>
    <x v="3"/>
    <x v="1"/>
    <n v="0.29552077299252399"/>
    <n v="0"/>
    <s v="Unnamed ProjectInterauto.ScheduledUtilizationScheduled UtilizationResource"/>
    <n v="10"/>
    <n v="0.26535205929836458"/>
    <n v="2.5807993647623796E-2"/>
    <n v="0.95"/>
    <n v="1.8461926485074727E-2"/>
    <n v="0.20483176768320299"/>
    <n v="0.29552077299252399"/>
  </r>
  <r>
    <x v="0"/>
    <s v="2023-05-15 11:51:53"/>
    <n v="9"/>
    <x v="4"/>
    <x v="0"/>
    <x v="0"/>
    <n v="251"/>
    <n v="0"/>
    <s v="Unnamed ProjectMaleta Internacional.NumberInNumber InEntity"/>
    <n v="10"/>
    <n v="241.3"/>
    <n v="25.59101404790356"/>
    <n v="0.95"/>
    <n v="18.306708629960106"/>
    <n v="207"/>
    <n v="287"/>
  </r>
  <r>
    <x v="0"/>
    <s v="2023-05-15 11:51:53"/>
    <n v="9"/>
    <x v="5"/>
    <x v="1"/>
    <x v="0"/>
    <n v="244"/>
    <n v="0"/>
    <s v="Unnamed ProjectMaleta Internacional.NumberOutNumber OutEntity"/>
    <n v="10"/>
    <n v="224.5"/>
    <n v="20.812656405818711"/>
    <n v="0.95"/>
    <n v="14.888477491497007"/>
    <n v="199"/>
    <n v="256"/>
  </r>
  <r>
    <x v="0"/>
    <s v="2023-05-15 11:51:53"/>
    <n v="9"/>
    <x v="6"/>
    <x v="0"/>
    <x v="0"/>
    <n v="191"/>
    <n v="0"/>
    <s v="Unnamed ProjectMaleta Nacional.NumberInNumber InEntity"/>
    <n v="10"/>
    <n v="163.1"/>
    <n v="14.371654200002325"/>
    <n v="0.95"/>
    <n v="10.280862082193972"/>
    <n v="149"/>
    <n v="191"/>
  </r>
  <r>
    <x v="0"/>
    <s v="2023-05-15 11:51:53"/>
    <n v="9"/>
    <x v="7"/>
    <x v="1"/>
    <x v="0"/>
    <n v="189"/>
    <n v="0"/>
    <s v="Unnamed ProjectMaleta Nacional.NumberOutNumber OutEntity"/>
    <n v="10"/>
    <n v="159.1"/>
    <n v="14.153523314787106"/>
    <n v="0.95"/>
    <n v="10.12482064704977"/>
    <n v="145"/>
    <n v="189"/>
  </r>
  <r>
    <x v="0"/>
    <s v="2023-05-15 11:51:53"/>
    <n v="9"/>
    <x v="8"/>
    <x v="2"/>
    <x v="1"/>
    <n v="244"/>
    <n v="0"/>
    <s v="Unnamed ProjectNacionalauto.NumberSeizedTotal Number SeizedResource"/>
    <n v="10"/>
    <n v="231.5"/>
    <n v="20.817994353176505"/>
    <n v="0.95"/>
    <n v="14.892296029003113"/>
    <n v="202"/>
    <n v="264"/>
  </r>
  <r>
    <x v="0"/>
    <s v="2023-05-15 11:51:53"/>
    <n v="9"/>
    <x v="9"/>
    <x v="3"/>
    <x v="1"/>
    <n v="0.73198562185363703"/>
    <n v="0"/>
    <s v="Unnamed ProjectNacionalauto.ScheduledUtilizationScheduled UtilizationResource"/>
    <n v="10"/>
    <n v="0.73175058451933661"/>
    <n v="6.0813477412386734E-2"/>
    <n v="0.95"/>
    <n v="4.3503341043041877E-2"/>
    <n v="0.64995347349336796"/>
    <n v="0.82581624655093899"/>
  </r>
  <r>
    <x v="0"/>
    <s v="2023-05-15 11:51:53"/>
    <n v="9"/>
    <x v="10"/>
    <x v="2"/>
    <x v="1"/>
    <n v="416"/>
    <n v="0"/>
    <s v="Unnamed ProjectOperarios Avion.NumberSeizedTotal Number SeizedResource"/>
    <n v="10"/>
    <n v="368.6"/>
    <n v="29.243042857328572"/>
    <n v="0.95"/>
    <n v="20.919212659586112"/>
    <n v="338"/>
    <n v="416"/>
  </r>
  <r>
    <x v="0"/>
    <s v="2023-05-15 11:51:53"/>
    <n v="9"/>
    <x v="11"/>
    <x v="3"/>
    <x v="1"/>
    <n v="8.7852447587946303E-2"/>
    <n v="0"/>
    <s v="Unnamed ProjectOperarios Avion.ScheduledUtilizationScheduled UtilizationResource"/>
    <n v="10"/>
    <n v="7.5958437118625627E-2"/>
    <n v="5.0572810112240948E-3"/>
    <n v="0.95"/>
    <n v="3.6177608968134627E-3"/>
    <n v="6.7485948117393404E-2"/>
    <n v="8.7852447587946303E-2"/>
  </r>
  <r>
    <x v="0"/>
    <s v="2023-05-15 11:51:53"/>
    <n v="9"/>
    <x v="12"/>
    <x v="1"/>
    <x v="2"/>
    <n v="722"/>
    <n v="0"/>
    <s v="Unnamed ProjectSystem.NumberOutNumber OutSystem"/>
    <n v="10"/>
    <n v="653"/>
    <n v="50.066622281382898"/>
    <n v="0.95"/>
    <n v="35.815504007612013"/>
    <n v="594"/>
    <n v="722"/>
  </r>
  <r>
    <x v="0"/>
    <s v="2023-05-15 11:51:53"/>
    <n v="9"/>
    <x v="13"/>
    <x v="2"/>
    <x v="1"/>
    <n v="114"/>
    <n v="0"/>
    <s v="Unnamed Projectcajera.NumberSeizedTotal Number SeizedResource"/>
    <n v="10"/>
    <n v="89.7"/>
    <n v="15.3554188770248"/>
    <n v="0.95"/>
    <n v="10.984604937751998"/>
    <n v="72"/>
    <n v="119"/>
  </r>
  <r>
    <x v="0"/>
    <s v="2023-05-15 11:51:53"/>
    <n v="9"/>
    <x v="14"/>
    <x v="3"/>
    <x v="1"/>
    <n v="0.44970563756005799"/>
    <n v="0"/>
    <s v="Unnamed Projectcajera.ScheduledUtilizationScheduled UtilizationResource"/>
    <n v="10"/>
    <n v="0.38078385056341441"/>
    <n v="5.6481911326734656E-2"/>
    <n v="0.95"/>
    <n v="4.040472533000234E-2"/>
    <n v="0.28913636698845602"/>
    <n v="0.46134650546047301"/>
  </r>
  <r>
    <x v="0"/>
    <s v="2023-05-15 11:51:53"/>
    <n v="9"/>
    <x v="15"/>
    <x v="2"/>
    <x v="1"/>
    <n v="176"/>
    <n v="0"/>
    <s v="Unnamed Projectcajera2.NumberSeizedTotal Number SeizedResource"/>
    <n v="10"/>
    <n v="181.1"/>
    <n v="9.7348172384830463"/>
    <n v="0.95"/>
    <n v="6.9638687399111214"/>
    <n v="169"/>
    <n v="194"/>
  </r>
  <r>
    <x v="0"/>
    <s v="2023-05-15 11:51:53"/>
    <n v="9"/>
    <x v="16"/>
    <x v="3"/>
    <x v="1"/>
    <n v="0.73578876984573405"/>
    <n v="0"/>
    <s v="Unnamed Projectcajera2.ScheduledUtilizationScheduled UtilizationResource"/>
    <n v="10"/>
    <n v="0.73571117943508912"/>
    <n v="2.3945213257811505E-2"/>
    <n v="0.95"/>
    <n v="1.7129373668915777E-2"/>
    <n v="0.69752119636771104"/>
    <n v="0.77845968782647601"/>
  </r>
  <r>
    <x v="0"/>
    <s v="2023-05-15 11:51:53"/>
    <n v="9"/>
    <x v="17"/>
    <x v="0"/>
    <x v="0"/>
    <n v="0"/>
    <n v="0"/>
    <s v="Unnamed Projectpersona.NumberInNumber InEntity"/>
    <n v="10"/>
    <n v="0"/>
    <n v="0"/>
    <n v="0.95"/>
    <n v="0"/>
    <n v="0"/>
    <n v="0"/>
  </r>
  <r>
    <x v="0"/>
    <s v="2023-05-15 11:51:53"/>
    <n v="9"/>
    <x v="18"/>
    <x v="1"/>
    <x v="0"/>
    <n v="0"/>
    <n v="0"/>
    <s v="Unnamed Projectpersona.NumberOutNumber OutEntity"/>
    <n v="10"/>
    <n v="0"/>
    <n v="0"/>
    <n v="0.95"/>
    <n v="0"/>
    <n v="0"/>
    <n v="0"/>
  </r>
  <r>
    <x v="0"/>
    <s v="2023-05-15 11:51:53"/>
    <n v="9"/>
    <x v="19"/>
    <x v="2"/>
    <x v="1"/>
    <n v="12"/>
    <n v="0"/>
    <s v="Unnamed Projectregistro1.NumberSeizedTotal Number SeizedResource"/>
    <n v="10"/>
    <n v="7.6"/>
    <n v="2.9135697844549542"/>
    <n v="0.95"/>
    <n v="2.0842422663373124"/>
    <n v="4"/>
    <n v="12"/>
  </r>
  <r>
    <x v="0"/>
    <s v="2023-05-15 11:51:53"/>
    <n v="9"/>
    <x v="20"/>
    <x v="3"/>
    <x v="1"/>
    <n v="7.8075040205248206E-2"/>
    <n v="0"/>
    <s v="Unnamed Projectregistro1.ScheduledUtilizationScheduled UtilizationResource"/>
    <n v="10"/>
    <n v="5.6433247648491516E-2"/>
    <n v="2.4456082934732001E-2"/>
    <n v="0.95"/>
    <n v="1.7494827820351853E-2"/>
    <n v="2.1279401430778E-2"/>
    <n v="8.8472374570180701E-2"/>
  </r>
  <r>
    <x v="0"/>
    <s v="2023-05-15 11:51:53"/>
    <n v="9"/>
    <x v="21"/>
    <x v="2"/>
    <x v="1"/>
    <n v="17"/>
    <n v="0"/>
    <s v="Unnamed Projectregistro2.NumberSeizedTotal Number SeizedResource"/>
    <n v="10"/>
    <n v="18.8"/>
    <n v="2.8205594401741556"/>
    <n v="0.95"/>
    <n v="2.0177066742293341"/>
    <n v="14"/>
    <n v="24"/>
  </r>
  <r>
    <x v="0"/>
    <s v="2023-05-15 11:51:53"/>
    <n v="9"/>
    <x v="22"/>
    <x v="3"/>
    <x v="1"/>
    <n v="0.41357084506186798"/>
    <n v="0"/>
    <s v="Unnamed Projectregistro2.ScheduledUtilizationScheduled UtilizationResource"/>
    <n v="10"/>
    <n v="0.46274808587050231"/>
    <n v="9.1165192054027525E-2"/>
    <n v="0.95"/>
    <n v="6.5215649719990554E-2"/>
    <n v="0.338210899349628"/>
    <n v="0.66990172486561195"/>
  </r>
  <r>
    <x v="0"/>
    <s v="2023-05-15 11:51:53"/>
    <n v="10"/>
    <x v="0"/>
    <x v="0"/>
    <x v="0"/>
    <n v="626"/>
    <n v="0"/>
    <s v="Unnamed ProjectEntity 1.NumberInNumber InEntity"/>
    <n v="10"/>
    <n v="677.4"/>
    <n v="50.383418789209699"/>
    <n v="0.95"/>
    <n v="36.042126577273301"/>
    <n v="612"/>
    <n v="757"/>
  </r>
  <r>
    <x v="0"/>
    <s v="2023-05-15 11:51:53"/>
    <n v="10"/>
    <x v="1"/>
    <x v="1"/>
    <x v="0"/>
    <n v="625"/>
    <n v="0"/>
    <s v="Unnamed ProjectEntity 1.NumberOutNumber OutEntity"/>
    <n v="10"/>
    <n v="673.8"/>
    <n v="51.503613681199326"/>
    <n v="0.95"/>
    <n v="36.843465729291147"/>
    <n v="608"/>
    <n v="755"/>
  </r>
  <r>
    <x v="0"/>
    <s v="2023-05-15 11:51:53"/>
    <n v="10"/>
    <x v="2"/>
    <x v="2"/>
    <x v="1"/>
    <n v="159"/>
    <n v="0"/>
    <s v="Unnamed ProjectInterauto.NumberSeizedTotal Number SeizedResource"/>
    <n v="10"/>
    <n v="161.5"/>
    <n v="13.778001790293589"/>
    <n v="0.95"/>
    <n v="9.8561887311626997"/>
    <n v="147"/>
    <n v="191"/>
  </r>
  <r>
    <x v="0"/>
    <s v="2023-05-15 11:51:53"/>
    <n v="10"/>
    <x v="3"/>
    <x v="3"/>
    <x v="1"/>
    <n v="0.26104277592172598"/>
    <n v="0"/>
    <s v="Unnamed ProjectInterauto.ScheduledUtilizationScheduled UtilizationResource"/>
    <n v="10"/>
    <n v="0.26535205929836458"/>
    <n v="2.5807993647623796E-2"/>
    <n v="0.95"/>
    <n v="1.8461926485074727E-2"/>
    <n v="0.20483176768320299"/>
    <n v="0.29552077299252399"/>
  </r>
  <r>
    <x v="0"/>
    <s v="2023-05-15 11:51:53"/>
    <n v="10"/>
    <x v="4"/>
    <x v="0"/>
    <x v="0"/>
    <n v="207"/>
    <n v="0"/>
    <s v="Unnamed ProjectMaleta Internacional.NumberInNumber InEntity"/>
    <n v="10"/>
    <n v="241.3"/>
    <n v="25.59101404790356"/>
    <n v="0.95"/>
    <n v="18.306708629960106"/>
    <n v="207"/>
    <n v="287"/>
  </r>
  <r>
    <x v="0"/>
    <s v="2023-05-15 11:51:53"/>
    <n v="10"/>
    <x v="5"/>
    <x v="1"/>
    <x v="0"/>
    <n v="199"/>
    <n v="0"/>
    <s v="Unnamed ProjectMaleta Internacional.NumberOutNumber OutEntity"/>
    <n v="10"/>
    <n v="224.5"/>
    <n v="20.812656405818711"/>
    <n v="0.95"/>
    <n v="14.888477491497007"/>
    <n v="199"/>
    <n v="256"/>
  </r>
  <r>
    <x v="0"/>
    <s v="2023-05-15 11:51:53"/>
    <n v="10"/>
    <x v="6"/>
    <x v="0"/>
    <x v="0"/>
    <n v="165"/>
    <n v="0"/>
    <s v="Unnamed ProjectMaleta Nacional.NumberInNumber InEntity"/>
    <n v="10"/>
    <n v="163.1"/>
    <n v="14.371654200002325"/>
    <n v="0.95"/>
    <n v="10.280862082193972"/>
    <n v="149"/>
    <n v="191"/>
  </r>
  <r>
    <x v="0"/>
    <s v="2023-05-15 11:51:53"/>
    <n v="10"/>
    <x v="7"/>
    <x v="1"/>
    <x v="0"/>
    <n v="151"/>
    <n v="0"/>
    <s v="Unnamed ProjectMaleta Nacional.NumberOutNumber OutEntity"/>
    <n v="10"/>
    <n v="159.1"/>
    <n v="14.153523314787106"/>
    <n v="0.95"/>
    <n v="10.12482064704977"/>
    <n v="145"/>
    <n v="189"/>
  </r>
  <r>
    <x v="0"/>
    <s v="2023-05-15 11:51:53"/>
    <n v="10"/>
    <x v="8"/>
    <x v="2"/>
    <x v="1"/>
    <n v="202"/>
    <n v="0"/>
    <s v="Unnamed ProjectNacionalauto.NumberSeizedTotal Number SeizedResource"/>
    <n v="10"/>
    <n v="231.5"/>
    <n v="20.817994353176505"/>
    <n v="0.95"/>
    <n v="14.892296029003113"/>
    <n v="202"/>
    <n v="264"/>
  </r>
  <r>
    <x v="0"/>
    <s v="2023-05-15 11:51:53"/>
    <n v="10"/>
    <x v="9"/>
    <x v="3"/>
    <x v="1"/>
    <n v="0.64995347349336796"/>
    <n v="0"/>
    <s v="Unnamed ProjectNacionalauto.ScheduledUtilizationScheduled UtilizationResource"/>
    <n v="10"/>
    <n v="0.73175058451933661"/>
    <n v="6.0813477412386734E-2"/>
    <n v="0.95"/>
    <n v="4.3503341043041877E-2"/>
    <n v="0.64995347349336796"/>
    <n v="0.82581624655093899"/>
  </r>
  <r>
    <x v="0"/>
    <s v="2023-05-15 11:51:53"/>
    <n v="10"/>
    <x v="10"/>
    <x v="2"/>
    <x v="1"/>
    <n v="338"/>
    <n v="0"/>
    <s v="Unnamed ProjectOperarios Avion.NumberSeizedTotal Number SeizedResource"/>
    <n v="10"/>
    <n v="368.6"/>
    <n v="29.243042857328572"/>
    <n v="0.95"/>
    <n v="20.919212659586112"/>
    <n v="338"/>
    <n v="416"/>
  </r>
  <r>
    <x v="0"/>
    <s v="2023-05-15 11:51:53"/>
    <n v="10"/>
    <x v="11"/>
    <x v="3"/>
    <x v="1"/>
    <n v="7.5971292652192102E-2"/>
    <n v="0"/>
    <s v="Unnamed ProjectOperarios Avion.ScheduledUtilizationScheduled UtilizationResource"/>
    <n v="10"/>
    <n v="7.5958437118625627E-2"/>
    <n v="5.0572810112240948E-3"/>
    <n v="0.95"/>
    <n v="3.6177608968134627E-3"/>
    <n v="6.7485948117393404E-2"/>
    <n v="8.7852447587946303E-2"/>
  </r>
  <r>
    <x v="0"/>
    <s v="2023-05-15 11:51:53"/>
    <n v="10"/>
    <x v="12"/>
    <x v="1"/>
    <x v="2"/>
    <n v="603"/>
    <n v="0"/>
    <s v="Unnamed ProjectSystem.NumberOutNumber OutSystem"/>
    <n v="10"/>
    <n v="653"/>
    <n v="50.066622281382898"/>
    <n v="0.95"/>
    <n v="35.815504007612013"/>
    <n v="594"/>
    <n v="722"/>
  </r>
  <r>
    <x v="0"/>
    <s v="2023-05-15 11:51:53"/>
    <n v="10"/>
    <x v="13"/>
    <x v="2"/>
    <x v="1"/>
    <n v="83"/>
    <n v="0"/>
    <s v="Unnamed Projectcajera.NumberSeizedTotal Number SeizedResource"/>
    <n v="10"/>
    <n v="89.7"/>
    <n v="15.3554188770248"/>
    <n v="0.95"/>
    <n v="10.984604937751998"/>
    <n v="72"/>
    <n v="119"/>
  </r>
  <r>
    <x v="0"/>
    <s v="2023-05-15 11:51:53"/>
    <n v="10"/>
    <x v="14"/>
    <x v="3"/>
    <x v="1"/>
    <n v="0.32138199738834899"/>
    <n v="0"/>
    <s v="Unnamed Projectcajera.ScheduledUtilizationScheduled UtilizationResource"/>
    <n v="10"/>
    <n v="0.38078385056341441"/>
    <n v="5.6481911326734656E-2"/>
    <n v="0.95"/>
    <n v="4.040472533000234E-2"/>
    <n v="0.28913636698845602"/>
    <n v="0.46134650546047301"/>
  </r>
  <r>
    <x v="0"/>
    <s v="2023-05-15 11:51:53"/>
    <n v="10"/>
    <x v="15"/>
    <x v="2"/>
    <x v="1"/>
    <n v="171"/>
    <n v="0"/>
    <s v="Unnamed Projectcajera2.NumberSeizedTotal Number SeizedResource"/>
    <n v="10"/>
    <n v="181.1"/>
    <n v="9.7348172384830463"/>
    <n v="0.95"/>
    <n v="6.9638687399111214"/>
    <n v="169"/>
    <n v="194"/>
  </r>
  <r>
    <x v="0"/>
    <s v="2023-05-15 11:51:53"/>
    <n v="10"/>
    <x v="16"/>
    <x v="3"/>
    <x v="1"/>
    <n v="0.72883194271818097"/>
    <n v="0"/>
    <s v="Unnamed Projectcajera2.ScheduledUtilizationScheduled UtilizationResource"/>
    <n v="10"/>
    <n v="0.73571117943508912"/>
    <n v="2.3945213257811505E-2"/>
    <n v="0.95"/>
    <n v="1.7129373668915777E-2"/>
    <n v="0.69752119636771104"/>
    <n v="0.77845968782647601"/>
  </r>
  <r>
    <x v="0"/>
    <s v="2023-05-15 11:51:53"/>
    <n v="10"/>
    <x v="17"/>
    <x v="0"/>
    <x v="0"/>
    <n v="0"/>
    <n v="0"/>
    <s v="Unnamed Projectpersona.NumberInNumber InEntity"/>
    <n v="10"/>
    <n v="0"/>
    <n v="0"/>
    <n v="0.95"/>
    <n v="0"/>
    <n v="0"/>
    <n v="0"/>
  </r>
  <r>
    <x v="0"/>
    <s v="2023-05-15 11:51:53"/>
    <n v="10"/>
    <x v="18"/>
    <x v="1"/>
    <x v="0"/>
    <n v="0"/>
    <n v="0"/>
    <s v="Unnamed Projectpersona.NumberOutNumber OutEntity"/>
    <n v="10"/>
    <n v="0"/>
    <n v="0"/>
    <n v="0.95"/>
    <n v="0"/>
    <n v="0"/>
    <n v="0"/>
  </r>
  <r>
    <x v="0"/>
    <s v="2023-05-15 11:51:53"/>
    <n v="10"/>
    <x v="19"/>
    <x v="2"/>
    <x v="1"/>
    <n v="6"/>
    <n v="0"/>
    <s v="Unnamed Projectregistro1.NumberSeizedTotal Number SeizedResource"/>
    <n v="10"/>
    <n v="7.6"/>
    <n v="2.9135697844549542"/>
    <n v="0.95"/>
    <n v="2.0842422663373124"/>
    <n v="4"/>
    <n v="12"/>
  </r>
  <r>
    <x v="0"/>
    <s v="2023-05-15 11:51:53"/>
    <n v="10"/>
    <x v="20"/>
    <x v="3"/>
    <x v="1"/>
    <n v="3.4559803197651798E-2"/>
    <n v="0"/>
    <s v="Unnamed Projectregistro1.ScheduledUtilizationScheduled UtilizationResource"/>
    <n v="10"/>
    <n v="5.6433247648491516E-2"/>
    <n v="2.4456082934732001E-2"/>
    <n v="0.95"/>
    <n v="1.7494827820351853E-2"/>
    <n v="2.1279401430778E-2"/>
    <n v="8.8472374570180701E-2"/>
  </r>
  <r>
    <x v="0"/>
    <s v="2023-05-15 11:51:53"/>
    <n v="10"/>
    <x v="21"/>
    <x v="2"/>
    <x v="1"/>
    <n v="18"/>
    <n v="0"/>
    <s v="Unnamed Projectregistro2.NumberSeizedTotal Number SeizedResource"/>
    <n v="10"/>
    <n v="18.8"/>
    <n v="2.8205594401741556"/>
    <n v="0.95"/>
    <n v="2.0177066742293341"/>
    <n v="14"/>
    <n v="24"/>
  </r>
  <r>
    <x v="0"/>
    <s v="2023-05-15 11:51:53"/>
    <n v="10"/>
    <x v="22"/>
    <x v="3"/>
    <x v="1"/>
    <n v="0.44616177968798199"/>
    <n v="0"/>
    <s v="Unnamed Projectregistro2.ScheduledUtilizationScheduled UtilizationResource"/>
    <n v="10"/>
    <n v="0.46274808587050231"/>
    <n v="9.1165192054027525E-2"/>
    <n v="0.95"/>
    <n v="6.5215649719990554E-2"/>
    <n v="0.338210899349628"/>
    <n v="0.6699017248656119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s v="2023-05-15 11:51:53"/>
    <n v="1"/>
    <x v="0"/>
    <x v="0"/>
    <x v="0"/>
    <n v="14"/>
    <s v="Unnamed ProjectD.internacionalCountUser Specified"/>
    <n v="10"/>
    <n v="11.2"/>
    <n v="2.4404006956964146"/>
    <n v="0.95"/>
    <n v="1.7457574910020446"/>
    <n v="8"/>
    <n v="14"/>
  </r>
  <r>
    <x v="0"/>
    <s v="2023-05-15 11:51:53"/>
    <n v="1"/>
    <x v="1"/>
    <x v="0"/>
    <x v="0"/>
    <n v="0"/>
    <s v="Unnamed ProjectD.nacionalCountUser Specified"/>
    <n v="10"/>
    <n v="3.9"/>
    <n v="2.2335820757001272"/>
    <n v="0.95"/>
    <n v="1.5978083629043778"/>
    <n v="0"/>
    <n v="6"/>
  </r>
  <r>
    <x v="0"/>
    <s v="2023-05-15 11:51:53"/>
    <n v="2"/>
    <x v="0"/>
    <x v="0"/>
    <x v="0"/>
    <n v="14"/>
    <s v="Unnamed ProjectD.internacionalCountUser Specified"/>
    <n v="10"/>
    <n v="11.2"/>
    <n v="2.4404006956964146"/>
    <n v="0.95"/>
    <n v="1.7457574910020446"/>
    <n v="8"/>
    <n v="14"/>
  </r>
  <r>
    <x v="0"/>
    <s v="2023-05-15 11:51:53"/>
    <n v="2"/>
    <x v="1"/>
    <x v="0"/>
    <x v="0"/>
    <n v="4"/>
    <s v="Unnamed ProjectD.nacionalCountUser Specified"/>
    <n v="10"/>
    <n v="3.9"/>
    <n v="2.2335820757001272"/>
    <n v="0.95"/>
    <n v="1.5978083629043778"/>
    <n v="0"/>
    <n v="6"/>
  </r>
  <r>
    <x v="0"/>
    <s v="2023-05-15 11:51:53"/>
    <n v="3"/>
    <x v="0"/>
    <x v="0"/>
    <x v="0"/>
    <n v="13"/>
    <s v="Unnamed ProjectD.internacionalCountUser Specified"/>
    <n v="10"/>
    <n v="11.2"/>
    <n v="2.4404006956964146"/>
    <n v="0.95"/>
    <n v="1.7457574910020446"/>
    <n v="8"/>
    <n v="14"/>
  </r>
  <r>
    <x v="0"/>
    <s v="2023-05-15 11:51:53"/>
    <n v="3"/>
    <x v="1"/>
    <x v="0"/>
    <x v="0"/>
    <n v="4"/>
    <s v="Unnamed ProjectD.nacionalCountUser Specified"/>
    <n v="10"/>
    <n v="3.9"/>
    <n v="2.2335820757001272"/>
    <n v="0.95"/>
    <n v="1.5978083629043778"/>
    <n v="0"/>
    <n v="6"/>
  </r>
  <r>
    <x v="0"/>
    <s v="2023-05-15 11:51:53"/>
    <n v="4"/>
    <x v="0"/>
    <x v="0"/>
    <x v="0"/>
    <n v="14"/>
    <s v="Unnamed ProjectD.internacionalCountUser Specified"/>
    <n v="10"/>
    <n v="11.2"/>
    <n v="2.4404006956964146"/>
    <n v="0.95"/>
    <n v="1.7457574910020446"/>
    <n v="8"/>
    <n v="14"/>
  </r>
  <r>
    <x v="0"/>
    <s v="2023-05-15 11:51:53"/>
    <n v="4"/>
    <x v="1"/>
    <x v="0"/>
    <x v="0"/>
    <n v="6"/>
    <s v="Unnamed ProjectD.nacionalCountUser Specified"/>
    <n v="10"/>
    <n v="3.9"/>
    <n v="2.2335820757001272"/>
    <n v="0.95"/>
    <n v="1.5978083629043778"/>
    <n v="0"/>
    <n v="6"/>
  </r>
  <r>
    <x v="0"/>
    <s v="2023-05-15 11:51:53"/>
    <n v="5"/>
    <x v="0"/>
    <x v="0"/>
    <x v="0"/>
    <n v="9"/>
    <s v="Unnamed ProjectD.internacionalCountUser Specified"/>
    <n v="10"/>
    <n v="11.2"/>
    <n v="2.4404006956964146"/>
    <n v="0.95"/>
    <n v="1.7457574910020446"/>
    <n v="8"/>
    <n v="14"/>
  </r>
  <r>
    <x v="0"/>
    <s v="2023-05-15 11:51:53"/>
    <n v="5"/>
    <x v="1"/>
    <x v="0"/>
    <x v="0"/>
    <n v="6"/>
    <s v="Unnamed ProjectD.nacionalCountUser Specified"/>
    <n v="10"/>
    <n v="3.9"/>
    <n v="2.2335820757001272"/>
    <n v="0.95"/>
    <n v="1.5978083629043778"/>
    <n v="0"/>
    <n v="6"/>
  </r>
  <r>
    <x v="0"/>
    <s v="2023-05-15 11:51:53"/>
    <n v="6"/>
    <x v="0"/>
    <x v="0"/>
    <x v="0"/>
    <n v="10"/>
    <s v="Unnamed ProjectD.internacionalCountUser Specified"/>
    <n v="10"/>
    <n v="11.2"/>
    <n v="2.4404006956964146"/>
    <n v="0.95"/>
    <n v="1.7457574910020446"/>
    <n v="8"/>
    <n v="14"/>
  </r>
  <r>
    <x v="0"/>
    <s v="2023-05-15 11:51:53"/>
    <n v="6"/>
    <x v="1"/>
    <x v="0"/>
    <x v="0"/>
    <n v="4"/>
    <s v="Unnamed ProjectD.nacionalCountUser Specified"/>
    <n v="10"/>
    <n v="3.9"/>
    <n v="2.2335820757001272"/>
    <n v="0.95"/>
    <n v="1.5978083629043778"/>
    <n v="0"/>
    <n v="6"/>
  </r>
  <r>
    <x v="0"/>
    <s v="2023-05-15 11:51:53"/>
    <n v="7"/>
    <x v="0"/>
    <x v="0"/>
    <x v="0"/>
    <n v="8"/>
    <s v="Unnamed ProjectD.internacionalCountUser Specified"/>
    <n v="10"/>
    <n v="11.2"/>
    <n v="2.4404006956964146"/>
    <n v="0.95"/>
    <n v="1.7457574910020446"/>
    <n v="8"/>
    <n v="14"/>
  </r>
  <r>
    <x v="0"/>
    <s v="2023-05-15 11:51:53"/>
    <n v="7"/>
    <x v="1"/>
    <x v="0"/>
    <x v="0"/>
    <n v="6"/>
    <s v="Unnamed ProjectD.nacionalCountUser Specified"/>
    <n v="10"/>
    <n v="3.9"/>
    <n v="2.2335820757001272"/>
    <n v="0.95"/>
    <n v="1.5978083629043778"/>
    <n v="0"/>
    <n v="6"/>
  </r>
  <r>
    <x v="0"/>
    <s v="2023-05-15 11:51:53"/>
    <n v="8"/>
    <x v="0"/>
    <x v="0"/>
    <x v="0"/>
    <n v="8"/>
    <s v="Unnamed ProjectD.internacionalCountUser Specified"/>
    <n v="10"/>
    <n v="11.2"/>
    <n v="2.4404006956964146"/>
    <n v="0.95"/>
    <n v="1.7457574910020446"/>
    <n v="8"/>
    <n v="14"/>
  </r>
  <r>
    <x v="0"/>
    <s v="2023-05-15 11:51:53"/>
    <n v="8"/>
    <x v="1"/>
    <x v="0"/>
    <x v="0"/>
    <n v="2"/>
    <s v="Unnamed ProjectD.nacionalCountUser Specified"/>
    <n v="10"/>
    <n v="3.9"/>
    <n v="2.2335820757001272"/>
    <n v="0.95"/>
    <n v="1.5978083629043778"/>
    <n v="0"/>
    <n v="6"/>
  </r>
  <r>
    <x v="0"/>
    <s v="2023-05-15 11:51:53"/>
    <n v="9"/>
    <x v="0"/>
    <x v="0"/>
    <x v="0"/>
    <n v="11"/>
    <s v="Unnamed ProjectD.internacionalCountUser Specified"/>
    <n v="10"/>
    <n v="11.2"/>
    <n v="2.4404006956964146"/>
    <n v="0.95"/>
    <n v="1.7457574910020446"/>
    <n v="8"/>
    <n v="14"/>
  </r>
  <r>
    <x v="0"/>
    <s v="2023-05-15 11:51:53"/>
    <n v="9"/>
    <x v="1"/>
    <x v="0"/>
    <x v="0"/>
    <n v="6"/>
    <s v="Unnamed ProjectD.nacionalCountUser Specified"/>
    <n v="10"/>
    <n v="3.9"/>
    <n v="2.2335820757001272"/>
    <n v="0.95"/>
    <n v="1.5978083629043778"/>
    <n v="0"/>
    <n v="6"/>
  </r>
  <r>
    <x v="0"/>
    <s v="2023-05-15 11:51:53"/>
    <n v="10"/>
    <x v="0"/>
    <x v="0"/>
    <x v="0"/>
    <n v="11"/>
    <s v="Unnamed ProjectD.internacionalCountUser Specified"/>
    <n v="10"/>
    <n v="11.2"/>
    <n v="2.4404006956964146"/>
    <n v="0.95"/>
    <n v="1.7457574910020446"/>
    <n v="8"/>
    <n v="14"/>
  </r>
  <r>
    <x v="0"/>
    <s v="2023-05-15 11:51:53"/>
    <n v="10"/>
    <x v="1"/>
    <x v="0"/>
    <x v="0"/>
    <n v="1"/>
    <s v="Unnamed ProjectD.nacionalCountUser Specified"/>
    <n v="10"/>
    <n v="3.9"/>
    <n v="2.2335820757001272"/>
    <n v="0.95"/>
    <n v="1.5978083629043778"/>
    <n v="0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41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48">
        <item m="1" x="40"/>
        <item m="1" x="31"/>
        <item m="1" x="47"/>
        <item m="1" x="56"/>
        <item m="1" x="69"/>
        <item m="1" x="68"/>
        <item m="1" x="32"/>
        <item m="1" x="133"/>
        <item m="1" x="111"/>
        <item m="1" x="74"/>
        <item m="1" x="61"/>
        <item m="1" x="65"/>
        <item x="1"/>
        <item m="1" x="50"/>
        <item m="1" x="132"/>
        <item m="1" x="54"/>
        <item m="1" x="105"/>
        <item m="1" x="119"/>
        <item m="1" x="29"/>
        <item m="1" x="55"/>
        <item m="1" x="142"/>
        <item m="1" x="44"/>
        <item m="1" x="134"/>
        <item m="1" x="33"/>
        <item m="1" x="60"/>
        <item m="1" x="86"/>
        <item m="1" x="30"/>
        <item m="1" x="36"/>
        <item m="1" x="106"/>
        <item m="1" x="87"/>
        <item m="1" x="121"/>
        <item m="1" x="77"/>
        <item m="1" x="41"/>
        <item m="1" x="71"/>
        <item m="1" x="107"/>
        <item m="1" x="92"/>
        <item m="1" x="42"/>
        <item m="1" x="52"/>
        <item m="1" x="114"/>
        <item m="1" x="28"/>
        <item m="1" x="141"/>
        <item m="1" x="99"/>
        <item m="1" x="39"/>
        <item m="1" x="124"/>
        <item m="1" x="70"/>
        <item m="1" x="143"/>
        <item m="1" x="104"/>
        <item m="1" x="46"/>
        <item m="1" x="91"/>
        <item m="1" x="110"/>
        <item m="1" x="123"/>
        <item m="1" x="131"/>
        <item m="1" x="140"/>
        <item m="1" x="27"/>
        <item m="1" x="45"/>
        <item m="1" x="59"/>
        <item m="1" x="48"/>
        <item m="1" x="26"/>
        <item m="1" x="120"/>
        <item m="1" x="137"/>
        <item m="1" x="63"/>
        <item m="1" x="98"/>
        <item m="1" x="51"/>
        <item m="1" x="72"/>
        <item m="1" x="57"/>
        <item m="1" x="81"/>
        <item m="1" x="66"/>
        <item m="1" x="88"/>
        <item m="1" x="73"/>
        <item m="1" x="100"/>
        <item m="1" x="82"/>
        <item m="1" x="108"/>
        <item m="1" x="89"/>
        <item m="1" x="117"/>
        <item m="1" x="101"/>
        <item m="1" x="122"/>
        <item m="1" x="109"/>
        <item m="1" x="126"/>
        <item m="1" x="138"/>
        <item m="1" x="128"/>
        <item m="1" x="112"/>
        <item m="1" x="85"/>
        <item m="1" x="64"/>
        <item m="1" x="79"/>
        <item m="1" x="43"/>
        <item m="1" x="49"/>
        <item m="1" x="58"/>
        <item m="1" x="62"/>
        <item m="1" x="94"/>
        <item m="1" x="139"/>
        <item m="1" x="129"/>
        <item m="1" x="113"/>
        <item m="1" x="80"/>
        <item m="1" x="147"/>
        <item m="1" x="96"/>
        <item m="1" x="84"/>
        <item m="1" x="116"/>
        <item m="1" x="97"/>
        <item m="1" x="76"/>
        <item m="1" x="83"/>
        <item m="1" x="37"/>
        <item m="1" x="102"/>
        <item m="1" x="118"/>
        <item m="1" x="127"/>
        <item m="1" x="135"/>
        <item m="1" x="146"/>
        <item m="1" x="34"/>
        <item m="1" x="53"/>
        <item m="1" x="145"/>
        <item m="1" x="35"/>
        <item m="1" x="103"/>
        <item m="1" x="78"/>
        <item m="1" x="93"/>
        <item m="1" x="38"/>
        <item m="1" x="144"/>
        <item m="1" x="125"/>
        <item m="1" x="75"/>
        <item m="1" x="136"/>
        <item m="1" x="95"/>
        <item m="1" x="115"/>
        <item m="1" x="130"/>
        <item m="1" x="67"/>
        <item m="1" x="90"/>
        <item m="1" x="25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39">
    <i>
      <x v="3"/>
      <x v="12"/>
      <x v="4"/>
      <x/>
    </i>
    <i r="1">
      <x v="124"/>
      <x v="3"/>
      <x v="1"/>
    </i>
    <i r="1">
      <x v="125"/>
      <x/>
      <x v="2"/>
    </i>
    <i r="2">
      <x v="1"/>
      <x v="2"/>
    </i>
    <i r="2">
      <x v="2"/>
      <x v="2"/>
    </i>
    <i r="1">
      <x v="126"/>
      <x v="3"/>
      <x v="1"/>
    </i>
    <i r="1">
      <x v="127"/>
      <x v="3"/>
      <x v="1"/>
    </i>
    <i r="1">
      <x v="128"/>
      <x v="3"/>
      <x v="1"/>
    </i>
    <i r="1">
      <x v="129"/>
      <x v="3"/>
      <x v="1"/>
    </i>
    <i r="1">
      <x v="130"/>
      <x v="3"/>
      <x v="1"/>
    </i>
    <i r="1">
      <x v="131"/>
      <x v="3"/>
      <x v="1"/>
    </i>
    <i r="1">
      <x v="132"/>
      <x v="3"/>
      <x v="1"/>
    </i>
    <i r="1">
      <x v="133"/>
      <x v="4"/>
      <x/>
    </i>
    <i r="1">
      <x v="134"/>
      <x v="4"/>
      <x/>
    </i>
    <i r="1">
      <x v="135"/>
      <x/>
      <x v="2"/>
    </i>
    <i r="2">
      <x v="1"/>
      <x v="2"/>
    </i>
    <i r="2">
      <x v="2"/>
      <x v="2"/>
    </i>
    <i r="1">
      <x v="136"/>
      <x/>
      <x v="2"/>
    </i>
    <i r="2">
      <x v="1"/>
      <x v="2"/>
    </i>
    <i r="2">
      <x v="2"/>
      <x v="2"/>
    </i>
    <i r="1">
      <x v="137"/>
      <x/>
      <x v="2"/>
    </i>
    <i r="2">
      <x v="1"/>
      <x v="2"/>
    </i>
    <i r="2">
      <x v="2"/>
      <x v="2"/>
    </i>
    <i r="1">
      <x v="138"/>
      <x/>
      <x v="2"/>
    </i>
    <i r="2">
      <x v="1"/>
      <x v="2"/>
    </i>
    <i r="2">
      <x v="2"/>
      <x v="2"/>
    </i>
    <i r="1">
      <x v="139"/>
      <x v="3"/>
      <x v="1"/>
    </i>
    <i r="1">
      <x v="140"/>
      <x v="3"/>
      <x v="1"/>
    </i>
    <i r="1">
      <x v="141"/>
      <x v="3"/>
      <x v="1"/>
    </i>
    <i r="1">
      <x v="142"/>
      <x v="3"/>
      <x v="1"/>
    </i>
    <i r="1">
      <x v="143"/>
      <x v="3"/>
      <x v="1"/>
    </i>
    <i r="1">
      <x v="144"/>
      <x v="3"/>
      <x v="1"/>
    </i>
    <i r="1">
      <x v="145"/>
      <x v="4"/>
      <x/>
    </i>
    <i r="1">
      <x v="146"/>
      <x/>
      <x v="2"/>
    </i>
    <i r="2">
      <x v="1"/>
      <x v="2"/>
    </i>
    <i r="2">
      <x v="2"/>
      <x v="2"/>
    </i>
    <i r="1">
      <x v="147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36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17">
        <item m="1" x="29"/>
        <item m="1" x="52"/>
        <item m="1" x="24"/>
        <item m="1" x="104"/>
        <item m="1" x="87"/>
        <item m="1" x="57"/>
        <item m="1" x="113"/>
        <item m="1" x="45"/>
        <item m="1" x="49"/>
        <item x="1"/>
        <item m="1" x="82"/>
        <item m="1" x="94"/>
        <item m="1" x="99"/>
        <item m="1" x="23"/>
        <item m="1" x="51"/>
        <item m="1" x="41"/>
        <item m="1" x="116"/>
        <item m="1" x="111"/>
        <item m="1" x="39"/>
        <item m="1" x="33"/>
        <item m="1" x="105"/>
        <item m="1" x="25"/>
        <item m="1" x="58"/>
        <item m="1" x="44"/>
        <item m="1" x="69"/>
        <item m="1" x="96"/>
        <item m="1" x="60"/>
        <item m="1" x="30"/>
        <item m="1" x="54"/>
        <item m="1" x="83"/>
        <item m="1" x="73"/>
        <item m="1" x="31"/>
        <item m="1" x="90"/>
        <item m="1" x="22"/>
        <item m="1" x="110"/>
        <item m="1" x="78"/>
        <item m="1" x="98"/>
        <item m="1" x="53"/>
        <item m="1" x="112"/>
        <item m="1" x="81"/>
        <item m="1" x="35"/>
        <item m="1" x="72"/>
        <item m="1" x="86"/>
        <item m="1" x="97"/>
        <item m="1" x="103"/>
        <item m="1" x="21"/>
        <item m="1" x="34"/>
        <item m="1" x="43"/>
        <item m="1" x="36"/>
        <item m="1" x="20"/>
        <item m="1" x="95"/>
        <item m="1" x="107"/>
        <item m="1" x="47"/>
        <item m="1" x="77"/>
        <item m="1" x="38"/>
        <item m="1" x="55"/>
        <item m="1" x="42"/>
        <item m="1" x="63"/>
        <item m="1" x="50"/>
        <item m="1" x="70"/>
        <item m="1" x="56"/>
        <item m="1" x="79"/>
        <item m="1" x="64"/>
        <item m="1" x="84"/>
        <item m="1" x="71"/>
        <item m="1" x="92"/>
        <item m="1" x="85"/>
        <item m="1" x="100"/>
        <item m="1" x="108"/>
        <item m="1" x="88"/>
        <item m="1" x="67"/>
        <item m="1" x="48"/>
        <item m="1" x="61"/>
        <item m="1" x="32"/>
        <item m="1" x="37"/>
        <item m="1" x="46"/>
        <item m="1" x="74"/>
        <item m="1" x="109"/>
        <item m="1" x="102"/>
        <item m="1" x="89"/>
        <item m="1" x="62"/>
        <item m="1" x="75"/>
        <item m="1" x="66"/>
        <item m="1" x="91"/>
        <item m="1" x="76"/>
        <item m="1" x="59"/>
        <item m="1" x="65"/>
        <item m="1" x="28"/>
        <item m="1" x="68"/>
        <item m="1" x="80"/>
        <item m="1" x="93"/>
        <item m="1" x="101"/>
        <item m="1" x="106"/>
        <item m="1" x="115"/>
        <item m="1" x="26"/>
        <item m="1" x="40"/>
        <item m="1" x="114"/>
        <item m="1" x="27"/>
        <item m="1" x="19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  <pivotField axis="axisRow" compact="0" outline="0" showAll="0" defaultSubtotal="0">
      <items count="13">
        <item m="1" x="12"/>
        <item x="1"/>
        <item x="2"/>
        <item x="3"/>
        <item x="4"/>
        <item x="5"/>
        <item x="6"/>
        <item x="0"/>
        <item m="1" x="9"/>
        <item m="1" x="10"/>
        <item m="1" x="11"/>
        <item m="1" x="8"/>
        <item x="7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34">
    <i>
      <x v="3"/>
      <x v="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99"/>
      <x v="7"/>
      <x v="1"/>
    </i>
    <i r="1">
      <x v="100"/>
      <x v="7"/>
      <x v="1"/>
    </i>
    <i r="1">
      <x v="101"/>
      <x v="7"/>
      <x v="1"/>
    </i>
    <i r="1">
      <x v="102"/>
      <x v="7"/>
      <x v="1"/>
    </i>
    <i r="1">
      <x v="103"/>
      <x v="7"/>
      <x v="1"/>
    </i>
    <i r="1">
      <x v="104"/>
      <x v="7"/>
      <x v="1"/>
    </i>
    <i r="1">
      <x v="105"/>
      <x v="7"/>
      <x v="1"/>
    </i>
    <i r="1">
      <x v="106"/>
      <x v="7"/>
      <x v="1"/>
    </i>
    <i r="1">
      <x v="107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8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9"/>
      <x v="7"/>
      <x v="1"/>
    </i>
    <i r="1">
      <x v="110"/>
      <x v="7"/>
      <x v="1"/>
    </i>
    <i r="1">
      <x v="111"/>
      <x v="7"/>
      <x v="1"/>
    </i>
    <i r="1">
      <x v="112"/>
      <x v="7"/>
      <x v="1"/>
    </i>
    <i r="1">
      <x v="113"/>
      <x v="7"/>
      <x v="1"/>
    </i>
    <i r="1">
      <x v="114"/>
      <x v="7"/>
      <x v="1"/>
    </i>
    <i r="1">
      <x v="115"/>
      <x v="12"/>
      <x v="2"/>
    </i>
    <i r="1">
      <x v="116"/>
      <x v="12"/>
      <x v="2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25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9">
        <item m="1" x="48"/>
        <item m="1" x="24"/>
        <item m="1" x="49"/>
        <item m="1" x="25"/>
        <item m="1" x="50"/>
        <item m="1" x="26"/>
        <item m="1" x="51"/>
        <item m="1" x="27"/>
        <item m="1" x="83"/>
        <item m="1" x="38"/>
        <item x="12"/>
        <item m="1" x="82"/>
        <item m="1" x="69"/>
        <item m="1" x="86"/>
        <item m="1" x="71"/>
        <item x="0"/>
        <item x="1"/>
        <item m="1" x="63"/>
        <item m="1" x="31"/>
        <item m="1" x="80"/>
        <item m="1" x="70"/>
        <item m="1" x="68"/>
        <item m="1" x="34"/>
        <item m="1" x="78"/>
        <item m="1" x="43"/>
        <item m="1" x="79"/>
        <item m="1" x="44"/>
        <item m="1" x="77"/>
        <item m="1" x="95"/>
        <item m="1" x="37"/>
        <item m="1" x="98"/>
        <item m="1" x="65"/>
        <item m="1" x="32"/>
        <item m="1" x="93"/>
        <item m="1" x="89"/>
        <item m="1" x="66"/>
        <item m="1" x="33"/>
        <item m="1" x="94"/>
        <item m="1" x="90"/>
        <item m="1" x="28"/>
        <item m="1" x="62"/>
        <item m="1" x="46"/>
        <item m="1" x="36"/>
        <item m="1" x="87"/>
        <item m="1" x="58"/>
        <item m="1" x="88"/>
        <item m="1" x="59"/>
        <item m="1" x="45"/>
        <item m="1" x="40"/>
        <item m="1" x="67"/>
        <item m="1" x="42"/>
        <item m="1" x="97"/>
        <item m="1" x="91"/>
        <item m="1" x="41"/>
        <item m="1" x="39"/>
        <item m="1" x="84"/>
        <item m="1" x="92"/>
        <item m="1" x="29"/>
        <item m="1" x="47"/>
        <item m="1" x="60"/>
        <item m="1" x="81"/>
        <item m="1" x="96"/>
        <item m="1" x="30"/>
        <item m="1" x="57"/>
        <item m="1" x="61"/>
        <item m="1" x="85"/>
        <item m="1" x="64"/>
        <item m="1" x="35"/>
        <item m="1" x="52"/>
        <item m="1" x="72"/>
        <item m="1" x="53"/>
        <item m="1" x="73"/>
        <item m="1" x="54"/>
        <item m="1" x="74"/>
        <item m="1" x="55"/>
        <item m="1" x="75"/>
        <item m="1" x="56"/>
        <item m="1" x="76"/>
        <item m="1" x="23"/>
        <item x="2"/>
        <item x="3"/>
        <item x="4"/>
        <item x="5"/>
        <item x="6"/>
        <item x="7"/>
        <item x="8"/>
        <item x="9"/>
        <item x="10"/>
        <item x="11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3">
    <i>
      <x v="3"/>
      <x v="10"/>
      <x v="1"/>
      <x v="2"/>
    </i>
    <i r="1">
      <x v="15"/>
      <x/>
      <x/>
    </i>
    <i r="1">
      <x v="16"/>
      <x v="1"/>
      <x/>
    </i>
    <i r="1">
      <x v="79"/>
      <x v="3"/>
      <x v="1"/>
    </i>
    <i r="1">
      <x v="80"/>
      <x v="2"/>
      <x v="1"/>
    </i>
    <i r="1">
      <x v="81"/>
      <x/>
      <x/>
    </i>
    <i r="1">
      <x v="82"/>
      <x v="1"/>
      <x/>
    </i>
    <i r="1">
      <x v="83"/>
      <x/>
      <x/>
    </i>
    <i r="1">
      <x v="84"/>
      <x v="1"/>
      <x/>
    </i>
    <i r="1">
      <x v="85"/>
      <x v="3"/>
      <x v="1"/>
    </i>
    <i r="1">
      <x v="86"/>
      <x v="2"/>
      <x v="1"/>
    </i>
    <i r="1">
      <x v="87"/>
      <x v="3"/>
      <x v="1"/>
    </i>
    <i r="1">
      <x v="88"/>
      <x v="2"/>
      <x v="1"/>
    </i>
    <i r="1">
      <x v="89"/>
      <x v="3"/>
      <x v="1"/>
    </i>
    <i r="1">
      <x v="90"/>
      <x v="2"/>
      <x v="1"/>
    </i>
    <i r="1">
      <x v="91"/>
      <x v="3"/>
      <x v="1"/>
    </i>
    <i r="1">
      <x v="92"/>
      <x v="2"/>
      <x v="1"/>
    </i>
    <i r="1">
      <x v="93"/>
      <x/>
      <x/>
    </i>
    <i r="1">
      <x v="94"/>
      <x v="1"/>
      <x/>
    </i>
    <i r="1">
      <x v="95"/>
      <x v="3"/>
      <x v="1"/>
    </i>
    <i r="1">
      <x v="96"/>
      <x v="2"/>
      <x v="1"/>
    </i>
    <i r="1">
      <x v="97"/>
      <x v="3"/>
      <x v="1"/>
    </i>
    <i r="1">
      <x v="98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/>
      <x/>
    </i>
    <i r="1">
      <x v="5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341" tableType="queryTable" totalsRowShown="0">
  <autoFilter ref="A1:Y341" xr:uid="{C3D003CA-1AFF-426C-A03D-D3AF5760DF1A}"/>
  <sortState xmlns:xlrd2="http://schemas.microsoft.com/office/spreadsheetml/2017/richdata2" ref="A2:Y341">
    <sortCondition ref="D1:D34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70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9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8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7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6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5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4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3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2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1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60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9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8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7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391" tableType="queryTable" totalsRowShown="0">
  <autoFilter ref="A1:U39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6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5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4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3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2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1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50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9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8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1" tableType="queryTable" totalsRowShown="0">
  <autoFilter ref="A1:O2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31" tableType="queryTable" totalsRowShown="0">
  <autoFilter ref="A1:P23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baseColWidth="10" defaultColWidth="8.88671875" defaultRowHeight="14.4" x14ac:dyDescent="0.3"/>
  <cols>
    <col min="1" max="1" width="15.109375" bestFit="1" customWidth="1"/>
    <col min="2" max="2" width="80.88671875" bestFit="1" customWidth="1"/>
    <col min="3" max="3" width="18" bestFit="1" customWidth="1"/>
    <col min="4" max="4" width="11.6640625" bestFit="1" customWidth="1"/>
    <col min="5" max="5" width="22.33203125" bestFit="1" customWidth="1"/>
    <col min="6" max="6" width="24.109375" bestFit="1" customWidth="1"/>
    <col min="7" max="7" width="19.33203125" bestFit="1" customWidth="1"/>
    <col min="8" max="10" width="19.44140625" bestFit="1" customWidth="1"/>
    <col min="11" max="11" width="19.4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2</v>
      </c>
      <c r="E2">
        <v>10</v>
      </c>
      <c r="F2">
        <v>600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41"/>
  <sheetViews>
    <sheetView tabSelected="1" topLeftCell="Z1" zoomScale="136" workbookViewId="0">
      <selection activeCell="M20" sqref="A20:XFD28"/>
    </sheetView>
  </sheetViews>
  <sheetFormatPr baseColWidth="10" defaultColWidth="8.88671875" defaultRowHeight="14.4" x14ac:dyDescent="0.3"/>
  <cols>
    <col min="1" max="1" width="33.21875" customWidth="1"/>
    <col min="2" max="2" width="28.6640625" bestFit="1" customWidth="1"/>
    <col min="3" max="4" width="12.5546875" bestFit="1" customWidth="1"/>
    <col min="5" max="5" width="28.5546875" bestFit="1" customWidth="1"/>
    <col min="6" max="6" width="19.44140625" bestFit="1" customWidth="1"/>
    <col min="7" max="7" width="12" bestFit="1" customWidth="1"/>
    <col min="8" max="8" width="26.5546875" bestFit="1" customWidth="1"/>
    <col min="9" max="9" width="26.6640625" bestFit="1" customWidth="1"/>
    <col min="10" max="10" width="27" bestFit="1" customWidth="1"/>
    <col min="11" max="11" width="15.88671875" bestFit="1" customWidth="1"/>
    <col min="12" max="12" width="16.33203125" bestFit="1" customWidth="1"/>
    <col min="13" max="13" width="29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8.33203125" customWidth="1"/>
    <col min="18" max="18" width="9" bestFit="1" customWidth="1"/>
    <col min="19" max="19" width="28.5546875" bestFit="1" customWidth="1"/>
    <col min="20" max="20" width="12" bestFit="1" customWidth="1"/>
    <col min="21" max="21" width="26.5546875" bestFit="1" customWidth="1"/>
    <col min="22" max="22" width="21.6640625" bestFit="1" customWidth="1"/>
    <col min="23" max="23" width="22" bestFit="1" customWidth="1"/>
    <col min="24" max="24" width="15.88671875" bestFit="1" customWidth="1"/>
    <col min="25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2.5546875" bestFit="1" customWidth="1"/>
    <col min="31" max="31" width="24.5546875" bestFit="1" customWidth="1"/>
    <col min="32" max="32" width="12" bestFit="1" customWidth="1"/>
    <col min="33" max="33" width="29" bestFit="1" customWidth="1"/>
    <col min="34" max="34" width="19.44140625" bestFit="1" customWidth="1"/>
    <col min="35" max="35" width="19.77734375" bestFit="1" customWidth="1"/>
    <col min="36" max="36" width="19.8867187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4.5546875" bestFit="1" customWidth="1"/>
    <col min="42" max="42" width="12" bestFit="1" customWidth="1"/>
    <col min="43" max="43" width="29" bestFit="1" customWidth="1"/>
    <col min="44" max="44" width="19.44140625" bestFit="1" customWidth="1"/>
    <col min="45" max="45" width="19.77734375" bestFit="1" customWidth="1"/>
    <col min="46" max="46" width="19.88671875" bestFit="1" customWidth="1"/>
    <col min="47" max="47" width="14.88671875" bestFit="1" customWidth="1"/>
    <col min="48" max="48" width="20.6640625" bestFit="1" customWidth="1"/>
    <col min="49" max="49" width="26.33203125" bestFit="1" customWidth="1"/>
    <col min="50" max="50" width="10" bestFit="1" customWidth="1"/>
    <col min="51" max="51" width="26.109375" bestFit="1" customWidth="1"/>
    <col min="52" max="52" width="26.88671875" bestFit="1" customWidth="1"/>
    <col min="53" max="53" width="27" bestFit="1" customWidth="1"/>
    <col min="54" max="54" width="24.88671875" bestFit="1" customWidth="1"/>
    <col min="55" max="55" width="29.21875" bestFit="1" customWidth="1"/>
    <col min="56" max="56" width="31.88671875" bestFit="1" customWidth="1"/>
    <col min="57" max="57" width="21.77734375" bestFit="1" customWidth="1"/>
  </cols>
  <sheetData>
    <row r="1" spans="1:52" ht="18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72</v>
      </c>
      <c r="C3" t="s">
        <v>73</v>
      </c>
      <c r="D3" t="s">
        <v>74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269.39999999999998</v>
      </c>
      <c r="O3" t="s">
        <v>66</v>
      </c>
      <c r="P3" t="s">
        <v>72</v>
      </c>
      <c r="Q3" t="s">
        <v>100</v>
      </c>
      <c r="R3" t="s">
        <v>74</v>
      </c>
      <c r="S3" s="5">
        <v>1.938691833558875</v>
      </c>
      <c r="T3" s="5">
        <v>0.17474003459724646</v>
      </c>
      <c r="U3" s="5">
        <v>0.24426972485872975</v>
      </c>
      <c r="V3" s="5">
        <v>1.6635577018983201</v>
      </c>
      <c r="W3" s="5">
        <v>2.3099874805957801</v>
      </c>
      <c r="X3" s="5">
        <v>0</v>
      </c>
      <c r="Y3" s="5">
        <v>12</v>
      </c>
      <c r="AA3" t="s">
        <v>66</v>
      </c>
      <c r="AB3" t="s">
        <v>113</v>
      </c>
      <c r="AC3" t="s">
        <v>114</v>
      </c>
      <c r="AD3" t="s">
        <v>91</v>
      </c>
      <c r="AE3" s="5">
        <v>11.2</v>
      </c>
      <c r="AF3" s="5">
        <v>1.7457574910020446</v>
      </c>
      <c r="AG3" s="5">
        <v>2.4404006956964146</v>
      </c>
      <c r="AH3" s="5">
        <v>8</v>
      </c>
      <c r="AI3" s="5">
        <v>14</v>
      </c>
      <c r="AK3" t="s">
        <v>66</v>
      </c>
      <c r="AL3" t="s">
        <v>132</v>
      </c>
      <c r="AM3" t="s">
        <v>119</v>
      </c>
      <c r="AN3" t="s">
        <v>133</v>
      </c>
      <c r="AO3" s="5">
        <v>653</v>
      </c>
      <c r="AP3" s="5">
        <v>35.815504007612013</v>
      </c>
      <c r="AQ3" s="5">
        <v>50.066622281382898</v>
      </c>
      <c r="AR3" s="5">
        <v>594</v>
      </c>
      <c r="AS3" s="5">
        <v>722</v>
      </c>
      <c r="AU3" t="s">
        <v>144</v>
      </c>
      <c r="AV3" t="s">
        <v>144</v>
      </c>
      <c r="AW3" t="s">
        <v>144</v>
      </c>
      <c r="AX3" t="s">
        <v>144</v>
      </c>
      <c r="AY3" s="4"/>
      <c r="AZ3" s="4"/>
    </row>
    <row r="4" spans="1:52" x14ac:dyDescent="0.3">
      <c r="C4" t="s">
        <v>75</v>
      </c>
      <c r="D4" t="s">
        <v>74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269.39999999999998</v>
      </c>
      <c r="P4" t="s">
        <v>69</v>
      </c>
      <c r="Q4" t="s">
        <v>99</v>
      </c>
      <c r="R4" t="s">
        <v>71</v>
      </c>
      <c r="S4" s="5">
        <v>4.3234278073230802E-4</v>
      </c>
      <c r="T4" s="5">
        <v>6.1986166264068276E-4</v>
      </c>
      <c r="U4" s="5">
        <v>8.6650685478403973E-4</v>
      </c>
      <c r="V4" s="5">
        <v>0</v>
      </c>
      <c r="W4" s="5">
        <v>2.8294284227636502E-3</v>
      </c>
      <c r="X4" s="5">
        <v>0</v>
      </c>
      <c r="Y4" s="5">
        <v>3</v>
      </c>
      <c r="AB4" t="s">
        <v>115</v>
      </c>
      <c r="AC4" t="s">
        <v>114</v>
      </c>
      <c r="AD4" t="s">
        <v>91</v>
      </c>
      <c r="AE4" s="5">
        <v>3.9</v>
      </c>
      <c r="AF4" s="5">
        <v>1.5978083629043778</v>
      </c>
      <c r="AG4" s="5">
        <v>2.2335820757001272</v>
      </c>
      <c r="AH4" s="5">
        <v>0</v>
      </c>
      <c r="AI4" s="5">
        <v>6</v>
      </c>
      <c r="AL4" t="s">
        <v>116</v>
      </c>
      <c r="AM4" t="s">
        <v>117</v>
      </c>
      <c r="AN4" t="s">
        <v>74</v>
      </c>
      <c r="AO4" s="5">
        <v>677.4</v>
      </c>
      <c r="AP4" s="5">
        <v>36.042126577273301</v>
      </c>
      <c r="AQ4" s="5">
        <v>50.383418789209699</v>
      </c>
      <c r="AR4" s="5">
        <v>612</v>
      </c>
      <c r="AS4" s="5">
        <v>757</v>
      </c>
    </row>
    <row r="5" spans="1:52" x14ac:dyDescent="0.3">
      <c r="C5" t="s">
        <v>76</v>
      </c>
      <c r="D5" t="s">
        <v>74</v>
      </c>
      <c r="E5" s="5">
        <v>4.2506265349951864</v>
      </c>
      <c r="F5" s="5">
        <v>1</v>
      </c>
      <c r="G5" s="5">
        <v>0.23980388299587996</v>
      </c>
      <c r="H5" s="5">
        <v>0.33522271329790426</v>
      </c>
      <c r="I5" s="5">
        <v>3.68321155667787</v>
      </c>
      <c r="J5" s="5">
        <v>4.7905634672515101</v>
      </c>
      <c r="K5" s="5">
        <v>9.2046050770022703E-4</v>
      </c>
      <c r="L5" s="5">
        <v>29.442824674908099</v>
      </c>
      <c r="M5" s="5">
        <v>269.39999999999998</v>
      </c>
      <c r="P5" t="s">
        <v>101</v>
      </c>
      <c r="Q5" t="s">
        <v>102</v>
      </c>
      <c r="R5" t="s">
        <v>103</v>
      </c>
      <c r="S5" s="5">
        <v>0.26535205929836458</v>
      </c>
      <c r="T5" s="5">
        <v>1.8461926485074727E-2</v>
      </c>
      <c r="U5" s="5">
        <v>2.5807993647623796E-2</v>
      </c>
      <c r="V5" s="5">
        <v>0.20483176768320299</v>
      </c>
      <c r="W5" s="5">
        <v>0.29552077299252399</v>
      </c>
      <c r="X5" s="5">
        <v>0</v>
      </c>
      <c r="Y5" s="5">
        <v>1</v>
      </c>
      <c r="AL5" t="s">
        <v>118</v>
      </c>
      <c r="AM5" t="s">
        <v>119</v>
      </c>
      <c r="AN5" t="s">
        <v>74</v>
      </c>
      <c r="AO5" s="5">
        <v>673.8</v>
      </c>
      <c r="AP5" s="5">
        <v>36.843465729291147</v>
      </c>
      <c r="AQ5" s="5">
        <v>51.503613681199326</v>
      </c>
      <c r="AR5" s="5">
        <v>608</v>
      </c>
      <c r="AS5" s="5">
        <v>755</v>
      </c>
    </row>
    <row r="6" spans="1:52" x14ac:dyDescent="0.3">
      <c r="C6" t="s">
        <v>77</v>
      </c>
      <c r="D6" t="s">
        <v>74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269.39999999999998</v>
      </c>
      <c r="Q6" t="s">
        <v>104</v>
      </c>
      <c r="R6" t="s">
        <v>103</v>
      </c>
      <c r="S6" s="5">
        <v>0.26535205929836458</v>
      </c>
      <c r="T6" s="5">
        <v>1.8461926485074727E-2</v>
      </c>
      <c r="U6" s="5">
        <v>2.5807993647623796E-2</v>
      </c>
      <c r="V6" s="5">
        <v>0.20483176768320299</v>
      </c>
      <c r="W6" s="5">
        <v>0.29552077299252399</v>
      </c>
      <c r="X6" s="5">
        <v>0</v>
      </c>
      <c r="Y6" s="5">
        <v>1</v>
      </c>
      <c r="AL6" t="s">
        <v>120</v>
      </c>
      <c r="AM6" t="s">
        <v>121</v>
      </c>
      <c r="AN6" t="s">
        <v>103</v>
      </c>
      <c r="AO6" s="5">
        <v>161.5</v>
      </c>
      <c r="AP6" s="5">
        <v>9.8561887311626997</v>
      </c>
      <c r="AQ6" s="5">
        <v>13.778001790293589</v>
      </c>
      <c r="AR6" s="5">
        <v>147</v>
      </c>
      <c r="AS6" s="5">
        <v>191</v>
      </c>
    </row>
    <row r="7" spans="1:52" x14ac:dyDescent="0.3">
      <c r="C7" t="s">
        <v>78</v>
      </c>
      <c r="D7" t="s">
        <v>74</v>
      </c>
      <c r="E7" s="5">
        <v>2.4755245358865192</v>
      </c>
      <c r="F7" s="5">
        <v>1</v>
      </c>
      <c r="G7" s="5">
        <v>5.1978433420592413E-2</v>
      </c>
      <c r="H7" s="5">
        <v>7.2660839626707885E-2</v>
      </c>
      <c r="I7" s="5">
        <v>2.3277411765877201</v>
      </c>
      <c r="J7" s="5">
        <v>2.5948904259568901</v>
      </c>
      <c r="K7" s="5">
        <v>9.2046050770022703E-4</v>
      </c>
      <c r="L7" s="5">
        <v>25.940347636007399</v>
      </c>
      <c r="M7" s="5">
        <v>269.39999999999998</v>
      </c>
      <c r="Q7" t="s">
        <v>105</v>
      </c>
      <c r="R7" t="s">
        <v>103</v>
      </c>
      <c r="S7" s="5">
        <v>1</v>
      </c>
      <c r="T7" s="5">
        <v>0</v>
      </c>
      <c r="U7" s="5">
        <v>0</v>
      </c>
      <c r="V7" s="5">
        <v>1</v>
      </c>
      <c r="W7" s="5">
        <v>1</v>
      </c>
      <c r="X7" s="5">
        <v>1</v>
      </c>
      <c r="Y7" s="5">
        <v>1</v>
      </c>
      <c r="AL7" t="s">
        <v>122</v>
      </c>
      <c r="AM7" t="s">
        <v>123</v>
      </c>
      <c r="AN7" t="s">
        <v>103</v>
      </c>
      <c r="AO7" s="5">
        <v>0.26535205929836458</v>
      </c>
      <c r="AP7" s="5">
        <v>1.8461926485074727E-2</v>
      </c>
      <c r="AQ7" s="5">
        <v>2.5807993647623796E-2</v>
      </c>
      <c r="AR7" s="5">
        <v>0.20483176768320299</v>
      </c>
      <c r="AS7" s="5">
        <v>0.29552077299252399</v>
      </c>
    </row>
    <row r="8" spans="1:52" x14ac:dyDescent="0.3">
      <c r="C8" t="s">
        <v>79</v>
      </c>
      <c r="D8" t="s">
        <v>74</v>
      </c>
      <c r="E8" s="5">
        <v>1.7751019991086672</v>
      </c>
      <c r="F8" s="5">
        <v>1</v>
      </c>
      <c r="G8" s="5">
        <v>0.23054412395004534</v>
      </c>
      <c r="H8" s="5">
        <v>0.32227846271676236</v>
      </c>
      <c r="I8" s="5">
        <v>1.3209394716032301</v>
      </c>
      <c r="J8" s="5">
        <v>2.3332172655150498</v>
      </c>
      <c r="K8" s="5">
        <v>0</v>
      </c>
      <c r="L8" s="5">
        <v>21.652390393913599</v>
      </c>
      <c r="M8" s="5">
        <v>269.39999999999998</v>
      </c>
      <c r="P8" t="s">
        <v>80</v>
      </c>
      <c r="Q8" t="s">
        <v>99</v>
      </c>
      <c r="R8" t="s">
        <v>71</v>
      </c>
      <c r="S8" s="5">
        <v>0.20353568461890376</v>
      </c>
      <c r="T8" s="5">
        <v>1.899214253405495E-2</v>
      </c>
      <c r="U8" s="5">
        <v>2.6549184575613477E-2</v>
      </c>
      <c r="V8" s="5">
        <v>0.168502364443611</v>
      </c>
      <c r="W8" s="5">
        <v>0.24578450490959</v>
      </c>
      <c r="X8" s="5">
        <v>0</v>
      </c>
      <c r="Y8" s="5">
        <v>6</v>
      </c>
      <c r="AL8" t="s">
        <v>124</v>
      </c>
      <c r="AM8" t="s">
        <v>117</v>
      </c>
      <c r="AN8" t="s">
        <v>74</v>
      </c>
      <c r="AO8" s="5">
        <v>241.3</v>
      </c>
      <c r="AP8" s="5">
        <v>18.306708629960106</v>
      </c>
      <c r="AQ8" s="5">
        <v>25.59101404790356</v>
      </c>
      <c r="AR8" s="5">
        <v>207</v>
      </c>
      <c r="AS8" s="5">
        <v>287</v>
      </c>
    </row>
    <row r="9" spans="1:52" x14ac:dyDescent="0.3">
      <c r="B9" t="s">
        <v>69</v>
      </c>
      <c r="C9" t="s">
        <v>70</v>
      </c>
      <c r="D9" t="s">
        <v>71</v>
      </c>
      <c r="E9" s="5">
        <v>6.6069120213030613E-4</v>
      </c>
      <c r="F9" s="5">
        <v>1</v>
      </c>
      <c r="G9" s="5">
        <v>8.9725708479665997E-4</v>
      </c>
      <c r="H9" s="5">
        <v>1.2542789163112584E-3</v>
      </c>
      <c r="I9" s="5">
        <v>0</v>
      </c>
      <c r="J9" s="5">
        <v>4.0809063789860297E-3</v>
      </c>
      <c r="K9" s="5">
        <v>0</v>
      </c>
      <c r="L9" s="5">
        <v>0.51873880735769295</v>
      </c>
      <c r="M9" s="5">
        <v>368.6</v>
      </c>
      <c r="P9" t="s">
        <v>81</v>
      </c>
      <c r="Q9" t="s">
        <v>99</v>
      </c>
      <c r="R9" t="s">
        <v>71</v>
      </c>
      <c r="S9" s="5">
        <v>4.8729672989697272E-3</v>
      </c>
      <c r="T9" s="5">
        <v>6.5910080435457321E-4</v>
      </c>
      <c r="U9" s="5">
        <v>9.2135939256816457E-4</v>
      </c>
      <c r="V9" s="5">
        <v>3.2012309459038099E-3</v>
      </c>
      <c r="W9" s="5">
        <v>6.0338305270789001E-3</v>
      </c>
      <c r="X9" s="5">
        <v>0</v>
      </c>
      <c r="Y9" s="5">
        <v>3</v>
      </c>
      <c r="AL9" t="s">
        <v>125</v>
      </c>
      <c r="AM9" t="s">
        <v>119</v>
      </c>
      <c r="AN9" t="s">
        <v>74</v>
      </c>
      <c r="AO9" s="5">
        <v>224.5</v>
      </c>
      <c r="AP9" s="5">
        <v>14.888477491497007</v>
      </c>
      <c r="AQ9" s="5">
        <v>20.812656405818711</v>
      </c>
      <c r="AR9" s="5">
        <v>199</v>
      </c>
      <c r="AS9" s="5">
        <v>256</v>
      </c>
    </row>
    <row r="10" spans="1:52" x14ac:dyDescent="0.3">
      <c r="B10" t="s">
        <v>80</v>
      </c>
      <c r="C10" t="s">
        <v>70</v>
      </c>
      <c r="D10" t="s">
        <v>71</v>
      </c>
      <c r="E10" s="5">
        <v>0.3008886226313745</v>
      </c>
      <c r="F10" s="5">
        <v>1</v>
      </c>
      <c r="G10" s="5">
        <v>1.3831224287145314E-2</v>
      </c>
      <c r="H10" s="5">
        <v>1.933471833668508E-2</v>
      </c>
      <c r="I10" s="5">
        <v>0.26888675177172</v>
      </c>
      <c r="J10" s="5">
        <v>0.33364412431166102</v>
      </c>
      <c r="K10" s="5">
        <v>0</v>
      </c>
      <c r="L10" s="5">
        <v>1.85671172404545</v>
      </c>
      <c r="M10" s="5">
        <v>404.1</v>
      </c>
      <c r="P10" t="s">
        <v>82</v>
      </c>
      <c r="Q10" t="s">
        <v>99</v>
      </c>
      <c r="R10" t="s">
        <v>71</v>
      </c>
      <c r="S10" s="5">
        <v>4.8788152574119628E-2</v>
      </c>
      <c r="T10" s="5">
        <v>3.7942008323176655E-3</v>
      </c>
      <c r="U10" s="5">
        <v>5.3039270336942244E-3</v>
      </c>
      <c r="V10" s="5">
        <v>4.1058101580258903E-2</v>
      </c>
      <c r="W10" s="5">
        <v>5.6386723112129902E-2</v>
      </c>
      <c r="X10" s="5">
        <v>0</v>
      </c>
      <c r="Y10" s="5">
        <v>3</v>
      </c>
      <c r="AL10" t="s">
        <v>126</v>
      </c>
      <c r="AM10" t="s">
        <v>117</v>
      </c>
      <c r="AN10" t="s">
        <v>74</v>
      </c>
      <c r="AO10" s="5">
        <v>163.1</v>
      </c>
      <c r="AP10" s="5">
        <v>10.280862082193972</v>
      </c>
      <c r="AQ10" s="5">
        <v>14.371654200002325</v>
      </c>
      <c r="AR10" s="5">
        <v>149</v>
      </c>
      <c r="AS10" s="5">
        <v>191</v>
      </c>
    </row>
    <row r="11" spans="1:52" x14ac:dyDescent="0.3">
      <c r="B11" t="s">
        <v>81</v>
      </c>
      <c r="C11" t="s">
        <v>70</v>
      </c>
      <c r="D11" t="s">
        <v>71</v>
      </c>
      <c r="E11" s="5">
        <v>0.1517737400408988</v>
      </c>
      <c r="F11" s="5">
        <v>1</v>
      </c>
      <c r="G11" s="5">
        <v>2.4157187971826054E-2</v>
      </c>
      <c r="H11" s="5">
        <v>3.3769420229538806E-2</v>
      </c>
      <c r="I11" s="5">
        <v>0.10109150355485701</v>
      </c>
      <c r="J11" s="5">
        <v>0.208761085607581</v>
      </c>
      <c r="K11" s="5">
        <v>0</v>
      </c>
      <c r="L11" s="5">
        <v>0.943557278707431</v>
      </c>
      <c r="M11" s="5">
        <v>19.5</v>
      </c>
      <c r="P11" t="s">
        <v>83</v>
      </c>
      <c r="Q11" t="s">
        <v>99</v>
      </c>
      <c r="R11" t="s">
        <v>71</v>
      </c>
      <c r="S11" s="5">
        <v>3.227619592382791E-3</v>
      </c>
      <c r="T11" s="5">
        <v>1.0793080033525183E-3</v>
      </c>
      <c r="U11" s="5">
        <v>1.5087685522347895E-3</v>
      </c>
      <c r="V11" s="5">
        <v>4.7201486102630699E-4</v>
      </c>
      <c r="W11" s="5">
        <v>6.2452549613019898E-3</v>
      </c>
      <c r="X11" s="5">
        <v>0</v>
      </c>
      <c r="Y11" s="5">
        <v>1</v>
      </c>
      <c r="AL11" t="s">
        <v>127</v>
      </c>
      <c r="AM11" t="s">
        <v>119</v>
      </c>
      <c r="AN11" t="s">
        <v>74</v>
      </c>
      <c r="AO11" s="5">
        <v>159.1</v>
      </c>
      <c r="AP11" s="5">
        <v>10.12482064704977</v>
      </c>
      <c r="AQ11" s="5">
        <v>14.153523314787106</v>
      </c>
      <c r="AR11" s="5">
        <v>145</v>
      </c>
      <c r="AS11" s="5">
        <v>189</v>
      </c>
    </row>
    <row r="12" spans="1:52" x14ac:dyDescent="0.3">
      <c r="B12" t="s">
        <v>82</v>
      </c>
      <c r="C12" t="s">
        <v>70</v>
      </c>
      <c r="D12" t="s">
        <v>71</v>
      </c>
      <c r="E12" s="5">
        <v>0.13862345355425409</v>
      </c>
      <c r="F12" s="5">
        <v>1</v>
      </c>
      <c r="G12" s="5">
        <v>4.4785328231882185E-3</v>
      </c>
      <c r="H12" s="5">
        <v>6.2605571929319906E-3</v>
      </c>
      <c r="I12" s="5">
        <v>0.12897832957149399</v>
      </c>
      <c r="J12" s="5">
        <v>0.14853803844049199</v>
      </c>
      <c r="K12" s="5">
        <v>0</v>
      </c>
      <c r="L12" s="5">
        <v>0.68196988748354703</v>
      </c>
      <c r="M12" s="5">
        <v>211.1</v>
      </c>
      <c r="P12" t="s">
        <v>84</v>
      </c>
      <c r="Q12" t="s">
        <v>99</v>
      </c>
      <c r="R12" t="s">
        <v>71</v>
      </c>
      <c r="S12" s="5">
        <v>5.9441954240945373E-2</v>
      </c>
      <c r="T12" s="5">
        <v>8.2404875707479553E-3</v>
      </c>
      <c r="U12" s="5">
        <v>1.1519407308393107E-2</v>
      </c>
      <c r="V12" s="5">
        <v>4.5386728660866099E-2</v>
      </c>
      <c r="W12" s="5">
        <v>7.8633362228088005E-2</v>
      </c>
      <c r="X12" s="5">
        <v>0</v>
      </c>
      <c r="Y12" s="5">
        <v>3</v>
      </c>
      <c r="AL12" t="s">
        <v>128</v>
      </c>
      <c r="AM12" t="s">
        <v>121</v>
      </c>
      <c r="AN12" t="s">
        <v>103</v>
      </c>
      <c r="AO12" s="5">
        <v>231.5</v>
      </c>
      <c r="AP12" s="5">
        <v>14.892296029003113</v>
      </c>
      <c r="AQ12" s="5">
        <v>20.817994353176505</v>
      </c>
      <c r="AR12" s="5">
        <v>202</v>
      </c>
      <c r="AS12" s="5">
        <v>264</v>
      </c>
    </row>
    <row r="13" spans="1:52" x14ac:dyDescent="0.3">
      <c r="B13" t="s">
        <v>83</v>
      </c>
      <c r="C13" t="s">
        <v>70</v>
      </c>
      <c r="D13" t="s">
        <v>71</v>
      </c>
      <c r="E13" s="5">
        <v>0.25786916325077475</v>
      </c>
      <c r="F13" s="5">
        <v>1</v>
      </c>
      <c r="G13" s="5">
        <v>7.1988033089844278E-2</v>
      </c>
      <c r="H13" s="5">
        <v>0.10063233120279175</v>
      </c>
      <c r="I13" s="5">
        <v>7.08022291539461E-2</v>
      </c>
      <c r="J13" s="5">
        <v>0.399056420325756</v>
      </c>
      <c r="K13" s="5">
        <v>0</v>
      </c>
      <c r="L13" s="5">
        <v>1.47939229109431</v>
      </c>
      <c r="M13" s="5">
        <v>7.6</v>
      </c>
      <c r="P13" t="s">
        <v>85</v>
      </c>
      <c r="Q13" t="s">
        <v>99</v>
      </c>
      <c r="R13" t="s">
        <v>71</v>
      </c>
      <c r="S13" s="5">
        <v>2.1217771776478596E-3</v>
      </c>
      <c r="T13" s="5">
        <v>5.7410933182579346E-4</v>
      </c>
      <c r="U13" s="5">
        <v>8.0254950645480523E-4</v>
      </c>
      <c r="V13" s="5">
        <v>9.0451064743319795E-4</v>
      </c>
      <c r="W13" s="5">
        <v>3.5490296241417699E-3</v>
      </c>
      <c r="X13" s="5">
        <v>0</v>
      </c>
      <c r="Y13" s="5">
        <v>1</v>
      </c>
      <c r="AL13" t="s">
        <v>129</v>
      </c>
      <c r="AM13" t="s">
        <v>123</v>
      </c>
      <c r="AN13" t="s">
        <v>103</v>
      </c>
      <c r="AO13" s="5">
        <v>0.73175058451933661</v>
      </c>
      <c r="AP13" s="5">
        <v>4.3503341043041877E-2</v>
      </c>
      <c r="AQ13" s="5">
        <v>6.0813477412386734E-2</v>
      </c>
      <c r="AR13" s="5">
        <v>0.64995347349336796</v>
      </c>
      <c r="AS13" s="5">
        <v>0.82581624655093899</v>
      </c>
    </row>
    <row r="14" spans="1:52" x14ac:dyDescent="0.3">
      <c r="B14" t="s">
        <v>84</v>
      </c>
      <c r="C14" t="s">
        <v>70</v>
      </c>
      <c r="D14" t="s">
        <v>71</v>
      </c>
      <c r="E14" s="5">
        <v>0.23128742376476713</v>
      </c>
      <c r="F14" s="5">
        <v>1</v>
      </c>
      <c r="G14" s="5">
        <v>2.5514798376800749E-2</v>
      </c>
      <c r="H14" s="5">
        <v>3.5667228713169172E-2</v>
      </c>
      <c r="I14" s="5">
        <v>0.17915813945078701</v>
      </c>
      <c r="J14" s="5">
        <v>0.277529513746193</v>
      </c>
      <c r="K14" s="5">
        <v>0</v>
      </c>
      <c r="L14" s="5">
        <v>1.7322363982992499</v>
      </c>
      <c r="M14" s="5">
        <v>153.69999999999999</v>
      </c>
      <c r="P14" t="s">
        <v>86</v>
      </c>
      <c r="Q14" t="s">
        <v>99</v>
      </c>
      <c r="R14" t="s">
        <v>71</v>
      </c>
      <c r="S14" s="5">
        <v>1.3877246767065991E-3</v>
      </c>
      <c r="T14" s="5">
        <v>5.1416979795196457E-4</v>
      </c>
      <c r="U14" s="5">
        <v>7.1875981577935533E-4</v>
      </c>
      <c r="V14" s="5">
        <v>2.8555279956142001E-4</v>
      </c>
      <c r="W14" s="5">
        <v>2.50186012594582E-3</v>
      </c>
      <c r="X14" s="5">
        <v>0</v>
      </c>
      <c r="Y14" s="5">
        <v>1</v>
      </c>
      <c r="AL14" t="s">
        <v>130</v>
      </c>
      <c r="AM14" t="s">
        <v>121</v>
      </c>
      <c r="AN14" t="s">
        <v>103</v>
      </c>
      <c r="AO14" s="5">
        <v>368.6</v>
      </c>
      <c r="AP14" s="5">
        <v>20.919212659586112</v>
      </c>
      <c r="AQ14" s="5">
        <v>29.243042857328572</v>
      </c>
      <c r="AR14" s="5">
        <v>338</v>
      </c>
      <c r="AS14" s="5">
        <v>416</v>
      </c>
    </row>
    <row r="15" spans="1:52" x14ac:dyDescent="0.3">
      <c r="B15" t="s">
        <v>85</v>
      </c>
      <c r="C15" t="s">
        <v>70</v>
      </c>
      <c r="D15" t="s">
        <v>71</v>
      </c>
      <c r="E15" s="5">
        <v>0.17396237066656711</v>
      </c>
      <c r="F15" s="5">
        <v>1</v>
      </c>
      <c r="G15" s="5">
        <v>2.8833405419769982E-2</v>
      </c>
      <c r="H15" s="5">
        <v>4.0306321472700482E-2</v>
      </c>
      <c r="I15" s="5">
        <v>0.108541277691984</v>
      </c>
      <c r="J15" s="5">
        <v>0.23660238745968801</v>
      </c>
      <c r="K15" s="5">
        <v>0</v>
      </c>
      <c r="L15" s="5">
        <v>0.62071569718057196</v>
      </c>
      <c r="M15" s="5">
        <v>7.2</v>
      </c>
      <c r="P15" t="s">
        <v>87</v>
      </c>
      <c r="Q15" t="s">
        <v>100</v>
      </c>
      <c r="R15" t="s">
        <v>74</v>
      </c>
      <c r="S15" s="5">
        <v>13.037689788098451</v>
      </c>
      <c r="T15" s="5">
        <v>1.4043632028742961</v>
      </c>
      <c r="U15" s="5">
        <v>1.9631643885071912</v>
      </c>
      <c r="V15" s="5">
        <v>10.277307754823401</v>
      </c>
      <c r="W15" s="5">
        <v>16.425571484417201</v>
      </c>
      <c r="X15" s="5">
        <v>0</v>
      </c>
      <c r="Y15" s="5">
        <v>33</v>
      </c>
      <c r="AL15" t="s">
        <v>131</v>
      </c>
      <c r="AM15" t="s">
        <v>123</v>
      </c>
      <c r="AN15" t="s">
        <v>103</v>
      </c>
      <c r="AO15" s="5">
        <v>7.5958437118625627E-2</v>
      </c>
      <c r="AP15" s="5">
        <v>3.6177608968134627E-3</v>
      </c>
      <c r="AQ15" s="5">
        <v>5.0572810112240948E-3</v>
      </c>
      <c r="AR15" s="5">
        <v>6.7485948117393404E-2</v>
      </c>
      <c r="AS15" s="5">
        <v>8.7852447587946303E-2</v>
      </c>
    </row>
    <row r="16" spans="1:52" x14ac:dyDescent="0.3">
      <c r="B16" t="s">
        <v>86</v>
      </c>
      <c r="C16" t="s">
        <v>70</v>
      </c>
      <c r="D16" t="s">
        <v>71</v>
      </c>
      <c r="E16" s="5">
        <v>0.24363801759755802</v>
      </c>
      <c r="F16" s="5">
        <v>1</v>
      </c>
      <c r="G16" s="5">
        <v>0.11027212449042181</v>
      </c>
      <c r="H16" s="5">
        <v>0.15414980070793341</v>
      </c>
      <c r="I16" s="5">
        <v>0.123426281098375</v>
      </c>
      <c r="J16" s="5">
        <v>0.65491181441629098</v>
      </c>
      <c r="K16" s="5">
        <v>1.48746592609541E-2</v>
      </c>
      <c r="L16" s="5">
        <v>1.28977936785787</v>
      </c>
      <c r="M16" s="5">
        <v>3.6</v>
      </c>
      <c r="P16" t="s">
        <v>88</v>
      </c>
      <c r="Q16" t="s">
        <v>100</v>
      </c>
      <c r="R16" t="s">
        <v>74</v>
      </c>
      <c r="S16" s="5">
        <v>2.7356580954557046</v>
      </c>
      <c r="T16" s="5">
        <v>0.17651829781539885</v>
      </c>
      <c r="U16" s="5">
        <v>0.24675556542769644</v>
      </c>
      <c r="V16" s="5">
        <v>2.4605296674942401</v>
      </c>
      <c r="W16" s="5">
        <v>3.2916533376655202</v>
      </c>
      <c r="X16" s="5">
        <v>0</v>
      </c>
      <c r="Y16" s="5">
        <v>16</v>
      </c>
      <c r="AL16" t="s">
        <v>134</v>
      </c>
      <c r="AM16" t="s">
        <v>121</v>
      </c>
      <c r="AN16" t="s">
        <v>103</v>
      </c>
      <c r="AO16" s="5">
        <v>89.7</v>
      </c>
      <c r="AP16" s="5">
        <v>10.984604937751998</v>
      </c>
      <c r="AQ16" s="5">
        <v>15.3554188770248</v>
      </c>
      <c r="AR16" s="5">
        <v>72</v>
      </c>
      <c r="AS16" s="5">
        <v>119</v>
      </c>
    </row>
    <row r="17" spans="2:45" x14ac:dyDescent="0.3">
      <c r="B17" t="s">
        <v>87</v>
      </c>
      <c r="C17" t="s">
        <v>73</v>
      </c>
      <c r="D17" t="s">
        <v>74</v>
      </c>
      <c r="E17" s="5">
        <v>0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224.5</v>
      </c>
      <c r="P17" t="s">
        <v>106</v>
      </c>
      <c r="Q17" t="s">
        <v>102</v>
      </c>
      <c r="R17" t="s">
        <v>103</v>
      </c>
      <c r="S17" s="5">
        <v>0.73175058451933661</v>
      </c>
      <c r="T17" s="5">
        <v>4.3503341043041877E-2</v>
      </c>
      <c r="U17" s="5">
        <v>6.0813477412386734E-2</v>
      </c>
      <c r="V17" s="5">
        <v>0.64995347349336796</v>
      </c>
      <c r="W17" s="5">
        <v>0.82581624655093899</v>
      </c>
      <c r="X17" s="5">
        <v>0</v>
      </c>
      <c r="Y17" s="5">
        <v>1</v>
      </c>
      <c r="AL17" t="s">
        <v>135</v>
      </c>
      <c r="AM17" t="s">
        <v>123</v>
      </c>
      <c r="AN17" t="s">
        <v>103</v>
      </c>
      <c r="AO17" s="5">
        <v>0.38078385056341441</v>
      </c>
      <c r="AP17" s="5">
        <v>4.040472533000234E-2</v>
      </c>
      <c r="AQ17" s="5">
        <v>5.6481911326734656E-2</v>
      </c>
      <c r="AR17" s="5">
        <v>0.28913636698845602</v>
      </c>
      <c r="AS17" s="5">
        <v>0.46134650546047301</v>
      </c>
    </row>
    <row r="18" spans="2:45" x14ac:dyDescent="0.3">
      <c r="C18" t="s">
        <v>75</v>
      </c>
      <c r="D18" t="s">
        <v>74</v>
      </c>
      <c r="E18" s="5">
        <v>0</v>
      </c>
      <c r="F18" s="5">
        <v>1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224.5</v>
      </c>
      <c r="Q18" t="s">
        <v>104</v>
      </c>
      <c r="R18" t="s">
        <v>103</v>
      </c>
      <c r="S18" s="5">
        <v>0.73175058451933661</v>
      </c>
      <c r="T18" s="5">
        <v>4.3503341043041877E-2</v>
      </c>
      <c r="U18" s="5">
        <v>6.0813477412386734E-2</v>
      </c>
      <c r="V18" s="5">
        <v>0.64995347349336796</v>
      </c>
      <c r="W18" s="5">
        <v>0.82581624655093899</v>
      </c>
      <c r="X18" s="5">
        <v>0</v>
      </c>
      <c r="Y18" s="5">
        <v>1</v>
      </c>
      <c r="AL18" t="s">
        <v>136</v>
      </c>
      <c r="AM18" t="s">
        <v>121</v>
      </c>
      <c r="AN18" t="s">
        <v>103</v>
      </c>
      <c r="AO18" s="5">
        <v>181.1</v>
      </c>
      <c r="AP18" s="5">
        <v>6.9638687399111214</v>
      </c>
      <c r="AQ18" s="5">
        <v>9.7348172384830463</v>
      </c>
      <c r="AR18" s="5">
        <v>169</v>
      </c>
      <c r="AS18" s="5">
        <v>194</v>
      </c>
    </row>
    <row r="19" spans="2:45" x14ac:dyDescent="0.3">
      <c r="C19" t="s">
        <v>76</v>
      </c>
      <c r="D19" t="s">
        <v>74</v>
      </c>
      <c r="E19" s="5">
        <v>33.253502377545352</v>
      </c>
      <c r="F19" s="5">
        <v>1</v>
      </c>
      <c r="G19" s="5">
        <v>1.5149827825434223</v>
      </c>
      <c r="H19" s="5">
        <v>2.1177998980631196</v>
      </c>
      <c r="I19" s="5">
        <v>30.4429454447571</v>
      </c>
      <c r="J19" s="5">
        <v>37.550474842510702</v>
      </c>
      <c r="K19" s="5">
        <v>16.120227250597601</v>
      </c>
      <c r="L19" s="5">
        <v>113.799943366541</v>
      </c>
      <c r="M19" s="5">
        <v>224.5</v>
      </c>
      <c r="Q19" t="s">
        <v>105</v>
      </c>
      <c r="R19" t="s">
        <v>103</v>
      </c>
      <c r="S19" s="5">
        <v>1</v>
      </c>
      <c r="T19" s="5">
        <v>0</v>
      </c>
      <c r="U19" s="5">
        <v>0</v>
      </c>
      <c r="V19" s="5">
        <v>1</v>
      </c>
      <c r="W19" s="5">
        <v>1</v>
      </c>
      <c r="X19" s="5">
        <v>1</v>
      </c>
      <c r="Y19" s="5">
        <v>1</v>
      </c>
      <c r="AL19" t="s">
        <v>137</v>
      </c>
      <c r="AM19" t="s">
        <v>123</v>
      </c>
      <c r="AN19" t="s">
        <v>103</v>
      </c>
      <c r="AO19" s="5">
        <v>0.73571117943508912</v>
      </c>
      <c r="AP19" s="5">
        <v>1.7129373668915777E-2</v>
      </c>
      <c r="AQ19" s="5">
        <v>2.3945213257811505E-2</v>
      </c>
      <c r="AR19" s="5">
        <v>0.69752119636771104</v>
      </c>
      <c r="AS19" s="5">
        <v>0.77845968782647601</v>
      </c>
    </row>
    <row r="20" spans="2:45" x14ac:dyDescent="0.3">
      <c r="C20" t="s">
        <v>77</v>
      </c>
      <c r="D20" t="s">
        <v>74</v>
      </c>
      <c r="E20" s="5">
        <v>22.240004336080037</v>
      </c>
      <c r="F20" s="5">
        <v>1</v>
      </c>
      <c r="G20" s="5">
        <v>7.7759841254417442E-2</v>
      </c>
      <c r="H20" s="5">
        <v>0.10870076266182885</v>
      </c>
      <c r="I20" s="5">
        <v>22.093830728491</v>
      </c>
      <c r="J20" s="5">
        <v>22.3674390933379</v>
      </c>
      <c r="K20" s="5">
        <v>12.495157320109101</v>
      </c>
      <c r="L20" s="5">
        <v>24.7092274641826</v>
      </c>
      <c r="M20" s="5">
        <v>224.5</v>
      </c>
      <c r="P20" t="s">
        <v>107</v>
      </c>
      <c r="Q20" t="s">
        <v>102</v>
      </c>
      <c r="R20" t="s">
        <v>103</v>
      </c>
      <c r="S20" s="5">
        <v>7.5958437118625627E-2</v>
      </c>
      <c r="T20" s="5">
        <v>3.6177608968134627E-3</v>
      </c>
      <c r="U20" s="5">
        <v>5.0572810112240948E-3</v>
      </c>
      <c r="V20" s="5">
        <v>6.7485948117393404E-2</v>
      </c>
      <c r="W20" s="5">
        <v>8.7852447587946303E-2</v>
      </c>
      <c r="X20" s="5">
        <v>0</v>
      </c>
      <c r="Y20" s="5">
        <v>1</v>
      </c>
      <c r="AL20" t="s">
        <v>138</v>
      </c>
      <c r="AM20" t="s">
        <v>117</v>
      </c>
      <c r="AN20" t="s">
        <v>74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</row>
    <row r="21" spans="2:45" x14ac:dyDescent="0.3">
      <c r="C21" t="s">
        <v>78</v>
      </c>
      <c r="D21" t="s">
        <v>74</v>
      </c>
      <c r="E21" s="5">
        <v>3.080292683880868</v>
      </c>
      <c r="F21" s="5">
        <v>1</v>
      </c>
      <c r="G21" s="5">
        <v>0.20251734286579773</v>
      </c>
      <c r="H21" s="5">
        <v>0.28309972431314245</v>
      </c>
      <c r="I21" s="5">
        <v>2.6200471420642701</v>
      </c>
      <c r="J21" s="5">
        <v>3.5971036954125899</v>
      </c>
      <c r="K21" s="5">
        <v>6.7622472681705403E-4</v>
      </c>
      <c r="L21" s="5">
        <v>72.821351831539602</v>
      </c>
      <c r="M21" s="5">
        <v>224.5</v>
      </c>
      <c r="Q21" t="s">
        <v>104</v>
      </c>
      <c r="R21" t="s">
        <v>103</v>
      </c>
      <c r="S21" s="5">
        <v>0.1519168742372512</v>
      </c>
      <c r="T21" s="5">
        <v>7.2355217936269783E-3</v>
      </c>
      <c r="U21" s="5">
        <v>1.0114562022448264E-2</v>
      </c>
      <c r="V21" s="5">
        <v>0.134971896234787</v>
      </c>
      <c r="W21" s="5">
        <v>0.17570489517589299</v>
      </c>
      <c r="X21" s="5">
        <v>0</v>
      </c>
      <c r="Y21" s="5">
        <v>2</v>
      </c>
      <c r="AL21" t="s">
        <v>139</v>
      </c>
      <c r="AM21" t="s">
        <v>119</v>
      </c>
      <c r="AN21" t="s">
        <v>74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</row>
    <row r="22" spans="2:45" x14ac:dyDescent="0.3">
      <c r="C22" t="s">
        <v>79</v>
      </c>
      <c r="D22" t="s">
        <v>74</v>
      </c>
      <c r="E22" s="5">
        <v>7.9332053575844457</v>
      </c>
      <c r="F22" s="5">
        <v>1</v>
      </c>
      <c r="G22" s="5">
        <v>1.6033834549975641</v>
      </c>
      <c r="H22" s="5">
        <v>2.2413755170531835</v>
      </c>
      <c r="I22" s="5">
        <v>4.95941310790713</v>
      </c>
      <c r="J22" s="5">
        <v>12.590607922773099</v>
      </c>
      <c r="K22" s="5">
        <v>0</v>
      </c>
      <c r="L22" s="5">
        <v>77.827526023274501</v>
      </c>
      <c r="M22" s="5">
        <v>224.5</v>
      </c>
      <c r="Q22" t="s">
        <v>105</v>
      </c>
      <c r="R22" t="s">
        <v>103</v>
      </c>
      <c r="S22" s="5">
        <v>2</v>
      </c>
      <c r="T22" s="5">
        <v>0</v>
      </c>
      <c r="U22" s="5">
        <v>0</v>
      </c>
      <c r="V22" s="5">
        <v>2</v>
      </c>
      <c r="W22" s="5">
        <v>2</v>
      </c>
      <c r="X22" s="5">
        <v>2</v>
      </c>
      <c r="Y22" s="5">
        <v>2</v>
      </c>
      <c r="AL22" t="s">
        <v>140</v>
      </c>
      <c r="AM22" t="s">
        <v>121</v>
      </c>
      <c r="AN22" t="s">
        <v>103</v>
      </c>
      <c r="AO22" s="5">
        <v>7.6</v>
      </c>
      <c r="AP22" s="5">
        <v>2.0842422663373124</v>
      </c>
      <c r="AQ22" s="5">
        <v>2.9135697844549542</v>
      </c>
      <c r="AR22" s="5">
        <v>4</v>
      </c>
      <c r="AS22" s="5">
        <v>12</v>
      </c>
    </row>
    <row r="23" spans="2:45" x14ac:dyDescent="0.3">
      <c r="B23" t="s">
        <v>88</v>
      </c>
      <c r="C23" t="s">
        <v>73</v>
      </c>
      <c r="D23" t="s">
        <v>74</v>
      </c>
      <c r="E23" s="5">
        <v>0</v>
      </c>
      <c r="F23" s="5">
        <v>1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159.1</v>
      </c>
      <c r="P23" t="s">
        <v>108</v>
      </c>
      <c r="Q23" t="s">
        <v>102</v>
      </c>
      <c r="R23" t="s">
        <v>103</v>
      </c>
      <c r="S23" s="5">
        <v>0.38078385056341441</v>
      </c>
      <c r="T23" s="5">
        <v>4.040472533000234E-2</v>
      </c>
      <c r="U23" s="5">
        <v>5.6481911326734656E-2</v>
      </c>
      <c r="V23" s="5">
        <v>0.28913636698845602</v>
      </c>
      <c r="W23" s="5">
        <v>0.46134650546047301</v>
      </c>
      <c r="X23" s="5">
        <v>0</v>
      </c>
      <c r="Y23" s="5">
        <v>1</v>
      </c>
      <c r="AL23" t="s">
        <v>141</v>
      </c>
      <c r="AM23" t="s">
        <v>123</v>
      </c>
      <c r="AN23" t="s">
        <v>103</v>
      </c>
      <c r="AO23" s="5">
        <v>5.6433247648491516E-2</v>
      </c>
      <c r="AP23" s="5">
        <v>1.7494827820351853E-2</v>
      </c>
      <c r="AQ23" s="5">
        <v>2.4456082934732001E-2</v>
      </c>
      <c r="AR23" s="5">
        <v>2.1279401430778E-2</v>
      </c>
      <c r="AS23" s="5">
        <v>8.8472374570180701E-2</v>
      </c>
    </row>
    <row r="24" spans="2:45" x14ac:dyDescent="0.3">
      <c r="C24" t="s">
        <v>75</v>
      </c>
      <c r="D24" t="s">
        <v>74</v>
      </c>
      <c r="E24" s="5">
        <v>0</v>
      </c>
      <c r="F24" s="5">
        <v>1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159.1</v>
      </c>
      <c r="Q24" t="s">
        <v>104</v>
      </c>
      <c r="R24" t="s">
        <v>103</v>
      </c>
      <c r="S24" s="5">
        <v>0.38078385056341441</v>
      </c>
      <c r="T24" s="5">
        <v>4.040472533000234E-2</v>
      </c>
      <c r="U24" s="5">
        <v>5.6481911326734656E-2</v>
      </c>
      <c r="V24" s="5">
        <v>0.28913636698845602</v>
      </c>
      <c r="W24" s="5">
        <v>0.46134650546047301</v>
      </c>
      <c r="X24" s="5">
        <v>0</v>
      </c>
      <c r="Y24" s="5">
        <v>1</v>
      </c>
      <c r="AL24" t="s">
        <v>142</v>
      </c>
      <c r="AM24" t="s">
        <v>121</v>
      </c>
      <c r="AN24" t="s">
        <v>103</v>
      </c>
      <c r="AO24" s="5">
        <v>18.8</v>
      </c>
      <c r="AP24" s="5">
        <v>2.0177066742293341</v>
      </c>
      <c r="AQ24" s="5">
        <v>2.8205594401741556</v>
      </c>
      <c r="AR24" s="5">
        <v>14</v>
      </c>
      <c r="AS24" s="5">
        <v>24</v>
      </c>
    </row>
    <row r="25" spans="2:45" x14ac:dyDescent="0.3">
      <c r="C25" t="s">
        <v>76</v>
      </c>
      <c r="D25" t="s">
        <v>74</v>
      </c>
      <c r="E25" s="5">
        <v>10.155322958912489</v>
      </c>
      <c r="F25" s="5">
        <v>1</v>
      </c>
      <c r="G25" s="5">
        <v>0.23906285023865298</v>
      </c>
      <c r="H25" s="5">
        <v>0.33418682093278973</v>
      </c>
      <c r="I25" s="5">
        <v>9.5096808134995996</v>
      </c>
      <c r="J25" s="5">
        <v>10.541225271035399</v>
      </c>
      <c r="K25" s="5">
        <v>6.3921838050257502</v>
      </c>
      <c r="L25" s="5">
        <v>33.212781474357499</v>
      </c>
      <c r="M25" s="5">
        <v>159.1</v>
      </c>
      <c r="Q25" t="s">
        <v>105</v>
      </c>
      <c r="R25" t="s">
        <v>103</v>
      </c>
      <c r="S25" s="5">
        <v>1</v>
      </c>
      <c r="T25" s="5">
        <v>0</v>
      </c>
      <c r="U25" s="5">
        <v>0</v>
      </c>
      <c r="V25" s="5">
        <v>1</v>
      </c>
      <c r="W25" s="5">
        <v>1</v>
      </c>
      <c r="X25" s="5">
        <v>1</v>
      </c>
      <c r="Y25" s="5">
        <v>1</v>
      </c>
      <c r="AL25" t="s">
        <v>143</v>
      </c>
      <c r="AM25" t="s">
        <v>123</v>
      </c>
      <c r="AN25" t="s">
        <v>103</v>
      </c>
      <c r="AO25" s="5">
        <v>0.46274808587050231</v>
      </c>
      <c r="AP25" s="5">
        <v>6.5215649719990554E-2</v>
      </c>
      <c r="AQ25" s="5">
        <v>9.1165192054027525E-2</v>
      </c>
      <c r="AR25" s="5">
        <v>0.338210899349628</v>
      </c>
      <c r="AS25" s="5">
        <v>0.66990172486561195</v>
      </c>
    </row>
    <row r="26" spans="2:45" x14ac:dyDescent="0.3">
      <c r="C26" t="s">
        <v>77</v>
      </c>
      <c r="D26" t="s">
        <v>74</v>
      </c>
      <c r="E26" s="5">
        <v>7.6753288500844494</v>
      </c>
      <c r="F26" s="5">
        <v>1</v>
      </c>
      <c r="G26" s="5">
        <v>2.8432883061776049E-2</v>
      </c>
      <c r="H26" s="5">
        <v>3.9746429823300011E-2</v>
      </c>
      <c r="I26" s="5">
        <v>7.6171173934620997</v>
      </c>
      <c r="J26" s="5">
        <v>7.7465011776556301</v>
      </c>
      <c r="K26" s="5">
        <v>4.9973602639356596</v>
      </c>
      <c r="L26" s="5">
        <v>10.3780432567189</v>
      </c>
      <c r="M26" s="5">
        <v>159.1</v>
      </c>
      <c r="P26" t="s">
        <v>109</v>
      </c>
      <c r="Q26" t="s">
        <v>102</v>
      </c>
      <c r="R26" t="s">
        <v>103</v>
      </c>
      <c r="S26" s="5">
        <v>0.73571117943508912</v>
      </c>
      <c r="T26" s="5">
        <v>1.7129373668915777E-2</v>
      </c>
      <c r="U26" s="5">
        <v>2.3945213257811505E-2</v>
      </c>
      <c r="V26" s="5">
        <v>0.69752119636771104</v>
      </c>
      <c r="W26" s="5">
        <v>0.77845968782647601</v>
      </c>
      <c r="X26" s="5">
        <v>0</v>
      </c>
      <c r="Y26" s="5">
        <v>1</v>
      </c>
    </row>
    <row r="27" spans="2:45" x14ac:dyDescent="0.3">
      <c r="C27" t="s">
        <v>78</v>
      </c>
      <c r="D27" t="s">
        <v>74</v>
      </c>
      <c r="E27" s="5">
        <v>1.1970866370450852</v>
      </c>
      <c r="F27" s="5">
        <v>1</v>
      </c>
      <c r="G27" s="5">
        <v>0.11560409805616673</v>
      </c>
      <c r="H27" s="5">
        <v>0.16160338579426173</v>
      </c>
      <c r="I27" s="5">
        <v>0.93154168311307295</v>
      </c>
      <c r="J27" s="5">
        <v>1.4326343791811</v>
      </c>
      <c r="K27" s="5">
        <v>3.5780155263864799E-4</v>
      </c>
      <c r="L27" s="5">
        <v>27.4453656088955</v>
      </c>
      <c r="M27" s="5">
        <v>159.1</v>
      </c>
      <c r="Q27" t="s">
        <v>104</v>
      </c>
      <c r="R27" t="s">
        <v>103</v>
      </c>
      <c r="S27" s="5">
        <v>0.73571117943508912</v>
      </c>
      <c r="T27" s="5">
        <v>1.7129373668915777E-2</v>
      </c>
      <c r="U27" s="5">
        <v>2.3945213257811505E-2</v>
      </c>
      <c r="V27" s="5">
        <v>0.69752119636771104</v>
      </c>
      <c r="W27" s="5">
        <v>0.77845968782647601</v>
      </c>
      <c r="X27" s="5">
        <v>0</v>
      </c>
      <c r="Y27" s="5">
        <v>1</v>
      </c>
    </row>
    <row r="28" spans="2:45" x14ac:dyDescent="0.3">
      <c r="C28" t="s">
        <v>79</v>
      </c>
      <c r="D28" t="s">
        <v>74</v>
      </c>
      <c r="E28" s="5">
        <v>1.2829074717829589</v>
      </c>
      <c r="F28" s="5">
        <v>1</v>
      </c>
      <c r="G28" s="5">
        <v>0.14236188745726755</v>
      </c>
      <c r="H28" s="5">
        <v>0.19900819614524773</v>
      </c>
      <c r="I28" s="5">
        <v>0.93034835796656001</v>
      </c>
      <c r="J28" s="5">
        <v>1.5005499568751099</v>
      </c>
      <c r="K28" s="5">
        <v>0</v>
      </c>
      <c r="L28" s="5">
        <v>10.9519173465048</v>
      </c>
      <c r="M28" s="5">
        <v>159.1</v>
      </c>
      <c r="Q28" t="s">
        <v>105</v>
      </c>
      <c r="R28" t="s">
        <v>103</v>
      </c>
      <c r="S28" s="5">
        <v>1</v>
      </c>
      <c r="T28" s="5">
        <v>0</v>
      </c>
      <c r="U28" s="5">
        <v>0</v>
      </c>
      <c r="V28" s="5">
        <v>1</v>
      </c>
      <c r="W28" s="5">
        <v>1</v>
      </c>
      <c r="X28" s="5">
        <v>1</v>
      </c>
      <c r="Y28" s="5">
        <v>1</v>
      </c>
    </row>
    <row r="29" spans="2:45" x14ac:dyDescent="0.3">
      <c r="B29" t="s">
        <v>93</v>
      </c>
      <c r="C29" t="s">
        <v>70</v>
      </c>
      <c r="D29" t="s">
        <v>71</v>
      </c>
      <c r="E29" s="5">
        <v>9.7731099319170269</v>
      </c>
      <c r="F29" s="5">
        <v>1</v>
      </c>
      <c r="G29" s="5">
        <v>4.9845607246359398</v>
      </c>
      <c r="H29" s="5">
        <v>6.9679354222105561</v>
      </c>
      <c r="I29" s="5">
        <v>1.62812611166987</v>
      </c>
      <c r="J29" s="5">
        <v>21.612732095934501</v>
      </c>
      <c r="K29" s="5">
        <v>0</v>
      </c>
      <c r="L29" s="5">
        <v>77.725628461856203</v>
      </c>
      <c r="M29" s="5">
        <v>18.8</v>
      </c>
      <c r="P29" t="s">
        <v>93</v>
      </c>
      <c r="Q29" t="s">
        <v>99</v>
      </c>
      <c r="R29" t="s">
        <v>71</v>
      </c>
      <c r="S29" s="5">
        <v>0.33257710094571935</v>
      </c>
      <c r="T29" s="5">
        <v>0.19428803945769421</v>
      </c>
      <c r="U29" s="5">
        <v>0.27159595138606457</v>
      </c>
      <c r="V29" s="5">
        <v>4.88437833500961E-2</v>
      </c>
      <c r="W29" s="5">
        <v>0.95917715937716497</v>
      </c>
      <c r="X29" s="5">
        <v>0</v>
      </c>
      <c r="Y29" s="5">
        <v>6</v>
      </c>
    </row>
    <row r="30" spans="2:45" x14ac:dyDescent="0.3">
      <c r="B30" t="s">
        <v>94</v>
      </c>
      <c r="C30" t="s">
        <v>70</v>
      </c>
      <c r="D30" t="s">
        <v>71</v>
      </c>
      <c r="E30" s="5">
        <v>0.13353088580878619</v>
      </c>
      <c r="F30" s="5">
        <v>1</v>
      </c>
      <c r="G30" s="5">
        <v>0.27527364011348865</v>
      </c>
      <c r="H30" s="5">
        <v>0.38480601475423104</v>
      </c>
      <c r="I30" s="5">
        <v>0</v>
      </c>
      <c r="J30" s="5">
        <v>1.22682576767282</v>
      </c>
      <c r="K30" s="5">
        <v>0</v>
      </c>
      <c r="L30" s="5">
        <v>6.3562688714400801</v>
      </c>
      <c r="M30" s="5">
        <v>7.6</v>
      </c>
      <c r="P30" t="s">
        <v>94</v>
      </c>
      <c r="Q30" t="s">
        <v>99</v>
      </c>
      <c r="R30" t="s">
        <v>71</v>
      </c>
      <c r="S30" s="5">
        <v>2.2437109622866062E-3</v>
      </c>
      <c r="T30" s="5">
        <v>4.5851107367881972E-3</v>
      </c>
      <c r="U30" s="5">
        <v>6.4095428429067599E-3</v>
      </c>
      <c r="V30" s="5">
        <v>0</v>
      </c>
      <c r="W30" s="5">
        <v>2.0447096127880302E-2</v>
      </c>
      <c r="X30" s="5">
        <v>0</v>
      </c>
      <c r="Y30" s="5">
        <v>2</v>
      </c>
    </row>
    <row r="31" spans="2:45" x14ac:dyDescent="0.3">
      <c r="B31" t="s">
        <v>95</v>
      </c>
      <c r="C31" t="s">
        <v>70</v>
      </c>
      <c r="D31" t="s">
        <v>71</v>
      </c>
      <c r="E31" s="5">
        <v>6.8041660941550974</v>
      </c>
      <c r="F31" s="5">
        <v>1</v>
      </c>
      <c r="G31" s="5">
        <v>1.8519202552405429</v>
      </c>
      <c r="H31" s="5">
        <v>2.5888060068808318</v>
      </c>
      <c r="I31" s="5">
        <v>3.9788744982611002</v>
      </c>
      <c r="J31" s="5">
        <v>12.032353435961801</v>
      </c>
      <c r="K31" s="5">
        <v>0</v>
      </c>
      <c r="L31" s="5">
        <v>36.036638692237297</v>
      </c>
      <c r="M31" s="5">
        <v>231.5</v>
      </c>
      <c r="P31" t="s">
        <v>95</v>
      </c>
      <c r="Q31" t="s">
        <v>99</v>
      </c>
      <c r="R31" t="s">
        <v>71</v>
      </c>
      <c r="S31" s="5">
        <v>2.7250893633296323</v>
      </c>
      <c r="T31" s="5">
        <v>0.90881139575657477</v>
      </c>
      <c r="U31" s="5">
        <v>1.2704307292922721</v>
      </c>
      <c r="V31" s="5">
        <v>1.35760259855807</v>
      </c>
      <c r="W31" s="5">
        <v>5.2621649076821404</v>
      </c>
      <c r="X31" s="5">
        <v>0</v>
      </c>
      <c r="Y31" s="5">
        <v>22</v>
      </c>
    </row>
    <row r="32" spans="2:45" x14ac:dyDescent="0.3">
      <c r="B32" t="s">
        <v>96</v>
      </c>
      <c r="C32" t="s">
        <v>70</v>
      </c>
      <c r="D32" t="s">
        <v>71</v>
      </c>
      <c r="E32" s="5">
        <v>0.747489081451579</v>
      </c>
      <c r="F32" s="5">
        <v>1</v>
      </c>
      <c r="G32" s="5">
        <v>0.1363518355484904</v>
      </c>
      <c r="H32" s="5">
        <v>0.19060672289655917</v>
      </c>
      <c r="I32" s="5">
        <v>0.37607609012155202</v>
      </c>
      <c r="J32" s="5">
        <v>0.917362804937359</v>
      </c>
      <c r="K32" s="5">
        <v>0</v>
      </c>
      <c r="L32" s="5">
        <v>10.402532424877601</v>
      </c>
      <c r="M32" s="5">
        <v>161.5</v>
      </c>
      <c r="P32" t="s">
        <v>96</v>
      </c>
      <c r="Q32" t="s">
        <v>99</v>
      </c>
      <c r="R32" t="s">
        <v>71</v>
      </c>
      <c r="S32" s="5">
        <v>0.20327393268399513</v>
      </c>
      <c r="T32" s="5">
        <v>3.9114858623271326E-2</v>
      </c>
      <c r="U32" s="5">
        <v>5.4678802003311266E-2</v>
      </c>
      <c r="V32" s="5">
        <v>9.7152989948067606E-2</v>
      </c>
      <c r="W32" s="5">
        <v>0.28694483715654301</v>
      </c>
      <c r="X32" s="5">
        <v>0</v>
      </c>
      <c r="Y32" s="5">
        <v>8</v>
      </c>
    </row>
    <row r="33" spans="2:25" x14ac:dyDescent="0.3">
      <c r="B33" t="s">
        <v>97</v>
      </c>
      <c r="C33" t="s">
        <v>70</v>
      </c>
      <c r="D33" t="s">
        <v>71</v>
      </c>
      <c r="E33" s="5">
        <v>1.629848414966363</v>
      </c>
      <c r="F33" s="5">
        <v>1</v>
      </c>
      <c r="G33" s="5">
        <v>0.35726043399097979</v>
      </c>
      <c r="H33" s="5">
        <v>0.49941564973950264</v>
      </c>
      <c r="I33" s="5">
        <v>0.86566386323483102</v>
      </c>
      <c r="J33" s="5">
        <v>2.39065565653069</v>
      </c>
      <c r="K33" s="5">
        <v>0</v>
      </c>
      <c r="L33" s="5">
        <v>18.5346844444935</v>
      </c>
      <c r="M33" s="5">
        <v>89.7</v>
      </c>
      <c r="P33" t="s">
        <v>97</v>
      </c>
      <c r="Q33" t="s">
        <v>99</v>
      </c>
      <c r="R33" t="s">
        <v>71</v>
      </c>
      <c r="S33" s="5">
        <v>0.25365601436241814</v>
      </c>
      <c r="T33" s="5">
        <v>6.9608688772141478E-2</v>
      </c>
      <c r="U33" s="5">
        <v>9.7306237195948719E-2</v>
      </c>
      <c r="V33" s="5">
        <v>0.124078487063659</v>
      </c>
      <c r="W33" s="5">
        <v>0.381680898629085</v>
      </c>
      <c r="X33" s="5">
        <v>0</v>
      </c>
      <c r="Y33" s="5">
        <v>4</v>
      </c>
    </row>
    <row r="34" spans="2:25" x14ac:dyDescent="0.3">
      <c r="B34" t="s">
        <v>98</v>
      </c>
      <c r="C34" t="s">
        <v>70</v>
      </c>
      <c r="D34" t="s">
        <v>71</v>
      </c>
      <c r="E34" s="5">
        <v>1.8591428303213111</v>
      </c>
      <c r="F34" s="5">
        <v>1</v>
      </c>
      <c r="G34" s="5">
        <v>0.23314135172058717</v>
      </c>
      <c r="H34" s="5">
        <v>0.32590913678849398</v>
      </c>
      <c r="I34" s="5">
        <v>1.4883474828955501</v>
      </c>
      <c r="J34" s="5">
        <v>2.5323142314576299</v>
      </c>
      <c r="K34" s="5">
        <v>0</v>
      </c>
      <c r="L34" s="5">
        <v>21.652390393913599</v>
      </c>
      <c r="M34" s="5">
        <v>181.1</v>
      </c>
      <c r="P34" t="s">
        <v>98</v>
      </c>
      <c r="Q34" t="s">
        <v>99</v>
      </c>
      <c r="R34" t="s">
        <v>71</v>
      </c>
      <c r="S34" s="5">
        <v>0.56854078919795403</v>
      </c>
      <c r="T34" s="5">
        <v>6.8585831407770567E-2</v>
      </c>
      <c r="U34" s="5">
        <v>9.5876381195630939E-2</v>
      </c>
      <c r="V34" s="5">
        <v>0.461258283509344</v>
      </c>
      <c r="W34" s="5">
        <v>0.74281217456090598</v>
      </c>
      <c r="X34" s="5">
        <v>0</v>
      </c>
      <c r="Y34" s="5">
        <v>5</v>
      </c>
    </row>
    <row r="35" spans="2:25" x14ac:dyDescent="0.3">
      <c r="B35" t="s">
        <v>89</v>
      </c>
      <c r="C35" t="s">
        <v>90</v>
      </c>
      <c r="D35" t="s">
        <v>91</v>
      </c>
      <c r="E35" s="5">
        <v>37.229253620322382</v>
      </c>
      <c r="F35" s="5">
        <v>1</v>
      </c>
      <c r="G35" s="5">
        <v>1.7547205632417833</v>
      </c>
      <c r="H35" s="5">
        <v>2.4529302067208123</v>
      </c>
      <c r="I35" s="5">
        <v>34.084822591333797</v>
      </c>
      <c r="J35" s="5">
        <v>42.045643918903899</v>
      </c>
      <c r="K35" s="5">
        <v>23.2621458877368</v>
      </c>
      <c r="L35" s="5">
        <v>115.03202502190101</v>
      </c>
      <c r="M35" s="5">
        <v>213.3</v>
      </c>
      <c r="P35" t="s">
        <v>110</v>
      </c>
      <c r="Q35" t="s">
        <v>100</v>
      </c>
      <c r="R35" t="s">
        <v>74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</row>
    <row r="36" spans="2:25" x14ac:dyDescent="0.3">
      <c r="B36" t="s">
        <v>92</v>
      </c>
      <c r="C36" t="s">
        <v>90</v>
      </c>
      <c r="D36" t="s">
        <v>91</v>
      </c>
      <c r="E36" s="5">
        <v>13.7917642070894</v>
      </c>
      <c r="F36" s="5">
        <v>1</v>
      </c>
      <c r="G36" s="5">
        <v>0.40181561579061792</v>
      </c>
      <c r="H36" s="5">
        <v>0.56169949914077655</v>
      </c>
      <c r="I36" s="5">
        <v>13.1762012321516</v>
      </c>
      <c r="J36" s="5">
        <v>14.645498483682401</v>
      </c>
      <c r="K36" s="5">
        <v>7.7554535873941601</v>
      </c>
      <c r="L36" s="5">
        <v>32.234342623085197</v>
      </c>
      <c r="M36" s="5">
        <v>155.19999999999999</v>
      </c>
      <c r="P36" t="s">
        <v>111</v>
      </c>
      <c r="Q36" t="s">
        <v>102</v>
      </c>
      <c r="R36" t="s">
        <v>103</v>
      </c>
      <c r="S36" s="5">
        <v>5.6433247648491516E-2</v>
      </c>
      <c r="T36" s="5">
        <v>1.7494827820351853E-2</v>
      </c>
      <c r="U36" s="5">
        <v>2.4456082934732001E-2</v>
      </c>
      <c r="V36" s="5">
        <v>2.1279401430778E-2</v>
      </c>
      <c r="W36" s="5">
        <v>8.8472374570180701E-2</v>
      </c>
      <c r="X36" s="5">
        <v>0</v>
      </c>
      <c r="Y36" s="5">
        <v>1</v>
      </c>
    </row>
    <row r="37" spans="2:25" x14ac:dyDescent="0.3">
      <c r="Q37" t="s">
        <v>104</v>
      </c>
      <c r="R37" t="s">
        <v>103</v>
      </c>
      <c r="S37" s="5">
        <v>5.6433247648491516E-2</v>
      </c>
      <c r="T37" s="5">
        <v>1.7494827820351853E-2</v>
      </c>
      <c r="U37" s="5">
        <v>2.4456082934732001E-2</v>
      </c>
      <c r="V37" s="5">
        <v>2.1279401430778E-2</v>
      </c>
      <c r="W37" s="5">
        <v>8.8472374570180701E-2</v>
      </c>
      <c r="X37" s="5">
        <v>0</v>
      </c>
      <c r="Y37" s="5">
        <v>1</v>
      </c>
    </row>
    <row r="38" spans="2:25" x14ac:dyDescent="0.3">
      <c r="Q38" t="s">
        <v>105</v>
      </c>
      <c r="R38" t="s">
        <v>103</v>
      </c>
      <c r="S38" s="5">
        <v>1</v>
      </c>
      <c r="T38" s="5">
        <v>0</v>
      </c>
      <c r="U38" s="5">
        <v>0</v>
      </c>
      <c r="V38" s="5">
        <v>1</v>
      </c>
      <c r="W38" s="5">
        <v>1</v>
      </c>
      <c r="X38" s="5">
        <v>1</v>
      </c>
      <c r="Y38" s="5">
        <v>1</v>
      </c>
    </row>
    <row r="39" spans="2:25" x14ac:dyDescent="0.3">
      <c r="P39" t="s">
        <v>112</v>
      </c>
      <c r="Q39" t="s">
        <v>102</v>
      </c>
      <c r="R39" t="s">
        <v>103</v>
      </c>
      <c r="S39" s="5">
        <v>0.46274808587050231</v>
      </c>
      <c r="T39" s="5">
        <v>6.5215649719990554E-2</v>
      </c>
      <c r="U39" s="5">
        <v>9.1165192054027525E-2</v>
      </c>
      <c r="V39" s="5">
        <v>0.338210899349628</v>
      </c>
      <c r="W39" s="5">
        <v>0.66990172486561195</v>
      </c>
      <c r="X39" s="5">
        <v>0</v>
      </c>
      <c r="Y39" s="5">
        <v>1</v>
      </c>
    </row>
    <row r="40" spans="2:25" x14ac:dyDescent="0.3">
      <c r="Q40" t="s">
        <v>104</v>
      </c>
      <c r="R40" t="s">
        <v>103</v>
      </c>
      <c r="S40" s="5">
        <v>0.46274808587050231</v>
      </c>
      <c r="T40" s="5">
        <v>6.5215649719990554E-2</v>
      </c>
      <c r="U40" s="5">
        <v>9.1165192054027525E-2</v>
      </c>
      <c r="V40" s="5">
        <v>0.338210899349628</v>
      </c>
      <c r="W40" s="5">
        <v>0.66990172486561195</v>
      </c>
      <c r="X40" s="5">
        <v>0</v>
      </c>
      <c r="Y40" s="5">
        <v>1</v>
      </c>
    </row>
    <row r="41" spans="2:25" x14ac:dyDescent="0.3">
      <c r="Q41" t="s">
        <v>105</v>
      </c>
      <c r="R41" t="s">
        <v>103</v>
      </c>
      <c r="S41" s="5">
        <v>1</v>
      </c>
      <c r="T41" s="5">
        <v>0</v>
      </c>
      <c r="U41" s="5">
        <v>0</v>
      </c>
      <c r="V41" s="5">
        <v>1</v>
      </c>
      <c r="W41" s="5">
        <v>1</v>
      </c>
      <c r="X41" s="5">
        <v>1</v>
      </c>
      <c r="Y41" s="5">
        <v>1</v>
      </c>
    </row>
  </sheetData>
  <dataConsolidate/>
  <conditionalFormatting pivot="1" sqref="G3:G36">
    <cfRule type="expression" dxfId="37" priority="10">
      <formula>G3=200000000000000000000</formula>
    </cfRule>
  </conditionalFormatting>
  <conditionalFormatting pivot="1" sqref="T3:T41">
    <cfRule type="expression" dxfId="36" priority="9">
      <formula>T3=200000000000000000000</formula>
    </cfRule>
  </conditionalFormatting>
  <conditionalFormatting pivot="1" sqref="T3:T41">
    <cfRule type="expression" dxfId="35" priority="8">
      <formula>T3=300000000000000000000</formula>
    </cfRule>
  </conditionalFormatting>
  <conditionalFormatting pivot="1" sqref="G3:G36">
    <cfRule type="expression" dxfId="34" priority="7">
      <formula>G3=300000000000000000000</formula>
    </cfRule>
  </conditionalFormatting>
  <conditionalFormatting pivot="1" sqref="F3:F36">
    <cfRule type="expression" dxfId="33" priority="6">
      <formula>F3=0</formula>
    </cfRule>
  </conditionalFormatting>
  <conditionalFormatting pivot="1" sqref="F3:F36">
    <cfRule type="expression" dxfId="32" priority="5">
      <formula>F3=1</formula>
    </cfRule>
  </conditionalFormatting>
  <conditionalFormatting pivot="1" sqref="T3:T41">
    <cfRule type="expression" dxfId="31" priority="4">
      <formula>T3=400000000000000000000</formula>
    </cfRule>
  </conditionalFormatting>
  <conditionalFormatting pivot="1" sqref="AP3:AP25">
    <cfRule type="expression" dxfId="30" priority="3">
      <formula>AP3=400000000000000000000</formula>
    </cfRule>
  </conditionalFormatting>
  <conditionalFormatting pivot="1" sqref="AF3:AF4">
    <cfRule type="expression" dxfId="29" priority="2">
      <formula>AF3=400000000000000000000</formula>
    </cfRule>
  </conditionalFormatting>
  <conditionalFormatting pivot="1" sqref="G3:G36">
    <cfRule type="expression" dxfId="2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341"/>
  <sheetViews>
    <sheetView workbookViewId="0">
      <selection activeCell="K2" sqref="K2"/>
    </sheetView>
  </sheetViews>
  <sheetFormatPr baseColWidth="10" defaultColWidth="8.88671875" defaultRowHeight="14.4" x14ac:dyDescent="0.3"/>
  <cols>
    <col min="1" max="1" width="15.109375" bestFit="1" customWidth="1"/>
    <col min="2" max="2" width="21.109375" bestFit="1" customWidth="1"/>
    <col min="3" max="3" width="12.5546875" bestFit="1" customWidth="1"/>
    <col min="4" max="4" width="20.88671875" bestFit="1" customWidth="1"/>
    <col min="5" max="5" width="12.21875" bestFit="1" customWidth="1"/>
    <col min="6" max="6" width="12.5546875" bestFit="1" customWidth="1"/>
    <col min="7" max="7" width="12" bestFit="1" customWidth="1"/>
    <col min="8" max="8" width="22.21875" bestFit="1" customWidth="1"/>
    <col min="9" max="10" width="12" bestFit="1" customWidth="1"/>
    <col min="11" max="11" width="21.21875" bestFit="1" customWidth="1"/>
    <col min="12" max="12" width="51.6640625" bestFit="1" customWidth="1"/>
    <col min="13" max="13" width="16.109375" bestFit="1" customWidth="1"/>
    <col min="14" max="14" width="19.109375" customWidth="1"/>
    <col min="15" max="15" width="17" bestFit="1" customWidth="1"/>
    <col min="16" max="16" width="19.33203125" bestFit="1" customWidth="1"/>
    <col min="17" max="17" width="12" bestFit="1" customWidth="1"/>
    <col min="18" max="18" width="18.44140625" bestFit="1" customWidth="1"/>
    <col min="19" max="19" width="18.77734375" customWidth="1"/>
    <col min="20" max="20" width="17.33203125" bestFit="1" customWidth="1"/>
    <col min="21" max="21" width="17.6640625" bestFit="1" customWidth="1"/>
    <col min="22" max="22" width="28.21875" bestFit="1" customWidth="1"/>
    <col min="23" max="23" width="19.88671875" bestFit="1" customWidth="1"/>
    <col min="24" max="24" width="22.6640625" bestFit="1" customWidth="1"/>
    <col min="25" max="25" width="21.2187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4.8253837301046498E-4</v>
      </c>
      <c r="H2">
        <v>7.6523086178291704E-4</v>
      </c>
      <c r="I2">
        <v>0</v>
      </c>
      <c r="J2">
        <v>0.12799048806215299</v>
      </c>
      <c r="K2">
        <v>372</v>
      </c>
      <c r="L2" t="str">
        <f>DiscreteStatsTable[[#This Row],[ProjectName]]&amp;DiscreteStatsTable[[#This Row],[Name]]&amp;DiscreteStatsTable[[#This Row],[Type]]&amp;DiscreteStatsTable[[#This Row],[Source]]</f>
        <v>Unnamed ProjectCargar Avion.QueueWaiting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6.6069120213030613E-4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1.2542789163112584E-3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8.9725708479665997E-4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4.0809063789860297E-3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0.51873880735769295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368.6</v>
      </c>
      <c r="W2">
        <f>IF((DiscreteStatsTable[[#This Row],[RepsRequested]]&gt;1),DiscreteStatsTable[[#This Row],[HalfWidth]],DiscreteStatsTable[[#This Row],[BatchMeansHalfWidth]])</f>
        <v>8.9725708479665997E-4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10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2</v>
      </c>
      <c r="D3" t="s">
        <v>69</v>
      </c>
      <c r="E3" t="s">
        <v>70</v>
      </c>
      <c r="F3" t="s">
        <v>71</v>
      </c>
      <c r="G3">
        <v>2.4283992458387201E-4</v>
      </c>
      <c r="H3">
        <v>5.0957934507887305E-4</v>
      </c>
      <c r="I3">
        <v>0</v>
      </c>
      <c r="J3">
        <v>8.2079894509348605E-2</v>
      </c>
      <c r="K3">
        <v>338</v>
      </c>
      <c r="L3" t="str">
        <f>DiscreteStatsTable[[#This Row],[ProjectName]]&amp;DiscreteStatsTable[[#This Row],[Name]]&amp;DiscreteStatsTable[[#This Row],[Type]]&amp;DiscreteStatsTable[[#This Row],[Source]]</f>
        <v>Unnamed ProjectCargar Avion.QueueWaiting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6.6069120213030613E-4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1.2542789163112584E-3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8.9725708479665997E-4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4.0809063789860297E-3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0.51873880735769295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368.6</v>
      </c>
      <c r="W3">
        <f>IF((DiscreteStatsTable[[#This Row],[RepsRequested]]&gt;1),DiscreteStatsTable[[#This Row],[HalfWidth]],DiscreteStatsTable[[#This Row],[BatchMeansHalfWidth]])</f>
        <v>8.9725708479665997E-4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10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3</v>
      </c>
      <c r="D4" t="s">
        <v>69</v>
      </c>
      <c r="E4" t="s">
        <v>70</v>
      </c>
      <c r="F4" t="s">
        <v>71</v>
      </c>
      <c r="G4">
        <v>0</v>
      </c>
      <c r="H4">
        <v>0</v>
      </c>
      <c r="I4">
        <v>0</v>
      </c>
      <c r="J4">
        <v>0</v>
      </c>
      <c r="K4">
        <v>357</v>
      </c>
      <c r="L4" t="str">
        <f>DiscreteStatsTable[[#This Row],[ProjectName]]&amp;DiscreteStatsTable[[#This Row],[Name]]&amp;DiscreteStatsTable[[#This Row],[Type]]&amp;DiscreteStatsTable[[#This Row],[Source]]</f>
        <v>Unnamed ProjectCargar Avion.QueueWaiting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6.6069120213030613E-4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1.2542789163112584E-3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8.9725708479665997E-4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4.0809063789860297E-3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0.51873880735769295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368.6</v>
      </c>
      <c r="W4">
        <f>IF((DiscreteStatsTable[[#This Row],[RepsRequested]]&gt;1),DiscreteStatsTable[[#This Row],[HalfWidth]],DiscreteStatsTable[[#This Row],[BatchMeansHalfWidth]])</f>
        <v>8.9725708479665997E-4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10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4</v>
      </c>
      <c r="D5" t="s">
        <v>69</v>
      </c>
      <c r="E5" t="s">
        <v>70</v>
      </c>
      <c r="F5" t="s">
        <v>71</v>
      </c>
      <c r="G5">
        <v>1.9168606794573101E-4</v>
      </c>
      <c r="H5">
        <v>4.0692655985522999E-4</v>
      </c>
      <c r="I5">
        <v>0</v>
      </c>
      <c r="J5">
        <v>7.5524310770617803E-2</v>
      </c>
      <c r="K5">
        <v>394</v>
      </c>
      <c r="L5" t="str">
        <f>DiscreteStatsTable[[#This Row],[ProjectName]]&amp;DiscreteStatsTable[[#This Row],[Name]]&amp;DiscreteStatsTable[[#This Row],[Type]]&amp;DiscreteStatsTable[[#This Row],[Source]]</f>
        <v>Unnamed ProjectCargar Avion.QueueWaiting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6.6069120213030613E-4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1.2542789163112584E-3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8.9725708479665997E-4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4.0809063789860297E-3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0.51873880735769295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368.6</v>
      </c>
      <c r="W5">
        <f>IF((DiscreteStatsTable[[#This Row],[RepsRequested]]&gt;1),DiscreteStatsTable[[#This Row],[HalfWidth]],DiscreteStatsTable[[#This Row],[BatchMeansHalfWidth]])</f>
        <v>8.9725708479665997E-4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10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5</v>
      </c>
      <c r="D6" t="s">
        <v>69</v>
      </c>
      <c r="E6" t="s">
        <v>70</v>
      </c>
      <c r="F6" t="s">
        <v>71</v>
      </c>
      <c r="G6">
        <v>0</v>
      </c>
      <c r="H6">
        <v>0</v>
      </c>
      <c r="I6">
        <v>0</v>
      </c>
      <c r="J6">
        <v>0</v>
      </c>
      <c r="K6">
        <v>393</v>
      </c>
      <c r="L6" t="str">
        <f>DiscreteStatsTable[[#This Row],[ProjectName]]&amp;DiscreteStatsTable[[#This Row],[Name]]&amp;DiscreteStatsTable[[#This Row],[Type]]&amp;DiscreteStatsTable[[#This Row],[Source]]</f>
        <v>Unnamed ProjectCargar Avion.QueueWaiting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6.6069120213030613E-4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1.2542789163112584E-3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8.9725708479665997E-4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4.0809063789860297E-3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0.51873880735769295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368.6</v>
      </c>
      <c r="W6">
        <f>IF((DiscreteStatsTable[[#This Row],[RepsRequested]]&gt;1),DiscreteStatsTable[[#This Row],[HalfWidth]],DiscreteStatsTable[[#This Row],[BatchMeansHalfWidth]])</f>
        <v>8.9725708479665997E-4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10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6</v>
      </c>
      <c r="D7" t="s">
        <v>69</v>
      </c>
      <c r="E7" t="s">
        <v>70</v>
      </c>
      <c r="F7" t="s">
        <v>71</v>
      </c>
      <c r="G7">
        <v>2.5302005833639102E-4</v>
      </c>
      <c r="H7">
        <v>3.8147514718514801E-4</v>
      </c>
      <c r="I7">
        <v>0</v>
      </c>
      <c r="J7">
        <v>6.8573255810520095E-2</v>
      </c>
      <c r="K7">
        <v>395</v>
      </c>
      <c r="L7" t="str">
        <f>DiscreteStatsTable[[#This Row],[ProjectName]]&amp;DiscreteStatsTable[[#This Row],[Name]]&amp;DiscreteStatsTable[[#This Row],[Type]]&amp;DiscreteStatsTable[[#This Row],[Source]]</f>
        <v>Unnamed ProjectCargar Avion.QueueWaiting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6.6069120213030613E-4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1.2542789163112584E-3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8.9725708479665997E-4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4.0809063789860297E-3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0.51873880735769295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368.6</v>
      </c>
      <c r="W7">
        <f>IF((DiscreteStatsTable[[#This Row],[RepsRequested]]&gt;1),DiscreteStatsTable[[#This Row],[HalfWidth]],DiscreteStatsTable[[#This Row],[BatchMeansHalfWidth]])</f>
        <v>8.9725708479665997E-4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10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7</v>
      </c>
      <c r="D8" t="s">
        <v>69</v>
      </c>
      <c r="E8" t="s">
        <v>70</v>
      </c>
      <c r="F8" t="s">
        <v>71</v>
      </c>
      <c r="G8">
        <v>0</v>
      </c>
      <c r="H8">
        <v>0</v>
      </c>
      <c r="I8">
        <v>0</v>
      </c>
      <c r="J8">
        <v>0</v>
      </c>
      <c r="K8">
        <v>338</v>
      </c>
      <c r="L8" t="str">
        <f>DiscreteStatsTable[[#This Row],[ProjectName]]&amp;DiscreteStatsTable[[#This Row],[Name]]&amp;DiscreteStatsTable[[#This Row],[Type]]&amp;DiscreteStatsTable[[#This Row],[Source]]</f>
        <v>Unnamed ProjectCargar Avion.QueueWaiting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6.6069120213030613E-4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1.2542789163112584E-3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8.9725708479665997E-4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4.0809063789860297E-3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0.51873880735769295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368.6</v>
      </c>
      <c r="W8">
        <f>IF((DiscreteStatsTable[[#This Row],[RepsRequested]]&gt;1),DiscreteStatsTable[[#This Row],[HalfWidth]],DiscreteStatsTable[[#This Row],[BatchMeansHalfWidth]])</f>
        <v>8.9725708479665997E-4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10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68</v>
      </c>
      <c r="C9">
        <v>8</v>
      </c>
      <c r="D9" t="s">
        <v>69</v>
      </c>
      <c r="E9" t="s">
        <v>70</v>
      </c>
      <c r="F9" t="s">
        <v>71</v>
      </c>
      <c r="G9">
        <v>1.4955083143021201E-4</v>
      </c>
      <c r="H9">
        <v>2.0569560009962699E-4</v>
      </c>
      <c r="I9">
        <v>0</v>
      </c>
      <c r="J9">
        <v>3.0956456239437099E-2</v>
      </c>
      <c r="K9">
        <v>345</v>
      </c>
      <c r="L9" t="str">
        <f>DiscreteStatsTable[[#This Row],[ProjectName]]&amp;DiscreteStatsTable[[#This Row],[Name]]&amp;DiscreteStatsTable[[#This Row],[Type]]&amp;DiscreteStatsTable[[#This Row],[Source]]</f>
        <v>Unnamed ProjectCargar Avion.QueueWaiting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6.6069120213030613E-4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1.2542789163112584E-3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8.9725708479665997E-4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4.0809063789860297E-3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0.51873880735769295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368.6</v>
      </c>
      <c r="W9">
        <f>IF((DiscreteStatsTable[[#This Row],[RepsRequested]]&gt;1),DiscreteStatsTable[[#This Row],[HalfWidth]],DiscreteStatsTable[[#This Row],[BatchMeansHalfWidth]])</f>
        <v>8.9725708479665997E-4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10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68</v>
      </c>
      <c r="C10">
        <v>9</v>
      </c>
      <c r="D10" t="s">
        <v>69</v>
      </c>
      <c r="E10" t="s">
        <v>70</v>
      </c>
      <c r="F10" t="s">
        <v>71</v>
      </c>
      <c r="G10">
        <v>4.0809063789860297E-3</v>
      </c>
      <c r="H10">
        <v>8.23935245225761E-3</v>
      </c>
      <c r="I10">
        <v>0</v>
      </c>
      <c r="J10">
        <v>0.51873880735769295</v>
      </c>
      <c r="K10">
        <v>416</v>
      </c>
      <c r="L10" t="str">
        <f>DiscreteStatsTable[[#This Row],[ProjectName]]&amp;DiscreteStatsTable[[#This Row],[Name]]&amp;DiscreteStatsTable[[#This Row],[Type]]&amp;DiscreteStatsTable[[#This Row],[Source]]</f>
        <v>Unnamed ProjectCargar Avion.QueueWaiting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6.6069120213030613E-4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1.2542789163112584E-3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8.9725708479665997E-4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4.0809063789860297E-3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0.51873880735769295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368.6</v>
      </c>
      <c r="W10">
        <f>IF((DiscreteStatsTable[[#This Row],[RepsRequested]]&gt;1),DiscreteStatsTable[[#This Row],[HalfWidth]],DiscreteStatsTable[[#This Row],[BatchMeansHalfWidth]])</f>
        <v>8.9725708479665997E-4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10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68</v>
      </c>
      <c r="C11">
        <v>10</v>
      </c>
      <c r="D11" t="s">
        <v>69</v>
      </c>
      <c r="E11" t="s">
        <v>70</v>
      </c>
      <c r="F11" t="s">
        <v>71</v>
      </c>
      <c r="G11">
        <v>1.20637038701036E-3</v>
      </c>
      <c r="H11">
        <v>2.5314677262756502E-3</v>
      </c>
      <c r="I11">
        <v>0</v>
      </c>
      <c r="J11">
        <v>0.40775319080950101</v>
      </c>
      <c r="K11">
        <v>338</v>
      </c>
      <c r="L11" t="str">
        <f>DiscreteStatsTable[[#This Row],[ProjectName]]&amp;DiscreteStatsTable[[#This Row],[Name]]&amp;DiscreteStatsTable[[#This Row],[Type]]&amp;DiscreteStatsTable[[#This Row],[Source]]</f>
        <v>Unnamed ProjectCargar Avion.QueueWaiting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6.6069120213030613E-4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1.2542789163112584E-3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8.9725708479665997E-4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4.0809063789860297E-3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0.51873880735769295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368.6</v>
      </c>
      <c r="W11">
        <f>IF((DiscreteStatsTable[[#This Row],[RepsRequested]]&gt;1),DiscreteStatsTable[[#This Row],[HalfWidth]],DiscreteStatsTable[[#This Row],[BatchMeansHalfWidth]])</f>
        <v>8.9725708479665997E-4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10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68</v>
      </c>
      <c r="C12">
        <v>1</v>
      </c>
      <c r="D12" t="s">
        <v>72</v>
      </c>
      <c r="E12" t="s">
        <v>73</v>
      </c>
      <c r="F12" t="s">
        <v>74</v>
      </c>
      <c r="G12">
        <v>0</v>
      </c>
      <c r="H12">
        <v>2E+20</v>
      </c>
      <c r="I12">
        <v>0</v>
      </c>
      <c r="J12">
        <v>0</v>
      </c>
      <c r="K12">
        <v>271</v>
      </c>
      <c r="L12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10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68</v>
      </c>
      <c r="C13">
        <v>1</v>
      </c>
      <c r="D13" t="s">
        <v>72</v>
      </c>
      <c r="E13" t="s">
        <v>75</v>
      </c>
      <c r="F13" t="s">
        <v>74</v>
      </c>
      <c r="G13">
        <v>0</v>
      </c>
      <c r="H13">
        <v>2E+20</v>
      </c>
      <c r="I13">
        <v>0</v>
      </c>
      <c r="J13">
        <v>0</v>
      </c>
      <c r="K13">
        <v>271</v>
      </c>
      <c r="L13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10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68</v>
      </c>
      <c r="C14">
        <v>1</v>
      </c>
      <c r="D14" t="s">
        <v>72</v>
      </c>
      <c r="E14" t="s">
        <v>76</v>
      </c>
      <c r="F14" t="s">
        <v>74</v>
      </c>
      <c r="G14">
        <v>3.68321155667787</v>
      </c>
      <c r="H14">
        <v>2E+20</v>
      </c>
      <c r="I14">
        <v>2.0031528840149799E-3</v>
      </c>
      <c r="J14">
        <v>22.079240132563701</v>
      </c>
      <c r="K14">
        <v>271</v>
      </c>
      <c r="L14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4.2506265349951864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0.33522271329790426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0.23980388299587996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3.68321155667787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4.7905634672515101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9.2046050770022703E-4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29.442824674908099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14">
        <f>IF((DiscreteStatsTable[[#This Row],[RepsRequested]]&gt;1),DiscreteStatsTable[[#This Row],[HalfWidth]],DiscreteStatsTable[[#This Row],[BatchMeansHalfWidth]])</f>
        <v>0.23980388299587996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10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68</v>
      </c>
      <c r="C15">
        <v>1</v>
      </c>
      <c r="D15" t="s">
        <v>72</v>
      </c>
      <c r="E15" t="s">
        <v>77</v>
      </c>
      <c r="F15" t="s">
        <v>74</v>
      </c>
      <c r="G15">
        <v>0</v>
      </c>
      <c r="H15">
        <v>2E+20</v>
      </c>
      <c r="I15">
        <v>0</v>
      </c>
      <c r="J15">
        <v>0</v>
      </c>
      <c r="K15">
        <v>271</v>
      </c>
      <c r="L1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10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68</v>
      </c>
      <c r="C16">
        <v>1</v>
      </c>
      <c r="D16" t="s">
        <v>72</v>
      </c>
      <c r="E16" t="s">
        <v>78</v>
      </c>
      <c r="F16" t="s">
        <v>74</v>
      </c>
      <c r="G16">
        <v>2.3277411765877201</v>
      </c>
      <c r="H16">
        <v>2E+20</v>
      </c>
      <c r="I16">
        <v>2.0031528840149799E-3</v>
      </c>
      <c r="J16">
        <v>18.295372957231599</v>
      </c>
      <c r="K16">
        <v>271</v>
      </c>
      <c r="L16" t="str">
        <f>DiscreteStatsTable[[#This Row],[ProjectName]]&amp;DiscreteStatsTable[[#This Row],[Name]]&amp;DiscreteStatsTable[[#This Row],[Type]]&amp;DiscreteStatsTable[[#This Row],[Source]]</f>
        <v>Unnamed ProjectEntity 1VA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2.4755245358865192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7.2660839626707885E-2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5.1978433420592413E-2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2.3277411765877201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2.5948904259568901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9.2046050770022703E-4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25.940347636007399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16">
        <f>IF((DiscreteStatsTable[[#This Row],[RepsRequested]]&gt;1),DiscreteStatsTable[[#This Row],[HalfWidth]],DiscreteStatsTable[[#This Row],[BatchMeansHalfWidth]])</f>
        <v>5.1978433420592413E-2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10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68</v>
      </c>
      <c r="C17">
        <v>1</v>
      </c>
      <c r="D17" t="s">
        <v>72</v>
      </c>
      <c r="E17" t="s">
        <v>79</v>
      </c>
      <c r="F17" t="s">
        <v>74</v>
      </c>
      <c r="G17">
        <v>1.35547038009015</v>
      </c>
      <c r="H17">
        <v>2E+20</v>
      </c>
      <c r="I17">
        <v>0</v>
      </c>
      <c r="J17">
        <v>16.669499567158699</v>
      </c>
      <c r="K17">
        <v>271</v>
      </c>
      <c r="L17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1.7751019991086672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0.32227846271676236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0.23054412395004534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1.3209394716032301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2.3332172655150498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21.652390393913599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17">
        <f>IF((DiscreteStatsTable[[#This Row],[RepsRequested]]&gt;1),DiscreteStatsTable[[#This Row],[HalfWidth]],DiscreteStatsTable[[#This Row],[BatchMeansHalfWidth]])</f>
        <v>0.23054412395004534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10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68</v>
      </c>
      <c r="C18">
        <v>2</v>
      </c>
      <c r="D18" t="s">
        <v>72</v>
      </c>
      <c r="E18" t="s">
        <v>73</v>
      </c>
      <c r="F18" t="s">
        <v>74</v>
      </c>
      <c r="G18">
        <v>0</v>
      </c>
      <c r="H18">
        <v>2E+20</v>
      </c>
      <c r="I18">
        <v>0</v>
      </c>
      <c r="J18">
        <v>0</v>
      </c>
      <c r="K18">
        <v>253</v>
      </c>
      <c r="L18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10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10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68</v>
      </c>
      <c r="C19">
        <v>2</v>
      </c>
      <c r="D19" t="s">
        <v>72</v>
      </c>
      <c r="E19" t="s">
        <v>75</v>
      </c>
      <c r="F19" t="s">
        <v>74</v>
      </c>
      <c r="G19">
        <v>0</v>
      </c>
      <c r="H19">
        <v>2E+20</v>
      </c>
      <c r="I19">
        <v>0</v>
      </c>
      <c r="J19">
        <v>0</v>
      </c>
      <c r="K19">
        <v>253</v>
      </c>
      <c r="L19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10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10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68</v>
      </c>
      <c r="C20">
        <v>2</v>
      </c>
      <c r="D20" t="s">
        <v>72</v>
      </c>
      <c r="E20" t="s">
        <v>76</v>
      </c>
      <c r="F20" t="s">
        <v>74</v>
      </c>
      <c r="G20">
        <v>4.41177171560002</v>
      </c>
      <c r="H20">
        <v>2E+20</v>
      </c>
      <c r="I20">
        <v>8.2142189129342597E-2</v>
      </c>
      <c r="J20">
        <v>20.873316723158599</v>
      </c>
      <c r="K20">
        <v>253</v>
      </c>
      <c r="L20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10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4.2506265349951864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0.33522271329790426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0.23980388299587996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3.68321155667787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4.7905634672515101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9.2046050770022703E-4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29.442824674908099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20">
        <f>IF((DiscreteStatsTable[[#This Row],[RepsRequested]]&gt;1),DiscreteStatsTable[[#This Row],[HalfWidth]],DiscreteStatsTable[[#This Row],[BatchMeansHalfWidth]])</f>
        <v>0.23980388299587996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10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68</v>
      </c>
      <c r="C21">
        <v>2</v>
      </c>
      <c r="D21" t="s">
        <v>72</v>
      </c>
      <c r="E21" t="s">
        <v>77</v>
      </c>
      <c r="F21" t="s">
        <v>74</v>
      </c>
      <c r="G21">
        <v>0</v>
      </c>
      <c r="H21">
        <v>2E+20</v>
      </c>
      <c r="I21">
        <v>0</v>
      </c>
      <c r="J21">
        <v>0</v>
      </c>
      <c r="K21">
        <v>253</v>
      </c>
      <c r="L21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10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10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68</v>
      </c>
      <c r="C22">
        <v>2</v>
      </c>
      <c r="D22" t="s">
        <v>72</v>
      </c>
      <c r="E22" t="s">
        <v>78</v>
      </c>
      <c r="F22" t="s">
        <v>74</v>
      </c>
      <c r="G22">
        <v>2.5948904259568901</v>
      </c>
      <c r="H22">
        <v>2E+20</v>
      </c>
      <c r="I22">
        <v>3.3567997090813199E-3</v>
      </c>
      <c r="J22">
        <v>19.917548578788601</v>
      </c>
      <c r="K22">
        <v>253</v>
      </c>
      <c r="L22" t="str">
        <f>DiscreteStatsTable[[#This Row],[ProjectName]]&amp;DiscreteStatsTable[[#This Row],[Name]]&amp;DiscreteStatsTable[[#This Row],[Type]]&amp;DiscreteStatsTable[[#This Row],[Source]]</f>
        <v>Unnamed ProjectEntity 1VA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10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2.4755245358865192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7.2660839626707885E-2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5.1978433420592413E-2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2.3277411765877201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2.5948904259568901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9.2046050770022703E-4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25.940347636007399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22">
        <f>IF((DiscreteStatsTable[[#This Row],[RepsRequested]]&gt;1),DiscreteStatsTable[[#This Row],[HalfWidth]],DiscreteStatsTable[[#This Row],[BatchMeansHalfWidth]])</f>
        <v>5.1978433420592413E-2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10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68</v>
      </c>
      <c r="C23">
        <v>2</v>
      </c>
      <c r="D23" t="s">
        <v>72</v>
      </c>
      <c r="E23" t="s">
        <v>79</v>
      </c>
      <c r="F23" t="s">
        <v>74</v>
      </c>
      <c r="G23">
        <v>1.8168812896431199</v>
      </c>
      <c r="H23">
        <v>2E+20</v>
      </c>
      <c r="I23">
        <v>0</v>
      </c>
      <c r="J23">
        <v>17.6995051976144</v>
      </c>
      <c r="K23">
        <v>253</v>
      </c>
      <c r="L23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10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1.7751019991086672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0.32227846271676236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0.23054412395004534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1.3209394716032301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2.3332172655150498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21.652390393913599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23">
        <f>IF((DiscreteStatsTable[[#This Row],[RepsRequested]]&gt;1),DiscreteStatsTable[[#This Row],[HalfWidth]],DiscreteStatsTable[[#This Row],[BatchMeansHalfWidth]])</f>
        <v>0.23054412395004534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10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68</v>
      </c>
      <c r="C24">
        <v>3</v>
      </c>
      <c r="D24" t="s">
        <v>72</v>
      </c>
      <c r="E24" t="s">
        <v>73</v>
      </c>
      <c r="F24" t="s">
        <v>74</v>
      </c>
      <c r="G24">
        <v>0</v>
      </c>
      <c r="H24">
        <v>2E+20</v>
      </c>
      <c r="I24">
        <v>0</v>
      </c>
      <c r="J24">
        <v>0</v>
      </c>
      <c r="K24">
        <v>269</v>
      </c>
      <c r="L24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10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10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68</v>
      </c>
      <c r="C25">
        <v>3</v>
      </c>
      <c r="D25" t="s">
        <v>72</v>
      </c>
      <c r="E25" t="s">
        <v>75</v>
      </c>
      <c r="F25" t="s">
        <v>74</v>
      </c>
      <c r="G25">
        <v>0</v>
      </c>
      <c r="H25">
        <v>2E+20</v>
      </c>
      <c r="I25">
        <v>0</v>
      </c>
      <c r="J25">
        <v>0</v>
      </c>
      <c r="K25">
        <v>269</v>
      </c>
      <c r="L2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10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10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68</v>
      </c>
      <c r="C26">
        <v>3</v>
      </c>
      <c r="D26" t="s">
        <v>72</v>
      </c>
      <c r="E26" t="s">
        <v>76</v>
      </c>
      <c r="F26" t="s">
        <v>74</v>
      </c>
      <c r="G26">
        <v>3.8334790473623599</v>
      </c>
      <c r="H26">
        <v>2E+20</v>
      </c>
      <c r="I26">
        <v>5.9157540075602802E-3</v>
      </c>
      <c r="J26">
        <v>18.2314256423826</v>
      </c>
      <c r="K26">
        <v>269</v>
      </c>
      <c r="L26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10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4.2506265349951864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0.33522271329790426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0.23980388299587996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3.68321155667787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4.7905634672515101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9.2046050770022703E-4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29.442824674908099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26">
        <f>IF((DiscreteStatsTable[[#This Row],[RepsRequested]]&gt;1),DiscreteStatsTable[[#This Row],[HalfWidth]],DiscreteStatsTable[[#This Row],[BatchMeansHalfWidth]])</f>
        <v>0.23980388299587996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10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68</v>
      </c>
      <c r="C27">
        <v>3</v>
      </c>
      <c r="D27" t="s">
        <v>72</v>
      </c>
      <c r="E27" t="s">
        <v>77</v>
      </c>
      <c r="F27" t="s">
        <v>74</v>
      </c>
      <c r="G27">
        <v>0</v>
      </c>
      <c r="H27">
        <v>2E+20</v>
      </c>
      <c r="I27">
        <v>0</v>
      </c>
      <c r="J27">
        <v>0</v>
      </c>
      <c r="K27">
        <v>269</v>
      </c>
      <c r="L27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10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10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68</v>
      </c>
      <c r="C28">
        <v>3</v>
      </c>
      <c r="D28" t="s">
        <v>72</v>
      </c>
      <c r="E28" t="s">
        <v>78</v>
      </c>
      <c r="F28" t="s">
        <v>74</v>
      </c>
      <c r="G28">
        <v>2.5125395757591402</v>
      </c>
      <c r="H28">
        <v>2E+20</v>
      </c>
      <c r="I28">
        <v>5.9157540075602802E-3</v>
      </c>
      <c r="J28">
        <v>17.248755651096701</v>
      </c>
      <c r="K28">
        <v>269</v>
      </c>
      <c r="L28" t="str">
        <f>DiscreteStatsTable[[#This Row],[ProjectName]]&amp;DiscreteStatsTable[[#This Row],[Name]]&amp;DiscreteStatsTable[[#This Row],[Type]]&amp;DiscreteStatsTable[[#This Row],[Source]]</f>
        <v>Unnamed ProjectEntity 1VA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10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2.4755245358865192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7.2660839626707885E-2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5.1978433420592413E-2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2.3277411765877201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2.5948904259568901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9.2046050770022703E-4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25.940347636007399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28">
        <f>IF((DiscreteStatsTable[[#This Row],[RepsRequested]]&gt;1),DiscreteStatsTable[[#This Row],[HalfWidth]],DiscreteStatsTable[[#This Row],[BatchMeansHalfWidth]])</f>
        <v>5.1978433420592413E-2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10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68</v>
      </c>
      <c r="C29">
        <v>3</v>
      </c>
      <c r="D29" t="s">
        <v>72</v>
      </c>
      <c r="E29" t="s">
        <v>79</v>
      </c>
      <c r="F29" t="s">
        <v>74</v>
      </c>
      <c r="G29">
        <v>1.3209394716032301</v>
      </c>
      <c r="H29">
        <v>2E+20</v>
      </c>
      <c r="I29">
        <v>0</v>
      </c>
      <c r="J29">
        <v>13.755502457459199</v>
      </c>
      <c r="K29">
        <v>269</v>
      </c>
      <c r="L29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10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1.7751019991086672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0.32227846271676236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0.23054412395004534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1.3209394716032301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2.3332172655150498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21.652390393913599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29">
        <f>IF((DiscreteStatsTable[[#This Row],[RepsRequested]]&gt;1),DiscreteStatsTable[[#This Row],[HalfWidth]],DiscreteStatsTable[[#This Row],[BatchMeansHalfWidth]])</f>
        <v>0.23054412395004534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10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68</v>
      </c>
      <c r="C30">
        <v>4</v>
      </c>
      <c r="D30" t="s">
        <v>72</v>
      </c>
      <c r="E30" t="s">
        <v>73</v>
      </c>
      <c r="F30" t="s">
        <v>74</v>
      </c>
      <c r="G30">
        <v>0</v>
      </c>
      <c r="H30">
        <v>2E+20</v>
      </c>
      <c r="I30">
        <v>0</v>
      </c>
      <c r="J30">
        <v>0</v>
      </c>
      <c r="K30">
        <v>307</v>
      </c>
      <c r="L30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10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10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68</v>
      </c>
      <c r="C31">
        <v>4</v>
      </c>
      <c r="D31" t="s">
        <v>72</v>
      </c>
      <c r="E31" t="s">
        <v>75</v>
      </c>
      <c r="F31" t="s">
        <v>74</v>
      </c>
      <c r="G31">
        <v>0</v>
      </c>
      <c r="H31">
        <v>2E+20</v>
      </c>
      <c r="I31">
        <v>0</v>
      </c>
      <c r="J31">
        <v>0</v>
      </c>
      <c r="K31">
        <v>307</v>
      </c>
      <c r="L31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10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31">
        <f>IF((DiscreteStatsTable[[#This Row],[RepsRequested]]&gt;1),DiscreteStatsTable[[#This Row],[HalfWidth]],DiscreteStatsTable[[#This Row],[BatchMeansHalfWidth]])</f>
        <v>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10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68</v>
      </c>
      <c r="C32">
        <v>4</v>
      </c>
      <c r="D32" t="s">
        <v>72</v>
      </c>
      <c r="E32" t="s">
        <v>76</v>
      </c>
      <c r="F32" t="s">
        <v>74</v>
      </c>
      <c r="G32">
        <v>4.4978287389477503</v>
      </c>
      <c r="H32">
        <v>2E+20</v>
      </c>
      <c r="I32">
        <v>9.2046050770022703E-4</v>
      </c>
      <c r="J32">
        <v>20.518539873297001</v>
      </c>
      <c r="K32">
        <v>307</v>
      </c>
      <c r="L32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10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4.2506265349951864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0.33522271329790426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0.23980388299587996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3.68321155667787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4.7905634672515101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9.2046050770022703E-4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29.442824674908099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32">
        <f>IF((DiscreteStatsTable[[#This Row],[RepsRequested]]&gt;1),DiscreteStatsTable[[#This Row],[HalfWidth]],DiscreteStatsTable[[#This Row],[BatchMeansHalfWidth]])</f>
        <v>0.23980388299587996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10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68</v>
      </c>
      <c r="C33">
        <v>4</v>
      </c>
      <c r="D33" t="s">
        <v>72</v>
      </c>
      <c r="E33" t="s">
        <v>77</v>
      </c>
      <c r="F33" t="s">
        <v>74</v>
      </c>
      <c r="G33">
        <v>0</v>
      </c>
      <c r="H33">
        <v>2E+20</v>
      </c>
      <c r="I33">
        <v>0</v>
      </c>
      <c r="J33">
        <v>0</v>
      </c>
      <c r="K33">
        <v>307</v>
      </c>
      <c r="L33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10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10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68</v>
      </c>
      <c r="C34">
        <v>4</v>
      </c>
      <c r="D34" t="s">
        <v>72</v>
      </c>
      <c r="E34" t="s">
        <v>78</v>
      </c>
      <c r="F34" t="s">
        <v>74</v>
      </c>
      <c r="G34">
        <v>2.41241108739217</v>
      </c>
      <c r="H34">
        <v>2E+20</v>
      </c>
      <c r="I34">
        <v>9.2046050770022703E-4</v>
      </c>
      <c r="J34">
        <v>15.1165819616678</v>
      </c>
      <c r="K34">
        <v>307</v>
      </c>
      <c r="L34" t="str">
        <f>DiscreteStatsTable[[#This Row],[ProjectName]]&amp;DiscreteStatsTable[[#This Row],[Name]]&amp;DiscreteStatsTable[[#This Row],[Type]]&amp;DiscreteStatsTable[[#This Row],[Source]]</f>
        <v>Unnamed ProjectEntity 1VA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10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2.4755245358865192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7.2660839626707885E-2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5.1978433420592413E-2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2.3277411765877201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2.5948904259568901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9.2046050770022703E-4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25.940347636007399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34">
        <f>IF((DiscreteStatsTable[[#This Row],[RepsRequested]]&gt;1),DiscreteStatsTable[[#This Row],[HalfWidth]],DiscreteStatsTable[[#This Row],[BatchMeansHalfWidth]])</f>
        <v>5.1978433420592413E-2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10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68</v>
      </c>
      <c r="C35">
        <v>4</v>
      </c>
      <c r="D35" t="s">
        <v>72</v>
      </c>
      <c r="E35" t="s">
        <v>79</v>
      </c>
      <c r="F35" t="s">
        <v>74</v>
      </c>
      <c r="G35">
        <v>2.08541765155557</v>
      </c>
      <c r="H35">
        <v>2E+20</v>
      </c>
      <c r="I35">
        <v>0</v>
      </c>
      <c r="J35">
        <v>18.8698617977753</v>
      </c>
      <c r="K35">
        <v>307</v>
      </c>
      <c r="L3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10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1.7751019991086672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0.32227846271676236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0.23054412395004534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1.3209394716032301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2.3332172655150498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21.652390393913599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35">
        <f>IF((DiscreteStatsTable[[#This Row],[RepsRequested]]&gt;1),DiscreteStatsTable[[#This Row],[HalfWidth]],DiscreteStatsTable[[#This Row],[BatchMeansHalfWidth]])</f>
        <v>0.23054412395004534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10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68</v>
      </c>
      <c r="C36">
        <v>5</v>
      </c>
      <c r="D36" t="s">
        <v>72</v>
      </c>
      <c r="E36" t="s">
        <v>73</v>
      </c>
      <c r="F36" t="s">
        <v>74</v>
      </c>
      <c r="G36">
        <v>0</v>
      </c>
      <c r="H36">
        <v>2E+20</v>
      </c>
      <c r="I36">
        <v>0</v>
      </c>
      <c r="J36">
        <v>0</v>
      </c>
      <c r="K36">
        <v>276</v>
      </c>
      <c r="L36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10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10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68</v>
      </c>
      <c r="C37">
        <v>5</v>
      </c>
      <c r="D37" t="s">
        <v>72</v>
      </c>
      <c r="E37" t="s">
        <v>75</v>
      </c>
      <c r="F37" t="s">
        <v>74</v>
      </c>
      <c r="G37">
        <v>0</v>
      </c>
      <c r="H37">
        <v>2E+20</v>
      </c>
      <c r="I37">
        <v>0</v>
      </c>
      <c r="J37">
        <v>0</v>
      </c>
      <c r="K37">
        <v>276</v>
      </c>
      <c r="L37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10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0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0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37">
        <f>IF((DiscreteStatsTable[[#This Row],[RepsRequested]]&gt;1),DiscreteStatsTable[[#This Row],[HalfWidth]],DiscreteStatsTable[[#This Row],[BatchMeansHalfWidth]])</f>
        <v>0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10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68</v>
      </c>
      <c r="C38">
        <v>5</v>
      </c>
      <c r="D38" t="s">
        <v>72</v>
      </c>
      <c r="E38" t="s">
        <v>76</v>
      </c>
      <c r="F38" t="s">
        <v>74</v>
      </c>
      <c r="G38">
        <v>4.36378166292097</v>
      </c>
      <c r="H38">
        <v>2E+20</v>
      </c>
      <c r="I38">
        <v>2.1520594558694501E-2</v>
      </c>
      <c r="J38">
        <v>18.972620415251502</v>
      </c>
      <c r="K38">
        <v>276</v>
      </c>
      <c r="L38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10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4.2506265349951864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0.33522271329790426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0.23980388299587996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3.68321155667787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4.7905634672515101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9.2046050770022703E-4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29.442824674908099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38">
        <f>IF((DiscreteStatsTable[[#This Row],[RepsRequested]]&gt;1),DiscreteStatsTable[[#This Row],[HalfWidth]],DiscreteStatsTable[[#This Row],[BatchMeansHalfWidth]])</f>
        <v>0.23980388299587996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10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68</v>
      </c>
      <c r="C39">
        <v>5</v>
      </c>
      <c r="D39" t="s">
        <v>72</v>
      </c>
      <c r="E39" t="s">
        <v>77</v>
      </c>
      <c r="F39" t="s">
        <v>74</v>
      </c>
      <c r="G39">
        <v>0</v>
      </c>
      <c r="H39">
        <v>2E+20</v>
      </c>
      <c r="I39">
        <v>0</v>
      </c>
      <c r="J39">
        <v>0</v>
      </c>
      <c r="K39">
        <v>276</v>
      </c>
      <c r="L39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10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10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68</v>
      </c>
      <c r="C40">
        <v>5</v>
      </c>
      <c r="D40" t="s">
        <v>72</v>
      </c>
      <c r="E40" t="s">
        <v>78</v>
      </c>
      <c r="F40" t="s">
        <v>74</v>
      </c>
      <c r="G40">
        <v>2.4358458328072601</v>
      </c>
      <c r="H40">
        <v>2E+20</v>
      </c>
      <c r="I40">
        <v>8.16068153312699E-3</v>
      </c>
      <c r="J40">
        <v>13.912283929199599</v>
      </c>
      <c r="K40">
        <v>276</v>
      </c>
      <c r="L40" t="str">
        <f>DiscreteStatsTable[[#This Row],[ProjectName]]&amp;DiscreteStatsTable[[#This Row],[Name]]&amp;DiscreteStatsTable[[#This Row],[Type]]&amp;DiscreteStatsTable[[#This Row],[Source]]</f>
        <v>Unnamed ProjectEntity 1VA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10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2.4755245358865192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7.2660839626707885E-2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5.1978433420592413E-2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2.3277411765877201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2.5948904259568901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9.2046050770022703E-4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25.940347636007399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40">
        <f>IF((DiscreteStatsTable[[#This Row],[RepsRequested]]&gt;1),DiscreteStatsTable[[#This Row],[HalfWidth]],DiscreteStatsTable[[#This Row],[BatchMeansHalfWidth]])</f>
        <v>5.1978433420592413E-2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10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68</v>
      </c>
      <c r="C41">
        <v>5</v>
      </c>
      <c r="D41" t="s">
        <v>72</v>
      </c>
      <c r="E41" t="s">
        <v>79</v>
      </c>
      <c r="F41" t="s">
        <v>74</v>
      </c>
      <c r="G41">
        <v>1.9279358301137099</v>
      </c>
      <c r="H41">
        <v>2E+20</v>
      </c>
      <c r="I41">
        <v>0</v>
      </c>
      <c r="J41">
        <v>17.669213588668001</v>
      </c>
      <c r="K41">
        <v>276</v>
      </c>
      <c r="L41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10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1.7751019991086672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0.32227846271676236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0.23054412395004534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1.3209394716032301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2.3332172655150498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21.652390393913599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41">
        <f>IF((DiscreteStatsTable[[#This Row],[RepsRequested]]&gt;1),DiscreteStatsTable[[#This Row],[HalfWidth]],DiscreteStatsTable[[#This Row],[BatchMeansHalfWidth]])</f>
        <v>0.23054412395004534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10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68</v>
      </c>
      <c r="C42">
        <v>6</v>
      </c>
      <c r="D42" t="s">
        <v>72</v>
      </c>
      <c r="E42" t="s">
        <v>73</v>
      </c>
      <c r="F42" t="s">
        <v>74</v>
      </c>
      <c r="G42">
        <v>0</v>
      </c>
      <c r="H42">
        <v>2E+20</v>
      </c>
      <c r="I42">
        <v>0</v>
      </c>
      <c r="J42">
        <v>0</v>
      </c>
      <c r="K42">
        <v>286</v>
      </c>
      <c r="L42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10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0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0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0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42">
        <f>IF((DiscreteStatsTable[[#This Row],[RepsRequested]]&gt;1),DiscreteStatsTable[[#This Row],[HalfWidth]],DiscreteStatsTable[[#This Row],[BatchMeansHalfWidth]])</f>
        <v>0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10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68</v>
      </c>
      <c r="C43">
        <v>6</v>
      </c>
      <c r="D43" t="s">
        <v>72</v>
      </c>
      <c r="E43" t="s">
        <v>75</v>
      </c>
      <c r="F43" t="s">
        <v>74</v>
      </c>
      <c r="G43">
        <v>0</v>
      </c>
      <c r="H43">
        <v>2E+20</v>
      </c>
      <c r="I43">
        <v>0</v>
      </c>
      <c r="J43">
        <v>0</v>
      </c>
      <c r="K43">
        <v>286</v>
      </c>
      <c r="L43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10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0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0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43">
        <f>IF((DiscreteStatsTable[[#This Row],[RepsRequested]]&gt;1),DiscreteStatsTable[[#This Row],[HalfWidth]],DiscreteStatsTable[[#This Row],[BatchMeansHalfWidth]])</f>
        <v>0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10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68</v>
      </c>
      <c r="C44">
        <v>6</v>
      </c>
      <c r="D44" t="s">
        <v>72</v>
      </c>
      <c r="E44" t="s">
        <v>76</v>
      </c>
      <c r="F44" t="s">
        <v>74</v>
      </c>
      <c r="G44">
        <v>4.3971535971228102</v>
      </c>
      <c r="H44">
        <v>2E+20</v>
      </c>
      <c r="I44">
        <v>5.0067077897537598E-3</v>
      </c>
      <c r="J44">
        <v>19.0077210297022</v>
      </c>
      <c r="K44">
        <v>286</v>
      </c>
      <c r="L44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10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4.2506265349951864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0.33522271329790426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0.23980388299587996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3.68321155667787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4.7905634672515101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9.2046050770022703E-4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29.442824674908099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44">
        <f>IF((DiscreteStatsTable[[#This Row],[RepsRequested]]&gt;1),DiscreteStatsTable[[#This Row],[HalfWidth]],DiscreteStatsTable[[#This Row],[BatchMeansHalfWidth]])</f>
        <v>0.23980388299587996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10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68</v>
      </c>
      <c r="C45">
        <v>6</v>
      </c>
      <c r="D45" t="s">
        <v>72</v>
      </c>
      <c r="E45" t="s">
        <v>77</v>
      </c>
      <c r="F45" t="s">
        <v>74</v>
      </c>
      <c r="G45">
        <v>0</v>
      </c>
      <c r="H45">
        <v>2E+20</v>
      </c>
      <c r="I45">
        <v>0</v>
      </c>
      <c r="J45">
        <v>0</v>
      </c>
      <c r="K45">
        <v>286</v>
      </c>
      <c r="L45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10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10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68</v>
      </c>
      <c r="C46">
        <v>6</v>
      </c>
      <c r="D46" t="s">
        <v>72</v>
      </c>
      <c r="E46" t="s">
        <v>78</v>
      </c>
      <c r="F46" t="s">
        <v>74</v>
      </c>
      <c r="G46">
        <v>2.4936498908409699</v>
      </c>
      <c r="H46">
        <v>2E+20</v>
      </c>
      <c r="I46">
        <v>5.0067077897537598E-3</v>
      </c>
      <c r="J46">
        <v>18.615570409758099</v>
      </c>
      <c r="K46">
        <v>286</v>
      </c>
      <c r="L46" t="str">
        <f>DiscreteStatsTable[[#This Row],[ProjectName]]&amp;DiscreteStatsTable[[#This Row],[Name]]&amp;DiscreteStatsTable[[#This Row],[Type]]&amp;DiscreteStatsTable[[#This Row],[Source]]</f>
        <v>Unnamed ProjectEntity 1VA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10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2.4755245358865192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7.2660839626707885E-2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5.1978433420592413E-2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2.3277411765877201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2.5948904259568901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9.2046050770022703E-4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25.940347636007399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46">
        <f>IF((DiscreteStatsTable[[#This Row],[RepsRequested]]&gt;1),DiscreteStatsTable[[#This Row],[HalfWidth]],DiscreteStatsTable[[#This Row],[BatchMeansHalfWidth]])</f>
        <v>5.1978433420592413E-2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10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68</v>
      </c>
      <c r="C47">
        <v>6</v>
      </c>
      <c r="D47" t="s">
        <v>72</v>
      </c>
      <c r="E47" t="s">
        <v>79</v>
      </c>
      <c r="F47" t="s">
        <v>74</v>
      </c>
      <c r="G47">
        <v>1.9035037062818501</v>
      </c>
      <c r="H47">
        <v>2E+20</v>
      </c>
      <c r="I47">
        <v>0</v>
      </c>
      <c r="J47">
        <v>18.5346844444935</v>
      </c>
      <c r="K47">
        <v>286</v>
      </c>
      <c r="L47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10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1.7751019991086672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0.32227846271676236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0.23054412395004534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1.3209394716032301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2.3332172655150498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21.652390393913599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47">
        <f>IF((DiscreteStatsTable[[#This Row],[RepsRequested]]&gt;1),DiscreteStatsTable[[#This Row],[HalfWidth]],DiscreteStatsTable[[#This Row],[BatchMeansHalfWidth]])</f>
        <v>0.23054412395004534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10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68</v>
      </c>
      <c r="C48">
        <v>7</v>
      </c>
      <c r="D48" t="s">
        <v>72</v>
      </c>
      <c r="E48" t="s">
        <v>73</v>
      </c>
      <c r="F48" t="s">
        <v>74</v>
      </c>
      <c r="G48">
        <v>0</v>
      </c>
      <c r="H48">
        <v>2E+20</v>
      </c>
      <c r="I48">
        <v>0</v>
      </c>
      <c r="J48">
        <v>0</v>
      </c>
      <c r="K48">
        <v>242</v>
      </c>
      <c r="L48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10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0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0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0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48">
        <f>IF((DiscreteStatsTable[[#This Row],[RepsRequested]]&gt;1),DiscreteStatsTable[[#This Row],[HalfWidth]],DiscreteStatsTable[[#This Row],[BatchMeansHalfWidth]])</f>
        <v>0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10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68</v>
      </c>
      <c r="C49">
        <v>7</v>
      </c>
      <c r="D49" t="s">
        <v>72</v>
      </c>
      <c r="E49" t="s">
        <v>75</v>
      </c>
      <c r="F49" t="s">
        <v>74</v>
      </c>
      <c r="G49">
        <v>0</v>
      </c>
      <c r="H49">
        <v>2E+20</v>
      </c>
      <c r="I49">
        <v>0</v>
      </c>
      <c r="J49">
        <v>0</v>
      </c>
      <c r="K49">
        <v>242</v>
      </c>
      <c r="L49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10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0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0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49">
        <f>IF((DiscreteStatsTable[[#This Row],[RepsRequested]]&gt;1),DiscreteStatsTable[[#This Row],[HalfWidth]],DiscreteStatsTable[[#This Row],[BatchMeansHalfWidth]])</f>
        <v>0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10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68</v>
      </c>
      <c r="C50">
        <v>7</v>
      </c>
      <c r="D50" t="s">
        <v>72</v>
      </c>
      <c r="E50" t="s">
        <v>76</v>
      </c>
      <c r="F50" t="s">
        <v>74</v>
      </c>
      <c r="G50">
        <v>4.3075233834390696</v>
      </c>
      <c r="H50">
        <v>2E+20</v>
      </c>
      <c r="I50">
        <v>1.8769655498658701E-2</v>
      </c>
      <c r="J50">
        <v>29.442824674908099</v>
      </c>
      <c r="K50">
        <v>242</v>
      </c>
      <c r="L50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10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4.2506265349951864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0.33522271329790426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0.23980388299587996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3.68321155667787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4.7905634672515101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9.2046050770022703E-4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29.442824674908099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50">
        <f>IF((DiscreteStatsTable[[#This Row],[RepsRequested]]&gt;1),DiscreteStatsTable[[#This Row],[HalfWidth]],DiscreteStatsTable[[#This Row],[BatchMeansHalfWidth]])</f>
        <v>0.23980388299587996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10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68</v>
      </c>
      <c r="C51">
        <v>7</v>
      </c>
      <c r="D51" t="s">
        <v>72</v>
      </c>
      <c r="E51" t="s">
        <v>77</v>
      </c>
      <c r="F51" t="s">
        <v>74</v>
      </c>
      <c r="G51">
        <v>0</v>
      </c>
      <c r="H51">
        <v>2E+20</v>
      </c>
      <c r="I51">
        <v>0</v>
      </c>
      <c r="J51">
        <v>0</v>
      </c>
      <c r="K51">
        <v>242</v>
      </c>
      <c r="L51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10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10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68</v>
      </c>
      <c r="C52">
        <v>7</v>
      </c>
      <c r="D52" t="s">
        <v>72</v>
      </c>
      <c r="E52" t="s">
        <v>78</v>
      </c>
      <c r="F52" t="s">
        <v>74</v>
      </c>
      <c r="G52">
        <v>2.51888918265215</v>
      </c>
      <c r="H52">
        <v>2E+20</v>
      </c>
      <c r="I52">
        <v>1.8769655498658701E-2</v>
      </c>
      <c r="J52">
        <v>25.940347636007399</v>
      </c>
      <c r="K52">
        <v>242</v>
      </c>
      <c r="L52" t="str">
        <f>DiscreteStatsTable[[#This Row],[ProjectName]]&amp;DiscreteStatsTable[[#This Row],[Name]]&amp;DiscreteStatsTable[[#This Row],[Type]]&amp;DiscreteStatsTable[[#This Row],[Source]]</f>
        <v>Unnamed ProjectEntity 1VA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10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2.4755245358865192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7.2660839626707885E-2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5.1978433420592413E-2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2.3277411765877201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2.5948904259568901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9.2046050770022703E-4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25.940347636007399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52">
        <f>IF((DiscreteStatsTable[[#This Row],[RepsRequested]]&gt;1),DiscreteStatsTable[[#This Row],[HalfWidth]],DiscreteStatsTable[[#This Row],[BatchMeansHalfWidth]])</f>
        <v>5.1978433420592413E-2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10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68</v>
      </c>
      <c r="C53">
        <v>7</v>
      </c>
      <c r="D53" t="s">
        <v>72</v>
      </c>
      <c r="E53" t="s">
        <v>79</v>
      </c>
      <c r="F53" t="s">
        <v>74</v>
      </c>
      <c r="G53">
        <v>1.78863420078691</v>
      </c>
      <c r="H53">
        <v>2E+20</v>
      </c>
      <c r="I53">
        <v>0</v>
      </c>
      <c r="J53">
        <v>21.652390393913599</v>
      </c>
      <c r="K53">
        <v>242</v>
      </c>
      <c r="L53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10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1.7751019991086672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0.32227846271676236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0.23054412395004534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1.3209394716032301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2.3332172655150498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21.652390393913599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53">
        <f>IF((DiscreteStatsTable[[#This Row],[RepsRequested]]&gt;1),DiscreteStatsTable[[#This Row],[HalfWidth]],DiscreteStatsTable[[#This Row],[BatchMeansHalfWidth]])</f>
        <v>0.23054412395004534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10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68</v>
      </c>
      <c r="C54">
        <v>8</v>
      </c>
      <c r="D54" t="s">
        <v>72</v>
      </c>
      <c r="E54" t="s">
        <v>73</v>
      </c>
      <c r="F54" t="s">
        <v>74</v>
      </c>
      <c r="G54">
        <v>0</v>
      </c>
      <c r="H54">
        <v>2E+20</v>
      </c>
      <c r="I54">
        <v>0</v>
      </c>
      <c r="J54">
        <v>0</v>
      </c>
      <c r="K54">
        <v>248</v>
      </c>
      <c r="L54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10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0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0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0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54">
        <f>IF((DiscreteStatsTable[[#This Row],[RepsRequested]]&gt;1),DiscreteStatsTable[[#This Row],[HalfWidth]],DiscreteStatsTable[[#This Row],[BatchMeansHalfWidth]])</f>
        <v>0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10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68</v>
      </c>
      <c r="C55">
        <v>8</v>
      </c>
      <c r="D55" t="s">
        <v>72</v>
      </c>
      <c r="E55" t="s">
        <v>75</v>
      </c>
      <c r="F55" t="s">
        <v>74</v>
      </c>
      <c r="G55">
        <v>0</v>
      </c>
      <c r="H55">
        <v>2E+20</v>
      </c>
      <c r="I55">
        <v>0</v>
      </c>
      <c r="J55">
        <v>0</v>
      </c>
      <c r="K55">
        <v>248</v>
      </c>
      <c r="L55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10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0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0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0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55">
        <f>IF((DiscreteStatsTable[[#This Row],[RepsRequested]]&gt;1),DiscreteStatsTable[[#This Row],[HalfWidth]],DiscreteStatsTable[[#This Row],[BatchMeansHalfWidth]])</f>
        <v>0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10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68</v>
      </c>
      <c r="C56">
        <v>8</v>
      </c>
      <c r="D56" t="s">
        <v>72</v>
      </c>
      <c r="E56" t="s">
        <v>76</v>
      </c>
      <c r="F56" t="s">
        <v>74</v>
      </c>
      <c r="G56">
        <v>4.2836699488833698</v>
      </c>
      <c r="H56">
        <v>2E+20</v>
      </c>
      <c r="I56">
        <v>4.6984306415993202E-2</v>
      </c>
      <c r="J56">
        <v>17.417135816646802</v>
      </c>
      <c r="K56">
        <v>248</v>
      </c>
      <c r="L56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10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4.2506265349951864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0.33522271329790426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0.23980388299587996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3.68321155667787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4.7905634672515101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9.2046050770022703E-4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29.442824674908099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56">
        <f>IF((DiscreteStatsTable[[#This Row],[RepsRequested]]&gt;1),DiscreteStatsTable[[#This Row],[HalfWidth]],DiscreteStatsTable[[#This Row],[BatchMeansHalfWidth]])</f>
        <v>0.23980388299587996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10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68</v>
      </c>
      <c r="C57">
        <v>8</v>
      </c>
      <c r="D57" t="s">
        <v>72</v>
      </c>
      <c r="E57" t="s">
        <v>77</v>
      </c>
      <c r="F57" t="s">
        <v>74</v>
      </c>
      <c r="G57">
        <v>0</v>
      </c>
      <c r="H57">
        <v>2E+20</v>
      </c>
      <c r="I57">
        <v>0</v>
      </c>
      <c r="J57">
        <v>0</v>
      </c>
      <c r="K57">
        <v>248</v>
      </c>
      <c r="L57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10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10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68</v>
      </c>
      <c r="C58">
        <v>8</v>
      </c>
      <c r="D58" t="s">
        <v>72</v>
      </c>
      <c r="E58" t="s">
        <v>78</v>
      </c>
      <c r="F58" t="s">
        <v>74</v>
      </c>
      <c r="G58">
        <v>2.51921993945377</v>
      </c>
      <c r="H58">
        <v>2E+20</v>
      </c>
      <c r="I58">
        <v>3.04758479908003E-2</v>
      </c>
      <c r="J58">
        <v>11.4119594210553</v>
      </c>
      <c r="K58">
        <v>248</v>
      </c>
      <c r="L58" t="str">
        <f>DiscreteStatsTable[[#This Row],[ProjectName]]&amp;DiscreteStatsTable[[#This Row],[Name]]&amp;DiscreteStatsTable[[#This Row],[Type]]&amp;DiscreteStatsTable[[#This Row],[Source]]</f>
        <v>Unnamed ProjectEntity 1VA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10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2.4755245358865192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7.2660839626707885E-2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5.1978433420592413E-2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2.3277411765877201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2.5948904259568901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9.2046050770022703E-4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25.940347636007399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58">
        <f>IF((DiscreteStatsTable[[#This Row],[RepsRequested]]&gt;1),DiscreteStatsTable[[#This Row],[HalfWidth]],DiscreteStatsTable[[#This Row],[BatchMeansHalfWidth]])</f>
        <v>5.1978433420592413E-2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10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68</v>
      </c>
      <c r="C59">
        <v>8</v>
      </c>
      <c r="D59" t="s">
        <v>72</v>
      </c>
      <c r="E59" t="s">
        <v>79</v>
      </c>
      <c r="F59" t="s">
        <v>74</v>
      </c>
      <c r="G59">
        <v>1.7644500094296001</v>
      </c>
      <c r="H59">
        <v>2E+20</v>
      </c>
      <c r="I59">
        <v>0</v>
      </c>
      <c r="J59">
        <v>14.6359815796469</v>
      </c>
      <c r="K59">
        <v>248</v>
      </c>
      <c r="L59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10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1.7751019991086672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0.32227846271676236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0.23054412395004534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1.3209394716032301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2.3332172655150498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21.652390393913599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59">
        <f>IF((DiscreteStatsTable[[#This Row],[RepsRequested]]&gt;1),DiscreteStatsTable[[#This Row],[HalfWidth]],DiscreteStatsTable[[#This Row],[BatchMeansHalfWidth]])</f>
        <v>0.23054412395004534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10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68</v>
      </c>
      <c r="C60">
        <v>9</v>
      </c>
      <c r="D60" t="s">
        <v>72</v>
      </c>
      <c r="E60" t="s">
        <v>73</v>
      </c>
      <c r="F60" t="s">
        <v>74</v>
      </c>
      <c r="G60">
        <v>0</v>
      </c>
      <c r="H60">
        <v>2E+20</v>
      </c>
      <c r="I60">
        <v>0</v>
      </c>
      <c r="J60">
        <v>0</v>
      </c>
      <c r="K60">
        <v>289</v>
      </c>
      <c r="L60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10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0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0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0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60">
        <f>IF((DiscreteStatsTable[[#This Row],[RepsRequested]]&gt;1),DiscreteStatsTable[[#This Row],[HalfWidth]],DiscreteStatsTable[[#This Row],[BatchMeansHalfWidth]])</f>
        <v>0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10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68</v>
      </c>
      <c r="C61">
        <v>9</v>
      </c>
      <c r="D61" t="s">
        <v>72</v>
      </c>
      <c r="E61" t="s">
        <v>75</v>
      </c>
      <c r="F61" t="s">
        <v>74</v>
      </c>
      <c r="G61">
        <v>0</v>
      </c>
      <c r="H61">
        <v>2E+20</v>
      </c>
      <c r="I61">
        <v>0</v>
      </c>
      <c r="J61">
        <v>0</v>
      </c>
      <c r="K61">
        <v>289</v>
      </c>
      <c r="L61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10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0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0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0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61">
        <f>IF((DiscreteStatsTable[[#This Row],[RepsRequested]]&gt;1),DiscreteStatsTable[[#This Row],[HalfWidth]],DiscreteStatsTable[[#This Row],[BatchMeansHalfWidth]])</f>
        <v>0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10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68</v>
      </c>
      <c r="C62">
        <v>9</v>
      </c>
      <c r="D62" t="s">
        <v>72</v>
      </c>
      <c r="E62" t="s">
        <v>76</v>
      </c>
      <c r="F62" t="s">
        <v>74</v>
      </c>
      <c r="G62">
        <v>4.7905634672515101</v>
      </c>
      <c r="H62">
        <v>2E+20</v>
      </c>
      <c r="I62">
        <v>4.3783446473355497E-2</v>
      </c>
      <c r="J62">
        <v>17.678625400923199</v>
      </c>
      <c r="K62">
        <v>289</v>
      </c>
      <c r="L62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10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4.2506265349951864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0.33522271329790426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0.23980388299587996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3.68321155667787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4.7905634672515101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9.2046050770022703E-4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29.442824674908099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62">
        <f>IF((DiscreteStatsTable[[#This Row],[RepsRequested]]&gt;1),DiscreteStatsTable[[#This Row],[HalfWidth]],DiscreteStatsTable[[#This Row],[BatchMeansHalfWidth]])</f>
        <v>0.23980388299587996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10</v>
      </c>
      <c r="Y62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68</v>
      </c>
      <c r="C63">
        <v>9</v>
      </c>
      <c r="D63" t="s">
        <v>72</v>
      </c>
      <c r="E63" t="s">
        <v>77</v>
      </c>
      <c r="F63" t="s">
        <v>74</v>
      </c>
      <c r="G63">
        <v>0</v>
      </c>
      <c r="H63">
        <v>2E+20</v>
      </c>
      <c r="I63">
        <v>0</v>
      </c>
      <c r="J63">
        <v>0</v>
      </c>
      <c r="K63">
        <v>289</v>
      </c>
      <c r="L63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10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63">
        <f>IF((DiscreteStatsTable[[#This Row],[RepsRequested]]&gt;1),DiscreteStatsTable[[#This Row],[HalfWidth]],DiscreteStatsTable[[#This Row],[BatchMeansHalfWidth]])</f>
        <v>0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10</v>
      </c>
      <c r="Y63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68</v>
      </c>
      <c r="C64">
        <v>9</v>
      </c>
      <c r="D64" t="s">
        <v>72</v>
      </c>
      <c r="E64" t="s">
        <v>78</v>
      </c>
      <c r="F64" t="s">
        <v>74</v>
      </c>
      <c r="G64">
        <v>2.4573462017364598</v>
      </c>
      <c r="H64">
        <v>2E+20</v>
      </c>
      <c r="I64">
        <v>2.0698240301726401E-2</v>
      </c>
      <c r="J64">
        <v>12.2435369379749</v>
      </c>
      <c r="K64">
        <v>289</v>
      </c>
      <c r="L64" t="str">
        <f>DiscreteStatsTable[[#This Row],[ProjectName]]&amp;DiscreteStatsTable[[#This Row],[Name]]&amp;DiscreteStatsTable[[#This Row],[Type]]&amp;DiscreteStatsTable[[#This Row],[Source]]</f>
        <v>Unnamed ProjectEntity 1VA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10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2.4755245358865192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7.2660839626707885E-2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5.1978433420592413E-2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2.3277411765877201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2.5948904259568901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9.2046050770022703E-4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25.940347636007399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64">
        <f>IF((DiscreteStatsTable[[#This Row],[RepsRequested]]&gt;1),DiscreteStatsTable[[#This Row],[HalfWidth]],DiscreteStatsTable[[#This Row],[BatchMeansHalfWidth]])</f>
        <v>5.1978433420592413E-2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10</v>
      </c>
      <c r="Y64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68</v>
      </c>
      <c r="C65">
        <v>9</v>
      </c>
      <c r="D65" t="s">
        <v>72</v>
      </c>
      <c r="E65" t="s">
        <v>79</v>
      </c>
      <c r="F65" t="s">
        <v>74</v>
      </c>
      <c r="G65">
        <v>2.3332172655150498</v>
      </c>
      <c r="H65">
        <v>2E+20</v>
      </c>
      <c r="I65">
        <v>0</v>
      </c>
      <c r="J65">
        <v>16.6213583408612</v>
      </c>
      <c r="K65">
        <v>289</v>
      </c>
      <c r="L65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10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1.7751019991086672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0.32227846271676236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0.23054412395004534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1.3209394716032301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2.3332172655150498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21.652390393913599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65">
        <f>IF((DiscreteStatsTable[[#This Row],[RepsRequested]]&gt;1),DiscreteStatsTable[[#This Row],[HalfWidth]],DiscreteStatsTable[[#This Row],[BatchMeansHalfWidth]])</f>
        <v>0.23054412395004534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10</v>
      </c>
      <c r="Y6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68</v>
      </c>
      <c r="C66">
        <v>10</v>
      </c>
      <c r="D66" t="s">
        <v>72</v>
      </c>
      <c r="E66" t="s">
        <v>73</v>
      </c>
      <c r="F66" t="s">
        <v>74</v>
      </c>
      <c r="G66">
        <v>0</v>
      </c>
      <c r="H66">
        <v>2E+20</v>
      </c>
      <c r="I66">
        <v>0</v>
      </c>
      <c r="J66">
        <v>0</v>
      </c>
      <c r="K66">
        <v>253</v>
      </c>
      <c r="L66" t="str">
        <f>DiscreteStatsTable[[#This Row],[ProjectName]]&amp;DiscreteStatsTable[[#This Row],[Name]]&amp;DiscreteStatsTable[[#This Row],[Type]]&amp;DiscreteStatsTable[[#This Row],[Source]]</f>
        <v>Unnamed ProjectEntity 1NVA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10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0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0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0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0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0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66">
        <f>IF((DiscreteStatsTable[[#This Row],[RepsRequested]]&gt;1),DiscreteStatsTable[[#This Row],[HalfWidth]],DiscreteStatsTable[[#This Row],[BatchMeansHalfWidth]])</f>
        <v>0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10</v>
      </c>
      <c r="Y66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68</v>
      </c>
      <c r="C67">
        <v>10</v>
      </c>
      <c r="D67" t="s">
        <v>72</v>
      </c>
      <c r="E67" t="s">
        <v>75</v>
      </c>
      <c r="F67" t="s">
        <v>74</v>
      </c>
      <c r="G67">
        <v>0</v>
      </c>
      <c r="H67">
        <v>2E+20</v>
      </c>
      <c r="I67">
        <v>0</v>
      </c>
      <c r="J67">
        <v>0</v>
      </c>
      <c r="K67">
        <v>253</v>
      </c>
      <c r="L67" t="str">
        <f>DiscreteStatsTable[[#This Row],[ProjectName]]&amp;DiscreteStatsTable[[#This Row],[Name]]&amp;DiscreteStatsTable[[#This Row],[Type]]&amp;DiscreteStatsTable[[#This Row],[Source]]</f>
        <v>Unnamed ProjectEntity 1Other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10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0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0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0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0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0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67">
        <f>IF((DiscreteStatsTable[[#This Row],[RepsRequested]]&gt;1),DiscreteStatsTable[[#This Row],[HalfWidth]],DiscreteStatsTable[[#This Row],[BatchMeansHalfWidth]])</f>
        <v>0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10</v>
      </c>
      <c r="Y67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68</v>
      </c>
      <c r="C68">
        <v>10</v>
      </c>
      <c r="D68" t="s">
        <v>72</v>
      </c>
      <c r="E68" t="s">
        <v>76</v>
      </c>
      <c r="F68" t="s">
        <v>74</v>
      </c>
      <c r="G68">
        <v>3.93728223174613</v>
      </c>
      <c r="H68">
        <v>2E+20</v>
      </c>
      <c r="I68">
        <v>1.14479535724854E-2</v>
      </c>
      <c r="J68">
        <v>16.7454627850157</v>
      </c>
      <c r="K68">
        <v>253</v>
      </c>
      <c r="L68" t="str">
        <f>DiscreteStatsTable[[#This Row],[ProjectName]]&amp;DiscreteStatsTable[[#This Row],[Name]]&amp;DiscreteStatsTable[[#This Row],[Type]]&amp;DiscreteStatsTable[[#This Row],[Source]]</f>
        <v>Unnamed ProjectEntity 1Total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10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4.2506265349951864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0.33522271329790426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0.23980388299587996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3.68321155667787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4.7905634672515101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9.2046050770022703E-4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29.442824674908099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68">
        <f>IF((DiscreteStatsTable[[#This Row],[RepsRequested]]&gt;1),DiscreteStatsTable[[#This Row],[HalfWidth]],DiscreteStatsTable[[#This Row],[BatchMeansHalfWidth]])</f>
        <v>0.23980388299587996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10</v>
      </c>
      <c r="Y68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68</v>
      </c>
      <c r="C69">
        <v>10</v>
      </c>
      <c r="D69" t="s">
        <v>72</v>
      </c>
      <c r="E69" t="s">
        <v>77</v>
      </c>
      <c r="F69" t="s">
        <v>74</v>
      </c>
      <c r="G69">
        <v>0</v>
      </c>
      <c r="H69">
        <v>2E+20</v>
      </c>
      <c r="I69">
        <v>0</v>
      </c>
      <c r="J69">
        <v>0</v>
      </c>
      <c r="K69">
        <v>253</v>
      </c>
      <c r="L69" t="str">
        <f>DiscreteStatsTable[[#This Row],[ProjectName]]&amp;DiscreteStatsTable[[#This Row],[Name]]&amp;DiscreteStatsTable[[#This Row],[Type]]&amp;DiscreteStatsTable[[#This Row],[Source]]</f>
        <v>Unnamed ProjectEntity 1Transfer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10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69">
        <f>IF((DiscreteStatsTable[[#This Row],[RepsRequested]]&gt;1),DiscreteStatsTable[[#This Row],[HalfWidth]],DiscreteStatsTable[[#This Row],[BatchMeansHalfWidth]])</f>
        <v>0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10</v>
      </c>
      <c r="Y69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68</v>
      </c>
      <c r="C70">
        <v>10</v>
      </c>
      <c r="D70" t="s">
        <v>72</v>
      </c>
      <c r="E70" t="s">
        <v>78</v>
      </c>
      <c r="F70" t="s">
        <v>74</v>
      </c>
      <c r="G70">
        <v>2.4827120456786602</v>
      </c>
      <c r="H70">
        <v>2E+20</v>
      </c>
      <c r="I70">
        <v>1.14479535724854E-2</v>
      </c>
      <c r="J70">
        <v>16.7454627850157</v>
      </c>
      <c r="K70">
        <v>253</v>
      </c>
      <c r="L70" t="str">
        <f>DiscreteStatsTable[[#This Row],[ProjectName]]&amp;DiscreteStatsTable[[#This Row],[Name]]&amp;DiscreteStatsTable[[#This Row],[Type]]&amp;DiscreteStatsTable[[#This Row],[Source]]</f>
        <v>Unnamed ProjectEntity 1VA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10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2.4755245358865192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7.2660839626707885E-2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5.1978433420592413E-2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2.3277411765877201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2.5948904259568901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9.2046050770022703E-4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25.940347636007399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70">
        <f>IF((DiscreteStatsTable[[#This Row],[RepsRequested]]&gt;1),DiscreteStatsTable[[#This Row],[HalfWidth]],DiscreteStatsTable[[#This Row],[BatchMeansHalfWidth]])</f>
        <v>5.1978433420592413E-2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10</v>
      </c>
      <c r="Y70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68</v>
      </c>
      <c r="C71">
        <v>10</v>
      </c>
      <c r="D71" t="s">
        <v>72</v>
      </c>
      <c r="E71" t="s">
        <v>79</v>
      </c>
      <c r="F71" t="s">
        <v>74</v>
      </c>
      <c r="G71">
        <v>1.45457018606748</v>
      </c>
      <c r="H71">
        <v>2E+20</v>
      </c>
      <c r="I71">
        <v>0</v>
      </c>
      <c r="J71">
        <v>13.299250752611901</v>
      </c>
      <c r="K71">
        <v>253</v>
      </c>
      <c r="L71" t="str">
        <f>DiscreteStatsTable[[#This Row],[ProjectName]]&amp;DiscreteStatsTable[[#This Row],[Name]]&amp;DiscreteStatsTable[[#This Row],[Type]]&amp;DiscreteStatsTable[[#This Row],[Source]]</f>
        <v>Unnamed ProjectEntity 1Wait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10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1.7751019991086672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0.32227846271676236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0.23054412395004534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1.3209394716032301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2.3332172655150498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21.652390393913599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269.39999999999998</v>
      </c>
      <c r="W71">
        <f>IF((DiscreteStatsTable[[#This Row],[RepsRequested]]&gt;1),DiscreteStatsTable[[#This Row],[HalfWidth]],DiscreteStatsTable[[#This Row],[BatchMeansHalfWidth]])</f>
        <v>0.23054412395004534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10</v>
      </c>
      <c r="Y71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68</v>
      </c>
      <c r="C72">
        <v>1</v>
      </c>
      <c r="D72" t="s">
        <v>80</v>
      </c>
      <c r="E72" t="s">
        <v>70</v>
      </c>
      <c r="F72" t="s">
        <v>71</v>
      </c>
      <c r="G72">
        <v>0.30057172662183301</v>
      </c>
      <c r="H72">
        <v>2.3985910966172901E-2</v>
      </c>
      <c r="I72">
        <v>0</v>
      </c>
      <c r="J72">
        <v>1.1431369630353201</v>
      </c>
      <c r="K72">
        <v>402</v>
      </c>
      <c r="L72" t="str">
        <f>DiscreteStatsTable[[#This Row],[ProjectName]]&amp;DiscreteStatsTable[[#This Row],[Name]]&amp;DiscreteStatsTable[[#This Row],[Type]]&amp;DiscreteStatsTable[[#This Row],[Source]]</f>
        <v>Unnamed ProjectLeave 1.QueueWaiting TimeQueue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10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0.3008886226313745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1.933471833668508E-2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1.3831224287145314E-2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0.26888675177172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0.33364412431166102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1.85671172404545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404.1</v>
      </c>
      <c r="W72">
        <f>IF((DiscreteStatsTable[[#This Row],[RepsRequested]]&gt;1),DiscreteStatsTable[[#This Row],[HalfWidth]],DiscreteStatsTable[[#This Row],[BatchMeansHalfWidth]])</f>
        <v>1.3831224287145314E-2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10</v>
      </c>
      <c r="Y72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68</v>
      </c>
      <c r="C73">
        <v>2</v>
      </c>
      <c r="D73" t="s">
        <v>80</v>
      </c>
      <c r="E73" t="s">
        <v>70</v>
      </c>
      <c r="F73" t="s">
        <v>71</v>
      </c>
      <c r="G73">
        <v>0.28877762175470501</v>
      </c>
      <c r="H73">
        <v>3.6699097810817899E-2</v>
      </c>
      <c r="I73">
        <v>0</v>
      </c>
      <c r="J73">
        <v>1.1937703593168301</v>
      </c>
      <c r="K73">
        <v>374</v>
      </c>
      <c r="L73" t="str">
        <f>DiscreteStatsTable[[#This Row],[ProjectName]]&amp;DiscreteStatsTable[[#This Row],[Name]]&amp;DiscreteStatsTable[[#This Row],[Type]]&amp;DiscreteStatsTable[[#This Row],[Source]]</f>
        <v>Unnamed ProjectLeave 1.QueueWaiting TimeQueue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10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0.3008886226313745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1.933471833668508E-2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1.3831224287145314E-2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0.26888675177172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0.33364412431166102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1.85671172404545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404.1</v>
      </c>
      <c r="W73">
        <f>IF((DiscreteStatsTable[[#This Row],[RepsRequested]]&gt;1),DiscreteStatsTable[[#This Row],[HalfWidth]],DiscreteStatsTable[[#This Row],[BatchMeansHalfWidth]])</f>
        <v>1.3831224287145314E-2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10</v>
      </c>
      <c r="Y73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68</v>
      </c>
      <c r="C74">
        <v>3</v>
      </c>
      <c r="D74" t="s">
        <v>80</v>
      </c>
      <c r="E74" t="s">
        <v>70</v>
      </c>
      <c r="F74" t="s">
        <v>71</v>
      </c>
      <c r="G74">
        <v>0.29516046107423599</v>
      </c>
      <c r="H74">
        <v>3.3581262818912001E-2</v>
      </c>
      <c r="I74">
        <v>0</v>
      </c>
      <c r="J74">
        <v>1.4574220735779</v>
      </c>
      <c r="K74">
        <v>404</v>
      </c>
      <c r="L74" t="str">
        <f>DiscreteStatsTable[[#This Row],[ProjectName]]&amp;DiscreteStatsTable[[#This Row],[Name]]&amp;DiscreteStatsTable[[#This Row],[Type]]&amp;DiscreteStatsTable[[#This Row],[Source]]</f>
        <v>Unnamed ProjectLeave 1.QueueWaiting TimeQueue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10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0.3008886226313745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1.933471833668508E-2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1.3831224287145314E-2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0.26888675177172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0.33364412431166102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1.85671172404545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404.1</v>
      </c>
      <c r="W74">
        <f>IF((DiscreteStatsTable[[#This Row],[RepsRequested]]&gt;1),DiscreteStatsTable[[#This Row],[HalfWidth]],DiscreteStatsTable[[#This Row],[BatchMeansHalfWidth]])</f>
        <v>1.3831224287145314E-2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10</v>
      </c>
      <c r="Y74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68</v>
      </c>
      <c r="C75">
        <v>4</v>
      </c>
      <c r="D75" t="s">
        <v>80</v>
      </c>
      <c r="E75" t="s">
        <v>70</v>
      </c>
      <c r="F75" t="s">
        <v>71</v>
      </c>
      <c r="G75">
        <v>0.31344500408864501</v>
      </c>
      <c r="H75">
        <v>3.8223353085843299E-2</v>
      </c>
      <c r="I75">
        <v>0</v>
      </c>
      <c r="J75">
        <v>1.53647475104015</v>
      </c>
      <c r="K75">
        <v>448</v>
      </c>
      <c r="L75" t="str">
        <f>DiscreteStatsTable[[#This Row],[ProjectName]]&amp;DiscreteStatsTable[[#This Row],[Name]]&amp;DiscreteStatsTable[[#This Row],[Type]]&amp;DiscreteStatsTable[[#This Row],[Source]]</f>
        <v>Unnamed ProjectLeave 1.QueueWaiting TimeQueue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10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0.3008886226313745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1.933471833668508E-2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1.3831224287145314E-2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0.26888675177172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0.33364412431166102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1.85671172404545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404.1</v>
      </c>
      <c r="W75">
        <f>IF((DiscreteStatsTable[[#This Row],[RepsRequested]]&gt;1),DiscreteStatsTable[[#This Row],[HalfWidth]],DiscreteStatsTable[[#This Row],[BatchMeansHalfWidth]])</f>
        <v>1.3831224287145314E-2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10</v>
      </c>
      <c r="Y7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68</v>
      </c>
      <c r="C76">
        <v>5</v>
      </c>
      <c r="D76" t="s">
        <v>80</v>
      </c>
      <c r="E76" t="s">
        <v>70</v>
      </c>
      <c r="F76" t="s">
        <v>71</v>
      </c>
      <c r="G76">
        <v>0.32618991629438499</v>
      </c>
      <c r="H76">
        <v>5.3855448368027699E-2</v>
      </c>
      <c r="I76">
        <v>0</v>
      </c>
      <c r="J76">
        <v>1.6950711443032001</v>
      </c>
      <c r="K76">
        <v>429</v>
      </c>
      <c r="L76" t="str">
        <f>DiscreteStatsTable[[#This Row],[ProjectName]]&amp;DiscreteStatsTable[[#This Row],[Name]]&amp;DiscreteStatsTable[[#This Row],[Type]]&amp;DiscreteStatsTable[[#This Row],[Source]]</f>
        <v>Unnamed ProjectLeave 1.QueueWaiting TimeQueue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10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0.3008886226313745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1.933471833668508E-2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1.3831224287145314E-2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0.26888675177172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0.33364412431166102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0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1.85671172404545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404.1</v>
      </c>
      <c r="W76">
        <f>IF((DiscreteStatsTable[[#This Row],[RepsRequested]]&gt;1),DiscreteStatsTable[[#This Row],[HalfWidth]],DiscreteStatsTable[[#This Row],[BatchMeansHalfWidth]])</f>
        <v>1.3831224287145314E-2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10</v>
      </c>
      <c r="Y76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68</v>
      </c>
      <c r="C77">
        <v>6</v>
      </c>
      <c r="D77" t="s">
        <v>80</v>
      </c>
      <c r="E77" t="s">
        <v>70</v>
      </c>
      <c r="F77" t="s">
        <v>71</v>
      </c>
      <c r="G77">
        <v>0.28405615005514201</v>
      </c>
      <c r="H77">
        <v>3E+20</v>
      </c>
      <c r="I77">
        <v>0</v>
      </c>
      <c r="J77">
        <v>1.1933449576856201</v>
      </c>
      <c r="K77">
        <v>428</v>
      </c>
      <c r="L77" t="str">
        <f>DiscreteStatsTable[[#This Row],[ProjectName]]&amp;DiscreteStatsTable[[#This Row],[Name]]&amp;DiscreteStatsTable[[#This Row],[Type]]&amp;DiscreteStatsTable[[#This Row],[Source]]</f>
        <v>Unnamed ProjectLeave 1.QueueWaiting TimeQueue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10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0.3008886226313745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1.933471833668508E-2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1.3831224287145314E-2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0.26888675177172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0.33364412431166102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1.85671172404545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404.1</v>
      </c>
      <c r="W77">
        <f>IF((DiscreteStatsTable[[#This Row],[RepsRequested]]&gt;1),DiscreteStatsTable[[#This Row],[HalfWidth]],DiscreteStatsTable[[#This Row],[BatchMeansHalfWidth]])</f>
        <v>1.3831224287145314E-2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10</v>
      </c>
      <c r="Y77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68</v>
      </c>
      <c r="C78">
        <v>7</v>
      </c>
      <c r="D78" t="s">
        <v>80</v>
      </c>
      <c r="E78" t="s">
        <v>70</v>
      </c>
      <c r="F78" t="s">
        <v>71</v>
      </c>
      <c r="G78">
        <v>0.299340114446913</v>
      </c>
      <c r="H78">
        <v>3E+20</v>
      </c>
      <c r="I78">
        <v>0</v>
      </c>
      <c r="J78">
        <v>1.85671172404545</v>
      </c>
      <c r="K78">
        <v>366</v>
      </c>
      <c r="L78" t="str">
        <f>DiscreteStatsTable[[#This Row],[ProjectName]]&amp;DiscreteStatsTable[[#This Row],[Name]]&amp;DiscreteStatsTable[[#This Row],[Type]]&amp;DiscreteStatsTable[[#This Row],[Source]]</f>
        <v>Unnamed ProjectLeave 1.QueueWaiting TimeQueue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10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0.3008886226313745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1.933471833668508E-2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1.3831224287145314E-2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0.26888675177172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0.33364412431166102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1.85671172404545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404.1</v>
      </c>
      <c r="W78">
        <f>IF((DiscreteStatsTable[[#This Row],[RepsRequested]]&gt;1),DiscreteStatsTable[[#This Row],[HalfWidth]],DiscreteStatsTable[[#This Row],[BatchMeansHalfWidth]])</f>
        <v>1.3831224287145314E-2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10</v>
      </c>
      <c r="Y78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68</v>
      </c>
      <c r="C79">
        <v>8</v>
      </c>
      <c r="D79" t="s">
        <v>80</v>
      </c>
      <c r="E79" t="s">
        <v>70</v>
      </c>
      <c r="F79" t="s">
        <v>71</v>
      </c>
      <c r="G79">
        <v>0.26888675177172</v>
      </c>
      <c r="H79">
        <v>2.4100305995701201E-2</v>
      </c>
      <c r="I79">
        <v>0</v>
      </c>
      <c r="J79">
        <v>1.1123592968388001</v>
      </c>
      <c r="K79">
        <v>376</v>
      </c>
      <c r="L79" t="str">
        <f>DiscreteStatsTable[[#This Row],[ProjectName]]&amp;DiscreteStatsTable[[#This Row],[Name]]&amp;DiscreteStatsTable[[#This Row],[Type]]&amp;DiscreteStatsTable[[#This Row],[Source]]</f>
        <v>Unnamed ProjectLeave 1.QueueWaiting TimeQueue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10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0.3008886226313745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1.933471833668508E-2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1.3831224287145314E-2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0.26888675177172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0.33364412431166102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1.85671172404545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404.1</v>
      </c>
      <c r="W79">
        <f>IF((DiscreteStatsTable[[#This Row],[RepsRequested]]&gt;1),DiscreteStatsTable[[#This Row],[HalfWidth]],DiscreteStatsTable[[#This Row],[BatchMeansHalfWidth]])</f>
        <v>1.3831224287145314E-2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10</v>
      </c>
      <c r="Y79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68</v>
      </c>
      <c r="C80">
        <v>9</v>
      </c>
      <c r="D80" t="s">
        <v>80</v>
      </c>
      <c r="E80" t="s">
        <v>70</v>
      </c>
      <c r="F80" t="s">
        <v>71</v>
      </c>
      <c r="G80">
        <v>0.33364412431166102</v>
      </c>
      <c r="H80">
        <v>4.6143546059850403E-2</v>
      </c>
      <c r="I80">
        <v>0</v>
      </c>
      <c r="J80">
        <v>1.6241827438930201</v>
      </c>
      <c r="K80">
        <v>442</v>
      </c>
      <c r="L80" t="str">
        <f>DiscreteStatsTable[[#This Row],[ProjectName]]&amp;DiscreteStatsTable[[#This Row],[Name]]&amp;DiscreteStatsTable[[#This Row],[Type]]&amp;DiscreteStatsTable[[#This Row],[Source]]</f>
        <v>Unnamed ProjectLeave 1.QueueWaiting TimeQueue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10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0.3008886226313745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1.933471833668508E-2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1.3831224287145314E-2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0.26888675177172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0.33364412431166102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1.85671172404545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404.1</v>
      </c>
      <c r="W80">
        <f>IF((DiscreteStatsTable[[#This Row],[RepsRequested]]&gt;1),DiscreteStatsTable[[#This Row],[HalfWidth]],DiscreteStatsTable[[#This Row],[BatchMeansHalfWidth]])</f>
        <v>1.3831224287145314E-2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10</v>
      </c>
      <c r="Y80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68</v>
      </c>
      <c r="C81">
        <v>10</v>
      </c>
      <c r="D81" t="s">
        <v>80</v>
      </c>
      <c r="E81" t="s">
        <v>70</v>
      </c>
      <c r="F81" t="s">
        <v>71</v>
      </c>
      <c r="G81">
        <v>0.298814355894505</v>
      </c>
      <c r="H81">
        <v>5.5482518025806199E-2</v>
      </c>
      <c r="I81">
        <v>0</v>
      </c>
      <c r="J81">
        <v>1.7061922225127499</v>
      </c>
      <c r="K81">
        <v>372</v>
      </c>
      <c r="L81" t="str">
        <f>DiscreteStatsTable[[#This Row],[ProjectName]]&amp;DiscreteStatsTable[[#This Row],[Name]]&amp;DiscreteStatsTable[[#This Row],[Type]]&amp;DiscreteStatsTable[[#This Row],[Source]]</f>
        <v>Unnamed ProjectLeave 1.QueueWaiting TimeQueue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10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0.3008886226313745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1.933471833668508E-2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1.3831224287145314E-2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0.26888675177172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0.33364412431166102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1.85671172404545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404.1</v>
      </c>
      <c r="W81">
        <f>IF((DiscreteStatsTable[[#This Row],[RepsRequested]]&gt;1),DiscreteStatsTable[[#This Row],[HalfWidth]],DiscreteStatsTable[[#This Row],[BatchMeansHalfWidth]])</f>
        <v>1.3831224287145314E-2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10</v>
      </c>
      <c r="Y81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68</v>
      </c>
      <c r="C82">
        <v>1</v>
      </c>
      <c r="D82" t="s">
        <v>81</v>
      </c>
      <c r="E82" t="s">
        <v>70</v>
      </c>
      <c r="F82" t="s">
        <v>71</v>
      </c>
      <c r="G82">
        <v>0.172367306210509</v>
      </c>
      <c r="H82">
        <v>2E+20</v>
      </c>
      <c r="I82">
        <v>1.57556435766537E-3</v>
      </c>
      <c r="J82">
        <v>0.56470635809105796</v>
      </c>
      <c r="K82">
        <v>21</v>
      </c>
      <c r="L82" t="str">
        <f>DiscreteStatsTable[[#This Row],[ProjectName]]&amp;DiscreteStatsTable[[#This Row],[Name]]&amp;DiscreteStatsTable[[#This Row],[Type]]&amp;DiscreteStatsTable[[#This Row],[Source]]</f>
        <v>Unnamed ProjectLeave 4.QueueWaiting TimeQueue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10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0.1517737400408988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3.3769420229538806E-2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2.4157187971826054E-2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0.10109150355485701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0.208761085607581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0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0.943557278707431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19.5</v>
      </c>
      <c r="W82">
        <f>IF((DiscreteStatsTable[[#This Row],[RepsRequested]]&gt;1),DiscreteStatsTable[[#This Row],[HalfWidth]],DiscreteStatsTable[[#This Row],[BatchMeansHalfWidth]])</f>
        <v>2.4157187971826054E-2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10</v>
      </c>
      <c r="Y82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68</v>
      </c>
      <c r="C83">
        <v>2</v>
      </c>
      <c r="D83" t="s">
        <v>81</v>
      </c>
      <c r="E83" t="s">
        <v>70</v>
      </c>
      <c r="F83" t="s">
        <v>71</v>
      </c>
      <c r="G83">
        <v>0.13124546986837399</v>
      </c>
      <c r="H83">
        <v>2E+20</v>
      </c>
      <c r="I83">
        <v>1.03772588984654E-2</v>
      </c>
      <c r="J83">
        <v>0.47406751298871103</v>
      </c>
      <c r="K83">
        <v>20</v>
      </c>
      <c r="L83" t="str">
        <f>DiscreteStatsTable[[#This Row],[ProjectName]]&amp;DiscreteStatsTable[[#This Row],[Name]]&amp;DiscreteStatsTable[[#This Row],[Type]]&amp;DiscreteStatsTable[[#This Row],[Source]]</f>
        <v>Unnamed ProjectLeave 4.QueueWaiting TimeQueue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10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0.1517737400408988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3.3769420229538806E-2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2.4157187971826054E-2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0.10109150355485701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0.208761085607581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0.943557278707431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19.5</v>
      </c>
      <c r="W83">
        <f>IF((DiscreteStatsTable[[#This Row],[RepsRequested]]&gt;1),DiscreteStatsTable[[#This Row],[HalfWidth]],DiscreteStatsTable[[#This Row],[BatchMeansHalfWidth]])</f>
        <v>2.4157187971826054E-2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10</v>
      </c>
      <c r="Y83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68</v>
      </c>
      <c r="C84">
        <v>3</v>
      </c>
      <c r="D84" t="s">
        <v>81</v>
      </c>
      <c r="E84" t="s">
        <v>70</v>
      </c>
      <c r="F84" t="s">
        <v>71</v>
      </c>
      <c r="G84">
        <v>0.136712396054294</v>
      </c>
      <c r="H84">
        <v>2E+20</v>
      </c>
      <c r="I84">
        <v>0</v>
      </c>
      <c r="J84">
        <v>0.30461637498982003</v>
      </c>
      <c r="K84">
        <v>25</v>
      </c>
      <c r="L84" t="str">
        <f>DiscreteStatsTable[[#This Row],[ProjectName]]&amp;DiscreteStatsTable[[#This Row],[Name]]&amp;DiscreteStatsTable[[#This Row],[Type]]&amp;DiscreteStatsTable[[#This Row],[Source]]</f>
        <v>Unnamed ProjectLeave 4.QueueWaiting TimeQueue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10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0.1517737400408988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3.3769420229538806E-2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2.4157187971826054E-2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0.10109150355485701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0.208761085607581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0.943557278707431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19.5</v>
      </c>
      <c r="W84">
        <f>IF((DiscreteStatsTable[[#This Row],[RepsRequested]]&gt;1),DiscreteStatsTable[[#This Row],[HalfWidth]],DiscreteStatsTable[[#This Row],[BatchMeansHalfWidth]])</f>
        <v>2.4157187971826054E-2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10</v>
      </c>
      <c r="Y84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68</v>
      </c>
      <c r="C85">
        <v>4</v>
      </c>
      <c r="D85" t="s">
        <v>81</v>
      </c>
      <c r="E85" t="s">
        <v>70</v>
      </c>
      <c r="F85" t="s">
        <v>71</v>
      </c>
      <c r="G85">
        <v>0.129497520900095</v>
      </c>
      <c r="H85">
        <v>2E+20</v>
      </c>
      <c r="I85">
        <v>0</v>
      </c>
      <c r="J85">
        <v>0.28879537813247702</v>
      </c>
      <c r="K85">
        <v>21</v>
      </c>
      <c r="L85" t="str">
        <f>DiscreteStatsTable[[#This Row],[ProjectName]]&amp;DiscreteStatsTable[[#This Row],[Name]]&amp;DiscreteStatsTable[[#This Row],[Type]]&amp;DiscreteStatsTable[[#This Row],[Source]]</f>
        <v>Unnamed ProjectLeave 4.QueueWaiting TimeQueue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10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0.1517737400408988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3.3769420229538806E-2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2.4157187971826054E-2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0.10109150355485701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0.208761085607581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0.943557278707431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19.5</v>
      </c>
      <c r="W85">
        <f>IF((DiscreteStatsTable[[#This Row],[RepsRequested]]&gt;1),DiscreteStatsTable[[#This Row],[HalfWidth]],DiscreteStatsTable[[#This Row],[BatchMeansHalfWidth]])</f>
        <v>2.4157187971826054E-2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10</v>
      </c>
      <c r="Y8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68</v>
      </c>
      <c r="C86">
        <v>5</v>
      </c>
      <c r="D86" t="s">
        <v>81</v>
      </c>
      <c r="E86" t="s">
        <v>70</v>
      </c>
      <c r="F86" t="s">
        <v>71</v>
      </c>
      <c r="G86">
        <v>0.13487626433576799</v>
      </c>
      <c r="H86">
        <v>2E+20</v>
      </c>
      <c r="I86">
        <v>0</v>
      </c>
      <c r="J86">
        <v>0.49169034336801998</v>
      </c>
      <c r="K86">
        <v>20</v>
      </c>
      <c r="L86" t="str">
        <f>DiscreteStatsTable[[#This Row],[ProjectName]]&amp;DiscreteStatsTable[[#This Row],[Name]]&amp;DiscreteStatsTable[[#This Row],[Type]]&amp;DiscreteStatsTable[[#This Row],[Source]]</f>
        <v>Unnamed ProjectLeave 4.QueueWaiting TimeQueue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10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0.1517737400408988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3.3769420229538806E-2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2.4157187971826054E-2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0.10109150355485701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0.208761085607581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0.943557278707431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19.5</v>
      </c>
      <c r="W86">
        <f>IF((DiscreteStatsTable[[#This Row],[RepsRequested]]&gt;1),DiscreteStatsTable[[#This Row],[HalfWidth]],DiscreteStatsTable[[#This Row],[BatchMeansHalfWidth]])</f>
        <v>2.4157187971826054E-2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10</v>
      </c>
      <c r="Y86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68</v>
      </c>
      <c r="C87">
        <v>6</v>
      </c>
      <c r="D87" t="s">
        <v>81</v>
      </c>
      <c r="E87" t="s">
        <v>70</v>
      </c>
      <c r="F87" t="s">
        <v>71</v>
      </c>
      <c r="G87">
        <v>0.201127684235963</v>
      </c>
      <c r="H87">
        <v>2E+20</v>
      </c>
      <c r="I87">
        <v>8.7474763910790898E-3</v>
      </c>
      <c r="J87">
        <v>0.943557278707431</v>
      </c>
      <c r="K87">
        <v>18</v>
      </c>
      <c r="L87" t="str">
        <f>DiscreteStatsTable[[#This Row],[ProjectName]]&amp;DiscreteStatsTable[[#This Row],[Name]]&amp;DiscreteStatsTable[[#This Row],[Type]]&amp;DiscreteStatsTable[[#This Row],[Source]]</f>
        <v>Unnamed ProjectLeave 4.QueueWaiting TimeQueue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10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0.1517737400408988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3.3769420229538806E-2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2.4157187971826054E-2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0.10109150355485701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0.208761085607581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0.943557278707431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19.5</v>
      </c>
      <c r="W87">
        <f>IF((DiscreteStatsTable[[#This Row],[RepsRequested]]&gt;1),DiscreteStatsTable[[#This Row],[HalfWidth]],DiscreteStatsTable[[#This Row],[BatchMeansHalfWidth]])</f>
        <v>2.4157187971826054E-2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10</v>
      </c>
      <c r="Y87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68</v>
      </c>
      <c r="C88">
        <v>7</v>
      </c>
      <c r="D88" t="s">
        <v>81</v>
      </c>
      <c r="E88" t="s">
        <v>70</v>
      </c>
      <c r="F88" t="s">
        <v>71</v>
      </c>
      <c r="G88">
        <v>0.208761085607581</v>
      </c>
      <c r="H88">
        <v>2E+20</v>
      </c>
      <c r="I88">
        <v>0</v>
      </c>
      <c r="J88">
        <v>0.93279576417194199</v>
      </c>
      <c r="K88">
        <v>16</v>
      </c>
      <c r="L88" t="str">
        <f>DiscreteStatsTable[[#This Row],[ProjectName]]&amp;DiscreteStatsTable[[#This Row],[Name]]&amp;DiscreteStatsTable[[#This Row],[Type]]&amp;DiscreteStatsTable[[#This Row],[Source]]</f>
        <v>Unnamed ProjectLeave 4.QueueWaiting TimeQueue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10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0.1517737400408988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3.3769420229538806E-2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2.4157187971826054E-2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0.10109150355485701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0.208761085607581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0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0.943557278707431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19.5</v>
      </c>
      <c r="W88">
        <f>IF((DiscreteStatsTable[[#This Row],[RepsRequested]]&gt;1),DiscreteStatsTable[[#This Row],[HalfWidth]],DiscreteStatsTable[[#This Row],[BatchMeansHalfWidth]])</f>
        <v>2.4157187971826054E-2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10</v>
      </c>
      <c r="Y88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68</v>
      </c>
      <c r="C89">
        <v>8</v>
      </c>
      <c r="D89" t="s">
        <v>81</v>
      </c>
      <c r="E89" t="s">
        <v>70</v>
      </c>
      <c r="F89" t="s">
        <v>71</v>
      </c>
      <c r="G89">
        <v>0.10109150355485701</v>
      </c>
      <c r="H89">
        <v>2E+20</v>
      </c>
      <c r="I89">
        <v>0</v>
      </c>
      <c r="J89">
        <v>0.24255717161633999</v>
      </c>
      <c r="K89">
        <v>19</v>
      </c>
      <c r="L89" t="str">
        <f>DiscreteStatsTable[[#This Row],[ProjectName]]&amp;DiscreteStatsTable[[#This Row],[Name]]&amp;DiscreteStatsTable[[#This Row],[Type]]&amp;DiscreteStatsTable[[#This Row],[Source]]</f>
        <v>Unnamed ProjectLeave 4.QueueWaiting TimeQueue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10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0.1517737400408988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3.3769420229538806E-2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2.4157187971826054E-2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0.10109150355485701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0.208761085607581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0.943557278707431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19.5</v>
      </c>
      <c r="W89">
        <f>IF((DiscreteStatsTable[[#This Row],[RepsRequested]]&gt;1),DiscreteStatsTable[[#This Row],[HalfWidth]],DiscreteStatsTable[[#This Row],[BatchMeansHalfWidth]])</f>
        <v>2.4157187971826054E-2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10</v>
      </c>
      <c r="Y89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68</v>
      </c>
      <c r="C90">
        <v>9</v>
      </c>
      <c r="D90" t="s">
        <v>81</v>
      </c>
      <c r="E90" t="s">
        <v>70</v>
      </c>
      <c r="F90" t="s">
        <v>71</v>
      </c>
      <c r="G90">
        <v>0.15986346800326601</v>
      </c>
      <c r="H90">
        <v>2E+20</v>
      </c>
      <c r="I90">
        <v>2.5722818065389699E-2</v>
      </c>
      <c r="J90">
        <v>0.46314628587413198</v>
      </c>
      <c r="K90">
        <v>17</v>
      </c>
      <c r="L90" t="str">
        <f>DiscreteStatsTable[[#This Row],[ProjectName]]&amp;DiscreteStatsTable[[#This Row],[Name]]&amp;DiscreteStatsTable[[#This Row],[Type]]&amp;DiscreteStatsTable[[#This Row],[Source]]</f>
        <v>Unnamed ProjectLeave 4.QueueWaiting TimeQueue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10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0.1517737400408988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3.3769420229538806E-2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2.4157187971826054E-2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0.10109150355485701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0.208761085607581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0.943557278707431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19.5</v>
      </c>
      <c r="W90">
        <f>IF((DiscreteStatsTable[[#This Row],[RepsRequested]]&gt;1),DiscreteStatsTable[[#This Row],[HalfWidth]],DiscreteStatsTable[[#This Row],[BatchMeansHalfWidth]])</f>
        <v>2.4157187971826054E-2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10</v>
      </c>
      <c r="Y90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68</v>
      </c>
      <c r="C91">
        <v>10</v>
      </c>
      <c r="D91" t="s">
        <v>81</v>
      </c>
      <c r="E91" t="s">
        <v>70</v>
      </c>
      <c r="F91" t="s">
        <v>71</v>
      </c>
      <c r="G91">
        <v>0.14219470163828099</v>
      </c>
      <c r="H91">
        <v>2E+20</v>
      </c>
      <c r="I91">
        <v>0</v>
      </c>
      <c r="J91">
        <v>0.46389967301038798</v>
      </c>
      <c r="K91">
        <v>18</v>
      </c>
      <c r="L91" t="str">
        <f>DiscreteStatsTable[[#This Row],[ProjectName]]&amp;DiscreteStatsTable[[#This Row],[Name]]&amp;DiscreteStatsTable[[#This Row],[Type]]&amp;DiscreteStatsTable[[#This Row],[Source]]</f>
        <v>Unnamed ProjectLeave 4.QueueWaiting TimeQueue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10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0.1517737400408988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3.3769420229538806E-2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2.4157187971826054E-2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0.10109150355485701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0.208761085607581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0.943557278707431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19.5</v>
      </c>
      <c r="W91">
        <f>IF((DiscreteStatsTable[[#This Row],[RepsRequested]]&gt;1),DiscreteStatsTable[[#This Row],[HalfWidth]],DiscreteStatsTable[[#This Row],[BatchMeansHalfWidth]])</f>
        <v>2.4157187971826054E-2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10</v>
      </c>
      <c r="Y91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68</v>
      </c>
      <c r="C92">
        <v>1</v>
      </c>
      <c r="D92" t="s">
        <v>82</v>
      </c>
      <c r="E92" t="s">
        <v>70</v>
      </c>
      <c r="F92" t="s">
        <v>71</v>
      </c>
      <c r="G92">
        <v>0.14853803844049199</v>
      </c>
      <c r="H92">
        <v>2E+20</v>
      </c>
      <c r="I92">
        <v>0</v>
      </c>
      <c r="J92">
        <v>0.66216657013278302</v>
      </c>
      <c r="K92">
        <v>208</v>
      </c>
      <c r="L92" t="str">
        <f>DiscreteStatsTable[[#This Row],[ProjectName]]&amp;DiscreteStatsTable[[#This Row],[Name]]&amp;DiscreteStatsTable[[#This Row],[Type]]&amp;DiscreteStatsTable[[#This Row],[Source]]</f>
        <v>Unnamed ProjectLeave 5.QueueWaiting TimeQueue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10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0.13862345355425409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6.2605571929319906E-3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4.4785328231882185E-3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0.12897832957149399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0.14853803844049199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0.68196988748354703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211.1</v>
      </c>
      <c r="W92">
        <f>IF((DiscreteStatsTable[[#This Row],[RepsRequested]]&gt;1),DiscreteStatsTable[[#This Row],[HalfWidth]],DiscreteStatsTable[[#This Row],[BatchMeansHalfWidth]])</f>
        <v>4.4785328231882185E-3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10</v>
      </c>
      <c r="Y92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68</v>
      </c>
      <c r="C93">
        <v>2</v>
      </c>
      <c r="D93" t="s">
        <v>82</v>
      </c>
      <c r="E93" t="s">
        <v>70</v>
      </c>
      <c r="F93" t="s">
        <v>71</v>
      </c>
      <c r="G93">
        <v>0.131360477983233</v>
      </c>
      <c r="H93">
        <v>2E+20</v>
      </c>
      <c r="I93">
        <v>0</v>
      </c>
      <c r="J93">
        <v>0.50716273813509405</v>
      </c>
      <c r="K93">
        <v>198</v>
      </c>
      <c r="L93" t="str">
        <f>DiscreteStatsTable[[#This Row],[ProjectName]]&amp;DiscreteStatsTable[[#This Row],[Name]]&amp;DiscreteStatsTable[[#This Row],[Type]]&amp;DiscreteStatsTable[[#This Row],[Source]]</f>
        <v>Unnamed ProjectLeave 5.QueueWaiting TimeQueue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10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0.13862345355425409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6.2605571929319906E-3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4.4785328231882185E-3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0.12897832957149399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0.14853803844049199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0.68196988748354703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211.1</v>
      </c>
      <c r="W93">
        <f>IF((DiscreteStatsTable[[#This Row],[RepsRequested]]&gt;1),DiscreteStatsTable[[#This Row],[HalfWidth]],DiscreteStatsTable[[#This Row],[BatchMeansHalfWidth]])</f>
        <v>4.4785328231882185E-3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10</v>
      </c>
      <c r="Y93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68</v>
      </c>
      <c r="C94">
        <v>3</v>
      </c>
      <c r="D94" t="s">
        <v>82</v>
      </c>
      <c r="E94" t="s">
        <v>70</v>
      </c>
      <c r="F94" t="s">
        <v>71</v>
      </c>
      <c r="G94">
        <v>0.138246341701071</v>
      </c>
      <c r="H94">
        <v>2E+20</v>
      </c>
      <c r="I94">
        <v>0</v>
      </c>
      <c r="J94">
        <v>0.40865860767928602</v>
      </c>
      <c r="K94">
        <v>205</v>
      </c>
      <c r="L94" t="str">
        <f>DiscreteStatsTable[[#This Row],[ProjectName]]&amp;DiscreteStatsTable[[#This Row],[Name]]&amp;DiscreteStatsTable[[#This Row],[Type]]&amp;DiscreteStatsTable[[#This Row],[Source]]</f>
        <v>Unnamed ProjectLeave 5.QueueWaiting TimeQueue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10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0.13862345355425409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6.2605571929319906E-3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4.4785328231882185E-3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0.12897832957149399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0.14853803844049199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0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0.68196988748354703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211.1</v>
      </c>
      <c r="W94">
        <f>IF((DiscreteStatsTable[[#This Row],[RepsRequested]]&gt;1),DiscreteStatsTable[[#This Row],[HalfWidth]],DiscreteStatsTable[[#This Row],[BatchMeansHalfWidth]])</f>
        <v>4.4785328231882185E-3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10</v>
      </c>
      <c r="Y94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68</v>
      </c>
      <c r="C95">
        <v>4</v>
      </c>
      <c r="D95" t="s">
        <v>82</v>
      </c>
      <c r="E95" t="s">
        <v>70</v>
      </c>
      <c r="F95" t="s">
        <v>71</v>
      </c>
      <c r="G95">
        <v>0.132019636018433</v>
      </c>
      <c r="H95">
        <v>2E+20</v>
      </c>
      <c r="I95">
        <v>0</v>
      </c>
      <c r="J95">
        <v>0.68196988748354703</v>
      </c>
      <c r="K95">
        <v>242</v>
      </c>
      <c r="L95" t="str">
        <f>DiscreteStatsTable[[#This Row],[ProjectName]]&amp;DiscreteStatsTable[[#This Row],[Name]]&amp;DiscreteStatsTable[[#This Row],[Type]]&amp;DiscreteStatsTable[[#This Row],[Source]]</f>
        <v>Unnamed ProjectLeave 5.QueueWaiting TimeQueue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10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0.13862345355425409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6.2605571929319906E-3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4.4785328231882185E-3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0.12897832957149399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0.14853803844049199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0.68196988748354703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211.1</v>
      </c>
      <c r="W95">
        <f>IF((DiscreteStatsTable[[#This Row],[RepsRequested]]&gt;1),DiscreteStatsTable[[#This Row],[HalfWidth]],DiscreteStatsTable[[#This Row],[BatchMeansHalfWidth]])</f>
        <v>4.4785328231882185E-3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10</v>
      </c>
      <c r="Y9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68</v>
      </c>
      <c r="C96">
        <v>5</v>
      </c>
      <c r="D96" t="s">
        <v>82</v>
      </c>
      <c r="E96" t="s">
        <v>70</v>
      </c>
      <c r="F96" t="s">
        <v>71</v>
      </c>
      <c r="G96">
        <v>0.14302709067236299</v>
      </c>
      <c r="H96">
        <v>2E+20</v>
      </c>
      <c r="I96">
        <v>0</v>
      </c>
      <c r="J96">
        <v>0.42587055148624098</v>
      </c>
      <c r="K96">
        <v>215</v>
      </c>
      <c r="L96" t="str">
        <f>DiscreteStatsTable[[#This Row],[ProjectName]]&amp;DiscreteStatsTable[[#This Row],[Name]]&amp;DiscreteStatsTable[[#This Row],[Type]]&amp;DiscreteStatsTable[[#This Row],[Source]]</f>
        <v>Unnamed ProjectLeave 5.QueueWaiting TimeQueue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10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0.13862345355425409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6.2605571929319906E-3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4.4785328231882185E-3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0.12897832957149399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0.14853803844049199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0.68196988748354703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211.1</v>
      </c>
      <c r="W96">
        <f>IF((DiscreteStatsTable[[#This Row],[RepsRequested]]&gt;1),DiscreteStatsTable[[#This Row],[HalfWidth]],DiscreteStatsTable[[#This Row],[BatchMeansHalfWidth]])</f>
        <v>4.4785328231882185E-3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10</v>
      </c>
      <c r="Y96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68</v>
      </c>
      <c r="C97">
        <v>6</v>
      </c>
      <c r="D97" t="s">
        <v>82</v>
      </c>
      <c r="E97" t="s">
        <v>70</v>
      </c>
      <c r="F97" t="s">
        <v>71</v>
      </c>
      <c r="G97">
        <v>0.139226476820074</v>
      </c>
      <c r="H97">
        <v>2E+20</v>
      </c>
      <c r="I97">
        <v>0</v>
      </c>
      <c r="J97">
        <v>0.450468671557189</v>
      </c>
      <c r="K97">
        <v>243</v>
      </c>
      <c r="L97" t="str">
        <f>DiscreteStatsTable[[#This Row],[ProjectName]]&amp;DiscreteStatsTable[[#This Row],[Name]]&amp;DiscreteStatsTable[[#This Row],[Type]]&amp;DiscreteStatsTable[[#This Row],[Source]]</f>
        <v>Unnamed ProjectLeave 5.QueueWaiting TimeQueue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10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0.13862345355425409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6.2605571929319906E-3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4.4785328231882185E-3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0.12897832957149399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0.14853803844049199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0.68196988748354703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211.1</v>
      </c>
      <c r="W97">
        <f>IF((DiscreteStatsTable[[#This Row],[RepsRequested]]&gt;1),DiscreteStatsTable[[#This Row],[HalfWidth]],DiscreteStatsTable[[#This Row],[BatchMeansHalfWidth]])</f>
        <v>4.4785328231882185E-3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10</v>
      </c>
      <c r="Y97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68</v>
      </c>
      <c r="C98">
        <v>7</v>
      </c>
      <c r="D98" t="s">
        <v>82</v>
      </c>
      <c r="E98" t="s">
        <v>70</v>
      </c>
      <c r="F98" t="s">
        <v>71</v>
      </c>
      <c r="G98">
        <v>0.12897832957149399</v>
      </c>
      <c r="H98">
        <v>2E+20</v>
      </c>
      <c r="I98">
        <v>0</v>
      </c>
      <c r="J98">
        <v>0.42121400572460699</v>
      </c>
      <c r="K98">
        <v>191</v>
      </c>
      <c r="L98" t="str">
        <f>DiscreteStatsTable[[#This Row],[ProjectName]]&amp;DiscreteStatsTable[[#This Row],[Name]]&amp;DiscreteStatsTable[[#This Row],[Type]]&amp;DiscreteStatsTable[[#This Row],[Source]]</f>
        <v>Unnamed ProjectLeave 5.QueueWaiting TimeQueue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10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0.13862345355425409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6.2605571929319906E-3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4.4785328231882185E-3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0.12897832957149399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0.14853803844049199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0.68196988748354703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211.1</v>
      </c>
      <c r="W98">
        <f>IF((DiscreteStatsTable[[#This Row],[RepsRequested]]&gt;1),DiscreteStatsTable[[#This Row],[HalfWidth]],DiscreteStatsTable[[#This Row],[BatchMeansHalfWidth]])</f>
        <v>4.4785328231882185E-3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10</v>
      </c>
      <c r="Y98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68</v>
      </c>
      <c r="C99">
        <v>8</v>
      </c>
      <c r="D99" t="s">
        <v>82</v>
      </c>
      <c r="E99" t="s">
        <v>70</v>
      </c>
      <c r="F99" t="s">
        <v>71</v>
      </c>
      <c r="G99">
        <v>0.14419343089282999</v>
      </c>
      <c r="H99">
        <v>2E+20</v>
      </c>
      <c r="I99">
        <v>0</v>
      </c>
      <c r="J99">
        <v>0.52363983126190305</v>
      </c>
      <c r="K99">
        <v>199</v>
      </c>
      <c r="L99" t="str">
        <f>DiscreteStatsTable[[#This Row],[ProjectName]]&amp;DiscreteStatsTable[[#This Row],[Name]]&amp;DiscreteStatsTable[[#This Row],[Type]]&amp;DiscreteStatsTable[[#This Row],[Source]]</f>
        <v>Unnamed ProjectLeave 5.QueueWaiting TimeQueue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10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0.13862345355425409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6.2605571929319906E-3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4.4785328231882185E-3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0.12897832957149399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0.14853803844049199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0.68196988748354703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211.1</v>
      </c>
      <c r="W99">
        <f>IF((DiscreteStatsTable[[#This Row],[RepsRequested]]&gt;1),DiscreteStatsTable[[#This Row],[HalfWidth]],DiscreteStatsTable[[#This Row],[BatchMeansHalfWidth]])</f>
        <v>4.4785328231882185E-3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10</v>
      </c>
      <c r="Y99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68</v>
      </c>
      <c r="C100">
        <v>9</v>
      </c>
      <c r="D100" t="s">
        <v>82</v>
      </c>
      <c r="E100" t="s">
        <v>70</v>
      </c>
      <c r="F100" t="s">
        <v>71</v>
      </c>
      <c r="G100">
        <v>0.14236777785417901</v>
      </c>
      <c r="H100">
        <v>2E+20</v>
      </c>
      <c r="I100">
        <v>0</v>
      </c>
      <c r="J100">
        <v>0.59183645754399095</v>
      </c>
      <c r="K100">
        <v>227</v>
      </c>
      <c r="L100" t="str">
        <f>DiscreteStatsTable[[#This Row],[ProjectName]]&amp;DiscreteStatsTable[[#This Row],[Name]]&amp;DiscreteStatsTable[[#This Row],[Type]]&amp;DiscreteStatsTable[[#This Row],[Source]]</f>
        <v>Unnamed ProjectLeave 5.QueueWaiting TimeQueue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10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0.13862345355425409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6.2605571929319906E-3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4.4785328231882185E-3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0.12897832957149399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0.14853803844049199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0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0.68196988748354703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211.1</v>
      </c>
      <c r="W100">
        <f>IF((DiscreteStatsTable[[#This Row],[RepsRequested]]&gt;1),DiscreteStatsTable[[#This Row],[HalfWidth]],DiscreteStatsTable[[#This Row],[BatchMeansHalfWidth]])</f>
        <v>4.4785328231882185E-3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10</v>
      </c>
      <c r="Y100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68</v>
      </c>
      <c r="C101">
        <v>10</v>
      </c>
      <c r="D101" t="s">
        <v>82</v>
      </c>
      <c r="E101" t="s">
        <v>70</v>
      </c>
      <c r="F101" t="s">
        <v>71</v>
      </c>
      <c r="G101">
        <v>0.13827693558837201</v>
      </c>
      <c r="H101">
        <v>2E+20</v>
      </c>
      <c r="I101">
        <v>0</v>
      </c>
      <c r="J101">
        <v>0.58328853427691696</v>
      </c>
      <c r="K101">
        <v>183</v>
      </c>
      <c r="L101" t="str">
        <f>DiscreteStatsTable[[#This Row],[ProjectName]]&amp;DiscreteStatsTable[[#This Row],[Name]]&amp;DiscreteStatsTable[[#This Row],[Type]]&amp;DiscreteStatsTable[[#This Row],[Source]]</f>
        <v>Unnamed ProjectLeave 5.QueueWaiting TimeQueue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10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0.13862345355425409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6.2605571929319906E-3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4.4785328231882185E-3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0.12897832957149399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0.14853803844049199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0.68196988748354703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211.1</v>
      </c>
      <c r="W101">
        <f>IF((DiscreteStatsTable[[#This Row],[RepsRequested]]&gt;1),DiscreteStatsTable[[#This Row],[HalfWidth]],DiscreteStatsTable[[#This Row],[BatchMeansHalfWidth]])</f>
        <v>4.4785328231882185E-3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10</v>
      </c>
      <c r="Y101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68</v>
      </c>
      <c r="C102">
        <v>1</v>
      </c>
      <c r="D102" t="s">
        <v>83</v>
      </c>
      <c r="E102" t="s">
        <v>70</v>
      </c>
      <c r="F102" t="s">
        <v>71</v>
      </c>
      <c r="G102">
        <v>0.28540583753946402</v>
      </c>
      <c r="H102">
        <v>2E+20</v>
      </c>
      <c r="I102">
        <v>3.5135216831690699E-2</v>
      </c>
      <c r="J102">
        <v>0.85722135471971195</v>
      </c>
      <c r="K102">
        <v>4</v>
      </c>
      <c r="L102" t="str">
        <f>DiscreteStatsTable[[#This Row],[ProjectName]]&amp;DiscreteStatsTable[[#This Row],[Name]]&amp;DiscreteStatsTable[[#This Row],[Type]]&amp;DiscreteStatsTable[[#This Row],[Source]]</f>
        <v>Unnamed ProjectLeave 6.QueueWaiting TimeQueue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10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0.25786916325077475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0.10063233120279175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7.1988033089844278E-2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7.08022291539461E-2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0.399056420325756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1.47939229109431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7.6</v>
      </c>
      <c r="W102">
        <f>IF((DiscreteStatsTable[[#This Row],[RepsRequested]]&gt;1),DiscreteStatsTable[[#This Row],[HalfWidth]],DiscreteStatsTable[[#This Row],[BatchMeansHalfWidth]])</f>
        <v>7.1988033089844278E-2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10</v>
      </c>
      <c r="Y102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68</v>
      </c>
      <c r="C103">
        <v>2</v>
      </c>
      <c r="D103" t="s">
        <v>83</v>
      </c>
      <c r="E103" t="s">
        <v>70</v>
      </c>
      <c r="F103" t="s">
        <v>71</v>
      </c>
      <c r="G103">
        <v>0.21626401593358899</v>
      </c>
      <c r="H103">
        <v>2E+20</v>
      </c>
      <c r="I103">
        <v>0</v>
      </c>
      <c r="J103">
        <v>0.67322741380661499</v>
      </c>
      <c r="K103">
        <v>9</v>
      </c>
      <c r="L103" t="str">
        <f>DiscreteStatsTable[[#This Row],[ProjectName]]&amp;DiscreteStatsTable[[#This Row],[Name]]&amp;DiscreteStatsTable[[#This Row],[Type]]&amp;DiscreteStatsTable[[#This Row],[Source]]</f>
        <v>Unnamed ProjectLeave 6.QueueWaiting TimeQueue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10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0.25786916325077475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0.10063233120279175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7.1988033089844278E-2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7.08022291539461E-2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0.399056420325756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1.47939229109431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7.6</v>
      </c>
      <c r="W103">
        <f>IF((DiscreteStatsTable[[#This Row],[RepsRequested]]&gt;1),DiscreteStatsTable[[#This Row],[HalfWidth]],DiscreteStatsTable[[#This Row],[BatchMeansHalfWidth]])</f>
        <v>7.1988033089844278E-2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10</v>
      </c>
      <c r="Y103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68</v>
      </c>
      <c r="C104">
        <v>3</v>
      </c>
      <c r="D104" t="s">
        <v>83</v>
      </c>
      <c r="E104" t="s">
        <v>70</v>
      </c>
      <c r="F104" t="s">
        <v>71</v>
      </c>
      <c r="G104">
        <v>0.28179525089237201</v>
      </c>
      <c r="H104">
        <v>2E+20</v>
      </c>
      <c r="I104">
        <v>5.0240358265966699E-2</v>
      </c>
      <c r="J104">
        <v>0.60508004372530899</v>
      </c>
      <c r="K104">
        <v>6</v>
      </c>
      <c r="L104" t="str">
        <f>DiscreteStatsTable[[#This Row],[ProjectName]]&amp;DiscreteStatsTable[[#This Row],[Name]]&amp;DiscreteStatsTable[[#This Row],[Type]]&amp;DiscreteStatsTable[[#This Row],[Source]]</f>
        <v>Unnamed ProjectLeave 6.QueueWaiting TimeQueue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10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0.25786916325077475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0.10063233120279175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7.1988033089844278E-2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7.08022291539461E-2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0.399056420325756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1.47939229109431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7.6</v>
      </c>
      <c r="W104">
        <f>IF((DiscreteStatsTable[[#This Row],[RepsRequested]]&gt;1),DiscreteStatsTable[[#This Row],[HalfWidth]],DiscreteStatsTable[[#This Row],[BatchMeansHalfWidth]])</f>
        <v>7.1988033089844278E-2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10</v>
      </c>
      <c r="Y104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68</v>
      </c>
      <c r="C105">
        <v>4</v>
      </c>
      <c r="D105" t="s">
        <v>83</v>
      </c>
      <c r="E105" t="s">
        <v>70</v>
      </c>
      <c r="F105" t="s">
        <v>71</v>
      </c>
      <c r="G105">
        <v>0.37471529767811901</v>
      </c>
      <c r="H105">
        <v>2E+20</v>
      </c>
      <c r="I105">
        <v>1.9400429858194498E-2</v>
      </c>
      <c r="J105">
        <v>1.2820789194531701</v>
      </c>
      <c r="K105">
        <v>10</v>
      </c>
      <c r="L105" t="str">
        <f>DiscreteStatsTable[[#This Row],[ProjectName]]&amp;DiscreteStatsTable[[#This Row],[Name]]&amp;DiscreteStatsTable[[#This Row],[Type]]&amp;DiscreteStatsTable[[#This Row],[Source]]</f>
        <v>Unnamed ProjectLeave 6.QueueWaiting TimeQueue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10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0.25786916325077475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0.10063233120279175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7.1988033089844278E-2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7.08022291539461E-2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0.399056420325756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1.47939229109431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7.6</v>
      </c>
      <c r="W105">
        <f>IF((DiscreteStatsTable[[#This Row],[RepsRequested]]&gt;1),DiscreteStatsTable[[#This Row],[HalfWidth]],DiscreteStatsTable[[#This Row],[BatchMeansHalfWidth]])</f>
        <v>7.1988033089844278E-2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10</v>
      </c>
      <c r="Y10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68</v>
      </c>
      <c r="C106">
        <v>5</v>
      </c>
      <c r="D106" t="s">
        <v>83</v>
      </c>
      <c r="E106" t="s">
        <v>70</v>
      </c>
      <c r="F106" t="s">
        <v>71</v>
      </c>
      <c r="G106">
        <v>0.16835101310082901</v>
      </c>
      <c r="H106">
        <v>2E+20</v>
      </c>
      <c r="I106">
        <v>6.6851821961719802E-3</v>
      </c>
      <c r="J106">
        <v>0.60373755813883201</v>
      </c>
      <c r="K106">
        <v>10</v>
      </c>
      <c r="L106" t="str">
        <f>DiscreteStatsTable[[#This Row],[ProjectName]]&amp;DiscreteStatsTable[[#This Row],[Name]]&amp;DiscreteStatsTable[[#This Row],[Type]]&amp;DiscreteStatsTable[[#This Row],[Source]]</f>
        <v>Unnamed ProjectLeave 6.QueueWaiting TimeQueue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10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0.25786916325077475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0.10063233120279175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7.1988033089844278E-2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7.08022291539461E-2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0.399056420325756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0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1.47939229109431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7.6</v>
      </c>
      <c r="W106">
        <f>IF((DiscreteStatsTable[[#This Row],[RepsRequested]]&gt;1),DiscreteStatsTable[[#This Row],[HalfWidth]],DiscreteStatsTable[[#This Row],[BatchMeansHalfWidth]])</f>
        <v>7.1988033089844278E-2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10</v>
      </c>
      <c r="Y106">
        <f>IF(DiscreteStatsTable[[#This Row],[RepsRequested]]=DiscreteStatsTable[[#This Row],[RepsWithStatObserved]],1,0)</f>
        <v>1</v>
      </c>
    </row>
    <row r="107" spans="1:25" x14ac:dyDescent="0.3">
      <c r="A107" t="s">
        <v>66</v>
      </c>
      <c r="B107" t="s">
        <v>68</v>
      </c>
      <c r="C107">
        <v>6</v>
      </c>
      <c r="D107" t="s">
        <v>83</v>
      </c>
      <c r="E107" t="s">
        <v>70</v>
      </c>
      <c r="F107" t="s">
        <v>71</v>
      </c>
      <c r="G107">
        <v>0.399056420325756</v>
      </c>
      <c r="H107">
        <v>2E+20</v>
      </c>
      <c r="I107">
        <v>5.1194541889003596E-3</v>
      </c>
      <c r="J107">
        <v>0.96296974176777905</v>
      </c>
      <c r="K107">
        <v>5</v>
      </c>
      <c r="L107" t="str">
        <f>DiscreteStatsTable[[#This Row],[ProjectName]]&amp;DiscreteStatsTable[[#This Row],[Name]]&amp;DiscreteStatsTable[[#This Row],[Type]]&amp;DiscreteStatsTable[[#This Row],[Source]]</f>
        <v>Unnamed ProjectLeave 6.QueueWaiting TimeQueue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10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0.25786916325077475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0.10063233120279175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7.1988033089844278E-2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7.08022291539461E-2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0.399056420325756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1.47939229109431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7.6</v>
      </c>
      <c r="W107">
        <f>IF((DiscreteStatsTable[[#This Row],[RepsRequested]]&gt;1),DiscreteStatsTable[[#This Row],[HalfWidth]],DiscreteStatsTable[[#This Row],[BatchMeansHalfWidth]])</f>
        <v>7.1988033089844278E-2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10</v>
      </c>
      <c r="Y107">
        <f>IF(DiscreteStatsTable[[#This Row],[RepsRequested]]=DiscreteStatsTable[[#This Row],[RepsWithStatObserved]],1,0)</f>
        <v>1</v>
      </c>
    </row>
    <row r="108" spans="1:25" x14ac:dyDescent="0.3">
      <c r="A108" t="s">
        <v>66</v>
      </c>
      <c r="B108" t="s">
        <v>68</v>
      </c>
      <c r="C108">
        <v>7</v>
      </c>
      <c r="D108" t="s">
        <v>83</v>
      </c>
      <c r="E108" t="s">
        <v>70</v>
      </c>
      <c r="F108" t="s">
        <v>71</v>
      </c>
      <c r="G108">
        <v>0.21120764249517901</v>
      </c>
      <c r="H108">
        <v>2E+20</v>
      </c>
      <c r="I108">
        <v>0</v>
      </c>
      <c r="J108">
        <v>0.93044596351262499</v>
      </c>
      <c r="K108">
        <v>10</v>
      </c>
      <c r="L108" t="str">
        <f>DiscreteStatsTable[[#This Row],[ProjectName]]&amp;DiscreteStatsTable[[#This Row],[Name]]&amp;DiscreteStatsTable[[#This Row],[Type]]&amp;DiscreteStatsTable[[#This Row],[Source]]</f>
        <v>Unnamed ProjectLeave 6.QueueWaiting TimeQueue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10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0.25786916325077475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0.10063233120279175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7.1988033089844278E-2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7.08022291539461E-2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0.399056420325756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1.47939229109431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7.6</v>
      </c>
      <c r="W108">
        <f>IF((DiscreteStatsTable[[#This Row],[RepsRequested]]&gt;1),DiscreteStatsTable[[#This Row],[HalfWidth]],DiscreteStatsTable[[#This Row],[BatchMeansHalfWidth]])</f>
        <v>7.1988033089844278E-2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10</v>
      </c>
      <c r="Y108">
        <f>IF(DiscreteStatsTable[[#This Row],[RepsRequested]]=DiscreteStatsTable[[#This Row],[RepsWithStatObserved]],1,0)</f>
        <v>1</v>
      </c>
    </row>
    <row r="109" spans="1:25" x14ac:dyDescent="0.3">
      <c r="A109" t="s">
        <v>66</v>
      </c>
      <c r="B109" t="s">
        <v>68</v>
      </c>
      <c r="C109">
        <v>8</v>
      </c>
      <c r="D109" t="s">
        <v>83</v>
      </c>
      <c r="E109" t="s">
        <v>70</v>
      </c>
      <c r="F109" t="s">
        <v>71</v>
      </c>
      <c r="G109">
        <v>7.08022291539461E-2</v>
      </c>
      <c r="H109">
        <v>2E+20</v>
      </c>
      <c r="I109">
        <v>2.34641212009024E-2</v>
      </c>
      <c r="J109">
        <v>0.117179152739027</v>
      </c>
      <c r="K109">
        <v>4</v>
      </c>
      <c r="L109" t="str">
        <f>DiscreteStatsTable[[#This Row],[ProjectName]]&amp;DiscreteStatsTable[[#This Row],[Name]]&amp;DiscreteStatsTable[[#This Row],[Type]]&amp;DiscreteStatsTable[[#This Row],[Source]]</f>
        <v>Unnamed ProjectLeave 6.QueueWaiting TimeQueue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10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0.25786916325077475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0.10063233120279175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7.1988033089844278E-2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7.08022291539461E-2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0.399056420325756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1.47939229109431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7.6</v>
      </c>
      <c r="W109">
        <f>IF((DiscreteStatsTable[[#This Row],[RepsRequested]]&gt;1),DiscreteStatsTable[[#This Row],[HalfWidth]],DiscreteStatsTable[[#This Row],[BatchMeansHalfWidth]])</f>
        <v>7.1988033089844278E-2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10</v>
      </c>
      <c r="Y109">
        <f>IF(DiscreteStatsTable[[#This Row],[RepsRequested]]=DiscreteStatsTable[[#This Row],[RepsWithStatObserved]],1,0)</f>
        <v>1</v>
      </c>
    </row>
    <row r="110" spans="1:25" x14ac:dyDescent="0.3">
      <c r="A110" t="s">
        <v>66</v>
      </c>
      <c r="B110" t="s">
        <v>68</v>
      </c>
      <c r="C110">
        <v>9</v>
      </c>
      <c r="D110" t="s">
        <v>83</v>
      </c>
      <c r="E110" t="s">
        <v>70</v>
      </c>
      <c r="F110" t="s">
        <v>71</v>
      </c>
      <c r="G110">
        <v>0.223192075344257</v>
      </c>
      <c r="H110">
        <v>2E+20</v>
      </c>
      <c r="I110">
        <v>4.0843878139952501E-2</v>
      </c>
      <c r="J110">
        <v>0.68933185879396297</v>
      </c>
      <c r="K110">
        <v>12</v>
      </c>
      <c r="L110" t="str">
        <f>DiscreteStatsTable[[#This Row],[ProjectName]]&amp;DiscreteStatsTable[[#This Row],[Name]]&amp;DiscreteStatsTable[[#This Row],[Type]]&amp;DiscreteStatsTable[[#This Row],[Source]]</f>
        <v>Unnamed ProjectLeave 6.QueueWaiting TimeQueue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10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0.25786916325077475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0.10063233120279175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7.1988033089844278E-2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7.08022291539461E-2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0.399056420325756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1.47939229109431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7.6</v>
      </c>
      <c r="W110">
        <f>IF((DiscreteStatsTable[[#This Row],[RepsRequested]]&gt;1),DiscreteStatsTable[[#This Row],[HalfWidth]],DiscreteStatsTable[[#This Row],[BatchMeansHalfWidth]])</f>
        <v>7.1988033089844278E-2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10</v>
      </c>
      <c r="Y110">
        <f>IF(DiscreteStatsTable[[#This Row],[RepsRequested]]=DiscreteStatsTable[[#This Row],[RepsWithStatObserved]],1,0)</f>
        <v>1</v>
      </c>
    </row>
    <row r="111" spans="1:25" x14ac:dyDescent="0.3">
      <c r="A111" t="s">
        <v>66</v>
      </c>
      <c r="B111" t="s">
        <v>68</v>
      </c>
      <c r="C111">
        <v>10</v>
      </c>
      <c r="D111" t="s">
        <v>83</v>
      </c>
      <c r="E111" t="s">
        <v>70</v>
      </c>
      <c r="F111" t="s">
        <v>71</v>
      </c>
      <c r="G111">
        <v>0.34790185004423602</v>
      </c>
      <c r="H111">
        <v>2E+20</v>
      </c>
      <c r="I111">
        <v>1.0254701541185801E-2</v>
      </c>
      <c r="J111">
        <v>1.47939229109431</v>
      </c>
      <c r="K111">
        <v>6</v>
      </c>
      <c r="L111" t="str">
        <f>DiscreteStatsTable[[#This Row],[ProjectName]]&amp;DiscreteStatsTable[[#This Row],[Name]]&amp;DiscreteStatsTable[[#This Row],[Type]]&amp;DiscreteStatsTable[[#This Row],[Source]]</f>
        <v>Unnamed ProjectLeave 6.QueueWaiting TimeQueue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10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0.25786916325077475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0.10063233120279175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7.1988033089844278E-2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7.08022291539461E-2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0.399056420325756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1.47939229109431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7.6</v>
      </c>
      <c r="W111">
        <f>IF((DiscreteStatsTable[[#This Row],[RepsRequested]]&gt;1),DiscreteStatsTable[[#This Row],[HalfWidth]],DiscreteStatsTable[[#This Row],[BatchMeansHalfWidth]])</f>
        <v>7.1988033089844278E-2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10</v>
      </c>
      <c r="Y111">
        <f>IF(DiscreteStatsTable[[#This Row],[RepsRequested]]=DiscreteStatsTable[[#This Row],[RepsWithStatObserved]],1,0)</f>
        <v>1</v>
      </c>
    </row>
    <row r="112" spans="1:25" x14ac:dyDescent="0.3">
      <c r="A112" t="s">
        <v>66</v>
      </c>
      <c r="B112" t="s">
        <v>68</v>
      </c>
      <c r="C112">
        <v>1</v>
      </c>
      <c r="D112" t="s">
        <v>84</v>
      </c>
      <c r="E112" t="s">
        <v>70</v>
      </c>
      <c r="F112" t="s">
        <v>71</v>
      </c>
      <c r="G112">
        <v>0.274869257879017</v>
      </c>
      <c r="H112">
        <v>2E+20</v>
      </c>
      <c r="I112">
        <v>0</v>
      </c>
      <c r="J112">
        <v>1.3734706259354099</v>
      </c>
      <c r="K112">
        <v>159</v>
      </c>
      <c r="L112" t="str">
        <f>DiscreteStatsTable[[#This Row],[ProjectName]]&amp;DiscreteStatsTable[[#This Row],[Name]]&amp;DiscreteStatsTable[[#This Row],[Type]]&amp;DiscreteStatsTable[[#This Row],[Source]]</f>
        <v>Unnamed ProjectLeave 7.QueueWaiting TimeQueue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10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0.23128742376476713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3.5667228713169172E-2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2.5514798376800749E-2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0.17915813945078701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0.277529513746193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0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1.7322363982992499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153.69999999999999</v>
      </c>
      <c r="W112">
        <f>IF((DiscreteStatsTable[[#This Row],[RepsRequested]]&gt;1),DiscreteStatsTable[[#This Row],[HalfWidth]],DiscreteStatsTable[[#This Row],[BatchMeansHalfWidth]])</f>
        <v>2.5514798376800749E-2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10</v>
      </c>
      <c r="Y112">
        <f>IF(DiscreteStatsTable[[#This Row],[RepsRequested]]=DiscreteStatsTable[[#This Row],[RepsWithStatObserved]],1,0)</f>
        <v>1</v>
      </c>
    </row>
    <row r="113" spans="1:25" x14ac:dyDescent="0.3">
      <c r="A113" t="s">
        <v>66</v>
      </c>
      <c r="B113" t="s">
        <v>68</v>
      </c>
      <c r="C113">
        <v>2</v>
      </c>
      <c r="D113" t="s">
        <v>84</v>
      </c>
      <c r="E113" t="s">
        <v>70</v>
      </c>
      <c r="F113" t="s">
        <v>71</v>
      </c>
      <c r="G113">
        <v>0.20318838707897299</v>
      </c>
      <c r="H113">
        <v>2E+20</v>
      </c>
      <c r="I113">
        <v>0</v>
      </c>
      <c r="J113">
        <v>1.5973335260641199</v>
      </c>
      <c r="K113">
        <v>138</v>
      </c>
      <c r="L113" t="str">
        <f>DiscreteStatsTable[[#This Row],[ProjectName]]&amp;DiscreteStatsTable[[#This Row],[Name]]&amp;DiscreteStatsTable[[#This Row],[Type]]&amp;DiscreteStatsTable[[#This Row],[Source]]</f>
        <v>Unnamed ProjectLeave 7.QueueWaiting TimeQueue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10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0.23128742376476713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3.5667228713169172E-2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2.5514798376800749E-2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0.17915813945078701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0.277529513746193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1.7322363982992499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153.69999999999999</v>
      </c>
      <c r="W113">
        <f>IF((DiscreteStatsTable[[#This Row],[RepsRequested]]&gt;1),DiscreteStatsTable[[#This Row],[HalfWidth]],DiscreteStatsTable[[#This Row],[BatchMeansHalfWidth]])</f>
        <v>2.5514798376800749E-2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10</v>
      </c>
      <c r="Y113">
        <f>IF(DiscreteStatsTable[[#This Row],[RepsRequested]]=DiscreteStatsTable[[#This Row],[RepsWithStatObserved]],1,0)</f>
        <v>1</v>
      </c>
    </row>
    <row r="114" spans="1:25" x14ac:dyDescent="0.3">
      <c r="A114" t="s">
        <v>66</v>
      </c>
      <c r="B114" t="s">
        <v>68</v>
      </c>
      <c r="C114">
        <v>3</v>
      </c>
      <c r="D114" t="s">
        <v>84</v>
      </c>
      <c r="E114" t="s">
        <v>70</v>
      </c>
      <c r="F114" t="s">
        <v>71</v>
      </c>
      <c r="G114">
        <v>0.207625545960684</v>
      </c>
      <c r="H114">
        <v>2E+20</v>
      </c>
      <c r="I114">
        <v>0</v>
      </c>
      <c r="J114">
        <v>1.10620580617103</v>
      </c>
      <c r="K114">
        <v>147</v>
      </c>
      <c r="L114" t="str">
        <f>DiscreteStatsTable[[#This Row],[ProjectName]]&amp;DiscreteStatsTable[[#This Row],[Name]]&amp;DiscreteStatsTable[[#This Row],[Type]]&amp;DiscreteStatsTable[[#This Row],[Source]]</f>
        <v>Unnamed ProjectLeave 7.QueueWaiting TimeQueue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10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0.23128742376476713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3.5667228713169172E-2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2.5514798376800749E-2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0.17915813945078701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0.277529513746193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1.7322363982992499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153.69999999999999</v>
      </c>
      <c r="W114">
        <f>IF((DiscreteStatsTable[[#This Row],[RepsRequested]]&gt;1),DiscreteStatsTable[[#This Row],[HalfWidth]],DiscreteStatsTable[[#This Row],[BatchMeansHalfWidth]])</f>
        <v>2.5514798376800749E-2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10</v>
      </c>
      <c r="Y114">
        <f>IF(DiscreteStatsTable[[#This Row],[RepsRequested]]=DiscreteStatsTable[[#This Row],[RepsWithStatObserved]],1,0)</f>
        <v>1</v>
      </c>
    </row>
    <row r="115" spans="1:25" x14ac:dyDescent="0.3">
      <c r="A115" t="s">
        <v>66</v>
      </c>
      <c r="B115" t="s">
        <v>68</v>
      </c>
      <c r="C115">
        <v>4</v>
      </c>
      <c r="D115" t="s">
        <v>84</v>
      </c>
      <c r="E115" t="s">
        <v>70</v>
      </c>
      <c r="F115" t="s">
        <v>71</v>
      </c>
      <c r="G115">
        <v>0.26201496231848198</v>
      </c>
      <c r="H115">
        <v>2E+20</v>
      </c>
      <c r="I115">
        <v>0</v>
      </c>
      <c r="J115">
        <v>1.42296403643525</v>
      </c>
      <c r="K115">
        <v>151</v>
      </c>
      <c r="L115" t="str">
        <f>DiscreteStatsTable[[#This Row],[ProjectName]]&amp;DiscreteStatsTable[[#This Row],[Name]]&amp;DiscreteStatsTable[[#This Row],[Type]]&amp;DiscreteStatsTable[[#This Row],[Source]]</f>
        <v>Unnamed ProjectLeave 7.QueueWaiting TimeQueue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10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0.23128742376476713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3.5667228713169172E-2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2.5514798376800749E-2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0.17915813945078701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0.277529513746193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1.7322363982992499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153.69999999999999</v>
      </c>
      <c r="W115">
        <f>IF((DiscreteStatsTable[[#This Row],[RepsRequested]]&gt;1),DiscreteStatsTable[[#This Row],[HalfWidth]],DiscreteStatsTable[[#This Row],[BatchMeansHalfWidth]])</f>
        <v>2.5514798376800749E-2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10</v>
      </c>
      <c r="Y115">
        <f>IF(DiscreteStatsTable[[#This Row],[RepsRequested]]=DiscreteStatsTable[[#This Row],[RepsWithStatObserved]],1,0)</f>
        <v>1</v>
      </c>
    </row>
    <row r="116" spans="1:25" x14ac:dyDescent="0.3">
      <c r="A116" t="s">
        <v>66</v>
      </c>
      <c r="B116" t="s">
        <v>68</v>
      </c>
      <c r="C116">
        <v>5</v>
      </c>
      <c r="D116" t="s">
        <v>84</v>
      </c>
      <c r="E116" t="s">
        <v>70</v>
      </c>
      <c r="F116" t="s">
        <v>71</v>
      </c>
      <c r="G116">
        <v>0.277529513746193</v>
      </c>
      <c r="H116">
        <v>2E+20</v>
      </c>
      <c r="I116">
        <v>0</v>
      </c>
      <c r="J116">
        <v>1.7322363982992499</v>
      </c>
      <c r="K116">
        <v>170</v>
      </c>
      <c r="L116" t="str">
        <f>DiscreteStatsTable[[#This Row],[ProjectName]]&amp;DiscreteStatsTable[[#This Row],[Name]]&amp;DiscreteStatsTable[[#This Row],[Type]]&amp;DiscreteStatsTable[[#This Row],[Source]]</f>
        <v>Unnamed ProjectLeave 7.QueueWaiting TimeQueue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10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0.23128742376476713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3.5667228713169172E-2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2.5514798376800749E-2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0.17915813945078701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0.277529513746193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1.7322363982992499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153.69999999999999</v>
      </c>
      <c r="W116">
        <f>IF((DiscreteStatsTable[[#This Row],[RepsRequested]]&gt;1),DiscreteStatsTable[[#This Row],[HalfWidth]],DiscreteStatsTable[[#This Row],[BatchMeansHalfWidth]])</f>
        <v>2.5514798376800749E-2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10</v>
      </c>
      <c r="Y116">
        <f>IF(DiscreteStatsTable[[#This Row],[RepsRequested]]=DiscreteStatsTable[[#This Row],[RepsWithStatObserved]],1,0)</f>
        <v>1</v>
      </c>
    </row>
    <row r="117" spans="1:25" x14ac:dyDescent="0.3">
      <c r="A117" t="s">
        <v>66</v>
      </c>
      <c r="B117" t="s">
        <v>68</v>
      </c>
      <c r="C117">
        <v>6</v>
      </c>
      <c r="D117" t="s">
        <v>84</v>
      </c>
      <c r="E117" t="s">
        <v>70</v>
      </c>
      <c r="F117" t="s">
        <v>71</v>
      </c>
      <c r="G117">
        <v>0.25053670978425602</v>
      </c>
      <c r="H117">
        <v>2E+20</v>
      </c>
      <c r="I117">
        <v>0</v>
      </c>
      <c r="J117">
        <v>1.43812859957434</v>
      </c>
      <c r="K117">
        <v>150</v>
      </c>
      <c r="L117" t="str">
        <f>DiscreteStatsTable[[#This Row],[ProjectName]]&amp;DiscreteStatsTable[[#This Row],[Name]]&amp;DiscreteStatsTable[[#This Row],[Type]]&amp;DiscreteStatsTable[[#This Row],[Source]]</f>
        <v>Unnamed ProjectLeave 7.QueueWaiting TimeQueue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10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0.23128742376476713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3.5667228713169172E-2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2.5514798376800749E-2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0.17915813945078701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0.277529513746193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1.7322363982992499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153.69999999999999</v>
      </c>
      <c r="W117">
        <f>IF((DiscreteStatsTable[[#This Row],[RepsRequested]]&gt;1),DiscreteStatsTable[[#This Row],[HalfWidth]],DiscreteStatsTable[[#This Row],[BatchMeansHalfWidth]])</f>
        <v>2.5514798376800749E-2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10</v>
      </c>
      <c r="Y117">
        <f>IF(DiscreteStatsTable[[#This Row],[RepsRequested]]=DiscreteStatsTable[[#This Row],[RepsWithStatObserved]],1,0)</f>
        <v>1</v>
      </c>
    </row>
    <row r="118" spans="1:25" x14ac:dyDescent="0.3">
      <c r="A118" t="s">
        <v>66</v>
      </c>
      <c r="B118" t="s">
        <v>68</v>
      </c>
      <c r="C118">
        <v>7</v>
      </c>
      <c r="D118" t="s">
        <v>84</v>
      </c>
      <c r="E118" t="s">
        <v>70</v>
      </c>
      <c r="F118" t="s">
        <v>71</v>
      </c>
      <c r="G118">
        <v>0.194926321657657</v>
      </c>
      <c r="H118">
        <v>2E+20</v>
      </c>
      <c r="I118">
        <v>0</v>
      </c>
      <c r="J118">
        <v>0.97674778457780997</v>
      </c>
      <c r="K118">
        <v>146</v>
      </c>
      <c r="L118" t="str">
        <f>DiscreteStatsTable[[#This Row],[ProjectName]]&amp;DiscreteStatsTable[[#This Row],[Name]]&amp;DiscreteStatsTable[[#This Row],[Type]]&amp;DiscreteStatsTable[[#This Row],[Source]]</f>
        <v>Unnamed ProjectLeave 7.QueueWaiting TimeQueue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10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0.23128742376476713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3.5667228713169172E-2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2.5514798376800749E-2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0.17915813945078701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0.277529513746193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0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1.7322363982992499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153.69999999999999</v>
      </c>
      <c r="W118">
        <f>IF((DiscreteStatsTable[[#This Row],[RepsRequested]]&gt;1),DiscreteStatsTable[[#This Row],[HalfWidth]],DiscreteStatsTable[[#This Row],[BatchMeansHalfWidth]])</f>
        <v>2.5514798376800749E-2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10</v>
      </c>
      <c r="Y118">
        <f>IF(DiscreteStatsTable[[#This Row],[RepsRequested]]=DiscreteStatsTable[[#This Row],[RepsWithStatObserved]],1,0)</f>
        <v>1</v>
      </c>
    </row>
    <row r="119" spans="1:25" x14ac:dyDescent="0.3">
      <c r="A119" t="s">
        <v>66</v>
      </c>
      <c r="B119" t="s">
        <v>68</v>
      </c>
      <c r="C119">
        <v>8</v>
      </c>
      <c r="D119" t="s">
        <v>84</v>
      </c>
      <c r="E119" t="s">
        <v>70</v>
      </c>
      <c r="F119" t="s">
        <v>71</v>
      </c>
      <c r="G119">
        <v>0.25032497242500201</v>
      </c>
      <c r="H119">
        <v>2E+20</v>
      </c>
      <c r="I119">
        <v>0</v>
      </c>
      <c r="J119">
        <v>1.36665760469788</v>
      </c>
      <c r="K119">
        <v>145</v>
      </c>
      <c r="L119" t="str">
        <f>DiscreteStatsTable[[#This Row],[ProjectName]]&amp;DiscreteStatsTable[[#This Row],[Name]]&amp;DiscreteStatsTable[[#This Row],[Type]]&amp;DiscreteStatsTable[[#This Row],[Source]]</f>
        <v>Unnamed ProjectLeave 7.QueueWaiting TimeQueue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10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0.23128742376476713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3.5667228713169172E-2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2.5514798376800749E-2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0.17915813945078701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0.277529513746193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1.7322363982992499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153.69999999999999</v>
      </c>
      <c r="W119">
        <f>IF((DiscreteStatsTable[[#This Row],[RepsRequested]]&gt;1),DiscreteStatsTable[[#This Row],[HalfWidth]],DiscreteStatsTable[[#This Row],[BatchMeansHalfWidth]])</f>
        <v>2.5514798376800749E-2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10</v>
      </c>
      <c r="Y119">
        <f>IF(DiscreteStatsTable[[#This Row],[RepsRequested]]=DiscreteStatsTable[[#This Row],[RepsWithStatObserved]],1,0)</f>
        <v>1</v>
      </c>
    </row>
    <row r="120" spans="1:25" x14ac:dyDescent="0.3">
      <c r="A120" t="s">
        <v>66</v>
      </c>
      <c r="B120" t="s">
        <v>68</v>
      </c>
      <c r="C120">
        <v>9</v>
      </c>
      <c r="D120" t="s">
        <v>84</v>
      </c>
      <c r="E120" t="s">
        <v>70</v>
      </c>
      <c r="F120" t="s">
        <v>71</v>
      </c>
      <c r="G120">
        <v>0.21270042734662001</v>
      </c>
      <c r="H120">
        <v>2E+20</v>
      </c>
      <c r="I120">
        <v>0</v>
      </c>
      <c r="J120">
        <v>1.1066964644169599</v>
      </c>
      <c r="K120">
        <v>179</v>
      </c>
      <c r="L120" t="str">
        <f>DiscreteStatsTable[[#This Row],[ProjectName]]&amp;DiscreteStatsTable[[#This Row],[Name]]&amp;DiscreteStatsTable[[#This Row],[Type]]&amp;DiscreteStatsTable[[#This Row],[Source]]</f>
        <v>Unnamed ProjectLeave 7.QueueWaiting TimeQueue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10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0.23128742376476713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3.5667228713169172E-2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2.5514798376800749E-2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0.17915813945078701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0.277529513746193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1.7322363982992499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153.69999999999999</v>
      </c>
      <c r="W120">
        <f>IF((DiscreteStatsTable[[#This Row],[RepsRequested]]&gt;1),DiscreteStatsTable[[#This Row],[HalfWidth]],DiscreteStatsTable[[#This Row],[BatchMeansHalfWidth]])</f>
        <v>2.5514798376800749E-2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10</v>
      </c>
      <c r="Y120">
        <f>IF(DiscreteStatsTable[[#This Row],[RepsRequested]]=DiscreteStatsTable[[#This Row],[RepsWithStatObserved]],1,0)</f>
        <v>1</v>
      </c>
    </row>
    <row r="121" spans="1:25" x14ac:dyDescent="0.3">
      <c r="A121" t="s">
        <v>66</v>
      </c>
      <c r="B121" t="s">
        <v>68</v>
      </c>
      <c r="C121">
        <v>10</v>
      </c>
      <c r="D121" t="s">
        <v>84</v>
      </c>
      <c r="E121" t="s">
        <v>70</v>
      </c>
      <c r="F121" t="s">
        <v>71</v>
      </c>
      <c r="G121">
        <v>0.17915813945078701</v>
      </c>
      <c r="H121">
        <v>2E+20</v>
      </c>
      <c r="I121">
        <v>0</v>
      </c>
      <c r="J121">
        <v>1.0492974260010299</v>
      </c>
      <c r="K121">
        <v>152</v>
      </c>
      <c r="L121" t="str">
        <f>DiscreteStatsTable[[#This Row],[ProjectName]]&amp;DiscreteStatsTable[[#This Row],[Name]]&amp;DiscreteStatsTable[[#This Row],[Type]]&amp;DiscreteStatsTable[[#This Row],[Source]]</f>
        <v>Unnamed ProjectLeave 7.QueueWaiting TimeQueue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10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0.23128742376476713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3.5667228713169172E-2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2.5514798376800749E-2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0.17915813945078701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0.277529513746193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1.7322363982992499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153.69999999999999</v>
      </c>
      <c r="W121">
        <f>IF((DiscreteStatsTable[[#This Row],[RepsRequested]]&gt;1),DiscreteStatsTable[[#This Row],[HalfWidth]],DiscreteStatsTable[[#This Row],[BatchMeansHalfWidth]])</f>
        <v>2.5514798376800749E-2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10</v>
      </c>
      <c r="Y121">
        <f>IF(DiscreteStatsTable[[#This Row],[RepsRequested]]=DiscreteStatsTable[[#This Row],[RepsWithStatObserved]],1,0)</f>
        <v>1</v>
      </c>
    </row>
    <row r="122" spans="1:25" x14ac:dyDescent="0.3">
      <c r="A122" t="s">
        <v>66</v>
      </c>
      <c r="B122" t="s">
        <v>68</v>
      </c>
      <c r="C122">
        <v>1</v>
      </c>
      <c r="D122" t="s">
        <v>85</v>
      </c>
      <c r="E122" t="s">
        <v>70</v>
      </c>
      <c r="F122" t="s">
        <v>71</v>
      </c>
      <c r="G122">
        <v>0.108541277691984</v>
      </c>
      <c r="H122">
        <v>2E+20</v>
      </c>
      <c r="I122">
        <v>1.4527022355309799E-2</v>
      </c>
      <c r="J122">
        <v>0.21152805389385801</v>
      </c>
      <c r="K122">
        <v>5</v>
      </c>
      <c r="L122" s="5" t="str">
        <f>DiscreteStatsTable[[#This Row],[ProjectName]]&amp;DiscreteStatsTable[[#This Row],[Name]]&amp;DiscreteStatsTable[[#This Row],[Type]]&amp;DiscreteStatsTable[[#This Row],[Source]]</f>
        <v>Unnamed ProjectLeave 8.QueueWaiting TimeQueue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10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0.17396237066656711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4.0306321472700482E-2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2.8833405419769982E-2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0.108541277691984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0.23660238745968801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0.62071569718057196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7.2</v>
      </c>
      <c r="W122" s="5">
        <f>IF((DiscreteStatsTable[[#This Row],[RepsRequested]]&gt;1),DiscreteStatsTable[[#This Row],[HalfWidth]],DiscreteStatsTable[[#This Row],[BatchMeansHalfWidth]])</f>
        <v>2.8833405419769982E-2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10</v>
      </c>
      <c r="Y122" s="5">
        <f>IF(DiscreteStatsTable[[#This Row],[RepsRequested]]=DiscreteStatsTable[[#This Row],[RepsWithStatObserved]],1,0)</f>
        <v>1</v>
      </c>
    </row>
    <row r="123" spans="1:25" x14ac:dyDescent="0.3">
      <c r="A123" t="s">
        <v>66</v>
      </c>
      <c r="B123" t="s">
        <v>68</v>
      </c>
      <c r="C123">
        <v>2</v>
      </c>
      <c r="D123" t="s">
        <v>85</v>
      </c>
      <c r="E123" t="s">
        <v>70</v>
      </c>
      <c r="F123" t="s">
        <v>71</v>
      </c>
      <c r="G123">
        <v>0.149024419919662</v>
      </c>
      <c r="H123">
        <v>2E+20</v>
      </c>
      <c r="I123">
        <v>8.8100973286714193E-2</v>
      </c>
      <c r="J123">
        <v>0.214622133805904</v>
      </c>
      <c r="K123">
        <v>6</v>
      </c>
      <c r="L123" s="5" t="str">
        <f>DiscreteStatsTable[[#This Row],[ProjectName]]&amp;DiscreteStatsTable[[#This Row],[Name]]&amp;DiscreteStatsTable[[#This Row],[Type]]&amp;DiscreteStatsTable[[#This Row],[Source]]</f>
        <v>Unnamed ProjectLeave 8.QueueWaiting TimeQueue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10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0.17396237066656711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4.0306321472700482E-2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2.8833405419769982E-2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0.108541277691984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0.23660238745968801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0.62071569718057196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7.2</v>
      </c>
      <c r="W123" s="5">
        <f>IF((DiscreteStatsTable[[#This Row],[RepsRequested]]&gt;1),DiscreteStatsTable[[#This Row],[HalfWidth]],DiscreteStatsTable[[#This Row],[BatchMeansHalfWidth]])</f>
        <v>2.8833405419769982E-2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10</v>
      </c>
      <c r="Y123" s="5">
        <f>IF(DiscreteStatsTable[[#This Row],[RepsRequested]]=DiscreteStatsTable[[#This Row],[RepsWithStatObserved]],1,0)</f>
        <v>1</v>
      </c>
    </row>
    <row r="124" spans="1:25" x14ac:dyDescent="0.3">
      <c r="A124" t="s">
        <v>66</v>
      </c>
      <c r="B124" t="s">
        <v>68</v>
      </c>
      <c r="C124">
        <v>3</v>
      </c>
      <c r="D124" t="s">
        <v>85</v>
      </c>
      <c r="E124" t="s">
        <v>70</v>
      </c>
      <c r="F124" t="s">
        <v>71</v>
      </c>
      <c r="G124">
        <v>0.14433909010523699</v>
      </c>
      <c r="H124">
        <v>2E+20</v>
      </c>
      <c r="I124">
        <v>0</v>
      </c>
      <c r="J124">
        <v>0.25</v>
      </c>
      <c r="K124">
        <v>10</v>
      </c>
      <c r="L124" s="5" t="str">
        <f>DiscreteStatsTable[[#This Row],[ProjectName]]&amp;DiscreteStatsTable[[#This Row],[Name]]&amp;DiscreteStatsTable[[#This Row],[Type]]&amp;DiscreteStatsTable[[#This Row],[Source]]</f>
        <v>Unnamed ProjectLeave 8.QueueWaiting TimeQueue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10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0.17396237066656711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4.0306321472700482E-2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2.8833405419769982E-2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0.108541277691984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0.23660238745968801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0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0.62071569718057196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7.2</v>
      </c>
      <c r="W124" s="5">
        <f>IF((DiscreteStatsTable[[#This Row],[RepsRequested]]&gt;1),DiscreteStatsTable[[#This Row],[HalfWidth]],DiscreteStatsTable[[#This Row],[BatchMeansHalfWidth]])</f>
        <v>2.8833405419769982E-2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10</v>
      </c>
      <c r="Y124" s="5">
        <f>IF(DiscreteStatsTable[[#This Row],[RepsRequested]]=DiscreteStatsTable[[#This Row],[RepsWithStatObserved]],1,0)</f>
        <v>1</v>
      </c>
    </row>
    <row r="125" spans="1:25" x14ac:dyDescent="0.3">
      <c r="A125" t="s">
        <v>66</v>
      </c>
      <c r="B125" t="s">
        <v>68</v>
      </c>
      <c r="C125">
        <v>4</v>
      </c>
      <c r="D125" t="s">
        <v>85</v>
      </c>
      <c r="E125" t="s">
        <v>70</v>
      </c>
      <c r="F125" t="s">
        <v>71</v>
      </c>
      <c r="G125">
        <v>0.20383281150276999</v>
      </c>
      <c r="H125">
        <v>2E+20</v>
      </c>
      <c r="I125">
        <v>4.3708775436712699E-2</v>
      </c>
      <c r="J125">
        <v>0.410807622241464</v>
      </c>
      <c r="K125">
        <v>7</v>
      </c>
      <c r="L125" s="5" t="str">
        <f>DiscreteStatsTable[[#This Row],[ProjectName]]&amp;DiscreteStatsTable[[#This Row],[Name]]&amp;DiscreteStatsTable[[#This Row],[Type]]&amp;DiscreteStatsTable[[#This Row],[Source]]</f>
        <v>Unnamed ProjectLeave 8.QueueWaiting TimeQueue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10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0.17396237066656711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4.0306321472700482E-2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2.8833405419769982E-2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0.108541277691984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0.23660238745968801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0.62071569718057196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7.2</v>
      </c>
      <c r="W125" s="5">
        <f>IF((DiscreteStatsTable[[#This Row],[RepsRequested]]&gt;1),DiscreteStatsTable[[#This Row],[HalfWidth]],DiscreteStatsTable[[#This Row],[BatchMeansHalfWidth]])</f>
        <v>2.8833405419769982E-2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10</v>
      </c>
      <c r="Y125" s="5">
        <f>IF(DiscreteStatsTable[[#This Row],[RepsRequested]]=DiscreteStatsTable[[#This Row],[RepsWithStatObserved]],1,0)</f>
        <v>1</v>
      </c>
    </row>
    <row r="126" spans="1:25" x14ac:dyDescent="0.3">
      <c r="A126" t="s">
        <v>66</v>
      </c>
      <c r="B126" t="s">
        <v>68</v>
      </c>
      <c r="C126">
        <v>5</v>
      </c>
      <c r="D126" t="s">
        <v>85</v>
      </c>
      <c r="E126" t="s">
        <v>70</v>
      </c>
      <c r="F126" t="s">
        <v>71</v>
      </c>
      <c r="G126">
        <v>0.193583434044097</v>
      </c>
      <c r="H126">
        <v>2E+20</v>
      </c>
      <c r="I126">
        <v>0.104250314721753</v>
      </c>
      <c r="J126">
        <v>0.43047968144162502</v>
      </c>
      <c r="K126">
        <v>11</v>
      </c>
      <c r="L126" s="5" t="str">
        <f>DiscreteStatsTable[[#This Row],[ProjectName]]&amp;DiscreteStatsTable[[#This Row],[Name]]&amp;DiscreteStatsTable[[#This Row],[Type]]&amp;DiscreteStatsTable[[#This Row],[Source]]</f>
        <v>Unnamed ProjectLeave 8.QueueWaiting TimeQueue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10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0.17396237066656711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4.0306321472700482E-2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2.8833405419769982E-2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0.108541277691984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0.23660238745968801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0.62071569718057196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7.2</v>
      </c>
      <c r="W126" s="5">
        <f>IF((DiscreteStatsTable[[#This Row],[RepsRequested]]&gt;1),DiscreteStatsTable[[#This Row],[HalfWidth]],DiscreteStatsTable[[#This Row],[BatchMeansHalfWidth]])</f>
        <v>2.8833405419769982E-2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10</v>
      </c>
      <c r="Y126" s="5">
        <f>IF(DiscreteStatsTable[[#This Row],[RepsRequested]]=DiscreteStatsTable[[#This Row],[RepsWithStatObserved]],1,0)</f>
        <v>1</v>
      </c>
    </row>
    <row r="127" spans="1:25" x14ac:dyDescent="0.3">
      <c r="A127" t="s">
        <v>66</v>
      </c>
      <c r="B127" t="s">
        <v>68</v>
      </c>
      <c r="C127">
        <v>6</v>
      </c>
      <c r="D127" t="s">
        <v>85</v>
      </c>
      <c r="E127" t="s">
        <v>70</v>
      </c>
      <c r="F127" t="s">
        <v>71</v>
      </c>
      <c r="G127">
        <v>0.17131779798257701</v>
      </c>
      <c r="H127">
        <v>2E+20</v>
      </c>
      <c r="I127">
        <v>2.4313649800888001E-2</v>
      </c>
      <c r="J127">
        <v>0.48164486377015697</v>
      </c>
      <c r="K127">
        <v>7</v>
      </c>
      <c r="L127" s="5" t="str">
        <f>DiscreteStatsTable[[#This Row],[ProjectName]]&amp;DiscreteStatsTable[[#This Row],[Name]]&amp;DiscreteStatsTable[[#This Row],[Type]]&amp;DiscreteStatsTable[[#This Row],[Source]]</f>
        <v>Unnamed ProjectLeave 8.QueueWaiting TimeQueue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10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0.17396237066656711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4.0306321472700482E-2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2.8833405419769982E-2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0.108541277691984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0.23660238745968801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0.62071569718057196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7.2</v>
      </c>
      <c r="W127" s="5">
        <f>IF((DiscreteStatsTable[[#This Row],[RepsRequested]]&gt;1),DiscreteStatsTable[[#This Row],[HalfWidth]],DiscreteStatsTable[[#This Row],[BatchMeansHalfWidth]])</f>
        <v>2.8833405419769982E-2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10</v>
      </c>
      <c r="Y127" s="5">
        <f>IF(DiscreteStatsTable[[#This Row],[RepsRequested]]=DiscreteStatsTable[[#This Row],[RepsWithStatObserved]],1,0)</f>
        <v>1</v>
      </c>
    </row>
    <row r="128" spans="1:25" x14ac:dyDescent="0.3">
      <c r="A128" t="s">
        <v>66</v>
      </c>
      <c r="B128" t="s">
        <v>68</v>
      </c>
      <c r="C128">
        <v>7</v>
      </c>
      <c r="D128" t="s">
        <v>85</v>
      </c>
      <c r="E128" t="s">
        <v>70</v>
      </c>
      <c r="F128" t="s">
        <v>71</v>
      </c>
      <c r="G128">
        <v>0.22084331737049501</v>
      </c>
      <c r="H128">
        <v>2E+20</v>
      </c>
      <c r="I128">
        <v>1.28016881187136E-2</v>
      </c>
      <c r="J128">
        <v>0.62071569718057196</v>
      </c>
      <c r="K128">
        <v>8</v>
      </c>
      <c r="L128" s="5" t="str">
        <f>DiscreteStatsTable[[#This Row],[ProjectName]]&amp;DiscreteStatsTable[[#This Row],[Name]]&amp;DiscreteStatsTable[[#This Row],[Type]]&amp;DiscreteStatsTable[[#This Row],[Source]]</f>
        <v>Unnamed ProjectLeave 8.QueueWaiting TimeQueue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10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0.17396237066656711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4.0306321472700482E-2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2.8833405419769982E-2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0.108541277691984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0.23660238745968801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0.62071569718057196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7.2</v>
      </c>
      <c r="W128" s="5">
        <f>IF((DiscreteStatsTable[[#This Row],[RepsRequested]]&gt;1),DiscreteStatsTable[[#This Row],[HalfWidth]],DiscreteStatsTable[[#This Row],[BatchMeansHalfWidth]])</f>
        <v>2.8833405419769982E-2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10</v>
      </c>
      <c r="Y128" s="5">
        <f>IF(DiscreteStatsTable[[#This Row],[RepsRequested]]=DiscreteStatsTable[[#This Row],[RepsWithStatObserved]],1,0)</f>
        <v>1</v>
      </c>
    </row>
    <row r="129" spans="1:25" x14ac:dyDescent="0.3">
      <c r="A129" t="s">
        <v>66</v>
      </c>
      <c r="B129" t="s">
        <v>68</v>
      </c>
      <c r="C129">
        <v>8</v>
      </c>
      <c r="D129" t="s">
        <v>85</v>
      </c>
      <c r="E129" t="s">
        <v>70</v>
      </c>
      <c r="F129" t="s">
        <v>71</v>
      </c>
      <c r="G129">
        <v>0.136093920935906</v>
      </c>
      <c r="H129">
        <v>2E+20</v>
      </c>
      <c r="I129">
        <v>2.9846907295905101E-2</v>
      </c>
      <c r="J129">
        <v>0.33686124954220997</v>
      </c>
      <c r="K129">
        <v>5</v>
      </c>
      <c r="L129" s="5" t="str">
        <f>DiscreteStatsTable[[#This Row],[ProjectName]]&amp;DiscreteStatsTable[[#This Row],[Name]]&amp;DiscreteStatsTable[[#This Row],[Type]]&amp;DiscreteStatsTable[[#This Row],[Source]]</f>
        <v>Unnamed ProjectLeave 8.QueueWaiting TimeQueue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10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0.17396237066656711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4.0306321472700482E-2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2.8833405419769982E-2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0.108541277691984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0.23660238745968801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0.62071569718057196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7.2</v>
      </c>
      <c r="W129" s="5">
        <f>IF((DiscreteStatsTable[[#This Row],[RepsRequested]]&gt;1),DiscreteStatsTable[[#This Row],[HalfWidth]],DiscreteStatsTable[[#This Row],[BatchMeansHalfWidth]])</f>
        <v>2.8833405419769982E-2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10</v>
      </c>
      <c r="Y129" s="5">
        <f>IF(DiscreteStatsTable[[#This Row],[RepsRequested]]=DiscreteStatsTable[[#This Row],[RepsWithStatObserved]],1,0)</f>
        <v>1</v>
      </c>
    </row>
    <row r="130" spans="1:25" x14ac:dyDescent="0.3">
      <c r="A130" t="s">
        <v>66</v>
      </c>
      <c r="B130" t="s">
        <v>68</v>
      </c>
      <c r="C130">
        <v>9</v>
      </c>
      <c r="D130" t="s">
        <v>85</v>
      </c>
      <c r="E130" t="s">
        <v>70</v>
      </c>
      <c r="F130" t="s">
        <v>71</v>
      </c>
      <c r="G130">
        <v>0.23660238745968801</v>
      </c>
      <c r="H130">
        <v>2E+20</v>
      </c>
      <c r="I130">
        <v>4.4384876168805897E-2</v>
      </c>
      <c r="J130">
        <v>0.461745961402869</v>
      </c>
      <c r="K130">
        <v>6</v>
      </c>
      <c r="L130" s="5" t="str">
        <f>DiscreteStatsTable[[#This Row],[ProjectName]]&amp;DiscreteStatsTable[[#This Row],[Name]]&amp;DiscreteStatsTable[[#This Row],[Type]]&amp;DiscreteStatsTable[[#This Row],[Source]]</f>
        <v>Unnamed ProjectLeave 8.QueueWaiting TimeQueue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10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0.17396237066656711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4.0306321472700482E-2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2.8833405419769982E-2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0.108541277691984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0.23660238745968801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0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0.62071569718057196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7.2</v>
      </c>
      <c r="W130" s="5">
        <f>IF((DiscreteStatsTable[[#This Row],[RepsRequested]]&gt;1),DiscreteStatsTable[[#This Row],[HalfWidth]],DiscreteStatsTable[[#This Row],[BatchMeansHalfWidth]])</f>
        <v>2.8833405419769982E-2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10</v>
      </c>
      <c r="Y130" s="5">
        <f>IF(DiscreteStatsTable[[#This Row],[RepsRequested]]=DiscreteStatsTable[[#This Row],[RepsWithStatObserved]],1,0)</f>
        <v>1</v>
      </c>
    </row>
    <row r="131" spans="1:25" x14ac:dyDescent="0.3">
      <c r="A131" t="s">
        <v>66</v>
      </c>
      <c r="B131" t="s">
        <v>68</v>
      </c>
      <c r="C131">
        <v>10</v>
      </c>
      <c r="D131" t="s">
        <v>85</v>
      </c>
      <c r="E131" t="s">
        <v>70</v>
      </c>
      <c r="F131" t="s">
        <v>71</v>
      </c>
      <c r="G131">
        <v>0.175445249653255</v>
      </c>
      <c r="H131">
        <v>2E+20</v>
      </c>
      <c r="I131">
        <v>8.4548822628619305E-2</v>
      </c>
      <c r="J131">
        <v>0.45505557331173901</v>
      </c>
      <c r="K131">
        <v>7</v>
      </c>
      <c r="L131" s="5" t="str">
        <f>DiscreteStatsTable[[#This Row],[ProjectName]]&amp;DiscreteStatsTable[[#This Row],[Name]]&amp;DiscreteStatsTable[[#This Row],[Type]]&amp;DiscreteStatsTable[[#This Row],[Source]]</f>
        <v>Unnamed ProjectLeave 8.QueueWaiting TimeQueue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10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0.17396237066656711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4.0306321472700482E-2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2.8833405419769982E-2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0.108541277691984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0.23660238745968801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0.62071569718057196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7.2</v>
      </c>
      <c r="W131" s="5">
        <f>IF((DiscreteStatsTable[[#This Row],[RepsRequested]]&gt;1),DiscreteStatsTable[[#This Row],[HalfWidth]],DiscreteStatsTable[[#This Row],[BatchMeansHalfWidth]])</f>
        <v>2.8833405419769982E-2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10</v>
      </c>
      <c r="Y131" s="5">
        <f>IF(DiscreteStatsTable[[#This Row],[RepsRequested]]=DiscreteStatsTable[[#This Row],[RepsWithStatObserved]],1,0)</f>
        <v>1</v>
      </c>
    </row>
    <row r="132" spans="1:25" x14ac:dyDescent="0.3">
      <c r="A132" t="s">
        <v>66</v>
      </c>
      <c r="B132" t="s">
        <v>68</v>
      </c>
      <c r="C132">
        <v>1</v>
      </c>
      <c r="D132" t="s">
        <v>86</v>
      </c>
      <c r="E132" t="s">
        <v>70</v>
      </c>
      <c r="F132" t="s">
        <v>71</v>
      </c>
      <c r="G132">
        <v>0.301188913671119</v>
      </c>
      <c r="H132">
        <v>2E+20</v>
      </c>
      <c r="I132">
        <v>2.3709873532766299E-2</v>
      </c>
      <c r="J132">
        <v>0.91780860791047303</v>
      </c>
      <c r="K132">
        <v>4</v>
      </c>
      <c r="L132" s="5" t="str">
        <f>DiscreteStatsTable[[#This Row],[ProjectName]]&amp;DiscreteStatsTable[[#This Row],[Name]]&amp;DiscreteStatsTable[[#This Row],[Type]]&amp;DiscreteStatsTable[[#This Row],[Source]]</f>
        <v>Unnamed ProjectLeave 9.QueueWaiting TimeQueue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10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0.24363801759755802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0.15414980070793341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0.11027212449042181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0.123426281098375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0.65491181441629098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1.48746592609541E-2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1.28977936785787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3.6</v>
      </c>
      <c r="W132" s="5">
        <f>IF((DiscreteStatsTable[[#This Row],[RepsRequested]]&gt;1),DiscreteStatsTable[[#This Row],[HalfWidth]],DiscreteStatsTable[[#This Row],[BatchMeansHalfWidth]])</f>
        <v>0.11027212449042181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10</v>
      </c>
      <c r="Y132" s="5">
        <f>IF(DiscreteStatsTable[[#This Row],[RepsRequested]]=DiscreteStatsTable[[#This Row],[RepsWithStatObserved]],1,0)</f>
        <v>1</v>
      </c>
    </row>
    <row r="133" spans="1:25" x14ac:dyDescent="0.3">
      <c r="A133" t="s">
        <v>66</v>
      </c>
      <c r="B133" t="s">
        <v>68</v>
      </c>
      <c r="C133">
        <v>2</v>
      </c>
      <c r="D133" t="s">
        <v>86</v>
      </c>
      <c r="E133" t="s">
        <v>70</v>
      </c>
      <c r="F133" t="s">
        <v>71</v>
      </c>
      <c r="G133">
        <v>0.15112656138800001</v>
      </c>
      <c r="H133">
        <v>2E+20</v>
      </c>
      <c r="I133">
        <v>3.3245112822328303E-2</v>
      </c>
      <c r="J133">
        <v>0.297438022446045</v>
      </c>
      <c r="K133">
        <v>5</v>
      </c>
      <c r="L133" s="5" t="str">
        <f>DiscreteStatsTable[[#This Row],[ProjectName]]&amp;DiscreteStatsTable[[#This Row],[Name]]&amp;DiscreteStatsTable[[#This Row],[Type]]&amp;DiscreteStatsTable[[#This Row],[Source]]</f>
        <v>Unnamed ProjectLeave 9.QueueWaiting TimeQueue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10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0.24363801759755802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0.15414980070793341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0.11027212449042181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0.123426281098375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0.65491181441629098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1.48746592609541E-2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1.28977936785787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3.6</v>
      </c>
      <c r="W133" s="5">
        <f>IF((DiscreteStatsTable[[#This Row],[RepsRequested]]&gt;1),DiscreteStatsTable[[#This Row],[HalfWidth]],DiscreteStatsTable[[#This Row],[BatchMeansHalfWidth]])</f>
        <v>0.11027212449042181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10</v>
      </c>
      <c r="Y133" s="5">
        <f>IF(DiscreteStatsTable[[#This Row],[RepsRequested]]=DiscreteStatsTable[[#This Row],[RepsWithStatObserved]],1,0)</f>
        <v>1</v>
      </c>
    </row>
    <row r="134" spans="1:25" x14ac:dyDescent="0.3">
      <c r="A134" t="s">
        <v>66</v>
      </c>
      <c r="B134" t="s">
        <v>68</v>
      </c>
      <c r="C134">
        <v>3</v>
      </c>
      <c r="D134" t="s">
        <v>86</v>
      </c>
      <c r="E134" t="s">
        <v>70</v>
      </c>
      <c r="F134" t="s">
        <v>71</v>
      </c>
      <c r="G134">
        <v>0.123426281098375</v>
      </c>
      <c r="H134">
        <v>2E+20</v>
      </c>
      <c r="I134">
        <v>7.70048213348105E-2</v>
      </c>
      <c r="J134">
        <v>0.16984774086193999</v>
      </c>
      <c r="K134">
        <v>2</v>
      </c>
      <c r="L134" s="5" t="str">
        <f>DiscreteStatsTable[[#This Row],[ProjectName]]&amp;DiscreteStatsTable[[#This Row],[Name]]&amp;DiscreteStatsTable[[#This Row],[Type]]&amp;DiscreteStatsTable[[#This Row],[Source]]</f>
        <v>Unnamed ProjectLeave 9.QueueWaiting TimeQueue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10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0.24363801759755802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0.15414980070793341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0.11027212449042181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0.123426281098375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0.65491181441629098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1.48746592609541E-2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1.28977936785787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3.6</v>
      </c>
      <c r="W134" s="5">
        <f>IF((DiscreteStatsTable[[#This Row],[RepsRequested]]&gt;1),DiscreteStatsTable[[#This Row],[HalfWidth]],DiscreteStatsTable[[#This Row],[BatchMeansHalfWidth]])</f>
        <v>0.11027212449042181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10</v>
      </c>
      <c r="Y134" s="5">
        <f>IF(DiscreteStatsTable[[#This Row],[RepsRequested]]=DiscreteStatsTable[[#This Row],[RepsWithStatObserved]],1,0)</f>
        <v>1</v>
      </c>
    </row>
    <row r="135" spans="1:25" x14ac:dyDescent="0.3">
      <c r="A135" t="s">
        <v>66</v>
      </c>
      <c r="B135" t="s">
        <v>68</v>
      </c>
      <c r="C135">
        <v>4</v>
      </c>
      <c r="D135" t="s">
        <v>86</v>
      </c>
      <c r="E135" t="s">
        <v>70</v>
      </c>
      <c r="F135" t="s">
        <v>71</v>
      </c>
      <c r="G135">
        <v>0.241244181022267</v>
      </c>
      <c r="H135">
        <v>2E+20</v>
      </c>
      <c r="I135">
        <v>9.2178571042865101E-2</v>
      </c>
      <c r="J135">
        <v>0.44088562305398699</v>
      </c>
      <c r="K135">
        <v>4</v>
      </c>
      <c r="L135" s="5" t="str">
        <f>DiscreteStatsTable[[#This Row],[ProjectName]]&amp;DiscreteStatsTable[[#This Row],[Name]]&amp;DiscreteStatsTable[[#This Row],[Type]]&amp;DiscreteStatsTable[[#This Row],[Source]]</f>
        <v>Unnamed ProjectLeave 9.QueueWaiting TimeQueue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10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0.24363801759755802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0.15414980070793341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0.11027212449042181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0.123426281098375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0.65491181441629098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1.48746592609541E-2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1.28977936785787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3.6</v>
      </c>
      <c r="W135" s="5">
        <f>IF((DiscreteStatsTable[[#This Row],[RepsRequested]]&gt;1),DiscreteStatsTable[[#This Row],[HalfWidth]],DiscreteStatsTable[[#This Row],[BatchMeansHalfWidth]])</f>
        <v>0.11027212449042181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10</v>
      </c>
      <c r="Y135" s="5">
        <f>IF(DiscreteStatsTable[[#This Row],[RepsRequested]]=DiscreteStatsTable[[#This Row],[RepsWithStatObserved]],1,0)</f>
        <v>1</v>
      </c>
    </row>
    <row r="136" spans="1:25" x14ac:dyDescent="0.3">
      <c r="A136" t="s">
        <v>66</v>
      </c>
      <c r="B136" t="s">
        <v>68</v>
      </c>
      <c r="C136">
        <v>5</v>
      </c>
      <c r="D136" t="s">
        <v>86</v>
      </c>
      <c r="E136" t="s">
        <v>70</v>
      </c>
      <c r="F136" t="s">
        <v>71</v>
      </c>
      <c r="G136">
        <v>0.15743240460320099</v>
      </c>
      <c r="H136">
        <v>2E+20</v>
      </c>
      <c r="I136">
        <v>5.0988822317904699E-2</v>
      </c>
      <c r="J136">
        <v>0.21448023063060601</v>
      </c>
      <c r="K136">
        <v>4</v>
      </c>
      <c r="L136" s="5" t="str">
        <f>DiscreteStatsTable[[#This Row],[ProjectName]]&amp;DiscreteStatsTable[[#This Row],[Name]]&amp;DiscreteStatsTable[[#This Row],[Type]]&amp;DiscreteStatsTable[[#This Row],[Source]]</f>
        <v>Unnamed ProjectLeave 9.QueueWaiting TimeQueue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10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0.24363801759755802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0.15414980070793341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0.11027212449042181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0.123426281098375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0.65491181441629098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1.48746592609541E-2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1.28977936785787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3.6</v>
      </c>
      <c r="W136" s="5">
        <f>IF((DiscreteStatsTable[[#This Row],[RepsRequested]]&gt;1),DiscreteStatsTable[[#This Row],[HalfWidth]],DiscreteStatsTable[[#This Row],[BatchMeansHalfWidth]])</f>
        <v>0.11027212449042181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10</v>
      </c>
      <c r="Y136" s="5">
        <f>IF(DiscreteStatsTable[[#This Row],[RepsRequested]]=DiscreteStatsTable[[#This Row],[RepsWithStatObserved]],1,0)</f>
        <v>1</v>
      </c>
    </row>
    <row r="137" spans="1:25" x14ac:dyDescent="0.3">
      <c r="A137" t="s">
        <v>66</v>
      </c>
      <c r="B137" t="s">
        <v>68</v>
      </c>
      <c r="C137">
        <v>6</v>
      </c>
      <c r="D137" t="s">
        <v>86</v>
      </c>
      <c r="E137" t="s">
        <v>70</v>
      </c>
      <c r="F137" t="s">
        <v>71</v>
      </c>
      <c r="G137">
        <v>0.17133167973685201</v>
      </c>
      <c r="H137">
        <v>2E+20</v>
      </c>
      <c r="I137">
        <v>0.17133167973685201</v>
      </c>
      <c r="J137">
        <v>0.17133167973685201</v>
      </c>
      <c r="K137">
        <v>1</v>
      </c>
      <c r="L137" s="5" t="str">
        <f>DiscreteStatsTable[[#This Row],[ProjectName]]&amp;DiscreteStatsTable[[#This Row],[Name]]&amp;DiscreteStatsTable[[#This Row],[Type]]&amp;DiscreteStatsTable[[#This Row],[Source]]</f>
        <v>Unnamed ProjectLeave 9.QueueWaiting TimeQueue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10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0.24363801759755802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0.15414980070793341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0.11027212449042181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0.123426281098375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0.65491181441629098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1.48746592609541E-2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1.28977936785787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3.6</v>
      </c>
      <c r="W137" s="5">
        <f>IF((DiscreteStatsTable[[#This Row],[RepsRequested]]&gt;1),DiscreteStatsTable[[#This Row],[HalfWidth]],DiscreteStatsTable[[#This Row],[BatchMeansHalfWidth]])</f>
        <v>0.11027212449042181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10</v>
      </c>
      <c r="Y137" s="5">
        <f>IF(DiscreteStatsTable[[#This Row],[RepsRequested]]=DiscreteStatsTable[[#This Row],[RepsWithStatObserved]],1,0)</f>
        <v>1</v>
      </c>
    </row>
    <row r="138" spans="1:25" x14ac:dyDescent="0.3">
      <c r="A138" t="s">
        <v>66</v>
      </c>
      <c r="B138" t="s">
        <v>68</v>
      </c>
      <c r="C138">
        <v>7</v>
      </c>
      <c r="D138" t="s">
        <v>86</v>
      </c>
      <c r="E138" t="s">
        <v>70</v>
      </c>
      <c r="F138" t="s">
        <v>71</v>
      </c>
      <c r="G138">
        <v>0.20870142151704801</v>
      </c>
      <c r="H138">
        <v>2E+20</v>
      </c>
      <c r="I138">
        <v>3.2216873445918302E-2</v>
      </c>
      <c r="J138">
        <v>0.52996131785073397</v>
      </c>
      <c r="K138">
        <v>4</v>
      </c>
      <c r="L138" s="5" t="str">
        <f>DiscreteStatsTable[[#This Row],[ProjectName]]&amp;DiscreteStatsTable[[#This Row],[Name]]&amp;DiscreteStatsTable[[#This Row],[Type]]&amp;DiscreteStatsTable[[#This Row],[Source]]</f>
        <v>Unnamed ProjectLeave 9.QueueWaiting TimeQueue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10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0.24363801759755802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0.15414980070793341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0.11027212449042181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0.123426281098375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0.65491181441629098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1.48746592609541E-2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1.28977936785787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3.6</v>
      </c>
      <c r="W138" s="5">
        <f>IF((DiscreteStatsTable[[#This Row],[RepsRequested]]&gt;1),DiscreteStatsTable[[#This Row],[HalfWidth]],DiscreteStatsTable[[#This Row],[BatchMeansHalfWidth]])</f>
        <v>0.11027212449042181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10</v>
      </c>
      <c r="Y138" s="5">
        <f>IF(DiscreteStatsTable[[#This Row],[RepsRequested]]=DiscreteStatsTable[[#This Row],[RepsWithStatObserved]],1,0)</f>
        <v>1</v>
      </c>
    </row>
    <row r="139" spans="1:25" x14ac:dyDescent="0.3">
      <c r="A139" t="s">
        <v>66</v>
      </c>
      <c r="B139" t="s">
        <v>68</v>
      </c>
      <c r="C139">
        <v>8</v>
      </c>
      <c r="D139" t="s">
        <v>86</v>
      </c>
      <c r="E139" t="s">
        <v>70</v>
      </c>
      <c r="F139" t="s">
        <v>71</v>
      </c>
      <c r="G139">
        <v>0.65491181441629098</v>
      </c>
      <c r="H139">
        <v>2E+20</v>
      </c>
      <c r="I139">
        <v>2.0044260974714199E-2</v>
      </c>
      <c r="J139">
        <v>1.28977936785787</v>
      </c>
      <c r="K139">
        <v>2</v>
      </c>
      <c r="L139" s="5" t="str">
        <f>DiscreteStatsTable[[#This Row],[ProjectName]]&amp;DiscreteStatsTable[[#This Row],[Name]]&amp;DiscreteStatsTable[[#This Row],[Type]]&amp;DiscreteStatsTable[[#This Row],[Source]]</f>
        <v>Unnamed ProjectLeave 9.QueueWaiting TimeQueue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10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0.24363801759755802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0.15414980070793341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0.11027212449042181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0.123426281098375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0.65491181441629098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1.48746592609541E-2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1.28977936785787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3.6</v>
      </c>
      <c r="W139" s="5">
        <f>IF((DiscreteStatsTable[[#This Row],[RepsRequested]]&gt;1),DiscreteStatsTable[[#This Row],[HalfWidth]],DiscreteStatsTable[[#This Row],[BatchMeansHalfWidth]])</f>
        <v>0.11027212449042181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10</v>
      </c>
      <c r="Y139" s="5">
        <f>IF(DiscreteStatsTable[[#This Row],[RepsRequested]]=DiscreteStatsTable[[#This Row],[RepsWithStatObserved]],1,0)</f>
        <v>1</v>
      </c>
    </row>
    <row r="140" spans="1:25" x14ac:dyDescent="0.3">
      <c r="A140" t="s">
        <v>66</v>
      </c>
      <c r="B140" t="s">
        <v>68</v>
      </c>
      <c r="C140">
        <v>9</v>
      </c>
      <c r="D140" t="s">
        <v>86</v>
      </c>
      <c r="E140" t="s">
        <v>70</v>
      </c>
      <c r="F140" t="s">
        <v>71</v>
      </c>
      <c r="G140">
        <v>0.25018601259458301</v>
      </c>
      <c r="H140">
        <v>2E+20</v>
      </c>
      <c r="I140">
        <v>1.48746592609541E-2</v>
      </c>
      <c r="J140">
        <v>0.536305471281878</v>
      </c>
      <c r="K140">
        <v>6</v>
      </c>
      <c r="L140" s="5" t="str">
        <f>DiscreteStatsTable[[#This Row],[ProjectName]]&amp;DiscreteStatsTable[[#This Row],[Name]]&amp;DiscreteStatsTable[[#This Row],[Type]]&amp;DiscreteStatsTable[[#This Row],[Source]]</f>
        <v>Unnamed ProjectLeave 9.QueueWaiting TimeQueue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10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0.24363801759755802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0.15414980070793341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0.11027212449042181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0.123426281098375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0.65491181441629098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1.48746592609541E-2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1.28977936785787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3.6</v>
      </c>
      <c r="W140" s="5">
        <f>IF((DiscreteStatsTable[[#This Row],[RepsRequested]]&gt;1),DiscreteStatsTable[[#This Row],[HalfWidth]],DiscreteStatsTable[[#This Row],[BatchMeansHalfWidth]])</f>
        <v>0.11027212449042181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10</v>
      </c>
      <c r="Y140" s="5">
        <f>IF(DiscreteStatsTable[[#This Row],[RepsRequested]]=DiscreteStatsTable[[#This Row],[RepsWithStatObserved]],1,0)</f>
        <v>1</v>
      </c>
    </row>
    <row r="141" spans="1:25" x14ac:dyDescent="0.3">
      <c r="A141" t="s">
        <v>66</v>
      </c>
      <c r="B141" t="s">
        <v>68</v>
      </c>
      <c r="C141">
        <v>10</v>
      </c>
      <c r="D141" t="s">
        <v>86</v>
      </c>
      <c r="E141" t="s">
        <v>70</v>
      </c>
      <c r="F141" t="s">
        <v>71</v>
      </c>
      <c r="G141">
        <v>0.17683090592784401</v>
      </c>
      <c r="H141">
        <v>2E+20</v>
      </c>
      <c r="I141">
        <v>0.10565646743410199</v>
      </c>
      <c r="J141">
        <v>0.237845580169534</v>
      </c>
      <c r="K141">
        <v>4</v>
      </c>
      <c r="L141" s="5" t="str">
        <f>DiscreteStatsTable[[#This Row],[ProjectName]]&amp;DiscreteStatsTable[[#This Row],[Name]]&amp;DiscreteStatsTable[[#This Row],[Type]]&amp;DiscreteStatsTable[[#This Row],[Source]]</f>
        <v>Unnamed ProjectLeave 9.QueueWaiting TimeQueue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10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0.24363801759755802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0.15414980070793341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0.11027212449042181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0.123426281098375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0.65491181441629098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1.48746592609541E-2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1.28977936785787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3.6</v>
      </c>
      <c r="W141" s="5">
        <f>IF((DiscreteStatsTable[[#This Row],[RepsRequested]]&gt;1),DiscreteStatsTable[[#This Row],[HalfWidth]],DiscreteStatsTable[[#This Row],[BatchMeansHalfWidth]])</f>
        <v>0.11027212449042181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10</v>
      </c>
      <c r="Y141" s="5">
        <f>IF(DiscreteStatsTable[[#This Row],[RepsRequested]]=DiscreteStatsTable[[#This Row],[RepsWithStatObserved]],1,0)</f>
        <v>1</v>
      </c>
    </row>
    <row r="142" spans="1:25" x14ac:dyDescent="0.3">
      <c r="A142" t="s">
        <v>66</v>
      </c>
      <c r="B142" t="s">
        <v>68</v>
      </c>
      <c r="C142">
        <v>1</v>
      </c>
      <c r="D142" t="s">
        <v>87</v>
      </c>
      <c r="E142" t="s">
        <v>73</v>
      </c>
      <c r="F142" t="s">
        <v>74</v>
      </c>
      <c r="G142">
        <v>0</v>
      </c>
      <c r="H142">
        <v>2E+20</v>
      </c>
      <c r="I142">
        <v>0</v>
      </c>
      <c r="J142">
        <v>0</v>
      </c>
      <c r="K142">
        <v>224</v>
      </c>
      <c r="L142" s="5" t="str">
        <f>DiscreteStatsTable[[#This Row],[ProjectName]]&amp;DiscreteStatsTable[[#This Row],[Name]]&amp;DiscreteStatsTable[[#This Row],[Type]]&amp;DiscreteStatsTable[[#This Row],[Source]]</f>
        <v>Unnamed ProjectMaleta InternacionalNVA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10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0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0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0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0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0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0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224.5</v>
      </c>
      <c r="W142" s="5">
        <f>IF((DiscreteStatsTable[[#This Row],[RepsRequested]]&gt;1),DiscreteStatsTable[[#This Row],[HalfWidth]],DiscreteStatsTable[[#This Row],[BatchMeansHalfWidth]])</f>
        <v>0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10</v>
      </c>
      <c r="Y142" s="5">
        <f>IF(DiscreteStatsTable[[#This Row],[RepsRequested]]=DiscreteStatsTable[[#This Row],[RepsWithStatObserved]],1,0)</f>
        <v>1</v>
      </c>
    </row>
    <row r="143" spans="1:25" x14ac:dyDescent="0.3">
      <c r="A143" t="s">
        <v>66</v>
      </c>
      <c r="B143" t="s">
        <v>68</v>
      </c>
      <c r="C143">
        <v>1</v>
      </c>
      <c r="D143" t="s">
        <v>87</v>
      </c>
      <c r="E143" t="s">
        <v>75</v>
      </c>
      <c r="F143" t="s">
        <v>74</v>
      </c>
      <c r="G143">
        <v>0</v>
      </c>
      <c r="H143">
        <v>2E+20</v>
      </c>
      <c r="I143">
        <v>0</v>
      </c>
      <c r="J143">
        <v>0</v>
      </c>
      <c r="K143">
        <v>224</v>
      </c>
      <c r="L143" s="5" t="str">
        <f>DiscreteStatsTable[[#This Row],[ProjectName]]&amp;DiscreteStatsTable[[#This Row],[Name]]&amp;DiscreteStatsTable[[#This Row],[Type]]&amp;DiscreteStatsTable[[#This Row],[Source]]</f>
        <v>Unnamed ProjectMaleta InternacionalOther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10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224.5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10</v>
      </c>
      <c r="Y143" s="5">
        <f>IF(DiscreteStatsTable[[#This Row],[RepsRequested]]=DiscreteStatsTable[[#This Row],[RepsWithStatObserved]],1,0)</f>
        <v>1</v>
      </c>
    </row>
    <row r="144" spans="1:25" x14ac:dyDescent="0.3">
      <c r="A144" t="s">
        <v>66</v>
      </c>
      <c r="B144" t="s">
        <v>68</v>
      </c>
      <c r="C144">
        <v>1</v>
      </c>
      <c r="D144" t="s">
        <v>87</v>
      </c>
      <c r="E144" t="s">
        <v>76</v>
      </c>
      <c r="F144" t="s">
        <v>74</v>
      </c>
      <c r="G144">
        <v>32.588376923965598</v>
      </c>
      <c r="H144">
        <v>2E+20</v>
      </c>
      <c r="I144">
        <v>22.866453143351102</v>
      </c>
      <c r="J144">
        <v>82.685285525565305</v>
      </c>
      <c r="K144">
        <v>224</v>
      </c>
      <c r="L144" s="5" t="str">
        <f>DiscreteStatsTable[[#This Row],[ProjectName]]&amp;DiscreteStatsTable[[#This Row],[Name]]&amp;DiscreteStatsTable[[#This Row],[Type]]&amp;DiscreteStatsTable[[#This Row],[Source]]</f>
        <v>Unnamed ProjectMaleta InternacionalTotal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10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33.253502377545352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2.1177998980631196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1.5149827825434223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30.4429454447571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37.550474842510702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16.120227250597601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113.799943366541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224.5</v>
      </c>
      <c r="W144" s="5">
        <f>IF((DiscreteStatsTable[[#This Row],[RepsRequested]]&gt;1),DiscreteStatsTable[[#This Row],[HalfWidth]],DiscreteStatsTable[[#This Row],[BatchMeansHalfWidth]])</f>
        <v>1.5149827825434223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10</v>
      </c>
      <c r="Y144" s="5">
        <f>IF(DiscreteStatsTable[[#This Row],[RepsRequested]]=DiscreteStatsTable[[#This Row],[RepsWithStatObserved]],1,0)</f>
        <v>1</v>
      </c>
    </row>
    <row r="145" spans="1:25" x14ac:dyDescent="0.3">
      <c r="A145" t="s">
        <v>66</v>
      </c>
      <c r="B145" t="s">
        <v>68</v>
      </c>
      <c r="C145">
        <v>1</v>
      </c>
      <c r="D145" t="s">
        <v>87</v>
      </c>
      <c r="E145" t="s">
        <v>77</v>
      </c>
      <c r="F145" t="s">
        <v>74</v>
      </c>
      <c r="G145">
        <v>22.093830728491</v>
      </c>
      <c r="H145">
        <v>2E+20</v>
      </c>
      <c r="I145">
        <v>12.496657505961901</v>
      </c>
      <c r="J145">
        <v>23.670962550056601</v>
      </c>
      <c r="K145">
        <v>224</v>
      </c>
      <c r="L145" s="5" t="str">
        <f>DiscreteStatsTable[[#This Row],[ProjectName]]&amp;DiscreteStatsTable[[#This Row],[Name]]&amp;DiscreteStatsTable[[#This Row],[Type]]&amp;DiscreteStatsTable[[#This Row],[Source]]</f>
        <v>Unnamed ProjectMaleta InternacionalTransfer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10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22.240004336080037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0.10870076266182885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7.7759841254417442E-2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22.093830728491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22.3674390933379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12.495157320109101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24.7092274641826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224.5</v>
      </c>
      <c r="W145" s="5">
        <f>IF((DiscreteStatsTable[[#This Row],[RepsRequested]]&gt;1),DiscreteStatsTable[[#This Row],[HalfWidth]],DiscreteStatsTable[[#This Row],[BatchMeansHalfWidth]])</f>
        <v>7.7759841254417442E-2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10</v>
      </c>
      <c r="Y145" s="5">
        <f>IF(DiscreteStatsTable[[#This Row],[RepsRequested]]=DiscreteStatsTable[[#This Row],[RepsWithStatObserved]],1,0)</f>
        <v>1</v>
      </c>
    </row>
    <row r="146" spans="1:25" x14ac:dyDescent="0.3">
      <c r="A146" t="s">
        <v>66</v>
      </c>
      <c r="B146" t="s">
        <v>68</v>
      </c>
      <c r="C146">
        <v>1</v>
      </c>
      <c r="D146" t="s">
        <v>87</v>
      </c>
      <c r="E146" t="s">
        <v>78</v>
      </c>
      <c r="F146" t="s">
        <v>74</v>
      </c>
      <c r="G146">
        <v>3.5971036954125899</v>
      </c>
      <c r="H146">
        <v>2E+20</v>
      </c>
      <c r="I146">
        <v>1.19850422442198E-2</v>
      </c>
      <c r="J146">
        <v>51.805321942351704</v>
      </c>
      <c r="K146">
        <v>224</v>
      </c>
      <c r="L146" s="5" t="str">
        <f>DiscreteStatsTable[[#This Row],[ProjectName]]&amp;DiscreteStatsTable[[#This Row],[Name]]&amp;DiscreteStatsTable[[#This Row],[Type]]&amp;DiscreteStatsTable[[#This Row],[Source]]</f>
        <v>Unnamed ProjectMaleta InternacionalVA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10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3.080292683880868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0.28309972431314245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0.20251734286579773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2.6200471420642701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3.5971036954125899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6.7622472681705403E-4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72.821351831539602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224.5</v>
      </c>
      <c r="W146" s="5">
        <f>IF((DiscreteStatsTable[[#This Row],[RepsRequested]]&gt;1),DiscreteStatsTable[[#This Row],[HalfWidth]],DiscreteStatsTable[[#This Row],[BatchMeansHalfWidth]])</f>
        <v>0.20251734286579773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10</v>
      </c>
      <c r="Y146" s="5">
        <f>IF(DiscreteStatsTable[[#This Row],[RepsRequested]]=DiscreteStatsTable[[#This Row],[RepsWithStatObserved]],1,0)</f>
        <v>1</v>
      </c>
    </row>
    <row r="147" spans="1:25" x14ac:dyDescent="0.3">
      <c r="A147" t="s">
        <v>66</v>
      </c>
      <c r="B147" t="s">
        <v>68</v>
      </c>
      <c r="C147">
        <v>1</v>
      </c>
      <c r="D147" t="s">
        <v>87</v>
      </c>
      <c r="E147" t="s">
        <v>79</v>
      </c>
      <c r="F147" t="s">
        <v>74</v>
      </c>
      <c r="G147">
        <v>6.8974425000619997</v>
      </c>
      <c r="H147">
        <v>2E+20</v>
      </c>
      <c r="I147">
        <v>3.2750072748342497E-2</v>
      </c>
      <c r="J147">
        <v>49.7743885948383</v>
      </c>
      <c r="K147">
        <v>224</v>
      </c>
      <c r="L147" s="5" t="str">
        <f>DiscreteStatsTable[[#This Row],[ProjectName]]&amp;DiscreteStatsTable[[#This Row],[Name]]&amp;DiscreteStatsTable[[#This Row],[Type]]&amp;DiscreteStatsTable[[#This Row],[Source]]</f>
        <v>Unnamed ProjectMaleta InternacionalWait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10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7.9332053575844457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2.2413755170531835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1.6033834549975641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4.95941310790713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12.590607922773099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77.827526023274501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224.5</v>
      </c>
      <c r="W147" s="5">
        <f>IF((DiscreteStatsTable[[#This Row],[RepsRequested]]&gt;1),DiscreteStatsTable[[#This Row],[HalfWidth]],DiscreteStatsTable[[#This Row],[BatchMeansHalfWidth]])</f>
        <v>1.6033834549975641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10</v>
      </c>
      <c r="Y147" s="5">
        <f>IF(DiscreteStatsTable[[#This Row],[RepsRequested]]=DiscreteStatsTable[[#This Row],[RepsWithStatObserved]],1,0)</f>
        <v>1</v>
      </c>
    </row>
    <row r="148" spans="1:25" x14ac:dyDescent="0.3">
      <c r="A148" t="s">
        <v>66</v>
      </c>
      <c r="B148" t="s">
        <v>68</v>
      </c>
      <c r="C148">
        <v>2</v>
      </c>
      <c r="D148" t="s">
        <v>87</v>
      </c>
      <c r="E148" t="s">
        <v>73</v>
      </c>
      <c r="F148" t="s">
        <v>74</v>
      </c>
      <c r="G148">
        <v>0</v>
      </c>
      <c r="H148">
        <v>2E+20</v>
      </c>
      <c r="I148">
        <v>0</v>
      </c>
      <c r="J148">
        <v>0</v>
      </c>
      <c r="K148">
        <v>211</v>
      </c>
      <c r="L148" s="5" t="str">
        <f>DiscreteStatsTable[[#This Row],[ProjectName]]&amp;DiscreteStatsTable[[#This Row],[Name]]&amp;DiscreteStatsTable[[#This Row],[Type]]&amp;DiscreteStatsTable[[#This Row],[Source]]</f>
        <v>Unnamed ProjectMaleta InternacionalNVA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10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0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0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0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0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0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0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224.5</v>
      </c>
      <c r="W148" s="5">
        <f>IF((DiscreteStatsTable[[#This Row],[RepsRequested]]&gt;1),DiscreteStatsTable[[#This Row],[HalfWidth]],DiscreteStatsTable[[#This Row],[BatchMeansHalfWidth]])</f>
        <v>0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10</v>
      </c>
      <c r="Y148" s="5">
        <f>IF(DiscreteStatsTable[[#This Row],[RepsRequested]]=DiscreteStatsTable[[#This Row],[RepsWithStatObserved]],1,0)</f>
        <v>1</v>
      </c>
    </row>
    <row r="149" spans="1:25" x14ac:dyDescent="0.3">
      <c r="A149" t="s">
        <v>66</v>
      </c>
      <c r="B149" t="s">
        <v>68</v>
      </c>
      <c r="C149">
        <v>2</v>
      </c>
      <c r="D149" t="s">
        <v>87</v>
      </c>
      <c r="E149" t="s">
        <v>75</v>
      </c>
      <c r="F149" t="s">
        <v>74</v>
      </c>
      <c r="G149">
        <v>0</v>
      </c>
      <c r="H149">
        <v>2E+20</v>
      </c>
      <c r="I149">
        <v>0</v>
      </c>
      <c r="J149">
        <v>0</v>
      </c>
      <c r="K149">
        <v>211</v>
      </c>
      <c r="L149" s="5" t="str">
        <f>DiscreteStatsTable[[#This Row],[ProjectName]]&amp;DiscreteStatsTable[[#This Row],[Name]]&amp;DiscreteStatsTable[[#This Row],[Type]]&amp;DiscreteStatsTable[[#This Row],[Source]]</f>
        <v>Unnamed ProjectMaleta InternacionalOther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10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224.5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10</v>
      </c>
      <c r="Y149" s="5">
        <f>IF(DiscreteStatsTable[[#This Row],[RepsRequested]]=DiscreteStatsTable[[#This Row],[RepsWithStatObserved]],1,0)</f>
        <v>1</v>
      </c>
    </row>
    <row r="150" spans="1:25" x14ac:dyDescent="0.3">
      <c r="A150" t="s">
        <v>66</v>
      </c>
      <c r="B150" t="s">
        <v>68</v>
      </c>
      <c r="C150">
        <v>2</v>
      </c>
      <c r="D150" t="s">
        <v>87</v>
      </c>
      <c r="E150" t="s">
        <v>76</v>
      </c>
      <c r="F150" t="s">
        <v>74</v>
      </c>
      <c r="G150">
        <v>32.054233310652798</v>
      </c>
      <c r="H150">
        <v>2E+20</v>
      </c>
      <c r="I150">
        <v>16.120227250597601</v>
      </c>
      <c r="J150">
        <v>99.620612215148299</v>
      </c>
      <c r="K150">
        <v>211</v>
      </c>
      <c r="L150" s="5" t="str">
        <f>DiscreteStatsTable[[#This Row],[ProjectName]]&amp;DiscreteStatsTable[[#This Row],[Name]]&amp;DiscreteStatsTable[[#This Row],[Type]]&amp;DiscreteStatsTable[[#This Row],[Source]]</f>
        <v>Unnamed ProjectMaleta InternacionalTotal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10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33.253502377545352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2.1177998980631196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1.5149827825434223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30.4429454447571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37.550474842510702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16.120227250597601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113.799943366541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224.5</v>
      </c>
      <c r="W150" s="5">
        <f>IF((DiscreteStatsTable[[#This Row],[RepsRequested]]&gt;1),DiscreteStatsTable[[#This Row],[HalfWidth]],DiscreteStatsTable[[#This Row],[BatchMeansHalfWidth]])</f>
        <v>1.5149827825434223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10</v>
      </c>
      <c r="Y150" s="5">
        <f>IF(DiscreteStatsTable[[#This Row],[RepsRequested]]=DiscreteStatsTable[[#This Row],[RepsWithStatObserved]],1,0)</f>
        <v>1</v>
      </c>
    </row>
    <row r="151" spans="1:25" x14ac:dyDescent="0.3">
      <c r="A151" t="s">
        <v>66</v>
      </c>
      <c r="B151" t="s">
        <v>68</v>
      </c>
      <c r="C151">
        <v>2</v>
      </c>
      <c r="D151" t="s">
        <v>87</v>
      </c>
      <c r="E151" t="s">
        <v>77</v>
      </c>
      <c r="F151" t="s">
        <v>74</v>
      </c>
      <c r="G151">
        <v>22.097304470927799</v>
      </c>
      <c r="H151">
        <v>2E+20</v>
      </c>
      <c r="I151">
        <v>12.497976932357201</v>
      </c>
      <c r="J151">
        <v>24.520641392739499</v>
      </c>
      <c r="K151">
        <v>211</v>
      </c>
      <c r="L151" s="5" t="str">
        <f>DiscreteStatsTable[[#This Row],[ProjectName]]&amp;DiscreteStatsTable[[#This Row],[Name]]&amp;DiscreteStatsTable[[#This Row],[Type]]&amp;DiscreteStatsTable[[#This Row],[Source]]</f>
        <v>Unnamed ProjectMaleta InternacionalTransfer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10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22.240004336080037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0.10870076266182885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7.7759841254417442E-2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22.093830728491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22.3674390933379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12.495157320109101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24.7092274641826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224.5</v>
      </c>
      <c r="W151" s="5">
        <f>IF((DiscreteStatsTable[[#This Row],[RepsRequested]]&gt;1),DiscreteStatsTable[[#This Row],[HalfWidth]],DiscreteStatsTable[[#This Row],[BatchMeansHalfWidth]])</f>
        <v>7.7759841254417442E-2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10</v>
      </c>
      <c r="Y151" s="5">
        <f>IF(DiscreteStatsTable[[#This Row],[RepsRequested]]=DiscreteStatsTable[[#This Row],[RepsWithStatObserved]],1,0)</f>
        <v>1</v>
      </c>
    </row>
    <row r="152" spans="1:25" x14ac:dyDescent="0.3">
      <c r="A152" t="s">
        <v>66</v>
      </c>
      <c r="B152" t="s">
        <v>68</v>
      </c>
      <c r="C152">
        <v>2</v>
      </c>
      <c r="D152" t="s">
        <v>87</v>
      </c>
      <c r="E152" t="s">
        <v>78</v>
      </c>
      <c r="F152" t="s">
        <v>74</v>
      </c>
      <c r="G152">
        <v>3.31547386713294</v>
      </c>
      <c r="H152">
        <v>2E+20</v>
      </c>
      <c r="I152">
        <v>3.6810247664220701E-3</v>
      </c>
      <c r="J152">
        <v>67.012873882025005</v>
      </c>
      <c r="K152">
        <v>211</v>
      </c>
      <c r="L152" s="5" t="str">
        <f>DiscreteStatsTable[[#This Row],[ProjectName]]&amp;DiscreteStatsTable[[#This Row],[Name]]&amp;DiscreteStatsTable[[#This Row],[Type]]&amp;DiscreteStatsTable[[#This Row],[Source]]</f>
        <v>Unnamed ProjectMaleta InternacionalVA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10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3.080292683880868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0.28309972431314245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0.20251734286579773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2.6200471420642701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3.5971036954125899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6.7622472681705403E-4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72.821351831539602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224.5</v>
      </c>
      <c r="W152" s="5">
        <f>IF((DiscreteStatsTable[[#This Row],[RepsRequested]]&gt;1),DiscreteStatsTable[[#This Row],[HalfWidth]],DiscreteStatsTable[[#This Row],[BatchMeansHalfWidth]])</f>
        <v>0.20251734286579773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10</v>
      </c>
      <c r="Y152" s="5">
        <f>IF(DiscreteStatsTable[[#This Row],[RepsRequested]]=DiscreteStatsTable[[#This Row],[RepsWithStatObserved]],1,0)</f>
        <v>1</v>
      </c>
    </row>
    <row r="153" spans="1:25" x14ac:dyDescent="0.3">
      <c r="A153" t="s">
        <v>66</v>
      </c>
      <c r="B153" t="s">
        <v>68</v>
      </c>
      <c r="C153">
        <v>2</v>
      </c>
      <c r="D153" t="s">
        <v>87</v>
      </c>
      <c r="E153" t="s">
        <v>79</v>
      </c>
      <c r="F153" t="s">
        <v>74</v>
      </c>
      <c r="G153">
        <v>6.6414549725920402</v>
      </c>
      <c r="H153">
        <v>2E+20</v>
      </c>
      <c r="I153">
        <v>7.1860643121112802E-2</v>
      </c>
      <c r="J153">
        <v>34.7654887414553</v>
      </c>
      <c r="K153">
        <v>211</v>
      </c>
      <c r="L153" s="5" t="str">
        <f>DiscreteStatsTable[[#This Row],[ProjectName]]&amp;DiscreteStatsTable[[#This Row],[Name]]&amp;DiscreteStatsTable[[#This Row],[Type]]&amp;DiscreteStatsTable[[#This Row],[Source]]</f>
        <v>Unnamed ProjectMaleta InternacionalWait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10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7.9332053575844457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2.2413755170531835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1.6033834549975641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4.95941310790713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12.590607922773099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77.827526023274501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224.5</v>
      </c>
      <c r="W153" s="5">
        <f>IF((DiscreteStatsTable[[#This Row],[RepsRequested]]&gt;1),DiscreteStatsTable[[#This Row],[HalfWidth]],DiscreteStatsTable[[#This Row],[BatchMeansHalfWidth]])</f>
        <v>1.6033834549975641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10</v>
      </c>
      <c r="Y153" s="5">
        <f>IF(DiscreteStatsTable[[#This Row],[RepsRequested]]=DiscreteStatsTable[[#This Row],[RepsWithStatObserved]],1,0)</f>
        <v>1</v>
      </c>
    </row>
    <row r="154" spans="1:25" x14ac:dyDescent="0.3">
      <c r="A154" t="s">
        <v>66</v>
      </c>
      <c r="B154" t="s">
        <v>68</v>
      </c>
      <c r="C154">
        <v>3</v>
      </c>
      <c r="D154" t="s">
        <v>87</v>
      </c>
      <c r="E154" t="s">
        <v>73</v>
      </c>
      <c r="F154" t="s">
        <v>74</v>
      </c>
      <c r="G154">
        <v>0</v>
      </c>
      <c r="H154">
        <v>2E+20</v>
      </c>
      <c r="I154">
        <v>0</v>
      </c>
      <c r="J154">
        <v>0</v>
      </c>
      <c r="K154">
        <v>221</v>
      </c>
      <c r="L154" s="5" t="str">
        <f>DiscreteStatsTable[[#This Row],[ProjectName]]&amp;DiscreteStatsTable[[#This Row],[Name]]&amp;DiscreteStatsTable[[#This Row],[Type]]&amp;DiscreteStatsTable[[#This Row],[Source]]</f>
        <v>Unnamed ProjectMaleta InternacionalNVA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10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0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0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0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0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0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0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224.5</v>
      </c>
      <c r="W154" s="5">
        <f>IF((DiscreteStatsTable[[#This Row],[RepsRequested]]&gt;1),DiscreteStatsTable[[#This Row],[HalfWidth]],DiscreteStatsTable[[#This Row],[BatchMeansHalfWidth]])</f>
        <v>0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10</v>
      </c>
      <c r="Y154" s="5">
        <f>IF(DiscreteStatsTable[[#This Row],[RepsRequested]]=DiscreteStatsTable[[#This Row],[RepsWithStatObserved]],1,0)</f>
        <v>1</v>
      </c>
    </row>
    <row r="155" spans="1:25" x14ac:dyDescent="0.3">
      <c r="A155" t="s">
        <v>66</v>
      </c>
      <c r="B155" t="s">
        <v>68</v>
      </c>
      <c r="C155">
        <v>3</v>
      </c>
      <c r="D155" t="s">
        <v>87</v>
      </c>
      <c r="E155" t="s">
        <v>75</v>
      </c>
      <c r="F155" t="s">
        <v>74</v>
      </c>
      <c r="G155">
        <v>0</v>
      </c>
      <c r="H155">
        <v>2E+20</v>
      </c>
      <c r="I155">
        <v>0</v>
      </c>
      <c r="J155">
        <v>0</v>
      </c>
      <c r="K155">
        <v>221</v>
      </c>
      <c r="L155" s="5" t="str">
        <f>DiscreteStatsTable[[#This Row],[ProjectName]]&amp;DiscreteStatsTable[[#This Row],[Name]]&amp;DiscreteStatsTable[[#This Row],[Type]]&amp;DiscreteStatsTable[[#This Row],[Source]]</f>
        <v>Unnamed ProjectMaleta InternacionalOther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10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224.5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10</v>
      </c>
      <c r="Y155" s="5">
        <f>IF(DiscreteStatsTable[[#This Row],[RepsRequested]]=DiscreteStatsTable[[#This Row],[RepsWithStatObserved]],1,0)</f>
        <v>1</v>
      </c>
    </row>
    <row r="156" spans="1:25" x14ac:dyDescent="0.3">
      <c r="A156" t="s">
        <v>66</v>
      </c>
      <c r="B156" t="s">
        <v>68</v>
      </c>
      <c r="C156">
        <v>3</v>
      </c>
      <c r="D156" t="s">
        <v>87</v>
      </c>
      <c r="E156" t="s">
        <v>76</v>
      </c>
      <c r="F156" t="s">
        <v>74</v>
      </c>
      <c r="G156">
        <v>35.2837505615582</v>
      </c>
      <c r="H156">
        <v>2E+20</v>
      </c>
      <c r="I156">
        <v>17.412504075745598</v>
      </c>
      <c r="J156">
        <v>69.643230726777304</v>
      </c>
      <c r="K156">
        <v>221</v>
      </c>
      <c r="L156" s="5" t="str">
        <f>DiscreteStatsTable[[#This Row],[ProjectName]]&amp;DiscreteStatsTable[[#This Row],[Name]]&amp;DiscreteStatsTable[[#This Row],[Type]]&amp;DiscreteStatsTable[[#This Row],[Source]]</f>
        <v>Unnamed ProjectMaleta InternacionalTotal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10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33.253502377545352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2.1177998980631196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1.5149827825434223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30.4429454447571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37.550474842510702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16.120227250597601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113.799943366541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224.5</v>
      </c>
      <c r="W156" s="5">
        <f>IF((DiscreteStatsTable[[#This Row],[RepsRequested]]&gt;1),DiscreteStatsTable[[#This Row],[HalfWidth]],DiscreteStatsTable[[#This Row],[BatchMeansHalfWidth]])</f>
        <v>1.5149827825434223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10</v>
      </c>
      <c r="Y156" s="5">
        <f>IF(DiscreteStatsTable[[#This Row],[RepsRequested]]=DiscreteStatsTable[[#This Row],[RepsWithStatObserved]],1,0)</f>
        <v>1</v>
      </c>
    </row>
    <row r="157" spans="1:25" x14ac:dyDescent="0.3">
      <c r="A157" t="s">
        <v>66</v>
      </c>
      <c r="B157" t="s">
        <v>68</v>
      </c>
      <c r="C157">
        <v>3</v>
      </c>
      <c r="D157" t="s">
        <v>87</v>
      </c>
      <c r="E157" t="s">
        <v>77</v>
      </c>
      <c r="F157" t="s">
        <v>74</v>
      </c>
      <c r="G157">
        <v>22.145425833517301</v>
      </c>
      <c r="H157">
        <v>2E+20</v>
      </c>
      <c r="I157">
        <v>12.5</v>
      </c>
      <c r="J157">
        <v>23.681079053783499</v>
      </c>
      <c r="K157">
        <v>221</v>
      </c>
      <c r="L157" s="5" t="str">
        <f>DiscreteStatsTable[[#This Row],[ProjectName]]&amp;DiscreteStatsTable[[#This Row],[Name]]&amp;DiscreteStatsTable[[#This Row],[Type]]&amp;DiscreteStatsTable[[#This Row],[Source]]</f>
        <v>Unnamed ProjectMaleta InternacionalTransfer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10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22.240004336080037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0.10870076266182885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7.7759841254417442E-2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22.093830728491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22.3674390933379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12.495157320109101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24.7092274641826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224.5</v>
      </c>
      <c r="W157" s="5">
        <f>IF((DiscreteStatsTable[[#This Row],[RepsRequested]]&gt;1),DiscreteStatsTable[[#This Row],[HalfWidth]],DiscreteStatsTable[[#This Row],[BatchMeansHalfWidth]])</f>
        <v>7.7759841254417442E-2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10</v>
      </c>
      <c r="Y157" s="5">
        <f>IF(DiscreteStatsTable[[#This Row],[RepsRequested]]=DiscreteStatsTable[[#This Row],[RepsWithStatObserved]],1,0)</f>
        <v>1</v>
      </c>
    </row>
    <row r="158" spans="1:25" x14ac:dyDescent="0.3">
      <c r="A158" t="s">
        <v>66</v>
      </c>
      <c r="B158" t="s">
        <v>68</v>
      </c>
      <c r="C158">
        <v>3</v>
      </c>
      <c r="D158" t="s">
        <v>87</v>
      </c>
      <c r="E158" t="s">
        <v>78</v>
      </c>
      <c r="F158" t="s">
        <v>74</v>
      </c>
      <c r="G158">
        <v>3.1828920965921599</v>
      </c>
      <c r="H158">
        <v>2E+20</v>
      </c>
      <c r="I158">
        <v>1.02277069211709E-2</v>
      </c>
      <c r="J158">
        <v>39.261351671028798</v>
      </c>
      <c r="K158">
        <v>221</v>
      </c>
      <c r="L158" s="5" t="str">
        <f>DiscreteStatsTable[[#This Row],[ProjectName]]&amp;DiscreteStatsTable[[#This Row],[Name]]&amp;DiscreteStatsTable[[#This Row],[Type]]&amp;DiscreteStatsTable[[#This Row],[Source]]</f>
        <v>Unnamed ProjectMaleta InternacionalVA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10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3.080292683880868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0.28309972431314245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0.20251734286579773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2.6200471420642701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3.5971036954125899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6.7622472681705403E-4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72.821351831539602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224.5</v>
      </c>
      <c r="W158" s="5">
        <f>IF((DiscreteStatsTable[[#This Row],[RepsRequested]]&gt;1),DiscreteStatsTable[[#This Row],[HalfWidth]],DiscreteStatsTable[[#This Row],[BatchMeansHalfWidth]])</f>
        <v>0.20251734286579773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10</v>
      </c>
      <c r="Y158" s="5">
        <f>IF(DiscreteStatsTable[[#This Row],[RepsRequested]]=DiscreteStatsTable[[#This Row],[RepsWithStatObserved]],1,0)</f>
        <v>1</v>
      </c>
    </row>
    <row r="159" spans="1:25" x14ac:dyDescent="0.3">
      <c r="A159" t="s">
        <v>66</v>
      </c>
      <c r="B159" t="s">
        <v>68</v>
      </c>
      <c r="C159">
        <v>3</v>
      </c>
      <c r="D159" t="s">
        <v>87</v>
      </c>
      <c r="E159" t="s">
        <v>79</v>
      </c>
      <c r="F159" t="s">
        <v>74</v>
      </c>
      <c r="G159">
        <v>9.9554326314487298</v>
      </c>
      <c r="H159">
        <v>2E+20</v>
      </c>
      <c r="I159">
        <v>7.3783858819808798E-2</v>
      </c>
      <c r="J159">
        <v>36.654585251788099</v>
      </c>
      <c r="K159">
        <v>221</v>
      </c>
      <c r="L159" s="5" t="str">
        <f>DiscreteStatsTable[[#This Row],[ProjectName]]&amp;DiscreteStatsTable[[#This Row],[Name]]&amp;DiscreteStatsTable[[#This Row],[Type]]&amp;DiscreteStatsTable[[#This Row],[Source]]</f>
        <v>Unnamed ProjectMaleta InternacionalWait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10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7.9332053575844457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2.2413755170531835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1.6033834549975641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4.95941310790713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12.590607922773099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77.827526023274501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224.5</v>
      </c>
      <c r="W159" s="5">
        <f>IF((DiscreteStatsTable[[#This Row],[RepsRequested]]&gt;1),DiscreteStatsTable[[#This Row],[HalfWidth]],DiscreteStatsTable[[#This Row],[BatchMeansHalfWidth]])</f>
        <v>1.6033834549975641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10</v>
      </c>
      <c r="Y159" s="5">
        <f>IF(DiscreteStatsTable[[#This Row],[RepsRequested]]=DiscreteStatsTable[[#This Row],[RepsWithStatObserved]],1,0)</f>
        <v>1</v>
      </c>
    </row>
    <row r="160" spans="1:25" x14ac:dyDescent="0.3">
      <c r="A160" t="s">
        <v>66</v>
      </c>
      <c r="B160" t="s">
        <v>68</v>
      </c>
      <c r="C160">
        <v>4</v>
      </c>
      <c r="D160" t="s">
        <v>87</v>
      </c>
      <c r="E160" t="s">
        <v>73</v>
      </c>
      <c r="F160" t="s">
        <v>74</v>
      </c>
      <c r="G160">
        <v>0</v>
      </c>
      <c r="H160">
        <v>2E+20</v>
      </c>
      <c r="I160">
        <v>0</v>
      </c>
      <c r="J160">
        <v>0</v>
      </c>
      <c r="K160">
        <v>256</v>
      </c>
      <c r="L160" s="5" t="str">
        <f>DiscreteStatsTable[[#This Row],[ProjectName]]&amp;DiscreteStatsTable[[#This Row],[Name]]&amp;DiscreteStatsTable[[#This Row],[Type]]&amp;DiscreteStatsTable[[#This Row],[Source]]</f>
        <v>Unnamed ProjectMaleta InternacionalNVA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10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0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0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0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0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0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0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224.5</v>
      </c>
      <c r="W160" s="5">
        <f>IF((DiscreteStatsTable[[#This Row],[RepsRequested]]&gt;1),DiscreteStatsTable[[#This Row],[HalfWidth]],DiscreteStatsTable[[#This Row],[BatchMeansHalfWidth]])</f>
        <v>0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10</v>
      </c>
      <c r="Y160" s="5">
        <f>IF(DiscreteStatsTable[[#This Row],[RepsRequested]]=DiscreteStatsTable[[#This Row],[RepsWithStatObserved]],1,0)</f>
        <v>1</v>
      </c>
    </row>
    <row r="161" spans="1:25" x14ac:dyDescent="0.3">
      <c r="A161" t="s">
        <v>66</v>
      </c>
      <c r="B161" t="s">
        <v>68</v>
      </c>
      <c r="C161">
        <v>4</v>
      </c>
      <c r="D161" t="s">
        <v>87</v>
      </c>
      <c r="E161" t="s">
        <v>75</v>
      </c>
      <c r="F161" t="s">
        <v>74</v>
      </c>
      <c r="G161">
        <v>0</v>
      </c>
      <c r="H161">
        <v>2E+20</v>
      </c>
      <c r="I161">
        <v>0</v>
      </c>
      <c r="J161">
        <v>0</v>
      </c>
      <c r="K161">
        <v>256</v>
      </c>
      <c r="L161" s="5" t="str">
        <f>DiscreteStatsTable[[#This Row],[ProjectName]]&amp;DiscreteStatsTable[[#This Row],[Name]]&amp;DiscreteStatsTable[[#This Row],[Type]]&amp;DiscreteStatsTable[[#This Row],[Source]]</f>
        <v>Unnamed ProjectMaleta InternacionalOther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10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224.5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10</v>
      </c>
      <c r="Y161" s="5">
        <f>IF(DiscreteStatsTable[[#This Row],[RepsRequested]]=DiscreteStatsTable[[#This Row],[RepsWithStatObserved]],1,0)</f>
        <v>1</v>
      </c>
    </row>
    <row r="162" spans="1:25" x14ac:dyDescent="0.3">
      <c r="A162" t="s">
        <v>66</v>
      </c>
      <c r="B162" t="s">
        <v>68</v>
      </c>
      <c r="C162">
        <v>4</v>
      </c>
      <c r="D162" t="s">
        <v>87</v>
      </c>
      <c r="E162" t="s">
        <v>76</v>
      </c>
      <c r="F162" t="s">
        <v>74</v>
      </c>
      <c r="G162">
        <v>35.276900046669297</v>
      </c>
      <c r="H162">
        <v>2E+20</v>
      </c>
      <c r="I162">
        <v>16.344617833747801</v>
      </c>
      <c r="J162">
        <v>94.887896330810904</v>
      </c>
      <c r="K162">
        <v>256</v>
      </c>
      <c r="L162" s="5" t="str">
        <f>DiscreteStatsTable[[#This Row],[ProjectName]]&amp;DiscreteStatsTable[[#This Row],[Name]]&amp;DiscreteStatsTable[[#This Row],[Type]]&amp;DiscreteStatsTable[[#This Row],[Source]]</f>
        <v>Unnamed ProjectMaleta InternacionalTotal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10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33.253502377545352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2.1177998980631196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1.5149827825434223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30.4429454447571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37.550474842510702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16.120227250597601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113.799943366541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224.5</v>
      </c>
      <c r="W162" s="5">
        <f>IF((DiscreteStatsTable[[#This Row],[RepsRequested]]&gt;1),DiscreteStatsTable[[#This Row],[HalfWidth]],DiscreteStatsTable[[#This Row],[BatchMeansHalfWidth]])</f>
        <v>1.5149827825434223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10</v>
      </c>
      <c r="Y162" s="5">
        <f>IF(DiscreteStatsTable[[#This Row],[RepsRequested]]=DiscreteStatsTable[[#This Row],[RepsWithStatObserved]],1,0)</f>
        <v>1</v>
      </c>
    </row>
    <row r="163" spans="1:25" x14ac:dyDescent="0.3">
      <c r="A163" t="s">
        <v>66</v>
      </c>
      <c r="B163" t="s">
        <v>68</v>
      </c>
      <c r="C163">
        <v>4</v>
      </c>
      <c r="D163" t="s">
        <v>87</v>
      </c>
      <c r="E163" t="s">
        <v>77</v>
      </c>
      <c r="F163" t="s">
        <v>74</v>
      </c>
      <c r="G163">
        <v>22.177127192710699</v>
      </c>
      <c r="H163">
        <v>2E+20</v>
      </c>
      <c r="I163">
        <v>12.496127409527301</v>
      </c>
      <c r="J163">
        <v>23.978614259696801</v>
      </c>
      <c r="K163">
        <v>256</v>
      </c>
      <c r="L163" s="5" t="str">
        <f>DiscreteStatsTable[[#This Row],[ProjectName]]&amp;DiscreteStatsTable[[#This Row],[Name]]&amp;DiscreteStatsTable[[#This Row],[Type]]&amp;DiscreteStatsTable[[#This Row],[Source]]</f>
        <v>Unnamed ProjectMaleta InternacionalTransfer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10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22.240004336080037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0.10870076266182885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7.7759841254417442E-2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22.093830728491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22.3674390933379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12.495157320109101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24.7092274641826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224.5</v>
      </c>
      <c r="W163" s="5">
        <f>IF((DiscreteStatsTable[[#This Row],[RepsRequested]]&gt;1),DiscreteStatsTable[[#This Row],[HalfWidth]],DiscreteStatsTable[[#This Row],[BatchMeansHalfWidth]])</f>
        <v>7.7759841254417442E-2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10</v>
      </c>
      <c r="Y163" s="5">
        <f>IF(DiscreteStatsTable[[#This Row],[RepsRequested]]=DiscreteStatsTable[[#This Row],[RepsWithStatObserved]],1,0)</f>
        <v>1</v>
      </c>
    </row>
    <row r="164" spans="1:25" x14ac:dyDescent="0.3">
      <c r="A164" t="s">
        <v>66</v>
      </c>
      <c r="B164" t="s">
        <v>68</v>
      </c>
      <c r="C164">
        <v>4</v>
      </c>
      <c r="D164" t="s">
        <v>87</v>
      </c>
      <c r="E164" t="s">
        <v>78</v>
      </c>
      <c r="F164" t="s">
        <v>74</v>
      </c>
      <c r="G164">
        <v>3.0523418293051301</v>
      </c>
      <c r="H164">
        <v>2E+20</v>
      </c>
      <c r="I164">
        <v>4.3549258395501099E-3</v>
      </c>
      <c r="J164">
        <v>48.0632492277404</v>
      </c>
      <c r="K164">
        <v>256</v>
      </c>
      <c r="L164" s="5" t="str">
        <f>DiscreteStatsTable[[#This Row],[ProjectName]]&amp;DiscreteStatsTable[[#This Row],[Name]]&amp;DiscreteStatsTable[[#This Row],[Type]]&amp;DiscreteStatsTable[[#This Row],[Source]]</f>
        <v>Unnamed ProjectMaleta InternacionalVA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10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3.080292683880868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0.28309972431314245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0.20251734286579773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2.6200471420642701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3.5971036954125899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6.7622472681705403E-4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72.821351831539602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224.5</v>
      </c>
      <c r="W164" s="5">
        <f>IF((DiscreteStatsTable[[#This Row],[RepsRequested]]&gt;1),DiscreteStatsTable[[#This Row],[HalfWidth]],DiscreteStatsTable[[#This Row],[BatchMeansHalfWidth]])</f>
        <v>0.20251734286579773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10</v>
      </c>
      <c r="Y164" s="5">
        <f>IF(DiscreteStatsTable[[#This Row],[RepsRequested]]=DiscreteStatsTable[[#This Row],[RepsWithStatObserved]],1,0)</f>
        <v>1</v>
      </c>
    </row>
    <row r="165" spans="1:25" x14ac:dyDescent="0.3">
      <c r="A165" t="s">
        <v>66</v>
      </c>
      <c r="B165" t="s">
        <v>68</v>
      </c>
      <c r="C165">
        <v>4</v>
      </c>
      <c r="D165" t="s">
        <v>87</v>
      </c>
      <c r="E165" t="s">
        <v>79</v>
      </c>
      <c r="F165" t="s">
        <v>74</v>
      </c>
      <c r="G165">
        <v>10.0474310246535</v>
      </c>
      <c r="H165">
        <v>2E+20</v>
      </c>
      <c r="I165">
        <v>0</v>
      </c>
      <c r="J165">
        <v>62.731086076706298</v>
      </c>
      <c r="K165">
        <v>256</v>
      </c>
      <c r="L165" s="5" t="str">
        <f>DiscreteStatsTable[[#This Row],[ProjectName]]&amp;DiscreteStatsTable[[#This Row],[Name]]&amp;DiscreteStatsTable[[#This Row],[Type]]&amp;DiscreteStatsTable[[#This Row],[Source]]</f>
        <v>Unnamed ProjectMaleta InternacionalWait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10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7.9332053575844457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2.2413755170531835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1.6033834549975641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4.95941310790713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12.590607922773099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77.827526023274501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224.5</v>
      </c>
      <c r="W165" s="5">
        <f>IF((DiscreteStatsTable[[#This Row],[RepsRequested]]&gt;1),DiscreteStatsTable[[#This Row],[HalfWidth]],DiscreteStatsTable[[#This Row],[BatchMeansHalfWidth]])</f>
        <v>1.6033834549975641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10</v>
      </c>
      <c r="Y165" s="5">
        <f>IF(DiscreteStatsTable[[#This Row],[RepsRequested]]=DiscreteStatsTable[[#This Row],[RepsWithStatObserved]],1,0)</f>
        <v>1</v>
      </c>
    </row>
    <row r="166" spans="1:25" x14ac:dyDescent="0.3">
      <c r="A166" t="s">
        <v>66</v>
      </c>
      <c r="B166" t="s">
        <v>68</v>
      </c>
      <c r="C166">
        <v>5</v>
      </c>
      <c r="D166" t="s">
        <v>87</v>
      </c>
      <c r="E166" t="s">
        <v>73</v>
      </c>
      <c r="F166" t="s">
        <v>74</v>
      </c>
      <c r="G166">
        <v>0</v>
      </c>
      <c r="H166">
        <v>2E+20</v>
      </c>
      <c r="I166">
        <v>0</v>
      </c>
      <c r="J166">
        <v>0</v>
      </c>
      <c r="K166">
        <v>229</v>
      </c>
      <c r="L166" s="5" t="str">
        <f>DiscreteStatsTable[[#This Row],[ProjectName]]&amp;DiscreteStatsTable[[#This Row],[Name]]&amp;DiscreteStatsTable[[#This Row],[Type]]&amp;DiscreteStatsTable[[#This Row],[Source]]</f>
        <v>Unnamed ProjectMaleta InternacionalNVA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10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0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0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0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0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0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0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224.5</v>
      </c>
      <c r="W166" s="5">
        <f>IF((DiscreteStatsTable[[#This Row],[RepsRequested]]&gt;1),DiscreteStatsTable[[#This Row],[HalfWidth]],DiscreteStatsTable[[#This Row],[BatchMeansHalfWidth]])</f>
        <v>0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10</v>
      </c>
      <c r="Y166" s="5">
        <f>IF(DiscreteStatsTable[[#This Row],[RepsRequested]]=DiscreteStatsTable[[#This Row],[RepsWithStatObserved]],1,0)</f>
        <v>1</v>
      </c>
    </row>
    <row r="167" spans="1:25" x14ac:dyDescent="0.3">
      <c r="A167" t="s">
        <v>66</v>
      </c>
      <c r="B167" t="s">
        <v>68</v>
      </c>
      <c r="C167">
        <v>5</v>
      </c>
      <c r="D167" t="s">
        <v>87</v>
      </c>
      <c r="E167" t="s">
        <v>75</v>
      </c>
      <c r="F167" t="s">
        <v>74</v>
      </c>
      <c r="G167">
        <v>0</v>
      </c>
      <c r="H167">
        <v>2E+20</v>
      </c>
      <c r="I167">
        <v>0</v>
      </c>
      <c r="J167">
        <v>0</v>
      </c>
      <c r="K167">
        <v>229</v>
      </c>
      <c r="L167" s="5" t="str">
        <f>DiscreteStatsTable[[#This Row],[ProjectName]]&amp;DiscreteStatsTable[[#This Row],[Name]]&amp;DiscreteStatsTable[[#This Row],[Type]]&amp;DiscreteStatsTable[[#This Row],[Source]]</f>
        <v>Unnamed ProjectMaleta InternacionalOther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10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224.5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10</v>
      </c>
      <c r="Y167" s="5">
        <f>IF(DiscreteStatsTable[[#This Row],[RepsRequested]]=DiscreteStatsTable[[#This Row],[RepsWithStatObserved]],1,0)</f>
        <v>1</v>
      </c>
    </row>
    <row r="168" spans="1:25" x14ac:dyDescent="0.3">
      <c r="A168" t="s">
        <v>66</v>
      </c>
      <c r="B168" t="s">
        <v>68</v>
      </c>
      <c r="C168">
        <v>5</v>
      </c>
      <c r="D168" t="s">
        <v>87</v>
      </c>
      <c r="E168" t="s">
        <v>76</v>
      </c>
      <c r="F168" t="s">
        <v>74</v>
      </c>
      <c r="G168">
        <v>32.933210045274997</v>
      </c>
      <c r="H168">
        <v>2E+20</v>
      </c>
      <c r="I168">
        <v>19.936086767058299</v>
      </c>
      <c r="J168">
        <v>95.041228932584204</v>
      </c>
      <c r="K168">
        <v>229</v>
      </c>
      <c r="L168" s="5" t="str">
        <f>DiscreteStatsTable[[#This Row],[ProjectName]]&amp;DiscreteStatsTable[[#This Row],[Name]]&amp;DiscreteStatsTable[[#This Row],[Type]]&amp;DiscreteStatsTable[[#This Row],[Source]]</f>
        <v>Unnamed ProjectMaleta InternacionalTotal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10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33.253502377545352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2.1177998980631196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1.5149827825434223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30.4429454447571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37.550474842510702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16.120227250597601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113.799943366541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224.5</v>
      </c>
      <c r="W168" s="5">
        <f>IF((DiscreteStatsTable[[#This Row],[RepsRequested]]&gt;1),DiscreteStatsTable[[#This Row],[HalfWidth]],DiscreteStatsTable[[#This Row],[BatchMeansHalfWidth]])</f>
        <v>1.5149827825434223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10</v>
      </c>
      <c r="Y168" s="5">
        <f>IF(DiscreteStatsTable[[#This Row],[RepsRequested]]=DiscreteStatsTable[[#This Row],[RepsWithStatObserved]],1,0)</f>
        <v>1</v>
      </c>
    </row>
    <row r="169" spans="1:25" x14ac:dyDescent="0.3">
      <c r="A169" t="s">
        <v>66</v>
      </c>
      <c r="B169" t="s">
        <v>68</v>
      </c>
      <c r="C169">
        <v>5</v>
      </c>
      <c r="D169" t="s">
        <v>87</v>
      </c>
      <c r="E169" t="s">
        <v>77</v>
      </c>
      <c r="F169" t="s">
        <v>74</v>
      </c>
      <c r="G169">
        <v>22.337050237665199</v>
      </c>
      <c r="H169">
        <v>2E+20</v>
      </c>
      <c r="I169">
        <v>12.4972689708966</v>
      </c>
      <c r="J169">
        <v>23.8201610998299</v>
      </c>
      <c r="K169">
        <v>229</v>
      </c>
      <c r="L169" s="5" t="str">
        <f>DiscreteStatsTable[[#This Row],[ProjectName]]&amp;DiscreteStatsTable[[#This Row],[Name]]&amp;DiscreteStatsTable[[#This Row],[Type]]&amp;DiscreteStatsTable[[#This Row],[Source]]</f>
        <v>Unnamed ProjectMaleta InternacionalTransfer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10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22.240004336080037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0.10870076266182885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7.7759841254417442E-2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22.093830728491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22.3674390933379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12.495157320109101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24.7092274641826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224.5</v>
      </c>
      <c r="W169" s="5">
        <f>IF((DiscreteStatsTable[[#This Row],[RepsRequested]]&gt;1),DiscreteStatsTable[[#This Row],[HalfWidth]],DiscreteStatsTable[[#This Row],[BatchMeansHalfWidth]])</f>
        <v>7.7759841254417442E-2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10</v>
      </c>
      <c r="Y169" s="5">
        <f>IF(DiscreteStatsTable[[#This Row],[RepsRequested]]=DiscreteStatsTable[[#This Row],[RepsWithStatObserved]],1,0)</f>
        <v>1</v>
      </c>
    </row>
    <row r="170" spans="1:25" x14ac:dyDescent="0.3">
      <c r="A170" t="s">
        <v>66</v>
      </c>
      <c r="B170" t="s">
        <v>68</v>
      </c>
      <c r="C170">
        <v>5</v>
      </c>
      <c r="D170" t="s">
        <v>87</v>
      </c>
      <c r="E170" t="s">
        <v>78</v>
      </c>
      <c r="F170" t="s">
        <v>74</v>
      </c>
      <c r="G170">
        <v>3.1379513791757701</v>
      </c>
      <c r="H170">
        <v>2E+20</v>
      </c>
      <c r="I170">
        <v>6.7622472681705403E-4</v>
      </c>
      <c r="J170">
        <v>62.565935795930102</v>
      </c>
      <c r="K170">
        <v>229</v>
      </c>
      <c r="L170" s="5" t="str">
        <f>DiscreteStatsTable[[#This Row],[ProjectName]]&amp;DiscreteStatsTable[[#This Row],[Name]]&amp;DiscreteStatsTable[[#This Row],[Type]]&amp;DiscreteStatsTable[[#This Row],[Source]]</f>
        <v>Unnamed ProjectMaleta InternacionalVA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10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3.080292683880868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0.28309972431314245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0.20251734286579773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2.6200471420642701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3.5971036954125899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6.7622472681705403E-4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72.821351831539602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224.5</v>
      </c>
      <c r="W170" s="5">
        <f>IF((DiscreteStatsTable[[#This Row],[RepsRequested]]&gt;1),DiscreteStatsTable[[#This Row],[HalfWidth]],DiscreteStatsTable[[#This Row],[BatchMeansHalfWidth]])</f>
        <v>0.20251734286579773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10</v>
      </c>
      <c r="Y170" s="5">
        <f>IF(DiscreteStatsTable[[#This Row],[RepsRequested]]=DiscreteStatsTable[[#This Row],[RepsWithStatObserved]],1,0)</f>
        <v>1</v>
      </c>
    </row>
    <row r="171" spans="1:25" x14ac:dyDescent="0.3">
      <c r="A171" t="s">
        <v>66</v>
      </c>
      <c r="B171" t="s">
        <v>68</v>
      </c>
      <c r="C171">
        <v>5</v>
      </c>
      <c r="D171" t="s">
        <v>87</v>
      </c>
      <c r="E171" t="s">
        <v>79</v>
      </c>
      <c r="F171" t="s">
        <v>74</v>
      </c>
      <c r="G171">
        <v>7.4582084284339603</v>
      </c>
      <c r="H171">
        <v>2E+20</v>
      </c>
      <c r="I171">
        <v>4.9103954316976201E-2</v>
      </c>
      <c r="J171">
        <v>62.807333003385097</v>
      </c>
      <c r="K171">
        <v>229</v>
      </c>
      <c r="L171" s="5" t="str">
        <f>DiscreteStatsTable[[#This Row],[ProjectName]]&amp;DiscreteStatsTable[[#This Row],[Name]]&amp;DiscreteStatsTable[[#This Row],[Type]]&amp;DiscreteStatsTable[[#This Row],[Source]]</f>
        <v>Unnamed ProjectMaleta InternacionalWait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10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7.9332053575844457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2.2413755170531835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1.6033834549975641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4.95941310790713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12.590607922773099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77.827526023274501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224.5</v>
      </c>
      <c r="W171" s="5">
        <f>IF((DiscreteStatsTable[[#This Row],[RepsRequested]]&gt;1),DiscreteStatsTable[[#This Row],[HalfWidth]],DiscreteStatsTable[[#This Row],[BatchMeansHalfWidth]])</f>
        <v>1.6033834549975641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10</v>
      </c>
      <c r="Y171" s="5">
        <f>IF(DiscreteStatsTable[[#This Row],[RepsRequested]]=DiscreteStatsTable[[#This Row],[RepsWithStatObserved]],1,0)</f>
        <v>1</v>
      </c>
    </row>
    <row r="172" spans="1:25" x14ac:dyDescent="0.3">
      <c r="A172" t="s">
        <v>66</v>
      </c>
      <c r="B172" t="s">
        <v>68</v>
      </c>
      <c r="C172">
        <v>6</v>
      </c>
      <c r="D172" t="s">
        <v>87</v>
      </c>
      <c r="E172" t="s">
        <v>73</v>
      </c>
      <c r="F172" t="s">
        <v>74</v>
      </c>
      <c r="G172">
        <v>0</v>
      </c>
      <c r="H172">
        <v>2E+20</v>
      </c>
      <c r="I172">
        <v>0</v>
      </c>
      <c r="J172">
        <v>0</v>
      </c>
      <c r="K172">
        <v>253</v>
      </c>
      <c r="L172" s="5" t="str">
        <f>DiscreteStatsTable[[#This Row],[ProjectName]]&amp;DiscreteStatsTable[[#This Row],[Name]]&amp;DiscreteStatsTable[[#This Row],[Type]]&amp;DiscreteStatsTable[[#This Row],[Source]]</f>
        <v>Unnamed ProjectMaleta InternacionalNVA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10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0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0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0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0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0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0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224.5</v>
      </c>
      <c r="W172" s="5">
        <f>IF((DiscreteStatsTable[[#This Row],[RepsRequested]]&gt;1),DiscreteStatsTable[[#This Row],[HalfWidth]],DiscreteStatsTable[[#This Row],[BatchMeansHalfWidth]])</f>
        <v>0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10</v>
      </c>
      <c r="Y172" s="5">
        <f>IF(DiscreteStatsTable[[#This Row],[RepsRequested]]=DiscreteStatsTable[[#This Row],[RepsWithStatObserved]],1,0)</f>
        <v>1</v>
      </c>
    </row>
    <row r="173" spans="1:25" x14ac:dyDescent="0.3">
      <c r="A173" t="s">
        <v>66</v>
      </c>
      <c r="B173" t="s">
        <v>68</v>
      </c>
      <c r="C173">
        <v>6</v>
      </c>
      <c r="D173" t="s">
        <v>87</v>
      </c>
      <c r="E173" t="s">
        <v>75</v>
      </c>
      <c r="F173" t="s">
        <v>74</v>
      </c>
      <c r="G173">
        <v>0</v>
      </c>
      <c r="H173">
        <v>2E+20</v>
      </c>
      <c r="I173">
        <v>0</v>
      </c>
      <c r="J173">
        <v>0</v>
      </c>
      <c r="K173">
        <v>253</v>
      </c>
      <c r="L173" s="5" t="str">
        <f>DiscreteStatsTable[[#This Row],[ProjectName]]&amp;DiscreteStatsTable[[#This Row],[Name]]&amp;DiscreteStatsTable[[#This Row],[Type]]&amp;DiscreteStatsTable[[#This Row],[Source]]</f>
        <v>Unnamed ProjectMaleta InternacionalOther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10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224.5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10</v>
      </c>
      <c r="Y173" s="5">
        <f>IF(DiscreteStatsTable[[#This Row],[RepsRequested]]=DiscreteStatsTable[[#This Row],[RepsWithStatObserved]],1,0)</f>
        <v>1</v>
      </c>
    </row>
    <row r="174" spans="1:25" x14ac:dyDescent="0.3">
      <c r="A174" t="s">
        <v>66</v>
      </c>
      <c r="B174" t="s">
        <v>68</v>
      </c>
      <c r="C174">
        <v>6</v>
      </c>
      <c r="D174" t="s">
        <v>87</v>
      </c>
      <c r="E174" t="s">
        <v>76</v>
      </c>
      <c r="F174" t="s">
        <v>74</v>
      </c>
      <c r="G174">
        <v>37.550474842510702</v>
      </c>
      <c r="H174">
        <v>2E+20</v>
      </c>
      <c r="I174">
        <v>22.870567529582999</v>
      </c>
      <c r="J174">
        <v>72.572947376521</v>
      </c>
      <c r="K174">
        <v>253</v>
      </c>
      <c r="L174" s="5" t="str">
        <f>DiscreteStatsTable[[#This Row],[ProjectName]]&amp;DiscreteStatsTable[[#This Row],[Name]]&amp;DiscreteStatsTable[[#This Row],[Type]]&amp;DiscreteStatsTable[[#This Row],[Source]]</f>
        <v>Unnamed ProjectMaleta InternacionalTotal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10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33.253502377545352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2.1177998980631196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1.5149827825434223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30.4429454447571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37.550474842510702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16.120227250597601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113.799943366541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224.5</v>
      </c>
      <c r="W174" s="5">
        <f>IF((DiscreteStatsTable[[#This Row],[RepsRequested]]&gt;1),DiscreteStatsTable[[#This Row],[HalfWidth]],DiscreteStatsTable[[#This Row],[BatchMeansHalfWidth]])</f>
        <v>1.5149827825434223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10</v>
      </c>
      <c r="Y174" s="5">
        <f>IF(DiscreteStatsTable[[#This Row],[RepsRequested]]=DiscreteStatsTable[[#This Row],[RepsWithStatObserved]],1,0)</f>
        <v>1</v>
      </c>
    </row>
    <row r="175" spans="1:25" x14ac:dyDescent="0.3">
      <c r="A175" t="s">
        <v>66</v>
      </c>
      <c r="B175" t="s">
        <v>68</v>
      </c>
      <c r="C175">
        <v>6</v>
      </c>
      <c r="D175" t="s">
        <v>87</v>
      </c>
      <c r="E175" t="s">
        <v>77</v>
      </c>
      <c r="F175" t="s">
        <v>74</v>
      </c>
      <c r="G175">
        <v>22.339819777673402</v>
      </c>
      <c r="H175">
        <v>2E+20</v>
      </c>
      <c r="I175">
        <v>12.495884701141501</v>
      </c>
      <c r="J175">
        <v>24.191769766069701</v>
      </c>
      <c r="K175">
        <v>253</v>
      </c>
      <c r="L175" s="5" t="str">
        <f>DiscreteStatsTable[[#This Row],[ProjectName]]&amp;DiscreteStatsTable[[#This Row],[Name]]&amp;DiscreteStatsTable[[#This Row],[Type]]&amp;DiscreteStatsTable[[#This Row],[Source]]</f>
        <v>Unnamed ProjectMaleta InternacionalTransfer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10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22.240004336080037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0.10870076266182885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7.7759841254417442E-2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22.093830728491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22.3674390933379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12.495157320109101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24.7092274641826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224.5</v>
      </c>
      <c r="W175" s="5">
        <f>IF((DiscreteStatsTable[[#This Row],[RepsRequested]]&gt;1),DiscreteStatsTable[[#This Row],[HalfWidth]],DiscreteStatsTable[[#This Row],[BatchMeansHalfWidth]])</f>
        <v>7.7759841254417442E-2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10</v>
      </c>
      <c r="Y175" s="5">
        <f>IF(DiscreteStatsTable[[#This Row],[RepsRequested]]=DiscreteStatsTable[[#This Row],[RepsWithStatObserved]],1,0)</f>
        <v>1</v>
      </c>
    </row>
    <row r="176" spans="1:25" x14ac:dyDescent="0.3">
      <c r="A176" t="s">
        <v>66</v>
      </c>
      <c r="B176" t="s">
        <v>68</v>
      </c>
      <c r="C176">
        <v>6</v>
      </c>
      <c r="D176" t="s">
        <v>87</v>
      </c>
      <c r="E176" t="s">
        <v>78</v>
      </c>
      <c r="F176" t="s">
        <v>74</v>
      </c>
      <c r="G176">
        <v>2.6200471420642701</v>
      </c>
      <c r="H176">
        <v>2E+20</v>
      </c>
      <c r="I176">
        <v>9.1459471464077104E-3</v>
      </c>
      <c r="J176">
        <v>40.687817037687203</v>
      </c>
      <c r="K176">
        <v>253</v>
      </c>
      <c r="L176" s="5" t="str">
        <f>DiscreteStatsTable[[#This Row],[ProjectName]]&amp;DiscreteStatsTable[[#This Row],[Name]]&amp;DiscreteStatsTable[[#This Row],[Type]]&amp;DiscreteStatsTable[[#This Row],[Source]]</f>
        <v>Unnamed ProjectMaleta InternacionalVA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10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3.080292683880868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0.28309972431314245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0.20251734286579773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2.6200471420642701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3.5971036954125899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6.7622472681705403E-4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72.821351831539602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224.5</v>
      </c>
      <c r="W176" s="5">
        <f>IF((DiscreteStatsTable[[#This Row],[RepsRequested]]&gt;1),DiscreteStatsTable[[#This Row],[HalfWidth]],DiscreteStatsTable[[#This Row],[BatchMeansHalfWidth]])</f>
        <v>0.20251734286579773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10</v>
      </c>
      <c r="Y176" s="5">
        <f>IF(DiscreteStatsTable[[#This Row],[RepsRequested]]=DiscreteStatsTable[[#This Row],[RepsWithStatObserved]],1,0)</f>
        <v>1</v>
      </c>
    </row>
    <row r="177" spans="1:25" x14ac:dyDescent="0.3">
      <c r="A177" t="s">
        <v>66</v>
      </c>
      <c r="B177" t="s">
        <v>68</v>
      </c>
      <c r="C177">
        <v>6</v>
      </c>
      <c r="D177" t="s">
        <v>87</v>
      </c>
      <c r="E177" t="s">
        <v>79</v>
      </c>
      <c r="F177" t="s">
        <v>74</v>
      </c>
      <c r="G177">
        <v>12.590607922773099</v>
      </c>
      <c r="H177">
        <v>2E+20</v>
      </c>
      <c r="I177">
        <v>1.6651314113929099E-2</v>
      </c>
      <c r="J177">
        <v>36.5907382143766</v>
      </c>
      <c r="K177">
        <v>253</v>
      </c>
      <c r="L177" s="5" t="str">
        <f>DiscreteStatsTable[[#This Row],[ProjectName]]&amp;DiscreteStatsTable[[#This Row],[Name]]&amp;DiscreteStatsTable[[#This Row],[Type]]&amp;DiscreteStatsTable[[#This Row],[Source]]</f>
        <v>Unnamed ProjectMaleta InternacionalWait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10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7.9332053575844457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2.2413755170531835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1.6033834549975641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4.95941310790713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12.590607922773099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77.827526023274501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224.5</v>
      </c>
      <c r="W177" s="5">
        <f>IF((DiscreteStatsTable[[#This Row],[RepsRequested]]&gt;1),DiscreteStatsTable[[#This Row],[HalfWidth]],DiscreteStatsTable[[#This Row],[BatchMeansHalfWidth]])</f>
        <v>1.6033834549975641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10</v>
      </c>
      <c r="Y177" s="5">
        <f>IF(DiscreteStatsTable[[#This Row],[RepsRequested]]=DiscreteStatsTable[[#This Row],[RepsWithStatObserved]],1,0)</f>
        <v>1</v>
      </c>
    </row>
    <row r="178" spans="1:25" x14ac:dyDescent="0.3">
      <c r="A178" t="s">
        <v>66</v>
      </c>
      <c r="B178" t="s">
        <v>68</v>
      </c>
      <c r="C178">
        <v>7</v>
      </c>
      <c r="D178" t="s">
        <v>87</v>
      </c>
      <c r="E178" t="s">
        <v>73</v>
      </c>
      <c r="F178" t="s">
        <v>74</v>
      </c>
      <c r="G178">
        <v>0</v>
      </c>
      <c r="H178">
        <v>2E+20</v>
      </c>
      <c r="I178">
        <v>0</v>
      </c>
      <c r="J178">
        <v>0</v>
      </c>
      <c r="K178">
        <v>202</v>
      </c>
      <c r="L178" s="5" t="str">
        <f>DiscreteStatsTable[[#This Row],[ProjectName]]&amp;DiscreteStatsTable[[#This Row],[Name]]&amp;DiscreteStatsTable[[#This Row],[Type]]&amp;DiscreteStatsTable[[#This Row],[Source]]</f>
        <v>Unnamed ProjectMaleta InternacionalNVA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10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0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0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0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0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0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0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224.5</v>
      </c>
      <c r="W178" s="5">
        <f>IF((DiscreteStatsTable[[#This Row],[RepsRequested]]&gt;1),DiscreteStatsTable[[#This Row],[HalfWidth]],DiscreteStatsTable[[#This Row],[BatchMeansHalfWidth]])</f>
        <v>0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10</v>
      </c>
      <c r="Y178" s="5">
        <f>IF(DiscreteStatsTable[[#This Row],[RepsRequested]]=DiscreteStatsTable[[#This Row],[RepsWithStatObserved]],1,0)</f>
        <v>1</v>
      </c>
    </row>
    <row r="179" spans="1:25" x14ac:dyDescent="0.3">
      <c r="A179" t="s">
        <v>66</v>
      </c>
      <c r="B179" t="s">
        <v>68</v>
      </c>
      <c r="C179">
        <v>7</v>
      </c>
      <c r="D179" t="s">
        <v>87</v>
      </c>
      <c r="E179" t="s">
        <v>75</v>
      </c>
      <c r="F179" t="s">
        <v>74</v>
      </c>
      <c r="G179">
        <v>0</v>
      </c>
      <c r="H179">
        <v>2E+20</v>
      </c>
      <c r="I179">
        <v>0</v>
      </c>
      <c r="J179">
        <v>0</v>
      </c>
      <c r="K179">
        <v>202</v>
      </c>
      <c r="L179" s="5" t="str">
        <f>DiscreteStatsTable[[#This Row],[ProjectName]]&amp;DiscreteStatsTable[[#This Row],[Name]]&amp;DiscreteStatsTable[[#This Row],[Type]]&amp;DiscreteStatsTable[[#This Row],[Source]]</f>
        <v>Unnamed ProjectMaleta InternacionalOther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10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224.5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10</v>
      </c>
      <c r="Y179" s="5">
        <f>IF(DiscreteStatsTable[[#This Row],[RepsRequested]]=DiscreteStatsTable[[#This Row],[RepsWithStatObserved]],1,0)</f>
        <v>1</v>
      </c>
    </row>
    <row r="180" spans="1:25" x14ac:dyDescent="0.3">
      <c r="A180" t="s">
        <v>66</v>
      </c>
      <c r="B180" t="s">
        <v>68</v>
      </c>
      <c r="C180">
        <v>7</v>
      </c>
      <c r="D180" t="s">
        <v>87</v>
      </c>
      <c r="E180" t="s">
        <v>76</v>
      </c>
      <c r="F180" t="s">
        <v>74</v>
      </c>
      <c r="G180">
        <v>32.142377152246901</v>
      </c>
      <c r="H180">
        <v>2E+20</v>
      </c>
      <c r="I180">
        <v>17.618686041694701</v>
      </c>
      <c r="J180">
        <v>113.799943366541</v>
      </c>
      <c r="K180">
        <v>202</v>
      </c>
      <c r="L180" s="5" t="str">
        <f>DiscreteStatsTable[[#This Row],[ProjectName]]&amp;DiscreteStatsTable[[#This Row],[Name]]&amp;DiscreteStatsTable[[#This Row],[Type]]&amp;DiscreteStatsTable[[#This Row],[Source]]</f>
        <v>Unnamed ProjectMaleta InternacionalTotal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10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33.253502377545352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2.1177998980631196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1.5149827825434223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30.4429454447571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37.550474842510702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16.120227250597601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113.799943366541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224.5</v>
      </c>
      <c r="W180" s="5">
        <f>IF((DiscreteStatsTable[[#This Row],[RepsRequested]]&gt;1),DiscreteStatsTable[[#This Row],[HalfWidth]],DiscreteStatsTable[[#This Row],[BatchMeansHalfWidth]])</f>
        <v>1.5149827825434223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10</v>
      </c>
      <c r="Y180" s="5">
        <f>IF(DiscreteStatsTable[[#This Row],[RepsRequested]]=DiscreteStatsTable[[#This Row],[RepsWithStatObserved]],1,0)</f>
        <v>1</v>
      </c>
    </row>
    <row r="181" spans="1:25" x14ac:dyDescent="0.3">
      <c r="A181" t="s">
        <v>66</v>
      </c>
      <c r="B181" t="s">
        <v>68</v>
      </c>
      <c r="C181">
        <v>7</v>
      </c>
      <c r="D181" t="s">
        <v>87</v>
      </c>
      <c r="E181" t="s">
        <v>77</v>
      </c>
      <c r="F181" t="s">
        <v>74</v>
      </c>
      <c r="G181">
        <v>22.355570326106498</v>
      </c>
      <c r="H181">
        <v>2E+20</v>
      </c>
      <c r="I181">
        <v>12.499999999999901</v>
      </c>
      <c r="J181">
        <v>24.314570614997699</v>
      </c>
      <c r="K181">
        <v>202</v>
      </c>
      <c r="L181" s="5" t="str">
        <f>DiscreteStatsTable[[#This Row],[ProjectName]]&amp;DiscreteStatsTable[[#This Row],[Name]]&amp;DiscreteStatsTable[[#This Row],[Type]]&amp;DiscreteStatsTable[[#This Row],[Source]]</f>
        <v>Unnamed ProjectMaleta InternacionalTransfer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10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22.240004336080037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0.10870076266182885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7.7759841254417442E-2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22.093830728491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22.3674390933379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12.495157320109101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24.7092274641826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224.5</v>
      </c>
      <c r="W181" s="5">
        <f>IF((DiscreteStatsTable[[#This Row],[RepsRequested]]&gt;1),DiscreteStatsTable[[#This Row],[HalfWidth]],DiscreteStatsTable[[#This Row],[BatchMeansHalfWidth]])</f>
        <v>7.7759841254417442E-2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10</v>
      </c>
      <c r="Y181" s="5">
        <f>IF(DiscreteStatsTable[[#This Row],[RepsRequested]]=DiscreteStatsTable[[#This Row],[RepsWithStatObserved]],1,0)</f>
        <v>1</v>
      </c>
    </row>
    <row r="182" spans="1:25" x14ac:dyDescent="0.3">
      <c r="A182" t="s">
        <v>66</v>
      </c>
      <c r="B182" t="s">
        <v>68</v>
      </c>
      <c r="C182">
        <v>7</v>
      </c>
      <c r="D182" t="s">
        <v>87</v>
      </c>
      <c r="E182" t="s">
        <v>78</v>
      </c>
      <c r="F182" t="s">
        <v>74</v>
      </c>
      <c r="G182">
        <v>2.91589516137465</v>
      </c>
      <c r="H182">
        <v>2E+20</v>
      </c>
      <c r="I182">
        <v>5.9605752501852302E-3</v>
      </c>
      <c r="J182">
        <v>72.821351831539602</v>
      </c>
      <c r="K182">
        <v>202</v>
      </c>
      <c r="L182" s="5" t="str">
        <f>DiscreteStatsTable[[#This Row],[ProjectName]]&amp;DiscreteStatsTable[[#This Row],[Name]]&amp;DiscreteStatsTable[[#This Row],[Type]]&amp;DiscreteStatsTable[[#This Row],[Source]]</f>
        <v>Unnamed ProjectMaleta InternacionalVA TimeEntity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10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3.080292683880868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0.28309972431314245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0.20251734286579773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2.6200471420642701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3.5971036954125899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6.7622472681705403E-4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72.821351831539602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224.5</v>
      </c>
      <c r="W182" s="5">
        <f>IF((DiscreteStatsTable[[#This Row],[RepsRequested]]&gt;1),DiscreteStatsTable[[#This Row],[HalfWidth]],DiscreteStatsTable[[#This Row],[BatchMeansHalfWidth]])</f>
        <v>0.20251734286579773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10</v>
      </c>
      <c r="Y182" s="5">
        <f>IF(DiscreteStatsTable[[#This Row],[RepsRequested]]=DiscreteStatsTable[[#This Row],[RepsWithStatObserved]],1,0)</f>
        <v>1</v>
      </c>
    </row>
    <row r="183" spans="1:25" x14ac:dyDescent="0.3">
      <c r="A183" t="s">
        <v>66</v>
      </c>
      <c r="B183" t="s">
        <v>68</v>
      </c>
      <c r="C183">
        <v>7</v>
      </c>
      <c r="D183" t="s">
        <v>87</v>
      </c>
      <c r="E183" t="s">
        <v>79</v>
      </c>
      <c r="F183" t="s">
        <v>74</v>
      </c>
      <c r="G183">
        <v>6.8709116647657904</v>
      </c>
      <c r="H183">
        <v>2E+20</v>
      </c>
      <c r="I183">
        <v>0</v>
      </c>
      <c r="J183">
        <v>72.899308722550899</v>
      </c>
      <c r="K183">
        <v>202</v>
      </c>
      <c r="L183" s="5" t="str">
        <f>DiscreteStatsTable[[#This Row],[ProjectName]]&amp;DiscreteStatsTable[[#This Row],[Name]]&amp;DiscreteStatsTable[[#This Row],[Type]]&amp;DiscreteStatsTable[[#This Row],[Source]]</f>
        <v>Unnamed ProjectMaleta InternacionalWait TimeEntity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10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7.9332053575844457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2.2413755170531835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1.6033834549975641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4.95941310790713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12.590607922773099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77.827526023274501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224.5</v>
      </c>
      <c r="W183" s="5">
        <f>IF((DiscreteStatsTable[[#This Row],[RepsRequested]]&gt;1),DiscreteStatsTable[[#This Row],[HalfWidth]],DiscreteStatsTable[[#This Row],[BatchMeansHalfWidth]])</f>
        <v>1.6033834549975641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10</v>
      </c>
      <c r="Y183" s="5">
        <f>IF(DiscreteStatsTable[[#This Row],[RepsRequested]]=DiscreteStatsTable[[#This Row],[RepsWithStatObserved]],1,0)</f>
        <v>1</v>
      </c>
    </row>
    <row r="184" spans="1:25" x14ac:dyDescent="0.3">
      <c r="A184" t="s">
        <v>66</v>
      </c>
      <c r="B184" t="s">
        <v>68</v>
      </c>
      <c r="C184">
        <v>8</v>
      </c>
      <c r="D184" t="s">
        <v>87</v>
      </c>
      <c r="E184" t="s">
        <v>73</v>
      </c>
      <c r="F184" t="s">
        <v>74</v>
      </c>
      <c r="G184">
        <v>0</v>
      </c>
      <c r="H184">
        <v>2E+20</v>
      </c>
      <c r="I184">
        <v>0</v>
      </c>
      <c r="J184">
        <v>0</v>
      </c>
      <c r="K184">
        <v>206</v>
      </c>
      <c r="L184" s="5" t="str">
        <f>DiscreteStatsTable[[#This Row],[ProjectName]]&amp;DiscreteStatsTable[[#This Row],[Name]]&amp;DiscreteStatsTable[[#This Row],[Type]]&amp;DiscreteStatsTable[[#This Row],[Source]]</f>
        <v>Unnamed ProjectMaleta InternacionalNVA TimeEntity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10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0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0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0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0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0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224.5</v>
      </c>
      <c r="W184" s="5">
        <f>IF((DiscreteStatsTable[[#This Row],[RepsRequested]]&gt;1),DiscreteStatsTable[[#This Row],[HalfWidth]],DiscreteStatsTable[[#This Row],[BatchMeansHalfWidth]])</f>
        <v>0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10</v>
      </c>
      <c r="Y184" s="5">
        <f>IF(DiscreteStatsTable[[#This Row],[RepsRequested]]=DiscreteStatsTable[[#This Row],[RepsWithStatObserved]],1,0)</f>
        <v>1</v>
      </c>
    </row>
    <row r="185" spans="1:25" x14ac:dyDescent="0.3">
      <c r="A185" t="s">
        <v>66</v>
      </c>
      <c r="B185" t="s">
        <v>68</v>
      </c>
      <c r="C185">
        <v>8</v>
      </c>
      <c r="D185" t="s">
        <v>87</v>
      </c>
      <c r="E185" t="s">
        <v>75</v>
      </c>
      <c r="F185" t="s">
        <v>74</v>
      </c>
      <c r="G185">
        <v>0</v>
      </c>
      <c r="H185">
        <v>2E+20</v>
      </c>
      <c r="I185">
        <v>0</v>
      </c>
      <c r="J185">
        <v>0</v>
      </c>
      <c r="K185">
        <v>206</v>
      </c>
      <c r="L185" s="5" t="str">
        <f>DiscreteStatsTable[[#This Row],[ProjectName]]&amp;DiscreteStatsTable[[#This Row],[Name]]&amp;DiscreteStatsTable[[#This Row],[Type]]&amp;DiscreteStatsTable[[#This Row],[Source]]</f>
        <v>Unnamed ProjectMaleta InternacionalOther TimeEntity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10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0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0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0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0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0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224.5</v>
      </c>
      <c r="W185" s="5">
        <f>IF((DiscreteStatsTable[[#This Row],[RepsRequested]]&gt;1),DiscreteStatsTable[[#This Row],[HalfWidth]],DiscreteStatsTable[[#This Row],[BatchMeansHalfWidth]])</f>
        <v>0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10</v>
      </c>
      <c r="Y185" s="5">
        <f>IF(DiscreteStatsTable[[#This Row],[RepsRequested]]=DiscreteStatsTable[[#This Row],[RepsWithStatObserved]],1,0)</f>
        <v>1</v>
      </c>
    </row>
    <row r="186" spans="1:25" x14ac:dyDescent="0.3">
      <c r="A186" t="s">
        <v>66</v>
      </c>
      <c r="B186" t="s">
        <v>68</v>
      </c>
      <c r="C186">
        <v>8</v>
      </c>
      <c r="D186" t="s">
        <v>87</v>
      </c>
      <c r="E186" t="s">
        <v>76</v>
      </c>
      <c r="F186" t="s">
        <v>74</v>
      </c>
      <c r="G186">
        <v>31.9728104888014</v>
      </c>
      <c r="H186">
        <v>2E+20</v>
      </c>
      <c r="I186">
        <v>22.8840868599675</v>
      </c>
      <c r="J186">
        <v>112.077307388796</v>
      </c>
      <c r="K186">
        <v>206</v>
      </c>
      <c r="L186" s="5" t="str">
        <f>DiscreteStatsTable[[#This Row],[ProjectName]]&amp;DiscreteStatsTable[[#This Row],[Name]]&amp;DiscreteStatsTable[[#This Row],[Type]]&amp;DiscreteStatsTable[[#This Row],[Source]]</f>
        <v>Unnamed ProjectMaleta InternacionalTotal TimeEntity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10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33.253502377545352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2.1177998980631196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1.5149827825434223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30.4429454447571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37.550474842510702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16.120227250597601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113.799943366541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224.5</v>
      </c>
      <c r="W186" s="5">
        <f>IF((DiscreteStatsTable[[#This Row],[RepsRequested]]&gt;1),DiscreteStatsTable[[#This Row],[HalfWidth]],DiscreteStatsTable[[#This Row],[BatchMeansHalfWidth]])</f>
        <v>1.5149827825434223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10</v>
      </c>
      <c r="Y186" s="5">
        <f>IF(DiscreteStatsTable[[#This Row],[RepsRequested]]=DiscreteStatsTable[[#This Row],[RepsWithStatObserved]],1,0)</f>
        <v>1</v>
      </c>
    </row>
    <row r="187" spans="1:25" x14ac:dyDescent="0.3">
      <c r="A187" t="s">
        <v>66</v>
      </c>
      <c r="B187" t="s">
        <v>68</v>
      </c>
      <c r="C187">
        <v>8</v>
      </c>
      <c r="D187" t="s">
        <v>87</v>
      </c>
      <c r="E187" t="s">
        <v>77</v>
      </c>
      <c r="F187" t="s">
        <v>74</v>
      </c>
      <c r="G187">
        <v>22.3674390933379</v>
      </c>
      <c r="H187">
        <v>2E+20</v>
      </c>
      <c r="I187">
        <v>12.495157320109101</v>
      </c>
      <c r="J187">
        <v>24.4243511105511</v>
      </c>
      <c r="K187">
        <v>206</v>
      </c>
      <c r="L187" s="5" t="str">
        <f>DiscreteStatsTable[[#This Row],[ProjectName]]&amp;DiscreteStatsTable[[#This Row],[Name]]&amp;DiscreteStatsTable[[#This Row],[Type]]&amp;DiscreteStatsTable[[#This Row],[Source]]</f>
        <v>Unnamed ProjectMaleta InternacionalTransfer TimeEntity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10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22.240004336080037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0.10870076266182885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7.7759841254417442E-2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22.093830728491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22.3674390933379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12.495157320109101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24.7092274641826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224.5</v>
      </c>
      <c r="W187" s="5">
        <f>IF((DiscreteStatsTable[[#This Row],[RepsRequested]]&gt;1),DiscreteStatsTable[[#This Row],[HalfWidth]],DiscreteStatsTable[[#This Row],[BatchMeansHalfWidth]])</f>
        <v>7.7759841254417442E-2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10</v>
      </c>
      <c r="Y187" s="5">
        <f>IF(DiscreteStatsTable[[#This Row],[RepsRequested]]=DiscreteStatsTable[[#This Row],[RepsWithStatObserved]],1,0)</f>
        <v>1</v>
      </c>
    </row>
    <row r="188" spans="1:25" x14ac:dyDescent="0.3">
      <c r="A188" t="s">
        <v>66</v>
      </c>
      <c r="B188" t="s">
        <v>68</v>
      </c>
      <c r="C188">
        <v>8</v>
      </c>
      <c r="D188" t="s">
        <v>87</v>
      </c>
      <c r="E188" t="s">
        <v>78</v>
      </c>
      <c r="F188" t="s">
        <v>74</v>
      </c>
      <c r="G188">
        <v>2.8871269238731898</v>
      </c>
      <c r="H188">
        <v>2E+20</v>
      </c>
      <c r="I188">
        <v>4.3239075014760396E-3</v>
      </c>
      <c r="J188">
        <v>30.676057224293601</v>
      </c>
      <c r="K188">
        <v>206</v>
      </c>
      <c r="L188" s="5" t="str">
        <f>DiscreteStatsTable[[#This Row],[ProjectName]]&amp;DiscreteStatsTable[[#This Row],[Name]]&amp;DiscreteStatsTable[[#This Row],[Type]]&amp;DiscreteStatsTable[[#This Row],[Source]]</f>
        <v>Unnamed ProjectMaleta InternacionalVA TimeEntity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10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3.080292683880868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0.28309972431314245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0.20251734286579773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2.6200471420642701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3.5971036954125899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6.7622472681705403E-4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72.821351831539602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224.5</v>
      </c>
      <c r="W188" s="5">
        <f>IF((DiscreteStatsTable[[#This Row],[RepsRequested]]&gt;1),DiscreteStatsTable[[#This Row],[HalfWidth]],DiscreteStatsTable[[#This Row],[BatchMeansHalfWidth]])</f>
        <v>0.20251734286579773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10</v>
      </c>
      <c r="Y188" s="5">
        <f>IF(DiscreteStatsTable[[#This Row],[RepsRequested]]=DiscreteStatsTable[[#This Row],[RepsWithStatObserved]],1,0)</f>
        <v>1</v>
      </c>
    </row>
    <row r="189" spans="1:25" x14ac:dyDescent="0.3">
      <c r="A189" t="s">
        <v>66</v>
      </c>
      <c r="B189" t="s">
        <v>68</v>
      </c>
      <c r="C189">
        <v>8</v>
      </c>
      <c r="D189" t="s">
        <v>87</v>
      </c>
      <c r="E189" t="s">
        <v>79</v>
      </c>
      <c r="F189" t="s">
        <v>74</v>
      </c>
      <c r="G189">
        <v>6.7182444715903102</v>
      </c>
      <c r="H189">
        <v>2E+20</v>
      </c>
      <c r="I189">
        <v>4.7070794742534602E-2</v>
      </c>
      <c r="J189">
        <v>77.827526023274501</v>
      </c>
      <c r="K189">
        <v>206</v>
      </c>
      <c r="L189" s="5" t="str">
        <f>DiscreteStatsTable[[#This Row],[ProjectName]]&amp;DiscreteStatsTable[[#This Row],[Name]]&amp;DiscreteStatsTable[[#This Row],[Type]]&amp;DiscreteStatsTable[[#This Row],[Source]]</f>
        <v>Unnamed ProjectMaleta InternacionalWait TimeEntity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10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7.9332053575844457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2.2413755170531835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1.6033834549975641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4.95941310790713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12.590607922773099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77.827526023274501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224.5</v>
      </c>
      <c r="W189" s="5">
        <f>IF((DiscreteStatsTable[[#This Row],[RepsRequested]]&gt;1),DiscreteStatsTable[[#This Row],[HalfWidth]],DiscreteStatsTable[[#This Row],[BatchMeansHalfWidth]])</f>
        <v>1.6033834549975641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10</v>
      </c>
      <c r="Y189" s="5">
        <f>IF(DiscreteStatsTable[[#This Row],[RepsRequested]]=DiscreteStatsTable[[#This Row],[RepsWithStatObserved]],1,0)</f>
        <v>1</v>
      </c>
    </row>
    <row r="190" spans="1:25" x14ac:dyDescent="0.3">
      <c r="A190" t="s">
        <v>66</v>
      </c>
      <c r="B190" t="s">
        <v>68</v>
      </c>
      <c r="C190">
        <v>9</v>
      </c>
      <c r="D190" t="s">
        <v>87</v>
      </c>
      <c r="E190" t="s">
        <v>73</v>
      </c>
      <c r="F190" t="s">
        <v>74</v>
      </c>
      <c r="G190">
        <v>0</v>
      </c>
      <c r="H190">
        <v>2E+20</v>
      </c>
      <c r="I190">
        <v>0</v>
      </c>
      <c r="J190">
        <v>0</v>
      </c>
      <c r="K190">
        <v>244</v>
      </c>
      <c r="L190" s="5" t="str">
        <f>DiscreteStatsTable[[#This Row],[ProjectName]]&amp;DiscreteStatsTable[[#This Row],[Name]]&amp;DiscreteStatsTable[[#This Row],[Type]]&amp;DiscreteStatsTable[[#This Row],[Source]]</f>
        <v>Unnamed ProjectMaleta InternacionalNVA TimeEntity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10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0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0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0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0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0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224.5</v>
      </c>
      <c r="W190" s="5">
        <f>IF((DiscreteStatsTable[[#This Row],[RepsRequested]]&gt;1),DiscreteStatsTable[[#This Row],[HalfWidth]],DiscreteStatsTable[[#This Row],[BatchMeansHalfWidth]])</f>
        <v>0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10</v>
      </c>
      <c r="Y190" s="5">
        <f>IF(DiscreteStatsTable[[#This Row],[RepsRequested]]=DiscreteStatsTable[[#This Row],[RepsWithStatObserved]],1,0)</f>
        <v>1</v>
      </c>
    </row>
    <row r="191" spans="1:25" x14ac:dyDescent="0.3">
      <c r="A191" t="s">
        <v>66</v>
      </c>
      <c r="B191" t="s">
        <v>68</v>
      </c>
      <c r="C191">
        <v>9</v>
      </c>
      <c r="D191" t="s">
        <v>87</v>
      </c>
      <c r="E191" t="s">
        <v>75</v>
      </c>
      <c r="F191" t="s">
        <v>74</v>
      </c>
      <c r="G191">
        <v>0</v>
      </c>
      <c r="H191">
        <v>2E+20</v>
      </c>
      <c r="I191">
        <v>0</v>
      </c>
      <c r="J191">
        <v>0</v>
      </c>
      <c r="K191">
        <v>244</v>
      </c>
      <c r="L191" s="5" t="str">
        <f>DiscreteStatsTable[[#This Row],[ProjectName]]&amp;DiscreteStatsTable[[#This Row],[Name]]&amp;DiscreteStatsTable[[#This Row],[Type]]&amp;DiscreteStatsTable[[#This Row],[Source]]</f>
        <v>Unnamed ProjectMaleta InternacionalOther TimeEntity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10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0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0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0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0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0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224.5</v>
      </c>
      <c r="W191" s="5">
        <f>IF((DiscreteStatsTable[[#This Row],[RepsRequested]]&gt;1),DiscreteStatsTable[[#This Row],[HalfWidth]],DiscreteStatsTable[[#This Row],[BatchMeansHalfWidth]])</f>
        <v>0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10</v>
      </c>
      <c r="Y191" s="5">
        <f>IF(DiscreteStatsTable[[#This Row],[RepsRequested]]=DiscreteStatsTable[[#This Row],[RepsWithStatObserved]],1,0)</f>
        <v>1</v>
      </c>
    </row>
    <row r="192" spans="1:25" x14ac:dyDescent="0.3">
      <c r="A192" t="s">
        <v>66</v>
      </c>
      <c r="B192" t="s">
        <v>68</v>
      </c>
      <c r="C192">
        <v>9</v>
      </c>
      <c r="D192" t="s">
        <v>87</v>
      </c>
      <c r="E192" t="s">
        <v>76</v>
      </c>
      <c r="F192" t="s">
        <v>74</v>
      </c>
      <c r="G192">
        <v>32.289944959016502</v>
      </c>
      <c r="H192">
        <v>2E+20</v>
      </c>
      <c r="I192">
        <v>23.0150262562269</v>
      </c>
      <c r="J192">
        <v>89.897614620504797</v>
      </c>
      <c r="K192">
        <v>244</v>
      </c>
      <c r="L192" s="5" t="str">
        <f>DiscreteStatsTable[[#This Row],[ProjectName]]&amp;DiscreteStatsTable[[#This Row],[Name]]&amp;DiscreteStatsTable[[#This Row],[Type]]&amp;DiscreteStatsTable[[#This Row],[Source]]</f>
        <v>Unnamed ProjectMaleta InternacionalTotal TimeEntity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10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33.253502377545352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2.1177998980631196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1.5149827825434223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30.4429454447571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37.550474842510702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16.120227250597601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113.799943366541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224.5</v>
      </c>
      <c r="W192" s="5">
        <f>IF((DiscreteStatsTable[[#This Row],[RepsRequested]]&gt;1),DiscreteStatsTable[[#This Row],[HalfWidth]],DiscreteStatsTable[[#This Row],[BatchMeansHalfWidth]])</f>
        <v>1.5149827825434223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10</v>
      </c>
      <c r="Y192" s="5">
        <f>IF(DiscreteStatsTable[[#This Row],[RepsRequested]]=DiscreteStatsTable[[#This Row],[RepsWithStatObserved]],1,0)</f>
        <v>1</v>
      </c>
    </row>
    <row r="193" spans="1:25" x14ac:dyDescent="0.3">
      <c r="A193" t="s">
        <v>66</v>
      </c>
      <c r="B193" t="s">
        <v>68</v>
      </c>
      <c r="C193">
        <v>9</v>
      </c>
      <c r="D193" t="s">
        <v>87</v>
      </c>
      <c r="E193" t="s">
        <v>77</v>
      </c>
      <c r="F193" t="s">
        <v>74</v>
      </c>
      <c r="G193">
        <v>22.280095975639199</v>
      </c>
      <c r="H193">
        <v>2E+20</v>
      </c>
      <c r="I193">
        <v>12.5</v>
      </c>
      <c r="J193">
        <v>24.7092274641826</v>
      </c>
      <c r="K193">
        <v>244</v>
      </c>
      <c r="L193" s="5" t="str">
        <f>DiscreteStatsTable[[#This Row],[ProjectName]]&amp;DiscreteStatsTable[[#This Row],[Name]]&amp;DiscreteStatsTable[[#This Row],[Type]]&amp;DiscreteStatsTable[[#This Row],[Source]]</f>
        <v>Unnamed ProjectMaleta InternacionalTransfer TimeEntity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10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22.240004336080037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0.10870076266182885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7.7759841254417442E-2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22.093830728491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22.3674390933379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12.495157320109101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24.7092274641826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224.5</v>
      </c>
      <c r="W193" s="5">
        <f>IF((DiscreteStatsTable[[#This Row],[RepsRequested]]&gt;1),DiscreteStatsTable[[#This Row],[HalfWidth]],DiscreteStatsTable[[#This Row],[BatchMeansHalfWidth]])</f>
        <v>7.7759841254417442E-2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10</v>
      </c>
      <c r="Y193" s="5">
        <f>IF(DiscreteStatsTable[[#This Row],[RepsRequested]]=DiscreteStatsTable[[#This Row],[RepsWithStatObserved]],1,0)</f>
        <v>1</v>
      </c>
    </row>
    <row r="194" spans="1:25" x14ac:dyDescent="0.3">
      <c r="A194" t="s">
        <v>66</v>
      </c>
      <c r="B194" t="s">
        <v>68</v>
      </c>
      <c r="C194">
        <v>9</v>
      </c>
      <c r="D194" t="s">
        <v>87</v>
      </c>
      <c r="E194" t="s">
        <v>78</v>
      </c>
      <c r="F194" t="s">
        <v>74</v>
      </c>
      <c r="G194">
        <v>2.8169421317594399</v>
      </c>
      <c r="H194">
        <v>2E+20</v>
      </c>
      <c r="I194">
        <v>8.30425491773212E-3</v>
      </c>
      <c r="J194">
        <v>35.810877779816202</v>
      </c>
      <c r="K194">
        <v>244</v>
      </c>
      <c r="L194" s="5" t="str">
        <f>DiscreteStatsTable[[#This Row],[ProjectName]]&amp;DiscreteStatsTable[[#This Row],[Name]]&amp;DiscreteStatsTable[[#This Row],[Type]]&amp;DiscreteStatsTable[[#This Row],[Source]]</f>
        <v>Unnamed ProjectMaleta InternacionalVA TimeEntity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10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3.080292683880868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0.28309972431314245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0.20251734286579773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2.6200471420642701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3.5971036954125899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6.7622472681705403E-4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72.821351831539602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224.5</v>
      </c>
      <c r="W194" s="5">
        <f>IF((DiscreteStatsTable[[#This Row],[RepsRequested]]&gt;1),DiscreteStatsTable[[#This Row],[HalfWidth]],DiscreteStatsTable[[#This Row],[BatchMeansHalfWidth]])</f>
        <v>0.20251734286579773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10</v>
      </c>
      <c r="Y194" s="5">
        <f>IF(DiscreteStatsTable[[#This Row],[RepsRequested]]=DiscreteStatsTable[[#This Row],[RepsWithStatObserved]],1,0)</f>
        <v>1</v>
      </c>
    </row>
    <row r="195" spans="1:25" x14ac:dyDescent="0.3">
      <c r="A195" t="s">
        <v>66</v>
      </c>
      <c r="B195" t="s">
        <v>68</v>
      </c>
      <c r="C195">
        <v>9</v>
      </c>
      <c r="D195" t="s">
        <v>87</v>
      </c>
      <c r="E195" t="s">
        <v>79</v>
      </c>
      <c r="F195" t="s">
        <v>74</v>
      </c>
      <c r="G195">
        <v>7.1929068516179102</v>
      </c>
      <c r="H195">
        <v>2E+20</v>
      </c>
      <c r="I195">
        <v>3.5023319094250403E-2</v>
      </c>
      <c r="J195">
        <v>70.665291646488797</v>
      </c>
      <c r="K195">
        <v>244</v>
      </c>
      <c r="L195" s="5" t="str">
        <f>DiscreteStatsTable[[#This Row],[ProjectName]]&amp;DiscreteStatsTable[[#This Row],[Name]]&amp;DiscreteStatsTable[[#This Row],[Type]]&amp;DiscreteStatsTable[[#This Row],[Source]]</f>
        <v>Unnamed ProjectMaleta InternacionalWait TimeEntity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10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7.9332053575844457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2.2413755170531835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1.6033834549975641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4.95941310790713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12.590607922773099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77.827526023274501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224.5</v>
      </c>
      <c r="W195" s="5">
        <f>IF((DiscreteStatsTable[[#This Row],[RepsRequested]]&gt;1),DiscreteStatsTable[[#This Row],[HalfWidth]],DiscreteStatsTable[[#This Row],[BatchMeansHalfWidth]])</f>
        <v>1.6033834549975641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10</v>
      </c>
      <c r="Y195" s="5">
        <f>IF(DiscreteStatsTable[[#This Row],[RepsRequested]]=DiscreteStatsTable[[#This Row],[RepsWithStatObserved]],1,0)</f>
        <v>1</v>
      </c>
    </row>
    <row r="196" spans="1:25" x14ac:dyDescent="0.3">
      <c r="A196" t="s">
        <v>66</v>
      </c>
      <c r="B196" t="s">
        <v>68</v>
      </c>
      <c r="C196">
        <v>10</v>
      </c>
      <c r="D196" t="s">
        <v>87</v>
      </c>
      <c r="E196" t="s">
        <v>73</v>
      </c>
      <c r="F196" t="s">
        <v>74</v>
      </c>
      <c r="G196">
        <v>0</v>
      </c>
      <c r="H196">
        <v>2E+20</v>
      </c>
      <c r="I196">
        <v>0</v>
      </c>
      <c r="J196">
        <v>0</v>
      </c>
      <c r="K196">
        <v>199</v>
      </c>
      <c r="L196" s="5" t="str">
        <f>DiscreteStatsTable[[#This Row],[ProjectName]]&amp;DiscreteStatsTable[[#This Row],[Name]]&amp;DiscreteStatsTable[[#This Row],[Type]]&amp;DiscreteStatsTable[[#This Row],[Source]]</f>
        <v>Unnamed ProjectMaleta InternacionalNVA TimeEntity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10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0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0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0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0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0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224.5</v>
      </c>
      <c r="W196" s="5">
        <f>IF((DiscreteStatsTable[[#This Row],[RepsRequested]]&gt;1),DiscreteStatsTable[[#This Row],[HalfWidth]],DiscreteStatsTable[[#This Row],[BatchMeansHalfWidth]])</f>
        <v>0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10</v>
      </c>
      <c r="Y196" s="5">
        <f>IF(DiscreteStatsTable[[#This Row],[RepsRequested]]=DiscreteStatsTable[[#This Row],[RepsWithStatObserved]],1,0)</f>
        <v>1</v>
      </c>
    </row>
    <row r="197" spans="1:25" x14ac:dyDescent="0.3">
      <c r="A197" t="s">
        <v>66</v>
      </c>
      <c r="B197" t="s">
        <v>68</v>
      </c>
      <c r="C197">
        <v>10</v>
      </c>
      <c r="D197" t="s">
        <v>87</v>
      </c>
      <c r="E197" t="s">
        <v>75</v>
      </c>
      <c r="F197" t="s">
        <v>74</v>
      </c>
      <c r="G197">
        <v>0</v>
      </c>
      <c r="H197">
        <v>2E+20</v>
      </c>
      <c r="I197">
        <v>0</v>
      </c>
      <c r="J197">
        <v>0</v>
      </c>
      <c r="K197">
        <v>199</v>
      </c>
      <c r="L197" s="5" t="str">
        <f>DiscreteStatsTable[[#This Row],[ProjectName]]&amp;DiscreteStatsTable[[#This Row],[Name]]&amp;DiscreteStatsTable[[#This Row],[Type]]&amp;DiscreteStatsTable[[#This Row],[Source]]</f>
        <v>Unnamed ProjectMaleta InternacionalOther TimeEntity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10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0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0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0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0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0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224.5</v>
      </c>
      <c r="W197" s="5">
        <f>IF((DiscreteStatsTable[[#This Row],[RepsRequested]]&gt;1),DiscreteStatsTable[[#This Row],[HalfWidth]],DiscreteStatsTable[[#This Row],[BatchMeansHalfWidth]])</f>
        <v>0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10</v>
      </c>
      <c r="Y197" s="5">
        <f>IF(DiscreteStatsTable[[#This Row],[RepsRequested]]=DiscreteStatsTable[[#This Row],[RepsWithStatObserved]],1,0)</f>
        <v>1</v>
      </c>
    </row>
    <row r="198" spans="1:25" x14ac:dyDescent="0.3">
      <c r="A198" t="s">
        <v>66</v>
      </c>
      <c r="B198" t="s">
        <v>68</v>
      </c>
      <c r="C198">
        <v>10</v>
      </c>
      <c r="D198" t="s">
        <v>87</v>
      </c>
      <c r="E198" t="s">
        <v>76</v>
      </c>
      <c r="F198" t="s">
        <v>74</v>
      </c>
      <c r="G198">
        <v>30.4429454447571</v>
      </c>
      <c r="H198">
        <v>2E+20</v>
      </c>
      <c r="I198">
        <v>18.9262923546029</v>
      </c>
      <c r="J198">
        <v>90.760344746787297</v>
      </c>
      <c r="K198">
        <v>199</v>
      </c>
      <c r="L198" s="5" t="str">
        <f>DiscreteStatsTable[[#This Row],[ProjectName]]&amp;DiscreteStatsTable[[#This Row],[Name]]&amp;DiscreteStatsTable[[#This Row],[Type]]&amp;DiscreteStatsTable[[#This Row],[Source]]</f>
        <v>Unnamed ProjectMaleta InternacionalTotal TimeEntity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10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33.253502377545352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2.1177998980631196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1.5149827825434223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30.4429454447571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37.550474842510702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16.120227250597601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113.799943366541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224.5</v>
      </c>
      <c r="W198" s="5">
        <f>IF((DiscreteStatsTable[[#This Row],[RepsRequested]]&gt;1),DiscreteStatsTable[[#This Row],[HalfWidth]],DiscreteStatsTable[[#This Row],[BatchMeansHalfWidth]])</f>
        <v>1.5149827825434223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10</v>
      </c>
      <c r="Y198" s="5">
        <f>IF(DiscreteStatsTable[[#This Row],[RepsRequested]]=DiscreteStatsTable[[#This Row],[RepsWithStatObserved]],1,0)</f>
        <v>1</v>
      </c>
    </row>
    <row r="199" spans="1:25" x14ac:dyDescent="0.3">
      <c r="A199" t="s">
        <v>66</v>
      </c>
      <c r="B199" t="s">
        <v>68</v>
      </c>
      <c r="C199">
        <v>10</v>
      </c>
      <c r="D199" t="s">
        <v>87</v>
      </c>
      <c r="E199" t="s">
        <v>77</v>
      </c>
      <c r="F199" t="s">
        <v>74</v>
      </c>
      <c r="G199">
        <v>22.206379724731399</v>
      </c>
      <c r="H199">
        <v>2E+20</v>
      </c>
      <c r="I199">
        <v>12.5</v>
      </c>
      <c r="J199">
        <v>24.152940468090399</v>
      </c>
      <c r="K199">
        <v>199</v>
      </c>
      <c r="L199" s="5" t="str">
        <f>DiscreteStatsTable[[#This Row],[ProjectName]]&amp;DiscreteStatsTable[[#This Row],[Name]]&amp;DiscreteStatsTable[[#This Row],[Type]]&amp;DiscreteStatsTable[[#This Row],[Source]]</f>
        <v>Unnamed ProjectMaleta InternacionalTransfer TimeEntity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10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22.240004336080037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0.10870076266182885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7.7759841254417442E-2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22.093830728491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22.3674390933379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12.495157320109101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24.7092274641826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224.5</v>
      </c>
      <c r="W199" s="5">
        <f>IF((DiscreteStatsTable[[#This Row],[RepsRequested]]&gt;1),DiscreteStatsTable[[#This Row],[HalfWidth]],DiscreteStatsTable[[#This Row],[BatchMeansHalfWidth]])</f>
        <v>7.7759841254417442E-2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10</v>
      </c>
      <c r="Y199" s="5">
        <f>IF(DiscreteStatsTable[[#This Row],[RepsRequested]]=DiscreteStatsTable[[#This Row],[RepsWithStatObserved]],1,0)</f>
        <v>1</v>
      </c>
    </row>
    <row r="200" spans="1:25" x14ac:dyDescent="0.3">
      <c r="A200" t="s">
        <v>66</v>
      </c>
      <c r="B200" t="s">
        <v>68</v>
      </c>
      <c r="C200">
        <v>10</v>
      </c>
      <c r="D200" t="s">
        <v>87</v>
      </c>
      <c r="E200" t="s">
        <v>78</v>
      </c>
      <c r="F200" t="s">
        <v>74</v>
      </c>
      <c r="G200">
        <v>3.2771526121185399</v>
      </c>
      <c r="H200">
        <v>2E+20</v>
      </c>
      <c r="I200">
        <v>6.9355279478600096E-4</v>
      </c>
      <c r="J200">
        <v>52.714447853573198</v>
      </c>
      <c r="K200">
        <v>199</v>
      </c>
      <c r="L200" s="5" t="str">
        <f>DiscreteStatsTable[[#This Row],[ProjectName]]&amp;DiscreteStatsTable[[#This Row],[Name]]&amp;DiscreteStatsTable[[#This Row],[Type]]&amp;DiscreteStatsTable[[#This Row],[Source]]</f>
        <v>Unnamed ProjectMaleta InternacionalVA TimeEntity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10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3.080292683880868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0.28309972431314245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0.20251734286579773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2.6200471420642701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3.5971036954125899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6.7622472681705403E-4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72.821351831539602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224.5</v>
      </c>
      <c r="W200" s="5">
        <f>IF((DiscreteStatsTable[[#This Row],[RepsRequested]]&gt;1),DiscreteStatsTable[[#This Row],[HalfWidth]],DiscreteStatsTable[[#This Row],[BatchMeansHalfWidth]])</f>
        <v>0.20251734286579773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10</v>
      </c>
      <c r="Y200" s="5">
        <f>IF(DiscreteStatsTable[[#This Row],[RepsRequested]]=DiscreteStatsTable[[#This Row],[RepsWithStatObserved]],1,0)</f>
        <v>1</v>
      </c>
    </row>
    <row r="201" spans="1:25" x14ac:dyDescent="0.3">
      <c r="A201" t="s">
        <v>66</v>
      </c>
      <c r="B201" t="s">
        <v>68</v>
      </c>
      <c r="C201">
        <v>10</v>
      </c>
      <c r="D201" t="s">
        <v>87</v>
      </c>
      <c r="E201" t="s">
        <v>79</v>
      </c>
      <c r="F201" t="s">
        <v>74</v>
      </c>
      <c r="G201">
        <v>4.95941310790713</v>
      </c>
      <c r="H201">
        <v>2E+20</v>
      </c>
      <c r="I201">
        <v>6.2253620706712802E-2</v>
      </c>
      <c r="J201">
        <v>49.450482064743703</v>
      </c>
      <c r="K201">
        <v>199</v>
      </c>
      <c r="L201" s="5" t="str">
        <f>DiscreteStatsTable[[#This Row],[ProjectName]]&amp;DiscreteStatsTable[[#This Row],[Name]]&amp;DiscreteStatsTable[[#This Row],[Type]]&amp;DiscreteStatsTable[[#This Row],[Source]]</f>
        <v>Unnamed ProjectMaleta InternacionalWait TimeEntity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10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7.9332053575844457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2.2413755170531835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1.6033834549975641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4.95941310790713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12.590607922773099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77.827526023274501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224.5</v>
      </c>
      <c r="W201" s="5">
        <f>IF((DiscreteStatsTable[[#This Row],[RepsRequested]]&gt;1),DiscreteStatsTable[[#This Row],[HalfWidth]],DiscreteStatsTable[[#This Row],[BatchMeansHalfWidth]])</f>
        <v>1.6033834549975641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10</v>
      </c>
      <c r="Y201" s="5">
        <f>IF(DiscreteStatsTable[[#This Row],[RepsRequested]]=DiscreteStatsTable[[#This Row],[RepsWithStatObserved]],1,0)</f>
        <v>1</v>
      </c>
    </row>
    <row r="202" spans="1:25" x14ac:dyDescent="0.3">
      <c r="A202" t="s">
        <v>66</v>
      </c>
      <c r="B202" t="s">
        <v>68</v>
      </c>
      <c r="C202">
        <v>1</v>
      </c>
      <c r="D202" t="s">
        <v>88</v>
      </c>
      <c r="E202" t="s">
        <v>73</v>
      </c>
      <c r="F202" t="s">
        <v>74</v>
      </c>
      <c r="G202">
        <v>0</v>
      </c>
      <c r="H202">
        <v>2E+20</v>
      </c>
      <c r="I202">
        <v>0</v>
      </c>
      <c r="J202">
        <v>0</v>
      </c>
      <c r="K202">
        <v>162</v>
      </c>
      <c r="L202" s="5" t="str">
        <f>DiscreteStatsTable[[#This Row],[ProjectName]]&amp;DiscreteStatsTable[[#This Row],[Name]]&amp;DiscreteStatsTable[[#This Row],[Type]]&amp;DiscreteStatsTable[[#This Row],[Source]]</f>
        <v>Unnamed ProjectMaleta NacionalNVA TimeEntity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10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0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0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0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0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0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159.1</v>
      </c>
      <c r="W202" s="5">
        <f>IF((DiscreteStatsTable[[#This Row],[RepsRequested]]&gt;1),DiscreteStatsTable[[#This Row],[HalfWidth]],DiscreteStatsTable[[#This Row],[BatchMeansHalfWidth]])</f>
        <v>0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10</v>
      </c>
      <c r="Y202" s="5">
        <f>IF(DiscreteStatsTable[[#This Row],[RepsRequested]]=DiscreteStatsTable[[#This Row],[RepsWithStatObserved]],1,0)</f>
        <v>1</v>
      </c>
    </row>
    <row r="203" spans="1:25" x14ac:dyDescent="0.3">
      <c r="A203" t="s">
        <v>66</v>
      </c>
      <c r="B203" t="s">
        <v>68</v>
      </c>
      <c r="C203">
        <v>1</v>
      </c>
      <c r="D203" t="s">
        <v>88</v>
      </c>
      <c r="E203" t="s">
        <v>75</v>
      </c>
      <c r="F203" t="s">
        <v>74</v>
      </c>
      <c r="G203">
        <v>0</v>
      </c>
      <c r="H203">
        <v>2E+20</v>
      </c>
      <c r="I203">
        <v>0</v>
      </c>
      <c r="J203">
        <v>0</v>
      </c>
      <c r="K203">
        <v>162</v>
      </c>
      <c r="L203" s="5" t="str">
        <f>DiscreteStatsTable[[#This Row],[ProjectName]]&amp;DiscreteStatsTable[[#This Row],[Name]]&amp;DiscreteStatsTable[[#This Row],[Type]]&amp;DiscreteStatsTable[[#This Row],[Source]]</f>
        <v>Unnamed ProjectMaleta NacionalOther TimeEntity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10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0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0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0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0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0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159.1</v>
      </c>
      <c r="W203" s="5">
        <f>IF((DiscreteStatsTable[[#This Row],[RepsRequested]]&gt;1),DiscreteStatsTable[[#This Row],[HalfWidth]],DiscreteStatsTable[[#This Row],[BatchMeansHalfWidth]])</f>
        <v>0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10</v>
      </c>
      <c r="Y203" s="5">
        <f>IF(DiscreteStatsTable[[#This Row],[RepsRequested]]=DiscreteStatsTable[[#This Row],[RepsWithStatObserved]],1,0)</f>
        <v>1</v>
      </c>
    </row>
    <row r="204" spans="1:25" x14ac:dyDescent="0.3">
      <c r="A204" t="s">
        <v>66</v>
      </c>
      <c r="B204" t="s">
        <v>68</v>
      </c>
      <c r="C204">
        <v>1</v>
      </c>
      <c r="D204" t="s">
        <v>88</v>
      </c>
      <c r="E204" t="s">
        <v>76</v>
      </c>
      <c r="F204" t="s">
        <v>74</v>
      </c>
      <c r="G204">
        <v>9.8624291351379192</v>
      </c>
      <c r="H204">
        <v>2E+20</v>
      </c>
      <c r="I204">
        <v>7.7116398606970504</v>
      </c>
      <c r="J204">
        <v>16.4818218170881</v>
      </c>
      <c r="K204">
        <v>162</v>
      </c>
      <c r="L204" s="5" t="str">
        <f>DiscreteStatsTable[[#This Row],[ProjectName]]&amp;DiscreteStatsTable[[#This Row],[Name]]&amp;DiscreteStatsTable[[#This Row],[Type]]&amp;DiscreteStatsTable[[#This Row],[Source]]</f>
        <v>Unnamed ProjectMaleta NacionalTotal TimeEntity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10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10.155322958912489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0.33418682093278973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0.23906285023865298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9.5096808134995996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10.541225271035399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6.3921838050257502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33.212781474357499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159.1</v>
      </c>
      <c r="W204" s="5">
        <f>IF((DiscreteStatsTable[[#This Row],[RepsRequested]]&gt;1),DiscreteStatsTable[[#This Row],[HalfWidth]],DiscreteStatsTable[[#This Row],[BatchMeansHalfWidth]])</f>
        <v>0.23906285023865298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10</v>
      </c>
      <c r="Y204" s="5">
        <f>IF(DiscreteStatsTable[[#This Row],[RepsRequested]]=DiscreteStatsTable[[#This Row],[RepsWithStatObserved]],1,0)</f>
        <v>1</v>
      </c>
    </row>
    <row r="205" spans="1:25" x14ac:dyDescent="0.3">
      <c r="A205" t="s">
        <v>66</v>
      </c>
      <c r="B205" t="s">
        <v>68</v>
      </c>
      <c r="C205">
        <v>1</v>
      </c>
      <c r="D205" t="s">
        <v>88</v>
      </c>
      <c r="E205" t="s">
        <v>77</v>
      </c>
      <c r="F205" t="s">
        <v>74</v>
      </c>
      <c r="G205">
        <v>7.6972488756836404</v>
      </c>
      <c r="H205">
        <v>2E+20</v>
      </c>
      <c r="I205">
        <v>7.5003223244842703</v>
      </c>
      <c r="J205">
        <v>8.6969623334451303</v>
      </c>
      <c r="K205">
        <v>162</v>
      </c>
      <c r="L205" s="5" t="str">
        <f>DiscreteStatsTable[[#This Row],[ProjectName]]&amp;DiscreteStatsTable[[#This Row],[Name]]&amp;DiscreteStatsTable[[#This Row],[Type]]&amp;DiscreteStatsTable[[#This Row],[Source]]</f>
        <v>Unnamed ProjectMaleta NacionalTransfer TimeEntity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10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7.6753288500844494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3.9746429823300011E-2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2.8432883061776049E-2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7.6171173934620997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7.7465011776556301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4.9973602639356596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10.3780432567189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159.1</v>
      </c>
      <c r="W205" s="5">
        <f>IF((DiscreteStatsTable[[#This Row],[RepsRequested]]&gt;1),DiscreteStatsTable[[#This Row],[HalfWidth]],DiscreteStatsTable[[#This Row],[BatchMeansHalfWidth]])</f>
        <v>2.8432883061776049E-2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10</v>
      </c>
      <c r="Y205" s="5">
        <f>IF(DiscreteStatsTable[[#This Row],[RepsRequested]]=DiscreteStatsTable[[#This Row],[RepsWithStatObserved]],1,0)</f>
        <v>1</v>
      </c>
    </row>
    <row r="206" spans="1:25" x14ac:dyDescent="0.3">
      <c r="A206" t="s">
        <v>66</v>
      </c>
      <c r="B206" t="s">
        <v>68</v>
      </c>
      <c r="C206">
        <v>1</v>
      </c>
      <c r="D206" t="s">
        <v>88</v>
      </c>
      <c r="E206" t="s">
        <v>78</v>
      </c>
      <c r="F206" t="s">
        <v>74</v>
      </c>
      <c r="G206">
        <v>1.09575610875596</v>
      </c>
      <c r="H206">
        <v>2E+20</v>
      </c>
      <c r="I206">
        <v>3.2627248679943902E-3</v>
      </c>
      <c r="J206">
        <v>6.6255173495391899</v>
      </c>
      <c r="K206">
        <v>162</v>
      </c>
      <c r="L206" s="5" t="str">
        <f>DiscreteStatsTable[[#This Row],[ProjectName]]&amp;DiscreteStatsTable[[#This Row],[Name]]&amp;DiscreteStatsTable[[#This Row],[Type]]&amp;DiscreteStatsTable[[#This Row],[Source]]</f>
        <v>Unnamed ProjectMaleta NacionalVA TimeEntity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10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1.1970866370450852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0.16160338579426173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0.11560409805616673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0.93154168311307295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1.4326343791811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3.5780155263864799E-4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27.4453656088955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159.1</v>
      </c>
      <c r="W206" s="5">
        <f>IF((DiscreteStatsTable[[#This Row],[RepsRequested]]&gt;1),DiscreteStatsTable[[#This Row],[HalfWidth]],DiscreteStatsTable[[#This Row],[BatchMeansHalfWidth]])</f>
        <v>0.11560409805616673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10</v>
      </c>
      <c r="Y206" s="5">
        <f>IF(DiscreteStatsTable[[#This Row],[RepsRequested]]=DiscreteStatsTable[[#This Row],[RepsWithStatObserved]],1,0)</f>
        <v>1</v>
      </c>
    </row>
    <row r="207" spans="1:25" x14ac:dyDescent="0.3">
      <c r="A207" t="s">
        <v>66</v>
      </c>
      <c r="B207" t="s">
        <v>68</v>
      </c>
      <c r="C207">
        <v>1</v>
      </c>
      <c r="D207" t="s">
        <v>88</v>
      </c>
      <c r="E207" t="s">
        <v>79</v>
      </c>
      <c r="F207" t="s">
        <v>74</v>
      </c>
      <c r="G207">
        <v>1.06942415069832</v>
      </c>
      <c r="H207">
        <v>2E+20</v>
      </c>
      <c r="I207">
        <v>0</v>
      </c>
      <c r="J207">
        <v>5.0314222489164102</v>
      </c>
      <c r="K207">
        <v>162</v>
      </c>
      <c r="L207" s="5" t="str">
        <f>DiscreteStatsTable[[#This Row],[ProjectName]]&amp;DiscreteStatsTable[[#This Row],[Name]]&amp;DiscreteStatsTable[[#This Row],[Type]]&amp;DiscreteStatsTable[[#This Row],[Source]]</f>
        <v>Unnamed ProjectMaleta NacionalWait TimeEntity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10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1.2829074717829589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0.19900819614524773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0.14236188745726755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0.93034835796656001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1.5005499568751099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10.9519173465048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159.1</v>
      </c>
      <c r="W207" s="5">
        <f>IF((DiscreteStatsTable[[#This Row],[RepsRequested]]&gt;1),DiscreteStatsTable[[#This Row],[HalfWidth]],DiscreteStatsTable[[#This Row],[BatchMeansHalfWidth]])</f>
        <v>0.14236188745726755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10</v>
      </c>
      <c r="Y207" s="5">
        <f>IF(DiscreteStatsTable[[#This Row],[RepsRequested]]=DiscreteStatsTable[[#This Row],[RepsWithStatObserved]],1,0)</f>
        <v>1</v>
      </c>
    </row>
    <row r="208" spans="1:25" x14ac:dyDescent="0.3">
      <c r="A208" t="s">
        <v>66</v>
      </c>
      <c r="B208" t="s">
        <v>68</v>
      </c>
      <c r="C208">
        <v>2</v>
      </c>
      <c r="D208" t="s">
        <v>88</v>
      </c>
      <c r="E208" t="s">
        <v>73</v>
      </c>
      <c r="F208" t="s">
        <v>74</v>
      </c>
      <c r="G208">
        <v>0</v>
      </c>
      <c r="H208">
        <v>2E+20</v>
      </c>
      <c r="I208">
        <v>0</v>
      </c>
      <c r="J208">
        <v>0</v>
      </c>
      <c r="K208">
        <v>145</v>
      </c>
      <c r="L208" s="5" t="str">
        <f>DiscreteStatsTable[[#This Row],[ProjectName]]&amp;DiscreteStatsTable[[#This Row],[Name]]&amp;DiscreteStatsTable[[#This Row],[Type]]&amp;DiscreteStatsTable[[#This Row],[Source]]</f>
        <v>Unnamed ProjectMaleta NacionalNVA TimeEntity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10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0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0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0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0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0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159.1</v>
      </c>
      <c r="W208" s="5">
        <f>IF((DiscreteStatsTable[[#This Row],[RepsRequested]]&gt;1),DiscreteStatsTable[[#This Row],[HalfWidth]],DiscreteStatsTable[[#This Row],[BatchMeansHalfWidth]])</f>
        <v>0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10</v>
      </c>
      <c r="Y208" s="5">
        <f>IF(DiscreteStatsTable[[#This Row],[RepsRequested]]=DiscreteStatsTable[[#This Row],[RepsWithStatObserved]],1,0)</f>
        <v>1</v>
      </c>
    </row>
    <row r="209" spans="1:25" x14ac:dyDescent="0.3">
      <c r="A209" t="s">
        <v>66</v>
      </c>
      <c r="B209" t="s">
        <v>68</v>
      </c>
      <c r="C209">
        <v>2</v>
      </c>
      <c r="D209" t="s">
        <v>88</v>
      </c>
      <c r="E209" t="s">
        <v>75</v>
      </c>
      <c r="F209" t="s">
        <v>74</v>
      </c>
      <c r="G209">
        <v>0</v>
      </c>
      <c r="H209">
        <v>2E+20</v>
      </c>
      <c r="I209">
        <v>0</v>
      </c>
      <c r="J209">
        <v>0</v>
      </c>
      <c r="K209">
        <v>145</v>
      </c>
      <c r="L209" s="5" t="str">
        <f>DiscreteStatsTable[[#This Row],[ProjectName]]&amp;DiscreteStatsTable[[#This Row],[Name]]&amp;DiscreteStatsTable[[#This Row],[Type]]&amp;DiscreteStatsTable[[#This Row],[Source]]</f>
        <v>Unnamed ProjectMaleta NacionalOther TimeEntity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10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0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0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0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0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0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159.1</v>
      </c>
      <c r="W209" s="5">
        <f>IF((DiscreteStatsTable[[#This Row],[RepsRequested]]&gt;1),DiscreteStatsTable[[#This Row],[HalfWidth]],DiscreteStatsTable[[#This Row],[BatchMeansHalfWidth]])</f>
        <v>0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10</v>
      </c>
      <c r="Y209" s="5">
        <f>IF(DiscreteStatsTable[[#This Row],[RepsRequested]]=DiscreteStatsTable[[#This Row],[RepsWithStatObserved]],1,0)</f>
        <v>1</v>
      </c>
    </row>
    <row r="210" spans="1:25" x14ac:dyDescent="0.3">
      <c r="A210" t="s">
        <v>66</v>
      </c>
      <c r="B210" t="s">
        <v>68</v>
      </c>
      <c r="C210">
        <v>2</v>
      </c>
      <c r="D210" t="s">
        <v>88</v>
      </c>
      <c r="E210" t="s">
        <v>76</v>
      </c>
      <c r="F210" t="s">
        <v>74</v>
      </c>
      <c r="G210">
        <v>10.541225271035399</v>
      </c>
      <c r="H210">
        <v>2E+20</v>
      </c>
      <c r="I210">
        <v>7.8697956898286101</v>
      </c>
      <c r="J210">
        <v>27.301493515526801</v>
      </c>
      <c r="K210">
        <v>145</v>
      </c>
      <c r="L210" s="5" t="str">
        <f>DiscreteStatsTable[[#This Row],[ProjectName]]&amp;DiscreteStatsTable[[#This Row],[Name]]&amp;DiscreteStatsTable[[#This Row],[Type]]&amp;DiscreteStatsTable[[#This Row],[Source]]</f>
        <v>Unnamed ProjectMaleta NacionalTotal TimeEntity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10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10.155322958912489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0.33418682093278973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0.23906285023865298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9.5096808134995996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10.541225271035399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6.3921838050257502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33.212781474357499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159.1</v>
      </c>
      <c r="W210" s="5">
        <f>IF((DiscreteStatsTable[[#This Row],[RepsRequested]]&gt;1),DiscreteStatsTable[[#This Row],[HalfWidth]],DiscreteStatsTable[[#This Row],[BatchMeansHalfWidth]])</f>
        <v>0.23906285023865298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10</v>
      </c>
      <c r="Y210" s="5">
        <f>IF(DiscreteStatsTable[[#This Row],[RepsRequested]]=DiscreteStatsTable[[#This Row],[RepsWithStatObserved]],1,0)</f>
        <v>1</v>
      </c>
    </row>
    <row r="211" spans="1:25" x14ac:dyDescent="0.3">
      <c r="A211" t="s">
        <v>66</v>
      </c>
      <c r="B211" t="s">
        <v>68</v>
      </c>
      <c r="C211">
        <v>2</v>
      </c>
      <c r="D211" t="s">
        <v>88</v>
      </c>
      <c r="E211" t="s">
        <v>77</v>
      </c>
      <c r="F211" t="s">
        <v>74</v>
      </c>
      <c r="G211">
        <v>7.6767120414845804</v>
      </c>
      <c r="H211">
        <v>2E+20</v>
      </c>
      <c r="I211">
        <v>4.9999853086672799</v>
      </c>
      <c r="J211">
        <v>8.7385482137278796</v>
      </c>
      <c r="K211">
        <v>145</v>
      </c>
      <c r="L211" s="5" t="str">
        <f>DiscreteStatsTable[[#This Row],[ProjectName]]&amp;DiscreteStatsTable[[#This Row],[Name]]&amp;DiscreteStatsTable[[#This Row],[Type]]&amp;DiscreteStatsTable[[#This Row],[Source]]</f>
        <v>Unnamed ProjectMaleta NacionalTransfer TimeEntity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10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7.6753288500844494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3.9746429823300011E-2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2.8432883061776049E-2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7.6171173934620997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7.7465011776556301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4.9973602639356596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10.3780432567189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159.1</v>
      </c>
      <c r="W211" s="5">
        <f>IF((DiscreteStatsTable[[#This Row],[RepsRequested]]&gt;1),DiscreteStatsTable[[#This Row],[HalfWidth]],DiscreteStatsTable[[#This Row],[BatchMeansHalfWidth]])</f>
        <v>2.8432883061776049E-2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10</v>
      </c>
      <c r="Y211" s="5">
        <f>IF(DiscreteStatsTable[[#This Row],[RepsRequested]]=DiscreteStatsTable[[#This Row],[RepsWithStatObserved]],1,0)</f>
        <v>1</v>
      </c>
    </row>
    <row r="212" spans="1:25" x14ac:dyDescent="0.3">
      <c r="A212" t="s">
        <v>66</v>
      </c>
      <c r="B212" t="s">
        <v>68</v>
      </c>
      <c r="C212">
        <v>2</v>
      </c>
      <c r="D212" t="s">
        <v>88</v>
      </c>
      <c r="E212" t="s">
        <v>78</v>
      </c>
      <c r="F212" t="s">
        <v>74</v>
      </c>
      <c r="G212">
        <v>1.4326343791811</v>
      </c>
      <c r="H212">
        <v>2E+20</v>
      </c>
      <c r="I212">
        <v>8.8507564251472104E-4</v>
      </c>
      <c r="J212">
        <v>14.339061477967</v>
      </c>
      <c r="K212">
        <v>145</v>
      </c>
      <c r="L212" s="5" t="str">
        <f>DiscreteStatsTable[[#This Row],[ProjectName]]&amp;DiscreteStatsTable[[#This Row],[Name]]&amp;DiscreteStatsTable[[#This Row],[Type]]&amp;DiscreteStatsTable[[#This Row],[Source]]</f>
        <v>Unnamed ProjectMaleta NacionalVA TimeEntity</v>
      </c>
      <c r="M212" s="5" cm="1">
        <f t="array" ref="M212">MAX(IF((ProjectInfoTable[ProjectName]=DiscreteStatsTable[[#This Row],[ProjectName]]),(ProjectInfoTable[ProjectName]=DiscreteStatsTable[[#This Row],[ProjectName]])*ProjectInfoTable[NumberOfReplications]))</f>
        <v>10</v>
      </c>
      <c r="N212" s="5" cm="1">
        <f t="array" ref="N212">IFERROR(AVERAGE(IF((DiscreteStatsTable[GroupByKey]=DiscreteStatsTable[[#This Row],[GroupByKey]]),(DiscreteStatsTable[GroupByKey]=DiscreteStatsTable[[#This Row],[GroupByKey]])*DiscreteStatsTable[Average])),0)</f>
        <v>1.1970866370450852</v>
      </c>
      <c r="O212" s="5" cm="1">
        <f t="array" ref="O212">IFERROR(_xlfn.STDEV.S(IF((DiscreteStatsTable[GroupByKey]=DiscreteStatsTable[[#This Row],[GroupByKey]]),(DiscreteStatsTable[GroupByKey]=DiscreteStatsTable[[#This Row],[GroupByKey]])*DiscreteStatsTable[Average])),0)</f>
        <v>0.16160338579426173</v>
      </c>
      <c r="P212" s="5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 s="5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0.11560409805616673</v>
      </c>
      <c r="R212" s="5" cm="1">
        <f t="array" ref="R212">MIN(IF((DiscreteStatsTable[GroupByKey]=DiscreteStatsTable[[#This Row],[GroupByKey]]),(DiscreteStatsTable[GroupByKey]=DiscreteStatsTable[[#This Row],[GroupByKey]])*DiscreteStatsTable[Average]))</f>
        <v>0.93154168311307295</v>
      </c>
      <c r="S212" s="5" cm="1">
        <f t="array" ref="S212">MAX(IF((DiscreteStatsTable[GroupByKey]=DiscreteStatsTable[[#This Row],[GroupByKey]]),(DiscreteStatsTable[GroupByKey]=DiscreteStatsTable[[#This Row],[GroupByKey]])*DiscreteStatsTable[Average]))</f>
        <v>1.4326343791811</v>
      </c>
      <c r="T212" s="5" cm="1">
        <f t="array" ref="T212">MIN(IF((DiscreteStatsTable[GroupByKey]=DiscreteStatsTable[[#This Row],[GroupByKey]]),(DiscreteStatsTable[GroupByKey]=DiscreteStatsTable[[#This Row],[GroupByKey]])*DiscreteStatsTable[Minimum]))</f>
        <v>3.5780155263864799E-4</v>
      </c>
      <c r="U212" s="5" cm="1">
        <f t="array" ref="U212">MAX(IF((DiscreteStatsTable[GroupByKey]=DiscreteStatsTable[[#This Row],[GroupByKey]]),(DiscreteStatsTable[GroupByKey]=DiscreteStatsTable[[#This Row],[GroupByKey]])*DiscreteStatsTable[Maximum]))</f>
        <v>27.4453656088955</v>
      </c>
      <c r="V212" s="5" cm="1">
        <f t="array" ref="V212">IFERROR(AVERAGE(IF((DiscreteStatsTable[GroupByKey]=DiscreteStatsTable[[#This Row],[GroupByKey]]),(DiscreteStatsTable[GroupByKey]=DiscreteStatsTable[[#This Row],[GroupByKey]])*DiscreteStatsTable[NumberObservations])),0)</f>
        <v>159.1</v>
      </c>
      <c r="W212" s="5">
        <f>IF((DiscreteStatsTable[[#This Row],[RepsRequested]]&gt;1),DiscreteStatsTable[[#This Row],[HalfWidth]],DiscreteStatsTable[[#This Row],[BatchMeansHalfWidth]])</f>
        <v>0.11560409805616673</v>
      </c>
      <c r="X212" s="5" cm="1">
        <f t="array" ref="X212">COUNT(IF((DiscreteStatsTable[GroupByKey]=DiscreteStatsTable[[#This Row],[GroupByKey]]),(DiscreteStatsTable[GroupByKey]=DiscreteStatsTable[[#This Row],[GroupByKey]])*DiscreteStatsTable[Replication]))</f>
        <v>10</v>
      </c>
      <c r="Y212" s="5">
        <f>IF(DiscreteStatsTable[[#This Row],[RepsRequested]]=DiscreteStatsTable[[#This Row],[RepsWithStatObserved]],1,0)</f>
        <v>1</v>
      </c>
    </row>
    <row r="213" spans="1:25" x14ac:dyDescent="0.3">
      <c r="A213" t="s">
        <v>66</v>
      </c>
      <c r="B213" t="s">
        <v>68</v>
      </c>
      <c r="C213">
        <v>2</v>
      </c>
      <c r="D213" t="s">
        <v>88</v>
      </c>
      <c r="E213" t="s">
        <v>79</v>
      </c>
      <c r="F213" t="s">
        <v>74</v>
      </c>
      <c r="G213">
        <v>1.4318788503697499</v>
      </c>
      <c r="H213">
        <v>2E+20</v>
      </c>
      <c r="I213">
        <v>0</v>
      </c>
      <c r="J213">
        <v>8.8218365151187808</v>
      </c>
      <c r="K213">
        <v>145</v>
      </c>
      <c r="L213" s="5" t="str">
        <f>DiscreteStatsTable[[#This Row],[ProjectName]]&amp;DiscreteStatsTable[[#This Row],[Name]]&amp;DiscreteStatsTable[[#This Row],[Type]]&amp;DiscreteStatsTable[[#This Row],[Source]]</f>
        <v>Unnamed ProjectMaleta NacionalWait TimeEntity</v>
      </c>
      <c r="M213" s="5" cm="1">
        <f t="array" ref="M213">MAX(IF((ProjectInfoTable[ProjectName]=DiscreteStatsTable[[#This Row],[ProjectName]]),(ProjectInfoTable[ProjectName]=DiscreteStatsTable[[#This Row],[ProjectName]])*ProjectInfoTable[NumberOfReplications]))</f>
        <v>10</v>
      </c>
      <c r="N213" s="5" cm="1">
        <f t="array" ref="N213">IFERROR(AVERAGE(IF((DiscreteStatsTable[GroupByKey]=DiscreteStatsTable[[#This Row],[GroupByKey]]),(DiscreteStatsTable[GroupByKey]=DiscreteStatsTable[[#This Row],[GroupByKey]])*DiscreteStatsTable[Average])),0)</f>
        <v>1.2829074717829589</v>
      </c>
      <c r="O213" s="5" cm="1">
        <f t="array" ref="O213">IFERROR(_xlfn.STDEV.S(IF((DiscreteStatsTable[GroupByKey]=DiscreteStatsTable[[#This Row],[GroupByKey]]),(DiscreteStatsTable[GroupByKey]=DiscreteStatsTable[[#This Row],[GroupByKey]])*DiscreteStatsTable[Average])),0)</f>
        <v>0.19900819614524773</v>
      </c>
      <c r="P213" s="5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 s="5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0.14236188745726755</v>
      </c>
      <c r="R213" s="5" cm="1">
        <f t="array" ref="R213">MIN(IF((DiscreteStatsTable[GroupByKey]=DiscreteStatsTable[[#This Row],[GroupByKey]]),(DiscreteStatsTable[GroupByKey]=DiscreteStatsTable[[#This Row],[GroupByKey]])*DiscreteStatsTable[Average]))</f>
        <v>0.93034835796656001</v>
      </c>
      <c r="S213" s="5" cm="1">
        <f t="array" ref="S213">MAX(IF((DiscreteStatsTable[GroupByKey]=DiscreteStatsTable[[#This Row],[GroupByKey]]),(DiscreteStatsTable[GroupByKey]=DiscreteStatsTable[[#This Row],[GroupByKey]])*DiscreteStatsTable[Average]))</f>
        <v>1.5005499568751099</v>
      </c>
      <c r="T213" s="5" cm="1">
        <f t="array" ref="T213">MIN(IF((DiscreteStatsTable[GroupByKey]=DiscreteStatsTable[[#This Row],[GroupByKey]]),(DiscreteStatsTable[GroupByKey]=DiscreteStatsTable[[#This Row],[GroupByKey]])*DiscreteStatsTable[Minimum]))</f>
        <v>0</v>
      </c>
      <c r="U213" s="5" cm="1">
        <f t="array" ref="U213">MAX(IF((DiscreteStatsTable[GroupByKey]=DiscreteStatsTable[[#This Row],[GroupByKey]]),(DiscreteStatsTable[GroupByKey]=DiscreteStatsTable[[#This Row],[GroupByKey]])*DiscreteStatsTable[Maximum]))</f>
        <v>10.9519173465048</v>
      </c>
      <c r="V213" s="5" cm="1">
        <f t="array" ref="V213">IFERROR(AVERAGE(IF((DiscreteStatsTable[GroupByKey]=DiscreteStatsTable[[#This Row],[GroupByKey]]),(DiscreteStatsTable[GroupByKey]=DiscreteStatsTable[[#This Row],[GroupByKey]])*DiscreteStatsTable[NumberObservations])),0)</f>
        <v>159.1</v>
      </c>
      <c r="W213" s="5">
        <f>IF((DiscreteStatsTable[[#This Row],[RepsRequested]]&gt;1),DiscreteStatsTable[[#This Row],[HalfWidth]],DiscreteStatsTable[[#This Row],[BatchMeansHalfWidth]])</f>
        <v>0.14236188745726755</v>
      </c>
      <c r="X213" s="5" cm="1">
        <f t="array" ref="X213">COUNT(IF((DiscreteStatsTable[GroupByKey]=DiscreteStatsTable[[#This Row],[GroupByKey]]),(DiscreteStatsTable[GroupByKey]=DiscreteStatsTable[[#This Row],[GroupByKey]])*DiscreteStatsTable[Replication]))</f>
        <v>10</v>
      </c>
      <c r="Y213" s="5">
        <f>IF(DiscreteStatsTable[[#This Row],[RepsRequested]]=DiscreteStatsTable[[#This Row],[RepsWithStatObserved]],1,0)</f>
        <v>1</v>
      </c>
    </row>
    <row r="214" spans="1:25" x14ac:dyDescent="0.3">
      <c r="A214" t="s">
        <v>66</v>
      </c>
      <c r="B214" t="s">
        <v>68</v>
      </c>
      <c r="C214">
        <v>3</v>
      </c>
      <c r="D214" t="s">
        <v>88</v>
      </c>
      <c r="E214" t="s">
        <v>73</v>
      </c>
      <c r="F214" t="s">
        <v>74</v>
      </c>
      <c r="G214">
        <v>0</v>
      </c>
      <c r="H214">
        <v>2E+20</v>
      </c>
      <c r="I214">
        <v>0</v>
      </c>
      <c r="J214">
        <v>0</v>
      </c>
      <c r="K214">
        <v>153</v>
      </c>
      <c r="L214" s="5" t="str">
        <f>DiscreteStatsTable[[#This Row],[ProjectName]]&amp;DiscreteStatsTable[[#This Row],[Name]]&amp;DiscreteStatsTable[[#This Row],[Type]]&amp;DiscreteStatsTable[[#This Row],[Source]]</f>
        <v>Unnamed ProjectMaleta NacionalNVA TimeEntity</v>
      </c>
      <c r="M214" s="5" cm="1">
        <f t="array" ref="M214">MAX(IF((ProjectInfoTable[ProjectName]=DiscreteStatsTable[[#This Row],[ProjectName]]),(ProjectInfoTable[ProjectName]=DiscreteStatsTable[[#This Row],[ProjectName]])*ProjectInfoTable[NumberOfReplications]))</f>
        <v>10</v>
      </c>
      <c r="N214" s="5" cm="1">
        <f t="array" ref="N214">IFERROR(AVERAGE(IF((DiscreteStatsTable[GroupByKey]=DiscreteStatsTable[[#This Row],[GroupByKey]]),(DiscreteStatsTable[GroupByKey]=DiscreteStatsTable[[#This Row],[GroupByKey]])*DiscreteStatsTable[Average])),0)</f>
        <v>0</v>
      </c>
      <c r="O214" s="5" cm="1">
        <f t="array" ref="O214">IFERROR(_xlfn.STDEV.S(IF((DiscreteStatsTable[GroupByKey]=DiscreteStatsTable[[#This Row],[GroupByKey]]),(DiscreteStatsTable[GroupByKey]=DiscreteStatsTable[[#This Row],[GroupByKey]])*DiscreteStatsTable[Average])),0)</f>
        <v>0</v>
      </c>
      <c r="P214" s="5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 s="5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4" s="5" cm="1">
        <f t="array" ref="R214">MIN(IF((DiscreteStatsTable[GroupByKey]=DiscreteStatsTable[[#This Row],[GroupByKey]]),(DiscreteStatsTable[GroupByKey]=DiscreteStatsTable[[#This Row],[GroupByKey]])*DiscreteStatsTable[Average]))</f>
        <v>0</v>
      </c>
      <c r="S214" s="5" cm="1">
        <f t="array" ref="S214">MAX(IF((DiscreteStatsTable[GroupByKey]=DiscreteStatsTable[[#This Row],[GroupByKey]]),(DiscreteStatsTable[GroupByKey]=DiscreteStatsTable[[#This Row],[GroupByKey]])*DiscreteStatsTable[Average]))</f>
        <v>0</v>
      </c>
      <c r="T214" s="5" cm="1">
        <f t="array" ref="T214">MIN(IF((DiscreteStatsTable[GroupByKey]=DiscreteStatsTable[[#This Row],[GroupByKey]]),(DiscreteStatsTable[GroupByKey]=DiscreteStatsTable[[#This Row],[GroupByKey]])*DiscreteStatsTable[Minimum]))</f>
        <v>0</v>
      </c>
      <c r="U214" s="5" cm="1">
        <f t="array" ref="U214">MAX(IF((DiscreteStatsTable[GroupByKey]=DiscreteStatsTable[[#This Row],[GroupByKey]]),(DiscreteStatsTable[GroupByKey]=DiscreteStatsTable[[#This Row],[GroupByKey]])*DiscreteStatsTable[Maximum]))</f>
        <v>0</v>
      </c>
      <c r="V214" s="5" cm="1">
        <f t="array" ref="V214">IFERROR(AVERAGE(IF((DiscreteStatsTable[GroupByKey]=DiscreteStatsTable[[#This Row],[GroupByKey]]),(DiscreteStatsTable[GroupByKey]=DiscreteStatsTable[[#This Row],[GroupByKey]])*DiscreteStatsTable[NumberObservations])),0)</f>
        <v>159.1</v>
      </c>
      <c r="W214" s="5">
        <f>IF((DiscreteStatsTable[[#This Row],[RepsRequested]]&gt;1),DiscreteStatsTable[[#This Row],[HalfWidth]],DiscreteStatsTable[[#This Row],[BatchMeansHalfWidth]])</f>
        <v>0</v>
      </c>
      <c r="X214" s="5" cm="1">
        <f t="array" ref="X214">COUNT(IF((DiscreteStatsTable[GroupByKey]=DiscreteStatsTable[[#This Row],[GroupByKey]]),(DiscreteStatsTable[GroupByKey]=DiscreteStatsTable[[#This Row],[GroupByKey]])*DiscreteStatsTable[Replication]))</f>
        <v>10</v>
      </c>
      <c r="Y214" s="5">
        <f>IF(DiscreteStatsTable[[#This Row],[RepsRequested]]=DiscreteStatsTable[[#This Row],[RepsWithStatObserved]],1,0)</f>
        <v>1</v>
      </c>
    </row>
    <row r="215" spans="1:25" x14ac:dyDescent="0.3">
      <c r="A215" t="s">
        <v>66</v>
      </c>
      <c r="B215" t="s">
        <v>68</v>
      </c>
      <c r="C215">
        <v>3</v>
      </c>
      <c r="D215" t="s">
        <v>88</v>
      </c>
      <c r="E215" t="s">
        <v>75</v>
      </c>
      <c r="F215" t="s">
        <v>74</v>
      </c>
      <c r="G215">
        <v>0</v>
      </c>
      <c r="H215">
        <v>2E+20</v>
      </c>
      <c r="I215">
        <v>0</v>
      </c>
      <c r="J215">
        <v>0</v>
      </c>
      <c r="K215">
        <v>153</v>
      </c>
      <c r="L215" s="5" t="str">
        <f>DiscreteStatsTable[[#This Row],[ProjectName]]&amp;DiscreteStatsTable[[#This Row],[Name]]&amp;DiscreteStatsTable[[#This Row],[Type]]&amp;DiscreteStatsTable[[#This Row],[Source]]</f>
        <v>Unnamed ProjectMaleta NacionalOther TimeEntity</v>
      </c>
      <c r="M215" s="5" cm="1">
        <f t="array" ref="M215">MAX(IF((ProjectInfoTable[ProjectName]=DiscreteStatsTable[[#This Row],[ProjectName]]),(ProjectInfoTable[ProjectName]=DiscreteStatsTable[[#This Row],[ProjectName]])*ProjectInfoTable[NumberOfReplications]))</f>
        <v>10</v>
      </c>
      <c r="N215" s="5" cm="1">
        <f t="array" ref="N215">IFERROR(AVERAGE(IF((DiscreteStatsTable[GroupByKey]=DiscreteStatsTable[[#This Row],[GroupByKey]]),(DiscreteStatsTable[GroupByKey]=DiscreteStatsTable[[#This Row],[GroupByKey]])*DiscreteStatsTable[Average])),0)</f>
        <v>0</v>
      </c>
      <c r="O215" s="5" cm="1">
        <f t="array" ref="O215">IFERROR(_xlfn.STDEV.S(IF((DiscreteStatsTable[GroupByKey]=DiscreteStatsTable[[#This Row],[GroupByKey]]),(DiscreteStatsTable[GroupByKey]=DiscreteStatsTable[[#This Row],[GroupByKey]])*DiscreteStatsTable[Average])),0)</f>
        <v>0</v>
      </c>
      <c r="P215" s="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 s="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5" s="5" cm="1">
        <f t="array" ref="R215">MIN(IF((DiscreteStatsTable[GroupByKey]=DiscreteStatsTable[[#This Row],[GroupByKey]]),(DiscreteStatsTable[GroupByKey]=DiscreteStatsTable[[#This Row],[GroupByKey]])*DiscreteStatsTable[Average]))</f>
        <v>0</v>
      </c>
      <c r="S215" s="5" cm="1">
        <f t="array" ref="S215">MAX(IF((DiscreteStatsTable[GroupByKey]=DiscreteStatsTable[[#This Row],[GroupByKey]]),(DiscreteStatsTable[GroupByKey]=DiscreteStatsTable[[#This Row],[GroupByKey]])*DiscreteStatsTable[Average]))</f>
        <v>0</v>
      </c>
      <c r="T215" s="5" cm="1">
        <f t="array" ref="T215">MIN(IF((DiscreteStatsTable[GroupByKey]=DiscreteStatsTable[[#This Row],[GroupByKey]]),(DiscreteStatsTable[GroupByKey]=DiscreteStatsTable[[#This Row],[GroupByKey]])*DiscreteStatsTable[Minimum]))</f>
        <v>0</v>
      </c>
      <c r="U215" s="5" cm="1">
        <f t="array" ref="U215">MAX(IF((DiscreteStatsTable[GroupByKey]=DiscreteStatsTable[[#This Row],[GroupByKey]]),(DiscreteStatsTable[GroupByKey]=DiscreteStatsTable[[#This Row],[GroupByKey]])*DiscreteStatsTable[Maximum]))</f>
        <v>0</v>
      </c>
      <c r="V215" s="5" cm="1">
        <f t="array" ref="V215">IFERROR(AVERAGE(IF((DiscreteStatsTable[GroupByKey]=DiscreteStatsTable[[#This Row],[GroupByKey]]),(DiscreteStatsTable[GroupByKey]=DiscreteStatsTable[[#This Row],[GroupByKey]])*DiscreteStatsTable[NumberObservations])),0)</f>
        <v>159.1</v>
      </c>
      <c r="W215" s="5">
        <f>IF((DiscreteStatsTable[[#This Row],[RepsRequested]]&gt;1),DiscreteStatsTable[[#This Row],[HalfWidth]],DiscreteStatsTable[[#This Row],[BatchMeansHalfWidth]])</f>
        <v>0</v>
      </c>
      <c r="X215" s="5" cm="1">
        <f t="array" ref="X215">COUNT(IF((DiscreteStatsTable[GroupByKey]=DiscreteStatsTable[[#This Row],[GroupByKey]]),(DiscreteStatsTable[GroupByKey]=DiscreteStatsTable[[#This Row],[GroupByKey]])*DiscreteStatsTable[Replication]))</f>
        <v>10</v>
      </c>
      <c r="Y215" s="5">
        <f>IF(DiscreteStatsTable[[#This Row],[RepsRequested]]=DiscreteStatsTable[[#This Row],[RepsWithStatObserved]],1,0)</f>
        <v>1</v>
      </c>
    </row>
    <row r="216" spans="1:25" x14ac:dyDescent="0.3">
      <c r="A216" t="s">
        <v>66</v>
      </c>
      <c r="B216" t="s">
        <v>68</v>
      </c>
      <c r="C216">
        <v>3</v>
      </c>
      <c r="D216" t="s">
        <v>88</v>
      </c>
      <c r="E216" t="s">
        <v>76</v>
      </c>
      <c r="F216" t="s">
        <v>74</v>
      </c>
      <c r="G216">
        <v>10.3794011084799</v>
      </c>
      <c r="H216">
        <v>2E+20</v>
      </c>
      <c r="I216">
        <v>7.8075715797093999</v>
      </c>
      <c r="J216">
        <v>33.212781474357499</v>
      </c>
      <c r="K216">
        <v>153</v>
      </c>
      <c r="L216" s="5" t="str">
        <f>DiscreteStatsTable[[#This Row],[ProjectName]]&amp;DiscreteStatsTable[[#This Row],[Name]]&amp;DiscreteStatsTable[[#This Row],[Type]]&amp;DiscreteStatsTable[[#This Row],[Source]]</f>
        <v>Unnamed ProjectMaleta NacionalTotal TimeEntity</v>
      </c>
      <c r="M216" s="5" cm="1">
        <f t="array" ref="M216">MAX(IF((ProjectInfoTable[ProjectName]=DiscreteStatsTable[[#This Row],[ProjectName]]),(ProjectInfoTable[ProjectName]=DiscreteStatsTable[[#This Row],[ProjectName]])*ProjectInfoTable[NumberOfReplications]))</f>
        <v>10</v>
      </c>
      <c r="N216" s="5" cm="1">
        <f t="array" ref="N216">IFERROR(AVERAGE(IF((DiscreteStatsTable[GroupByKey]=DiscreteStatsTable[[#This Row],[GroupByKey]]),(DiscreteStatsTable[GroupByKey]=DiscreteStatsTable[[#This Row],[GroupByKey]])*DiscreteStatsTable[Average])),0)</f>
        <v>10.155322958912489</v>
      </c>
      <c r="O216" s="5" cm="1">
        <f t="array" ref="O216">IFERROR(_xlfn.STDEV.S(IF((DiscreteStatsTable[GroupByKey]=DiscreteStatsTable[[#This Row],[GroupByKey]]),(DiscreteStatsTable[GroupByKey]=DiscreteStatsTable[[#This Row],[GroupByKey]])*DiscreteStatsTable[Average])),0)</f>
        <v>0.33418682093278973</v>
      </c>
      <c r="P216" s="5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 s="5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0.23906285023865298</v>
      </c>
      <c r="R216" s="5" cm="1">
        <f t="array" ref="R216">MIN(IF((DiscreteStatsTable[GroupByKey]=DiscreteStatsTable[[#This Row],[GroupByKey]]),(DiscreteStatsTable[GroupByKey]=DiscreteStatsTable[[#This Row],[GroupByKey]])*DiscreteStatsTable[Average]))</f>
        <v>9.5096808134995996</v>
      </c>
      <c r="S216" s="5" cm="1">
        <f t="array" ref="S216">MAX(IF((DiscreteStatsTable[GroupByKey]=DiscreteStatsTable[[#This Row],[GroupByKey]]),(DiscreteStatsTable[GroupByKey]=DiscreteStatsTable[[#This Row],[GroupByKey]])*DiscreteStatsTable[Average]))</f>
        <v>10.541225271035399</v>
      </c>
      <c r="T216" s="5" cm="1">
        <f t="array" ref="T216">MIN(IF((DiscreteStatsTable[GroupByKey]=DiscreteStatsTable[[#This Row],[GroupByKey]]),(DiscreteStatsTable[GroupByKey]=DiscreteStatsTable[[#This Row],[GroupByKey]])*DiscreteStatsTable[Minimum]))</f>
        <v>6.3921838050257502</v>
      </c>
      <c r="U216" s="5" cm="1">
        <f t="array" ref="U216">MAX(IF((DiscreteStatsTable[GroupByKey]=DiscreteStatsTable[[#This Row],[GroupByKey]]),(DiscreteStatsTable[GroupByKey]=DiscreteStatsTable[[#This Row],[GroupByKey]])*DiscreteStatsTable[Maximum]))</f>
        <v>33.212781474357499</v>
      </c>
      <c r="V216" s="5" cm="1">
        <f t="array" ref="V216">IFERROR(AVERAGE(IF((DiscreteStatsTable[GroupByKey]=DiscreteStatsTable[[#This Row],[GroupByKey]]),(DiscreteStatsTable[GroupByKey]=DiscreteStatsTable[[#This Row],[GroupByKey]])*DiscreteStatsTable[NumberObservations])),0)</f>
        <v>159.1</v>
      </c>
      <c r="W216" s="5">
        <f>IF((DiscreteStatsTable[[#This Row],[RepsRequested]]&gt;1),DiscreteStatsTable[[#This Row],[HalfWidth]],DiscreteStatsTable[[#This Row],[BatchMeansHalfWidth]])</f>
        <v>0.23906285023865298</v>
      </c>
      <c r="X216" s="5" cm="1">
        <f t="array" ref="X216">COUNT(IF((DiscreteStatsTable[GroupByKey]=DiscreteStatsTable[[#This Row],[GroupByKey]]),(DiscreteStatsTable[GroupByKey]=DiscreteStatsTable[[#This Row],[GroupByKey]])*DiscreteStatsTable[Replication]))</f>
        <v>10</v>
      </c>
      <c r="Y216" s="5">
        <f>IF(DiscreteStatsTable[[#This Row],[RepsRequested]]=DiscreteStatsTable[[#This Row],[RepsWithStatObserved]],1,0)</f>
        <v>1</v>
      </c>
    </row>
    <row r="217" spans="1:25" x14ac:dyDescent="0.3">
      <c r="A217" t="s">
        <v>66</v>
      </c>
      <c r="B217" t="s">
        <v>68</v>
      </c>
      <c r="C217">
        <v>3</v>
      </c>
      <c r="D217" t="s">
        <v>88</v>
      </c>
      <c r="E217" t="s">
        <v>77</v>
      </c>
      <c r="F217" t="s">
        <v>74</v>
      </c>
      <c r="G217">
        <v>7.6823733509675503</v>
      </c>
      <c r="H217">
        <v>2E+20</v>
      </c>
      <c r="I217">
        <v>5</v>
      </c>
      <c r="J217">
        <v>8.9432049844583297</v>
      </c>
      <c r="K217">
        <v>153</v>
      </c>
      <c r="L217" s="5" t="str">
        <f>DiscreteStatsTable[[#This Row],[ProjectName]]&amp;DiscreteStatsTable[[#This Row],[Name]]&amp;DiscreteStatsTable[[#This Row],[Type]]&amp;DiscreteStatsTable[[#This Row],[Source]]</f>
        <v>Unnamed ProjectMaleta NacionalTransfer TimeEntity</v>
      </c>
      <c r="M217" s="5" cm="1">
        <f t="array" ref="M217">MAX(IF((ProjectInfoTable[ProjectName]=DiscreteStatsTable[[#This Row],[ProjectName]]),(ProjectInfoTable[ProjectName]=DiscreteStatsTable[[#This Row],[ProjectName]])*ProjectInfoTable[NumberOfReplications]))</f>
        <v>10</v>
      </c>
      <c r="N217" s="5" cm="1">
        <f t="array" ref="N217">IFERROR(AVERAGE(IF((DiscreteStatsTable[GroupByKey]=DiscreteStatsTable[[#This Row],[GroupByKey]]),(DiscreteStatsTable[GroupByKey]=DiscreteStatsTable[[#This Row],[GroupByKey]])*DiscreteStatsTable[Average])),0)</f>
        <v>7.6753288500844494</v>
      </c>
      <c r="O217" s="5" cm="1">
        <f t="array" ref="O217">IFERROR(_xlfn.STDEV.S(IF((DiscreteStatsTable[GroupByKey]=DiscreteStatsTable[[#This Row],[GroupByKey]]),(DiscreteStatsTable[GroupByKey]=DiscreteStatsTable[[#This Row],[GroupByKey]])*DiscreteStatsTable[Average])),0)</f>
        <v>3.9746429823300011E-2</v>
      </c>
      <c r="P217" s="5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 s="5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2.8432883061776049E-2</v>
      </c>
      <c r="R217" s="5" cm="1">
        <f t="array" ref="R217">MIN(IF((DiscreteStatsTable[GroupByKey]=DiscreteStatsTable[[#This Row],[GroupByKey]]),(DiscreteStatsTable[GroupByKey]=DiscreteStatsTable[[#This Row],[GroupByKey]])*DiscreteStatsTable[Average]))</f>
        <v>7.6171173934620997</v>
      </c>
      <c r="S217" s="5" cm="1">
        <f t="array" ref="S217">MAX(IF((DiscreteStatsTable[GroupByKey]=DiscreteStatsTable[[#This Row],[GroupByKey]]),(DiscreteStatsTable[GroupByKey]=DiscreteStatsTable[[#This Row],[GroupByKey]])*DiscreteStatsTable[Average]))</f>
        <v>7.7465011776556301</v>
      </c>
      <c r="T217" s="5" cm="1">
        <f t="array" ref="T217">MIN(IF((DiscreteStatsTable[GroupByKey]=DiscreteStatsTable[[#This Row],[GroupByKey]]),(DiscreteStatsTable[GroupByKey]=DiscreteStatsTable[[#This Row],[GroupByKey]])*DiscreteStatsTable[Minimum]))</f>
        <v>4.9973602639356596</v>
      </c>
      <c r="U217" s="5" cm="1">
        <f t="array" ref="U217">MAX(IF((DiscreteStatsTable[GroupByKey]=DiscreteStatsTable[[#This Row],[GroupByKey]]),(DiscreteStatsTable[GroupByKey]=DiscreteStatsTable[[#This Row],[GroupByKey]])*DiscreteStatsTable[Maximum]))</f>
        <v>10.3780432567189</v>
      </c>
      <c r="V217" s="5" cm="1">
        <f t="array" ref="V217">IFERROR(AVERAGE(IF((DiscreteStatsTable[GroupByKey]=DiscreteStatsTable[[#This Row],[GroupByKey]]),(DiscreteStatsTable[GroupByKey]=DiscreteStatsTable[[#This Row],[GroupByKey]])*DiscreteStatsTable[NumberObservations])),0)</f>
        <v>159.1</v>
      </c>
      <c r="W217" s="5">
        <f>IF((DiscreteStatsTable[[#This Row],[RepsRequested]]&gt;1),DiscreteStatsTable[[#This Row],[HalfWidth]],DiscreteStatsTable[[#This Row],[BatchMeansHalfWidth]])</f>
        <v>2.8432883061776049E-2</v>
      </c>
      <c r="X217" s="5" cm="1">
        <f t="array" ref="X217">COUNT(IF((DiscreteStatsTable[GroupByKey]=DiscreteStatsTable[[#This Row],[GroupByKey]]),(DiscreteStatsTable[GroupByKey]=DiscreteStatsTable[[#This Row],[GroupByKey]])*DiscreteStatsTable[Replication]))</f>
        <v>10</v>
      </c>
      <c r="Y217" s="5">
        <f>IF(DiscreteStatsTable[[#This Row],[RepsRequested]]=DiscreteStatsTable[[#This Row],[RepsWithStatObserved]],1,0)</f>
        <v>1</v>
      </c>
    </row>
    <row r="218" spans="1:25" x14ac:dyDescent="0.3">
      <c r="A218" t="s">
        <v>66</v>
      </c>
      <c r="B218" t="s">
        <v>68</v>
      </c>
      <c r="C218">
        <v>3</v>
      </c>
      <c r="D218" t="s">
        <v>88</v>
      </c>
      <c r="E218" t="s">
        <v>78</v>
      </c>
      <c r="F218" t="s">
        <v>74</v>
      </c>
      <c r="G218">
        <v>1.3077033329996699</v>
      </c>
      <c r="H218">
        <v>2E+20</v>
      </c>
      <c r="I218">
        <v>3.5780155263864799E-4</v>
      </c>
      <c r="J218">
        <v>27.4453656088955</v>
      </c>
      <c r="K218">
        <v>153</v>
      </c>
      <c r="L218" s="5" t="str">
        <f>DiscreteStatsTable[[#This Row],[ProjectName]]&amp;DiscreteStatsTable[[#This Row],[Name]]&amp;DiscreteStatsTable[[#This Row],[Type]]&amp;DiscreteStatsTable[[#This Row],[Source]]</f>
        <v>Unnamed ProjectMaleta NacionalVA TimeEntity</v>
      </c>
      <c r="M218" s="5" cm="1">
        <f t="array" ref="M218">MAX(IF((ProjectInfoTable[ProjectName]=DiscreteStatsTable[[#This Row],[ProjectName]]),(ProjectInfoTable[ProjectName]=DiscreteStatsTable[[#This Row],[ProjectName]])*ProjectInfoTable[NumberOfReplications]))</f>
        <v>10</v>
      </c>
      <c r="N218" s="5" cm="1">
        <f t="array" ref="N218">IFERROR(AVERAGE(IF((DiscreteStatsTable[GroupByKey]=DiscreteStatsTable[[#This Row],[GroupByKey]]),(DiscreteStatsTable[GroupByKey]=DiscreteStatsTable[[#This Row],[GroupByKey]])*DiscreteStatsTable[Average])),0)</f>
        <v>1.1970866370450852</v>
      </c>
      <c r="O218" s="5" cm="1">
        <f t="array" ref="O218">IFERROR(_xlfn.STDEV.S(IF((DiscreteStatsTable[GroupByKey]=DiscreteStatsTable[[#This Row],[GroupByKey]]),(DiscreteStatsTable[GroupByKey]=DiscreteStatsTable[[#This Row],[GroupByKey]])*DiscreteStatsTable[Average])),0)</f>
        <v>0.16160338579426173</v>
      </c>
      <c r="P218" s="5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 s="5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0.11560409805616673</v>
      </c>
      <c r="R218" s="5" cm="1">
        <f t="array" ref="R218">MIN(IF((DiscreteStatsTable[GroupByKey]=DiscreteStatsTable[[#This Row],[GroupByKey]]),(DiscreteStatsTable[GroupByKey]=DiscreteStatsTable[[#This Row],[GroupByKey]])*DiscreteStatsTable[Average]))</f>
        <v>0.93154168311307295</v>
      </c>
      <c r="S218" s="5" cm="1">
        <f t="array" ref="S218">MAX(IF((DiscreteStatsTable[GroupByKey]=DiscreteStatsTable[[#This Row],[GroupByKey]]),(DiscreteStatsTable[GroupByKey]=DiscreteStatsTable[[#This Row],[GroupByKey]])*DiscreteStatsTable[Average]))</f>
        <v>1.4326343791811</v>
      </c>
      <c r="T218" s="5" cm="1">
        <f t="array" ref="T218">MIN(IF((DiscreteStatsTable[GroupByKey]=DiscreteStatsTable[[#This Row],[GroupByKey]]),(DiscreteStatsTable[GroupByKey]=DiscreteStatsTable[[#This Row],[GroupByKey]])*DiscreteStatsTable[Minimum]))</f>
        <v>3.5780155263864799E-4</v>
      </c>
      <c r="U218" s="5" cm="1">
        <f t="array" ref="U218">MAX(IF((DiscreteStatsTable[GroupByKey]=DiscreteStatsTable[[#This Row],[GroupByKey]]),(DiscreteStatsTable[GroupByKey]=DiscreteStatsTable[[#This Row],[GroupByKey]])*DiscreteStatsTable[Maximum]))</f>
        <v>27.4453656088955</v>
      </c>
      <c r="V218" s="5" cm="1">
        <f t="array" ref="V218">IFERROR(AVERAGE(IF((DiscreteStatsTable[GroupByKey]=DiscreteStatsTable[[#This Row],[GroupByKey]]),(DiscreteStatsTable[GroupByKey]=DiscreteStatsTable[[#This Row],[GroupByKey]])*DiscreteStatsTable[NumberObservations])),0)</f>
        <v>159.1</v>
      </c>
      <c r="W218" s="5">
        <f>IF((DiscreteStatsTable[[#This Row],[RepsRequested]]&gt;1),DiscreteStatsTable[[#This Row],[HalfWidth]],DiscreteStatsTable[[#This Row],[BatchMeansHalfWidth]])</f>
        <v>0.11560409805616673</v>
      </c>
      <c r="X218" s="5" cm="1">
        <f t="array" ref="X218">COUNT(IF((DiscreteStatsTable[GroupByKey]=DiscreteStatsTable[[#This Row],[GroupByKey]]),(DiscreteStatsTable[GroupByKey]=DiscreteStatsTable[[#This Row],[GroupByKey]])*DiscreteStatsTable[Replication]))</f>
        <v>10</v>
      </c>
      <c r="Y218" s="5">
        <f>IF(DiscreteStatsTable[[#This Row],[RepsRequested]]=DiscreteStatsTable[[#This Row],[RepsWithStatObserved]],1,0)</f>
        <v>1</v>
      </c>
    </row>
    <row r="219" spans="1:25" x14ac:dyDescent="0.3">
      <c r="A219" t="s">
        <v>66</v>
      </c>
      <c r="B219" t="s">
        <v>68</v>
      </c>
      <c r="C219">
        <v>3</v>
      </c>
      <c r="D219" t="s">
        <v>88</v>
      </c>
      <c r="E219" t="s">
        <v>79</v>
      </c>
      <c r="F219" t="s">
        <v>74</v>
      </c>
      <c r="G219">
        <v>1.3893244245127101</v>
      </c>
      <c r="H219">
        <v>2E+20</v>
      </c>
      <c r="I219">
        <v>9.2468052761205399E-3</v>
      </c>
      <c r="J219">
        <v>9.1444963606004404</v>
      </c>
      <c r="K219">
        <v>153</v>
      </c>
      <c r="L219" s="5" t="str">
        <f>DiscreteStatsTable[[#This Row],[ProjectName]]&amp;DiscreteStatsTable[[#This Row],[Name]]&amp;DiscreteStatsTable[[#This Row],[Type]]&amp;DiscreteStatsTable[[#This Row],[Source]]</f>
        <v>Unnamed ProjectMaleta NacionalWait TimeEntity</v>
      </c>
      <c r="M219" s="5" cm="1">
        <f t="array" ref="M219">MAX(IF((ProjectInfoTable[ProjectName]=DiscreteStatsTable[[#This Row],[ProjectName]]),(ProjectInfoTable[ProjectName]=DiscreteStatsTable[[#This Row],[ProjectName]])*ProjectInfoTable[NumberOfReplications]))</f>
        <v>10</v>
      </c>
      <c r="N219" s="5" cm="1">
        <f t="array" ref="N219">IFERROR(AVERAGE(IF((DiscreteStatsTable[GroupByKey]=DiscreteStatsTable[[#This Row],[GroupByKey]]),(DiscreteStatsTable[GroupByKey]=DiscreteStatsTable[[#This Row],[GroupByKey]])*DiscreteStatsTable[Average])),0)</f>
        <v>1.2829074717829589</v>
      </c>
      <c r="O219" s="5" cm="1">
        <f t="array" ref="O219">IFERROR(_xlfn.STDEV.S(IF((DiscreteStatsTable[GroupByKey]=DiscreteStatsTable[[#This Row],[GroupByKey]]),(DiscreteStatsTable[GroupByKey]=DiscreteStatsTable[[#This Row],[GroupByKey]])*DiscreteStatsTable[Average])),0)</f>
        <v>0.19900819614524773</v>
      </c>
      <c r="P219" s="5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 s="5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0.14236188745726755</v>
      </c>
      <c r="R219" s="5" cm="1">
        <f t="array" ref="R219">MIN(IF((DiscreteStatsTable[GroupByKey]=DiscreteStatsTable[[#This Row],[GroupByKey]]),(DiscreteStatsTable[GroupByKey]=DiscreteStatsTable[[#This Row],[GroupByKey]])*DiscreteStatsTable[Average]))</f>
        <v>0.93034835796656001</v>
      </c>
      <c r="S219" s="5" cm="1">
        <f t="array" ref="S219">MAX(IF((DiscreteStatsTable[GroupByKey]=DiscreteStatsTable[[#This Row],[GroupByKey]]),(DiscreteStatsTable[GroupByKey]=DiscreteStatsTable[[#This Row],[GroupByKey]])*DiscreteStatsTable[Average]))</f>
        <v>1.5005499568751099</v>
      </c>
      <c r="T219" s="5" cm="1">
        <f t="array" ref="T219">MIN(IF((DiscreteStatsTable[GroupByKey]=DiscreteStatsTable[[#This Row],[GroupByKey]]),(DiscreteStatsTable[GroupByKey]=DiscreteStatsTable[[#This Row],[GroupByKey]])*DiscreteStatsTable[Minimum]))</f>
        <v>0</v>
      </c>
      <c r="U219" s="5" cm="1">
        <f t="array" ref="U219">MAX(IF((DiscreteStatsTable[GroupByKey]=DiscreteStatsTable[[#This Row],[GroupByKey]]),(DiscreteStatsTable[GroupByKey]=DiscreteStatsTable[[#This Row],[GroupByKey]])*DiscreteStatsTable[Maximum]))</f>
        <v>10.9519173465048</v>
      </c>
      <c r="V219" s="5" cm="1">
        <f t="array" ref="V219">IFERROR(AVERAGE(IF((DiscreteStatsTable[GroupByKey]=DiscreteStatsTable[[#This Row],[GroupByKey]]),(DiscreteStatsTable[GroupByKey]=DiscreteStatsTable[[#This Row],[GroupByKey]])*DiscreteStatsTable[NumberObservations])),0)</f>
        <v>159.1</v>
      </c>
      <c r="W219" s="5">
        <f>IF((DiscreteStatsTable[[#This Row],[RepsRequested]]&gt;1),DiscreteStatsTable[[#This Row],[HalfWidth]],DiscreteStatsTable[[#This Row],[BatchMeansHalfWidth]])</f>
        <v>0.14236188745726755</v>
      </c>
      <c r="X219" s="5" cm="1">
        <f t="array" ref="X219">COUNT(IF((DiscreteStatsTable[GroupByKey]=DiscreteStatsTable[[#This Row],[GroupByKey]]),(DiscreteStatsTable[GroupByKey]=DiscreteStatsTable[[#This Row],[GroupByKey]])*DiscreteStatsTable[Replication]))</f>
        <v>10</v>
      </c>
      <c r="Y219" s="5">
        <f>IF(DiscreteStatsTable[[#This Row],[RepsRequested]]=DiscreteStatsTable[[#This Row],[RepsWithStatObserved]],1,0)</f>
        <v>1</v>
      </c>
    </row>
    <row r="220" spans="1:25" x14ac:dyDescent="0.3">
      <c r="A220" t="s">
        <v>66</v>
      </c>
      <c r="B220" t="s">
        <v>68</v>
      </c>
      <c r="C220">
        <v>4</v>
      </c>
      <c r="D220" t="s">
        <v>88</v>
      </c>
      <c r="E220" t="s">
        <v>73</v>
      </c>
      <c r="F220" t="s">
        <v>74</v>
      </c>
      <c r="G220">
        <v>0</v>
      </c>
      <c r="H220">
        <v>2E+20</v>
      </c>
      <c r="I220">
        <v>0</v>
      </c>
      <c r="J220">
        <v>0</v>
      </c>
      <c r="K220">
        <v>158</v>
      </c>
      <c r="L220" s="5" t="str">
        <f>DiscreteStatsTable[[#This Row],[ProjectName]]&amp;DiscreteStatsTable[[#This Row],[Name]]&amp;DiscreteStatsTable[[#This Row],[Type]]&amp;DiscreteStatsTable[[#This Row],[Source]]</f>
        <v>Unnamed ProjectMaleta NacionalNVA TimeEntity</v>
      </c>
      <c r="M220" s="5" cm="1">
        <f t="array" ref="M220">MAX(IF((ProjectInfoTable[ProjectName]=DiscreteStatsTable[[#This Row],[ProjectName]]),(ProjectInfoTable[ProjectName]=DiscreteStatsTable[[#This Row],[ProjectName]])*ProjectInfoTable[NumberOfReplications]))</f>
        <v>10</v>
      </c>
      <c r="N220" s="5" cm="1">
        <f t="array" ref="N220">IFERROR(AVERAGE(IF((DiscreteStatsTable[GroupByKey]=DiscreteStatsTable[[#This Row],[GroupByKey]]),(DiscreteStatsTable[GroupByKey]=DiscreteStatsTable[[#This Row],[GroupByKey]])*DiscreteStatsTable[Average])),0)</f>
        <v>0</v>
      </c>
      <c r="O220" s="5" cm="1">
        <f t="array" ref="O220">IFERROR(_xlfn.STDEV.S(IF((DiscreteStatsTable[GroupByKey]=DiscreteStatsTable[[#This Row],[GroupByKey]]),(DiscreteStatsTable[GroupByKey]=DiscreteStatsTable[[#This Row],[GroupByKey]])*DiscreteStatsTable[Average])),0)</f>
        <v>0</v>
      </c>
      <c r="P220" s="5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 s="5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0" s="5" cm="1">
        <f t="array" ref="R220">MIN(IF((DiscreteStatsTable[GroupByKey]=DiscreteStatsTable[[#This Row],[GroupByKey]]),(DiscreteStatsTable[GroupByKey]=DiscreteStatsTable[[#This Row],[GroupByKey]])*DiscreteStatsTable[Average]))</f>
        <v>0</v>
      </c>
      <c r="S220" s="5" cm="1">
        <f t="array" ref="S220">MAX(IF((DiscreteStatsTable[GroupByKey]=DiscreteStatsTable[[#This Row],[GroupByKey]]),(DiscreteStatsTable[GroupByKey]=DiscreteStatsTable[[#This Row],[GroupByKey]])*DiscreteStatsTable[Average]))</f>
        <v>0</v>
      </c>
      <c r="T220" s="5" cm="1">
        <f t="array" ref="T220">MIN(IF((DiscreteStatsTable[GroupByKey]=DiscreteStatsTable[[#This Row],[GroupByKey]]),(DiscreteStatsTable[GroupByKey]=DiscreteStatsTable[[#This Row],[GroupByKey]])*DiscreteStatsTable[Minimum]))</f>
        <v>0</v>
      </c>
      <c r="U220" s="5" cm="1">
        <f t="array" ref="U220">MAX(IF((DiscreteStatsTable[GroupByKey]=DiscreteStatsTable[[#This Row],[GroupByKey]]),(DiscreteStatsTable[GroupByKey]=DiscreteStatsTable[[#This Row],[GroupByKey]])*DiscreteStatsTable[Maximum]))</f>
        <v>0</v>
      </c>
      <c r="V220" s="5" cm="1">
        <f t="array" ref="V220">IFERROR(AVERAGE(IF((DiscreteStatsTable[GroupByKey]=DiscreteStatsTable[[#This Row],[GroupByKey]]),(DiscreteStatsTable[GroupByKey]=DiscreteStatsTable[[#This Row],[GroupByKey]])*DiscreteStatsTable[NumberObservations])),0)</f>
        <v>159.1</v>
      </c>
      <c r="W220" s="5">
        <f>IF((DiscreteStatsTable[[#This Row],[RepsRequested]]&gt;1),DiscreteStatsTable[[#This Row],[HalfWidth]],DiscreteStatsTable[[#This Row],[BatchMeansHalfWidth]])</f>
        <v>0</v>
      </c>
      <c r="X220" s="5" cm="1">
        <f t="array" ref="X220">COUNT(IF((DiscreteStatsTable[GroupByKey]=DiscreteStatsTable[[#This Row],[GroupByKey]]),(DiscreteStatsTable[GroupByKey]=DiscreteStatsTable[[#This Row],[GroupByKey]])*DiscreteStatsTable[Replication]))</f>
        <v>10</v>
      </c>
      <c r="Y220" s="5">
        <f>IF(DiscreteStatsTable[[#This Row],[RepsRequested]]=DiscreteStatsTable[[#This Row],[RepsWithStatObserved]],1,0)</f>
        <v>1</v>
      </c>
    </row>
    <row r="221" spans="1:25" x14ac:dyDescent="0.3">
      <c r="A221" t="s">
        <v>66</v>
      </c>
      <c r="B221" t="s">
        <v>68</v>
      </c>
      <c r="C221">
        <v>4</v>
      </c>
      <c r="D221" t="s">
        <v>88</v>
      </c>
      <c r="E221" t="s">
        <v>75</v>
      </c>
      <c r="F221" t="s">
        <v>74</v>
      </c>
      <c r="G221">
        <v>0</v>
      </c>
      <c r="H221">
        <v>2E+20</v>
      </c>
      <c r="I221">
        <v>0</v>
      </c>
      <c r="J221">
        <v>0</v>
      </c>
      <c r="K221">
        <v>158</v>
      </c>
      <c r="L221" s="5" t="str">
        <f>DiscreteStatsTable[[#This Row],[ProjectName]]&amp;DiscreteStatsTable[[#This Row],[Name]]&amp;DiscreteStatsTable[[#This Row],[Type]]&amp;DiscreteStatsTable[[#This Row],[Source]]</f>
        <v>Unnamed ProjectMaleta NacionalOther TimeEntity</v>
      </c>
      <c r="M221" s="5" cm="1">
        <f t="array" ref="M221">MAX(IF((ProjectInfoTable[ProjectName]=DiscreteStatsTable[[#This Row],[ProjectName]]),(ProjectInfoTable[ProjectName]=DiscreteStatsTable[[#This Row],[ProjectName]])*ProjectInfoTable[NumberOfReplications]))</f>
        <v>10</v>
      </c>
      <c r="N221" s="5" cm="1">
        <f t="array" ref="N221">IFERROR(AVERAGE(IF((DiscreteStatsTable[GroupByKey]=DiscreteStatsTable[[#This Row],[GroupByKey]]),(DiscreteStatsTable[GroupByKey]=DiscreteStatsTable[[#This Row],[GroupByKey]])*DiscreteStatsTable[Average])),0)</f>
        <v>0</v>
      </c>
      <c r="O221" s="5" cm="1">
        <f t="array" ref="O221">IFERROR(_xlfn.STDEV.S(IF((DiscreteStatsTable[GroupByKey]=DiscreteStatsTable[[#This Row],[GroupByKey]]),(DiscreteStatsTable[GroupByKey]=DiscreteStatsTable[[#This Row],[GroupByKey]])*DiscreteStatsTable[Average])),0)</f>
        <v>0</v>
      </c>
      <c r="P221" s="5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 s="5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1" s="5" cm="1">
        <f t="array" ref="R221">MIN(IF((DiscreteStatsTable[GroupByKey]=DiscreteStatsTable[[#This Row],[GroupByKey]]),(DiscreteStatsTable[GroupByKey]=DiscreteStatsTable[[#This Row],[GroupByKey]])*DiscreteStatsTable[Average]))</f>
        <v>0</v>
      </c>
      <c r="S221" s="5" cm="1">
        <f t="array" ref="S221">MAX(IF((DiscreteStatsTable[GroupByKey]=DiscreteStatsTable[[#This Row],[GroupByKey]]),(DiscreteStatsTable[GroupByKey]=DiscreteStatsTable[[#This Row],[GroupByKey]])*DiscreteStatsTable[Average]))</f>
        <v>0</v>
      </c>
      <c r="T221" s="5" cm="1">
        <f t="array" ref="T221">MIN(IF((DiscreteStatsTable[GroupByKey]=DiscreteStatsTable[[#This Row],[GroupByKey]]),(DiscreteStatsTable[GroupByKey]=DiscreteStatsTable[[#This Row],[GroupByKey]])*DiscreteStatsTable[Minimum]))</f>
        <v>0</v>
      </c>
      <c r="U221" s="5" cm="1">
        <f t="array" ref="U221">MAX(IF((DiscreteStatsTable[GroupByKey]=DiscreteStatsTable[[#This Row],[GroupByKey]]),(DiscreteStatsTable[GroupByKey]=DiscreteStatsTable[[#This Row],[GroupByKey]])*DiscreteStatsTable[Maximum]))</f>
        <v>0</v>
      </c>
      <c r="V221" s="5" cm="1">
        <f t="array" ref="V221">IFERROR(AVERAGE(IF((DiscreteStatsTable[GroupByKey]=DiscreteStatsTable[[#This Row],[GroupByKey]]),(DiscreteStatsTable[GroupByKey]=DiscreteStatsTable[[#This Row],[GroupByKey]])*DiscreteStatsTable[NumberObservations])),0)</f>
        <v>159.1</v>
      </c>
      <c r="W221" s="5">
        <f>IF((DiscreteStatsTable[[#This Row],[RepsRequested]]&gt;1),DiscreteStatsTable[[#This Row],[HalfWidth]],DiscreteStatsTable[[#This Row],[BatchMeansHalfWidth]])</f>
        <v>0</v>
      </c>
      <c r="X221" s="5" cm="1">
        <f t="array" ref="X221">COUNT(IF((DiscreteStatsTable[GroupByKey]=DiscreteStatsTable[[#This Row],[GroupByKey]]),(DiscreteStatsTable[GroupByKey]=DiscreteStatsTable[[#This Row],[GroupByKey]])*DiscreteStatsTable[Replication]))</f>
        <v>10</v>
      </c>
      <c r="Y221" s="5">
        <f>IF(DiscreteStatsTable[[#This Row],[RepsRequested]]=DiscreteStatsTable[[#This Row],[RepsWithStatObserved]],1,0)</f>
        <v>1</v>
      </c>
    </row>
    <row r="222" spans="1:25" x14ac:dyDescent="0.3">
      <c r="A222" t="s">
        <v>66</v>
      </c>
      <c r="B222" t="s">
        <v>68</v>
      </c>
      <c r="C222">
        <v>4</v>
      </c>
      <c r="D222" t="s">
        <v>88</v>
      </c>
      <c r="E222" t="s">
        <v>76</v>
      </c>
      <c r="F222" t="s">
        <v>74</v>
      </c>
      <c r="G222">
        <v>10.455165648130601</v>
      </c>
      <c r="H222">
        <v>2E+20</v>
      </c>
      <c r="I222">
        <v>7.6455051479082998</v>
      </c>
      <c r="J222">
        <v>29.912716730147501</v>
      </c>
      <c r="K222">
        <v>158</v>
      </c>
      <c r="L222" s="5" t="str">
        <f>DiscreteStatsTable[[#This Row],[ProjectName]]&amp;DiscreteStatsTable[[#This Row],[Name]]&amp;DiscreteStatsTable[[#This Row],[Type]]&amp;DiscreteStatsTable[[#This Row],[Source]]</f>
        <v>Unnamed ProjectMaleta NacionalTotal TimeEntity</v>
      </c>
      <c r="M222" s="5" cm="1">
        <f t="array" ref="M222">MAX(IF((ProjectInfoTable[ProjectName]=DiscreteStatsTable[[#This Row],[ProjectName]]),(ProjectInfoTable[ProjectName]=DiscreteStatsTable[[#This Row],[ProjectName]])*ProjectInfoTable[NumberOfReplications]))</f>
        <v>10</v>
      </c>
      <c r="N222" s="5" cm="1">
        <f t="array" ref="N222">IFERROR(AVERAGE(IF((DiscreteStatsTable[GroupByKey]=DiscreteStatsTable[[#This Row],[GroupByKey]]),(DiscreteStatsTable[GroupByKey]=DiscreteStatsTable[[#This Row],[GroupByKey]])*DiscreteStatsTable[Average])),0)</f>
        <v>10.155322958912489</v>
      </c>
      <c r="O222" s="5" cm="1">
        <f t="array" ref="O222">IFERROR(_xlfn.STDEV.S(IF((DiscreteStatsTable[GroupByKey]=DiscreteStatsTable[[#This Row],[GroupByKey]]),(DiscreteStatsTable[GroupByKey]=DiscreteStatsTable[[#This Row],[GroupByKey]])*DiscreteStatsTable[Average])),0)</f>
        <v>0.33418682093278973</v>
      </c>
      <c r="P222" s="5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 s="5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0.23906285023865298</v>
      </c>
      <c r="R222" s="5" cm="1">
        <f t="array" ref="R222">MIN(IF((DiscreteStatsTable[GroupByKey]=DiscreteStatsTable[[#This Row],[GroupByKey]]),(DiscreteStatsTable[GroupByKey]=DiscreteStatsTable[[#This Row],[GroupByKey]])*DiscreteStatsTable[Average]))</f>
        <v>9.5096808134995996</v>
      </c>
      <c r="S222" s="5" cm="1">
        <f t="array" ref="S222">MAX(IF((DiscreteStatsTable[GroupByKey]=DiscreteStatsTable[[#This Row],[GroupByKey]]),(DiscreteStatsTable[GroupByKey]=DiscreteStatsTable[[#This Row],[GroupByKey]])*DiscreteStatsTable[Average]))</f>
        <v>10.541225271035399</v>
      </c>
      <c r="T222" s="5" cm="1">
        <f t="array" ref="T222">MIN(IF((DiscreteStatsTable[GroupByKey]=DiscreteStatsTable[[#This Row],[GroupByKey]]),(DiscreteStatsTable[GroupByKey]=DiscreteStatsTable[[#This Row],[GroupByKey]])*DiscreteStatsTable[Minimum]))</f>
        <v>6.3921838050257502</v>
      </c>
      <c r="U222" s="5" cm="1">
        <f t="array" ref="U222">MAX(IF((DiscreteStatsTable[GroupByKey]=DiscreteStatsTable[[#This Row],[GroupByKey]]),(DiscreteStatsTable[GroupByKey]=DiscreteStatsTable[[#This Row],[GroupByKey]])*DiscreteStatsTable[Maximum]))</f>
        <v>33.212781474357499</v>
      </c>
      <c r="V222" s="5" cm="1">
        <f t="array" ref="V222">IFERROR(AVERAGE(IF((DiscreteStatsTable[GroupByKey]=DiscreteStatsTable[[#This Row],[GroupByKey]]),(DiscreteStatsTable[GroupByKey]=DiscreteStatsTable[[#This Row],[GroupByKey]])*DiscreteStatsTable[NumberObservations])),0)</f>
        <v>159.1</v>
      </c>
      <c r="W222" s="5">
        <f>IF((DiscreteStatsTable[[#This Row],[RepsRequested]]&gt;1),DiscreteStatsTable[[#This Row],[HalfWidth]],DiscreteStatsTable[[#This Row],[BatchMeansHalfWidth]])</f>
        <v>0.23906285023865298</v>
      </c>
      <c r="X222" s="5" cm="1">
        <f t="array" ref="X222">COUNT(IF((DiscreteStatsTable[GroupByKey]=DiscreteStatsTable[[#This Row],[GroupByKey]]),(DiscreteStatsTable[GroupByKey]=DiscreteStatsTable[[#This Row],[GroupByKey]])*DiscreteStatsTable[Replication]))</f>
        <v>10</v>
      </c>
      <c r="Y222" s="5">
        <f>IF(DiscreteStatsTable[[#This Row],[RepsRequested]]=DiscreteStatsTable[[#This Row],[RepsWithStatObserved]],1,0)</f>
        <v>1</v>
      </c>
    </row>
    <row r="223" spans="1:25" x14ac:dyDescent="0.3">
      <c r="A223" t="s">
        <v>66</v>
      </c>
      <c r="B223" t="s">
        <v>68</v>
      </c>
      <c r="C223">
        <v>4</v>
      </c>
      <c r="D223" t="s">
        <v>88</v>
      </c>
      <c r="E223" t="s">
        <v>77</v>
      </c>
      <c r="F223" t="s">
        <v>74</v>
      </c>
      <c r="G223">
        <v>7.6171173934620997</v>
      </c>
      <c r="H223">
        <v>2E+20</v>
      </c>
      <c r="I223">
        <v>5</v>
      </c>
      <c r="J223">
        <v>8.8205026424385604</v>
      </c>
      <c r="K223">
        <v>158</v>
      </c>
      <c r="L223" s="5" t="str">
        <f>DiscreteStatsTable[[#This Row],[ProjectName]]&amp;DiscreteStatsTable[[#This Row],[Name]]&amp;DiscreteStatsTable[[#This Row],[Type]]&amp;DiscreteStatsTable[[#This Row],[Source]]</f>
        <v>Unnamed ProjectMaleta NacionalTransfer TimeEntity</v>
      </c>
      <c r="M223" s="5" cm="1">
        <f t="array" ref="M223">MAX(IF((ProjectInfoTable[ProjectName]=DiscreteStatsTable[[#This Row],[ProjectName]]),(ProjectInfoTable[ProjectName]=DiscreteStatsTable[[#This Row],[ProjectName]])*ProjectInfoTable[NumberOfReplications]))</f>
        <v>10</v>
      </c>
      <c r="N223" s="5" cm="1">
        <f t="array" ref="N223">IFERROR(AVERAGE(IF((DiscreteStatsTable[GroupByKey]=DiscreteStatsTable[[#This Row],[GroupByKey]]),(DiscreteStatsTable[GroupByKey]=DiscreteStatsTable[[#This Row],[GroupByKey]])*DiscreteStatsTable[Average])),0)</f>
        <v>7.6753288500844494</v>
      </c>
      <c r="O223" s="5" cm="1">
        <f t="array" ref="O223">IFERROR(_xlfn.STDEV.S(IF((DiscreteStatsTable[GroupByKey]=DiscreteStatsTable[[#This Row],[GroupByKey]]),(DiscreteStatsTable[GroupByKey]=DiscreteStatsTable[[#This Row],[GroupByKey]])*DiscreteStatsTable[Average])),0)</f>
        <v>3.9746429823300011E-2</v>
      </c>
      <c r="P223" s="5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 s="5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2.8432883061776049E-2</v>
      </c>
      <c r="R223" s="5" cm="1">
        <f t="array" ref="R223">MIN(IF((DiscreteStatsTable[GroupByKey]=DiscreteStatsTable[[#This Row],[GroupByKey]]),(DiscreteStatsTable[GroupByKey]=DiscreteStatsTable[[#This Row],[GroupByKey]])*DiscreteStatsTable[Average]))</f>
        <v>7.6171173934620997</v>
      </c>
      <c r="S223" s="5" cm="1">
        <f t="array" ref="S223">MAX(IF((DiscreteStatsTable[GroupByKey]=DiscreteStatsTable[[#This Row],[GroupByKey]]),(DiscreteStatsTable[GroupByKey]=DiscreteStatsTable[[#This Row],[GroupByKey]])*DiscreteStatsTable[Average]))</f>
        <v>7.7465011776556301</v>
      </c>
      <c r="T223" s="5" cm="1">
        <f t="array" ref="T223">MIN(IF((DiscreteStatsTable[GroupByKey]=DiscreteStatsTable[[#This Row],[GroupByKey]]),(DiscreteStatsTable[GroupByKey]=DiscreteStatsTable[[#This Row],[GroupByKey]])*DiscreteStatsTable[Minimum]))</f>
        <v>4.9973602639356596</v>
      </c>
      <c r="U223" s="5" cm="1">
        <f t="array" ref="U223">MAX(IF((DiscreteStatsTable[GroupByKey]=DiscreteStatsTable[[#This Row],[GroupByKey]]),(DiscreteStatsTable[GroupByKey]=DiscreteStatsTable[[#This Row],[GroupByKey]])*DiscreteStatsTable[Maximum]))</f>
        <v>10.3780432567189</v>
      </c>
      <c r="V223" s="5" cm="1">
        <f t="array" ref="V223">IFERROR(AVERAGE(IF((DiscreteStatsTable[GroupByKey]=DiscreteStatsTable[[#This Row],[GroupByKey]]),(DiscreteStatsTable[GroupByKey]=DiscreteStatsTable[[#This Row],[GroupByKey]])*DiscreteStatsTable[NumberObservations])),0)</f>
        <v>159.1</v>
      </c>
      <c r="W223" s="5">
        <f>IF((DiscreteStatsTable[[#This Row],[RepsRequested]]&gt;1),DiscreteStatsTable[[#This Row],[HalfWidth]],DiscreteStatsTable[[#This Row],[BatchMeansHalfWidth]])</f>
        <v>2.8432883061776049E-2</v>
      </c>
      <c r="X223" s="5" cm="1">
        <f t="array" ref="X223">COUNT(IF((DiscreteStatsTable[GroupByKey]=DiscreteStatsTable[[#This Row],[GroupByKey]]),(DiscreteStatsTable[GroupByKey]=DiscreteStatsTable[[#This Row],[GroupByKey]])*DiscreteStatsTable[Replication]))</f>
        <v>10</v>
      </c>
      <c r="Y223" s="5">
        <f>IF(DiscreteStatsTable[[#This Row],[RepsRequested]]=DiscreteStatsTable[[#This Row],[RepsWithStatObserved]],1,0)</f>
        <v>1</v>
      </c>
    </row>
    <row r="224" spans="1:25" x14ac:dyDescent="0.3">
      <c r="A224" t="s">
        <v>66</v>
      </c>
      <c r="B224" t="s">
        <v>68</v>
      </c>
      <c r="C224">
        <v>4</v>
      </c>
      <c r="D224" t="s">
        <v>88</v>
      </c>
      <c r="E224" t="s">
        <v>78</v>
      </c>
      <c r="F224" t="s">
        <v>74</v>
      </c>
      <c r="G224">
        <v>1.39375031429478</v>
      </c>
      <c r="H224">
        <v>2E+20</v>
      </c>
      <c r="I224">
        <v>1.46489743575273E-2</v>
      </c>
      <c r="J224">
        <v>20.666513651937599</v>
      </c>
      <c r="K224">
        <v>158</v>
      </c>
      <c r="L224" s="5" t="str">
        <f>DiscreteStatsTable[[#This Row],[ProjectName]]&amp;DiscreteStatsTable[[#This Row],[Name]]&amp;DiscreteStatsTable[[#This Row],[Type]]&amp;DiscreteStatsTable[[#This Row],[Source]]</f>
        <v>Unnamed ProjectMaleta NacionalVA TimeEntity</v>
      </c>
      <c r="M224" s="5" cm="1">
        <f t="array" ref="M224">MAX(IF((ProjectInfoTable[ProjectName]=DiscreteStatsTable[[#This Row],[ProjectName]]),(ProjectInfoTable[ProjectName]=DiscreteStatsTable[[#This Row],[ProjectName]])*ProjectInfoTable[NumberOfReplications]))</f>
        <v>10</v>
      </c>
      <c r="N224" s="5" cm="1">
        <f t="array" ref="N224">IFERROR(AVERAGE(IF((DiscreteStatsTable[GroupByKey]=DiscreteStatsTable[[#This Row],[GroupByKey]]),(DiscreteStatsTable[GroupByKey]=DiscreteStatsTable[[#This Row],[GroupByKey]])*DiscreteStatsTable[Average])),0)</f>
        <v>1.1970866370450852</v>
      </c>
      <c r="O224" s="5" cm="1">
        <f t="array" ref="O224">IFERROR(_xlfn.STDEV.S(IF((DiscreteStatsTable[GroupByKey]=DiscreteStatsTable[[#This Row],[GroupByKey]]),(DiscreteStatsTable[GroupByKey]=DiscreteStatsTable[[#This Row],[GroupByKey]])*DiscreteStatsTable[Average])),0)</f>
        <v>0.16160338579426173</v>
      </c>
      <c r="P224" s="5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 s="5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0.11560409805616673</v>
      </c>
      <c r="R224" s="5" cm="1">
        <f t="array" ref="R224">MIN(IF((DiscreteStatsTable[GroupByKey]=DiscreteStatsTable[[#This Row],[GroupByKey]]),(DiscreteStatsTable[GroupByKey]=DiscreteStatsTable[[#This Row],[GroupByKey]])*DiscreteStatsTable[Average]))</f>
        <v>0.93154168311307295</v>
      </c>
      <c r="S224" s="5" cm="1">
        <f t="array" ref="S224">MAX(IF((DiscreteStatsTable[GroupByKey]=DiscreteStatsTable[[#This Row],[GroupByKey]]),(DiscreteStatsTable[GroupByKey]=DiscreteStatsTable[[#This Row],[GroupByKey]])*DiscreteStatsTable[Average]))</f>
        <v>1.4326343791811</v>
      </c>
      <c r="T224" s="5" cm="1">
        <f t="array" ref="T224">MIN(IF((DiscreteStatsTable[GroupByKey]=DiscreteStatsTable[[#This Row],[GroupByKey]]),(DiscreteStatsTable[GroupByKey]=DiscreteStatsTable[[#This Row],[GroupByKey]])*DiscreteStatsTable[Minimum]))</f>
        <v>3.5780155263864799E-4</v>
      </c>
      <c r="U224" s="5" cm="1">
        <f t="array" ref="U224">MAX(IF((DiscreteStatsTable[GroupByKey]=DiscreteStatsTable[[#This Row],[GroupByKey]]),(DiscreteStatsTable[GroupByKey]=DiscreteStatsTable[[#This Row],[GroupByKey]])*DiscreteStatsTable[Maximum]))</f>
        <v>27.4453656088955</v>
      </c>
      <c r="V224" s="5" cm="1">
        <f t="array" ref="V224">IFERROR(AVERAGE(IF((DiscreteStatsTable[GroupByKey]=DiscreteStatsTable[[#This Row],[GroupByKey]]),(DiscreteStatsTable[GroupByKey]=DiscreteStatsTable[[#This Row],[GroupByKey]])*DiscreteStatsTable[NumberObservations])),0)</f>
        <v>159.1</v>
      </c>
      <c r="W224" s="5">
        <f>IF((DiscreteStatsTable[[#This Row],[RepsRequested]]&gt;1),DiscreteStatsTable[[#This Row],[HalfWidth]],DiscreteStatsTable[[#This Row],[BatchMeansHalfWidth]])</f>
        <v>0.11560409805616673</v>
      </c>
      <c r="X224" s="5" cm="1">
        <f t="array" ref="X224">COUNT(IF((DiscreteStatsTable[GroupByKey]=DiscreteStatsTable[[#This Row],[GroupByKey]]),(DiscreteStatsTable[GroupByKey]=DiscreteStatsTable[[#This Row],[GroupByKey]])*DiscreteStatsTable[Replication]))</f>
        <v>10</v>
      </c>
      <c r="Y224" s="5">
        <f>IF(DiscreteStatsTable[[#This Row],[RepsRequested]]=DiscreteStatsTable[[#This Row],[RepsWithStatObserved]],1,0)</f>
        <v>1</v>
      </c>
    </row>
    <row r="225" spans="1:25" x14ac:dyDescent="0.3">
      <c r="A225" t="s">
        <v>66</v>
      </c>
      <c r="B225" t="s">
        <v>68</v>
      </c>
      <c r="C225">
        <v>4</v>
      </c>
      <c r="D225" t="s">
        <v>88</v>
      </c>
      <c r="E225" t="s">
        <v>79</v>
      </c>
      <c r="F225" t="s">
        <v>74</v>
      </c>
      <c r="G225">
        <v>1.4442979403737499</v>
      </c>
      <c r="H225">
        <v>2E+20</v>
      </c>
      <c r="I225">
        <v>7.1711218162605006E-2</v>
      </c>
      <c r="J225">
        <v>9.3109921905705697</v>
      </c>
      <c r="K225">
        <v>158</v>
      </c>
      <c r="L225" s="5" t="str">
        <f>DiscreteStatsTable[[#This Row],[ProjectName]]&amp;DiscreteStatsTable[[#This Row],[Name]]&amp;DiscreteStatsTable[[#This Row],[Type]]&amp;DiscreteStatsTable[[#This Row],[Source]]</f>
        <v>Unnamed ProjectMaleta NacionalWait TimeEntity</v>
      </c>
      <c r="M225" s="5" cm="1">
        <f t="array" ref="M225">MAX(IF((ProjectInfoTable[ProjectName]=DiscreteStatsTable[[#This Row],[ProjectName]]),(ProjectInfoTable[ProjectName]=DiscreteStatsTable[[#This Row],[ProjectName]])*ProjectInfoTable[NumberOfReplications]))</f>
        <v>10</v>
      </c>
      <c r="N225" s="5" cm="1">
        <f t="array" ref="N225">IFERROR(AVERAGE(IF((DiscreteStatsTable[GroupByKey]=DiscreteStatsTable[[#This Row],[GroupByKey]]),(DiscreteStatsTable[GroupByKey]=DiscreteStatsTable[[#This Row],[GroupByKey]])*DiscreteStatsTable[Average])),0)</f>
        <v>1.2829074717829589</v>
      </c>
      <c r="O225" s="5" cm="1">
        <f t="array" ref="O225">IFERROR(_xlfn.STDEV.S(IF((DiscreteStatsTable[GroupByKey]=DiscreteStatsTable[[#This Row],[GroupByKey]]),(DiscreteStatsTable[GroupByKey]=DiscreteStatsTable[[#This Row],[GroupByKey]])*DiscreteStatsTable[Average])),0)</f>
        <v>0.19900819614524773</v>
      </c>
      <c r="P225" s="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 s="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0.14236188745726755</v>
      </c>
      <c r="R225" s="5" cm="1">
        <f t="array" ref="R225">MIN(IF((DiscreteStatsTable[GroupByKey]=DiscreteStatsTable[[#This Row],[GroupByKey]]),(DiscreteStatsTable[GroupByKey]=DiscreteStatsTable[[#This Row],[GroupByKey]])*DiscreteStatsTable[Average]))</f>
        <v>0.93034835796656001</v>
      </c>
      <c r="S225" s="5" cm="1">
        <f t="array" ref="S225">MAX(IF((DiscreteStatsTable[GroupByKey]=DiscreteStatsTable[[#This Row],[GroupByKey]]),(DiscreteStatsTable[GroupByKey]=DiscreteStatsTable[[#This Row],[GroupByKey]])*DiscreteStatsTable[Average]))</f>
        <v>1.5005499568751099</v>
      </c>
      <c r="T225" s="5" cm="1">
        <f t="array" ref="T225">MIN(IF((DiscreteStatsTable[GroupByKey]=DiscreteStatsTable[[#This Row],[GroupByKey]]),(DiscreteStatsTable[GroupByKey]=DiscreteStatsTable[[#This Row],[GroupByKey]])*DiscreteStatsTable[Minimum]))</f>
        <v>0</v>
      </c>
      <c r="U225" s="5" cm="1">
        <f t="array" ref="U225">MAX(IF((DiscreteStatsTable[GroupByKey]=DiscreteStatsTable[[#This Row],[GroupByKey]]),(DiscreteStatsTable[GroupByKey]=DiscreteStatsTable[[#This Row],[GroupByKey]])*DiscreteStatsTable[Maximum]))</f>
        <v>10.9519173465048</v>
      </c>
      <c r="V225" s="5" cm="1">
        <f t="array" ref="V225">IFERROR(AVERAGE(IF((DiscreteStatsTable[GroupByKey]=DiscreteStatsTable[[#This Row],[GroupByKey]]),(DiscreteStatsTable[GroupByKey]=DiscreteStatsTable[[#This Row],[GroupByKey]])*DiscreteStatsTable[NumberObservations])),0)</f>
        <v>159.1</v>
      </c>
      <c r="W225" s="5">
        <f>IF((DiscreteStatsTable[[#This Row],[RepsRequested]]&gt;1),DiscreteStatsTable[[#This Row],[HalfWidth]],DiscreteStatsTable[[#This Row],[BatchMeansHalfWidth]])</f>
        <v>0.14236188745726755</v>
      </c>
      <c r="X225" s="5" cm="1">
        <f t="array" ref="X225">COUNT(IF((DiscreteStatsTable[GroupByKey]=DiscreteStatsTable[[#This Row],[GroupByKey]]),(DiscreteStatsTable[GroupByKey]=DiscreteStatsTable[[#This Row],[GroupByKey]])*DiscreteStatsTable[Replication]))</f>
        <v>10</v>
      </c>
      <c r="Y225" s="5">
        <f>IF(DiscreteStatsTable[[#This Row],[RepsRequested]]=DiscreteStatsTable[[#This Row],[RepsWithStatObserved]],1,0)</f>
        <v>1</v>
      </c>
    </row>
    <row r="226" spans="1:25" x14ac:dyDescent="0.3">
      <c r="A226" t="s">
        <v>66</v>
      </c>
      <c r="B226" t="s">
        <v>68</v>
      </c>
      <c r="C226">
        <v>5</v>
      </c>
      <c r="D226" t="s">
        <v>88</v>
      </c>
      <c r="E226" t="s">
        <v>73</v>
      </c>
      <c r="F226" t="s">
        <v>74</v>
      </c>
      <c r="G226">
        <v>0</v>
      </c>
      <c r="H226">
        <v>2E+20</v>
      </c>
      <c r="I226">
        <v>0</v>
      </c>
      <c r="J226">
        <v>0</v>
      </c>
      <c r="K226">
        <v>179</v>
      </c>
      <c r="L226" s="5" t="str">
        <f>DiscreteStatsTable[[#This Row],[ProjectName]]&amp;DiscreteStatsTable[[#This Row],[Name]]&amp;DiscreteStatsTable[[#This Row],[Type]]&amp;DiscreteStatsTable[[#This Row],[Source]]</f>
        <v>Unnamed ProjectMaleta NacionalNVA TimeEntity</v>
      </c>
      <c r="M226" s="5" cm="1">
        <f t="array" ref="M226">MAX(IF((ProjectInfoTable[ProjectName]=DiscreteStatsTable[[#This Row],[ProjectName]]),(ProjectInfoTable[ProjectName]=DiscreteStatsTable[[#This Row],[ProjectName]])*ProjectInfoTable[NumberOfReplications]))</f>
        <v>10</v>
      </c>
      <c r="N226" s="5" cm="1">
        <f t="array" ref="N226">IFERROR(AVERAGE(IF((DiscreteStatsTable[GroupByKey]=DiscreteStatsTable[[#This Row],[GroupByKey]]),(DiscreteStatsTable[GroupByKey]=DiscreteStatsTable[[#This Row],[GroupByKey]])*DiscreteStatsTable[Average])),0)</f>
        <v>0</v>
      </c>
      <c r="O226" s="5" cm="1">
        <f t="array" ref="O226">IFERROR(_xlfn.STDEV.S(IF((DiscreteStatsTable[GroupByKey]=DiscreteStatsTable[[#This Row],[GroupByKey]]),(DiscreteStatsTable[GroupByKey]=DiscreteStatsTable[[#This Row],[GroupByKey]])*DiscreteStatsTable[Average])),0)</f>
        <v>0</v>
      </c>
      <c r="P226" s="5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 s="5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6" s="5" cm="1">
        <f t="array" ref="R226">MIN(IF((DiscreteStatsTable[GroupByKey]=DiscreteStatsTable[[#This Row],[GroupByKey]]),(DiscreteStatsTable[GroupByKey]=DiscreteStatsTable[[#This Row],[GroupByKey]])*DiscreteStatsTable[Average]))</f>
        <v>0</v>
      </c>
      <c r="S226" s="5" cm="1">
        <f t="array" ref="S226">MAX(IF((DiscreteStatsTable[GroupByKey]=DiscreteStatsTable[[#This Row],[GroupByKey]]),(DiscreteStatsTable[GroupByKey]=DiscreteStatsTable[[#This Row],[GroupByKey]])*DiscreteStatsTable[Average]))</f>
        <v>0</v>
      </c>
      <c r="T226" s="5" cm="1">
        <f t="array" ref="T226">MIN(IF((DiscreteStatsTable[GroupByKey]=DiscreteStatsTable[[#This Row],[GroupByKey]]),(DiscreteStatsTable[GroupByKey]=DiscreteStatsTable[[#This Row],[GroupByKey]])*DiscreteStatsTable[Minimum]))</f>
        <v>0</v>
      </c>
      <c r="U226" s="5" cm="1">
        <f t="array" ref="U226">MAX(IF((DiscreteStatsTable[GroupByKey]=DiscreteStatsTable[[#This Row],[GroupByKey]]),(DiscreteStatsTable[GroupByKey]=DiscreteStatsTable[[#This Row],[GroupByKey]])*DiscreteStatsTable[Maximum]))</f>
        <v>0</v>
      </c>
      <c r="V226" s="5" cm="1">
        <f t="array" ref="V226">IFERROR(AVERAGE(IF((DiscreteStatsTable[GroupByKey]=DiscreteStatsTable[[#This Row],[GroupByKey]]),(DiscreteStatsTable[GroupByKey]=DiscreteStatsTable[[#This Row],[GroupByKey]])*DiscreteStatsTable[NumberObservations])),0)</f>
        <v>159.1</v>
      </c>
      <c r="W226" s="5">
        <f>IF((DiscreteStatsTable[[#This Row],[RepsRequested]]&gt;1),DiscreteStatsTable[[#This Row],[HalfWidth]],DiscreteStatsTable[[#This Row],[BatchMeansHalfWidth]])</f>
        <v>0</v>
      </c>
      <c r="X226" s="5" cm="1">
        <f t="array" ref="X226">COUNT(IF((DiscreteStatsTable[GroupByKey]=DiscreteStatsTable[[#This Row],[GroupByKey]]),(DiscreteStatsTable[GroupByKey]=DiscreteStatsTable[[#This Row],[GroupByKey]])*DiscreteStatsTable[Replication]))</f>
        <v>10</v>
      </c>
      <c r="Y226" s="5">
        <f>IF(DiscreteStatsTable[[#This Row],[RepsRequested]]=DiscreteStatsTable[[#This Row],[RepsWithStatObserved]],1,0)</f>
        <v>1</v>
      </c>
    </row>
    <row r="227" spans="1:25" x14ac:dyDescent="0.3">
      <c r="A227" t="s">
        <v>66</v>
      </c>
      <c r="B227" t="s">
        <v>68</v>
      </c>
      <c r="C227">
        <v>5</v>
      </c>
      <c r="D227" t="s">
        <v>88</v>
      </c>
      <c r="E227" t="s">
        <v>75</v>
      </c>
      <c r="F227" t="s">
        <v>74</v>
      </c>
      <c r="G227">
        <v>0</v>
      </c>
      <c r="H227">
        <v>2E+20</v>
      </c>
      <c r="I227">
        <v>0</v>
      </c>
      <c r="J227">
        <v>0</v>
      </c>
      <c r="K227">
        <v>179</v>
      </c>
      <c r="L227" s="5" t="str">
        <f>DiscreteStatsTable[[#This Row],[ProjectName]]&amp;DiscreteStatsTable[[#This Row],[Name]]&amp;DiscreteStatsTable[[#This Row],[Type]]&amp;DiscreteStatsTable[[#This Row],[Source]]</f>
        <v>Unnamed ProjectMaleta NacionalOther TimeEntity</v>
      </c>
      <c r="M227" s="5" cm="1">
        <f t="array" ref="M227">MAX(IF((ProjectInfoTable[ProjectName]=DiscreteStatsTable[[#This Row],[ProjectName]]),(ProjectInfoTable[ProjectName]=DiscreteStatsTable[[#This Row],[ProjectName]])*ProjectInfoTable[NumberOfReplications]))</f>
        <v>10</v>
      </c>
      <c r="N227" s="5" cm="1">
        <f t="array" ref="N227">IFERROR(AVERAGE(IF((DiscreteStatsTable[GroupByKey]=DiscreteStatsTable[[#This Row],[GroupByKey]]),(DiscreteStatsTable[GroupByKey]=DiscreteStatsTable[[#This Row],[GroupByKey]])*DiscreteStatsTable[Average])),0)</f>
        <v>0</v>
      </c>
      <c r="O227" s="5" cm="1">
        <f t="array" ref="O227">IFERROR(_xlfn.STDEV.S(IF((DiscreteStatsTable[GroupByKey]=DiscreteStatsTable[[#This Row],[GroupByKey]]),(DiscreteStatsTable[GroupByKey]=DiscreteStatsTable[[#This Row],[GroupByKey]])*DiscreteStatsTable[Average])),0)</f>
        <v>0</v>
      </c>
      <c r="P227" s="5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 s="5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7" s="5" cm="1">
        <f t="array" ref="R227">MIN(IF((DiscreteStatsTable[GroupByKey]=DiscreteStatsTable[[#This Row],[GroupByKey]]),(DiscreteStatsTable[GroupByKey]=DiscreteStatsTable[[#This Row],[GroupByKey]])*DiscreteStatsTable[Average]))</f>
        <v>0</v>
      </c>
      <c r="S227" s="5" cm="1">
        <f t="array" ref="S227">MAX(IF((DiscreteStatsTable[GroupByKey]=DiscreteStatsTable[[#This Row],[GroupByKey]]),(DiscreteStatsTable[GroupByKey]=DiscreteStatsTable[[#This Row],[GroupByKey]])*DiscreteStatsTable[Average]))</f>
        <v>0</v>
      </c>
      <c r="T227" s="5" cm="1">
        <f t="array" ref="T227">MIN(IF((DiscreteStatsTable[GroupByKey]=DiscreteStatsTable[[#This Row],[GroupByKey]]),(DiscreteStatsTable[GroupByKey]=DiscreteStatsTable[[#This Row],[GroupByKey]])*DiscreteStatsTable[Minimum]))</f>
        <v>0</v>
      </c>
      <c r="U227" s="5" cm="1">
        <f t="array" ref="U227">MAX(IF((DiscreteStatsTable[GroupByKey]=DiscreteStatsTable[[#This Row],[GroupByKey]]),(DiscreteStatsTable[GroupByKey]=DiscreteStatsTable[[#This Row],[GroupByKey]])*DiscreteStatsTable[Maximum]))</f>
        <v>0</v>
      </c>
      <c r="V227" s="5" cm="1">
        <f t="array" ref="V227">IFERROR(AVERAGE(IF((DiscreteStatsTable[GroupByKey]=DiscreteStatsTable[[#This Row],[GroupByKey]]),(DiscreteStatsTable[GroupByKey]=DiscreteStatsTable[[#This Row],[GroupByKey]])*DiscreteStatsTable[NumberObservations])),0)</f>
        <v>159.1</v>
      </c>
      <c r="W227" s="5">
        <f>IF((DiscreteStatsTable[[#This Row],[RepsRequested]]&gt;1),DiscreteStatsTable[[#This Row],[HalfWidth]],DiscreteStatsTable[[#This Row],[BatchMeansHalfWidth]])</f>
        <v>0</v>
      </c>
      <c r="X227" s="5" cm="1">
        <f t="array" ref="X227">COUNT(IF((DiscreteStatsTable[GroupByKey]=DiscreteStatsTable[[#This Row],[GroupByKey]]),(DiscreteStatsTable[GroupByKey]=DiscreteStatsTable[[#This Row],[GroupByKey]])*DiscreteStatsTable[Replication]))</f>
        <v>10</v>
      </c>
      <c r="Y227" s="5">
        <f>IF(DiscreteStatsTable[[#This Row],[RepsRequested]]=DiscreteStatsTable[[#This Row],[RepsWithStatObserved]],1,0)</f>
        <v>1</v>
      </c>
    </row>
    <row r="228" spans="1:25" x14ac:dyDescent="0.3">
      <c r="A228" t="s">
        <v>66</v>
      </c>
      <c r="B228" t="s">
        <v>68</v>
      </c>
      <c r="C228">
        <v>5</v>
      </c>
      <c r="D228" t="s">
        <v>88</v>
      </c>
      <c r="E228" t="s">
        <v>76</v>
      </c>
      <c r="F228" t="s">
        <v>74</v>
      </c>
      <c r="G228">
        <v>9.9881843824663594</v>
      </c>
      <c r="H228">
        <v>2E+20</v>
      </c>
      <c r="I228">
        <v>6.7403231388921503</v>
      </c>
      <c r="J228">
        <v>21.2554468668468</v>
      </c>
      <c r="K228">
        <v>179</v>
      </c>
      <c r="L228" s="5" t="str">
        <f>DiscreteStatsTable[[#This Row],[ProjectName]]&amp;DiscreteStatsTable[[#This Row],[Name]]&amp;DiscreteStatsTable[[#This Row],[Type]]&amp;DiscreteStatsTable[[#This Row],[Source]]</f>
        <v>Unnamed ProjectMaleta NacionalTotal TimeEntity</v>
      </c>
      <c r="M228" s="5" cm="1">
        <f t="array" ref="M228">MAX(IF((ProjectInfoTable[ProjectName]=DiscreteStatsTable[[#This Row],[ProjectName]]),(ProjectInfoTable[ProjectName]=DiscreteStatsTable[[#This Row],[ProjectName]])*ProjectInfoTable[NumberOfReplications]))</f>
        <v>10</v>
      </c>
      <c r="N228" s="5" cm="1">
        <f t="array" ref="N228">IFERROR(AVERAGE(IF((DiscreteStatsTable[GroupByKey]=DiscreteStatsTable[[#This Row],[GroupByKey]]),(DiscreteStatsTable[GroupByKey]=DiscreteStatsTable[[#This Row],[GroupByKey]])*DiscreteStatsTable[Average])),0)</f>
        <v>10.155322958912489</v>
      </c>
      <c r="O228" s="5" cm="1">
        <f t="array" ref="O228">IFERROR(_xlfn.STDEV.S(IF((DiscreteStatsTable[GroupByKey]=DiscreteStatsTable[[#This Row],[GroupByKey]]),(DiscreteStatsTable[GroupByKey]=DiscreteStatsTable[[#This Row],[GroupByKey]])*DiscreteStatsTable[Average])),0)</f>
        <v>0.33418682093278973</v>
      </c>
      <c r="P228" s="5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 s="5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0.23906285023865298</v>
      </c>
      <c r="R228" s="5" cm="1">
        <f t="array" ref="R228">MIN(IF((DiscreteStatsTable[GroupByKey]=DiscreteStatsTable[[#This Row],[GroupByKey]]),(DiscreteStatsTable[GroupByKey]=DiscreteStatsTable[[#This Row],[GroupByKey]])*DiscreteStatsTable[Average]))</f>
        <v>9.5096808134995996</v>
      </c>
      <c r="S228" s="5" cm="1">
        <f t="array" ref="S228">MAX(IF((DiscreteStatsTable[GroupByKey]=DiscreteStatsTable[[#This Row],[GroupByKey]]),(DiscreteStatsTable[GroupByKey]=DiscreteStatsTable[[#This Row],[GroupByKey]])*DiscreteStatsTable[Average]))</f>
        <v>10.541225271035399</v>
      </c>
      <c r="T228" s="5" cm="1">
        <f t="array" ref="T228">MIN(IF((DiscreteStatsTable[GroupByKey]=DiscreteStatsTable[[#This Row],[GroupByKey]]),(DiscreteStatsTable[GroupByKey]=DiscreteStatsTable[[#This Row],[GroupByKey]])*DiscreteStatsTable[Minimum]))</f>
        <v>6.3921838050257502</v>
      </c>
      <c r="U228" s="5" cm="1">
        <f t="array" ref="U228">MAX(IF((DiscreteStatsTable[GroupByKey]=DiscreteStatsTable[[#This Row],[GroupByKey]]),(DiscreteStatsTable[GroupByKey]=DiscreteStatsTable[[#This Row],[GroupByKey]])*DiscreteStatsTable[Maximum]))</f>
        <v>33.212781474357499</v>
      </c>
      <c r="V228" s="5" cm="1">
        <f t="array" ref="V228">IFERROR(AVERAGE(IF((DiscreteStatsTable[GroupByKey]=DiscreteStatsTable[[#This Row],[GroupByKey]]),(DiscreteStatsTable[GroupByKey]=DiscreteStatsTable[[#This Row],[GroupByKey]])*DiscreteStatsTable[NumberObservations])),0)</f>
        <v>159.1</v>
      </c>
      <c r="W228" s="5">
        <f>IF((DiscreteStatsTable[[#This Row],[RepsRequested]]&gt;1),DiscreteStatsTable[[#This Row],[HalfWidth]],DiscreteStatsTable[[#This Row],[BatchMeansHalfWidth]])</f>
        <v>0.23906285023865298</v>
      </c>
      <c r="X228" s="5" cm="1">
        <f t="array" ref="X228">COUNT(IF((DiscreteStatsTable[GroupByKey]=DiscreteStatsTable[[#This Row],[GroupByKey]]),(DiscreteStatsTable[GroupByKey]=DiscreteStatsTable[[#This Row],[GroupByKey]])*DiscreteStatsTable[Replication]))</f>
        <v>10</v>
      </c>
      <c r="Y228" s="5">
        <f>IF(DiscreteStatsTable[[#This Row],[RepsRequested]]=DiscreteStatsTable[[#This Row],[RepsWithStatObserved]],1,0)</f>
        <v>1</v>
      </c>
    </row>
    <row r="229" spans="1:25" x14ac:dyDescent="0.3">
      <c r="A229" t="s">
        <v>66</v>
      </c>
      <c r="B229" t="s">
        <v>68</v>
      </c>
      <c r="C229">
        <v>5</v>
      </c>
      <c r="D229" t="s">
        <v>88</v>
      </c>
      <c r="E229" t="s">
        <v>77</v>
      </c>
      <c r="F229" t="s">
        <v>74</v>
      </c>
      <c r="G229">
        <v>7.6409975959341896</v>
      </c>
      <c r="H229">
        <v>2E+20</v>
      </c>
      <c r="I229">
        <v>5</v>
      </c>
      <c r="J229">
        <v>9.4861191982811306</v>
      </c>
      <c r="K229">
        <v>179</v>
      </c>
      <c r="L229" s="5" t="str">
        <f>DiscreteStatsTable[[#This Row],[ProjectName]]&amp;DiscreteStatsTable[[#This Row],[Name]]&amp;DiscreteStatsTable[[#This Row],[Type]]&amp;DiscreteStatsTable[[#This Row],[Source]]</f>
        <v>Unnamed ProjectMaleta NacionalTransfer TimeEntity</v>
      </c>
      <c r="M229" s="5" cm="1">
        <f t="array" ref="M229">MAX(IF((ProjectInfoTable[ProjectName]=DiscreteStatsTable[[#This Row],[ProjectName]]),(ProjectInfoTable[ProjectName]=DiscreteStatsTable[[#This Row],[ProjectName]])*ProjectInfoTable[NumberOfReplications]))</f>
        <v>10</v>
      </c>
      <c r="N229" s="5" cm="1">
        <f t="array" ref="N229">IFERROR(AVERAGE(IF((DiscreteStatsTable[GroupByKey]=DiscreteStatsTable[[#This Row],[GroupByKey]]),(DiscreteStatsTable[GroupByKey]=DiscreteStatsTable[[#This Row],[GroupByKey]])*DiscreteStatsTable[Average])),0)</f>
        <v>7.6753288500844494</v>
      </c>
      <c r="O229" s="5" cm="1">
        <f t="array" ref="O229">IFERROR(_xlfn.STDEV.S(IF((DiscreteStatsTable[GroupByKey]=DiscreteStatsTable[[#This Row],[GroupByKey]]),(DiscreteStatsTable[GroupByKey]=DiscreteStatsTable[[#This Row],[GroupByKey]])*DiscreteStatsTable[Average])),0)</f>
        <v>3.9746429823300011E-2</v>
      </c>
      <c r="P229" s="5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 s="5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2.8432883061776049E-2</v>
      </c>
      <c r="R229" s="5" cm="1">
        <f t="array" ref="R229">MIN(IF((DiscreteStatsTable[GroupByKey]=DiscreteStatsTable[[#This Row],[GroupByKey]]),(DiscreteStatsTable[GroupByKey]=DiscreteStatsTable[[#This Row],[GroupByKey]])*DiscreteStatsTable[Average]))</f>
        <v>7.6171173934620997</v>
      </c>
      <c r="S229" s="5" cm="1">
        <f t="array" ref="S229">MAX(IF((DiscreteStatsTable[GroupByKey]=DiscreteStatsTable[[#This Row],[GroupByKey]]),(DiscreteStatsTable[GroupByKey]=DiscreteStatsTable[[#This Row],[GroupByKey]])*DiscreteStatsTable[Average]))</f>
        <v>7.7465011776556301</v>
      </c>
      <c r="T229" s="5" cm="1">
        <f t="array" ref="T229">MIN(IF((DiscreteStatsTable[GroupByKey]=DiscreteStatsTable[[#This Row],[GroupByKey]]),(DiscreteStatsTable[GroupByKey]=DiscreteStatsTable[[#This Row],[GroupByKey]])*DiscreteStatsTable[Minimum]))</f>
        <v>4.9973602639356596</v>
      </c>
      <c r="U229" s="5" cm="1">
        <f t="array" ref="U229">MAX(IF((DiscreteStatsTable[GroupByKey]=DiscreteStatsTable[[#This Row],[GroupByKey]]),(DiscreteStatsTable[GroupByKey]=DiscreteStatsTable[[#This Row],[GroupByKey]])*DiscreteStatsTable[Maximum]))</f>
        <v>10.3780432567189</v>
      </c>
      <c r="V229" s="5" cm="1">
        <f t="array" ref="V229">IFERROR(AVERAGE(IF((DiscreteStatsTable[GroupByKey]=DiscreteStatsTable[[#This Row],[GroupByKey]]),(DiscreteStatsTable[GroupByKey]=DiscreteStatsTable[[#This Row],[GroupByKey]])*DiscreteStatsTable[NumberObservations])),0)</f>
        <v>159.1</v>
      </c>
      <c r="W229" s="5">
        <f>IF((DiscreteStatsTable[[#This Row],[RepsRequested]]&gt;1),DiscreteStatsTable[[#This Row],[HalfWidth]],DiscreteStatsTable[[#This Row],[BatchMeansHalfWidth]])</f>
        <v>2.8432883061776049E-2</v>
      </c>
      <c r="X229" s="5" cm="1">
        <f t="array" ref="X229">COUNT(IF((DiscreteStatsTable[GroupByKey]=DiscreteStatsTable[[#This Row],[GroupByKey]]),(DiscreteStatsTable[GroupByKey]=DiscreteStatsTable[[#This Row],[GroupByKey]])*DiscreteStatsTable[Replication]))</f>
        <v>10</v>
      </c>
      <c r="Y229" s="5">
        <f>IF(DiscreteStatsTable[[#This Row],[RepsRequested]]=DiscreteStatsTable[[#This Row],[RepsWithStatObserved]],1,0)</f>
        <v>1</v>
      </c>
    </row>
    <row r="230" spans="1:25" x14ac:dyDescent="0.3">
      <c r="A230" t="s">
        <v>66</v>
      </c>
      <c r="B230" t="s">
        <v>68</v>
      </c>
      <c r="C230">
        <v>5</v>
      </c>
      <c r="D230" t="s">
        <v>88</v>
      </c>
      <c r="E230" t="s">
        <v>78</v>
      </c>
      <c r="F230" t="s">
        <v>74</v>
      </c>
      <c r="G230">
        <v>1.12985180913973</v>
      </c>
      <c r="H230">
        <v>2E+20</v>
      </c>
      <c r="I230">
        <v>4.8364008379166998E-3</v>
      </c>
      <c r="J230">
        <v>10.7216462692334</v>
      </c>
      <c r="K230">
        <v>179</v>
      </c>
      <c r="L230" s="5" t="str">
        <f>DiscreteStatsTable[[#This Row],[ProjectName]]&amp;DiscreteStatsTable[[#This Row],[Name]]&amp;DiscreteStatsTable[[#This Row],[Type]]&amp;DiscreteStatsTable[[#This Row],[Source]]</f>
        <v>Unnamed ProjectMaleta NacionalVA TimeEntity</v>
      </c>
      <c r="M230" s="5" cm="1">
        <f t="array" ref="M230">MAX(IF((ProjectInfoTable[ProjectName]=DiscreteStatsTable[[#This Row],[ProjectName]]),(ProjectInfoTable[ProjectName]=DiscreteStatsTable[[#This Row],[ProjectName]])*ProjectInfoTable[NumberOfReplications]))</f>
        <v>10</v>
      </c>
      <c r="N230" s="5" cm="1">
        <f t="array" ref="N230">IFERROR(AVERAGE(IF((DiscreteStatsTable[GroupByKey]=DiscreteStatsTable[[#This Row],[GroupByKey]]),(DiscreteStatsTable[GroupByKey]=DiscreteStatsTable[[#This Row],[GroupByKey]])*DiscreteStatsTable[Average])),0)</f>
        <v>1.1970866370450852</v>
      </c>
      <c r="O230" s="5" cm="1">
        <f t="array" ref="O230">IFERROR(_xlfn.STDEV.S(IF((DiscreteStatsTable[GroupByKey]=DiscreteStatsTable[[#This Row],[GroupByKey]]),(DiscreteStatsTable[GroupByKey]=DiscreteStatsTable[[#This Row],[GroupByKey]])*DiscreteStatsTable[Average])),0)</f>
        <v>0.16160338579426173</v>
      </c>
      <c r="P230" s="5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 s="5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0.11560409805616673</v>
      </c>
      <c r="R230" s="5" cm="1">
        <f t="array" ref="R230">MIN(IF((DiscreteStatsTable[GroupByKey]=DiscreteStatsTable[[#This Row],[GroupByKey]]),(DiscreteStatsTable[GroupByKey]=DiscreteStatsTable[[#This Row],[GroupByKey]])*DiscreteStatsTable[Average]))</f>
        <v>0.93154168311307295</v>
      </c>
      <c r="S230" s="5" cm="1">
        <f t="array" ref="S230">MAX(IF((DiscreteStatsTable[GroupByKey]=DiscreteStatsTable[[#This Row],[GroupByKey]]),(DiscreteStatsTable[GroupByKey]=DiscreteStatsTable[[#This Row],[GroupByKey]])*DiscreteStatsTable[Average]))</f>
        <v>1.4326343791811</v>
      </c>
      <c r="T230" s="5" cm="1">
        <f t="array" ref="T230">MIN(IF((DiscreteStatsTable[GroupByKey]=DiscreteStatsTable[[#This Row],[GroupByKey]]),(DiscreteStatsTable[GroupByKey]=DiscreteStatsTable[[#This Row],[GroupByKey]])*DiscreteStatsTable[Minimum]))</f>
        <v>3.5780155263864799E-4</v>
      </c>
      <c r="U230" s="5" cm="1">
        <f t="array" ref="U230">MAX(IF((DiscreteStatsTable[GroupByKey]=DiscreteStatsTable[[#This Row],[GroupByKey]]),(DiscreteStatsTable[GroupByKey]=DiscreteStatsTable[[#This Row],[GroupByKey]])*DiscreteStatsTable[Maximum]))</f>
        <v>27.4453656088955</v>
      </c>
      <c r="V230" s="5" cm="1">
        <f t="array" ref="V230">IFERROR(AVERAGE(IF((DiscreteStatsTable[GroupByKey]=DiscreteStatsTable[[#This Row],[GroupByKey]]),(DiscreteStatsTable[GroupByKey]=DiscreteStatsTable[[#This Row],[GroupByKey]])*DiscreteStatsTable[NumberObservations])),0)</f>
        <v>159.1</v>
      </c>
      <c r="W230" s="5">
        <f>IF((DiscreteStatsTable[[#This Row],[RepsRequested]]&gt;1),DiscreteStatsTable[[#This Row],[HalfWidth]],DiscreteStatsTable[[#This Row],[BatchMeansHalfWidth]])</f>
        <v>0.11560409805616673</v>
      </c>
      <c r="X230" s="5" cm="1">
        <f t="array" ref="X230">COUNT(IF((DiscreteStatsTable[GroupByKey]=DiscreteStatsTable[[#This Row],[GroupByKey]]),(DiscreteStatsTable[GroupByKey]=DiscreteStatsTable[[#This Row],[GroupByKey]])*DiscreteStatsTable[Replication]))</f>
        <v>10</v>
      </c>
      <c r="Y230" s="5">
        <f>IF(DiscreteStatsTable[[#This Row],[RepsRequested]]=DiscreteStatsTable[[#This Row],[RepsWithStatObserved]],1,0)</f>
        <v>1</v>
      </c>
    </row>
    <row r="231" spans="1:25" x14ac:dyDescent="0.3">
      <c r="A231" t="s">
        <v>66</v>
      </c>
      <c r="B231" t="s">
        <v>68</v>
      </c>
      <c r="C231">
        <v>5</v>
      </c>
      <c r="D231" t="s">
        <v>88</v>
      </c>
      <c r="E231" t="s">
        <v>79</v>
      </c>
      <c r="F231" t="s">
        <v>74</v>
      </c>
      <c r="G231">
        <v>1.21733497739244</v>
      </c>
      <c r="H231">
        <v>2E+20</v>
      </c>
      <c r="I231">
        <v>3.6384183428140197E-2</v>
      </c>
      <c r="J231">
        <v>6.0796475947502104</v>
      </c>
      <c r="K231">
        <v>179</v>
      </c>
      <c r="L231" s="5" t="str">
        <f>DiscreteStatsTable[[#This Row],[ProjectName]]&amp;DiscreteStatsTable[[#This Row],[Name]]&amp;DiscreteStatsTable[[#This Row],[Type]]&amp;DiscreteStatsTable[[#This Row],[Source]]</f>
        <v>Unnamed ProjectMaleta NacionalWait TimeEntity</v>
      </c>
      <c r="M231" s="5" cm="1">
        <f t="array" ref="M231">MAX(IF((ProjectInfoTable[ProjectName]=DiscreteStatsTable[[#This Row],[ProjectName]]),(ProjectInfoTable[ProjectName]=DiscreteStatsTable[[#This Row],[ProjectName]])*ProjectInfoTable[NumberOfReplications]))</f>
        <v>10</v>
      </c>
      <c r="N231" s="5" cm="1">
        <f t="array" ref="N231">IFERROR(AVERAGE(IF((DiscreteStatsTable[GroupByKey]=DiscreteStatsTable[[#This Row],[GroupByKey]]),(DiscreteStatsTable[GroupByKey]=DiscreteStatsTable[[#This Row],[GroupByKey]])*DiscreteStatsTable[Average])),0)</f>
        <v>1.2829074717829589</v>
      </c>
      <c r="O231" s="5" cm="1">
        <f t="array" ref="O231">IFERROR(_xlfn.STDEV.S(IF((DiscreteStatsTable[GroupByKey]=DiscreteStatsTable[[#This Row],[GroupByKey]]),(DiscreteStatsTable[GroupByKey]=DiscreteStatsTable[[#This Row],[GroupByKey]])*DiscreteStatsTable[Average])),0)</f>
        <v>0.19900819614524773</v>
      </c>
      <c r="P231" s="5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 s="5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0.14236188745726755</v>
      </c>
      <c r="R231" s="5" cm="1">
        <f t="array" ref="R231">MIN(IF((DiscreteStatsTable[GroupByKey]=DiscreteStatsTable[[#This Row],[GroupByKey]]),(DiscreteStatsTable[GroupByKey]=DiscreteStatsTable[[#This Row],[GroupByKey]])*DiscreteStatsTable[Average]))</f>
        <v>0.93034835796656001</v>
      </c>
      <c r="S231" s="5" cm="1">
        <f t="array" ref="S231">MAX(IF((DiscreteStatsTable[GroupByKey]=DiscreteStatsTable[[#This Row],[GroupByKey]]),(DiscreteStatsTable[GroupByKey]=DiscreteStatsTable[[#This Row],[GroupByKey]])*DiscreteStatsTable[Average]))</f>
        <v>1.5005499568751099</v>
      </c>
      <c r="T231" s="5" cm="1">
        <f t="array" ref="T231">MIN(IF((DiscreteStatsTable[GroupByKey]=DiscreteStatsTable[[#This Row],[GroupByKey]]),(DiscreteStatsTable[GroupByKey]=DiscreteStatsTable[[#This Row],[GroupByKey]])*DiscreteStatsTable[Minimum]))</f>
        <v>0</v>
      </c>
      <c r="U231" s="5" cm="1">
        <f t="array" ref="U231">MAX(IF((DiscreteStatsTable[GroupByKey]=DiscreteStatsTable[[#This Row],[GroupByKey]]),(DiscreteStatsTable[GroupByKey]=DiscreteStatsTable[[#This Row],[GroupByKey]])*DiscreteStatsTable[Maximum]))</f>
        <v>10.9519173465048</v>
      </c>
      <c r="V231" s="5" cm="1">
        <f t="array" ref="V231">IFERROR(AVERAGE(IF((DiscreteStatsTable[GroupByKey]=DiscreteStatsTable[[#This Row],[GroupByKey]]),(DiscreteStatsTable[GroupByKey]=DiscreteStatsTable[[#This Row],[GroupByKey]])*DiscreteStatsTable[NumberObservations])),0)</f>
        <v>159.1</v>
      </c>
      <c r="W231" s="5">
        <f>IF((DiscreteStatsTable[[#This Row],[RepsRequested]]&gt;1),DiscreteStatsTable[[#This Row],[HalfWidth]],DiscreteStatsTable[[#This Row],[BatchMeansHalfWidth]])</f>
        <v>0.14236188745726755</v>
      </c>
      <c r="X231" s="5" cm="1">
        <f t="array" ref="X231">COUNT(IF((DiscreteStatsTable[GroupByKey]=DiscreteStatsTable[[#This Row],[GroupByKey]]),(DiscreteStatsTable[GroupByKey]=DiscreteStatsTable[[#This Row],[GroupByKey]])*DiscreteStatsTable[Replication]))</f>
        <v>10</v>
      </c>
      <c r="Y231" s="5">
        <f>IF(DiscreteStatsTable[[#This Row],[RepsRequested]]=DiscreteStatsTable[[#This Row],[RepsWithStatObserved]],1,0)</f>
        <v>1</v>
      </c>
    </row>
    <row r="232" spans="1:25" x14ac:dyDescent="0.3">
      <c r="A232" t="s">
        <v>66</v>
      </c>
      <c r="B232" t="s">
        <v>68</v>
      </c>
      <c r="C232">
        <v>6</v>
      </c>
      <c r="D232" t="s">
        <v>88</v>
      </c>
      <c r="E232" t="s">
        <v>73</v>
      </c>
      <c r="F232" t="s">
        <v>74</v>
      </c>
      <c r="G232">
        <v>0</v>
      </c>
      <c r="H232">
        <v>2E+20</v>
      </c>
      <c r="I232">
        <v>0</v>
      </c>
      <c r="J232">
        <v>0</v>
      </c>
      <c r="K232">
        <v>155</v>
      </c>
      <c r="L232" s="5" t="str">
        <f>DiscreteStatsTable[[#This Row],[ProjectName]]&amp;DiscreteStatsTable[[#This Row],[Name]]&amp;DiscreteStatsTable[[#This Row],[Type]]&amp;DiscreteStatsTable[[#This Row],[Source]]</f>
        <v>Unnamed ProjectMaleta NacionalNVA TimeEntity</v>
      </c>
      <c r="M232" s="5" cm="1">
        <f t="array" ref="M232">MAX(IF((ProjectInfoTable[ProjectName]=DiscreteStatsTable[[#This Row],[ProjectName]]),(ProjectInfoTable[ProjectName]=DiscreteStatsTable[[#This Row],[ProjectName]])*ProjectInfoTable[NumberOfReplications]))</f>
        <v>10</v>
      </c>
      <c r="N232" s="5" cm="1">
        <f t="array" ref="N232">IFERROR(AVERAGE(IF((DiscreteStatsTable[GroupByKey]=DiscreteStatsTable[[#This Row],[GroupByKey]]),(DiscreteStatsTable[GroupByKey]=DiscreteStatsTable[[#This Row],[GroupByKey]])*DiscreteStatsTable[Average])),0)</f>
        <v>0</v>
      </c>
      <c r="O232" s="5" cm="1">
        <f t="array" ref="O232">IFERROR(_xlfn.STDEV.S(IF((DiscreteStatsTable[GroupByKey]=DiscreteStatsTable[[#This Row],[GroupByKey]]),(DiscreteStatsTable[GroupByKey]=DiscreteStatsTable[[#This Row],[GroupByKey]])*DiscreteStatsTable[Average])),0)</f>
        <v>0</v>
      </c>
      <c r="P232" s="5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 s="5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2" s="5" cm="1">
        <f t="array" ref="R232">MIN(IF((DiscreteStatsTable[GroupByKey]=DiscreteStatsTable[[#This Row],[GroupByKey]]),(DiscreteStatsTable[GroupByKey]=DiscreteStatsTable[[#This Row],[GroupByKey]])*DiscreteStatsTable[Average]))</f>
        <v>0</v>
      </c>
      <c r="S232" s="5" cm="1">
        <f t="array" ref="S232">MAX(IF((DiscreteStatsTable[GroupByKey]=DiscreteStatsTable[[#This Row],[GroupByKey]]),(DiscreteStatsTable[GroupByKey]=DiscreteStatsTable[[#This Row],[GroupByKey]])*DiscreteStatsTable[Average]))</f>
        <v>0</v>
      </c>
      <c r="T232" s="5" cm="1">
        <f t="array" ref="T232">MIN(IF((DiscreteStatsTable[GroupByKey]=DiscreteStatsTable[[#This Row],[GroupByKey]]),(DiscreteStatsTable[GroupByKey]=DiscreteStatsTable[[#This Row],[GroupByKey]])*DiscreteStatsTable[Minimum]))</f>
        <v>0</v>
      </c>
      <c r="U232" s="5" cm="1">
        <f t="array" ref="U232">MAX(IF((DiscreteStatsTable[GroupByKey]=DiscreteStatsTable[[#This Row],[GroupByKey]]),(DiscreteStatsTable[GroupByKey]=DiscreteStatsTable[[#This Row],[GroupByKey]])*DiscreteStatsTable[Maximum]))</f>
        <v>0</v>
      </c>
      <c r="V232" s="5" cm="1">
        <f t="array" ref="V232">IFERROR(AVERAGE(IF((DiscreteStatsTable[GroupByKey]=DiscreteStatsTable[[#This Row],[GroupByKey]]),(DiscreteStatsTable[GroupByKey]=DiscreteStatsTable[[#This Row],[GroupByKey]])*DiscreteStatsTable[NumberObservations])),0)</f>
        <v>159.1</v>
      </c>
      <c r="W232" s="5">
        <f>IF((DiscreteStatsTable[[#This Row],[RepsRequested]]&gt;1),DiscreteStatsTable[[#This Row],[HalfWidth]],DiscreteStatsTable[[#This Row],[BatchMeansHalfWidth]])</f>
        <v>0</v>
      </c>
      <c r="X232" s="5" cm="1">
        <f t="array" ref="X232">COUNT(IF((DiscreteStatsTable[GroupByKey]=DiscreteStatsTable[[#This Row],[GroupByKey]]),(DiscreteStatsTable[GroupByKey]=DiscreteStatsTable[[#This Row],[GroupByKey]])*DiscreteStatsTable[Replication]))</f>
        <v>10</v>
      </c>
      <c r="Y232" s="5">
        <f>IF(DiscreteStatsTable[[#This Row],[RepsRequested]]=DiscreteStatsTable[[#This Row],[RepsWithStatObserved]],1,0)</f>
        <v>1</v>
      </c>
    </row>
    <row r="233" spans="1:25" x14ac:dyDescent="0.3">
      <c r="A233" t="s">
        <v>66</v>
      </c>
      <c r="B233" t="s">
        <v>68</v>
      </c>
      <c r="C233">
        <v>6</v>
      </c>
      <c r="D233" t="s">
        <v>88</v>
      </c>
      <c r="E233" t="s">
        <v>75</v>
      </c>
      <c r="F233" t="s">
        <v>74</v>
      </c>
      <c r="G233">
        <v>0</v>
      </c>
      <c r="H233">
        <v>2E+20</v>
      </c>
      <c r="I233">
        <v>0</v>
      </c>
      <c r="J233">
        <v>0</v>
      </c>
      <c r="K233">
        <v>155</v>
      </c>
      <c r="L233" s="5" t="str">
        <f>DiscreteStatsTable[[#This Row],[ProjectName]]&amp;DiscreteStatsTable[[#This Row],[Name]]&amp;DiscreteStatsTable[[#This Row],[Type]]&amp;DiscreteStatsTable[[#This Row],[Source]]</f>
        <v>Unnamed ProjectMaleta NacionalOther TimeEntity</v>
      </c>
      <c r="M233" s="5" cm="1">
        <f t="array" ref="M233">MAX(IF((ProjectInfoTable[ProjectName]=DiscreteStatsTable[[#This Row],[ProjectName]]),(ProjectInfoTable[ProjectName]=DiscreteStatsTable[[#This Row],[ProjectName]])*ProjectInfoTable[NumberOfReplications]))</f>
        <v>10</v>
      </c>
      <c r="N233" s="5" cm="1">
        <f t="array" ref="N233">IFERROR(AVERAGE(IF((DiscreteStatsTable[GroupByKey]=DiscreteStatsTable[[#This Row],[GroupByKey]]),(DiscreteStatsTable[GroupByKey]=DiscreteStatsTable[[#This Row],[GroupByKey]])*DiscreteStatsTable[Average])),0)</f>
        <v>0</v>
      </c>
      <c r="O233" s="5" cm="1">
        <f t="array" ref="O233">IFERROR(_xlfn.STDEV.S(IF((DiscreteStatsTable[GroupByKey]=DiscreteStatsTable[[#This Row],[GroupByKey]]),(DiscreteStatsTable[GroupByKey]=DiscreteStatsTable[[#This Row],[GroupByKey]])*DiscreteStatsTable[Average])),0)</f>
        <v>0</v>
      </c>
      <c r="P233" s="5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 s="5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3" s="5" cm="1">
        <f t="array" ref="R233">MIN(IF((DiscreteStatsTable[GroupByKey]=DiscreteStatsTable[[#This Row],[GroupByKey]]),(DiscreteStatsTable[GroupByKey]=DiscreteStatsTable[[#This Row],[GroupByKey]])*DiscreteStatsTable[Average]))</f>
        <v>0</v>
      </c>
      <c r="S233" s="5" cm="1">
        <f t="array" ref="S233">MAX(IF((DiscreteStatsTable[GroupByKey]=DiscreteStatsTable[[#This Row],[GroupByKey]]),(DiscreteStatsTable[GroupByKey]=DiscreteStatsTable[[#This Row],[GroupByKey]])*DiscreteStatsTable[Average]))</f>
        <v>0</v>
      </c>
      <c r="T233" s="5" cm="1">
        <f t="array" ref="T233">MIN(IF((DiscreteStatsTable[GroupByKey]=DiscreteStatsTable[[#This Row],[GroupByKey]]),(DiscreteStatsTable[GroupByKey]=DiscreteStatsTable[[#This Row],[GroupByKey]])*DiscreteStatsTable[Minimum]))</f>
        <v>0</v>
      </c>
      <c r="U233" s="5" cm="1">
        <f t="array" ref="U233">MAX(IF((DiscreteStatsTable[GroupByKey]=DiscreteStatsTable[[#This Row],[GroupByKey]]),(DiscreteStatsTable[GroupByKey]=DiscreteStatsTable[[#This Row],[GroupByKey]])*DiscreteStatsTable[Maximum]))</f>
        <v>0</v>
      </c>
      <c r="V233" s="5" cm="1">
        <f t="array" ref="V233">IFERROR(AVERAGE(IF((DiscreteStatsTable[GroupByKey]=DiscreteStatsTable[[#This Row],[GroupByKey]]),(DiscreteStatsTable[GroupByKey]=DiscreteStatsTable[[#This Row],[GroupByKey]])*DiscreteStatsTable[NumberObservations])),0)</f>
        <v>159.1</v>
      </c>
      <c r="W233" s="5">
        <f>IF((DiscreteStatsTable[[#This Row],[RepsRequested]]&gt;1),DiscreteStatsTable[[#This Row],[HalfWidth]],DiscreteStatsTable[[#This Row],[BatchMeansHalfWidth]])</f>
        <v>0</v>
      </c>
      <c r="X233" s="5" cm="1">
        <f t="array" ref="X233">COUNT(IF((DiscreteStatsTable[GroupByKey]=DiscreteStatsTable[[#This Row],[GroupByKey]]),(DiscreteStatsTable[GroupByKey]=DiscreteStatsTable[[#This Row],[GroupByKey]])*DiscreteStatsTable[Replication]))</f>
        <v>10</v>
      </c>
      <c r="Y233" s="5">
        <f>IF(DiscreteStatsTable[[#This Row],[RepsRequested]]=DiscreteStatsTable[[#This Row],[RepsWithStatObserved]],1,0)</f>
        <v>1</v>
      </c>
    </row>
    <row r="234" spans="1:25" x14ac:dyDescent="0.3">
      <c r="A234" t="s">
        <v>66</v>
      </c>
      <c r="B234" t="s">
        <v>68</v>
      </c>
      <c r="C234">
        <v>6</v>
      </c>
      <c r="D234" t="s">
        <v>88</v>
      </c>
      <c r="E234" t="s">
        <v>76</v>
      </c>
      <c r="F234" t="s">
        <v>74</v>
      </c>
      <c r="G234">
        <v>9.5096808134995996</v>
      </c>
      <c r="H234">
        <v>2E+20</v>
      </c>
      <c r="I234">
        <v>6.8274670267818198</v>
      </c>
      <c r="J234">
        <v>16.744731834428102</v>
      </c>
      <c r="K234">
        <v>155</v>
      </c>
      <c r="L234" s="5" t="str">
        <f>DiscreteStatsTable[[#This Row],[ProjectName]]&amp;DiscreteStatsTable[[#This Row],[Name]]&amp;DiscreteStatsTable[[#This Row],[Type]]&amp;DiscreteStatsTable[[#This Row],[Source]]</f>
        <v>Unnamed ProjectMaleta NacionalTotal TimeEntity</v>
      </c>
      <c r="M234" s="5" cm="1">
        <f t="array" ref="M234">MAX(IF((ProjectInfoTable[ProjectName]=DiscreteStatsTable[[#This Row],[ProjectName]]),(ProjectInfoTable[ProjectName]=DiscreteStatsTable[[#This Row],[ProjectName]])*ProjectInfoTable[NumberOfReplications]))</f>
        <v>10</v>
      </c>
      <c r="N234" s="5" cm="1">
        <f t="array" ref="N234">IFERROR(AVERAGE(IF((DiscreteStatsTable[GroupByKey]=DiscreteStatsTable[[#This Row],[GroupByKey]]),(DiscreteStatsTable[GroupByKey]=DiscreteStatsTable[[#This Row],[GroupByKey]])*DiscreteStatsTable[Average])),0)</f>
        <v>10.155322958912489</v>
      </c>
      <c r="O234" s="5" cm="1">
        <f t="array" ref="O234">IFERROR(_xlfn.STDEV.S(IF((DiscreteStatsTable[GroupByKey]=DiscreteStatsTable[[#This Row],[GroupByKey]]),(DiscreteStatsTable[GroupByKey]=DiscreteStatsTable[[#This Row],[GroupByKey]])*DiscreteStatsTable[Average])),0)</f>
        <v>0.33418682093278973</v>
      </c>
      <c r="P234" s="5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 s="5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0.23906285023865298</v>
      </c>
      <c r="R234" s="5" cm="1">
        <f t="array" ref="R234">MIN(IF((DiscreteStatsTable[GroupByKey]=DiscreteStatsTable[[#This Row],[GroupByKey]]),(DiscreteStatsTable[GroupByKey]=DiscreteStatsTable[[#This Row],[GroupByKey]])*DiscreteStatsTable[Average]))</f>
        <v>9.5096808134995996</v>
      </c>
      <c r="S234" s="5" cm="1">
        <f t="array" ref="S234">MAX(IF((DiscreteStatsTable[GroupByKey]=DiscreteStatsTable[[#This Row],[GroupByKey]]),(DiscreteStatsTable[GroupByKey]=DiscreteStatsTable[[#This Row],[GroupByKey]])*DiscreteStatsTable[Average]))</f>
        <v>10.541225271035399</v>
      </c>
      <c r="T234" s="5" cm="1">
        <f t="array" ref="T234">MIN(IF((DiscreteStatsTable[GroupByKey]=DiscreteStatsTable[[#This Row],[GroupByKey]]),(DiscreteStatsTable[GroupByKey]=DiscreteStatsTable[[#This Row],[GroupByKey]])*DiscreteStatsTable[Minimum]))</f>
        <v>6.3921838050257502</v>
      </c>
      <c r="U234" s="5" cm="1">
        <f t="array" ref="U234">MAX(IF((DiscreteStatsTable[GroupByKey]=DiscreteStatsTable[[#This Row],[GroupByKey]]),(DiscreteStatsTable[GroupByKey]=DiscreteStatsTable[[#This Row],[GroupByKey]])*DiscreteStatsTable[Maximum]))</f>
        <v>33.212781474357499</v>
      </c>
      <c r="V234" s="5" cm="1">
        <f t="array" ref="V234">IFERROR(AVERAGE(IF((DiscreteStatsTable[GroupByKey]=DiscreteStatsTable[[#This Row],[GroupByKey]]),(DiscreteStatsTable[GroupByKey]=DiscreteStatsTable[[#This Row],[GroupByKey]])*DiscreteStatsTable[NumberObservations])),0)</f>
        <v>159.1</v>
      </c>
      <c r="W234" s="5">
        <f>IF((DiscreteStatsTable[[#This Row],[RepsRequested]]&gt;1),DiscreteStatsTable[[#This Row],[HalfWidth]],DiscreteStatsTable[[#This Row],[BatchMeansHalfWidth]])</f>
        <v>0.23906285023865298</v>
      </c>
      <c r="X234" s="5" cm="1">
        <f t="array" ref="X234">COUNT(IF((DiscreteStatsTable[GroupByKey]=DiscreteStatsTable[[#This Row],[GroupByKey]]),(DiscreteStatsTable[GroupByKey]=DiscreteStatsTable[[#This Row],[GroupByKey]])*DiscreteStatsTable[Replication]))</f>
        <v>10</v>
      </c>
      <c r="Y234" s="5">
        <f>IF(DiscreteStatsTable[[#This Row],[RepsRequested]]=DiscreteStatsTable[[#This Row],[RepsWithStatObserved]],1,0)</f>
        <v>1</v>
      </c>
    </row>
    <row r="235" spans="1:25" x14ac:dyDescent="0.3">
      <c r="A235" t="s">
        <v>66</v>
      </c>
      <c r="B235" t="s">
        <v>68</v>
      </c>
      <c r="C235">
        <v>6</v>
      </c>
      <c r="D235" t="s">
        <v>88</v>
      </c>
      <c r="E235" t="s">
        <v>77</v>
      </c>
      <c r="F235" t="s">
        <v>74</v>
      </c>
      <c r="G235">
        <v>7.6477907724199703</v>
      </c>
      <c r="H235">
        <v>2E+20</v>
      </c>
      <c r="I235">
        <v>5</v>
      </c>
      <c r="J235">
        <v>9.0192719041118607</v>
      </c>
      <c r="K235">
        <v>155</v>
      </c>
      <c r="L235" s="5" t="str">
        <f>DiscreteStatsTable[[#This Row],[ProjectName]]&amp;DiscreteStatsTable[[#This Row],[Name]]&amp;DiscreteStatsTable[[#This Row],[Type]]&amp;DiscreteStatsTable[[#This Row],[Source]]</f>
        <v>Unnamed ProjectMaleta NacionalTransfer TimeEntity</v>
      </c>
      <c r="M235" s="5" cm="1">
        <f t="array" ref="M235">MAX(IF((ProjectInfoTable[ProjectName]=DiscreteStatsTable[[#This Row],[ProjectName]]),(ProjectInfoTable[ProjectName]=DiscreteStatsTable[[#This Row],[ProjectName]])*ProjectInfoTable[NumberOfReplications]))</f>
        <v>10</v>
      </c>
      <c r="N235" s="5" cm="1">
        <f t="array" ref="N235">IFERROR(AVERAGE(IF((DiscreteStatsTable[GroupByKey]=DiscreteStatsTable[[#This Row],[GroupByKey]]),(DiscreteStatsTable[GroupByKey]=DiscreteStatsTable[[#This Row],[GroupByKey]])*DiscreteStatsTable[Average])),0)</f>
        <v>7.6753288500844494</v>
      </c>
      <c r="O235" s="5" cm="1">
        <f t="array" ref="O235">IFERROR(_xlfn.STDEV.S(IF((DiscreteStatsTable[GroupByKey]=DiscreteStatsTable[[#This Row],[GroupByKey]]),(DiscreteStatsTable[GroupByKey]=DiscreteStatsTable[[#This Row],[GroupByKey]])*DiscreteStatsTable[Average])),0)</f>
        <v>3.9746429823300011E-2</v>
      </c>
      <c r="P235" s="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 s="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2.8432883061776049E-2</v>
      </c>
      <c r="R235" s="5" cm="1">
        <f t="array" ref="R235">MIN(IF((DiscreteStatsTable[GroupByKey]=DiscreteStatsTable[[#This Row],[GroupByKey]]),(DiscreteStatsTable[GroupByKey]=DiscreteStatsTable[[#This Row],[GroupByKey]])*DiscreteStatsTable[Average]))</f>
        <v>7.6171173934620997</v>
      </c>
      <c r="S235" s="5" cm="1">
        <f t="array" ref="S235">MAX(IF((DiscreteStatsTable[GroupByKey]=DiscreteStatsTable[[#This Row],[GroupByKey]]),(DiscreteStatsTable[GroupByKey]=DiscreteStatsTable[[#This Row],[GroupByKey]])*DiscreteStatsTable[Average]))</f>
        <v>7.7465011776556301</v>
      </c>
      <c r="T235" s="5" cm="1">
        <f t="array" ref="T235">MIN(IF((DiscreteStatsTable[GroupByKey]=DiscreteStatsTable[[#This Row],[GroupByKey]]),(DiscreteStatsTable[GroupByKey]=DiscreteStatsTable[[#This Row],[GroupByKey]])*DiscreteStatsTable[Minimum]))</f>
        <v>4.9973602639356596</v>
      </c>
      <c r="U235" s="5" cm="1">
        <f t="array" ref="U235">MAX(IF((DiscreteStatsTable[GroupByKey]=DiscreteStatsTable[[#This Row],[GroupByKey]]),(DiscreteStatsTable[GroupByKey]=DiscreteStatsTable[[#This Row],[GroupByKey]])*DiscreteStatsTable[Maximum]))</f>
        <v>10.3780432567189</v>
      </c>
      <c r="V235" s="5" cm="1">
        <f t="array" ref="V235">IFERROR(AVERAGE(IF((DiscreteStatsTable[GroupByKey]=DiscreteStatsTable[[#This Row],[GroupByKey]]),(DiscreteStatsTable[GroupByKey]=DiscreteStatsTable[[#This Row],[GroupByKey]])*DiscreteStatsTable[NumberObservations])),0)</f>
        <v>159.1</v>
      </c>
      <c r="W235" s="5">
        <f>IF((DiscreteStatsTable[[#This Row],[RepsRequested]]&gt;1),DiscreteStatsTable[[#This Row],[HalfWidth]],DiscreteStatsTable[[#This Row],[BatchMeansHalfWidth]])</f>
        <v>2.8432883061776049E-2</v>
      </c>
      <c r="X235" s="5" cm="1">
        <f t="array" ref="X235">COUNT(IF((DiscreteStatsTable[GroupByKey]=DiscreteStatsTable[[#This Row],[GroupByKey]]),(DiscreteStatsTable[GroupByKey]=DiscreteStatsTable[[#This Row],[GroupByKey]])*DiscreteStatsTable[Replication]))</f>
        <v>10</v>
      </c>
      <c r="Y235" s="5">
        <f>IF(DiscreteStatsTable[[#This Row],[RepsRequested]]=DiscreteStatsTable[[#This Row],[RepsWithStatObserved]],1,0)</f>
        <v>1</v>
      </c>
    </row>
    <row r="236" spans="1:25" x14ac:dyDescent="0.3">
      <c r="A236" t="s">
        <v>66</v>
      </c>
      <c r="B236" t="s">
        <v>68</v>
      </c>
      <c r="C236">
        <v>6</v>
      </c>
      <c r="D236" t="s">
        <v>88</v>
      </c>
      <c r="E236" t="s">
        <v>78</v>
      </c>
      <c r="F236" t="s">
        <v>74</v>
      </c>
      <c r="G236">
        <v>0.93154168311307295</v>
      </c>
      <c r="H236">
        <v>2E+20</v>
      </c>
      <c r="I236">
        <v>5.2560825793079901E-4</v>
      </c>
      <c r="J236">
        <v>8.0934495312390293</v>
      </c>
      <c r="K236">
        <v>155</v>
      </c>
      <c r="L236" s="5" t="str">
        <f>DiscreteStatsTable[[#This Row],[ProjectName]]&amp;DiscreteStatsTable[[#This Row],[Name]]&amp;DiscreteStatsTable[[#This Row],[Type]]&amp;DiscreteStatsTable[[#This Row],[Source]]</f>
        <v>Unnamed ProjectMaleta NacionalVA TimeEntity</v>
      </c>
      <c r="M236" s="5" cm="1">
        <f t="array" ref="M236">MAX(IF((ProjectInfoTable[ProjectName]=DiscreteStatsTable[[#This Row],[ProjectName]]),(ProjectInfoTable[ProjectName]=DiscreteStatsTable[[#This Row],[ProjectName]])*ProjectInfoTable[NumberOfReplications]))</f>
        <v>10</v>
      </c>
      <c r="N236" s="5" cm="1">
        <f t="array" ref="N236">IFERROR(AVERAGE(IF((DiscreteStatsTable[GroupByKey]=DiscreteStatsTable[[#This Row],[GroupByKey]]),(DiscreteStatsTable[GroupByKey]=DiscreteStatsTable[[#This Row],[GroupByKey]])*DiscreteStatsTable[Average])),0)</f>
        <v>1.1970866370450852</v>
      </c>
      <c r="O236" s="5" cm="1">
        <f t="array" ref="O236">IFERROR(_xlfn.STDEV.S(IF((DiscreteStatsTable[GroupByKey]=DiscreteStatsTable[[#This Row],[GroupByKey]]),(DiscreteStatsTable[GroupByKey]=DiscreteStatsTable[[#This Row],[GroupByKey]])*DiscreteStatsTable[Average])),0)</f>
        <v>0.16160338579426173</v>
      </c>
      <c r="P236" s="5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 s="5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0.11560409805616673</v>
      </c>
      <c r="R236" s="5" cm="1">
        <f t="array" ref="R236">MIN(IF((DiscreteStatsTable[GroupByKey]=DiscreteStatsTable[[#This Row],[GroupByKey]]),(DiscreteStatsTable[GroupByKey]=DiscreteStatsTable[[#This Row],[GroupByKey]])*DiscreteStatsTable[Average]))</f>
        <v>0.93154168311307295</v>
      </c>
      <c r="S236" s="5" cm="1">
        <f t="array" ref="S236">MAX(IF((DiscreteStatsTable[GroupByKey]=DiscreteStatsTable[[#This Row],[GroupByKey]]),(DiscreteStatsTable[GroupByKey]=DiscreteStatsTable[[#This Row],[GroupByKey]])*DiscreteStatsTable[Average]))</f>
        <v>1.4326343791811</v>
      </c>
      <c r="T236" s="5" cm="1">
        <f t="array" ref="T236">MIN(IF((DiscreteStatsTable[GroupByKey]=DiscreteStatsTable[[#This Row],[GroupByKey]]),(DiscreteStatsTable[GroupByKey]=DiscreteStatsTable[[#This Row],[GroupByKey]])*DiscreteStatsTable[Minimum]))</f>
        <v>3.5780155263864799E-4</v>
      </c>
      <c r="U236" s="5" cm="1">
        <f t="array" ref="U236">MAX(IF((DiscreteStatsTable[GroupByKey]=DiscreteStatsTable[[#This Row],[GroupByKey]]),(DiscreteStatsTable[GroupByKey]=DiscreteStatsTable[[#This Row],[GroupByKey]])*DiscreteStatsTable[Maximum]))</f>
        <v>27.4453656088955</v>
      </c>
      <c r="V236" s="5" cm="1">
        <f t="array" ref="V236">IFERROR(AVERAGE(IF((DiscreteStatsTable[GroupByKey]=DiscreteStatsTable[[#This Row],[GroupByKey]]),(DiscreteStatsTable[GroupByKey]=DiscreteStatsTable[[#This Row],[GroupByKey]])*DiscreteStatsTable[NumberObservations])),0)</f>
        <v>159.1</v>
      </c>
      <c r="W236" s="5">
        <f>IF((DiscreteStatsTable[[#This Row],[RepsRequested]]&gt;1),DiscreteStatsTable[[#This Row],[HalfWidth]],DiscreteStatsTable[[#This Row],[BatchMeansHalfWidth]])</f>
        <v>0.11560409805616673</v>
      </c>
      <c r="X236" s="5" cm="1">
        <f t="array" ref="X236">COUNT(IF((DiscreteStatsTable[GroupByKey]=DiscreteStatsTable[[#This Row],[GroupByKey]]),(DiscreteStatsTable[GroupByKey]=DiscreteStatsTable[[#This Row],[GroupByKey]])*DiscreteStatsTable[Replication]))</f>
        <v>10</v>
      </c>
      <c r="Y236" s="5">
        <f>IF(DiscreteStatsTable[[#This Row],[RepsRequested]]=DiscreteStatsTable[[#This Row],[RepsWithStatObserved]],1,0)</f>
        <v>1</v>
      </c>
    </row>
    <row r="237" spans="1:25" x14ac:dyDescent="0.3">
      <c r="A237" t="s">
        <v>66</v>
      </c>
      <c r="B237" t="s">
        <v>68</v>
      </c>
      <c r="C237">
        <v>6</v>
      </c>
      <c r="D237" t="s">
        <v>88</v>
      </c>
      <c r="E237" t="s">
        <v>79</v>
      </c>
      <c r="F237" t="s">
        <v>74</v>
      </c>
      <c r="G237">
        <v>0.93034835796656001</v>
      </c>
      <c r="H237">
        <v>2E+20</v>
      </c>
      <c r="I237">
        <v>2.7928042273970301E-2</v>
      </c>
      <c r="J237">
        <v>4.8117342938450598</v>
      </c>
      <c r="K237">
        <v>155</v>
      </c>
      <c r="L237" s="5" t="str">
        <f>DiscreteStatsTable[[#This Row],[ProjectName]]&amp;DiscreteStatsTable[[#This Row],[Name]]&amp;DiscreteStatsTable[[#This Row],[Type]]&amp;DiscreteStatsTable[[#This Row],[Source]]</f>
        <v>Unnamed ProjectMaleta NacionalWait TimeEntity</v>
      </c>
      <c r="M237" s="5" cm="1">
        <f t="array" ref="M237">MAX(IF((ProjectInfoTable[ProjectName]=DiscreteStatsTable[[#This Row],[ProjectName]]),(ProjectInfoTable[ProjectName]=DiscreteStatsTable[[#This Row],[ProjectName]])*ProjectInfoTable[NumberOfReplications]))</f>
        <v>10</v>
      </c>
      <c r="N237" s="5" cm="1">
        <f t="array" ref="N237">IFERROR(AVERAGE(IF((DiscreteStatsTable[GroupByKey]=DiscreteStatsTable[[#This Row],[GroupByKey]]),(DiscreteStatsTable[GroupByKey]=DiscreteStatsTable[[#This Row],[GroupByKey]])*DiscreteStatsTable[Average])),0)</f>
        <v>1.2829074717829589</v>
      </c>
      <c r="O237" s="5" cm="1">
        <f t="array" ref="O237">IFERROR(_xlfn.STDEV.S(IF((DiscreteStatsTable[GroupByKey]=DiscreteStatsTable[[#This Row],[GroupByKey]]),(DiscreteStatsTable[GroupByKey]=DiscreteStatsTable[[#This Row],[GroupByKey]])*DiscreteStatsTable[Average])),0)</f>
        <v>0.19900819614524773</v>
      </c>
      <c r="P237" s="5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 s="5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0.14236188745726755</v>
      </c>
      <c r="R237" s="5" cm="1">
        <f t="array" ref="R237">MIN(IF((DiscreteStatsTable[GroupByKey]=DiscreteStatsTable[[#This Row],[GroupByKey]]),(DiscreteStatsTable[GroupByKey]=DiscreteStatsTable[[#This Row],[GroupByKey]])*DiscreteStatsTable[Average]))</f>
        <v>0.93034835796656001</v>
      </c>
      <c r="S237" s="5" cm="1">
        <f t="array" ref="S237">MAX(IF((DiscreteStatsTable[GroupByKey]=DiscreteStatsTable[[#This Row],[GroupByKey]]),(DiscreteStatsTable[GroupByKey]=DiscreteStatsTable[[#This Row],[GroupByKey]])*DiscreteStatsTable[Average]))</f>
        <v>1.5005499568751099</v>
      </c>
      <c r="T237" s="5" cm="1">
        <f t="array" ref="T237">MIN(IF((DiscreteStatsTable[GroupByKey]=DiscreteStatsTable[[#This Row],[GroupByKey]]),(DiscreteStatsTable[GroupByKey]=DiscreteStatsTable[[#This Row],[GroupByKey]])*DiscreteStatsTable[Minimum]))</f>
        <v>0</v>
      </c>
      <c r="U237" s="5" cm="1">
        <f t="array" ref="U237">MAX(IF((DiscreteStatsTable[GroupByKey]=DiscreteStatsTable[[#This Row],[GroupByKey]]),(DiscreteStatsTable[GroupByKey]=DiscreteStatsTable[[#This Row],[GroupByKey]])*DiscreteStatsTable[Maximum]))</f>
        <v>10.9519173465048</v>
      </c>
      <c r="V237" s="5" cm="1">
        <f t="array" ref="V237">IFERROR(AVERAGE(IF((DiscreteStatsTable[GroupByKey]=DiscreteStatsTable[[#This Row],[GroupByKey]]),(DiscreteStatsTable[GroupByKey]=DiscreteStatsTable[[#This Row],[GroupByKey]])*DiscreteStatsTable[NumberObservations])),0)</f>
        <v>159.1</v>
      </c>
      <c r="W237" s="5">
        <f>IF((DiscreteStatsTable[[#This Row],[RepsRequested]]&gt;1),DiscreteStatsTable[[#This Row],[HalfWidth]],DiscreteStatsTable[[#This Row],[BatchMeansHalfWidth]])</f>
        <v>0.14236188745726755</v>
      </c>
      <c r="X237" s="5" cm="1">
        <f t="array" ref="X237">COUNT(IF((DiscreteStatsTable[GroupByKey]=DiscreteStatsTable[[#This Row],[GroupByKey]]),(DiscreteStatsTable[GroupByKey]=DiscreteStatsTable[[#This Row],[GroupByKey]])*DiscreteStatsTable[Replication]))</f>
        <v>10</v>
      </c>
      <c r="Y237" s="5">
        <f>IF(DiscreteStatsTable[[#This Row],[RepsRequested]]=DiscreteStatsTable[[#This Row],[RepsWithStatObserved]],1,0)</f>
        <v>1</v>
      </c>
    </row>
    <row r="238" spans="1:25" x14ac:dyDescent="0.3">
      <c r="A238" t="s">
        <v>66</v>
      </c>
      <c r="B238" t="s">
        <v>68</v>
      </c>
      <c r="C238">
        <v>7</v>
      </c>
      <c r="D238" t="s">
        <v>88</v>
      </c>
      <c r="E238" t="s">
        <v>73</v>
      </c>
      <c r="F238" t="s">
        <v>74</v>
      </c>
      <c r="G238">
        <v>0</v>
      </c>
      <c r="H238">
        <v>2E+20</v>
      </c>
      <c r="I238">
        <v>0</v>
      </c>
      <c r="J238">
        <v>0</v>
      </c>
      <c r="K238">
        <v>150</v>
      </c>
      <c r="L238" s="5" t="str">
        <f>DiscreteStatsTable[[#This Row],[ProjectName]]&amp;DiscreteStatsTable[[#This Row],[Name]]&amp;DiscreteStatsTable[[#This Row],[Type]]&amp;DiscreteStatsTable[[#This Row],[Source]]</f>
        <v>Unnamed ProjectMaleta NacionalNVA TimeEntity</v>
      </c>
      <c r="M238" s="5" cm="1">
        <f t="array" ref="M238">MAX(IF((ProjectInfoTable[ProjectName]=DiscreteStatsTable[[#This Row],[ProjectName]]),(ProjectInfoTable[ProjectName]=DiscreteStatsTable[[#This Row],[ProjectName]])*ProjectInfoTable[NumberOfReplications]))</f>
        <v>10</v>
      </c>
      <c r="N238" s="5" cm="1">
        <f t="array" ref="N238">IFERROR(AVERAGE(IF((DiscreteStatsTable[GroupByKey]=DiscreteStatsTable[[#This Row],[GroupByKey]]),(DiscreteStatsTable[GroupByKey]=DiscreteStatsTable[[#This Row],[GroupByKey]])*DiscreteStatsTable[Average])),0)</f>
        <v>0</v>
      </c>
      <c r="O238" s="5" cm="1">
        <f t="array" ref="O238">IFERROR(_xlfn.STDEV.S(IF((DiscreteStatsTable[GroupByKey]=DiscreteStatsTable[[#This Row],[GroupByKey]]),(DiscreteStatsTable[GroupByKey]=DiscreteStatsTable[[#This Row],[GroupByKey]])*DiscreteStatsTable[Average])),0)</f>
        <v>0</v>
      </c>
      <c r="P238" s="5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 s="5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8" s="5" cm="1">
        <f t="array" ref="R238">MIN(IF((DiscreteStatsTable[GroupByKey]=DiscreteStatsTable[[#This Row],[GroupByKey]]),(DiscreteStatsTable[GroupByKey]=DiscreteStatsTable[[#This Row],[GroupByKey]])*DiscreteStatsTable[Average]))</f>
        <v>0</v>
      </c>
      <c r="S238" s="5" cm="1">
        <f t="array" ref="S238">MAX(IF((DiscreteStatsTable[GroupByKey]=DiscreteStatsTable[[#This Row],[GroupByKey]]),(DiscreteStatsTable[GroupByKey]=DiscreteStatsTable[[#This Row],[GroupByKey]])*DiscreteStatsTable[Average]))</f>
        <v>0</v>
      </c>
      <c r="T238" s="5" cm="1">
        <f t="array" ref="T238">MIN(IF((DiscreteStatsTable[GroupByKey]=DiscreteStatsTable[[#This Row],[GroupByKey]]),(DiscreteStatsTable[GroupByKey]=DiscreteStatsTable[[#This Row],[GroupByKey]])*DiscreteStatsTable[Minimum]))</f>
        <v>0</v>
      </c>
      <c r="U238" s="5" cm="1">
        <f t="array" ref="U238">MAX(IF((DiscreteStatsTable[GroupByKey]=DiscreteStatsTable[[#This Row],[GroupByKey]]),(DiscreteStatsTable[GroupByKey]=DiscreteStatsTable[[#This Row],[GroupByKey]])*DiscreteStatsTable[Maximum]))</f>
        <v>0</v>
      </c>
      <c r="V238" s="5" cm="1">
        <f t="array" ref="V238">IFERROR(AVERAGE(IF((DiscreteStatsTable[GroupByKey]=DiscreteStatsTable[[#This Row],[GroupByKey]]),(DiscreteStatsTable[GroupByKey]=DiscreteStatsTable[[#This Row],[GroupByKey]])*DiscreteStatsTable[NumberObservations])),0)</f>
        <v>159.1</v>
      </c>
      <c r="W238" s="5">
        <f>IF((DiscreteStatsTable[[#This Row],[RepsRequested]]&gt;1),DiscreteStatsTable[[#This Row],[HalfWidth]],DiscreteStatsTable[[#This Row],[BatchMeansHalfWidth]])</f>
        <v>0</v>
      </c>
      <c r="X238" s="5" cm="1">
        <f t="array" ref="X238">COUNT(IF((DiscreteStatsTable[GroupByKey]=DiscreteStatsTable[[#This Row],[GroupByKey]]),(DiscreteStatsTable[GroupByKey]=DiscreteStatsTable[[#This Row],[GroupByKey]])*DiscreteStatsTable[Replication]))</f>
        <v>10</v>
      </c>
      <c r="Y238" s="5">
        <f>IF(DiscreteStatsTable[[#This Row],[RepsRequested]]=DiscreteStatsTable[[#This Row],[RepsWithStatObserved]],1,0)</f>
        <v>1</v>
      </c>
    </row>
    <row r="239" spans="1:25" x14ac:dyDescent="0.3">
      <c r="A239" t="s">
        <v>66</v>
      </c>
      <c r="B239" t="s">
        <v>68</v>
      </c>
      <c r="C239">
        <v>7</v>
      </c>
      <c r="D239" t="s">
        <v>88</v>
      </c>
      <c r="E239" t="s">
        <v>75</v>
      </c>
      <c r="F239" t="s">
        <v>74</v>
      </c>
      <c r="G239">
        <v>0</v>
      </c>
      <c r="H239">
        <v>2E+20</v>
      </c>
      <c r="I239">
        <v>0</v>
      </c>
      <c r="J239">
        <v>0</v>
      </c>
      <c r="K239">
        <v>150</v>
      </c>
      <c r="L239" s="5" t="str">
        <f>DiscreteStatsTable[[#This Row],[ProjectName]]&amp;DiscreteStatsTable[[#This Row],[Name]]&amp;DiscreteStatsTable[[#This Row],[Type]]&amp;DiscreteStatsTable[[#This Row],[Source]]</f>
        <v>Unnamed ProjectMaleta NacionalOther TimeEntity</v>
      </c>
      <c r="M239" s="5" cm="1">
        <f t="array" ref="M239">MAX(IF((ProjectInfoTable[ProjectName]=DiscreteStatsTable[[#This Row],[ProjectName]]),(ProjectInfoTable[ProjectName]=DiscreteStatsTable[[#This Row],[ProjectName]])*ProjectInfoTable[NumberOfReplications]))</f>
        <v>10</v>
      </c>
      <c r="N239" s="5" cm="1">
        <f t="array" ref="N239">IFERROR(AVERAGE(IF((DiscreteStatsTable[GroupByKey]=DiscreteStatsTable[[#This Row],[GroupByKey]]),(DiscreteStatsTable[GroupByKey]=DiscreteStatsTable[[#This Row],[GroupByKey]])*DiscreteStatsTable[Average])),0)</f>
        <v>0</v>
      </c>
      <c r="O239" s="5" cm="1">
        <f t="array" ref="O239">IFERROR(_xlfn.STDEV.S(IF((DiscreteStatsTable[GroupByKey]=DiscreteStatsTable[[#This Row],[GroupByKey]]),(DiscreteStatsTable[GroupByKey]=DiscreteStatsTable[[#This Row],[GroupByKey]])*DiscreteStatsTable[Average])),0)</f>
        <v>0</v>
      </c>
      <c r="P239" s="5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 s="5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9" s="5" cm="1">
        <f t="array" ref="R239">MIN(IF((DiscreteStatsTable[GroupByKey]=DiscreteStatsTable[[#This Row],[GroupByKey]]),(DiscreteStatsTable[GroupByKey]=DiscreteStatsTable[[#This Row],[GroupByKey]])*DiscreteStatsTable[Average]))</f>
        <v>0</v>
      </c>
      <c r="S239" s="5" cm="1">
        <f t="array" ref="S239">MAX(IF((DiscreteStatsTable[GroupByKey]=DiscreteStatsTable[[#This Row],[GroupByKey]]),(DiscreteStatsTable[GroupByKey]=DiscreteStatsTable[[#This Row],[GroupByKey]])*DiscreteStatsTable[Average]))</f>
        <v>0</v>
      </c>
      <c r="T239" s="5" cm="1">
        <f t="array" ref="T239">MIN(IF((DiscreteStatsTable[GroupByKey]=DiscreteStatsTable[[#This Row],[GroupByKey]]),(DiscreteStatsTable[GroupByKey]=DiscreteStatsTable[[#This Row],[GroupByKey]])*DiscreteStatsTable[Minimum]))</f>
        <v>0</v>
      </c>
      <c r="U239" s="5" cm="1">
        <f t="array" ref="U239">MAX(IF((DiscreteStatsTable[GroupByKey]=DiscreteStatsTable[[#This Row],[GroupByKey]]),(DiscreteStatsTable[GroupByKey]=DiscreteStatsTable[[#This Row],[GroupByKey]])*DiscreteStatsTable[Maximum]))</f>
        <v>0</v>
      </c>
      <c r="V239" s="5" cm="1">
        <f t="array" ref="V239">IFERROR(AVERAGE(IF((DiscreteStatsTable[GroupByKey]=DiscreteStatsTable[[#This Row],[GroupByKey]]),(DiscreteStatsTable[GroupByKey]=DiscreteStatsTable[[#This Row],[GroupByKey]])*DiscreteStatsTable[NumberObservations])),0)</f>
        <v>159.1</v>
      </c>
      <c r="W239" s="5">
        <f>IF((DiscreteStatsTable[[#This Row],[RepsRequested]]&gt;1),DiscreteStatsTable[[#This Row],[HalfWidth]],DiscreteStatsTable[[#This Row],[BatchMeansHalfWidth]])</f>
        <v>0</v>
      </c>
      <c r="X239" s="5" cm="1">
        <f t="array" ref="X239">COUNT(IF((DiscreteStatsTable[GroupByKey]=DiscreteStatsTable[[#This Row],[GroupByKey]]),(DiscreteStatsTable[GroupByKey]=DiscreteStatsTable[[#This Row],[GroupByKey]])*DiscreteStatsTable[Replication]))</f>
        <v>10</v>
      </c>
      <c r="Y239" s="5">
        <f>IF(DiscreteStatsTable[[#This Row],[RepsRequested]]=DiscreteStatsTable[[#This Row],[RepsWithStatObserved]],1,0)</f>
        <v>1</v>
      </c>
    </row>
    <row r="240" spans="1:25" x14ac:dyDescent="0.3">
      <c r="A240" t="s">
        <v>66</v>
      </c>
      <c r="B240" t="s">
        <v>68</v>
      </c>
      <c r="C240">
        <v>7</v>
      </c>
      <c r="D240" t="s">
        <v>88</v>
      </c>
      <c r="E240" t="s">
        <v>76</v>
      </c>
      <c r="F240" t="s">
        <v>74</v>
      </c>
      <c r="G240">
        <v>10.430291574371299</v>
      </c>
      <c r="H240">
        <v>2E+20</v>
      </c>
      <c r="I240">
        <v>6.9271101107642004</v>
      </c>
      <c r="J240">
        <v>22.094485450802299</v>
      </c>
      <c r="K240">
        <v>150</v>
      </c>
      <c r="L240" s="5" t="str">
        <f>DiscreteStatsTable[[#This Row],[ProjectName]]&amp;DiscreteStatsTable[[#This Row],[Name]]&amp;DiscreteStatsTable[[#This Row],[Type]]&amp;DiscreteStatsTable[[#This Row],[Source]]</f>
        <v>Unnamed ProjectMaleta NacionalTotal TimeEntity</v>
      </c>
      <c r="M240" s="5" cm="1">
        <f t="array" ref="M240">MAX(IF((ProjectInfoTable[ProjectName]=DiscreteStatsTable[[#This Row],[ProjectName]]),(ProjectInfoTable[ProjectName]=DiscreteStatsTable[[#This Row],[ProjectName]])*ProjectInfoTable[NumberOfReplications]))</f>
        <v>10</v>
      </c>
      <c r="N240" s="5" cm="1">
        <f t="array" ref="N240">IFERROR(AVERAGE(IF((DiscreteStatsTable[GroupByKey]=DiscreteStatsTable[[#This Row],[GroupByKey]]),(DiscreteStatsTable[GroupByKey]=DiscreteStatsTable[[#This Row],[GroupByKey]])*DiscreteStatsTable[Average])),0)</f>
        <v>10.155322958912489</v>
      </c>
      <c r="O240" s="5" cm="1">
        <f t="array" ref="O240">IFERROR(_xlfn.STDEV.S(IF((DiscreteStatsTable[GroupByKey]=DiscreteStatsTable[[#This Row],[GroupByKey]]),(DiscreteStatsTable[GroupByKey]=DiscreteStatsTable[[#This Row],[GroupByKey]])*DiscreteStatsTable[Average])),0)</f>
        <v>0.33418682093278973</v>
      </c>
      <c r="P240" s="5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 s="5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0.23906285023865298</v>
      </c>
      <c r="R240" s="5" cm="1">
        <f t="array" ref="R240">MIN(IF((DiscreteStatsTable[GroupByKey]=DiscreteStatsTable[[#This Row],[GroupByKey]]),(DiscreteStatsTable[GroupByKey]=DiscreteStatsTable[[#This Row],[GroupByKey]])*DiscreteStatsTable[Average]))</f>
        <v>9.5096808134995996</v>
      </c>
      <c r="S240" s="5" cm="1">
        <f t="array" ref="S240">MAX(IF((DiscreteStatsTable[GroupByKey]=DiscreteStatsTable[[#This Row],[GroupByKey]]),(DiscreteStatsTable[GroupByKey]=DiscreteStatsTable[[#This Row],[GroupByKey]])*DiscreteStatsTable[Average]))</f>
        <v>10.541225271035399</v>
      </c>
      <c r="T240" s="5" cm="1">
        <f t="array" ref="T240">MIN(IF((DiscreteStatsTable[GroupByKey]=DiscreteStatsTable[[#This Row],[GroupByKey]]),(DiscreteStatsTable[GroupByKey]=DiscreteStatsTable[[#This Row],[GroupByKey]])*DiscreteStatsTable[Minimum]))</f>
        <v>6.3921838050257502</v>
      </c>
      <c r="U240" s="5" cm="1">
        <f t="array" ref="U240">MAX(IF((DiscreteStatsTable[GroupByKey]=DiscreteStatsTable[[#This Row],[GroupByKey]]),(DiscreteStatsTable[GroupByKey]=DiscreteStatsTable[[#This Row],[GroupByKey]])*DiscreteStatsTable[Maximum]))</f>
        <v>33.212781474357499</v>
      </c>
      <c r="V240" s="5" cm="1">
        <f t="array" ref="V240">IFERROR(AVERAGE(IF((DiscreteStatsTable[GroupByKey]=DiscreteStatsTable[[#This Row],[GroupByKey]]),(DiscreteStatsTable[GroupByKey]=DiscreteStatsTable[[#This Row],[GroupByKey]])*DiscreteStatsTable[NumberObservations])),0)</f>
        <v>159.1</v>
      </c>
      <c r="W240" s="5">
        <f>IF((DiscreteStatsTable[[#This Row],[RepsRequested]]&gt;1),DiscreteStatsTable[[#This Row],[HalfWidth]],DiscreteStatsTable[[#This Row],[BatchMeansHalfWidth]])</f>
        <v>0.23906285023865298</v>
      </c>
      <c r="X240" s="5" cm="1">
        <f t="array" ref="X240">COUNT(IF((DiscreteStatsTable[GroupByKey]=DiscreteStatsTable[[#This Row],[GroupByKey]]),(DiscreteStatsTable[GroupByKey]=DiscreteStatsTable[[#This Row],[GroupByKey]])*DiscreteStatsTable[Replication]))</f>
        <v>10</v>
      </c>
      <c r="Y240" s="5">
        <f>IF(DiscreteStatsTable[[#This Row],[RepsRequested]]=DiscreteStatsTable[[#This Row],[RepsWithStatObserved]],1,0)</f>
        <v>1</v>
      </c>
    </row>
    <row r="241" spans="1:25" x14ac:dyDescent="0.3">
      <c r="A241" t="s">
        <v>66</v>
      </c>
      <c r="B241" t="s">
        <v>68</v>
      </c>
      <c r="C241">
        <v>7</v>
      </c>
      <c r="D241" t="s">
        <v>88</v>
      </c>
      <c r="E241" t="s">
        <v>77</v>
      </c>
      <c r="F241" t="s">
        <v>74</v>
      </c>
      <c r="G241">
        <v>7.6420949074783504</v>
      </c>
      <c r="H241">
        <v>2E+20</v>
      </c>
      <c r="I241">
        <v>5</v>
      </c>
      <c r="J241">
        <v>8.6750691028164493</v>
      </c>
      <c r="K241">
        <v>150</v>
      </c>
      <c r="L241" s="5" t="str">
        <f>DiscreteStatsTable[[#This Row],[ProjectName]]&amp;DiscreteStatsTable[[#This Row],[Name]]&amp;DiscreteStatsTable[[#This Row],[Type]]&amp;DiscreteStatsTable[[#This Row],[Source]]</f>
        <v>Unnamed ProjectMaleta NacionalTransfer TimeEntity</v>
      </c>
      <c r="M241" s="5" cm="1">
        <f t="array" ref="M241">MAX(IF((ProjectInfoTable[ProjectName]=DiscreteStatsTable[[#This Row],[ProjectName]]),(ProjectInfoTable[ProjectName]=DiscreteStatsTable[[#This Row],[ProjectName]])*ProjectInfoTable[NumberOfReplications]))</f>
        <v>10</v>
      </c>
      <c r="N241" s="5" cm="1">
        <f t="array" ref="N241">IFERROR(AVERAGE(IF((DiscreteStatsTable[GroupByKey]=DiscreteStatsTable[[#This Row],[GroupByKey]]),(DiscreteStatsTable[GroupByKey]=DiscreteStatsTable[[#This Row],[GroupByKey]])*DiscreteStatsTable[Average])),0)</f>
        <v>7.6753288500844494</v>
      </c>
      <c r="O241" s="5" cm="1">
        <f t="array" ref="O241">IFERROR(_xlfn.STDEV.S(IF((DiscreteStatsTable[GroupByKey]=DiscreteStatsTable[[#This Row],[GroupByKey]]),(DiscreteStatsTable[GroupByKey]=DiscreteStatsTable[[#This Row],[GroupByKey]])*DiscreteStatsTable[Average])),0)</f>
        <v>3.9746429823300011E-2</v>
      </c>
      <c r="P241" s="5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 s="5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2.8432883061776049E-2</v>
      </c>
      <c r="R241" s="5" cm="1">
        <f t="array" ref="R241">MIN(IF((DiscreteStatsTable[GroupByKey]=DiscreteStatsTable[[#This Row],[GroupByKey]]),(DiscreteStatsTable[GroupByKey]=DiscreteStatsTable[[#This Row],[GroupByKey]])*DiscreteStatsTable[Average]))</f>
        <v>7.6171173934620997</v>
      </c>
      <c r="S241" s="5" cm="1">
        <f t="array" ref="S241">MAX(IF((DiscreteStatsTable[GroupByKey]=DiscreteStatsTable[[#This Row],[GroupByKey]]),(DiscreteStatsTable[GroupByKey]=DiscreteStatsTable[[#This Row],[GroupByKey]])*DiscreteStatsTable[Average]))</f>
        <v>7.7465011776556301</v>
      </c>
      <c r="T241" s="5" cm="1">
        <f t="array" ref="T241">MIN(IF((DiscreteStatsTable[GroupByKey]=DiscreteStatsTable[[#This Row],[GroupByKey]]),(DiscreteStatsTable[GroupByKey]=DiscreteStatsTable[[#This Row],[GroupByKey]])*DiscreteStatsTable[Minimum]))</f>
        <v>4.9973602639356596</v>
      </c>
      <c r="U241" s="5" cm="1">
        <f t="array" ref="U241">MAX(IF((DiscreteStatsTable[GroupByKey]=DiscreteStatsTable[[#This Row],[GroupByKey]]),(DiscreteStatsTable[GroupByKey]=DiscreteStatsTable[[#This Row],[GroupByKey]])*DiscreteStatsTable[Maximum]))</f>
        <v>10.3780432567189</v>
      </c>
      <c r="V241" s="5" cm="1">
        <f t="array" ref="V241">IFERROR(AVERAGE(IF((DiscreteStatsTable[GroupByKey]=DiscreteStatsTable[[#This Row],[GroupByKey]]),(DiscreteStatsTable[GroupByKey]=DiscreteStatsTable[[#This Row],[GroupByKey]])*DiscreteStatsTable[NumberObservations])),0)</f>
        <v>159.1</v>
      </c>
      <c r="W241" s="5">
        <f>IF((DiscreteStatsTable[[#This Row],[RepsRequested]]&gt;1),DiscreteStatsTable[[#This Row],[HalfWidth]],DiscreteStatsTable[[#This Row],[BatchMeansHalfWidth]])</f>
        <v>2.8432883061776049E-2</v>
      </c>
      <c r="X241" s="5" cm="1">
        <f t="array" ref="X241">COUNT(IF((DiscreteStatsTable[GroupByKey]=DiscreteStatsTable[[#This Row],[GroupByKey]]),(DiscreteStatsTable[GroupByKey]=DiscreteStatsTable[[#This Row],[GroupByKey]])*DiscreteStatsTable[Replication]))</f>
        <v>10</v>
      </c>
      <c r="Y241" s="5">
        <f>IF(DiscreteStatsTable[[#This Row],[RepsRequested]]=DiscreteStatsTable[[#This Row],[RepsWithStatObserved]],1,0)</f>
        <v>1</v>
      </c>
    </row>
    <row r="242" spans="1:25" x14ac:dyDescent="0.3">
      <c r="A242" t="s">
        <v>66</v>
      </c>
      <c r="B242" t="s">
        <v>68</v>
      </c>
      <c r="C242">
        <v>7</v>
      </c>
      <c r="D242" t="s">
        <v>88</v>
      </c>
      <c r="E242" t="s">
        <v>78</v>
      </c>
      <c r="F242" t="s">
        <v>74</v>
      </c>
      <c r="G242">
        <v>1.3301764722473599</v>
      </c>
      <c r="H242">
        <v>2E+20</v>
      </c>
      <c r="I242">
        <v>1.4624646529284699E-2</v>
      </c>
      <c r="J242">
        <v>8.8132763200057394</v>
      </c>
      <c r="K242">
        <v>150</v>
      </c>
      <c r="L242" s="5" t="str">
        <f>DiscreteStatsTable[[#This Row],[ProjectName]]&amp;DiscreteStatsTable[[#This Row],[Name]]&amp;DiscreteStatsTable[[#This Row],[Type]]&amp;DiscreteStatsTable[[#This Row],[Source]]</f>
        <v>Unnamed ProjectMaleta NacionalVA TimeEntity</v>
      </c>
      <c r="M242" s="5" cm="1">
        <f t="array" ref="M242">MAX(IF((ProjectInfoTable[ProjectName]=DiscreteStatsTable[[#This Row],[ProjectName]]),(ProjectInfoTable[ProjectName]=DiscreteStatsTable[[#This Row],[ProjectName]])*ProjectInfoTable[NumberOfReplications]))</f>
        <v>10</v>
      </c>
      <c r="N242" s="5" cm="1">
        <f t="array" ref="N242">IFERROR(AVERAGE(IF((DiscreteStatsTable[GroupByKey]=DiscreteStatsTable[[#This Row],[GroupByKey]]),(DiscreteStatsTable[GroupByKey]=DiscreteStatsTable[[#This Row],[GroupByKey]])*DiscreteStatsTable[Average])),0)</f>
        <v>1.1970866370450852</v>
      </c>
      <c r="O242" s="5" cm="1">
        <f t="array" ref="O242">IFERROR(_xlfn.STDEV.S(IF((DiscreteStatsTable[GroupByKey]=DiscreteStatsTable[[#This Row],[GroupByKey]]),(DiscreteStatsTable[GroupByKey]=DiscreteStatsTable[[#This Row],[GroupByKey]])*DiscreteStatsTable[Average])),0)</f>
        <v>0.16160338579426173</v>
      </c>
      <c r="P242" s="5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 s="5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0.11560409805616673</v>
      </c>
      <c r="R242" s="5" cm="1">
        <f t="array" ref="R242">MIN(IF((DiscreteStatsTable[GroupByKey]=DiscreteStatsTable[[#This Row],[GroupByKey]]),(DiscreteStatsTable[GroupByKey]=DiscreteStatsTable[[#This Row],[GroupByKey]])*DiscreteStatsTable[Average]))</f>
        <v>0.93154168311307295</v>
      </c>
      <c r="S242" s="5" cm="1">
        <f t="array" ref="S242">MAX(IF((DiscreteStatsTable[GroupByKey]=DiscreteStatsTable[[#This Row],[GroupByKey]]),(DiscreteStatsTable[GroupByKey]=DiscreteStatsTable[[#This Row],[GroupByKey]])*DiscreteStatsTable[Average]))</f>
        <v>1.4326343791811</v>
      </c>
      <c r="T242" s="5" cm="1">
        <f t="array" ref="T242">MIN(IF((DiscreteStatsTable[GroupByKey]=DiscreteStatsTable[[#This Row],[GroupByKey]]),(DiscreteStatsTable[GroupByKey]=DiscreteStatsTable[[#This Row],[GroupByKey]])*DiscreteStatsTable[Minimum]))</f>
        <v>3.5780155263864799E-4</v>
      </c>
      <c r="U242" s="5" cm="1">
        <f t="array" ref="U242">MAX(IF((DiscreteStatsTable[GroupByKey]=DiscreteStatsTable[[#This Row],[GroupByKey]]),(DiscreteStatsTable[GroupByKey]=DiscreteStatsTable[[#This Row],[GroupByKey]])*DiscreteStatsTable[Maximum]))</f>
        <v>27.4453656088955</v>
      </c>
      <c r="V242" s="5" cm="1">
        <f t="array" ref="V242">IFERROR(AVERAGE(IF((DiscreteStatsTable[GroupByKey]=DiscreteStatsTable[[#This Row],[GroupByKey]]),(DiscreteStatsTable[GroupByKey]=DiscreteStatsTable[[#This Row],[GroupByKey]])*DiscreteStatsTable[NumberObservations])),0)</f>
        <v>159.1</v>
      </c>
      <c r="W242" s="5">
        <f>IF((DiscreteStatsTable[[#This Row],[RepsRequested]]&gt;1),DiscreteStatsTable[[#This Row],[HalfWidth]],DiscreteStatsTable[[#This Row],[BatchMeansHalfWidth]])</f>
        <v>0.11560409805616673</v>
      </c>
      <c r="X242" s="5" cm="1">
        <f t="array" ref="X242">COUNT(IF((DiscreteStatsTable[GroupByKey]=DiscreteStatsTable[[#This Row],[GroupByKey]]),(DiscreteStatsTable[GroupByKey]=DiscreteStatsTable[[#This Row],[GroupByKey]])*DiscreteStatsTable[Replication]))</f>
        <v>10</v>
      </c>
      <c r="Y242" s="5">
        <f>IF(DiscreteStatsTable[[#This Row],[RepsRequested]]=DiscreteStatsTable[[#This Row],[RepsWithStatObserved]],1,0)</f>
        <v>1</v>
      </c>
    </row>
    <row r="243" spans="1:25" x14ac:dyDescent="0.3">
      <c r="A243" t="s">
        <v>66</v>
      </c>
      <c r="B243" t="s">
        <v>68</v>
      </c>
      <c r="C243">
        <v>7</v>
      </c>
      <c r="D243" t="s">
        <v>88</v>
      </c>
      <c r="E243" t="s">
        <v>79</v>
      </c>
      <c r="F243" t="s">
        <v>74</v>
      </c>
      <c r="G243">
        <v>1.45802019464556</v>
      </c>
      <c r="H243">
        <v>2E+20</v>
      </c>
      <c r="I243">
        <v>4.8580951333406099E-2</v>
      </c>
      <c r="J243">
        <v>8.5431258008795794</v>
      </c>
      <c r="K243">
        <v>150</v>
      </c>
      <c r="L243" s="5" t="str">
        <f>DiscreteStatsTable[[#This Row],[ProjectName]]&amp;DiscreteStatsTable[[#This Row],[Name]]&amp;DiscreteStatsTable[[#This Row],[Type]]&amp;DiscreteStatsTable[[#This Row],[Source]]</f>
        <v>Unnamed ProjectMaleta NacionalWait TimeEntity</v>
      </c>
      <c r="M243" s="5" cm="1">
        <f t="array" ref="M243">MAX(IF((ProjectInfoTable[ProjectName]=DiscreteStatsTable[[#This Row],[ProjectName]]),(ProjectInfoTable[ProjectName]=DiscreteStatsTable[[#This Row],[ProjectName]])*ProjectInfoTable[NumberOfReplications]))</f>
        <v>10</v>
      </c>
      <c r="N243" s="5" cm="1">
        <f t="array" ref="N243">IFERROR(AVERAGE(IF((DiscreteStatsTable[GroupByKey]=DiscreteStatsTable[[#This Row],[GroupByKey]]),(DiscreteStatsTable[GroupByKey]=DiscreteStatsTable[[#This Row],[GroupByKey]])*DiscreteStatsTable[Average])),0)</f>
        <v>1.2829074717829589</v>
      </c>
      <c r="O243" s="5" cm="1">
        <f t="array" ref="O243">IFERROR(_xlfn.STDEV.S(IF((DiscreteStatsTable[GroupByKey]=DiscreteStatsTable[[#This Row],[GroupByKey]]),(DiscreteStatsTable[GroupByKey]=DiscreteStatsTable[[#This Row],[GroupByKey]])*DiscreteStatsTable[Average])),0)</f>
        <v>0.19900819614524773</v>
      </c>
      <c r="P243" s="5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 s="5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0.14236188745726755</v>
      </c>
      <c r="R243" s="5" cm="1">
        <f t="array" ref="R243">MIN(IF((DiscreteStatsTable[GroupByKey]=DiscreteStatsTable[[#This Row],[GroupByKey]]),(DiscreteStatsTable[GroupByKey]=DiscreteStatsTable[[#This Row],[GroupByKey]])*DiscreteStatsTable[Average]))</f>
        <v>0.93034835796656001</v>
      </c>
      <c r="S243" s="5" cm="1">
        <f t="array" ref="S243">MAX(IF((DiscreteStatsTable[GroupByKey]=DiscreteStatsTable[[#This Row],[GroupByKey]]),(DiscreteStatsTable[GroupByKey]=DiscreteStatsTable[[#This Row],[GroupByKey]])*DiscreteStatsTable[Average]))</f>
        <v>1.5005499568751099</v>
      </c>
      <c r="T243" s="5" cm="1">
        <f t="array" ref="T243">MIN(IF((DiscreteStatsTable[GroupByKey]=DiscreteStatsTable[[#This Row],[GroupByKey]]),(DiscreteStatsTable[GroupByKey]=DiscreteStatsTable[[#This Row],[GroupByKey]])*DiscreteStatsTable[Minimum]))</f>
        <v>0</v>
      </c>
      <c r="U243" s="5" cm="1">
        <f t="array" ref="U243">MAX(IF((DiscreteStatsTable[GroupByKey]=DiscreteStatsTable[[#This Row],[GroupByKey]]),(DiscreteStatsTable[GroupByKey]=DiscreteStatsTable[[#This Row],[GroupByKey]])*DiscreteStatsTable[Maximum]))</f>
        <v>10.9519173465048</v>
      </c>
      <c r="V243" s="5" cm="1">
        <f t="array" ref="V243">IFERROR(AVERAGE(IF((DiscreteStatsTable[GroupByKey]=DiscreteStatsTable[[#This Row],[GroupByKey]]),(DiscreteStatsTable[GroupByKey]=DiscreteStatsTable[[#This Row],[GroupByKey]])*DiscreteStatsTable[NumberObservations])),0)</f>
        <v>159.1</v>
      </c>
      <c r="W243" s="5">
        <f>IF((DiscreteStatsTable[[#This Row],[RepsRequested]]&gt;1),DiscreteStatsTable[[#This Row],[HalfWidth]],DiscreteStatsTable[[#This Row],[BatchMeansHalfWidth]])</f>
        <v>0.14236188745726755</v>
      </c>
      <c r="X243" s="5" cm="1">
        <f t="array" ref="X243">COUNT(IF((DiscreteStatsTable[GroupByKey]=DiscreteStatsTable[[#This Row],[GroupByKey]]),(DiscreteStatsTable[GroupByKey]=DiscreteStatsTable[[#This Row],[GroupByKey]])*DiscreteStatsTable[Replication]))</f>
        <v>10</v>
      </c>
      <c r="Y243" s="5">
        <f>IF(DiscreteStatsTable[[#This Row],[RepsRequested]]=DiscreteStatsTable[[#This Row],[RepsWithStatObserved]],1,0)</f>
        <v>1</v>
      </c>
    </row>
    <row r="244" spans="1:25" x14ac:dyDescent="0.3">
      <c r="A244" t="s">
        <v>66</v>
      </c>
      <c r="B244" t="s">
        <v>68</v>
      </c>
      <c r="C244">
        <v>8</v>
      </c>
      <c r="D244" t="s">
        <v>88</v>
      </c>
      <c r="E244" t="s">
        <v>73</v>
      </c>
      <c r="F244" t="s">
        <v>74</v>
      </c>
      <c r="G244">
        <v>0</v>
      </c>
      <c r="H244">
        <v>2E+20</v>
      </c>
      <c r="I244">
        <v>0</v>
      </c>
      <c r="J244">
        <v>0</v>
      </c>
      <c r="K244">
        <v>149</v>
      </c>
      <c r="L244" s="5" t="str">
        <f>DiscreteStatsTable[[#This Row],[ProjectName]]&amp;DiscreteStatsTable[[#This Row],[Name]]&amp;DiscreteStatsTable[[#This Row],[Type]]&amp;DiscreteStatsTable[[#This Row],[Source]]</f>
        <v>Unnamed ProjectMaleta NacionalNVA TimeEntity</v>
      </c>
      <c r="M244" s="5" cm="1">
        <f t="array" ref="M244">MAX(IF((ProjectInfoTable[ProjectName]=DiscreteStatsTable[[#This Row],[ProjectName]]),(ProjectInfoTable[ProjectName]=DiscreteStatsTable[[#This Row],[ProjectName]])*ProjectInfoTable[NumberOfReplications]))</f>
        <v>10</v>
      </c>
      <c r="N244" s="5" cm="1">
        <f t="array" ref="N244">IFERROR(AVERAGE(IF((DiscreteStatsTable[GroupByKey]=DiscreteStatsTable[[#This Row],[GroupByKey]]),(DiscreteStatsTable[GroupByKey]=DiscreteStatsTable[[#This Row],[GroupByKey]])*DiscreteStatsTable[Average])),0)</f>
        <v>0</v>
      </c>
      <c r="O244" s="5" cm="1">
        <f t="array" ref="O244">IFERROR(_xlfn.STDEV.S(IF((DiscreteStatsTable[GroupByKey]=DiscreteStatsTable[[#This Row],[GroupByKey]]),(DiscreteStatsTable[GroupByKey]=DiscreteStatsTable[[#This Row],[GroupByKey]])*DiscreteStatsTable[Average])),0)</f>
        <v>0</v>
      </c>
      <c r="P244" s="5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 s="5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4" s="5" cm="1">
        <f t="array" ref="R244">MIN(IF((DiscreteStatsTable[GroupByKey]=DiscreteStatsTable[[#This Row],[GroupByKey]]),(DiscreteStatsTable[GroupByKey]=DiscreteStatsTable[[#This Row],[GroupByKey]])*DiscreteStatsTable[Average]))</f>
        <v>0</v>
      </c>
      <c r="S244" s="5" cm="1">
        <f t="array" ref="S244">MAX(IF((DiscreteStatsTable[GroupByKey]=DiscreteStatsTable[[#This Row],[GroupByKey]]),(DiscreteStatsTable[GroupByKey]=DiscreteStatsTable[[#This Row],[GroupByKey]])*DiscreteStatsTable[Average]))</f>
        <v>0</v>
      </c>
      <c r="T244" s="5" cm="1">
        <f t="array" ref="T244">MIN(IF((DiscreteStatsTable[GroupByKey]=DiscreteStatsTable[[#This Row],[GroupByKey]]),(DiscreteStatsTable[GroupByKey]=DiscreteStatsTable[[#This Row],[GroupByKey]])*DiscreteStatsTable[Minimum]))</f>
        <v>0</v>
      </c>
      <c r="U244" s="5" cm="1">
        <f t="array" ref="U244">MAX(IF((DiscreteStatsTable[GroupByKey]=DiscreteStatsTable[[#This Row],[GroupByKey]]),(DiscreteStatsTable[GroupByKey]=DiscreteStatsTable[[#This Row],[GroupByKey]])*DiscreteStatsTable[Maximum]))</f>
        <v>0</v>
      </c>
      <c r="V244" s="5" cm="1">
        <f t="array" ref="V244">IFERROR(AVERAGE(IF((DiscreteStatsTable[GroupByKey]=DiscreteStatsTable[[#This Row],[GroupByKey]]),(DiscreteStatsTable[GroupByKey]=DiscreteStatsTable[[#This Row],[GroupByKey]])*DiscreteStatsTable[NumberObservations])),0)</f>
        <v>159.1</v>
      </c>
      <c r="W244" s="5">
        <f>IF((DiscreteStatsTable[[#This Row],[RepsRequested]]&gt;1),DiscreteStatsTable[[#This Row],[HalfWidth]],DiscreteStatsTable[[#This Row],[BatchMeansHalfWidth]])</f>
        <v>0</v>
      </c>
      <c r="X244" s="5" cm="1">
        <f t="array" ref="X244">COUNT(IF((DiscreteStatsTable[GroupByKey]=DiscreteStatsTable[[#This Row],[GroupByKey]]),(DiscreteStatsTable[GroupByKey]=DiscreteStatsTable[[#This Row],[GroupByKey]])*DiscreteStatsTable[Replication]))</f>
        <v>10</v>
      </c>
      <c r="Y244" s="5">
        <f>IF(DiscreteStatsTable[[#This Row],[RepsRequested]]=DiscreteStatsTable[[#This Row],[RepsWithStatObserved]],1,0)</f>
        <v>1</v>
      </c>
    </row>
    <row r="245" spans="1:25" x14ac:dyDescent="0.3">
      <c r="A245" t="s">
        <v>66</v>
      </c>
      <c r="B245" t="s">
        <v>68</v>
      </c>
      <c r="C245">
        <v>8</v>
      </c>
      <c r="D245" t="s">
        <v>88</v>
      </c>
      <c r="E245" t="s">
        <v>75</v>
      </c>
      <c r="F245" t="s">
        <v>74</v>
      </c>
      <c r="G245">
        <v>0</v>
      </c>
      <c r="H245">
        <v>2E+20</v>
      </c>
      <c r="I245">
        <v>0</v>
      </c>
      <c r="J245">
        <v>0</v>
      </c>
      <c r="K245">
        <v>149</v>
      </c>
      <c r="L245" s="5" t="str">
        <f>DiscreteStatsTable[[#This Row],[ProjectName]]&amp;DiscreteStatsTable[[#This Row],[Name]]&amp;DiscreteStatsTable[[#This Row],[Type]]&amp;DiscreteStatsTable[[#This Row],[Source]]</f>
        <v>Unnamed ProjectMaleta NacionalOther TimeEntity</v>
      </c>
      <c r="M245" s="5" cm="1">
        <f t="array" ref="M245">MAX(IF((ProjectInfoTable[ProjectName]=DiscreteStatsTable[[#This Row],[ProjectName]]),(ProjectInfoTable[ProjectName]=DiscreteStatsTable[[#This Row],[ProjectName]])*ProjectInfoTable[NumberOfReplications]))</f>
        <v>10</v>
      </c>
      <c r="N245" s="5" cm="1">
        <f t="array" ref="N245">IFERROR(AVERAGE(IF((DiscreteStatsTable[GroupByKey]=DiscreteStatsTable[[#This Row],[GroupByKey]]),(DiscreteStatsTable[GroupByKey]=DiscreteStatsTable[[#This Row],[GroupByKey]])*DiscreteStatsTable[Average])),0)</f>
        <v>0</v>
      </c>
      <c r="O245" s="5" cm="1">
        <f t="array" ref="O245">IFERROR(_xlfn.STDEV.S(IF((DiscreteStatsTable[GroupByKey]=DiscreteStatsTable[[#This Row],[GroupByKey]]),(DiscreteStatsTable[GroupByKey]=DiscreteStatsTable[[#This Row],[GroupByKey]])*DiscreteStatsTable[Average])),0)</f>
        <v>0</v>
      </c>
      <c r="P245" s="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 s="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5" s="5" cm="1">
        <f t="array" ref="R245">MIN(IF((DiscreteStatsTable[GroupByKey]=DiscreteStatsTable[[#This Row],[GroupByKey]]),(DiscreteStatsTable[GroupByKey]=DiscreteStatsTable[[#This Row],[GroupByKey]])*DiscreteStatsTable[Average]))</f>
        <v>0</v>
      </c>
      <c r="S245" s="5" cm="1">
        <f t="array" ref="S245">MAX(IF((DiscreteStatsTable[GroupByKey]=DiscreteStatsTable[[#This Row],[GroupByKey]]),(DiscreteStatsTable[GroupByKey]=DiscreteStatsTable[[#This Row],[GroupByKey]])*DiscreteStatsTable[Average]))</f>
        <v>0</v>
      </c>
      <c r="T245" s="5" cm="1">
        <f t="array" ref="T245">MIN(IF((DiscreteStatsTable[GroupByKey]=DiscreteStatsTable[[#This Row],[GroupByKey]]),(DiscreteStatsTable[GroupByKey]=DiscreteStatsTable[[#This Row],[GroupByKey]])*DiscreteStatsTable[Minimum]))</f>
        <v>0</v>
      </c>
      <c r="U245" s="5" cm="1">
        <f t="array" ref="U245">MAX(IF((DiscreteStatsTable[GroupByKey]=DiscreteStatsTable[[#This Row],[GroupByKey]]),(DiscreteStatsTable[GroupByKey]=DiscreteStatsTable[[#This Row],[GroupByKey]])*DiscreteStatsTable[Maximum]))</f>
        <v>0</v>
      </c>
      <c r="V245" s="5" cm="1">
        <f t="array" ref="V245">IFERROR(AVERAGE(IF((DiscreteStatsTable[GroupByKey]=DiscreteStatsTable[[#This Row],[GroupByKey]]),(DiscreteStatsTable[GroupByKey]=DiscreteStatsTable[[#This Row],[GroupByKey]])*DiscreteStatsTable[NumberObservations])),0)</f>
        <v>159.1</v>
      </c>
      <c r="W245" s="5">
        <f>IF((DiscreteStatsTable[[#This Row],[RepsRequested]]&gt;1),DiscreteStatsTable[[#This Row],[HalfWidth]],DiscreteStatsTable[[#This Row],[BatchMeansHalfWidth]])</f>
        <v>0</v>
      </c>
      <c r="X245" s="5" cm="1">
        <f t="array" ref="X245">COUNT(IF((DiscreteStatsTable[GroupByKey]=DiscreteStatsTable[[#This Row],[GroupByKey]]),(DiscreteStatsTable[GroupByKey]=DiscreteStatsTable[[#This Row],[GroupByKey]])*DiscreteStatsTable[Replication]))</f>
        <v>10</v>
      </c>
      <c r="Y245" s="5">
        <f>IF(DiscreteStatsTable[[#This Row],[RepsRequested]]=DiscreteStatsTable[[#This Row],[RepsWithStatObserved]],1,0)</f>
        <v>1</v>
      </c>
    </row>
    <row r="246" spans="1:25" x14ac:dyDescent="0.3">
      <c r="A246" t="s">
        <v>66</v>
      </c>
      <c r="B246" t="s">
        <v>68</v>
      </c>
      <c r="C246">
        <v>8</v>
      </c>
      <c r="D246" t="s">
        <v>88</v>
      </c>
      <c r="E246" t="s">
        <v>76</v>
      </c>
      <c r="F246" t="s">
        <v>74</v>
      </c>
      <c r="G246">
        <v>10.129584245595201</v>
      </c>
      <c r="H246">
        <v>2E+20</v>
      </c>
      <c r="I246">
        <v>7.57241276722067</v>
      </c>
      <c r="J246">
        <v>21.2305305449886</v>
      </c>
      <c r="K246">
        <v>149</v>
      </c>
      <c r="L246" s="5" t="str">
        <f>DiscreteStatsTable[[#This Row],[ProjectName]]&amp;DiscreteStatsTable[[#This Row],[Name]]&amp;DiscreteStatsTable[[#This Row],[Type]]&amp;DiscreteStatsTable[[#This Row],[Source]]</f>
        <v>Unnamed ProjectMaleta NacionalTotal TimeEntity</v>
      </c>
      <c r="M246" s="5" cm="1">
        <f t="array" ref="M246">MAX(IF((ProjectInfoTable[ProjectName]=DiscreteStatsTable[[#This Row],[ProjectName]]),(ProjectInfoTable[ProjectName]=DiscreteStatsTable[[#This Row],[ProjectName]])*ProjectInfoTable[NumberOfReplications]))</f>
        <v>10</v>
      </c>
      <c r="N246" s="5" cm="1">
        <f t="array" ref="N246">IFERROR(AVERAGE(IF((DiscreteStatsTable[GroupByKey]=DiscreteStatsTable[[#This Row],[GroupByKey]]),(DiscreteStatsTable[GroupByKey]=DiscreteStatsTable[[#This Row],[GroupByKey]])*DiscreteStatsTable[Average])),0)</f>
        <v>10.155322958912489</v>
      </c>
      <c r="O246" s="5" cm="1">
        <f t="array" ref="O246">IFERROR(_xlfn.STDEV.S(IF((DiscreteStatsTable[GroupByKey]=DiscreteStatsTable[[#This Row],[GroupByKey]]),(DiscreteStatsTable[GroupByKey]=DiscreteStatsTable[[#This Row],[GroupByKey]])*DiscreteStatsTable[Average])),0)</f>
        <v>0.33418682093278973</v>
      </c>
      <c r="P246" s="5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 s="5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0.23906285023865298</v>
      </c>
      <c r="R246" s="5" cm="1">
        <f t="array" ref="R246">MIN(IF((DiscreteStatsTable[GroupByKey]=DiscreteStatsTable[[#This Row],[GroupByKey]]),(DiscreteStatsTable[GroupByKey]=DiscreteStatsTable[[#This Row],[GroupByKey]])*DiscreteStatsTable[Average]))</f>
        <v>9.5096808134995996</v>
      </c>
      <c r="S246" s="5" cm="1">
        <f t="array" ref="S246">MAX(IF((DiscreteStatsTable[GroupByKey]=DiscreteStatsTable[[#This Row],[GroupByKey]]),(DiscreteStatsTable[GroupByKey]=DiscreteStatsTable[[#This Row],[GroupByKey]])*DiscreteStatsTable[Average]))</f>
        <v>10.541225271035399</v>
      </c>
      <c r="T246" s="5" cm="1">
        <f t="array" ref="T246">MIN(IF((DiscreteStatsTable[GroupByKey]=DiscreteStatsTable[[#This Row],[GroupByKey]]),(DiscreteStatsTable[GroupByKey]=DiscreteStatsTable[[#This Row],[GroupByKey]])*DiscreteStatsTable[Minimum]))</f>
        <v>6.3921838050257502</v>
      </c>
      <c r="U246" s="5" cm="1">
        <f t="array" ref="U246">MAX(IF((DiscreteStatsTable[GroupByKey]=DiscreteStatsTable[[#This Row],[GroupByKey]]),(DiscreteStatsTable[GroupByKey]=DiscreteStatsTable[[#This Row],[GroupByKey]])*DiscreteStatsTable[Maximum]))</f>
        <v>33.212781474357499</v>
      </c>
      <c r="V246" s="5" cm="1">
        <f t="array" ref="V246">IFERROR(AVERAGE(IF((DiscreteStatsTable[GroupByKey]=DiscreteStatsTable[[#This Row],[GroupByKey]]),(DiscreteStatsTable[GroupByKey]=DiscreteStatsTable[[#This Row],[GroupByKey]])*DiscreteStatsTable[NumberObservations])),0)</f>
        <v>159.1</v>
      </c>
      <c r="W246" s="5">
        <f>IF((DiscreteStatsTable[[#This Row],[RepsRequested]]&gt;1),DiscreteStatsTable[[#This Row],[HalfWidth]],DiscreteStatsTable[[#This Row],[BatchMeansHalfWidth]])</f>
        <v>0.23906285023865298</v>
      </c>
      <c r="X246" s="5" cm="1">
        <f t="array" ref="X246">COUNT(IF((DiscreteStatsTable[GroupByKey]=DiscreteStatsTable[[#This Row],[GroupByKey]]),(DiscreteStatsTable[GroupByKey]=DiscreteStatsTable[[#This Row],[GroupByKey]])*DiscreteStatsTable[Replication]))</f>
        <v>10</v>
      </c>
      <c r="Y246" s="5">
        <f>IF(DiscreteStatsTable[[#This Row],[RepsRequested]]=DiscreteStatsTable[[#This Row],[RepsWithStatObserved]],1,0)</f>
        <v>1</v>
      </c>
    </row>
    <row r="247" spans="1:25" x14ac:dyDescent="0.3">
      <c r="A247" t="s">
        <v>66</v>
      </c>
      <c r="B247" t="s">
        <v>68</v>
      </c>
      <c r="C247">
        <v>8</v>
      </c>
      <c r="D247" t="s">
        <v>88</v>
      </c>
      <c r="E247" t="s">
        <v>77</v>
      </c>
      <c r="F247" t="s">
        <v>74</v>
      </c>
      <c r="G247">
        <v>7.7218306599202604</v>
      </c>
      <c r="H247">
        <v>2E+20</v>
      </c>
      <c r="I247">
        <v>5</v>
      </c>
      <c r="J247">
        <v>8.8233717001333503</v>
      </c>
      <c r="K247">
        <v>149</v>
      </c>
      <c r="L247" s="5" t="str">
        <f>DiscreteStatsTable[[#This Row],[ProjectName]]&amp;DiscreteStatsTable[[#This Row],[Name]]&amp;DiscreteStatsTable[[#This Row],[Type]]&amp;DiscreteStatsTable[[#This Row],[Source]]</f>
        <v>Unnamed ProjectMaleta NacionalTransfer TimeEntity</v>
      </c>
      <c r="M247" s="5" cm="1">
        <f t="array" ref="M247">MAX(IF((ProjectInfoTable[ProjectName]=DiscreteStatsTable[[#This Row],[ProjectName]]),(ProjectInfoTable[ProjectName]=DiscreteStatsTable[[#This Row],[ProjectName]])*ProjectInfoTable[NumberOfReplications]))</f>
        <v>10</v>
      </c>
      <c r="N247" s="5" cm="1">
        <f t="array" ref="N247">IFERROR(AVERAGE(IF((DiscreteStatsTable[GroupByKey]=DiscreteStatsTable[[#This Row],[GroupByKey]]),(DiscreteStatsTable[GroupByKey]=DiscreteStatsTable[[#This Row],[GroupByKey]])*DiscreteStatsTable[Average])),0)</f>
        <v>7.6753288500844494</v>
      </c>
      <c r="O247" s="5" cm="1">
        <f t="array" ref="O247">IFERROR(_xlfn.STDEV.S(IF((DiscreteStatsTable[GroupByKey]=DiscreteStatsTable[[#This Row],[GroupByKey]]),(DiscreteStatsTable[GroupByKey]=DiscreteStatsTable[[#This Row],[GroupByKey]])*DiscreteStatsTable[Average])),0)</f>
        <v>3.9746429823300011E-2</v>
      </c>
      <c r="P247" s="5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 s="5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2.8432883061776049E-2</v>
      </c>
      <c r="R247" s="5" cm="1">
        <f t="array" ref="R247">MIN(IF((DiscreteStatsTable[GroupByKey]=DiscreteStatsTable[[#This Row],[GroupByKey]]),(DiscreteStatsTable[GroupByKey]=DiscreteStatsTable[[#This Row],[GroupByKey]])*DiscreteStatsTable[Average]))</f>
        <v>7.6171173934620997</v>
      </c>
      <c r="S247" s="5" cm="1">
        <f t="array" ref="S247">MAX(IF((DiscreteStatsTable[GroupByKey]=DiscreteStatsTable[[#This Row],[GroupByKey]]),(DiscreteStatsTable[GroupByKey]=DiscreteStatsTable[[#This Row],[GroupByKey]])*DiscreteStatsTable[Average]))</f>
        <v>7.7465011776556301</v>
      </c>
      <c r="T247" s="5" cm="1">
        <f t="array" ref="T247">MIN(IF((DiscreteStatsTable[GroupByKey]=DiscreteStatsTable[[#This Row],[GroupByKey]]),(DiscreteStatsTable[GroupByKey]=DiscreteStatsTable[[#This Row],[GroupByKey]])*DiscreteStatsTable[Minimum]))</f>
        <v>4.9973602639356596</v>
      </c>
      <c r="U247" s="5" cm="1">
        <f t="array" ref="U247">MAX(IF((DiscreteStatsTable[GroupByKey]=DiscreteStatsTable[[#This Row],[GroupByKey]]),(DiscreteStatsTable[GroupByKey]=DiscreteStatsTable[[#This Row],[GroupByKey]])*DiscreteStatsTable[Maximum]))</f>
        <v>10.3780432567189</v>
      </c>
      <c r="V247" s="5" cm="1">
        <f t="array" ref="V247">IFERROR(AVERAGE(IF((DiscreteStatsTable[GroupByKey]=DiscreteStatsTable[[#This Row],[GroupByKey]]),(DiscreteStatsTable[GroupByKey]=DiscreteStatsTable[[#This Row],[GroupByKey]])*DiscreteStatsTable[NumberObservations])),0)</f>
        <v>159.1</v>
      </c>
      <c r="W247" s="5">
        <f>IF((DiscreteStatsTable[[#This Row],[RepsRequested]]&gt;1),DiscreteStatsTable[[#This Row],[HalfWidth]],DiscreteStatsTable[[#This Row],[BatchMeansHalfWidth]])</f>
        <v>2.8432883061776049E-2</v>
      </c>
      <c r="X247" s="5" cm="1">
        <f t="array" ref="X247">COUNT(IF((DiscreteStatsTable[GroupByKey]=DiscreteStatsTable[[#This Row],[GroupByKey]]),(DiscreteStatsTable[GroupByKey]=DiscreteStatsTable[[#This Row],[GroupByKey]])*DiscreteStatsTable[Replication]))</f>
        <v>10</v>
      </c>
      <c r="Y247" s="5">
        <f>IF(DiscreteStatsTable[[#This Row],[RepsRequested]]=DiscreteStatsTable[[#This Row],[RepsWithStatObserved]],1,0)</f>
        <v>1</v>
      </c>
    </row>
    <row r="248" spans="1:25" x14ac:dyDescent="0.3">
      <c r="A248" t="s">
        <v>66</v>
      </c>
      <c r="B248" t="s">
        <v>68</v>
      </c>
      <c r="C248">
        <v>8</v>
      </c>
      <c r="D248" t="s">
        <v>88</v>
      </c>
      <c r="E248" t="s">
        <v>78</v>
      </c>
      <c r="F248" t="s">
        <v>74</v>
      </c>
      <c r="G248">
        <v>1.0937196195253001</v>
      </c>
      <c r="H248">
        <v>2E+20</v>
      </c>
      <c r="I248">
        <v>6.1067595521535597E-3</v>
      </c>
      <c r="J248">
        <v>7.9982317478479503</v>
      </c>
      <c r="K248">
        <v>149</v>
      </c>
      <c r="L248" s="5" t="str">
        <f>DiscreteStatsTable[[#This Row],[ProjectName]]&amp;DiscreteStatsTable[[#This Row],[Name]]&amp;DiscreteStatsTable[[#This Row],[Type]]&amp;DiscreteStatsTable[[#This Row],[Source]]</f>
        <v>Unnamed ProjectMaleta NacionalVA TimeEntity</v>
      </c>
      <c r="M248" s="5" cm="1">
        <f t="array" ref="M248">MAX(IF((ProjectInfoTable[ProjectName]=DiscreteStatsTable[[#This Row],[ProjectName]]),(ProjectInfoTable[ProjectName]=DiscreteStatsTable[[#This Row],[ProjectName]])*ProjectInfoTable[NumberOfReplications]))</f>
        <v>10</v>
      </c>
      <c r="N248" s="5" cm="1">
        <f t="array" ref="N248">IFERROR(AVERAGE(IF((DiscreteStatsTable[GroupByKey]=DiscreteStatsTable[[#This Row],[GroupByKey]]),(DiscreteStatsTable[GroupByKey]=DiscreteStatsTable[[#This Row],[GroupByKey]])*DiscreteStatsTable[Average])),0)</f>
        <v>1.1970866370450852</v>
      </c>
      <c r="O248" s="5" cm="1">
        <f t="array" ref="O248">IFERROR(_xlfn.STDEV.S(IF((DiscreteStatsTable[GroupByKey]=DiscreteStatsTable[[#This Row],[GroupByKey]]),(DiscreteStatsTable[GroupByKey]=DiscreteStatsTable[[#This Row],[GroupByKey]])*DiscreteStatsTable[Average])),0)</f>
        <v>0.16160338579426173</v>
      </c>
      <c r="P248" s="5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 s="5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0.11560409805616673</v>
      </c>
      <c r="R248" s="5" cm="1">
        <f t="array" ref="R248">MIN(IF((DiscreteStatsTable[GroupByKey]=DiscreteStatsTable[[#This Row],[GroupByKey]]),(DiscreteStatsTable[GroupByKey]=DiscreteStatsTable[[#This Row],[GroupByKey]])*DiscreteStatsTable[Average]))</f>
        <v>0.93154168311307295</v>
      </c>
      <c r="S248" s="5" cm="1">
        <f t="array" ref="S248">MAX(IF((DiscreteStatsTable[GroupByKey]=DiscreteStatsTable[[#This Row],[GroupByKey]]),(DiscreteStatsTable[GroupByKey]=DiscreteStatsTable[[#This Row],[GroupByKey]])*DiscreteStatsTable[Average]))</f>
        <v>1.4326343791811</v>
      </c>
      <c r="T248" s="5" cm="1">
        <f t="array" ref="T248">MIN(IF((DiscreteStatsTable[GroupByKey]=DiscreteStatsTable[[#This Row],[GroupByKey]]),(DiscreteStatsTable[GroupByKey]=DiscreteStatsTable[[#This Row],[GroupByKey]])*DiscreteStatsTable[Minimum]))</f>
        <v>3.5780155263864799E-4</v>
      </c>
      <c r="U248" s="5" cm="1">
        <f t="array" ref="U248">MAX(IF((DiscreteStatsTable[GroupByKey]=DiscreteStatsTable[[#This Row],[GroupByKey]]),(DiscreteStatsTable[GroupByKey]=DiscreteStatsTable[[#This Row],[GroupByKey]])*DiscreteStatsTable[Maximum]))</f>
        <v>27.4453656088955</v>
      </c>
      <c r="V248" s="5" cm="1">
        <f t="array" ref="V248">IFERROR(AVERAGE(IF((DiscreteStatsTable[GroupByKey]=DiscreteStatsTable[[#This Row],[GroupByKey]]),(DiscreteStatsTable[GroupByKey]=DiscreteStatsTable[[#This Row],[GroupByKey]])*DiscreteStatsTable[NumberObservations])),0)</f>
        <v>159.1</v>
      </c>
      <c r="W248" s="5">
        <f>IF((DiscreteStatsTable[[#This Row],[RepsRequested]]&gt;1),DiscreteStatsTable[[#This Row],[HalfWidth]],DiscreteStatsTable[[#This Row],[BatchMeansHalfWidth]])</f>
        <v>0.11560409805616673</v>
      </c>
      <c r="X248" s="5" cm="1">
        <f t="array" ref="X248">COUNT(IF((DiscreteStatsTable[GroupByKey]=DiscreteStatsTable[[#This Row],[GroupByKey]]),(DiscreteStatsTable[GroupByKey]=DiscreteStatsTable[[#This Row],[GroupByKey]])*DiscreteStatsTable[Replication]))</f>
        <v>10</v>
      </c>
      <c r="Y248" s="5">
        <f>IF(DiscreteStatsTable[[#This Row],[RepsRequested]]=DiscreteStatsTable[[#This Row],[RepsWithStatObserved]],1,0)</f>
        <v>1</v>
      </c>
    </row>
    <row r="249" spans="1:25" x14ac:dyDescent="0.3">
      <c r="A249" t="s">
        <v>66</v>
      </c>
      <c r="B249" t="s">
        <v>68</v>
      </c>
      <c r="C249">
        <v>8</v>
      </c>
      <c r="D249" t="s">
        <v>88</v>
      </c>
      <c r="E249" t="s">
        <v>79</v>
      </c>
      <c r="F249" t="s">
        <v>74</v>
      </c>
      <c r="G249">
        <v>1.3140339661496501</v>
      </c>
      <c r="H249">
        <v>2E+20</v>
      </c>
      <c r="I249">
        <v>2.9464394214087999E-2</v>
      </c>
      <c r="J249">
        <v>10.9519173465048</v>
      </c>
      <c r="K249">
        <v>149</v>
      </c>
      <c r="L249" s="5" t="str">
        <f>DiscreteStatsTable[[#This Row],[ProjectName]]&amp;DiscreteStatsTable[[#This Row],[Name]]&amp;DiscreteStatsTable[[#This Row],[Type]]&amp;DiscreteStatsTable[[#This Row],[Source]]</f>
        <v>Unnamed ProjectMaleta NacionalWait TimeEntity</v>
      </c>
      <c r="M249" s="5" cm="1">
        <f t="array" ref="M249">MAX(IF((ProjectInfoTable[ProjectName]=DiscreteStatsTable[[#This Row],[ProjectName]]),(ProjectInfoTable[ProjectName]=DiscreteStatsTable[[#This Row],[ProjectName]])*ProjectInfoTable[NumberOfReplications]))</f>
        <v>10</v>
      </c>
      <c r="N249" s="5" cm="1">
        <f t="array" ref="N249">IFERROR(AVERAGE(IF((DiscreteStatsTable[GroupByKey]=DiscreteStatsTable[[#This Row],[GroupByKey]]),(DiscreteStatsTable[GroupByKey]=DiscreteStatsTable[[#This Row],[GroupByKey]])*DiscreteStatsTable[Average])),0)</f>
        <v>1.2829074717829589</v>
      </c>
      <c r="O249" s="5" cm="1">
        <f t="array" ref="O249">IFERROR(_xlfn.STDEV.S(IF((DiscreteStatsTable[GroupByKey]=DiscreteStatsTable[[#This Row],[GroupByKey]]),(DiscreteStatsTable[GroupByKey]=DiscreteStatsTable[[#This Row],[GroupByKey]])*DiscreteStatsTable[Average])),0)</f>
        <v>0.19900819614524773</v>
      </c>
      <c r="P249" s="5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 s="5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0.14236188745726755</v>
      </c>
      <c r="R249" s="5" cm="1">
        <f t="array" ref="R249">MIN(IF((DiscreteStatsTable[GroupByKey]=DiscreteStatsTable[[#This Row],[GroupByKey]]),(DiscreteStatsTable[GroupByKey]=DiscreteStatsTable[[#This Row],[GroupByKey]])*DiscreteStatsTable[Average]))</f>
        <v>0.93034835796656001</v>
      </c>
      <c r="S249" s="5" cm="1">
        <f t="array" ref="S249">MAX(IF((DiscreteStatsTable[GroupByKey]=DiscreteStatsTable[[#This Row],[GroupByKey]]),(DiscreteStatsTable[GroupByKey]=DiscreteStatsTable[[#This Row],[GroupByKey]])*DiscreteStatsTable[Average]))</f>
        <v>1.5005499568751099</v>
      </c>
      <c r="T249" s="5" cm="1">
        <f t="array" ref="T249">MIN(IF((DiscreteStatsTable[GroupByKey]=DiscreteStatsTable[[#This Row],[GroupByKey]]),(DiscreteStatsTable[GroupByKey]=DiscreteStatsTable[[#This Row],[GroupByKey]])*DiscreteStatsTable[Minimum]))</f>
        <v>0</v>
      </c>
      <c r="U249" s="5" cm="1">
        <f t="array" ref="U249">MAX(IF((DiscreteStatsTable[GroupByKey]=DiscreteStatsTable[[#This Row],[GroupByKey]]),(DiscreteStatsTable[GroupByKey]=DiscreteStatsTable[[#This Row],[GroupByKey]])*DiscreteStatsTable[Maximum]))</f>
        <v>10.9519173465048</v>
      </c>
      <c r="V249" s="5" cm="1">
        <f t="array" ref="V249">IFERROR(AVERAGE(IF((DiscreteStatsTable[GroupByKey]=DiscreteStatsTable[[#This Row],[GroupByKey]]),(DiscreteStatsTable[GroupByKey]=DiscreteStatsTable[[#This Row],[GroupByKey]])*DiscreteStatsTable[NumberObservations])),0)</f>
        <v>159.1</v>
      </c>
      <c r="W249" s="5">
        <f>IF((DiscreteStatsTable[[#This Row],[RepsRequested]]&gt;1),DiscreteStatsTable[[#This Row],[HalfWidth]],DiscreteStatsTable[[#This Row],[BatchMeansHalfWidth]])</f>
        <v>0.14236188745726755</v>
      </c>
      <c r="X249" s="5" cm="1">
        <f t="array" ref="X249">COUNT(IF((DiscreteStatsTable[GroupByKey]=DiscreteStatsTable[[#This Row],[GroupByKey]]),(DiscreteStatsTable[GroupByKey]=DiscreteStatsTable[[#This Row],[GroupByKey]])*DiscreteStatsTable[Replication]))</f>
        <v>10</v>
      </c>
      <c r="Y249" s="5">
        <f>IF(DiscreteStatsTable[[#This Row],[RepsRequested]]=DiscreteStatsTable[[#This Row],[RepsWithStatObserved]],1,0)</f>
        <v>1</v>
      </c>
    </row>
    <row r="250" spans="1:25" x14ac:dyDescent="0.3">
      <c r="A250" t="s">
        <v>66</v>
      </c>
      <c r="B250" t="s">
        <v>68</v>
      </c>
      <c r="C250">
        <v>9</v>
      </c>
      <c r="D250" t="s">
        <v>88</v>
      </c>
      <c r="E250" t="s">
        <v>73</v>
      </c>
      <c r="F250" t="s">
        <v>74</v>
      </c>
      <c r="G250">
        <v>0</v>
      </c>
      <c r="H250">
        <v>2E+20</v>
      </c>
      <c r="I250">
        <v>0</v>
      </c>
      <c r="J250">
        <v>0</v>
      </c>
      <c r="K250">
        <v>189</v>
      </c>
      <c r="L250" s="5" t="str">
        <f>DiscreteStatsTable[[#This Row],[ProjectName]]&amp;DiscreteStatsTable[[#This Row],[Name]]&amp;DiscreteStatsTable[[#This Row],[Type]]&amp;DiscreteStatsTable[[#This Row],[Source]]</f>
        <v>Unnamed ProjectMaleta NacionalNVA TimeEntity</v>
      </c>
      <c r="M250" s="5" cm="1">
        <f t="array" ref="M250">MAX(IF((ProjectInfoTable[ProjectName]=DiscreteStatsTable[[#This Row],[ProjectName]]),(ProjectInfoTable[ProjectName]=DiscreteStatsTable[[#This Row],[ProjectName]])*ProjectInfoTable[NumberOfReplications]))</f>
        <v>10</v>
      </c>
      <c r="N250" s="5" cm="1">
        <f t="array" ref="N250">IFERROR(AVERAGE(IF((DiscreteStatsTable[GroupByKey]=DiscreteStatsTable[[#This Row],[GroupByKey]]),(DiscreteStatsTable[GroupByKey]=DiscreteStatsTable[[#This Row],[GroupByKey]])*DiscreteStatsTable[Average])),0)</f>
        <v>0</v>
      </c>
      <c r="O250" s="5" cm="1">
        <f t="array" ref="O250">IFERROR(_xlfn.STDEV.S(IF((DiscreteStatsTable[GroupByKey]=DiscreteStatsTable[[#This Row],[GroupByKey]]),(DiscreteStatsTable[GroupByKey]=DiscreteStatsTable[[#This Row],[GroupByKey]])*DiscreteStatsTable[Average])),0)</f>
        <v>0</v>
      </c>
      <c r="P250" s="5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 s="5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0" s="5" cm="1">
        <f t="array" ref="R250">MIN(IF((DiscreteStatsTable[GroupByKey]=DiscreteStatsTable[[#This Row],[GroupByKey]]),(DiscreteStatsTable[GroupByKey]=DiscreteStatsTable[[#This Row],[GroupByKey]])*DiscreteStatsTable[Average]))</f>
        <v>0</v>
      </c>
      <c r="S250" s="5" cm="1">
        <f t="array" ref="S250">MAX(IF((DiscreteStatsTable[GroupByKey]=DiscreteStatsTable[[#This Row],[GroupByKey]]),(DiscreteStatsTable[GroupByKey]=DiscreteStatsTable[[#This Row],[GroupByKey]])*DiscreteStatsTable[Average]))</f>
        <v>0</v>
      </c>
      <c r="T250" s="5" cm="1">
        <f t="array" ref="T250">MIN(IF((DiscreteStatsTable[GroupByKey]=DiscreteStatsTable[[#This Row],[GroupByKey]]),(DiscreteStatsTable[GroupByKey]=DiscreteStatsTable[[#This Row],[GroupByKey]])*DiscreteStatsTable[Minimum]))</f>
        <v>0</v>
      </c>
      <c r="U250" s="5" cm="1">
        <f t="array" ref="U250">MAX(IF((DiscreteStatsTable[GroupByKey]=DiscreteStatsTable[[#This Row],[GroupByKey]]),(DiscreteStatsTable[GroupByKey]=DiscreteStatsTable[[#This Row],[GroupByKey]])*DiscreteStatsTable[Maximum]))</f>
        <v>0</v>
      </c>
      <c r="V250" s="5" cm="1">
        <f t="array" ref="V250">IFERROR(AVERAGE(IF((DiscreteStatsTable[GroupByKey]=DiscreteStatsTable[[#This Row],[GroupByKey]]),(DiscreteStatsTable[GroupByKey]=DiscreteStatsTable[[#This Row],[GroupByKey]])*DiscreteStatsTable[NumberObservations])),0)</f>
        <v>159.1</v>
      </c>
      <c r="W250" s="5">
        <f>IF((DiscreteStatsTable[[#This Row],[RepsRequested]]&gt;1),DiscreteStatsTable[[#This Row],[HalfWidth]],DiscreteStatsTable[[#This Row],[BatchMeansHalfWidth]])</f>
        <v>0</v>
      </c>
      <c r="X250" s="5" cm="1">
        <f t="array" ref="X250">COUNT(IF((DiscreteStatsTable[GroupByKey]=DiscreteStatsTable[[#This Row],[GroupByKey]]),(DiscreteStatsTable[GroupByKey]=DiscreteStatsTable[[#This Row],[GroupByKey]])*DiscreteStatsTable[Replication]))</f>
        <v>10</v>
      </c>
      <c r="Y250" s="5">
        <f>IF(DiscreteStatsTable[[#This Row],[RepsRequested]]=DiscreteStatsTable[[#This Row],[RepsWithStatObserved]],1,0)</f>
        <v>1</v>
      </c>
    </row>
    <row r="251" spans="1:25" x14ac:dyDescent="0.3">
      <c r="A251" t="s">
        <v>66</v>
      </c>
      <c r="B251" t="s">
        <v>68</v>
      </c>
      <c r="C251">
        <v>9</v>
      </c>
      <c r="D251" t="s">
        <v>88</v>
      </c>
      <c r="E251" t="s">
        <v>75</v>
      </c>
      <c r="F251" t="s">
        <v>74</v>
      </c>
      <c r="G251">
        <v>0</v>
      </c>
      <c r="H251">
        <v>2E+20</v>
      </c>
      <c r="I251">
        <v>0</v>
      </c>
      <c r="J251">
        <v>0</v>
      </c>
      <c r="K251">
        <v>189</v>
      </c>
      <c r="L251" s="5" t="str">
        <f>DiscreteStatsTable[[#This Row],[ProjectName]]&amp;DiscreteStatsTable[[#This Row],[Name]]&amp;DiscreteStatsTable[[#This Row],[Type]]&amp;DiscreteStatsTable[[#This Row],[Source]]</f>
        <v>Unnamed ProjectMaleta NacionalOther TimeEntity</v>
      </c>
      <c r="M251" s="5" cm="1">
        <f t="array" ref="M251">MAX(IF((ProjectInfoTable[ProjectName]=DiscreteStatsTable[[#This Row],[ProjectName]]),(ProjectInfoTable[ProjectName]=DiscreteStatsTable[[#This Row],[ProjectName]])*ProjectInfoTable[NumberOfReplications]))</f>
        <v>10</v>
      </c>
      <c r="N251" s="5" cm="1">
        <f t="array" ref="N251">IFERROR(AVERAGE(IF((DiscreteStatsTable[GroupByKey]=DiscreteStatsTable[[#This Row],[GroupByKey]]),(DiscreteStatsTable[GroupByKey]=DiscreteStatsTable[[#This Row],[GroupByKey]])*DiscreteStatsTable[Average])),0)</f>
        <v>0</v>
      </c>
      <c r="O251" s="5" cm="1">
        <f t="array" ref="O251">IFERROR(_xlfn.STDEV.S(IF((DiscreteStatsTable[GroupByKey]=DiscreteStatsTable[[#This Row],[GroupByKey]]),(DiscreteStatsTable[GroupByKey]=DiscreteStatsTable[[#This Row],[GroupByKey]])*DiscreteStatsTable[Average])),0)</f>
        <v>0</v>
      </c>
      <c r="P251" s="5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 s="5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1" s="5" cm="1">
        <f t="array" ref="R251">MIN(IF((DiscreteStatsTable[GroupByKey]=DiscreteStatsTable[[#This Row],[GroupByKey]]),(DiscreteStatsTable[GroupByKey]=DiscreteStatsTable[[#This Row],[GroupByKey]])*DiscreteStatsTable[Average]))</f>
        <v>0</v>
      </c>
      <c r="S251" s="5" cm="1">
        <f t="array" ref="S251">MAX(IF((DiscreteStatsTable[GroupByKey]=DiscreteStatsTable[[#This Row],[GroupByKey]]),(DiscreteStatsTable[GroupByKey]=DiscreteStatsTable[[#This Row],[GroupByKey]])*DiscreteStatsTable[Average]))</f>
        <v>0</v>
      </c>
      <c r="T251" s="5" cm="1">
        <f t="array" ref="T251">MIN(IF((DiscreteStatsTable[GroupByKey]=DiscreteStatsTable[[#This Row],[GroupByKey]]),(DiscreteStatsTable[GroupByKey]=DiscreteStatsTable[[#This Row],[GroupByKey]])*DiscreteStatsTable[Minimum]))</f>
        <v>0</v>
      </c>
      <c r="U251" s="5" cm="1">
        <f t="array" ref="U251">MAX(IF((DiscreteStatsTable[GroupByKey]=DiscreteStatsTable[[#This Row],[GroupByKey]]),(DiscreteStatsTable[GroupByKey]=DiscreteStatsTable[[#This Row],[GroupByKey]])*DiscreteStatsTable[Maximum]))</f>
        <v>0</v>
      </c>
      <c r="V251" s="5" cm="1">
        <f t="array" ref="V251">IFERROR(AVERAGE(IF((DiscreteStatsTable[GroupByKey]=DiscreteStatsTable[[#This Row],[GroupByKey]]),(DiscreteStatsTable[GroupByKey]=DiscreteStatsTable[[#This Row],[GroupByKey]])*DiscreteStatsTable[NumberObservations])),0)</f>
        <v>159.1</v>
      </c>
      <c r="W251" s="5">
        <f>IF((DiscreteStatsTable[[#This Row],[RepsRequested]]&gt;1),DiscreteStatsTable[[#This Row],[HalfWidth]],DiscreteStatsTable[[#This Row],[BatchMeansHalfWidth]])</f>
        <v>0</v>
      </c>
      <c r="X251" s="5" cm="1">
        <f t="array" ref="X251">COUNT(IF((DiscreteStatsTable[GroupByKey]=DiscreteStatsTable[[#This Row],[GroupByKey]]),(DiscreteStatsTable[GroupByKey]=DiscreteStatsTable[[#This Row],[GroupByKey]])*DiscreteStatsTable[Replication]))</f>
        <v>10</v>
      </c>
      <c r="Y251" s="5">
        <f>IF(DiscreteStatsTable[[#This Row],[RepsRequested]]=DiscreteStatsTable[[#This Row],[RepsWithStatObserved]],1,0)</f>
        <v>1</v>
      </c>
    </row>
    <row r="252" spans="1:25" x14ac:dyDescent="0.3">
      <c r="A252" t="s">
        <v>66</v>
      </c>
      <c r="B252" t="s">
        <v>68</v>
      </c>
      <c r="C252">
        <v>9</v>
      </c>
      <c r="D252" t="s">
        <v>88</v>
      </c>
      <c r="E252" t="s">
        <v>76</v>
      </c>
      <c r="F252" t="s">
        <v>74</v>
      </c>
      <c r="G252">
        <v>10.360818440513199</v>
      </c>
      <c r="H252">
        <v>2E+20</v>
      </c>
      <c r="I252">
        <v>6.3921838050257502</v>
      </c>
      <c r="J252">
        <v>21.834987972594998</v>
      </c>
      <c r="K252">
        <v>189</v>
      </c>
      <c r="L252" s="5" t="str">
        <f>DiscreteStatsTable[[#This Row],[ProjectName]]&amp;DiscreteStatsTable[[#This Row],[Name]]&amp;DiscreteStatsTable[[#This Row],[Type]]&amp;DiscreteStatsTable[[#This Row],[Source]]</f>
        <v>Unnamed ProjectMaleta NacionalTotal TimeEntity</v>
      </c>
      <c r="M252" s="5" cm="1">
        <f t="array" ref="M252">MAX(IF((ProjectInfoTable[ProjectName]=DiscreteStatsTable[[#This Row],[ProjectName]]),(ProjectInfoTable[ProjectName]=DiscreteStatsTable[[#This Row],[ProjectName]])*ProjectInfoTable[NumberOfReplications]))</f>
        <v>10</v>
      </c>
      <c r="N252" s="5" cm="1">
        <f t="array" ref="N252">IFERROR(AVERAGE(IF((DiscreteStatsTable[GroupByKey]=DiscreteStatsTable[[#This Row],[GroupByKey]]),(DiscreteStatsTable[GroupByKey]=DiscreteStatsTable[[#This Row],[GroupByKey]])*DiscreteStatsTable[Average])),0)</f>
        <v>10.155322958912489</v>
      </c>
      <c r="O252" s="5" cm="1">
        <f t="array" ref="O252">IFERROR(_xlfn.STDEV.S(IF((DiscreteStatsTable[GroupByKey]=DiscreteStatsTable[[#This Row],[GroupByKey]]),(DiscreteStatsTable[GroupByKey]=DiscreteStatsTable[[#This Row],[GroupByKey]])*DiscreteStatsTable[Average])),0)</f>
        <v>0.33418682093278973</v>
      </c>
      <c r="P252" s="5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 s="5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0.23906285023865298</v>
      </c>
      <c r="R252" s="5" cm="1">
        <f t="array" ref="R252">MIN(IF((DiscreteStatsTable[GroupByKey]=DiscreteStatsTable[[#This Row],[GroupByKey]]),(DiscreteStatsTable[GroupByKey]=DiscreteStatsTable[[#This Row],[GroupByKey]])*DiscreteStatsTable[Average]))</f>
        <v>9.5096808134995996</v>
      </c>
      <c r="S252" s="5" cm="1">
        <f t="array" ref="S252">MAX(IF((DiscreteStatsTable[GroupByKey]=DiscreteStatsTable[[#This Row],[GroupByKey]]),(DiscreteStatsTable[GroupByKey]=DiscreteStatsTable[[#This Row],[GroupByKey]])*DiscreteStatsTable[Average]))</f>
        <v>10.541225271035399</v>
      </c>
      <c r="T252" s="5" cm="1">
        <f t="array" ref="T252">MIN(IF((DiscreteStatsTable[GroupByKey]=DiscreteStatsTable[[#This Row],[GroupByKey]]),(DiscreteStatsTable[GroupByKey]=DiscreteStatsTable[[#This Row],[GroupByKey]])*DiscreteStatsTable[Minimum]))</f>
        <v>6.3921838050257502</v>
      </c>
      <c r="U252" s="5" cm="1">
        <f t="array" ref="U252">MAX(IF((DiscreteStatsTable[GroupByKey]=DiscreteStatsTable[[#This Row],[GroupByKey]]),(DiscreteStatsTable[GroupByKey]=DiscreteStatsTable[[#This Row],[GroupByKey]])*DiscreteStatsTable[Maximum]))</f>
        <v>33.212781474357499</v>
      </c>
      <c r="V252" s="5" cm="1">
        <f t="array" ref="V252">IFERROR(AVERAGE(IF((DiscreteStatsTable[GroupByKey]=DiscreteStatsTable[[#This Row],[GroupByKey]]),(DiscreteStatsTable[GroupByKey]=DiscreteStatsTable[[#This Row],[GroupByKey]])*DiscreteStatsTable[NumberObservations])),0)</f>
        <v>159.1</v>
      </c>
      <c r="W252" s="5">
        <f>IF((DiscreteStatsTable[[#This Row],[RepsRequested]]&gt;1),DiscreteStatsTable[[#This Row],[HalfWidth]],DiscreteStatsTable[[#This Row],[BatchMeansHalfWidth]])</f>
        <v>0.23906285023865298</v>
      </c>
      <c r="X252" s="5" cm="1">
        <f t="array" ref="X252">COUNT(IF((DiscreteStatsTable[GroupByKey]=DiscreteStatsTable[[#This Row],[GroupByKey]]),(DiscreteStatsTable[GroupByKey]=DiscreteStatsTable[[#This Row],[GroupByKey]])*DiscreteStatsTable[Replication]))</f>
        <v>10</v>
      </c>
      <c r="Y252" s="5">
        <f>IF(DiscreteStatsTable[[#This Row],[RepsRequested]]=DiscreteStatsTable[[#This Row],[RepsWithStatObserved]],1,0)</f>
        <v>1</v>
      </c>
    </row>
    <row r="253" spans="1:25" x14ac:dyDescent="0.3">
      <c r="A253" t="s">
        <v>66</v>
      </c>
      <c r="B253" t="s">
        <v>68</v>
      </c>
      <c r="C253">
        <v>9</v>
      </c>
      <c r="D253" t="s">
        <v>88</v>
      </c>
      <c r="E253" t="s">
        <v>77</v>
      </c>
      <c r="F253" t="s">
        <v>74</v>
      </c>
      <c r="G253">
        <v>7.6806217258382201</v>
      </c>
      <c r="H253">
        <v>2E+20</v>
      </c>
      <c r="I253">
        <v>4.9973602639356596</v>
      </c>
      <c r="J253">
        <v>9.4030921293850191</v>
      </c>
      <c r="K253">
        <v>189</v>
      </c>
      <c r="L253" s="5" t="str">
        <f>DiscreteStatsTable[[#This Row],[ProjectName]]&amp;DiscreteStatsTable[[#This Row],[Name]]&amp;DiscreteStatsTable[[#This Row],[Type]]&amp;DiscreteStatsTable[[#This Row],[Source]]</f>
        <v>Unnamed ProjectMaleta NacionalTransfer TimeEntity</v>
      </c>
      <c r="M253" s="5" cm="1">
        <f t="array" ref="M253">MAX(IF((ProjectInfoTable[ProjectName]=DiscreteStatsTable[[#This Row],[ProjectName]]),(ProjectInfoTable[ProjectName]=DiscreteStatsTable[[#This Row],[ProjectName]])*ProjectInfoTable[NumberOfReplications]))</f>
        <v>10</v>
      </c>
      <c r="N253" s="5" cm="1">
        <f t="array" ref="N253">IFERROR(AVERAGE(IF((DiscreteStatsTable[GroupByKey]=DiscreteStatsTable[[#This Row],[GroupByKey]]),(DiscreteStatsTable[GroupByKey]=DiscreteStatsTable[[#This Row],[GroupByKey]])*DiscreteStatsTable[Average])),0)</f>
        <v>7.6753288500844494</v>
      </c>
      <c r="O253" s="5" cm="1">
        <f t="array" ref="O253">IFERROR(_xlfn.STDEV.S(IF((DiscreteStatsTable[GroupByKey]=DiscreteStatsTable[[#This Row],[GroupByKey]]),(DiscreteStatsTable[GroupByKey]=DiscreteStatsTable[[#This Row],[GroupByKey]])*DiscreteStatsTable[Average])),0)</f>
        <v>3.9746429823300011E-2</v>
      </c>
      <c r="P253" s="5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 s="5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2.8432883061776049E-2</v>
      </c>
      <c r="R253" s="5" cm="1">
        <f t="array" ref="R253">MIN(IF((DiscreteStatsTable[GroupByKey]=DiscreteStatsTable[[#This Row],[GroupByKey]]),(DiscreteStatsTable[GroupByKey]=DiscreteStatsTable[[#This Row],[GroupByKey]])*DiscreteStatsTable[Average]))</f>
        <v>7.6171173934620997</v>
      </c>
      <c r="S253" s="5" cm="1">
        <f t="array" ref="S253">MAX(IF((DiscreteStatsTable[GroupByKey]=DiscreteStatsTable[[#This Row],[GroupByKey]]),(DiscreteStatsTable[GroupByKey]=DiscreteStatsTable[[#This Row],[GroupByKey]])*DiscreteStatsTable[Average]))</f>
        <v>7.7465011776556301</v>
      </c>
      <c r="T253" s="5" cm="1">
        <f t="array" ref="T253">MIN(IF((DiscreteStatsTable[GroupByKey]=DiscreteStatsTable[[#This Row],[GroupByKey]]),(DiscreteStatsTable[GroupByKey]=DiscreteStatsTable[[#This Row],[GroupByKey]])*DiscreteStatsTable[Minimum]))</f>
        <v>4.9973602639356596</v>
      </c>
      <c r="U253" s="5" cm="1">
        <f t="array" ref="U253">MAX(IF((DiscreteStatsTable[GroupByKey]=DiscreteStatsTable[[#This Row],[GroupByKey]]),(DiscreteStatsTable[GroupByKey]=DiscreteStatsTable[[#This Row],[GroupByKey]])*DiscreteStatsTable[Maximum]))</f>
        <v>10.3780432567189</v>
      </c>
      <c r="V253" s="5" cm="1">
        <f t="array" ref="V253">IFERROR(AVERAGE(IF((DiscreteStatsTable[GroupByKey]=DiscreteStatsTable[[#This Row],[GroupByKey]]),(DiscreteStatsTable[GroupByKey]=DiscreteStatsTable[[#This Row],[GroupByKey]])*DiscreteStatsTable[NumberObservations])),0)</f>
        <v>159.1</v>
      </c>
      <c r="W253" s="5">
        <f>IF((DiscreteStatsTable[[#This Row],[RepsRequested]]&gt;1),DiscreteStatsTable[[#This Row],[HalfWidth]],DiscreteStatsTable[[#This Row],[BatchMeansHalfWidth]])</f>
        <v>2.8432883061776049E-2</v>
      </c>
      <c r="X253" s="5" cm="1">
        <f t="array" ref="X253">COUNT(IF((DiscreteStatsTable[GroupByKey]=DiscreteStatsTable[[#This Row],[GroupByKey]]),(DiscreteStatsTable[GroupByKey]=DiscreteStatsTable[[#This Row],[GroupByKey]])*DiscreteStatsTable[Replication]))</f>
        <v>10</v>
      </c>
      <c r="Y253" s="5">
        <f>IF(DiscreteStatsTable[[#This Row],[RepsRequested]]=DiscreteStatsTable[[#This Row],[RepsWithStatObserved]],1,0)</f>
        <v>1</v>
      </c>
    </row>
    <row r="254" spans="1:25" x14ac:dyDescent="0.3">
      <c r="A254" t="s">
        <v>66</v>
      </c>
      <c r="B254" t="s">
        <v>68</v>
      </c>
      <c r="C254">
        <v>9</v>
      </c>
      <c r="D254" t="s">
        <v>88</v>
      </c>
      <c r="E254" t="s">
        <v>78</v>
      </c>
      <c r="F254" t="s">
        <v>74</v>
      </c>
      <c r="G254">
        <v>1.17964675779983</v>
      </c>
      <c r="H254">
        <v>2E+20</v>
      </c>
      <c r="I254">
        <v>1.7376765557628501E-3</v>
      </c>
      <c r="J254">
        <v>12.3289464572126</v>
      </c>
      <c r="K254">
        <v>189</v>
      </c>
      <c r="L254" s="5" t="str">
        <f>DiscreteStatsTable[[#This Row],[ProjectName]]&amp;DiscreteStatsTable[[#This Row],[Name]]&amp;DiscreteStatsTable[[#This Row],[Type]]&amp;DiscreteStatsTable[[#This Row],[Source]]</f>
        <v>Unnamed ProjectMaleta NacionalVA TimeEntity</v>
      </c>
      <c r="M254" s="5" cm="1">
        <f t="array" ref="M254">MAX(IF((ProjectInfoTable[ProjectName]=DiscreteStatsTable[[#This Row],[ProjectName]]),(ProjectInfoTable[ProjectName]=DiscreteStatsTable[[#This Row],[ProjectName]])*ProjectInfoTable[NumberOfReplications]))</f>
        <v>10</v>
      </c>
      <c r="N254" s="5" cm="1">
        <f t="array" ref="N254">IFERROR(AVERAGE(IF((DiscreteStatsTable[GroupByKey]=DiscreteStatsTable[[#This Row],[GroupByKey]]),(DiscreteStatsTable[GroupByKey]=DiscreteStatsTable[[#This Row],[GroupByKey]])*DiscreteStatsTable[Average])),0)</f>
        <v>1.1970866370450852</v>
      </c>
      <c r="O254" s="5" cm="1">
        <f t="array" ref="O254">IFERROR(_xlfn.STDEV.S(IF((DiscreteStatsTable[GroupByKey]=DiscreteStatsTable[[#This Row],[GroupByKey]]),(DiscreteStatsTable[GroupByKey]=DiscreteStatsTable[[#This Row],[GroupByKey]])*DiscreteStatsTable[Average])),0)</f>
        <v>0.16160338579426173</v>
      </c>
      <c r="P254" s="5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 s="5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0.11560409805616673</v>
      </c>
      <c r="R254" s="5" cm="1">
        <f t="array" ref="R254">MIN(IF((DiscreteStatsTable[GroupByKey]=DiscreteStatsTable[[#This Row],[GroupByKey]]),(DiscreteStatsTable[GroupByKey]=DiscreteStatsTable[[#This Row],[GroupByKey]])*DiscreteStatsTable[Average]))</f>
        <v>0.93154168311307295</v>
      </c>
      <c r="S254" s="5" cm="1">
        <f t="array" ref="S254">MAX(IF((DiscreteStatsTable[GroupByKey]=DiscreteStatsTable[[#This Row],[GroupByKey]]),(DiscreteStatsTable[GroupByKey]=DiscreteStatsTable[[#This Row],[GroupByKey]])*DiscreteStatsTable[Average]))</f>
        <v>1.4326343791811</v>
      </c>
      <c r="T254" s="5" cm="1">
        <f t="array" ref="T254">MIN(IF((DiscreteStatsTable[GroupByKey]=DiscreteStatsTable[[#This Row],[GroupByKey]]),(DiscreteStatsTable[GroupByKey]=DiscreteStatsTable[[#This Row],[GroupByKey]])*DiscreteStatsTable[Minimum]))</f>
        <v>3.5780155263864799E-4</v>
      </c>
      <c r="U254" s="5" cm="1">
        <f t="array" ref="U254">MAX(IF((DiscreteStatsTable[GroupByKey]=DiscreteStatsTable[[#This Row],[GroupByKey]]),(DiscreteStatsTable[GroupByKey]=DiscreteStatsTable[[#This Row],[GroupByKey]])*DiscreteStatsTable[Maximum]))</f>
        <v>27.4453656088955</v>
      </c>
      <c r="V254" s="5" cm="1">
        <f t="array" ref="V254">IFERROR(AVERAGE(IF((DiscreteStatsTable[GroupByKey]=DiscreteStatsTable[[#This Row],[GroupByKey]]),(DiscreteStatsTable[GroupByKey]=DiscreteStatsTable[[#This Row],[GroupByKey]])*DiscreteStatsTable[NumberObservations])),0)</f>
        <v>159.1</v>
      </c>
      <c r="W254" s="5">
        <f>IF((DiscreteStatsTable[[#This Row],[RepsRequested]]&gt;1),DiscreteStatsTable[[#This Row],[HalfWidth]],DiscreteStatsTable[[#This Row],[BatchMeansHalfWidth]])</f>
        <v>0.11560409805616673</v>
      </c>
      <c r="X254" s="5" cm="1">
        <f t="array" ref="X254">COUNT(IF((DiscreteStatsTable[GroupByKey]=DiscreteStatsTable[[#This Row],[GroupByKey]]),(DiscreteStatsTable[GroupByKey]=DiscreteStatsTable[[#This Row],[GroupByKey]])*DiscreteStatsTable[Replication]))</f>
        <v>10</v>
      </c>
      <c r="Y254" s="5">
        <f>IF(DiscreteStatsTable[[#This Row],[RepsRequested]]=DiscreteStatsTable[[#This Row],[RepsWithStatObserved]],1,0)</f>
        <v>1</v>
      </c>
    </row>
    <row r="255" spans="1:25" x14ac:dyDescent="0.3">
      <c r="A255" t="s">
        <v>66</v>
      </c>
      <c r="B255" t="s">
        <v>68</v>
      </c>
      <c r="C255">
        <v>9</v>
      </c>
      <c r="D255" t="s">
        <v>88</v>
      </c>
      <c r="E255" t="s">
        <v>79</v>
      </c>
      <c r="F255" t="s">
        <v>74</v>
      </c>
      <c r="G255">
        <v>1.5005499568751099</v>
      </c>
      <c r="H255">
        <v>2E+20</v>
      </c>
      <c r="I255">
        <v>0</v>
      </c>
      <c r="J255">
        <v>9.9127760747288107</v>
      </c>
      <c r="K255">
        <v>189</v>
      </c>
      <c r="L255" s="5" t="str">
        <f>DiscreteStatsTable[[#This Row],[ProjectName]]&amp;DiscreteStatsTable[[#This Row],[Name]]&amp;DiscreteStatsTable[[#This Row],[Type]]&amp;DiscreteStatsTable[[#This Row],[Source]]</f>
        <v>Unnamed ProjectMaleta NacionalWait TimeEntity</v>
      </c>
      <c r="M255" s="5" cm="1">
        <f t="array" ref="M255">MAX(IF((ProjectInfoTable[ProjectName]=DiscreteStatsTable[[#This Row],[ProjectName]]),(ProjectInfoTable[ProjectName]=DiscreteStatsTable[[#This Row],[ProjectName]])*ProjectInfoTable[NumberOfReplications]))</f>
        <v>10</v>
      </c>
      <c r="N255" s="5" cm="1">
        <f t="array" ref="N255">IFERROR(AVERAGE(IF((DiscreteStatsTable[GroupByKey]=DiscreteStatsTable[[#This Row],[GroupByKey]]),(DiscreteStatsTable[GroupByKey]=DiscreteStatsTable[[#This Row],[GroupByKey]])*DiscreteStatsTable[Average])),0)</f>
        <v>1.2829074717829589</v>
      </c>
      <c r="O255" s="5" cm="1">
        <f t="array" ref="O255">IFERROR(_xlfn.STDEV.S(IF((DiscreteStatsTable[GroupByKey]=DiscreteStatsTable[[#This Row],[GroupByKey]]),(DiscreteStatsTable[GroupByKey]=DiscreteStatsTable[[#This Row],[GroupByKey]])*DiscreteStatsTable[Average])),0)</f>
        <v>0.19900819614524773</v>
      </c>
      <c r="P255" s="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 s="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0.14236188745726755</v>
      </c>
      <c r="R255" s="5" cm="1">
        <f t="array" ref="R255">MIN(IF((DiscreteStatsTable[GroupByKey]=DiscreteStatsTable[[#This Row],[GroupByKey]]),(DiscreteStatsTable[GroupByKey]=DiscreteStatsTable[[#This Row],[GroupByKey]])*DiscreteStatsTable[Average]))</f>
        <v>0.93034835796656001</v>
      </c>
      <c r="S255" s="5" cm="1">
        <f t="array" ref="S255">MAX(IF((DiscreteStatsTable[GroupByKey]=DiscreteStatsTable[[#This Row],[GroupByKey]]),(DiscreteStatsTable[GroupByKey]=DiscreteStatsTable[[#This Row],[GroupByKey]])*DiscreteStatsTable[Average]))</f>
        <v>1.5005499568751099</v>
      </c>
      <c r="T255" s="5" cm="1">
        <f t="array" ref="T255">MIN(IF((DiscreteStatsTable[GroupByKey]=DiscreteStatsTable[[#This Row],[GroupByKey]]),(DiscreteStatsTable[GroupByKey]=DiscreteStatsTable[[#This Row],[GroupByKey]])*DiscreteStatsTable[Minimum]))</f>
        <v>0</v>
      </c>
      <c r="U255" s="5" cm="1">
        <f t="array" ref="U255">MAX(IF((DiscreteStatsTable[GroupByKey]=DiscreteStatsTable[[#This Row],[GroupByKey]]),(DiscreteStatsTable[GroupByKey]=DiscreteStatsTable[[#This Row],[GroupByKey]])*DiscreteStatsTable[Maximum]))</f>
        <v>10.9519173465048</v>
      </c>
      <c r="V255" s="5" cm="1">
        <f t="array" ref="V255">IFERROR(AVERAGE(IF((DiscreteStatsTable[GroupByKey]=DiscreteStatsTable[[#This Row],[GroupByKey]]),(DiscreteStatsTable[GroupByKey]=DiscreteStatsTable[[#This Row],[GroupByKey]])*DiscreteStatsTable[NumberObservations])),0)</f>
        <v>159.1</v>
      </c>
      <c r="W255" s="5">
        <f>IF((DiscreteStatsTable[[#This Row],[RepsRequested]]&gt;1),DiscreteStatsTable[[#This Row],[HalfWidth]],DiscreteStatsTable[[#This Row],[BatchMeansHalfWidth]])</f>
        <v>0.14236188745726755</v>
      </c>
      <c r="X255" s="5" cm="1">
        <f t="array" ref="X255">COUNT(IF((DiscreteStatsTable[GroupByKey]=DiscreteStatsTable[[#This Row],[GroupByKey]]),(DiscreteStatsTable[GroupByKey]=DiscreteStatsTable[[#This Row],[GroupByKey]])*DiscreteStatsTable[Replication]))</f>
        <v>10</v>
      </c>
      <c r="Y255" s="5">
        <f>IF(DiscreteStatsTable[[#This Row],[RepsRequested]]=DiscreteStatsTable[[#This Row],[RepsWithStatObserved]],1,0)</f>
        <v>1</v>
      </c>
    </row>
    <row r="256" spans="1:25" x14ac:dyDescent="0.3">
      <c r="A256" t="s">
        <v>66</v>
      </c>
      <c r="B256" t="s">
        <v>68</v>
      </c>
      <c r="C256">
        <v>10</v>
      </c>
      <c r="D256" t="s">
        <v>88</v>
      </c>
      <c r="E256" t="s">
        <v>73</v>
      </c>
      <c r="F256" t="s">
        <v>74</v>
      </c>
      <c r="G256">
        <v>0</v>
      </c>
      <c r="H256">
        <v>2E+20</v>
      </c>
      <c r="I256">
        <v>0</v>
      </c>
      <c r="J256">
        <v>0</v>
      </c>
      <c r="K256">
        <v>151</v>
      </c>
      <c r="L256" s="5" t="str">
        <f>DiscreteStatsTable[[#This Row],[ProjectName]]&amp;DiscreteStatsTable[[#This Row],[Name]]&amp;DiscreteStatsTable[[#This Row],[Type]]&amp;DiscreteStatsTable[[#This Row],[Source]]</f>
        <v>Unnamed ProjectMaleta NacionalNVA TimeEntity</v>
      </c>
      <c r="M256" s="5" cm="1">
        <f t="array" ref="M256">MAX(IF((ProjectInfoTable[ProjectName]=DiscreteStatsTable[[#This Row],[ProjectName]]),(ProjectInfoTable[ProjectName]=DiscreteStatsTable[[#This Row],[ProjectName]])*ProjectInfoTable[NumberOfReplications]))</f>
        <v>10</v>
      </c>
      <c r="N256" s="5" cm="1">
        <f t="array" ref="N256">IFERROR(AVERAGE(IF((DiscreteStatsTable[GroupByKey]=DiscreteStatsTable[[#This Row],[GroupByKey]]),(DiscreteStatsTable[GroupByKey]=DiscreteStatsTable[[#This Row],[GroupByKey]])*DiscreteStatsTable[Average])),0)</f>
        <v>0</v>
      </c>
      <c r="O256" s="5" cm="1">
        <f t="array" ref="O256">IFERROR(_xlfn.STDEV.S(IF((DiscreteStatsTable[GroupByKey]=DiscreteStatsTable[[#This Row],[GroupByKey]]),(DiscreteStatsTable[GroupByKey]=DiscreteStatsTable[[#This Row],[GroupByKey]])*DiscreteStatsTable[Average])),0)</f>
        <v>0</v>
      </c>
      <c r="P256" s="5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 s="5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6" s="5" cm="1">
        <f t="array" ref="R256">MIN(IF((DiscreteStatsTable[GroupByKey]=DiscreteStatsTable[[#This Row],[GroupByKey]]),(DiscreteStatsTable[GroupByKey]=DiscreteStatsTable[[#This Row],[GroupByKey]])*DiscreteStatsTable[Average]))</f>
        <v>0</v>
      </c>
      <c r="S256" s="5" cm="1">
        <f t="array" ref="S256">MAX(IF((DiscreteStatsTable[GroupByKey]=DiscreteStatsTable[[#This Row],[GroupByKey]]),(DiscreteStatsTable[GroupByKey]=DiscreteStatsTable[[#This Row],[GroupByKey]])*DiscreteStatsTable[Average]))</f>
        <v>0</v>
      </c>
      <c r="T256" s="5" cm="1">
        <f t="array" ref="T256">MIN(IF((DiscreteStatsTable[GroupByKey]=DiscreteStatsTable[[#This Row],[GroupByKey]]),(DiscreteStatsTable[GroupByKey]=DiscreteStatsTable[[#This Row],[GroupByKey]])*DiscreteStatsTable[Minimum]))</f>
        <v>0</v>
      </c>
      <c r="U256" s="5" cm="1">
        <f t="array" ref="U256">MAX(IF((DiscreteStatsTable[GroupByKey]=DiscreteStatsTable[[#This Row],[GroupByKey]]),(DiscreteStatsTable[GroupByKey]=DiscreteStatsTable[[#This Row],[GroupByKey]])*DiscreteStatsTable[Maximum]))</f>
        <v>0</v>
      </c>
      <c r="V256" s="5" cm="1">
        <f t="array" ref="V256">IFERROR(AVERAGE(IF((DiscreteStatsTable[GroupByKey]=DiscreteStatsTable[[#This Row],[GroupByKey]]),(DiscreteStatsTable[GroupByKey]=DiscreteStatsTable[[#This Row],[GroupByKey]])*DiscreteStatsTable[NumberObservations])),0)</f>
        <v>159.1</v>
      </c>
      <c r="W256" s="5">
        <f>IF((DiscreteStatsTable[[#This Row],[RepsRequested]]&gt;1),DiscreteStatsTable[[#This Row],[HalfWidth]],DiscreteStatsTable[[#This Row],[BatchMeansHalfWidth]])</f>
        <v>0</v>
      </c>
      <c r="X256" s="5" cm="1">
        <f t="array" ref="X256">COUNT(IF((DiscreteStatsTable[GroupByKey]=DiscreteStatsTable[[#This Row],[GroupByKey]]),(DiscreteStatsTable[GroupByKey]=DiscreteStatsTable[[#This Row],[GroupByKey]])*DiscreteStatsTable[Replication]))</f>
        <v>10</v>
      </c>
      <c r="Y256" s="5">
        <f>IF(DiscreteStatsTable[[#This Row],[RepsRequested]]=DiscreteStatsTable[[#This Row],[RepsWithStatObserved]],1,0)</f>
        <v>1</v>
      </c>
    </row>
    <row r="257" spans="1:25" x14ac:dyDescent="0.3">
      <c r="A257" t="s">
        <v>66</v>
      </c>
      <c r="B257" t="s">
        <v>68</v>
      </c>
      <c r="C257">
        <v>10</v>
      </c>
      <c r="D257" t="s">
        <v>88</v>
      </c>
      <c r="E257" t="s">
        <v>75</v>
      </c>
      <c r="F257" t="s">
        <v>74</v>
      </c>
      <c r="G257">
        <v>0</v>
      </c>
      <c r="H257">
        <v>2E+20</v>
      </c>
      <c r="I257">
        <v>0</v>
      </c>
      <c r="J257">
        <v>0</v>
      </c>
      <c r="K257">
        <v>151</v>
      </c>
      <c r="L257" s="5" t="str">
        <f>DiscreteStatsTable[[#This Row],[ProjectName]]&amp;DiscreteStatsTable[[#This Row],[Name]]&amp;DiscreteStatsTable[[#This Row],[Type]]&amp;DiscreteStatsTable[[#This Row],[Source]]</f>
        <v>Unnamed ProjectMaleta NacionalOther TimeEntity</v>
      </c>
      <c r="M257" s="5" cm="1">
        <f t="array" ref="M257">MAX(IF((ProjectInfoTable[ProjectName]=DiscreteStatsTable[[#This Row],[ProjectName]]),(ProjectInfoTable[ProjectName]=DiscreteStatsTable[[#This Row],[ProjectName]])*ProjectInfoTable[NumberOfReplications]))</f>
        <v>10</v>
      </c>
      <c r="N257" s="5" cm="1">
        <f t="array" ref="N257">IFERROR(AVERAGE(IF((DiscreteStatsTable[GroupByKey]=DiscreteStatsTable[[#This Row],[GroupByKey]]),(DiscreteStatsTable[GroupByKey]=DiscreteStatsTable[[#This Row],[GroupByKey]])*DiscreteStatsTable[Average])),0)</f>
        <v>0</v>
      </c>
      <c r="O257" s="5" cm="1">
        <f t="array" ref="O257">IFERROR(_xlfn.STDEV.S(IF((DiscreteStatsTable[GroupByKey]=DiscreteStatsTable[[#This Row],[GroupByKey]]),(DiscreteStatsTable[GroupByKey]=DiscreteStatsTable[[#This Row],[GroupByKey]])*DiscreteStatsTable[Average])),0)</f>
        <v>0</v>
      </c>
      <c r="P257" s="5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 s="5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7" s="5" cm="1">
        <f t="array" ref="R257">MIN(IF((DiscreteStatsTable[GroupByKey]=DiscreteStatsTable[[#This Row],[GroupByKey]]),(DiscreteStatsTable[GroupByKey]=DiscreteStatsTable[[#This Row],[GroupByKey]])*DiscreteStatsTable[Average]))</f>
        <v>0</v>
      </c>
      <c r="S257" s="5" cm="1">
        <f t="array" ref="S257">MAX(IF((DiscreteStatsTable[GroupByKey]=DiscreteStatsTable[[#This Row],[GroupByKey]]),(DiscreteStatsTable[GroupByKey]=DiscreteStatsTable[[#This Row],[GroupByKey]])*DiscreteStatsTable[Average]))</f>
        <v>0</v>
      </c>
      <c r="T257" s="5" cm="1">
        <f t="array" ref="T257">MIN(IF((DiscreteStatsTable[GroupByKey]=DiscreteStatsTable[[#This Row],[GroupByKey]]),(DiscreteStatsTable[GroupByKey]=DiscreteStatsTable[[#This Row],[GroupByKey]])*DiscreteStatsTable[Minimum]))</f>
        <v>0</v>
      </c>
      <c r="U257" s="5" cm="1">
        <f t="array" ref="U257">MAX(IF((DiscreteStatsTable[GroupByKey]=DiscreteStatsTable[[#This Row],[GroupByKey]]),(DiscreteStatsTable[GroupByKey]=DiscreteStatsTable[[#This Row],[GroupByKey]])*DiscreteStatsTable[Maximum]))</f>
        <v>0</v>
      </c>
      <c r="V257" s="5" cm="1">
        <f t="array" ref="V257">IFERROR(AVERAGE(IF((DiscreteStatsTable[GroupByKey]=DiscreteStatsTable[[#This Row],[GroupByKey]]),(DiscreteStatsTable[GroupByKey]=DiscreteStatsTable[[#This Row],[GroupByKey]])*DiscreteStatsTable[NumberObservations])),0)</f>
        <v>159.1</v>
      </c>
      <c r="W257" s="5">
        <f>IF((DiscreteStatsTable[[#This Row],[RepsRequested]]&gt;1),DiscreteStatsTable[[#This Row],[HalfWidth]],DiscreteStatsTable[[#This Row],[BatchMeansHalfWidth]])</f>
        <v>0</v>
      </c>
      <c r="X257" s="5" cm="1">
        <f t="array" ref="X257">COUNT(IF((DiscreteStatsTable[GroupByKey]=DiscreteStatsTable[[#This Row],[GroupByKey]]),(DiscreteStatsTable[GroupByKey]=DiscreteStatsTable[[#This Row],[GroupByKey]])*DiscreteStatsTable[Replication]))</f>
        <v>10</v>
      </c>
      <c r="Y257" s="5">
        <f>IF(DiscreteStatsTable[[#This Row],[RepsRequested]]=DiscreteStatsTable[[#This Row],[RepsWithStatObserved]],1,0)</f>
        <v>1</v>
      </c>
    </row>
    <row r="258" spans="1:25" x14ac:dyDescent="0.3">
      <c r="A258" t="s">
        <v>66</v>
      </c>
      <c r="B258" t="s">
        <v>68</v>
      </c>
      <c r="C258">
        <v>10</v>
      </c>
      <c r="D258" t="s">
        <v>88</v>
      </c>
      <c r="E258" t="s">
        <v>76</v>
      </c>
      <c r="F258" t="s">
        <v>74</v>
      </c>
      <c r="G258">
        <v>9.8964489698954203</v>
      </c>
      <c r="H258">
        <v>2E+20</v>
      </c>
      <c r="I258">
        <v>7.8040689954296996</v>
      </c>
      <c r="J258">
        <v>18.845944453778898</v>
      </c>
      <c r="K258">
        <v>151</v>
      </c>
      <c r="L258" s="5" t="str">
        <f>DiscreteStatsTable[[#This Row],[ProjectName]]&amp;DiscreteStatsTable[[#This Row],[Name]]&amp;DiscreteStatsTable[[#This Row],[Type]]&amp;DiscreteStatsTable[[#This Row],[Source]]</f>
        <v>Unnamed ProjectMaleta NacionalTotal TimeEntity</v>
      </c>
      <c r="M258" s="5" cm="1">
        <f t="array" ref="M258">MAX(IF((ProjectInfoTable[ProjectName]=DiscreteStatsTable[[#This Row],[ProjectName]]),(ProjectInfoTable[ProjectName]=DiscreteStatsTable[[#This Row],[ProjectName]])*ProjectInfoTable[NumberOfReplications]))</f>
        <v>10</v>
      </c>
      <c r="N258" s="5" cm="1">
        <f t="array" ref="N258">IFERROR(AVERAGE(IF((DiscreteStatsTable[GroupByKey]=DiscreteStatsTable[[#This Row],[GroupByKey]]),(DiscreteStatsTable[GroupByKey]=DiscreteStatsTable[[#This Row],[GroupByKey]])*DiscreteStatsTable[Average])),0)</f>
        <v>10.155322958912489</v>
      </c>
      <c r="O258" s="5" cm="1">
        <f t="array" ref="O258">IFERROR(_xlfn.STDEV.S(IF((DiscreteStatsTable[GroupByKey]=DiscreteStatsTable[[#This Row],[GroupByKey]]),(DiscreteStatsTable[GroupByKey]=DiscreteStatsTable[[#This Row],[GroupByKey]])*DiscreteStatsTable[Average])),0)</f>
        <v>0.33418682093278973</v>
      </c>
      <c r="P258" s="5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 s="5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0.23906285023865298</v>
      </c>
      <c r="R258" s="5" cm="1">
        <f t="array" ref="R258">MIN(IF((DiscreteStatsTable[GroupByKey]=DiscreteStatsTable[[#This Row],[GroupByKey]]),(DiscreteStatsTable[GroupByKey]=DiscreteStatsTable[[#This Row],[GroupByKey]])*DiscreteStatsTable[Average]))</f>
        <v>9.5096808134995996</v>
      </c>
      <c r="S258" s="5" cm="1">
        <f t="array" ref="S258">MAX(IF((DiscreteStatsTable[GroupByKey]=DiscreteStatsTable[[#This Row],[GroupByKey]]),(DiscreteStatsTable[GroupByKey]=DiscreteStatsTable[[#This Row],[GroupByKey]])*DiscreteStatsTable[Average]))</f>
        <v>10.541225271035399</v>
      </c>
      <c r="T258" s="5" cm="1">
        <f t="array" ref="T258">MIN(IF((DiscreteStatsTable[GroupByKey]=DiscreteStatsTable[[#This Row],[GroupByKey]]),(DiscreteStatsTable[GroupByKey]=DiscreteStatsTable[[#This Row],[GroupByKey]])*DiscreteStatsTable[Minimum]))</f>
        <v>6.3921838050257502</v>
      </c>
      <c r="U258" s="5" cm="1">
        <f t="array" ref="U258">MAX(IF((DiscreteStatsTable[GroupByKey]=DiscreteStatsTable[[#This Row],[GroupByKey]]),(DiscreteStatsTable[GroupByKey]=DiscreteStatsTable[[#This Row],[GroupByKey]])*DiscreteStatsTable[Maximum]))</f>
        <v>33.212781474357499</v>
      </c>
      <c r="V258" s="5" cm="1">
        <f t="array" ref="V258">IFERROR(AVERAGE(IF((DiscreteStatsTable[GroupByKey]=DiscreteStatsTable[[#This Row],[GroupByKey]]),(DiscreteStatsTable[GroupByKey]=DiscreteStatsTable[[#This Row],[GroupByKey]])*DiscreteStatsTable[NumberObservations])),0)</f>
        <v>159.1</v>
      </c>
      <c r="W258" s="5">
        <f>IF((DiscreteStatsTable[[#This Row],[RepsRequested]]&gt;1),DiscreteStatsTable[[#This Row],[HalfWidth]],DiscreteStatsTable[[#This Row],[BatchMeansHalfWidth]])</f>
        <v>0.23906285023865298</v>
      </c>
      <c r="X258" s="5" cm="1">
        <f t="array" ref="X258">COUNT(IF((DiscreteStatsTable[GroupByKey]=DiscreteStatsTable[[#This Row],[GroupByKey]]),(DiscreteStatsTable[GroupByKey]=DiscreteStatsTable[[#This Row],[GroupByKey]])*DiscreteStatsTable[Replication]))</f>
        <v>10</v>
      </c>
      <c r="Y258" s="5">
        <f>IF(DiscreteStatsTable[[#This Row],[RepsRequested]]=DiscreteStatsTable[[#This Row],[RepsWithStatObserved]],1,0)</f>
        <v>1</v>
      </c>
    </row>
    <row r="259" spans="1:25" x14ac:dyDescent="0.3">
      <c r="A259" t="s">
        <v>66</v>
      </c>
      <c r="B259" t="s">
        <v>68</v>
      </c>
      <c r="C259">
        <v>10</v>
      </c>
      <c r="D259" t="s">
        <v>88</v>
      </c>
      <c r="E259" t="s">
        <v>77</v>
      </c>
      <c r="F259" t="s">
        <v>74</v>
      </c>
      <c r="G259">
        <v>7.7465011776556301</v>
      </c>
      <c r="H259">
        <v>2E+20</v>
      </c>
      <c r="I259">
        <v>5</v>
      </c>
      <c r="J259">
        <v>10.3780432567189</v>
      </c>
      <c r="K259">
        <v>151</v>
      </c>
      <c r="L259" s="5" t="str">
        <f>DiscreteStatsTable[[#This Row],[ProjectName]]&amp;DiscreteStatsTable[[#This Row],[Name]]&amp;DiscreteStatsTable[[#This Row],[Type]]&amp;DiscreteStatsTable[[#This Row],[Source]]</f>
        <v>Unnamed ProjectMaleta NacionalTransfer TimeEntity</v>
      </c>
      <c r="M259" s="5" cm="1">
        <f t="array" ref="M259">MAX(IF((ProjectInfoTable[ProjectName]=DiscreteStatsTable[[#This Row],[ProjectName]]),(ProjectInfoTable[ProjectName]=DiscreteStatsTable[[#This Row],[ProjectName]])*ProjectInfoTable[NumberOfReplications]))</f>
        <v>10</v>
      </c>
      <c r="N259" s="5" cm="1">
        <f t="array" ref="N259">IFERROR(AVERAGE(IF((DiscreteStatsTable[GroupByKey]=DiscreteStatsTable[[#This Row],[GroupByKey]]),(DiscreteStatsTable[GroupByKey]=DiscreteStatsTable[[#This Row],[GroupByKey]])*DiscreteStatsTable[Average])),0)</f>
        <v>7.6753288500844494</v>
      </c>
      <c r="O259" s="5" cm="1">
        <f t="array" ref="O259">IFERROR(_xlfn.STDEV.S(IF((DiscreteStatsTable[GroupByKey]=DiscreteStatsTable[[#This Row],[GroupByKey]]),(DiscreteStatsTable[GroupByKey]=DiscreteStatsTable[[#This Row],[GroupByKey]])*DiscreteStatsTable[Average])),0)</f>
        <v>3.9746429823300011E-2</v>
      </c>
      <c r="P259" s="5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 s="5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2.8432883061776049E-2</v>
      </c>
      <c r="R259" s="5" cm="1">
        <f t="array" ref="R259">MIN(IF((DiscreteStatsTable[GroupByKey]=DiscreteStatsTable[[#This Row],[GroupByKey]]),(DiscreteStatsTable[GroupByKey]=DiscreteStatsTable[[#This Row],[GroupByKey]])*DiscreteStatsTable[Average]))</f>
        <v>7.6171173934620997</v>
      </c>
      <c r="S259" s="5" cm="1">
        <f t="array" ref="S259">MAX(IF((DiscreteStatsTable[GroupByKey]=DiscreteStatsTable[[#This Row],[GroupByKey]]),(DiscreteStatsTable[GroupByKey]=DiscreteStatsTable[[#This Row],[GroupByKey]])*DiscreteStatsTable[Average]))</f>
        <v>7.7465011776556301</v>
      </c>
      <c r="T259" s="5" cm="1">
        <f t="array" ref="T259">MIN(IF((DiscreteStatsTable[GroupByKey]=DiscreteStatsTable[[#This Row],[GroupByKey]]),(DiscreteStatsTable[GroupByKey]=DiscreteStatsTable[[#This Row],[GroupByKey]])*DiscreteStatsTable[Minimum]))</f>
        <v>4.9973602639356596</v>
      </c>
      <c r="U259" s="5" cm="1">
        <f t="array" ref="U259">MAX(IF((DiscreteStatsTable[GroupByKey]=DiscreteStatsTable[[#This Row],[GroupByKey]]),(DiscreteStatsTable[GroupByKey]=DiscreteStatsTable[[#This Row],[GroupByKey]])*DiscreteStatsTable[Maximum]))</f>
        <v>10.3780432567189</v>
      </c>
      <c r="V259" s="5" cm="1">
        <f t="array" ref="V259">IFERROR(AVERAGE(IF((DiscreteStatsTable[GroupByKey]=DiscreteStatsTable[[#This Row],[GroupByKey]]),(DiscreteStatsTable[GroupByKey]=DiscreteStatsTable[[#This Row],[GroupByKey]])*DiscreteStatsTable[NumberObservations])),0)</f>
        <v>159.1</v>
      </c>
      <c r="W259" s="5">
        <f>IF((DiscreteStatsTable[[#This Row],[RepsRequested]]&gt;1),DiscreteStatsTable[[#This Row],[HalfWidth]],DiscreteStatsTable[[#This Row],[BatchMeansHalfWidth]])</f>
        <v>2.8432883061776049E-2</v>
      </c>
      <c r="X259" s="5" cm="1">
        <f t="array" ref="X259">COUNT(IF((DiscreteStatsTable[GroupByKey]=DiscreteStatsTable[[#This Row],[GroupByKey]]),(DiscreteStatsTable[GroupByKey]=DiscreteStatsTable[[#This Row],[GroupByKey]])*DiscreteStatsTable[Replication]))</f>
        <v>10</v>
      </c>
      <c r="Y259" s="5">
        <f>IF(DiscreteStatsTable[[#This Row],[RepsRequested]]=DiscreteStatsTable[[#This Row],[RepsWithStatObserved]],1,0)</f>
        <v>1</v>
      </c>
    </row>
    <row r="260" spans="1:25" x14ac:dyDescent="0.3">
      <c r="A260" t="s">
        <v>66</v>
      </c>
      <c r="B260" t="s">
        <v>68</v>
      </c>
      <c r="C260">
        <v>10</v>
      </c>
      <c r="D260" t="s">
        <v>88</v>
      </c>
      <c r="E260" t="s">
        <v>78</v>
      </c>
      <c r="F260" t="s">
        <v>74</v>
      </c>
      <c r="G260">
        <v>1.07608589339405</v>
      </c>
      <c r="H260">
        <v>2E+20</v>
      </c>
      <c r="I260">
        <v>5.9944579725730298E-3</v>
      </c>
      <c r="J260">
        <v>12.276802385452299</v>
      </c>
      <c r="K260">
        <v>151</v>
      </c>
      <c r="L260" s="5" t="str">
        <f>DiscreteStatsTable[[#This Row],[ProjectName]]&amp;DiscreteStatsTable[[#This Row],[Name]]&amp;DiscreteStatsTable[[#This Row],[Type]]&amp;DiscreteStatsTable[[#This Row],[Source]]</f>
        <v>Unnamed ProjectMaleta NacionalVA TimeEntity</v>
      </c>
      <c r="M260" s="5" cm="1">
        <f t="array" ref="M260">MAX(IF((ProjectInfoTable[ProjectName]=DiscreteStatsTable[[#This Row],[ProjectName]]),(ProjectInfoTable[ProjectName]=DiscreteStatsTable[[#This Row],[ProjectName]])*ProjectInfoTable[NumberOfReplications]))</f>
        <v>10</v>
      </c>
      <c r="N260" s="5" cm="1">
        <f t="array" ref="N260">IFERROR(AVERAGE(IF((DiscreteStatsTable[GroupByKey]=DiscreteStatsTable[[#This Row],[GroupByKey]]),(DiscreteStatsTable[GroupByKey]=DiscreteStatsTable[[#This Row],[GroupByKey]])*DiscreteStatsTable[Average])),0)</f>
        <v>1.1970866370450852</v>
      </c>
      <c r="O260" s="5" cm="1">
        <f t="array" ref="O260">IFERROR(_xlfn.STDEV.S(IF((DiscreteStatsTable[GroupByKey]=DiscreteStatsTable[[#This Row],[GroupByKey]]),(DiscreteStatsTable[GroupByKey]=DiscreteStatsTable[[#This Row],[GroupByKey]])*DiscreteStatsTable[Average])),0)</f>
        <v>0.16160338579426173</v>
      </c>
      <c r="P260" s="5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 s="5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0.11560409805616673</v>
      </c>
      <c r="R260" s="5" cm="1">
        <f t="array" ref="R260">MIN(IF((DiscreteStatsTable[GroupByKey]=DiscreteStatsTable[[#This Row],[GroupByKey]]),(DiscreteStatsTable[GroupByKey]=DiscreteStatsTable[[#This Row],[GroupByKey]])*DiscreteStatsTable[Average]))</f>
        <v>0.93154168311307295</v>
      </c>
      <c r="S260" s="5" cm="1">
        <f t="array" ref="S260">MAX(IF((DiscreteStatsTable[GroupByKey]=DiscreteStatsTable[[#This Row],[GroupByKey]]),(DiscreteStatsTable[GroupByKey]=DiscreteStatsTable[[#This Row],[GroupByKey]])*DiscreteStatsTable[Average]))</f>
        <v>1.4326343791811</v>
      </c>
      <c r="T260" s="5" cm="1">
        <f t="array" ref="T260">MIN(IF((DiscreteStatsTable[GroupByKey]=DiscreteStatsTable[[#This Row],[GroupByKey]]),(DiscreteStatsTable[GroupByKey]=DiscreteStatsTable[[#This Row],[GroupByKey]])*DiscreteStatsTable[Minimum]))</f>
        <v>3.5780155263864799E-4</v>
      </c>
      <c r="U260" s="5" cm="1">
        <f t="array" ref="U260">MAX(IF((DiscreteStatsTable[GroupByKey]=DiscreteStatsTable[[#This Row],[GroupByKey]]),(DiscreteStatsTable[GroupByKey]=DiscreteStatsTable[[#This Row],[GroupByKey]])*DiscreteStatsTable[Maximum]))</f>
        <v>27.4453656088955</v>
      </c>
      <c r="V260" s="5" cm="1">
        <f t="array" ref="V260">IFERROR(AVERAGE(IF((DiscreteStatsTable[GroupByKey]=DiscreteStatsTable[[#This Row],[GroupByKey]]),(DiscreteStatsTable[GroupByKey]=DiscreteStatsTable[[#This Row],[GroupByKey]])*DiscreteStatsTable[NumberObservations])),0)</f>
        <v>159.1</v>
      </c>
      <c r="W260" s="5">
        <f>IF((DiscreteStatsTable[[#This Row],[RepsRequested]]&gt;1),DiscreteStatsTable[[#This Row],[HalfWidth]],DiscreteStatsTable[[#This Row],[BatchMeansHalfWidth]])</f>
        <v>0.11560409805616673</v>
      </c>
      <c r="X260" s="5" cm="1">
        <f t="array" ref="X260">COUNT(IF((DiscreteStatsTable[GroupByKey]=DiscreteStatsTable[[#This Row],[GroupByKey]]),(DiscreteStatsTable[GroupByKey]=DiscreteStatsTable[[#This Row],[GroupByKey]])*DiscreteStatsTable[Replication]))</f>
        <v>10</v>
      </c>
      <c r="Y260" s="5">
        <f>IF(DiscreteStatsTable[[#This Row],[RepsRequested]]=DiscreteStatsTable[[#This Row],[RepsWithStatObserved]],1,0)</f>
        <v>1</v>
      </c>
    </row>
    <row r="261" spans="1:25" x14ac:dyDescent="0.3">
      <c r="A261" t="s">
        <v>66</v>
      </c>
      <c r="B261" t="s">
        <v>68</v>
      </c>
      <c r="C261">
        <v>10</v>
      </c>
      <c r="D261" t="s">
        <v>88</v>
      </c>
      <c r="E261" t="s">
        <v>79</v>
      </c>
      <c r="F261" t="s">
        <v>74</v>
      </c>
      <c r="G261">
        <v>1.07386189884574</v>
      </c>
      <c r="H261">
        <v>2E+20</v>
      </c>
      <c r="I261">
        <v>9.4028366282827805E-2</v>
      </c>
      <c r="J261">
        <v>7.6966528925510298</v>
      </c>
      <c r="K261">
        <v>151</v>
      </c>
      <c r="L261" s="5" t="str">
        <f>DiscreteStatsTable[[#This Row],[ProjectName]]&amp;DiscreteStatsTable[[#This Row],[Name]]&amp;DiscreteStatsTable[[#This Row],[Type]]&amp;DiscreteStatsTable[[#This Row],[Source]]</f>
        <v>Unnamed ProjectMaleta NacionalWait TimeEntity</v>
      </c>
      <c r="M261" s="5" cm="1">
        <f t="array" ref="M261">MAX(IF((ProjectInfoTable[ProjectName]=DiscreteStatsTable[[#This Row],[ProjectName]]),(ProjectInfoTable[ProjectName]=DiscreteStatsTable[[#This Row],[ProjectName]])*ProjectInfoTable[NumberOfReplications]))</f>
        <v>10</v>
      </c>
      <c r="N261" s="5" cm="1">
        <f t="array" ref="N261">IFERROR(AVERAGE(IF((DiscreteStatsTable[GroupByKey]=DiscreteStatsTable[[#This Row],[GroupByKey]]),(DiscreteStatsTable[GroupByKey]=DiscreteStatsTable[[#This Row],[GroupByKey]])*DiscreteStatsTable[Average])),0)</f>
        <v>1.2829074717829589</v>
      </c>
      <c r="O261" s="5" cm="1">
        <f t="array" ref="O261">IFERROR(_xlfn.STDEV.S(IF((DiscreteStatsTable[GroupByKey]=DiscreteStatsTable[[#This Row],[GroupByKey]]),(DiscreteStatsTable[GroupByKey]=DiscreteStatsTable[[#This Row],[GroupByKey]])*DiscreteStatsTable[Average])),0)</f>
        <v>0.19900819614524773</v>
      </c>
      <c r="P261" s="5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 s="5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0.14236188745726755</v>
      </c>
      <c r="R261" s="5" cm="1">
        <f t="array" ref="R261">MIN(IF((DiscreteStatsTable[GroupByKey]=DiscreteStatsTable[[#This Row],[GroupByKey]]),(DiscreteStatsTable[GroupByKey]=DiscreteStatsTable[[#This Row],[GroupByKey]])*DiscreteStatsTable[Average]))</f>
        <v>0.93034835796656001</v>
      </c>
      <c r="S261" s="5" cm="1">
        <f t="array" ref="S261">MAX(IF((DiscreteStatsTable[GroupByKey]=DiscreteStatsTable[[#This Row],[GroupByKey]]),(DiscreteStatsTable[GroupByKey]=DiscreteStatsTable[[#This Row],[GroupByKey]])*DiscreteStatsTable[Average]))</f>
        <v>1.5005499568751099</v>
      </c>
      <c r="T261" s="5" cm="1">
        <f t="array" ref="T261">MIN(IF((DiscreteStatsTable[GroupByKey]=DiscreteStatsTable[[#This Row],[GroupByKey]]),(DiscreteStatsTable[GroupByKey]=DiscreteStatsTable[[#This Row],[GroupByKey]])*DiscreteStatsTable[Minimum]))</f>
        <v>0</v>
      </c>
      <c r="U261" s="5" cm="1">
        <f t="array" ref="U261">MAX(IF((DiscreteStatsTable[GroupByKey]=DiscreteStatsTable[[#This Row],[GroupByKey]]),(DiscreteStatsTable[GroupByKey]=DiscreteStatsTable[[#This Row],[GroupByKey]])*DiscreteStatsTable[Maximum]))</f>
        <v>10.9519173465048</v>
      </c>
      <c r="V261" s="5" cm="1">
        <f t="array" ref="V261">IFERROR(AVERAGE(IF((DiscreteStatsTable[GroupByKey]=DiscreteStatsTable[[#This Row],[GroupByKey]]),(DiscreteStatsTable[GroupByKey]=DiscreteStatsTable[[#This Row],[GroupByKey]])*DiscreteStatsTable[NumberObservations])),0)</f>
        <v>159.1</v>
      </c>
      <c r="W261" s="5">
        <f>IF((DiscreteStatsTable[[#This Row],[RepsRequested]]&gt;1),DiscreteStatsTable[[#This Row],[HalfWidth]],DiscreteStatsTable[[#This Row],[BatchMeansHalfWidth]])</f>
        <v>0.14236188745726755</v>
      </c>
      <c r="X261" s="5" cm="1">
        <f t="array" ref="X261">COUNT(IF((DiscreteStatsTable[GroupByKey]=DiscreteStatsTable[[#This Row],[GroupByKey]]),(DiscreteStatsTable[GroupByKey]=DiscreteStatsTable[[#This Row],[GroupByKey]])*DiscreteStatsTable[Replication]))</f>
        <v>10</v>
      </c>
      <c r="Y261" s="5">
        <f>IF(DiscreteStatsTable[[#This Row],[RepsRequested]]=DiscreteStatsTable[[#This Row],[RepsWithStatObserved]],1,0)</f>
        <v>1</v>
      </c>
    </row>
    <row r="262" spans="1:25" x14ac:dyDescent="0.3">
      <c r="A262" t="s">
        <v>66</v>
      </c>
      <c r="B262" t="s">
        <v>68</v>
      </c>
      <c r="C262">
        <v>1</v>
      </c>
      <c r="D262" t="s">
        <v>93</v>
      </c>
      <c r="E262" t="s">
        <v>70</v>
      </c>
      <c r="F262" t="s">
        <v>71</v>
      </c>
      <c r="G262">
        <v>12.690999125507901</v>
      </c>
      <c r="H262">
        <v>2E+20</v>
      </c>
      <c r="I262">
        <v>0</v>
      </c>
      <c r="J262">
        <v>47.5384719461061</v>
      </c>
      <c r="K262">
        <v>20</v>
      </c>
      <c r="L262" s="5" t="str">
        <f>DiscreteStatsTable[[#This Row],[ProjectName]]&amp;DiscreteStatsTable[[#This Row],[Name]]&amp;DiscreteStatsTable[[#This Row],[Type]]&amp;DiscreteStatsTable[[#This Row],[Source]]</f>
        <v>Unnamed Projectmanualinter.QueueWaiting TimeQueue</v>
      </c>
      <c r="M262" s="5" cm="1">
        <f t="array" ref="M262">MAX(IF((ProjectInfoTable[ProjectName]=DiscreteStatsTable[[#This Row],[ProjectName]]),(ProjectInfoTable[ProjectName]=DiscreteStatsTable[[#This Row],[ProjectName]])*ProjectInfoTable[NumberOfReplications]))</f>
        <v>10</v>
      </c>
      <c r="N262" s="5" cm="1">
        <f t="array" ref="N262">IFERROR(AVERAGE(IF((DiscreteStatsTable[GroupByKey]=DiscreteStatsTable[[#This Row],[GroupByKey]]),(DiscreteStatsTable[GroupByKey]=DiscreteStatsTable[[#This Row],[GroupByKey]])*DiscreteStatsTable[Average])),0)</f>
        <v>9.7731099319170269</v>
      </c>
      <c r="O262" s="5" cm="1">
        <f t="array" ref="O262">IFERROR(_xlfn.STDEV.S(IF((DiscreteStatsTable[GroupByKey]=DiscreteStatsTable[[#This Row],[GroupByKey]]),(DiscreteStatsTable[GroupByKey]=DiscreteStatsTable[[#This Row],[GroupByKey]])*DiscreteStatsTable[Average])),0)</f>
        <v>6.9679354222105561</v>
      </c>
      <c r="P262" s="5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 s="5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4.9845607246359398</v>
      </c>
      <c r="R262" s="5" cm="1">
        <f t="array" ref="R262">MIN(IF((DiscreteStatsTable[GroupByKey]=DiscreteStatsTable[[#This Row],[GroupByKey]]),(DiscreteStatsTable[GroupByKey]=DiscreteStatsTable[[#This Row],[GroupByKey]])*DiscreteStatsTable[Average]))</f>
        <v>1.62812611166987</v>
      </c>
      <c r="S262" s="5" cm="1">
        <f t="array" ref="S262">MAX(IF((DiscreteStatsTable[GroupByKey]=DiscreteStatsTable[[#This Row],[GroupByKey]]),(DiscreteStatsTable[GroupByKey]=DiscreteStatsTable[[#This Row],[GroupByKey]])*DiscreteStatsTable[Average]))</f>
        <v>21.612732095934501</v>
      </c>
      <c r="T262" s="5" cm="1">
        <f t="array" ref="T262">MIN(IF((DiscreteStatsTable[GroupByKey]=DiscreteStatsTable[[#This Row],[GroupByKey]]),(DiscreteStatsTable[GroupByKey]=DiscreteStatsTable[[#This Row],[GroupByKey]])*DiscreteStatsTable[Minimum]))</f>
        <v>0</v>
      </c>
      <c r="U262" s="5" cm="1">
        <f t="array" ref="U262">MAX(IF((DiscreteStatsTable[GroupByKey]=DiscreteStatsTable[[#This Row],[GroupByKey]]),(DiscreteStatsTable[GroupByKey]=DiscreteStatsTable[[#This Row],[GroupByKey]])*DiscreteStatsTable[Maximum]))</f>
        <v>77.725628461856203</v>
      </c>
      <c r="V262" s="5" cm="1">
        <f t="array" ref="V262">IFERROR(AVERAGE(IF((DiscreteStatsTable[GroupByKey]=DiscreteStatsTable[[#This Row],[GroupByKey]]),(DiscreteStatsTable[GroupByKey]=DiscreteStatsTable[[#This Row],[GroupByKey]])*DiscreteStatsTable[NumberObservations])),0)</f>
        <v>18.8</v>
      </c>
      <c r="W262" s="5">
        <f>IF((DiscreteStatsTable[[#This Row],[RepsRequested]]&gt;1),DiscreteStatsTable[[#This Row],[HalfWidth]],DiscreteStatsTable[[#This Row],[BatchMeansHalfWidth]])</f>
        <v>4.9845607246359398</v>
      </c>
      <c r="X262" s="5" cm="1">
        <f t="array" ref="X262">COUNT(IF((DiscreteStatsTable[GroupByKey]=DiscreteStatsTable[[#This Row],[GroupByKey]]),(DiscreteStatsTable[GroupByKey]=DiscreteStatsTable[[#This Row],[GroupByKey]])*DiscreteStatsTable[Replication]))</f>
        <v>10</v>
      </c>
      <c r="Y262" s="5">
        <f>IF(DiscreteStatsTable[[#This Row],[RepsRequested]]=DiscreteStatsTable[[#This Row],[RepsWithStatObserved]],1,0)</f>
        <v>1</v>
      </c>
    </row>
    <row r="263" spans="1:25" x14ac:dyDescent="0.3">
      <c r="A263" t="s">
        <v>66</v>
      </c>
      <c r="B263" t="s">
        <v>68</v>
      </c>
      <c r="C263">
        <v>2</v>
      </c>
      <c r="D263" t="s">
        <v>93</v>
      </c>
      <c r="E263" t="s">
        <v>70</v>
      </c>
      <c r="F263" t="s">
        <v>71</v>
      </c>
      <c r="G263">
        <v>3.86328286561226</v>
      </c>
      <c r="H263">
        <v>2E+20</v>
      </c>
      <c r="I263">
        <v>0</v>
      </c>
      <c r="J263">
        <v>18.7265035526909</v>
      </c>
      <c r="K263">
        <v>20</v>
      </c>
      <c r="L263" s="5" t="str">
        <f>DiscreteStatsTable[[#This Row],[ProjectName]]&amp;DiscreteStatsTable[[#This Row],[Name]]&amp;DiscreteStatsTable[[#This Row],[Type]]&amp;DiscreteStatsTable[[#This Row],[Source]]</f>
        <v>Unnamed Projectmanualinter.QueueWaiting TimeQueue</v>
      </c>
      <c r="M263" s="5" cm="1">
        <f t="array" ref="M263">MAX(IF((ProjectInfoTable[ProjectName]=DiscreteStatsTable[[#This Row],[ProjectName]]),(ProjectInfoTable[ProjectName]=DiscreteStatsTable[[#This Row],[ProjectName]])*ProjectInfoTable[NumberOfReplications]))</f>
        <v>10</v>
      </c>
      <c r="N263" s="5" cm="1">
        <f t="array" ref="N263">IFERROR(AVERAGE(IF((DiscreteStatsTable[GroupByKey]=DiscreteStatsTable[[#This Row],[GroupByKey]]),(DiscreteStatsTable[GroupByKey]=DiscreteStatsTable[[#This Row],[GroupByKey]])*DiscreteStatsTable[Average])),0)</f>
        <v>9.7731099319170269</v>
      </c>
      <c r="O263" s="5" cm="1">
        <f t="array" ref="O263">IFERROR(_xlfn.STDEV.S(IF((DiscreteStatsTable[GroupByKey]=DiscreteStatsTable[[#This Row],[GroupByKey]]),(DiscreteStatsTable[GroupByKey]=DiscreteStatsTable[[#This Row],[GroupByKey]])*DiscreteStatsTable[Average])),0)</f>
        <v>6.9679354222105561</v>
      </c>
      <c r="P263" s="5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 s="5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4.9845607246359398</v>
      </c>
      <c r="R263" s="5" cm="1">
        <f t="array" ref="R263">MIN(IF((DiscreteStatsTable[GroupByKey]=DiscreteStatsTable[[#This Row],[GroupByKey]]),(DiscreteStatsTable[GroupByKey]=DiscreteStatsTable[[#This Row],[GroupByKey]])*DiscreteStatsTable[Average]))</f>
        <v>1.62812611166987</v>
      </c>
      <c r="S263" s="5" cm="1">
        <f t="array" ref="S263">MAX(IF((DiscreteStatsTable[GroupByKey]=DiscreteStatsTable[[#This Row],[GroupByKey]]),(DiscreteStatsTable[GroupByKey]=DiscreteStatsTable[[#This Row],[GroupByKey]])*DiscreteStatsTable[Average]))</f>
        <v>21.612732095934501</v>
      </c>
      <c r="T263" s="5" cm="1">
        <f t="array" ref="T263">MIN(IF((DiscreteStatsTable[GroupByKey]=DiscreteStatsTable[[#This Row],[GroupByKey]]),(DiscreteStatsTable[GroupByKey]=DiscreteStatsTable[[#This Row],[GroupByKey]])*DiscreteStatsTable[Minimum]))</f>
        <v>0</v>
      </c>
      <c r="U263" s="5" cm="1">
        <f t="array" ref="U263">MAX(IF((DiscreteStatsTable[GroupByKey]=DiscreteStatsTable[[#This Row],[GroupByKey]]),(DiscreteStatsTable[GroupByKey]=DiscreteStatsTable[[#This Row],[GroupByKey]])*DiscreteStatsTable[Maximum]))</f>
        <v>77.725628461856203</v>
      </c>
      <c r="V263" s="5" cm="1">
        <f t="array" ref="V263">IFERROR(AVERAGE(IF((DiscreteStatsTable[GroupByKey]=DiscreteStatsTable[[#This Row],[GroupByKey]]),(DiscreteStatsTable[GroupByKey]=DiscreteStatsTable[[#This Row],[GroupByKey]])*DiscreteStatsTable[NumberObservations])),0)</f>
        <v>18.8</v>
      </c>
      <c r="W263" s="5">
        <f>IF((DiscreteStatsTable[[#This Row],[RepsRequested]]&gt;1),DiscreteStatsTable[[#This Row],[HalfWidth]],DiscreteStatsTable[[#This Row],[BatchMeansHalfWidth]])</f>
        <v>4.9845607246359398</v>
      </c>
      <c r="X263" s="5" cm="1">
        <f t="array" ref="X263">COUNT(IF((DiscreteStatsTable[GroupByKey]=DiscreteStatsTable[[#This Row],[GroupByKey]]),(DiscreteStatsTable[GroupByKey]=DiscreteStatsTable[[#This Row],[GroupByKey]])*DiscreteStatsTable[Replication]))</f>
        <v>10</v>
      </c>
      <c r="Y263" s="5">
        <f>IF(DiscreteStatsTable[[#This Row],[RepsRequested]]=DiscreteStatsTable[[#This Row],[RepsWithStatObserved]],1,0)</f>
        <v>1</v>
      </c>
    </row>
    <row r="264" spans="1:25" x14ac:dyDescent="0.3">
      <c r="A264" t="s">
        <v>66</v>
      </c>
      <c r="B264" t="s">
        <v>68</v>
      </c>
      <c r="C264">
        <v>3</v>
      </c>
      <c r="D264" t="s">
        <v>93</v>
      </c>
      <c r="E264" t="s">
        <v>70</v>
      </c>
      <c r="F264" t="s">
        <v>71</v>
      </c>
      <c r="G264">
        <v>3.77417929918846</v>
      </c>
      <c r="H264">
        <v>2E+20</v>
      </c>
      <c r="I264">
        <v>0</v>
      </c>
      <c r="J264">
        <v>21.923135132236499</v>
      </c>
      <c r="K264">
        <v>24</v>
      </c>
      <c r="L264" s="5" t="str">
        <f>DiscreteStatsTable[[#This Row],[ProjectName]]&amp;DiscreteStatsTable[[#This Row],[Name]]&amp;DiscreteStatsTable[[#This Row],[Type]]&amp;DiscreteStatsTable[[#This Row],[Source]]</f>
        <v>Unnamed Projectmanualinter.QueueWaiting TimeQueue</v>
      </c>
      <c r="M264" s="5" cm="1">
        <f t="array" ref="M264">MAX(IF((ProjectInfoTable[ProjectName]=DiscreteStatsTable[[#This Row],[ProjectName]]),(ProjectInfoTable[ProjectName]=DiscreteStatsTable[[#This Row],[ProjectName]])*ProjectInfoTable[NumberOfReplications]))</f>
        <v>10</v>
      </c>
      <c r="N264" s="5" cm="1">
        <f t="array" ref="N264">IFERROR(AVERAGE(IF((DiscreteStatsTable[GroupByKey]=DiscreteStatsTable[[#This Row],[GroupByKey]]),(DiscreteStatsTable[GroupByKey]=DiscreteStatsTable[[#This Row],[GroupByKey]])*DiscreteStatsTable[Average])),0)</f>
        <v>9.7731099319170269</v>
      </c>
      <c r="O264" s="5" cm="1">
        <f t="array" ref="O264">IFERROR(_xlfn.STDEV.S(IF((DiscreteStatsTable[GroupByKey]=DiscreteStatsTable[[#This Row],[GroupByKey]]),(DiscreteStatsTable[GroupByKey]=DiscreteStatsTable[[#This Row],[GroupByKey]])*DiscreteStatsTable[Average])),0)</f>
        <v>6.9679354222105561</v>
      </c>
      <c r="P264" s="5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 s="5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4.9845607246359398</v>
      </c>
      <c r="R264" s="5" cm="1">
        <f t="array" ref="R264">MIN(IF((DiscreteStatsTable[GroupByKey]=DiscreteStatsTable[[#This Row],[GroupByKey]]),(DiscreteStatsTable[GroupByKey]=DiscreteStatsTable[[#This Row],[GroupByKey]])*DiscreteStatsTable[Average]))</f>
        <v>1.62812611166987</v>
      </c>
      <c r="S264" s="5" cm="1">
        <f t="array" ref="S264">MAX(IF((DiscreteStatsTable[GroupByKey]=DiscreteStatsTable[[#This Row],[GroupByKey]]),(DiscreteStatsTable[GroupByKey]=DiscreteStatsTable[[#This Row],[GroupByKey]])*DiscreteStatsTable[Average]))</f>
        <v>21.612732095934501</v>
      </c>
      <c r="T264" s="5" cm="1">
        <f t="array" ref="T264">MIN(IF((DiscreteStatsTable[GroupByKey]=DiscreteStatsTable[[#This Row],[GroupByKey]]),(DiscreteStatsTable[GroupByKey]=DiscreteStatsTable[[#This Row],[GroupByKey]])*DiscreteStatsTable[Minimum]))</f>
        <v>0</v>
      </c>
      <c r="U264" s="5" cm="1">
        <f t="array" ref="U264">MAX(IF((DiscreteStatsTable[GroupByKey]=DiscreteStatsTable[[#This Row],[GroupByKey]]),(DiscreteStatsTable[GroupByKey]=DiscreteStatsTable[[#This Row],[GroupByKey]])*DiscreteStatsTable[Maximum]))</f>
        <v>77.725628461856203</v>
      </c>
      <c r="V264" s="5" cm="1">
        <f t="array" ref="V264">IFERROR(AVERAGE(IF((DiscreteStatsTable[GroupByKey]=DiscreteStatsTable[[#This Row],[GroupByKey]]),(DiscreteStatsTable[GroupByKey]=DiscreteStatsTable[[#This Row],[GroupByKey]])*DiscreteStatsTable[NumberObservations])),0)</f>
        <v>18.8</v>
      </c>
      <c r="W264" s="5">
        <f>IF((DiscreteStatsTable[[#This Row],[RepsRequested]]&gt;1),DiscreteStatsTable[[#This Row],[HalfWidth]],DiscreteStatsTable[[#This Row],[BatchMeansHalfWidth]])</f>
        <v>4.9845607246359398</v>
      </c>
      <c r="X264" s="5" cm="1">
        <f t="array" ref="X264">COUNT(IF((DiscreteStatsTable[GroupByKey]=DiscreteStatsTable[[#This Row],[GroupByKey]]),(DiscreteStatsTable[GroupByKey]=DiscreteStatsTable[[#This Row],[GroupByKey]])*DiscreteStatsTable[Replication]))</f>
        <v>10</v>
      </c>
      <c r="Y264" s="5">
        <f>IF(DiscreteStatsTable[[#This Row],[RepsRequested]]=DiscreteStatsTable[[#This Row],[RepsWithStatObserved]],1,0)</f>
        <v>1</v>
      </c>
    </row>
    <row r="265" spans="1:25" x14ac:dyDescent="0.3">
      <c r="A265" t="s">
        <v>66</v>
      </c>
      <c r="B265" t="s">
        <v>68</v>
      </c>
      <c r="C265">
        <v>4</v>
      </c>
      <c r="D265" t="s">
        <v>93</v>
      </c>
      <c r="E265" t="s">
        <v>70</v>
      </c>
      <c r="F265" t="s">
        <v>71</v>
      </c>
      <c r="G265">
        <v>3.30151938407159</v>
      </c>
      <c r="H265">
        <v>2E+20</v>
      </c>
      <c r="I265">
        <v>0</v>
      </c>
      <c r="J265">
        <v>46.094526020113697</v>
      </c>
      <c r="K265">
        <v>21</v>
      </c>
      <c r="L265" s="5" t="str">
        <f>DiscreteStatsTable[[#This Row],[ProjectName]]&amp;DiscreteStatsTable[[#This Row],[Name]]&amp;DiscreteStatsTable[[#This Row],[Type]]&amp;DiscreteStatsTable[[#This Row],[Source]]</f>
        <v>Unnamed Projectmanualinter.QueueWaiting TimeQueue</v>
      </c>
      <c r="M265" s="5" cm="1">
        <f t="array" ref="M265">MAX(IF((ProjectInfoTable[ProjectName]=DiscreteStatsTable[[#This Row],[ProjectName]]),(ProjectInfoTable[ProjectName]=DiscreteStatsTable[[#This Row],[ProjectName]])*ProjectInfoTable[NumberOfReplications]))</f>
        <v>10</v>
      </c>
      <c r="N265" s="5" cm="1">
        <f t="array" ref="N265">IFERROR(AVERAGE(IF((DiscreteStatsTable[GroupByKey]=DiscreteStatsTable[[#This Row],[GroupByKey]]),(DiscreteStatsTable[GroupByKey]=DiscreteStatsTable[[#This Row],[GroupByKey]])*DiscreteStatsTable[Average])),0)</f>
        <v>9.7731099319170269</v>
      </c>
      <c r="O265" s="5" cm="1">
        <f t="array" ref="O265">IFERROR(_xlfn.STDEV.S(IF((DiscreteStatsTable[GroupByKey]=DiscreteStatsTable[[#This Row],[GroupByKey]]),(DiscreteStatsTable[GroupByKey]=DiscreteStatsTable[[#This Row],[GroupByKey]])*DiscreteStatsTable[Average])),0)</f>
        <v>6.9679354222105561</v>
      </c>
      <c r="P265" s="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 s="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4.9845607246359398</v>
      </c>
      <c r="R265" s="5" cm="1">
        <f t="array" ref="R265">MIN(IF((DiscreteStatsTable[GroupByKey]=DiscreteStatsTable[[#This Row],[GroupByKey]]),(DiscreteStatsTable[GroupByKey]=DiscreteStatsTable[[#This Row],[GroupByKey]])*DiscreteStatsTable[Average]))</f>
        <v>1.62812611166987</v>
      </c>
      <c r="S265" s="5" cm="1">
        <f t="array" ref="S265">MAX(IF((DiscreteStatsTable[GroupByKey]=DiscreteStatsTable[[#This Row],[GroupByKey]]),(DiscreteStatsTable[GroupByKey]=DiscreteStatsTable[[#This Row],[GroupByKey]])*DiscreteStatsTable[Average]))</f>
        <v>21.612732095934501</v>
      </c>
      <c r="T265" s="5" cm="1">
        <f t="array" ref="T265">MIN(IF((DiscreteStatsTable[GroupByKey]=DiscreteStatsTable[[#This Row],[GroupByKey]]),(DiscreteStatsTable[GroupByKey]=DiscreteStatsTable[[#This Row],[GroupByKey]])*DiscreteStatsTable[Minimum]))</f>
        <v>0</v>
      </c>
      <c r="U265" s="5" cm="1">
        <f t="array" ref="U265">MAX(IF((DiscreteStatsTable[GroupByKey]=DiscreteStatsTable[[#This Row],[GroupByKey]]),(DiscreteStatsTable[GroupByKey]=DiscreteStatsTable[[#This Row],[GroupByKey]])*DiscreteStatsTable[Maximum]))</f>
        <v>77.725628461856203</v>
      </c>
      <c r="V265" s="5" cm="1">
        <f t="array" ref="V265">IFERROR(AVERAGE(IF((DiscreteStatsTable[GroupByKey]=DiscreteStatsTable[[#This Row],[GroupByKey]]),(DiscreteStatsTable[GroupByKey]=DiscreteStatsTable[[#This Row],[GroupByKey]])*DiscreteStatsTable[NumberObservations])),0)</f>
        <v>18.8</v>
      </c>
      <c r="W265" s="5">
        <f>IF((DiscreteStatsTable[[#This Row],[RepsRequested]]&gt;1),DiscreteStatsTable[[#This Row],[HalfWidth]],DiscreteStatsTable[[#This Row],[BatchMeansHalfWidth]])</f>
        <v>4.9845607246359398</v>
      </c>
      <c r="X265" s="5" cm="1">
        <f t="array" ref="X265">COUNT(IF((DiscreteStatsTable[GroupByKey]=DiscreteStatsTable[[#This Row],[GroupByKey]]),(DiscreteStatsTable[GroupByKey]=DiscreteStatsTable[[#This Row],[GroupByKey]])*DiscreteStatsTable[Replication]))</f>
        <v>10</v>
      </c>
      <c r="Y265" s="5">
        <f>IF(DiscreteStatsTable[[#This Row],[RepsRequested]]=DiscreteStatsTable[[#This Row],[RepsWithStatObserved]],1,0)</f>
        <v>1</v>
      </c>
    </row>
    <row r="266" spans="1:25" x14ac:dyDescent="0.3">
      <c r="A266" t="s">
        <v>66</v>
      </c>
      <c r="B266" t="s">
        <v>68</v>
      </c>
      <c r="C266">
        <v>5</v>
      </c>
      <c r="D266" t="s">
        <v>93</v>
      </c>
      <c r="E266" t="s">
        <v>70</v>
      </c>
      <c r="F266" t="s">
        <v>71</v>
      </c>
      <c r="G266">
        <v>13.5715845263309</v>
      </c>
      <c r="H266">
        <v>2E+20</v>
      </c>
      <c r="I266">
        <v>0</v>
      </c>
      <c r="J266">
        <v>42.526133864530003</v>
      </c>
      <c r="K266">
        <v>20</v>
      </c>
      <c r="L266" s="5" t="str">
        <f>DiscreteStatsTable[[#This Row],[ProjectName]]&amp;DiscreteStatsTable[[#This Row],[Name]]&amp;DiscreteStatsTable[[#This Row],[Type]]&amp;DiscreteStatsTable[[#This Row],[Source]]</f>
        <v>Unnamed Projectmanualinter.QueueWaiting TimeQueue</v>
      </c>
      <c r="M266" s="5" cm="1">
        <f t="array" ref="M266">MAX(IF((ProjectInfoTable[ProjectName]=DiscreteStatsTable[[#This Row],[ProjectName]]),(ProjectInfoTable[ProjectName]=DiscreteStatsTable[[#This Row],[ProjectName]])*ProjectInfoTable[NumberOfReplications]))</f>
        <v>10</v>
      </c>
      <c r="N266" s="5" cm="1">
        <f t="array" ref="N266">IFERROR(AVERAGE(IF((DiscreteStatsTable[GroupByKey]=DiscreteStatsTable[[#This Row],[GroupByKey]]),(DiscreteStatsTable[GroupByKey]=DiscreteStatsTable[[#This Row],[GroupByKey]])*DiscreteStatsTable[Average])),0)</f>
        <v>9.7731099319170269</v>
      </c>
      <c r="O266" s="5" cm="1">
        <f t="array" ref="O266">IFERROR(_xlfn.STDEV.S(IF((DiscreteStatsTable[GroupByKey]=DiscreteStatsTable[[#This Row],[GroupByKey]]),(DiscreteStatsTable[GroupByKey]=DiscreteStatsTable[[#This Row],[GroupByKey]])*DiscreteStatsTable[Average])),0)</f>
        <v>6.9679354222105561</v>
      </c>
      <c r="P266" s="5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 s="5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4.9845607246359398</v>
      </c>
      <c r="R266" s="5" cm="1">
        <f t="array" ref="R266">MIN(IF((DiscreteStatsTable[GroupByKey]=DiscreteStatsTable[[#This Row],[GroupByKey]]),(DiscreteStatsTable[GroupByKey]=DiscreteStatsTable[[#This Row],[GroupByKey]])*DiscreteStatsTable[Average]))</f>
        <v>1.62812611166987</v>
      </c>
      <c r="S266" s="5" cm="1">
        <f t="array" ref="S266">MAX(IF((DiscreteStatsTable[GroupByKey]=DiscreteStatsTable[[#This Row],[GroupByKey]]),(DiscreteStatsTable[GroupByKey]=DiscreteStatsTable[[#This Row],[GroupByKey]])*DiscreteStatsTable[Average]))</f>
        <v>21.612732095934501</v>
      </c>
      <c r="T266" s="5" cm="1">
        <f t="array" ref="T266">MIN(IF((DiscreteStatsTable[GroupByKey]=DiscreteStatsTable[[#This Row],[GroupByKey]]),(DiscreteStatsTable[GroupByKey]=DiscreteStatsTable[[#This Row],[GroupByKey]])*DiscreteStatsTable[Minimum]))</f>
        <v>0</v>
      </c>
      <c r="U266" s="5" cm="1">
        <f t="array" ref="U266">MAX(IF((DiscreteStatsTable[GroupByKey]=DiscreteStatsTable[[#This Row],[GroupByKey]]),(DiscreteStatsTable[GroupByKey]=DiscreteStatsTable[[#This Row],[GroupByKey]])*DiscreteStatsTable[Maximum]))</f>
        <v>77.725628461856203</v>
      </c>
      <c r="V266" s="5" cm="1">
        <f t="array" ref="V266">IFERROR(AVERAGE(IF((DiscreteStatsTable[GroupByKey]=DiscreteStatsTable[[#This Row],[GroupByKey]]),(DiscreteStatsTable[GroupByKey]=DiscreteStatsTable[[#This Row],[GroupByKey]])*DiscreteStatsTable[NumberObservations])),0)</f>
        <v>18.8</v>
      </c>
      <c r="W266" s="5">
        <f>IF((DiscreteStatsTable[[#This Row],[RepsRequested]]&gt;1),DiscreteStatsTable[[#This Row],[HalfWidth]],DiscreteStatsTable[[#This Row],[BatchMeansHalfWidth]])</f>
        <v>4.9845607246359398</v>
      </c>
      <c r="X266" s="5" cm="1">
        <f t="array" ref="X266">COUNT(IF((DiscreteStatsTable[GroupByKey]=DiscreteStatsTable[[#This Row],[GroupByKey]]),(DiscreteStatsTable[GroupByKey]=DiscreteStatsTable[[#This Row],[GroupByKey]])*DiscreteStatsTable[Replication]))</f>
        <v>10</v>
      </c>
      <c r="Y266" s="5">
        <f>IF(DiscreteStatsTable[[#This Row],[RepsRequested]]=DiscreteStatsTable[[#This Row],[RepsWithStatObserved]],1,0)</f>
        <v>1</v>
      </c>
    </row>
    <row r="267" spans="1:25" x14ac:dyDescent="0.3">
      <c r="A267" t="s">
        <v>66</v>
      </c>
      <c r="B267" t="s">
        <v>68</v>
      </c>
      <c r="C267">
        <v>6</v>
      </c>
      <c r="D267" t="s">
        <v>93</v>
      </c>
      <c r="E267" t="s">
        <v>70</v>
      </c>
      <c r="F267" t="s">
        <v>71</v>
      </c>
      <c r="G267">
        <v>1.62812611166987</v>
      </c>
      <c r="H267">
        <v>2E+20</v>
      </c>
      <c r="I267">
        <v>0</v>
      </c>
      <c r="J267">
        <v>8.9092260857184993</v>
      </c>
      <c r="K267">
        <v>18</v>
      </c>
      <c r="L267" s="5" t="str">
        <f>DiscreteStatsTable[[#This Row],[ProjectName]]&amp;DiscreteStatsTable[[#This Row],[Name]]&amp;DiscreteStatsTable[[#This Row],[Type]]&amp;DiscreteStatsTable[[#This Row],[Source]]</f>
        <v>Unnamed Projectmanualinter.QueueWaiting TimeQueue</v>
      </c>
      <c r="M267" s="5" cm="1">
        <f t="array" ref="M267">MAX(IF((ProjectInfoTable[ProjectName]=DiscreteStatsTable[[#This Row],[ProjectName]]),(ProjectInfoTable[ProjectName]=DiscreteStatsTable[[#This Row],[ProjectName]])*ProjectInfoTable[NumberOfReplications]))</f>
        <v>10</v>
      </c>
      <c r="N267" s="5" cm="1">
        <f t="array" ref="N267">IFERROR(AVERAGE(IF((DiscreteStatsTable[GroupByKey]=DiscreteStatsTable[[#This Row],[GroupByKey]]),(DiscreteStatsTable[GroupByKey]=DiscreteStatsTable[[#This Row],[GroupByKey]])*DiscreteStatsTable[Average])),0)</f>
        <v>9.7731099319170269</v>
      </c>
      <c r="O267" s="5" cm="1">
        <f t="array" ref="O267">IFERROR(_xlfn.STDEV.S(IF((DiscreteStatsTable[GroupByKey]=DiscreteStatsTable[[#This Row],[GroupByKey]]),(DiscreteStatsTable[GroupByKey]=DiscreteStatsTable[[#This Row],[GroupByKey]])*DiscreteStatsTable[Average])),0)</f>
        <v>6.9679354222105561</v>
      </c>
      <c r="P267" s="5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 s="5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4.9845607246359398</v>
      </c>
      <c r="R267" s="5" cm="1">
        <f t="array" ref="R267">MIN(IF((DiscreteStatsTable[GroupByKey]=DiscreteStatsTable[[#This Row],[GroupByKey]]),(DiscreteStatsTable[GroupByKey]=DiscreteStatsTable[[#This Row],[GroupByKey]])*DiscreteStatsTable[Average]))</f>
        <v>1.62812611166987</v>
      </c>
      <c r="S267" s="5" cm="1">
        <f t="array" ref="S267">MAX(IF((DiscreteStatsTable[GroupByKey]=DiscreteStatsTable[[#This Row],[GroupByKey]]),(DiscreteStatsTable[GroupByKey]=DiscreteStatsTable[[#This Row],[GroupByKey]])*DiscreteStatsTable[Average]))</f>
        <v>21.612732095934501</v>
      </c>
      <c r="T267" s="5" cm="1">
        <f t="array" ref="T267">MIN(IF((DiscreteStatsTable[GroupByKey]=DiscreteStatsTable[[#This Row],[GroupByKey]]),(DiscreteStatsTable[GroupByKey]=DiscreteStatsTable[[#This Row],[GroupByKey]])*DiscreteStatsTable[Minimum]))</f>
        <v>0</v>
      </c>
      <c r="U267" s="5" cm="1">
        <f t="array" ref="U267">MAX(IF((DiscreteStatsTable[GroupByKey]=DiscreteStatsTable[[#This Row],[GroupByKey]]),(DiscreteStatsTable[GroupByKey]=DiscreteStatsTable[[#This Row],[GroupByKey]])*DiscreteStatsTable[Maximum]))</f>
        <v>77.725628461856203</v>
      </c>
      <c r="V267" s="5" cm="1">
        <f t="array" ref="V267">IFERROR(AVERAGE(IF((DiscreteStatsTable[GroupByKey]=DiscreteStatsTable[[#This Row],[GroupByKey]]),(DiscreteStatsTable[GroupByKey]=DiscreteStatsTable[[#This Row],[GroupByKey]])*DiscreteStatsTable[NumberObservations])),0)</f>
        <v>18.8</v>
      </c>
      <c r="W267" s="5">
        <f>IF((DiscreteStatsTable[[#This Row],[RepsRequested]]&gt;1),DiscreteStatsTable[[#This Row],[HalfWidth]],DiscreteStatsTable[[#This Row],[BatchMeansHalfWidth]])</f>
        <v>4.9845607246359398</v>
      </c>
      <c r="X267" s="5" cm="1">
        <f t="array" ref="X267">COUNT(IF((DiscreteStatsTable[GroupByKey]=DiscreteStatsTable[[#This Row],[GroupByKey]]),(DiscreteStatsTable[GroupByKey]=DiscreteStatsTable[[#This Row],[GroupByKey]])*DiscreteStatsTable[Replication]))</f>
        <v>10</v>
      </c>
      <c r="Y267" s="5">
        <f>IF(DiscreteStatsTable[[#This Row],[RepsRequested]]=DiscreteStatsTable[[#This Row],[RepsWithStatObserved]],1,0)</f>
        <v>1</v>
      </c>
    </row>
    <row r="268" spans="1:25" x14ac:dyDescent="0.3">
      <c r="A268" t="s">
        <v>66</v>
      </c>
      <c r="B268" t="s">
        <v>68</v>
      </c>
      <c r="C268">
        <v>7</v>
      </c>
      <c r="D268" t="s">
        <v>93</v>
      </c>
      <c r="E268" t="s">
        <v>70</v>
      </c>
      <c r="F268" t="s">
        <v>71</v>
      </c>
      <c r="G268">
        <v>17.042676577098199</v>
      </c>
      <c r="H268">
        <v>2E+20</v>
      </c>
      <c r="I268">
        <v>0</v>
      </c>
      <c r="J268">
        <v>55.663279810317299</v>
      </c>
      <c r="K268">
        <v>16</v>
      </c>
      <c r="L268" s="5" t="str">
        <f>DiscreteStatsTable[[#This Row],[ProjectName]]&amp;DiscreteStatsTable[[#This Row],[Name]]&amp;DiscreteStatsTable[[#This Row],[Type]]&amp;DiscreteStatsTable[[#This Row],[Source]]</f>
        <v>Unnamed Projectmanualinter.QueueWaiting TimeQueue</v>
      </c>
      <c r="M268" s="5" cm="1">
        <f t="array" ref="M268">MAX(IF((ProjectInfoTable[ProjectName]=DiscreteStatsTable[[#This Row],[ProjectName]]),(ProjectInfoTable[ProjectName]=DiscreteStatsTable[[#This Row],[ProjectName]])*ProjectInfoTable[NumberOfReplications]))</f>
        <v>10</v>
      </c>
      <c r="N268" s="5" cm="1">
        <f t="array" ref="N268">IFERROR(AVERAGE(IF((DiscreteStatsTable[GroupByKey]=DiscreteStatsTable[[#This Row],[GroupByKey]]),(DiscreteStatsTable[GroupByKey]=DiscreteStatsTable[[#This Row],[GroupByKey]])*DiscreteStatsTable[Average])),0)</f>
        <v>9.7731099319170269</v>
      </c>
      <c r="O268" s="5" cm="1">
        <f t="array" ref="O268">IFERROR(_xlfn.STDEV.S(IF((DiscreteStatsTable[GroupByKey]=DiscreteStatsTable[[#This Row],[GroupByKey]]),(DiscreteStatsTable[GroupByKey]=DiscreteStatsTable[[#This Row],[GroupByKey]])*DiscreteStatsTable[Average])),0)</f>
        <v>6.9679354222105561</v>
      </c>
      <c r="P268" s="5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 s="5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4.9845607246359398</v>
      </c>
      <c r="R268" s="5" cm="1">
        <f t="array" ref="R268">MIN(IF((DiscreteStatsTable[GroupByKey]=DiscreteStatsTable[[#This Row],[GroupByKey]]),(DiscreteStatsTable[GroupByKey]=DiscreteStatsTable[[#This Row],[GroupByKey]])*DiscreteStatsTable[Average]))</f>
        <v>1.62812611166987</v>
      </c>
      <c r="S268" s="5" cm="1">
        <f t="array" ref="S268">MAX(IF((DiscreteStatsTable[GroupByKey]=DiscreteStatsTable[[#This Row],[GroupByKey]]),(DiscreteStatsTable[GroupByKey]=DiscreteStatsTable[[#This Row],[GroupByKey]])*DiscreteStatsTable[Average]))</f>
        <v>21.612732095934501</v>
      </c>
      <c r="T268" s="5" cm="1">
        <f t="array" ref="T268">MIN(IF((DiscreteStatsTable[GroupByKey]=DiscreteStatsTable[[#This Row],[GroupByKey]]),(DiscreteStatsTable[GroupByKey]=DiscreteStatsTable[[#This Row],[GroupByKey]])*DiscreteStatsTable[Minimum]))</f>
        <v>0</v>
      </c>
      <c r="U268" s="5" cm="1">
        <f t="array" ref="U268">MAX(IF((DiscreteStatsTable[GroupByKey]=DiscreteStatsTable[[#This Row],[GroupByKey]]),(DiscreteStatsTable[GroupByKey]=DiscreteStatsTable[[#This Row],[GroupByKey]])*DiscreteStatsTable[Maximum]))</f>
        <v>77.725628461856203</v>
      </c>
      <c r="V268" s="5" cm="1">
        <f t="array" ref="V268">IFERROR(AVERAGE(IF((DiscreteStatsTable[GroupByKey]=DiscreteStatsTable[[#This Row],[GroupByKey]]),(DiscreteStatsTable[GroupByKey]=DiscreteStatsTable[[#This Row],[GroupByKey]])*DiscreteStatsTable[NumberObservations])),0)</f>
        <v>18.8</v>
      </c>
      <c r="W268" s="5">
        <f>IF((DiscreteStatsTable[[#This Row],[RepsRequested]]&gt;1),DiscreteStatsTable[[#This Row],[HalfWidth]],DiscreteStatsTable[[#This Row],[BatchMeansHalfWidth]])</f>
        <v>4.9845607246359398</v>
      </c>
      <c r="X268" s="5" cm="1">
        <f t="array" ref="X268">COUNT(IF((DiscreteStatsTable[GroupByKey]=DiscreteStatsTable[[#This Row],[GroupByKey]]),(DiscreteStatsTable[GroupByKey]=DiscreteStatsTable[[#This Row],[GroupByKey]])*DiscreteStatsTable[Replication]))</f>
        <v>10</v>
      </c>
      <c r="Y268" s="5">
        <f>IF(DiscreteStatsTable[[#This Row],[RepsRequested]]=DiscreteStatsTable[[#This Row],[RepsWithStatObserved]],1,0)</f>
        <v>1</v>
      </c>
    </row>
    <row r="269" spans="1:25" x14ac:dyDescent="0.3">
      <c r="A269" t="s">
        <v>66</v>
      </c>
      <c r="B269" t="s">
        <v>68</v>
      </c>
      <c r="C269">
        <v>8</v>
      </c>
      <c r="D269" t="s">
        <v>93</v>
      </c>
      <c r="E269" t="s">
        <v>70</v>
      </c>
      <c r="F269" t="s">
        <v>71</v>
      </c>
      <c r="G269">
        <v>21.612732095934501</v>
      </c>
      <c r="H269">
        <v>2E+20</v>
      </c>
      <c r="I269">
        <v>0</v>
      </c>
      <c r="J269">
        <v>77.725628461856203</v>
      </c>
      <c r="K269">
        <v>14</v>
      </c>
      <c r="L269" s="5" t="str">
        <f>DiscreteStatsTable[[#This Row],[ProjectName]]&amp;DiscreteStatsTable[[#This Row],[Name]]&amp;DiscreteStatsTable[[#This Row],[Type]]&amp;DiscreteStatsTable[[#This Row],[Source]]</f>
        <v>Unnamed Projectmanualinter.QueueWaiting TimeQueue</v>
      </c>
      <c r="M269" s="5" cm="1">
        <f t="array" ref="M269">MAX(IF((ProjectInfoTable[ProjectName]=DiscreteStatsTable[[#This Row],[ProjectName]]),(ProjectInfoTable[ProjectName]=DiscreteStatsTable[[#This Row],[ProjectName]])*ProjectInfoTable[NumberOfReplications]))</f>
        <v>10</v>
      </c>
      <c r="N269" s="5" cm="1">
        <f t="array" ref="N269">IFERROR(AVERAGE(IF((DiscreteStatsTable[GroupByKey]=DiscreteStatsTable[[#This Row],[GroupByKey]]),(DiscreteStatsTable[GroupByKey]=DiscreteStatsTable[[#This Row],[GroupByKey]])*DiscreteStatsTable[Average])),0)</f>
        <v>9.7731099319170269</v>
      </c>
      <c r="O269" s="5" cm="1">
        <f t="array" ref="O269">IFERROR(_xlfn.STDEV.S(IF((DiscreteStatsTable[GroupByKey]=DiscreteStatsTable[[#This Row],[GroupByKey]]),(DiscreteStatsTable[GroupByKey]=DiscreteStatsTable[[#This Row],[GroupByKey]])*DiscreteStatsTable[Average])),0)</f>
        <v>6.9679354222105561</v>
      </c>
      <c r="P269" s="5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 s="5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4.9845607246359398</v>
      </c>
      <c r="R269" s="5" cm="1">
        <f t="array" ref="R269">MIN(IF((DiscreteStatsTable[GroupByKey]=DiscreteStatsTable[[#This Row],[GroupByKey]]),(DiscreteStatsTable[GroupByKey]=DiscreteStatsTable[[#This Row],[GroupByKey]])*DiscreteStatsTable[Average]))</f>
        <v>1.62812611166987</v>
      </c>
      <c r="S269" s="5" cm="1">
        <f t="array" ref="S269">MAX(IF((DiscreteStatsTable[GroupByKey]=DiscreteStatsTable[[#This Row],[GroupByKey]]),(DiscreteStatsTable[GroupByKey]=DiscreteStatsTable[[#This Row],[GroupByKey]])*DiscreteStatsTable[Average]))</f>
        <v>21.612732095934501</v>
      </c>
      <c r="T269" s="5" cm="1">
        <f t="array" ref="T269">MIN(IF((DiscreteStatsTable[GroupByKey]=DiscreteStatsTable[[#This Row],[GroupByKey]]),(DiscreteStatsTable[GroupByKey]=DiscreteStatsTable[[#This Row],[GroupByKey]])*DiscreteStatsTable[Minimum]))</f>
        <v>0</v>
      </c>
      <c r="U269" s="5" cm="1">
        <f t="array" ref="U269">MAX(IF((DiscreteStatsTable[GroupByKey]=DiscreteStatsTable[[#This Row],[GroupByKey]]),(DiscreteStatsTable[GroupByKey]=DiscreteStatsTable[[#This Row],[GroupByKey]])*DiscreteStatsTable[Maximum]))</f>
        <v>77.725628461856203</v>
      </c>
      <c r="V269" s="5" cm="1">
        <f t="array" ref="V269">IFERROR(AVERAGE(IF((DiscreteStatsTable[GroupByKey]=DiscreteStatsTable[[#This Row],[GroupByKey]]),(DiscreteStatsTable[GroupByKey]=DiscreteStatsTable[[#This Row],[GroupByKey]])*DiscreteStatsTable[NumberObservations])),0)</f>
        <v>18.8</v>
      </c>
      <c r="W269" s="5">
        <f>IF((DiscreteStatsTable[[#This Row],[RepsRequested]]&gt;1),DiscreteStatsTable[[#This Row],[HalfWidth]],DiscreteStatsTable[[#This Row],[BatchMeansHalfWidth]])</f>
        <v>4.9845607246359398</v>
      </c>
      <c r="X269" s="5" cm="1">
        <f t="array" ref="X269">COUNT(IF((DiscreteStatsTable[GroupByKey]=DiscreteStatsTable[[#This Row],[GroupByKey]]),(DiscreteStatsTable[GroupByKey]=DiscreteStatsTable[[#This Row],[GroupByKey]])*DiscreteStatsTable[Replication]))</f>
        <v>10</v>
      </c>
      <c r="Y269" s="5">
        <f>IF(DiscreteStatsTable[[#This Row],[RepsRequested]]=DiscreteStatsTable[[#This Row],[RepsWithStatObserved]],1,0)</f>
        <v>1</v>
      </c>
    </row>
    <row r="270" spans="1:25" x14ac:dyDescent="0.3">
      <c r="A270" t="s">
        <v>66</v>
      </c>
      <c r="B270" t="s">
        <v>68</v>
      </c>
      <c r="C270">
        <v>9</v>
      </c>
      <c r="D270" t="s">
        <v>93</v>
      </c>
      <c r="E270" t="s">
        <v>70</v>
      </c>
      <c r="F270" t="s">
        <v>71</v>
      </c>
      <c r="G270">
        <v>14.6849653425894</v>
      </c>
      <c r="H270">
        <v>2E+20</v>
      </c>
      <c r="I270">
        <v>0</v>
      </c>
      <c r="J270">
        <v>64.859773785888294</v>
      </c>
      <c r="K270">
        <v>17</v>
      </c>
      <c r="L270" s="5" t="str">
        <f>DiscreteStatsTable[[#This Row],[ProjectName]]&amp;DiscreteStatsTable[[#This Row],[Name]]&amp;DiscreteStatsTable[[#This Row],[Type]]&amp;DiscreteStatsTable[[#This Row],[Source]]</f>
        <v>Unnamed Projectmanualinter.QueueWaiting TimeQueue</v>
      </c>
      <c r="M270" s="5" cm="1">
        <f t="array" ref="M270">MAX(IF((ProjectInfoTable[ProjectName]=DiscreteStatsTable[[#This Row],[ProjectName]]),(ProjectInfoTable[ProjectName]=DiscreteStatsTable[[#This Row],[ProjectName]])*ProjectInfoTable[NumberOfReplications]))</f>
        <v>10</v>
      </c>
      <c r="N270" s="5" cm="1">
        <f t="array" ref="N270">IFERROR(AVERAGE(IF((DiscreteStatsTable[GroupByKey]=DiscreteStatsTable[[#This Row],[GroupByKey]]),(DiscreteStatsTable[GroupByKey]=DiscreteStatsTable[[#This Row],[GroupByKey]])*DiscreteStatsTable[Average])),0)</f>
        <v>9.7731099319170269</v>
      </c>
      <c r="O270" s="5" cm="1">
        <f t="array" ref="O270">IFERROR(_xlfn.STDEV.S(IF((DiscreteStatsTable[GroupByKey]=DiscreteStatsTable[[#This Row],[GroupByKey]]),(DiscreteStatsTable[GroupByKey]=DiscreteStatsTable[[#This Row],[GroupByKey]])*DiscreteStatsTable[Average])),0)</f>
        <v>6.9679354222105561</v>
      </c>
      <c r="P270" s="5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 s="5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4.9845607246359398</v>
      </c>
      <c r="R270" s="5" cm="1">
        <f t="array" ref="R270">MIN(IF((DiscreteStatsTable[GroupByKey]=DiscreteStatsTable[[#This Row],[GroupByKey]]),(DiscreteStatsTable[GroupByKey]=DiscreteStatsTable[[#This Row],[GroupByKey]])*DiscreteStatsTable[Average]))</f>
        <v>1.62812611166987</v>
      </c>
      <c r="S270" s="5" cm="1">
        <f t="array" ref="S270">MAX(IF((DiscreteStatsTable[GroupByKey]=DiscreteStatsTable[[#This Row],[GroupByKey]]),(DiscreteStatsTable[GroupByKey]=DiscreteStatsTable[[#This Row],[GroupByKey]])*DiscreteStatsTable[Average]))</f>
        <v>21.612732095934501</v>
      </c>
      <c r="T270" s="5" cm="1">
        <f t="array" ref="T270">MIN(IF((DiscreteStatsTable[GroupByKey]=DiscreteStatsTable[[#This Row],[GroupByKey]]),(DiscreteStatsTable[GroupByKey]=DiscreteStatsTable[[#This Row],[GroupByKey]])*DiscreteStatsTable[Minimum]))</f>
        <v>0</v>
      </c>
      <c r="U270" s="5" cm="1">
        <f t="array" ref="U270">MAX(IF((DiscreteStatsTable[GroupByKey]=DiscreteStatsTable[[#This Row],[GroupByKey]]),(DiscreteStatsTable[GroupByKey]=DiscreteStatsTable[[#This Row],[GroupByKey]])*DiscreteStatsTable[Maximum]))</f>
        <v>77.725628461856203</v>
      </c>
      <c r="V270" s="5" cm="1">
        <f t="array" ref="V270">IFERROR(AVERAGE(IF((DiscreteStatsTable[GroupByKey]=DiscreteStatsTable[[#This Row],[GroupByKey]]),(DiscreteStatsTable[GroupByKey]=DiscreteStatsTable[[#This Row],[GroupByKey]])*DiscreteStatsTable[NumberObservations])),0)</f>
        <v>18.8</v>
      </c>
      <c r="W270" s="5">
        <f>IF((DiscreteStatsTable[[#This Row],[RepsRequested]]&gt;1),DiscreteStatsTable[[#This Row],[HalfWidth]],DiscreteStatsTable[[#This Row],[BatchMeansHalfWidth]])</f>
        <v>4.9845607246359398</v>
      </c>
      <c r="X270" s="5" cm="1">
        <f t="array" ref="X270">COUNT(IF((DiscreteStatsTable[GroupByKey]=DiscreteStatsTable[[#This Row],[GroupByKey]]),(DiscreteStatsTable[GroupByKey]=DiscreteStatsTable[[#This Row],[GroupByKey]])*DiscreteStatsTable[Replication]))</f>
        <v>10</v>
      </c>
      <c r="Y270" s="5">
        <f>IF(DiscreteStatsTable[[#This Row],[RepsRequested]]=DiscreteStatsTable[[#This Row],[RepsWithStatObserved]],1,0)</f>
        <v>1</v>
      </c>
    </row>
    <row r="271" spans="1:25" x14ac:dyDescent="0.3">
      <c r="A271" t="s">
        <v>66</v>
      </c>
      <c r="B271" t="s">
        <v>68</v>
      </c>
      <c r="C271">
        <v>10</v>
      </c>
      <c r="D271" t="s">
        <v>93</v>
      </c>
      <c r="E271" t="s">
        <v>70</v>
      </c>
      <c r="F271" t="s">
        <v>71</v>
      </c>
      <c r="G271">
        <v>5.5610339911671796</v>
      </c>
      <c r="H271">
        <v>2E+20</v>
      </c>
      <c r="I271">
        <v>0</v>
      </c>
      <c r="J271">
        <v>46.909201081232098</v>
      </c>
      <c r="K271">
        <v>18</v>
      </c>
      <c r="L271" s="5" t="str">
        <f>DiscreteStatsTable[[#This Row],[ProjectName]]&amp;DiscreteStatsTable[[#This Row],[Name]]&amp;DiscreteStatsTable[[#This Row],[Type]]&amp;DiscreteStatsTable[[#This Row],[Source]]</f>
        <v>Unnamed Projectmanualinter.QueueWaiting TimeQueue</v>
      </c>
      <c r="M271" s="5" cm="1">
        <f t="array" ref="M271">MAX(IF((ProjectInfoTable[ProjectName]=DiscreteStatsTable[[#This Row],[ProjectName]]),(ProjectInfoTable[ProjectName]=DiscreteStatsTable[[#This Row],[ProjectName]])*ProjectInfoTable[NumberOfReplications]))</f>
        <v>10</v>
      </c>
      <c r="N271" s="5" cm="1">
        <f t="array" ref="N271">IFERROR(AVERAGE(IF((DiscreteStatsTable[GroupByKey]=DiscreteStatsTable[[#This Row],[GroupByKey]]),(DiscreteStatsTable[GroupByKey]=DiscreteStatsTable[[#This Row],[GroupByKey]])*DiscreteStatsTable[Average])),0)</f>
        <v>9.7731099319170269</v>
      </c>
      <c r="O271" s="5" cm="1">
        <f t="array" ref="O271">IFERROR(_xlfn.STDEV.S(IF((DiscreteStatsTable[GroupByKey]=DiscreteStatsTable[[#This Row],[GroupByKey]]),(DiscreteStatsTable[GroupByKey]=DiscreteStatsTable[[#This Row],[GroupByKey]])*DiscreteStatsTable[Average])),0)</f>
        <v>6.9679354222105561</v>
      </c>
      <c r="P271" s="5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 s="5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4.9845607246359398</v>
      </c>
      <c r="R271" s="5" cm="1">
        <f t="array" ref="R271">MIN(IF((DiscreteStatsTable[GroupByKey]=DiscreteStatsTable[[#This Row],[GroupByKey]]),(DiscreteStatsTable[GroupByKey]=DiscreteStatsTable[[#This Row],[GroupByKey]])*DiscreteStatsTable[Average]))</f>
        <v>1.62812611166987</v>
      </c>
      <c r="S271" s="5" cm="1">
        <f t="array" ref="S271">MAX(IF((DiscreteStatsTable[GroupByKey]=DiscreteStatsTable[[#This Row],[GroupByKey]]),(DiscreteStatsTable[GroupByKey]=DiscreteStatsTable[[#This Row],[GroupByKey]])*DiscreteStatsTable[Average]))</f>
        <v>21.612732095934501</v>
      </c>
      <c r="T271" s="5" cm="1">
        <f t="array" ref="T271">MIN(IF((DiscreteStatsTable[GroupByKey]=DiscreteStatsTable[[#This Row],[GroupByKey]]),(DiscreteStatsTable[GroupByKey]=DiscreteStatsTable[[#This Row],[GroupByKey]])*DiscreteStatsTable[Minimum]))</f>
        <v>0</v>
      </c>
      <c r="U271" s="5" cm="1">
        <f t="array" ref="U271">MAX(IF((DiscreteStatsTable[GroupByKey]=DiscreteStatsTable[[#This Row],[GroupByKey]]),(DiscreteStatsTable[GroupByKey]=DiscreteStatsTable[[#This Row],[GroupByKey]])*DiscreteStatsTable[Maximum]))</f>
        <v>77.725628461856203</v>
      </c>
      <c r="V271" s="5" cm="1">
        <f t="array" ref="V271">IFERROR(AVERAGE(IF((DiscreteStatsTable[GroupByKey]=DiscreteStatsTable[[#This Row],[GroupByKey]]),(DiscreteStatsTable[GroupByKey]=DiscreteStatsTable[[#This Row],[GroupByKey]])*DiscreteStatsTable[NumberObservations])),0)</f>
        <v>18.8</v>
      </c>
      <c r="W271" s="5">
        <f>IF((DiscreteStatsTable[[#This Row],[RepsRequested]]&gt;1),DiscreteStatsTable[[#This Row],[HalfWidth]],DiscreteStatsTable[[#This Row],[BatchMeansHalfWidth]])</f>
        <v>4.9845607246359398</v>
      </c>
      <c r="X271" s="5" cm="1">
        <f t="array" ref="X271">COUNT(IF((DiscreteStatsTable[GroupByKey]=DiscreteStatsTable[[#This Row],[GroupByKey]]),(DiscreteStatsTable[GroupByKey]=DiscreteStatsTable[[#This Row],[GroupByKey]])*DiscreteStatsTable[Replication]))</f>
        <v>10</v>
      </c>
      <c r="Y271" s="5">
        <f>IF(DiscreteStatsTable[[#This Row],[RepsRequested]]=DiscreteStatsTable[[#This Row],[RepsWithStatObserved]],1,0)</f>
        <v>1</v>
      </c>
    </row>
    <row r="272" spans="1:25" x14ac:dyDescent="0.3">
      <c r="A272" t="s">
        <v>66</v>
      </c>
      <c r="B272" t="s">
        <v>68</v>
      </c>
      <c r="C272">
        <v>1</v>
      </c>
      <c r="D272" t="s">
        <v>94</v>
      </c>
      <c r="E272" t="s">
        <v>70</v>
      </c>
      <c r="F272" t="s">
        <v>71</v>
      </c>
      <c r="G272">
        <v>0</v>
      </c>
      <c r="H272">
        <v>2E+20</v>
      </c>
      <c r="I272">
        <v>0</v>
      </c>
      <c r="J272">
        <v>0</v>
      </c>
      <c r="K272">
        <v>4</v>
      </c>
      <c r="L272" s="5" t="str">
        <f>DiscreteStatsTable[[#This Row],[ProjectName]]&amp;DiscreteStatsTable[[#This Row],[Name]]&amp;DiscreteStatsTable[[#This Row],[Type]]&amp;DiscreteStatsTable[[#This Row],[Source]]</f>
        <v>Unnamed Projectmanualnaciona.QueueWaiting TimeQueue</v>
      </c>
      <c r="M272" s="5" cm="1">
        <f t="array" ref="M272">MAX(IF((ProjectInfoTable[ProjectName]=DiscreteStatsTable[[#This Row],[ProjectName]]),(ProjectInfoTable[ProjectName]=DiscreteStatsTable[[#This Row],[ProjectName]])*ProjectInfoTable[NumberOfReplications]))</f>
        <v>10</v>
      </c>
      <c r="N272" s="5" cm="1">
        <f t="array" ref="N272">IFERROR(AVERAGE(IF((DiscreteStatsTable[GroupByKey]=DiscreteStatsTable[[#This Row],[GroupByKey]]),(DiscreteStatsTable[GroupByKey]=DiscreteStatsTable[[#This Row],[GroupByKey]])*DiscreteStatsTable[Average])),0)</f>
        <v>0.13353088580878619</v>
      </c>
      <c r="O272" s="5" cm="1">
        <f t="array" ref="O272">IFERROR(_xlfn.STDEV.S(IF((DiscreteStatsTable[GroupByKey]=DiscreteStatsTable[[#This Row],[GroupByKey]]),(DiscreteStatsTable[GroupByKey]=DiscreteStatsTable[[#This Row],[GroupByKey]])*DiscreteStatsTable[Average])),0)</f>
        <v>0.38480601475423104</v>
      </c>
      <c r="P272" s="5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 s="5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0.27527364011348865</v>
      </c>
      <c r="R272" s="5" cm="1">
        <f t="array" ref="R272">MIN(IF((DiscreteStatsTable[GroupByKey]=DiscreteStatsTable[[#This Row],[GroupByKey]]),(DiscreteStatsTable[GroupByKey]=DiscreteStatsTable[[#This Row],[GroupByKey]])*DiscreteStatsTable[Average]))</f>
        <v>0</v>
      </c>
      <c r="S272" s="5" cm="1">
        <f t="array" ref="S272">MAX(IF((DiscreteStatsTable[GroupByKey]=DiscreteStatsTable[[#This Row],[GroupByKey]]),(DiscreteStatsTable[GroupByKey]=DiscreteStatsTable[[#This Row],[GroupByKey]])*DiscreteStatsTable[Average]))</f>
        <v>1.22682576767282</v>
      </c>
      <c r="T272" s="5" cm="1">
        <f t="array" ref="T272">MIN(IF((DiscreteStatsTable[GroupByKey]=DiscreteStatsTable[[#This Row],[GroupByKey]]),(DiscreteStatsTable[GroupByKey]=DiscreteStatsTable[[#This Row],[GroupByKey]])*DiscreteStatsTable[Minimum]))</f>
        <v>0</v>
      </c>
      <c r="U272" s="5" cm="1">
        <f t="array" ref="U272">MAX(IF((DiscreteStatsTable[GroupByKey]=DiscreteStatsTable[[#This Row],[GroupByKey]]),(DiscreteStatsTable[GroupByKey]=DiscreteStatsTable[[#This Row],[GroupByKey]])*DiscreteStatsTable[Maximum]))</f>
        <v>6.3562688714400801</v>
      </c>
      <c r="V272" s="5" cm="1">
        <f t="array" ref="V272">IFERROR(AVERAGE(IF((DiscreteStatsTable[GroupByKey]=DiscreteStatsTable[[#This Row],[GroupByKey]]),(DiscreteStatsTable[GroupByKey]=DiscreteStatsTable[[#This Row],[GroupByKey]])*DiscreteStatsTable[NumberObservations])),0)</f>
        <v>7.6</v>
      </c>
      <c r="W272" s="5">
        <f>IF((DiscreteStatsTable[[#This Row],[RepsRequested]]&gt;1),DiscreteStatsTable[[#This Row],[HalfWidth]],DiscreteStatsTable[[#This Row],[BatchMeansHalfWidth]])</f>
        <v>0.27527364011348865</v>
      </c>
      <c r="X272" s="5" cm="1">
        <f t="array" ref="X272">COUNT(IF((DiscreteStatsTable[GroupByKey]=DiscreteStatsTable[[#This Row],[GroupByKey]]),(DiscreteStatsTable[GroupByKey]=DiscreteStatsTable[[#This Row],[GroupByKey]])*DiscreteStatsTable[Replication]))</f>
        <v>10</v>
      </c>
      <c r="Y272" s="5">
        <f>IF(DiscreteStatsTable[[#This Row],[RepsRequested]]=DiscreteStatsTable[[#This Row],[RepsWithStatObserved]],1,0)</f>
        <v>1</v>
      </c>
    </row>
    <row r="273" spans="1:25" x14ac:dyDescent="0.3">
      <c r="A273" t="s">
        <v>66</v>
      </c>
      <c r="B273" t="s">
        <v>68</v>
      </c>
      <c r="C273">
        <v>2</v>
      </c>
      <c r="D273" t="s">
        <v>94</v>
      </c>
      <c r="E273" t="s">
        <v>70</v>
      </c>
      <c r="F273" t="s">
        <v>71</v>
      </c>
      <c r="G273">
        <v>0</v>
      </c>
      <c r="H273">
        <v>2E+20</v>
      </c>
      <c r="I273">
        <v>0</v>
      </c>
      <c r="J273">
        <v>0</v>
      </c>
      <c r="K273">
        <v>9</v>
      </c>
      <c r="L273" s="5" t="str">
        <f>DiscreteStatsTable[[#This Row],[ProjectName]]&amp;DiscreteStatsTable[[#This Row],[Name]]&amp;DiscreteStatsTable[[#This Row],[Type]]&amp;DiscreteStatsTable[[#This Row],[Source]]</f>
        <v>Unnamed Projectmanualnaciona.QueueWaiting TimeQueue</v>
      </c>
      <c r="M273" s="5" cm="1">
        <f t="array" ref="M273">MAX(IF((ProjectInfoTable[ProjectName]=DiscreteStatsTable[[#This Row],[ProjectName]]),(ProjectInfoTable[ProjectName]=DiscreteStatsTable[[#This Row],[ProjectName]])*ProjectInfoTable[NumberOfReplications]))</f>
        <v>10</v>
      </c>
      <c r="N273" s="5" cm="1">
        <f t="array" ref="N273">IFERROR(AVERAGE(IF((DiscreteStatsTable[GroupByKey]=DiscreteStatsTable[[#This Row],[GroupByKey]]),(DiscreteStatsTable[GroupByKey]=DiscreteStatsTable[[#This Row],[GroupByKey]])*DiscreteStatsTable[Average])),0)</f>
        <v>0.13353088580878619</v>
      </c>
      <c r="O273" s="5" cm="1">
        <f t="array" ref="O273">IFERROR(_xlfn.STDEV.S(IF((DiscreteStatsTable[GroupByKey]=DiscreteStatsTable[[#This Row],[GroupByKey]]),(DiscreteStatsTable[GroupByKey]=DiscreteStatsTable[[#This Row],[GroupByKey]])*DiscreteStatsTable[Average])),0)</f>
        <v>0.38480601475423104</v>
      </c>
      <c r="P273" s="5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 s="5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0.27527364011348865</v>
      </c>
      <c r="R273" s="5" cm="1">
        <f t="array" ref="R273">MIN(IF((DiscreteStatsTable[GroupByKey]=DiscreteStatsTable[[#This Row],[GroupByKey]]),(DiscreteStatsTable[GroupByKey]=DiscreteStatsTable[[#This Row],[GroupByKey]])*DiscreteStatsTable[Average]))</f>
        <v>0</v>
      </c>
      <c r="S273" s="5" cm="1">
        <f t="array" ref="S273">MAX(IF((DiscreteStatsTable[GroupByKey]=DiscreteStatsTable[[#This Row],[GroupByKey]]),(DiscreteStatsTable[GroupByKey]=DiscreteStatsTable[[#This Row],[GroupByKey]])*DiscreteStatsTable[Average]))</f>
        <v>1.22682576767282</v>
      </c>
      <c r="T273" s="5" cm="1">
        <f t="array" ref="T273">MIN(IF((DiscreteStatsTable[GroupByKey]=DiscreteStatsTable[[#This Row],[GroupByKey]]),(DiscreteStatsTable[GroupByKey]=DiscreteStatsTable[[#This Row],[GroupByKey]])*DiscreteStatsTable[Minimum]))</f>
        <v>0</v>
      </c>
      <c r="U273" s="5" cm="1">
        <f t="array" ref="U273">MAX(IF((DiscreteStatsTable[GroupByKey]=DiscreteStatsTable[[#This Row],[GroupByKey]]),(DiscreteStatsTable[GroupByKey]=DiscreteStatsTable[[#This Row],[GroupByKey]])*DiscreteStatsTable[Maximum]))</f>
        <v>6.3562688714400801</v>
      </c>
      <c r="V273" s="5" cm="1">
        <f t="array" ref="V273">IFERROR(AVERAGE(IF((DiscreteStatsTable[GroupByKey]=DiscreteStatsTable[[#This Row],[GroupByKey]]),(DiscreteStatsTable[GroupByKey]=DiscreteStatsTable[[#This Row],[GroupByKey]])*DiscreteStatsTable[NumberObservations])),0)</f>
        <v>7.6</v>
      </c>
      <c r="W273" s="5">
        <f>IF((DiscreteStatsTable[[#This Row],[RepsRequested]]&gt;1),DiscreteStatsTable[[#This Row],[HalfWidth]],DiscreteStatsTable[[#This Row],[BatchMeansHalfWidth]])</f>
        <v>0.27527364011348865</v>
      </c>
      <c r="X273" s="5" cm="1">
        <f t="array" ref="X273">COUNT(IF((DiscreteStatsTable[GroupByKey]=DiscreteStatsTable[[#This Row],[GroupByKey]]),(DiscreteStatsTable[GroupByKey]=DiscreteStatsTable[[#This Row],[GroupByKey]])*DiscreteStatsTable[Replication]))</f>
        <v>10</v>
      </c>
      <c r="Y273" s="5">
        <f>IF(DiscreteStatsTable[[#This Row],[RepsRequested]]=DiscreteStatsTable[[#This Row],[RepsWithStatObserved]],1,0)</f>
        <v>1</v>
      </c>
    </row>
    <row r="274" spans="1:25" x14ac:dyDescent="0.3">
      <c r="A274" t="s">
        <v>66</v>
      </c>
      <c r="B274" t="s">
        <v>68</v>
      </c>
      <c r="C274">
        <v>3</v>
      </c>
      <c r="D274" t="s">
        <v>94</v>
      </c>
      <c r="E274" t="s">
        <v>70</v>
      </c>
      <c r="F274" t="s">
        <v>71</v>
      </c>
      <c r="G274">
        <v>0</v>
      </c>
      <c r="H274">
        <v>2E+20</v>
      </c>
      <c r="I274">
        <v>0</v>
      </c>
      <c r="J274">
        <v>0</v>
      </c>
      <c r="K274">
        <v>6</v>
      </c>
      <c r="L274" s="5" t="str">
        <f>DiscreteStatsTable[[#This Row],[ProjectName]]&amp;DiscreteStatsTable[[#This Row],[Name]]&amp;DiscreteStatsTable[[#This Row],[Type]]&amp;DiscreteStatsTable[[#This Row],[Source]]</f>
        <v>Unnamed Projectmanualnaciona.QueueWaiting TimeQueue</v>
      </c>
      <c r="M274" s="5" cm="1">
        <f t="array" ref="M274">MAX(IF((ProjectInfoTable[ProjectName]=DiscreteStatsTable[[#This Row],[ProjectName]]),(ProjectInfoTable[ProjectName]=DiscreteStatsTable[[#This Row],[ProjectName]])*ProjectInfoTable[NumberOfReplications]))</f>
        <v>10</v>
      </c>
      <c r="N274" s="5" cm="1">
        <f t="array" ref="N274">IFERROR(AVERAGE(IF((DiscreteStatsTable[GroupByKey]=DiscreteStatsTable[[#This Row],[GroupByKey]]),(DiscreteStatsTable[GroupByKey]=DiscreteStatsTable[[#This Row],[GroupByKey]])*DiscreteStatsTable[Average])),0)</f>
        <v>0.13353088580878619</v>
      </c>
      <c r="O274" s="5" cm="1">
        <f t="array" ref="O274">IFERROR(_xlfn.STDEV.S(IF((DiscreteStatsTable[GroupByKey]=DiscreteStatsTable[[#This Row],[GroupByKey]]),(DiscreteStatsTable[GroupByKey]=DiscreteStatsTable[[#This Row],[GroupByKey]])*DiscreteStatsTable[Average])),0)</f>
        <v>0.38480601475423104</v>
      </c>
      <c r="P274" s="5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 s="5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0.27527364011348865</v>
      </c>
      <c r="R274" s="5" cm="1">
        <f t="array" ref="R274">MIN(IF((DiscreteStatsTable[GroupByKey]=DiscreteStatsTable[[#This Row],[GroupByKey]]),(DiscreteStatsTable[GroupByKey]=DiscreteStatsTable[[#This Row],[GroupByKey]])*DiscreteStatsTable[Average]))</f>
        <v>0</v>
      </c>
      <c r="S274" s="5" cm="1">
        <f t="array" ref="S274">MAX(IF((DiscreteStatsTable[GroupByKey]=DiscreteStatsTable[[#This Row],[GroupByKey]]),(DiscreteStatsTable[GroupByKey]=DiscreteStatsTable[[#This Row],[GroupByKey]])*DiscreteStatsTable[Average]))</f>
        <v>1.22682576767282</v>
      </c>
      <c r="T274" s="5" cm="1">
        <f t="array" ref="T274">MIN(IF((DiscreteStatsTable[GroupByKey]=DiscreteStatsTable[[#This Row],[GroupByKey]]),(DiscreteStatsTable[GroupByKey]=DiscreteStatsTable[[#This Row],[GroupByKey]])*DiscreteStatsTable[Minimum]))</f>
        <v>0</v>
      </c>
      <c r="U274" s="5" cm="1">
        <f t="array" ref="U274">MAX(IF((DiscreteStatsTable[GroupByKey]=DiscreteStatsTable[[#This Row],[GroupByKey]]),(DiscreteStatsTable[GroupByKey]=DiscreteStatsTable[[#This Row],[GroupByKey]])*DiscreteStatsTable[Maximum]))</f>
        <v>6.3562688714400801</v>
      </c>
      <c r="V274" s="5" cm="1">
        <f t="array" ref="V274">IFERROR(AVERAGE(IF((DiscreteStatsTable[GroupByKey]=DiscreteStatsTable[[#This Row],[GroupByKey]]),(DiscreteStatsTable[GroupByKey]=DiscreteStatsTable[[#This Row],[GroupByKey]])*DiscreteStatsTable[NumberObservations])),0)</f>
        <v>7.6</v>
      </c>
      <c r="W274" s="5">
        <f>IF((DiscreteStatsTable[[#This Row],[RepsRequested]]&gt;1),DiscreteStatsTable[[#This Row],[HalfWidth]],DiscreteStatsTable[[#This Row],[BatchMeansHalfWidth]])</f>
        <v>0.27527364011348865</v>
      </c>
      <c r="X274" s="5" cm="1">
        <f t="array" ref="X274">COUNT(IF((DiscreteStatsTable[GroupByKey]=DiscreteStatsTable[[#This Row],[GroupByKey]]),(DiscreteStatsTable[GroupByKey]=DiscreteStatsTable[[#This Row],[GroupByKey]])*DiscreteStatsTable[Replication]))</f>
        <v>10</v>
      </c>
      <c r="Y274" s="5">
        <f>IF(DiscreteStatsTable[[#This Row],[RepsRequested]]=DiscreteStatsTable[[#This Row],[RepsWithStatObserved]],1,0)</f>
        <v>1</v>
      </c>
    </row>
    <row r="275" spans="1:25" x14ac:dyDescent="0.3">
      <c r="A275" t="s">
        <v>66</v>
      </c>
      <c r="B275" t="s">
        <v>68</v>
      </c>
      <c r="C275">
        <v>4</v>
      </c>
      <c r="D275" t="s">
        <v>94</v>
      </c>
      <c r="E275" t="s">
        <v>70</v>
      </c>
      <c r="F275" t="s">
        <v>71</v>
      </c>
      <c r="G275">
        <v>0</v>
      </c>
      <c r="H275">
        <v>2E+20</v>
      </c>
      <c r="I275">
        <v>0</v>
      </c>
      <c r="J275">
        <v>0</v>
      </c>
      <c r="K275">
        <v>10</v>
      </c>
      <c r="L275" s="5" t="str">
        <f>DiscreteStatsTable[[#This Row],[ProjectName]]&amp;DiscreteStatsTable[[#This Row],[Name]]&amp;DiscreteStatsTable[[#This Row],[Type]]&amp;DiscreteStatsTable[[#This Row],[Source]]</f>
        <v>Unnamed Projectmanualnaciona.QueueWaiting TimeQueue</v>
      </c>
      <c r="M275" s="5" cm="1">
        <f t="array" ref="M275">MAX(IF((ProjectInfoTable[ProjectName]=DiscreteStatsTable[[#This Row],[ProjectName]]),(ProjectInfoTable[ProjectName]=DiscreteStatsTable[[#This Row],[ProjectName]])*ProjectInfoTable[NumberOfReplications]))</f>
        <v>10</v>
      </c>
      <c r="N275" s="5" cm="1">
        <f t="array" ref="N275">IFERROR(AVERAGE(IF((DiscreteStatsTable[GroupByKey]=DiscreteStatsTable[[#This Row],[GroupByKey]]),(DiscreteStatsTable[GroupByKey]=DiscreteStatsTable[[#This Row],[GroupByKey]])*DiscreteStatsTable[Average])),0)</f>
        <v>0.13353088580878619</v>
      </c>
      <c r="O275" s="5" cm="1">
        <f t="array" ref="O275">IFERROR(_xlfn.STDEV.S(IF((DiscreteStatsTable[GroupByKey]=DiscreteStatsTable[[#This Row],[GroupByKey]]),(DiscreteStatsTable[GroupByKey]=DiscreteStatsTable[[#This Row],[GroupByKey]])*DiscreteStatsTable[Average])),0)</f>
        <v>0.38480601475423104</v>
      </c>
      <c r="P275" s="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 s="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0.27527364011348865</v>
      </c>
      <c r="R275" s="5" cm="1">
        <f t="array" ref="R275">MIN(IF((DiscreteStatsTable[GroupByKey]=DiscreteStatsTable[[#This Row],[GroupByKey]]),(DiscreteStatsTable[GroupByKey]=DiscreteStatsTable[[#This Row],[GroupByKey]])*DiscreteStatsTable[Average]))</f>
        <v>0</v>
      </c>
      <c r="S275" s="5" cm="1">
        <f t="array" ref="S275">MAX(IF((DiscreteStatsTable[GroupByKey]=DiscreteStatsTable[[#This Row],[GroupByKey]]),(DiscreteStatsTable[GroupByKey]=DiscreteStatsTable[[#This Row],[GroupByKey]])*DiscreteStatsTable[Average]))</f>
        <v>1.22682576767282</v>
      </c>
      <c r="T275" s="5" cm="1">
        <f t="array" ref="T275">MIN(IF((DiscreteStatsTable[GroupByKey]=DiscreteStatsTable[[#This Row],[GroupByKey]]),(DiscreteStatsTable[GroupByKey]=DiscreteStatsTable[[#This Row],[GroupByKey]])*DiscreteStatsTable[Minimum]))</f>
        <v>0</v>
      </c>
      <c r="U275" s="5" cm="1">
        <f t="array" ref="U275">MAX(IF((DiscreteStatsTable[GroupByKey]=DiscreteStatsTable[[#This Row],[GroupByKey]]),(DiscreteStatsTable[GroupByKey]=DiscreteStatsTable[[#This Row],[GroupByKey]])*DiscreteStatsTable[Maximum]))</f>
        <v>6.3562688714400801</v>
      </c>
      <c r="V275" s="5" cm="1">
        <f t="array" ref="V275">IFERROR(AVERAGE(IF((DiscreteStatsTable[GroupByKey]=DiscreteStatsTable[[#This Row],[GroupByKey]]),(DiscreteStatsTable[GroupByKey]=DiscreteStatsTable[[#This Row],[GroupByKey]])*DiscreteStatsTable[NumberObservations])),0)</f>
        <v>7.6</v>
      </c>
      <c r="W275" s="5">
        <f>IF((DiscreteStatsTable[[#This Row],[RepsRequested]]&gt;1),DiscreteStatsTable[[#This Row],[HalfWidth]],DiscreteStatsTable[[#This Row],[BatchMeansHalfWidth]])</f>
        <v>0.27527364011348865</v>
      </c>
      <c r="X275" s="5" cm="1">
        <f t="array" ref="X275">COUNT(IF((DiscreteStatsTable[GroupByKey]=DiscreteStatsTable[[#This Row],[GroupByKey]]),(DiscreteStatsTable[GroupByKey]=DiscreteStatsTable[[#This Row],[GroupByKey]])*DiscreteStatsTable[Replication]))</f>
        <v>10</v>
      </c>
      <c r="Y275" s="5">
        <f>IF(DiscreteStatsTable[[#This Row],[RepsRequested]]=DiscreteStatsTable[[#This Row],[RepsWithStatObserved]],1,0)</f>
        <v>1</v>
      </c>
    </row>
    <row r="276" spans="1:25" x14ac:dyDescent="0.3">
      <c r="A276" t="s">
        <v>66</v>
      </c>
      <c r="B276" t="s">
        <v>68</v>
      </c>
      <c r="C276">
        <v>5</v>
      </c>
      <c r="D276" t="s">
        <v>94</v>
      </c>
      <c r="E276" t="s">
        <v>70</v>
      </c>
      <c r="F276" t="s">
        <v>71</v>
      </c>
      <c r="G276">
        <v>5.3894493994523902E-2</v>
      </c>
      <c r="H276">
        <v>2E+20</v>
      </c>
      <c r="I276">
        <v>0</v>
      </c>
      <c r="J276">
        <v>0.53894493994523895</v>
      </c>
      <c r="K276">
        <v>10</v>
      </c>
      <c r="L276" s="5" t="str">
        <f>DiscreteStatsTable[[#This Row],[ProjectName]]&amp;DiscreteStatsTable[[#This Row],[Name]]&amp;DiscreteStatsTable[[#This Row],[Type]]&amp;DiscreteStatsTable[[#This Row],[Source]]</f>
        <v>Unnamed Projectmanualnaciona.QueueWaiting TimeQueue</v>
      </c>
      <c r="M276" s="5" cm="1">
        <f t="array" ref="M276">MAX(IF((ProjectInfoTable[ProjectName]=DiscreteStatsTable[[#This Row],[ProjectName]]),(ProjectInfoTable[ProjectName]=DiscreteStatsTable[[#This Row],[ProjectName]])*ProjectInfoTable[NumberOfReplications]))</f>
        <v>10</v>
      </c>
      <c r="N276" s="5" cm="1">
        <f t="array" ref="N276">IFERROR(AVERAGE(IF((DiscreteStatsTable[GroupByKey]=DiscreteStatsTable[[#This Row],[GroupByKey]]),(DiscreteStatsTable[GroupByKey]=DiscreteStatsTable[[#This Row],[GroupByKey]])*DiscreteStatsTable[Average])),0)</f>
        <v>0.13353088580878619</v>
      </c>
      <c r="O276" s="5" cm="1">
        <f t="array" ref="O276">IFERROR(_xlfn.STDEV.S(IF((DiscreteStatsTable[GroupByKey]=DiscreteStatsTable[[#This Row],[GroupByKey]]),(DiscreteStatsTable[GroupByKey]=DiscreteStatsTable[[#This Row],[GroupByKey]])*DiscreteStatsTable[Average])),0)</f>
        <v>0.38480601475423104</v>
      </c>
      <c r="P276" s="5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 s="5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0.27527364011348865</v>
      </c>
      <c r="R276" s="5" cm="1">
        <f t="array" ref="R276">MIN(IF((DiscreteStatsTable[GroupByKey]=DiscreteStatsTable[[#This Row],[GroupByKey]]),(DiscreteStatsTable[GroupByKey]=DiscreteStatsTable[[#This Row],[GroupByKey]])*DiscreteStatsTable[Average]))</f>
        <v>0</v>
      </c>
      <c r="S276" s="5" cm="1">
        <f t="array" ref="S276">MAX(IF((DiscreteStatsTable[GroupByKey]=DiscreteStatsTable[[#This Row],[GroupByKey]]),(DiscreteStatsTable[GroupByKey]=DiscreteStatsTable[[#This Row],[GroupByKey]])*DiscreteStatsTable[Average]))</f>
        <v>1.22682576767282</v>
      </c>
      <c r="T276" s="5" cm="1">
        <f t="array" ref="T276">MIN(IF((DiscreteStatsTable[GroupByKey]=DiscreteStatsTable[[#This Row],[GroupByKey]]),(DiscreteStatsTable[GroupByKey]=DiscreteStatsTable[[#This Row],[GroupByKey]])*DiscreteStatsTable[Minimum]))</f>
        <v>0</v>
      </c>
      <c r="U276" s="5" cm="1">
        <f t="array" ref="U276">MAX(IF((DiscreteStatsTable[GroupByKey]=DiscreteStatsTable[[#This Row],[GroupByKey]]),(DiscreteStatsTable[GroupByKey]=DiscreteStatsTable[[#This Row],[GroupByKey]])*DiscreteStatsTable[Maximum]))</f>
        <v>6.3562688714400801</v>
      </c>
      <c r="V276" s="5" cm="1">
        <f t="array" ref="V276">IFERROR(AVERAGE(IF((DiscreteStatsTable[GroupByKey]=DiscreteStatsTable[[#This Row],[GroupByKey]]),(DiscreteStatsTable[GroupByKey]=DiscreteStatsTable[[#This Row],[GroupByKey]])*DiscreteStatsTable[NumberObservations])),0)</f>
        <v>7.6</v>
      </c>
      <c r="W276" s="5">
        <f>IF((DiscreteStatsTable[[#This Row],[RepsRequested]]&gt;1),DiscreteStatsTable[[#This Row],[HalfWidth]],DiscreteStatsTable[[#This Row],[BatchMeansHalfWidth]])</f>
        <v>0.27527364011348865</v>
      </c>
      <c r="X276" s="5" cm="1">
        <f t="array" ref="X276">COUNT(IF((DiscreteStatsTable[GroupByKey]=DiscreteStatsTable[[#This Row],[GroupByKey]]),(DiscreteStatsTable[GroupByKey]=DiscreteStatsTable[[#This Row],[GroupByKey]])*DiscreteStatsTable[Replication]))</f>
        <v>10</v>
      </c>
      <c r="Y276" s="5">
        <f>IF(DiscreteStatsTable[[#This Row],[RepsRequested]]=DiscreteStatsTable[[#This Row],[RepsWithStatObserved]],1,0)</f>
        <v>1</v>
      </c>
    </row>
    <row r="277" spans="1:25" x14ac:dyDescent="0.3">
      <c r="A277" t="s">
        <v>66</v>
      </c>
      <c r="B277" t="s">
        <v>68</v>
      </c>
      <c r="C277">
        <v>6</v>
      </c>
      <c r="D277" t="s">
        <v>94</v>
      </c>
      <c r="E277" t="s">
        <v>70</v>
      </c>
      <c r="F277" t="s">
        <v>71</v>
      </c>
      <c r="G277">
        <v>0</v>
      </c>
      <c r="H277">
        <v>2E+20</v>
      </c>
      <c r="I277">
        <v>0</v>
      </c>
      <c r="J277">
        <v>0</v>
      </c>
      <c r="K277">
        <v>5</v>
      </c>
      <c r="L277" s="5" t="str">
        <f>DiscreteStatsTable[[#This Row],[ProjectName]]&amp;DiscreteStatsTable[[#This Row],[Name]]&amp;DiscreteStatsTable[[#This Row],[Type]]&amp;DiscreteStatsTable[[#This Row],[Source]]</f>
        <v>Unnamed Projectmanualnaciona.QueueWaiting TimeQueue</v>
      </c>
      <c r="M277" s="5" cm="1">
        <f t="array" ref="M277">MAX(IF((ProjectInfoTable[ProjectName]=DiscreteStatsTable[[#This Row],[ProjectName]]),(ProjectInfoTable[ProjectName]=DiscreteStatsTable[[#This Row],[ProjectName]])*ProjectInfoTable[NumberOfReplications]))</f>
        <v>10</v>
      </c>
      <c r="N277" s="5" cm="1">
        <f t="array" ref="N277">IFERROR(AVERAGE(IF((DiscreteStatsTable[GroupByKey]=DiscreteStatsTable[[#This Row],[GroupByKey]]),(DiscreteStatsTable[GroupByKey]=DiscreteStatsTable[[#This Row],[GroupByKey]])*DiscreteStatsTable[Average])),0)</f>
        <v>0.13353088580878619</v>
      </c>
      <c r="O277" s="5" cm="1">
        <f t="array" ref="O277">IFERROR(_xlfn.STDEV.S(IF((DiscreteStatsTable[GroupByKey]=DiscreteStatsTable[[#This Row],[GroupByKey]]),(DiscreteStatsTable[GroupByKey]=DiscreteStatsTable[[#This Row],[GroupByKey]])*DiscreteStatsTable[Average])),0)</f>
        <v>0.38480601475423104</v>
      </c>
      <c r="P277" s="5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 s="5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0.27527364011348865</v>
      </c>
      <c r="R277" s="5" cm="1">
        <f t="array" ref="R277">MIN(IF((DiscreteStatsTable[GroupByKey]=DiscreteStatsTable[[#This Row],[GroupByKey]]),(DiscreteStatsTable[GroupByKey]=DiscreteStatsTable[[#This Row],[GroupByKey]])*DiscreteStatsTable[Average]))</f>
        <v>0</v>
      </c>
      <c r="S277" s="5" cm="1">
        <f t="array" ref="S277">MAX(IF((DiscreteStatsTable[GroupByKey]=DiscreteStatsTable[[#This Row],[GroupByKey]]),(DiscreteStatsTable[GroupByKey]=DiscreteStatsTable[[#This Row],[GroupByKey]])*DiscreteStatsTable[Average]))</f>
        <v>1.22682576767282</v>
      </c>
      <c r="T277" s="5" cm="1">
        <f t="array" ref="T277">MIN(IF((DiscreteStatsTable[GroupByKey]=DiscreteStatsTable[[#This Row],[GroupByKey]]),(DiscreteStatsTable[GroupByKey]=DiscreteStatsTable[[#This Row],[GroupByKey]])*DiscreteStatsTable[Minimum]))</f>
        <v>0</v>
      </c>
      <c r="U277" s="5" cm="1">
        <f t="array" ref="U277">MAX(IF((DiscreteStatsTable[GroupByKey]=DiscreteStatsTable[[#This Row],[GroupByKey]]),(DiscreteStatsTable[GroupByKey]=DiscreteStatsTable[[#This Row],[GroupByKey]])*DiscreteStatsTable[Maximum]))</f>
        <v>6.3562688714400801</v>
      </c>
      <c r="V277" s="5" cm="1">
        <f t="array" ref="V277">IFERROR(AVERAGE(IF((DiscreteStatsTable[GroupByKey]=DiscreteStatsTable[[#This Row],[GroupByKey]]),(DiscreteStatsTable[GroupByKey]=DiscreteStatsTable[[#This Row],[GroupByKey]])*DiscreteStatsTable[NumberObservations])),0)</f>
        <v>7.6</v>
      </c>
      <c r="W277" s="5">
        <f>IF((DiscreteStatsTable[[#This Row],[RepsRequested]]&gt;1),DiscreteStatsTable[[#This Row],[HalfWidth]],DiscreteStatsTable[[#This Row],[BatchMeansHalfWidth]])</f>
        <v>0.27527364011348865</v>
      </c>
      <c r="X277" s="5" cm="1">
        <f t="array" ref="X277">COUNT(IF((DiscreteStatsTable[GroupByKey]=DiscreteStatsTable[[#This Row],[GroupByKey]]),(DiscreteStatsTable[GroupByKey]=DiscreteStatsTable[[#This Row],[GroupByKey]])*DiscreteStatsTable[Replication]))</f>
        <v>10</v>
      </c>
      <c r="Y277" s="5">
        <f>IF(DiscreteStatsTable[[#This Row],[RepsRequested]]=DiscreteStatsTable[[#This Row],[RepsWithStatObserved]],1,0)</f>
        <v>1</v>
      </c>
    </row>
    <row r="278" spans="1:25" x14ac:dyDescent="0.3">
      <c r="A278" t="s">
        <v>66</v>
      </c>
      <c r="B278" t="s">
        <v>68</v>
      </c>
      <c r="C278">
        <v>7</v>
      </c>
      <c r="D278" t="s">
        <v>94</v>
      </c>
      <c r="E278" t="s">
        <v>70</v>
      </c>
      <c r="F278" t="s">
        <v>71</v>
      </c>
      <c r="G278">
        <v>1.22682576767282</v>
      </c>
      <c r="H278">
        <v>2E+20</v>
      </c>
      <c r="I278">
        <v>0</v>
      </c>
      <c r="J278">
        <v>6.3562688714400801</v>
      </c>
      <c r="K278">
        <v>10</v>
      </c>
      <c r="L278" s="5" t="str">
        <f>DiscreteStatsTable[[#This Row],[ProjectName]]&amp;DiscreteStatsTable[[#This Row],[Name]]&amp;DiscreteStatsTable[[#This Row],[Type]]&amp;DiscreteStatsTable[[#This Row],[Source]]</f>
        <v>Unnamed Projectmanualnaciona.QueueWaiting TimeQueue</v>
      </c>
      <c r="M278" s="5" cm="1">
        <f t="array" ref="M278">MAX(IF((ProjectInfoTable[ProjectName]=DiscreteStatsTable[[#This Row],[ProjectName]]),(ProjectInfoTable[ProjectName]=DiscreteStatsTable[[#This Row],[ProjectName]])*ProjectInfoTable[NumberOfReplications]))</f>
        <v>10</v>
      </c>
      <c r="N278" s="5" cm="1">
        <f t="array" ref="N278">IFERROR(AVERAGE(IF((DiscreteStatsTable[GroupByKey]=DiscreteStatsTable[[#This Row],[GroupByKey]]),(DiscreteStatsTable[GroupByKey]=DiscreteStatsTable[[#This Row],[GroupByKey]])*DiscreteStatsTable[Average])),0)</f>
        <v>0.13353088580878619</v>
      </c>
      <c r="O278" s="5" cm="1">
        <f t="array" ref="O278">IFERROR(_xlfn.STDEV.S(IF((DiscreteStatsTable[GroupByKey]=DiscreteStatsTable[[#This Row],[GroupByKey]]),(DiscreteStatsTable[GroupByKey]=DiscreteStatsTable[[#This Row],[GroupByKey]])*DiscreteStatsTable[Average])),0)</f>
        <v>0.38480601475423104</v>
      </c>
      <c r="P278" s="5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 s="5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0.27527364011348865</v>
      </c>
      <c r="R278" s="5" cm="1">
        <f t="array" ref="R278">MIN(IF((DiscreteStatsTable[GroupByKey]=DiscreteStatsTable[[#This Row],[GroupByKey]]),(DiscreteStatsTable[GroupByKey]=DiscreteStatsTable[[#This Row],[GroupByKey]])*DiscreteStatsTable[Average]))</f>
        <v>0</v>
      </c>
      <c r="S278" s="5" cm="1">
        <f t="array" ref="S278">MAX(IF((DiscreteStatsTable[GroupByKey]=DiscreteStatsTable[[#This Row],[GroupByKey]]),(DiscreteStatsTable[GroupByKey]=DiscreteStatsTable[[#This Row],[GroupByKey]])*DiscreteStatsTable[Average]))</f>
        <v>1.22682576767282</v>
      </c>
      <c r="T278" s="5" cm="1">
        <f t="array" ref="T278">MIN(IF((DiscreteStatsTable[GroupByKey]=DiscreteStatsTable[[#This Row],[GroupByKey]]),(DiscreteStatsTable[GroupByKey]=DiscreteStatsTable[[#This Row],[GroupByKey]])*DiscreteStatsTable[Minimum]))</f>
        <v>0</v>
      </c>
      <c r="U278" s="5" cm="1">
        <f t="array" ref="U278">MAX(IF((DiscreteStatsTable[GroupByKey]=DiscreteStatsTable[[#This Row],[GroupByKey]]),(DiscreteStatsTable[GroupByKey]=DiscreteStatsTable[[#This Row],[GroupByKey]])*DiscreteStatsTable[Maximum]))</f>
        <v>6.3562688714400801</v>
      </c>
      <c r="V278" s="5" cm="1">
        <f t="array" ref="V278">IFERROR(AVERAGE(IF((DiscreteStatsTable[GroupByKey]=DiscreteStatsTable[[#This Row],[GroupByKey]]),(DiscreteStatsTable[GroupByKey]=DiscreteStatsTable[[#This Row],[GroupByKey]])*DiscreteStatsTable[NumberObservations])),0)</f>
        <v>7.6</v>
      </c>
      <c r="W278" s="5">
        <f>IF((DiscreteStatsTable[[#This Row],[RepsRequested]]&gt;1),DiscreteStatsTable[[#This Row],[HalfWidth]],DiscreteStatsTable[[#This Row],[BatchMeansHalfWidth]])</f>
        <v>0.27527364011348865</v>
      </c>
      <c r="X278" s="5" cm="1">
        <f t="array" ref="X278">COUNT(IF((DiscreteStatsTable[GroupByKey]=DiscreteStatsTable[[#This Row],[GroupByKey]]),(DiscreteStatsTable[GroupByKey]=DiscreteStatsTable[[#This Row],[GroupByKey]])*DiscreteStatsTable[Replication]))</f>
        <v>10</v>
      </c>
      <c r="Y278" s="5">
        <f>IF(DiscreteStatsTable[[#This Row],[RepsRequested]]=DiscreteStatsTable[[#This Row],[RepsWithStatObserved]],1,0)</f>
        <v>1</v>
      </c>
    </row>
    <row r="279" spans="1:25" x14ac:dyDescent="0.3">
      <c r="A279" t="s">
        <v>66</v>
      </c>
      <c r="B279" t="s">
        <v>68</v>
      </c>
      <c r="C279">
        <v>8</v>
      </c>
      <c r="D279" t="s">
        <v>94</v>
      </c>
      <c r="E279" t="s">
        <v>70</v>
      </c>
      <c r="F279" t="s">
        <v>71</v>
      </c>
      <c r="G279">
        <v>0</v>
      </c>
      <c r="H279">
        <v>2E+20</v>
      </c>
      <c r="I279">
        <v>0</v>
      </c>
      <c r="J279">
        <v>0</v>
      </c>
      <c r="K279">
        <v>4</v>
      </c>
      <c r="L279" s="5" t="str">
        <f>DiscreteStatsTable[[#This Row],[ProjectName]]&amp;DiscreteStatsTable[[#This Row],[Name]]&amp;DiscreteStatsTable[[#This Row],[Type]]&amp;DiscreteStatsTable[[#This Row],[Source]]</f>
        <v>Unnamed Projectmanualnaciona.QueueWaiting TimeQueue</v>
      </c>
      <c r="M279" s="5" cm="1">
        <f t="array" ref="M279">MAX(IF((ProjectInfoTable[ProjectName]=DiscreteStatsTable[[#This Row],[ProjectName]]),(ProjectInfoTable[ProjectName]=DiscreteStatsTable[[#This Row],[ProjectName]])*ProjectInfoTable[NumberOfReplications]))</f>
        <v>10</v>
      </c>
      <c r="N279" s="5" cm="1">
        <f t="array" ref="N279">IFERROR(AVERAGE(IF((DiscreteStatsTable[GroupByKey]=DiscreteStatsTable[[#This Row],[GroupByKey]]),(DiscreteStatsTable[GroupByKey]=DiscreteStatsTable[[#This Row],[GroupByKey]])*DiscreteStatsTable[Average])),0)</f>
        <v>0.13353088580878619</v>
      </c>
      <c r="O279" s="5" cm="1">
        <f t="array" ref="O279">IFERROR(_xlfn.STDEV.S(IF((DiscreteStatsTable[GroupByKey]=DiscreteStatsTable[[#This Row],[GroupByKey]]),(DiscreteStatsTable[GroupByKey]=DiscreteStatsTable[[#This Row],[GroupByKey]])*DiscreteStatsTable[Average])),0)</f>
        <v>0.38480601475423104</v>
      </c>
      <c r="P279" s="5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 s="5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0.27527364011348865</v>
      </c>
      <c r="R279" s="5" cm="1">
        <f t="array" ref="R279">MIN(IF((DiscreteStatsTable[GroupByKey]=DiscreteStatsTable[[#This Row],[GroupByKey]]),(DiscreteStatsTable[GroupByKey]=DiscreteStatsTable[[#This Row],[GroupByKey]])*DiscreteStatsTable[Average]))</f>
        <v>0</v>
      </c>
      <c r="S279" s="5" cm="1">
        <f t="array" ref="S279">MAX(IF((DiscreteStatsTable[GroupByKey]=DiscreteStatsTable[[#This Row],[GroupByKey]]),(DiscreteStatsTable[GroupByKey]=DiscreteStatsTable[[#This Row],[GroupByKey]])*DiscreteStatsTable[Average]))</f>
        <v>1.22682576767282</v>
      </c>
      <c r="T279" s="5" cm="1">
        <f t="array" ref="T279">MIN(IF((DiscreteStatsTable[GroupByKey]=DiscreteStatsTable[[#This Row],[GroupByKey]]),(DiscreteStatsTable[GroupByKey]=DiscreteStatsTable[[#This Row],[GroupByKey]])*DiscreteStatsTable[Minimum]))</f>
        <v>0</v>
      </c>
      <c r="U279" s="5" cm="1">
        <f t="array" ref="U279">MAX(IF((DiscreteStatsTable[GroupByKey]=DiscreteStatsTable[[#This Row],[GroupByKey]]),(DiscreteStatsTable[GroupByKey]=DiscreteStatsTable[[#This Row],[GroupByKey]])*DiscreteStatsTable[Maximum]))</f>
        <v>6.3562688714400801</v>
      </c>
      <c r="V279" s="5" cm="1">
        <f t="array" ref="V279">IFERROR(AVERAGE(IF((DiscreteStatsTable[GroupByKey]=DiscreteStatsTable[[#This Row],[GroupByKey]]),(DiscreteStatsTable[GroupByKey]=DiscreteStatsTable[[#This Row],[GroupByKey]])*DiscreteStatsTable[NumberObservations])),0)</f>
        <v>7.6</v>
      </c>
      <c r="W279" s="5">
        <f>IF((DiscreteStatsTable[[#This Row],[RepsRequested]]&gt;1),DiscreteStatsTable[[#This Row],[HalfWidth]],DiscreteStatsTable[[#This Row],[BatchMeansHalfWidth]])</f>
        <v>0.27527364011348865</v>
      </c>
      <c r="X279" s="5" cm="1">
        <f t="array" ref="X279">COUNT(IF((DiscreteStatsTable[GroupByKey]=DiscreteStatsTable[[#This Row],[GroupByKey]]),(DiscreteStatsTable[GroupByKey]=DiscreteStatsTable[[#This Row],[GroupByKey]])*DiscreteStatsTable[Replication]))</f>
        <v>10</v>
      </c>
      <c r="Y279" s="5">
        <f>IF(DiscreteStatsTable[[#This Row],[RepsRequested]]=DiscreteStatsTable[[#This Row],[RepsWithStatObserved]],1,0)</f>
        <v>1</v>
      </c>
    </row>
    <row r="280" spans="1:25" x14ac:dyDescent="0.3">
      <c r="A280" t="s">
        <v>66</v>
      </c>
      <c r="B280" t="s">
        <v>68</v>
      </c>
      <c r="C280">
        <v>9</v>
      </c>
      <c r="D280" t="s">
        <v>94</v>
      </c>
      <c r="E280" t="s">
        <v>70</v>
      </c>
      <c r="F280" t="s">
        <v>71</v>
      </c>
      <c r="G280">
        <v>5.4588596420517901E-2</v>
      </c>
      <c r="H280">
        <v>2E+20</v>
      </c>
      <c r="I280">
        <v>0</v>
      </c>
      <c r="J280">
        <v>0.65506315704621398</v>
      </c>
      <c r="K280">
        <v>12</v>
      </c>
      <c r="L280" s="5" t="str">
        <f>DiscreteStatsTable[[#This Row],[ProjectName]]&amp;DiscreteStatsTable[[#This Row],[Name]]&amp;DiscreteStatsTable[[#This Row],[Type]]&amp;DiscreteStatsTable[[#This Row],[Source]]</f>
        <v>Unnamed Projectmanualnaciona.QueueWaiting TimeQueue</v>
      </c>
      <c r="M280" s="5" cm="1">
        <f t="array" ref="M280">MAX(IF((ProjectInfoTable[ProjectName]=DiscreteStatsTable[[#This Row],[ProjectName]]),(ProjectInfoTable[ProjectName]=DiscreteStatsTable[[#This Row],[ProjectName]])*ProjectInfoTable[NumberOfReplications]))</f>
        <v>10</v>
      </c>
      <c r="N280" s="5" cm="1">
        <f t="array" ref="N280">IFERROR(AVERAGE(IF((DiscreteStatsTable[GroupByKey]=DiscreteStatsTable[[#This Row],[GroupByKey]]),(DiscreteStatsTable[GroupByKey]=DiscreteStatsTable[[#This Row],[GroupByKey]])*DiscreteStatsTable[Average])),0)</f>
        <v>0.13353088580878619</v>
      </c>
      <c r="O280" s="5" cm="1">
        <f t="array" ref="O280">IFERROR(_xlfn.STDEV.S(IF((DiscreteStatsTable[GroupByKey]=DiscreteStatsTable[[#This Row],[GroupByKey]]),(DiscreteStatsTable[GroupByKey]=DiscreteStatsTable[[#This Row],[GroupByKey]])*DiscreteStatsTable[Average])),0)</f>
        <v>0.38480601475423104</v>
      </c>
      <c r="P280" s="5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 s="5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0.27527364011348865</v>
      </c>
      <c r="R280" s="5" cm="1">
        <f t="array" ref="R280">MIN(IF((DiscreteStatsTable[GroupByKey]=DiscreteStatsTable[[#This Row],[GroupByKey]]),(DiscreteStatsTable[GroupByKey]=DiscreteStatsTable[[#This Row],[GroupByKey]])*DiscreteStatsTable[Average]))</f>
        <v>0</v>
      </c>
      <c r="S280" s="5" cm="1">
        <f t="array" ref="S280">MAX(IF((DiscreteStatsTable[GroupByKey]=DiscreteStatsTable[[#This Row],[GroupByKey]]),(DiscreteStatsTable[GroupByKey]=DiscreteStatsTable[[#This Row],[GroupByKey]])*DiscreteStatsTable[Average]))</f>
        <v>1.22682576767282</v>
      </c>
      <c r="T280" s="5" cm="1">
        <f t="array" ref="T280">MIN(IF((DiscreteStatsTable[GroupByKey]=DiscreteStatsTable[[#This Row],[GroupByKey]]),(DiscreteStatsTable[GroupByKey]=DiscreteStatsTable[[#This Row],[GroupByKey]])*DiscreteStatsTable[Minimum]))</f>
        <v>0</v>
      </c>
      <c r="U280" s="5" cm="1">
        <f t="array" ref="U280">MAX(IF((DiscreteStatsTable[GroupByKey]=DiscreteStatsTable[[#This Row],[GroupByKey]]),(DiscreteStatsTable[GroupByKey]=DiscreteStatsTable[[#This Row],[GroupByKey]])*DiscreteStatsTable[Maximum]))</f>
        <v>6.3562688714400801</v>
      </c>
      <c r="V280" s="5" cm="1">
        <f t="array" ref="V280">IFERROR(AVERAGE(IF((DiscreteStatsTable[GroupByKey]=DiscreteStatsTable[[#This Row],[GroupByKey]]),(DiscreteStatsTable[GroupByKey]=DiscreteStatsTable[[#This Row],[GroupByKey]])*DiscreteStatsTable[NumberObservations])),0)</f>
        <v>7.6</v>
      </c>
      <c r="W280" s="5">
        <f>IF((DiscreteStatsTable[[#This Row],[RepsRequested]]&gt;1),DiscreteStatsTable[[#This Row],[HalfWidth]],DiscreteStatsTable[[#This Row],[BatchMeansHalfWidth]])</f>
        <v>0.27527364011348865</v>
      </c>
      <c r="X280" s="5" cm="1">
        <f t="array" ref="X280">COUNT(IF((DiscreteStatsTable[GroupByKey]=DiscreteStatsTable[[#This Row],[GroupByKey]]),(DiscreteStatsTable[GroupByKey]=DiscreteStatsTable[[#This Row],[GroupByKey]])*DiscreteStatsTable[Replication]))</f>
        <v>10</v>
      </c>
      <c r="Y280" s="5">
        <f>IF(DiscreteStatsTable[[#This Row],[RepsRequested]]=DiscreteStatsTable[[#This Row],[RepsWithStatObserved]],1,0)</f>
        <v>1</v>
      </c>
    </row>
    <row r="281" spans="1:25" x14ac:dyDescent="0.3">
      <c r="A281" t="s">
        <v>66</v>
      </c>
      <c r="B281" t="s">
        <v>68</v>
      </c>
      <c r="C281">
        <v>10</v>
      </c>
      <c r="D281" t="s">
        <v>94</v>
      </c>
      <c r="E281" t="s">
        <v>70</v>
      </c>
      <c r="F281" t="s">
        <v>71</v>
      </c>
      <c r="G281">
        <v>0</v>
      </c>
      <c r="H281">
        <v>2E+20</v>
      </c>
      <c r="I281">
        <v>0</v>
      </c>
      <c r="J281">
        <v>0</v>
      </c>
      <c r="K281">
        <v>6</v>
      </c>
      <c r="L281" s="5" t="str">
        <f>DiscreteStatsTable[[#This Row],[ProjectName]]&amp;DiscreteStatsTable[[#This Row],[Name]]&amp;DiscreteStatsTable[[#This Row],[Type]]&amp;DiscreteStatsTable[[#This Row],[Source]]</f>
        <v>Unnamed Projectmanualnaciona.QueueWaiting TimeQueue</v>
      </c>
      <c r="M281" s="5" cm="1">
        <f t="array" ref="M281">MAX(IF((ProjectInfoTable[ProjectName]=DiscreteStatsTable[[#This Row],[ProjectName]]),(ProjectInfoTable[ProjectName]=DiscreteStatsTable[[#This Row],[ProjectName]])*ProjectInfoTable[NumberOfReplications]))</f>
        <v>10</v>
      </c>
      <c r="N281" s="5" cm="1">
        <f t="array" ref="N281">IFERROR(AVERAGE(IF((DiscreteStatsTable[GroupByKey]=DiscreteStatsTable[[#This Row],[GroupByKey]]),(DiscreteStatsTable[GroupByKey]=DiscreteStatsTable[[#This Row],[GroupByKey]])*DiscreteStatsTable[Average])),0)</f>
        <v>0.13353088580878619</v>
      </c>
      <c r="O281" s="5" cm="1">
        <f t="array" ref="O281">IFERROR(_xlfn.STDEV.S(IF((DiscreteStatsTable[GroupByKey]=DiscreteStatsTable[[#This Row],[GroupByKey]]),(DiscreteStatsTable[GroupByKey]=DiscreteStatsTable[[#This Row],[GroupByKey]])*DiscreteStatsTable[Average])),0)</f>
        <v>0.38480601475423104</v>
      </c>
      <c r="P281" s="5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 s="5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0.27527364011348865</v>
      </c>
      <c r="R281" s="5" cm="1">
        <f t="array" ref="R281">MIN(IF((DiscreteStatsTable[GroupByKey]=DiscreteStatsTable[[#This Row],[GroupByKey]]),(DiscreteStatsTable[GroupByKey]=DiscreteStatsTable[[#This Row],[GroupByKey]])*DiscreteStatsTable[Average]))</f>
        <v>0</v>
      </c>
      <c r="S281" s="5" cm="1">
        <f t="array" ref="S281">MAX(IF((DiscreteStatsTable[GroupByKey]=DiscreteStatsTable[[#This Row],[GroupByKey]]),(DiscreteStatsTable[GroupByKey]=DiscreteStatsTable[[#This Row],[GroupByKey]])*DiscreteStatsTable[Average]))</f>
        <v>1.22682576767282</v>
      </c>
      <c r="T281" s="5" cm="1">
        <f t="array" ref="T281">MIN(IF((DiscreteStatsTable[GroupByKey]=DiscreteStatsTable[[#This Row],[GroupByKey]]),(DiscreteStatsTable[GroupByKey]=DiscreteStatsTable[[#This Row],[GroupByKey]])*DiscreteStatsTable[Minimum]))</f>
        <v>0</v>
      </c>
      <c r="U281" s="5" cm="1">
        <f t="array" ref="U281">MAX(IF((DiscreteStatsTable[GroupByKey]=DiscreteStatsTable[[#This Row],[GroupByKey]]),(DiscreteStatsTable[GroupByKey]=DiscreteStatsTable[[#This Row],[GroupByKey]])*DiscreteStatsTable[Maximum]))</f>
        <v>6.3562688714400801</v>
      </c>
      <c r="V281" s="5" cm="1">
        <f t="array" ref="V281">IFERROR(AVERAGE(IF((DiscreteStatsTable[GroupByKey]=DiscreteStatsTable[[#This Row],[GroupByKey]]),(DiscreteStatsTable[GroupByKey]=DiscreteStatsTable[[#This Row],[GroupByKey]])*DiscreteStatsTable[NumberObservations])),0)</f>
        <v>7.6</v>
      </c>
      <c r="W281" s="5">
        <f>IF((DiscreteStatsTable[[#This Row],[RepsRequested]]&gt;1),DiscreteStatsTable[[#This Row],[HalfWidth]],DiscreteStatsTable[[#This Row],[BatchMeansHalfWidth]])</f>
        <v>0.27527364011348865</v>
      </c>
      <c r="X281" s="5" cm="1">
        <f t="array" ref="X281">COUNT(IF((DiscreteStatsTable[GroupByKey]=DiscreteStatsTable[[#This Row],[GroupByKey]]),(DiscreteStatsTable[GroupByKey]=DiscreteStatsTable[[#This Row],[GroupByKey]])*DiscreteStatsTable[Replication]))</f>
        <v>10</v>
      </c>
      <c r="Y281" s="5">
        <f>IF(DiscreteStatsTable[[#This Row],[RepsRequested]]=DiscreteStatsTable[[#This Row],[RepsWithStatObserved]],1,0)</f>
        <v>1</v>
      </c>
    </row>
    <row r="282" spans="1:25" x14ac:dyDescent="0.3">
      <c r="A282" t="s">
        <v>66</v>
      </c>
      <c r="B282" t="s">
        <v>68</v>
      </c>
      <c r="C282">
        <v>1</v>
      </c>
      <c r="D282" t="s">
        <v>95</v>
      </c>
      <c r="E282" t="s">
        <v>70</v>
      </c>
      <c r="F282" t="s">
        <v>71</v>
      </c>
      <c r="G282">
        <v>5.5253802839661796</v>
      </c>
      <c r="H282">
        <v>2E+20</v>
      </c>
      <c r="I282">
        <v>0</v>
      </c>
      <c r="J282">
        <v>24.300961705830101</v>
      </c>
      <c r="K282">
        <v>230</v>
      </c>
      <c r="L282" s="5" t="str">
        <f>DiscreteStatsTable[[#This Row],[ProjectName]]&amp;DiscreteStatsTable[[#This Row],[Name]]&amp;DiscreteStatsTable[[#This Row],[Type]]&amp;DiscreteStatsTable[[#This Row],[Source]]</f>
        <v>Unnamed Projectmaquinainter.QueueWaiting TimeQueue</v>
      </c>
      <c r="M282" s="5" cm="1">
        <f t="array" ref="M282">MAX(IF((ProjectInfoTable[ProjectName]=DiscreteStatsTable[[#This Row],[ProjectName]]),(ProjectInfoTable[ProjectName]=DiscreteStatsTable[[#This Row],[ProjectName]])*ProjectInfoTable[NumberOfReplications]))</f>
        <v>10</v>
      </c>
      <c r="N282" s="5" cm="1">
        <f t="array" ref="N282">IFERROR(AVERAGE(IF((DiscreteStatsTable[GroupByKey]=DiscreteStatsTable[[#This Row],[GroupByKey]]),(DiscreteStatsTable[GroupByKey]=DiscreteStatsTable[[#This Row],[GroupByKey]])*DiscreteStatsTable[Average])),0)</f>
        <v>6.8041660941550974</v>
      </c>
      <c r="O282" s="5" cm="1">
        <f t="array" ref="O282">IFERROR(_xlfn.STDEV.S(IF((DiscreteStatsTable[GroupByKey]=DiscreteStatsTable[[#This Row],[GroupByKey]]),(DiscreteStatsTable[GroupByKey]=DiscreteStatsTable[[#This Row],[GroupByKey]])*DiscreteStatsTable[Average])),0)</f>
        <v>2.5888060068808318</v>
      </c>
      <c r="P282" s="5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 s="5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1.8519202552405429</v>
      </c>
      <c r="R282" s="5" cm="1">
        <f t="array" ref="R282">MIN(IF((DiscreteStatsTable[GroupByKey]=DiscreteStatsTable[[#This Row],[GroupByKey]]),(DiscreteStatsTable[GroupByKey]=DiscreteStatsTable[[#This Row],[GroupByKey]])*DiscreteStatsTable[Average]))</f>
        <v>3.9788744982611002</v>
      </c>
      <c r="S282" s="5" cm="1">
        <f t="array" ref="S282">MAX(IF((DiscreteStatsTable[GroupByKey]=DiscreteStatsTable[[#This Row],[GroupByKey]]),(DiscreteStatsTable[GroupByKey]=DiscreteStatsTable[[#This Row],[GroupByKey]])*DiscreteStatsTable[Average]))</f>
        <v>12.032353435961801</v>
      </c>
      <c r="T282" s="5" cm="1">
        <f t="array" ref="T282">MIN(IF((DiscreteStatsTable[GroupByKey]=DiscreteStatsTable[[#This Row],[GroupByKey]]),(DiscreteStatsTable[GroupByKey]=DiscreteStatsTable[[#This Row],[GroupByKey]])*DiscreteStatsTable[Minimum]))</f>
        <v>0</v>
      </c>
      <c r="U282" s="5" cm="1">
        <f t="array" ref="U282">MAX(IF((DiscreteStatsTable[GroupByKey]=DiscreteStatsTable[[#This Row],[GroupByKey]]),(DiscreteStatsTable[GroupByKey]=DiscreteStatsTable[[#This Row],[GroupByKey]])*DiscreteStatsTable[Maximum]))</f>
        <v>36.036638692237297</v>
      </c>
      <c r="V282" s="5" cm="1">
        <f t="array" ref="V282">IFERROR(AVERAGE(IF((DiscreteStatsTable[GroupByKey]=DiscreteStatsTable[[#This Row],[GroupByKey]]),(DiscreteStatsTable[GroupByKey]=DiscreteStatsTable[[#This Row],[GroupByKey]])*DiscreteStatsTable[NumberObservations])),0)</f>
        <v>231.5</v>
      </c>
      <c r="W282" s="5">
        <f>IF((DiscreteStatsTable[[#This Row],[RepsRequested]]&gt;1),DiscreteStatsTable[[#This Row],[HalfWidth]],DiscreteStatsTable[[#This Row],[BatchMeansHalfWidth]])</f>
        <v>1.8519202552405429</v>
      </c>
      <c r="X282" s="5" cm="1">
        <f t="array" ref="X282">COUNT(IF((DiscreteStatsTable[GroupByKey]=DiscreteStatsTable[[#This Row],[GroupByKey]]),(DiscreteStatsTable[GroupByKey]=DiscreteStatsTable[[#This Row],[GroupByKey]])*DiscreteStatsTable[Replication]))</f>
        <v>10</v>
      </c>
      <c r="Y282" s="5">
        <f>IF(DiscreteStatsTable[[#This Row],[RepsRequested]]=DiscreteStatsTable[[#This Row],[RepsWithStatObserved]],1,0)</f>
        <v>1</v>
      </c>
    </row>
    <row r="283" spans="1:25" x14ac:dyDescent="0.3">
      <c r="A283" t="s">
        <v>66</v>
      </c>
      <c r="B283" t="s">
        <v>68</v>
      </c>
      <c r="C283">
        <v>2</v>
      </c>
      <c r="D283" t="s">
        <v>95</v>
      </c>
      <c r="E283" t="s">
        <v>70</v>
      </c>
      <c r="F283" t="s">
        <v>71</v>
      </c>
      <c r="G283">
        <v>5.6777322311664999</v>
      </c>
      <c r="H283">
        <v>2E+20</v>
      </c>
      <c r="I283">
        <v>0</v>
      </c>
      <c r="J283">
        <v>22.0810918508745</v>
      </c>
      <c r="K283">
        <v>219</v>
      </c>
      <c r="L283" s="5" t="str">
        <f>DiscreteStatsTable[[#This Row],[ProjectName]]&amp;DiscreteStatsTable[[#This Row],[Name]]&amp;DiscreteStatsTable[[#This Row],[Type]]&amp;DiscreteStatsTable[[#This Row],[Source]]</f>
        <v>Unnamed Projectmaquinainter.QueueWaiting TimeQueue</v>
      </c>
      <c r="M283" s="5" cm="1">
        <f t="array" ref="M283">MAX(IF((ProjectInfoTable[ProjectName]=DiscreteStatsTable[[#This Row],[ProjectName]]),(ProjectInfoTable[ProjectName]=DiscreteStatsTable[[#This Row],[ProjectName]])*ProjectInfoTable[NumberOfReplications]))</f>
        <v>10</v>
      </c>
      <c r="N283" s="5" cm="1">
        <f t="array" ref="N283">IFERROR(AVERAGE(IF((DiscreteStatsTable[GroupByKey]=DiscreteStatsTable[[#This Row],[GroupByKey]]),(DiscreteStatsTable[GroupByKey]=DiscreteStatsTable[[#This Row],[GroupByKey]])*DiscreteStatsTable[Average])),0)</f>
        <v>6.8041660941550974</v>
      </c>
      <c r="O283" s="5" cm="1">
        <f t="array" ref="O283">IFERROR(_xlfn.STDEV.S(IF((DiscreteStatsTable[GroupByKey]=DiscreteStatsTable[[#This Row],[GroupByKey]]),(DiscreteStatsTable[GroupByKey]=DiscreteStatsTable[[#This Row],[GroupByKey]])*DiscreteStatsTable[Average])),0)</f>
        <v>2.5888060068808318</v>
      </c>
      <c r="P283" s="5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 s="5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1.8519202552405429</v>
      </c>
      <c r="R283" s="5" cm="1">
        <f t="array" ref="R283">MIN(IF((DiscreteStatsTable[GroupByKey]=DiscreteStatsTable[[#This Row],[GroupByKey]]),(DiscreteStatsTable[GroupByKey]=DiscreteStatsTable[[#This Row],[GroupByKey]])*DiscreteStatsTable[Average]))</f>
        <v>3.9788744982611002</v>
      </c>
      <c r="S283" s="5" cm="1">
        <f t="array" ref="S283">MAX(IF((DiscreteStatsTable[GroupByKey]=DiscreteStatsTable[[#This Row],[GroupByKey]]),(DiscreteStatsTable[GroupByKey]=DiscreteStatsTable[[#This Row],[GroupByKey]])*DiscreteStatsTable[Average]))</f>
        <v>12.032353435961801</v>
      </c>
      <c r="T283" s="5" cm="1">
        <f t="array" ref="T283">MIN(IF((DiscreteStatsTable[GroupByKey]=DiscreteStatsTable[[#This Row],[GroupByKey]]),(DiscreteStatsTable[GroupByKey]=DiscreteStatsTable[[#This Row],[GroupByKey]])*DiscreteStatsTable[Minimum]))</f>
        <v>0</v>
      </c>
      <c r="U283" s="5" cm="1">
        <f t="array" ref="U283">MAX(IF((DiscreteStatsTable[GroupByKey]=DiscreteStatsTable[[#This Row],[GroupByKey]]),(DiscreteStatsTable[GroupByKey]=DiscreteStatsTable[[#This Row],[GroupByKey]])*DiscreteStatsTable[Maximum]))</f>
        <v>36.036638692237297</v>
      </c>
      <c r="V283" s="5" cm="1">
        <f t="array" ref="V283">IFERROR(AVERAGE(IF((DiscreteStatsTable[GroupByKey]=DiscreteStatsTable[[#This Row],[GroupByKey]]),(DiscreteStatsTable[GroupByKey]=DiscreteStatsTable[[#This Row],[GroupByKey]])*DiscreteStatsTable[NumberObservations])),0)</f>
        <v>231.5</v>
      </c>
      <c r="W283" s="5">
        <f>IF((DiscreteStatsTable[[#This Row],[RepsRequested]]&gt;1),DiscreteStatsTable[[#This Row],[HalfWidth]],DiscreteStatsTable[[#This Row],[BatchMeansHalfWidth]])</f>
        <v>1.8519202552405429</v>
      </c>
      <c r="X283" s="5" cm="1">
        <f t="array" ref="X283">COUNT(IF((DiscreteStatsTable[GroupByKey]=DiscreteStatsTable[[#This Row],[GroupByKey]]),(DiscreteStatsTable[GroupByKey]=DiscreteStatsTable[[#This Row],[GroupByKey]])*DiscreteStatsTable[Replication]))</f>
        <v>10</v>
      </c>
      <c r="Y283" s="5">
        <f>IF(DiscreteStatsTable[[#This Row],[RepsRequested]]=DiscreteStatsTable[[#This Row],[RepsWithStatObserved]],1,0)</f>
        <v>1</v>
      </c>
    </row>
    <row r="284" spans="1:25" x14ac:dyDescent="0.3">
      <c r="A284" t="s">
        <v>66</v>
      </c>
      <c r="B284" t="s">
        <v>68</v>
      </c>
      <c r="C284">
        <v>3</v>
      </c>
      <c r="D284" t="s">
        <v>95</v>
      </c>
      <c r="E284" t="s">
        <v>70</v>
      </c>
      <c r="F284" t="s">
        <v>71</v>
      </c>
      <c r="G284">
        <v>9.6070919503649606</v>
      </c>
      <c r="H284">
        <v>2E+20</v>
      </c>
      <c r="I284">
        <v>0</v>
      </c>
      <c r="J284">
        <v>32.067682786503298</v>
      </c>
      <c r="K284">
        <v>231</v>
      </c>
      <c r="L284" s="5" t="str">
        <f>DiscreteStatsTable[[#This Row],[ProjectName]]&amp;DiscreteStatsTable[[#This Row],[Name]]&amp;DiscreteStatsTable[[#This Row],[Type]]&amp;DiscreteStatsTable[[#This Row],[Source]]</f>
        <v>Unnamed Projectmaquinainter.QueueWaiting TimeQueue</v>
      </c>
      <c r="M284" s="5" cm="1">
        <f t="array" ref="M284">MAX(IF((ProjectInfoTable[ProjectName]=DiscreteStatsTable[[#This Row],[ProjectName]]),(ProjectInfoTable[ProjectName]=DiscreteStatsTable[[#This Row],[ProjectName]])*ProjectInfoTable[NumberOfReplications]))</f>
        <v>10</v>
      </c>
      <c r="N284" s="5" cm="1">
        <f t="array" ref="N284">IFERROR(AVERAGE(IF((DiscreteStatsTable[GroupByKey]=DiscreteStatsTable[[#This Row],[GroupByKey]]),(DiscreteStatsTable[GroupByKey]=DiscreteStatsTable[[#This Row],[GroupByKey]])*DiscreteStatsTable[Average])),0)</f>
        <v>6.8041660941550974</v>
      </c>
      <c r="O284" s="5" cm="1">
        <f t="array" ref="O284">IFERROR(_xlfn.STDEV.S(IF((DiscreteStatsTable[GroupByKey]=DiscreteStatsTable[[#This Row],[GroupByKey]]),(DiscreteStatsTable[GroupByKey]=DiscreteStatsTable[[#This Row],[GroupByKey]])*DiscreteStatsTable[Average])),0)</f>
        <v>2.5888060068808318</v>
      </c>
      <c r="P284" s="5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 s="5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1.8519202552405429</v>
      </c>
      <c r="R284" s="5" cm="1">
        <f t="array" ref="R284">MIN(IF((DiscreteStatsTable[GroupByKey]=DiscreteStatsTable[[#This Row],[GroupByKey]]),(DiscreteStatsTable[GroupByKey]=DiscreteStatsTable[[#This Row],[GroupByKey]])*DiscreteStatsTable[Average]))</f>
        <v>3.9788744982611002</v>
      </c>
      <c r="S284" s="5" cm="1">
        <f t="array" ref="S284">MAX(IF((DiscreteStatsTable[GroupByKey]=DiscreteStatsTable[[#This Row],[GroupByKey]]),(DiscreteStatsTable[GroupByKey]=DiscreteStatsTable[[#This Row],[GroupByKey]])*DiscreteStatsTable[Average]))</f>
        <v>12.032353435961801</v>
      </c>
      <c r="T284" s="5" cm="1">
        <f t="array" ref="T284">MIN(IF((DiscreteStatsTable[GroupByKey]=DiscreteStatsTable[[#This Row],[GroupByKey]]),(DiscreteStatsTable[GroupByKey]=DiscreteStatsTable[[#This Row],[GroupByKey]])*DiscreteStatsTable[Minimum]))</f>
        <v>0</v>
      </c>
      <c r="U284" s="5" cm="1">
        <f t="array" ref="U284">MAX(IF((DiscreteStatsTable[GroupByKey]=DiscreteStatsTable[[#This Row],[GroupByKey]]),(DiscreteStatsTable[GroupByKey]=DiscreteStatsTable[[#This Row],[GroupByKey]])*DiscreteStatsTable[Maximum]))</f>
        <v>36.036638692237297</v>
      </c>
      <c r="V284" s="5" cm="1">
        <f t="array" ref="V284">IFERROR(AVERAGE(IF((DiscreteStatsTable[GroupByKey]=DiscreteStatsTable[[#This Row],[GroupByKey]]),(DiscreteStatsTable[GroupByKey]=DiscreteStatsTable[[#This Row],[GroupByKey]])*DiscreteStatsTable[NumberObservations])),0)</f>
        <v>231.5</v>
      </c>
      <c r="W284" s="5">
        <f>IF((DiscreteStatsTable[[#This Row],[RepsRequested]]&gt;1),DiscreteStatsTable[[#This Row],[HalfWidth]],DiscreteStatsTable[[#This Row],[BatchMeansHalfWidth]])</f>
        <v>1.8519202552405429</v>
      </c>
      <c r="X284" s="5" cm="1">
        <f t="array" ref="X284">COUNT(IF((DiscreteStatsTable[GroupByKey]=DiscreteStatsTable[[#This Row],[GroupByKey]]),(DiscreteStatsTable[GroupByKey]=DiscreteStatsTable[[#This Row],[GroupByKey]])*DiscreteStatsTable[Replication]))</f>
        <v>10</v>
      </c>
      <c r="Y284" s="5">
        <f>IF(DiscreteStatsTable[[#This Row],[RepsRequested]]=DiscreteStatsTable[[#This Row],[RepsWithStatObserved]],1,0)</f>
        <v>1</v>
      </c>
    </row>
    <row r="285" spans="1:25" x14ac:dyDescent="0.3">
      <c r="A285" t="s">
        <v>66</v>
      </c>
      <c r="B285" t="s">
        <v>68</v>
      </c>
      <c r="C285">
        <v>4</v>
      </c>
      <c r="D285" t="s">
        <v>95</v>
      </c>
      <c r="E285" t="s">
        <v>70</v>
      </c>
      <c r="F285" t="s">
        <v>71</v>
      </c>
      <c r="G285">
        <v>9.3304600755607296</v>
      </c>
      <c r="H285">
        <v>2E+20</v>
      </c>
      <c r="I285">
        <v>0</v>
      </c>
      <c r="J285">
        <v>31.1269188402784</v>
      </c>
      <c r="K285">
        <v>264</v>
      </c>
      <c r="L285" s="5" t="str">
        <f>DiscreteStatsTable[[#This Row],[ProjectName]]&amp;DiscreteStatsTable[[#This Row],[Name]]&amp;DiscreteStatsTable[[#This Row],[Type]]&amp;DiscreteStatsTable[[#This Row],[Source]]</f>
        <v>Unnamed Projectmaquinainter.QueueWaiting TimeQueue</v>
      </c>
      <c r="M285" s="5" cm="1">
        <f t="array" ref="M285">MAX(IF((ProjectInfoTable[ProjectName]=DiscreteStatsTable[[#This Row],[ProjectName]]),(ProjectInfoTable[ProjectName]=DiscreteStatsTable[[#This Row],[ProjectName]])*ProjectInfoTable[NumberOfReplications]))</f>
        <v>10</v>
      </c>
      <c r="N285" s="5" cm="1">
        <f t="array" ref="N285">IFERROR(AVERAGE(IF((DiscreteStatsTable[GroupByKey]=DiscreteStatsTable[[#This Row],[GroupByKey]]),(DiscreteStatsTable[GroupByKey]=DiscreteStatsTable[[#This Row],[GroupByKey]])*DiscreteStatsTable[Average])),0)</f>
        <v>6.8041660941550974</v>
      </c>
      <c r="O285" s="5" cm="1">
        <f t="array" ref="O285">IFERROR(_xlfn.STDEV.S(IF((DiscreteStatsTable[GroupByKey]=DiscreteStatsTable[[#This Row],[GroupByKey]]),(DiscreteStatsTable[GroupByKey]=DiscreteStatsTable[[#This Row],[GroupByKey]])*DiscreteStatsTable[Average])),0)</f>
        <v>2.5888060068808318</v>
      </c>
      <c r="P285" s="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 s="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1.8519202552405429</v>
      </c>
      <c r="R285" s="5" cm="1">
        <f t="array" ref="R285">MIN(IF((DiscreteStatsTable[GroupByKey]=DiscreteStatsTable[[#This Row],[GroupByKey]]),(DiscreteStatsTable[GroupByKey]=DiscreteStatsTable[[#This Row],[GroupByKey]])*DiscreteStatsTable[Average]))</f>
        <v>3.9788744982611002</v>
      </c>
      <c r="S285" s="5" cm="1">
        <f t="array" ref="S285">MAX(IF((DiscreteStatsTable[GroupByKey]=DiscreteStatsTable[[#This Row],[GroupByKey]]),(DiscreteStatsTable[GroupByKey]=DiscreteStatsTable[[#This Row],[GroupByKey]])*DiscreteStatsTable[Average]))</f>
        <v>12.032353435961801</v>
      </c>
      <c r="T285" s="5" cm="1">
        <f t="array" ref="T285">MIN(IF((DiscreteStatsTable[GroupByKey]=DiscreteStatsTable[[#This Row],[GroupByKey]]),(DiscreteStatsTable[GroupByKey]=DiscreteStatsTable[[#This Row],[GroupByKey]])*DiscreteStatsTable[Minimum]))</f>
        <v>0</v>
      </c>
      <c r="U285" s="5" cm="1">
        <f t="array" ref="U285">MAX(IF((DiscreteStatsTable[GroupByKey]=DiscreteStatsTable[[#This Row],[GroupByKey]]),(DiscreteStatsTable[GroupByKey]=DiscreteStatsTable[[#This Row],[GroupByKey]])*DiscreteStatsTable[Maximum]))</f>
        <v>36.036638692237297</v>
      </c>
      <c r="V285" s="5" cm="1">
        <f t="array" ref="V285">IFERROR(AVERAGE(IF((DiscreteStatsTable[GroupByKey]=DiscreteStatsTable[[#This Row],[GroupByKey]]),(DiscreteStatsTable[GroupByKey]=DiscreteStatsTable[[#This Row],[GroupByKey]])*DiscreteStatsTable[NumberObservations])),0)</f>
        <v>231.5</v>
      </c>
      <c r="W285" s="5">
        <f>IF((DiscreteStatsTable[[#This Row],[RepsRequested]]&gt;1),DiscreteStatsTable[[#This Row],[HalfWidth]],DiscreteStatsTable[[#This Row],[BatchMeansHalfWidth]])</f>
        <v>1.8519202552405429</v>
      </c>
      <c r="X285" s="5" cm="1">
        <f t="array" ref="X285">COUNT(IF((DiscreteStatsTable[GroupByKey]=DiscreteStatsTable[[#This Row],[GroupByKey]]),(DiscreteStatsTable[GroupByKey]=DiscreteStatsTable[[#This Row],[GroupByKey]])*DiscreteStatsTable[Replication]))</f>
        <v>10</v>
      </c>
      <c r="Y285" s="5">
        <f>IF(DiscreteStatsTable[[#This Row],[RepsRequested]]=DiscreteStatsTable[[#This Row],[RepsWithStatObserved]],1,0)</f>
        <v>1</v>
      </c>
    </row>
    <row r="286" spans="1:25" x14ac:dyDescent="0.3">
      <c r="A286" t="s">
        <v>66</v>
      </c>
      <c r="B286" t="s">
        <v>68</v>
      </c>
      <c r="C286">
        <v>5</v>
      </c>
      <c r="D286" t="s">
        <v>95</v>
      </c>
      <c r="E286" t="s">
        <v>70</v>
      </c>
      <c r="F286" t="s">
        <v>71</v>
      </c>
      <c r="G286">
        <v>6.0676444859460901</v>
      </c>
      <c r="H286">
        <v>2E+20</v>
      </c>
      <c r="I286">
        <v>0</v>
      </c>
      <c r="J286">
        <v>21.7686868213524</v>
      </c>
      <c r="K286">
        <v>236</v>
      </c>
      <c r="L286" s="5" t="str">
        <f>DiscreteStatsTable[[#This Row],[ProjectName]]&amp;DiscreteStatsTable[[#This Row],[Name]]&amp;DiscreteStatsTable[[#This Row],[Type]]&amp;DiscreteStatsTable[[#This Row],[Source]]</f>
        <v>Unnamed Projectmaquinainter.QueueWaiting TimeQueue</v>
      </c>
      <c r="M286" s="5" cm="1">
        <f t="array" ref="M286">MAX(IF((ProjectInfoTable[ProjectName]=DiscreteStatsTable[[#This Row],[ProjectName]]),(ProjectInfoTable[ProjectName]=DiscreteStatsTable[[#This Row],[ProjectName]])*ProjectInfoTable[NumberOfReplications]))</f>
        <v>10</v>
      </c>
      <c r="N286" s="5" cm="1">
        <f t="array" ref="N286">IFERROR(AVERAGE(IF((DiscreteStatsTable[GroupByKey]=DiscreteStatsTable[[#This Row],[GroupByKey]]),(DiscreteStatsTable[GroupByKey]=DiscreteStatsTable[[#This Row],[GroupByKey]])*DiscreteStatsTable[Average])),0)</f>
        <v>6.8041660941550974</v>
      </c>
      <c r="O286" s="5" cm="1">
        <f t="array" ref="O286">IFERROR(_xlfn.STDEV.S(IF((DiscreteStatsTable[GroupByKey]=DiscreteStatsTable[[#This Row],[GroupByKey]]),(DiscreteStatsTable[GroupByKey]=DiscreteStatsTable[[#This Row],[GroupByKey]])*DiscreteStatsTable[Average])),0)</f>
        <v>2.5888060068808318</v>
      </c>
      <c r="P286" s="5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 s="5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1.8519202552405429</v>
      </c>
      <c r="R286" s="5" cm="1">
        <f t="array" ref="R286">MIN(IF((DiscreteStatsTable[GroupByKey]=DiscreteStatsTable[[#This Row],[GroupByKey]]),(DiscreteStatsTable[GroupByKey]=DiscreteStatsTable[[#This Row],[GroupByKey]])*DiscreteStatsTable[Average]))</f>
        <v>3.9788744982611002</v>
      </c>
      <c r="S286" s="5" cm="1">
        <f t="array" ref="S286">MAX(IF((DiscreteStatsTable[GroupByKey]=DiscreteStatsTable[[#This Row],[GroupByKey]]),(DiscreteStatsTable[GroupByKey]=DiscreteStatsTable[[#This Row],[GroupByKey]])*DiscreteStatsTable[Average]))</f>
        <v>12.032353435961801</v>
      </c>
      <c r="T286" s="5" cm="1">
        <f t="array" ref="T286">MIN(IF((DiscreteStatsTable[GroupByKey]=DiscreteStatsTable[[#This Row],[GroupByKey]]),(DiscreteStatsTable[GroupByKey]=DiscreteStatsTable[[#This Row],[GroupByKey]])*DiscreteStatsTable[Minimum]))</f>
        <v>0</v>
      </c>
      <c r="U286" s="5" cm="1">
        <f t="array" ref="U286">MAX(IF((DiscreteStatsTable[GroupByKey]=DiscreteStatsTable[[#This Row],[GroupByKey]]),(DiscreteStatsTable[GroupByKey]=DiscreteStatsTable[[#This Row],[GroupByKey]])*DiscreteStatsTable[Maximum]))</f>
        <v>36.036638692237297</v>
      </c>
      <c r="V286" s="5" cm="1">
        <f t="array" ref="V286">IFERROR(AVERAGE(IF((DiscreteStatsTable[GroupByKey]=DiscreteStatsTable[[#This Row],[GroupByKey]]),(DiscreteStatsTable[GroupByKey]=DiscreteStatsTable[[#This Row],[GroupByKey]])*DiscreteStatsTable[NumberObservations])),0)</f>
        <v>231.5</v>
      </c>
      <c r="W286" s="5">
        <f>IF((DiscreteStatsTable[[#This Row],[RepsRequested]]&gt;1),DiscreteStatsTable[[#This Row],[HalfWidth]],DiscreteStatsTable[[#This Row],[BatchMeansHalfWidth]])</f>
        <v>1.8519202552405429</v>
      </c>
      <c r="X286" s="5" cm="1">
        <f t="array" ref="X286">COUNT(IF((DiscreteStatsTable[GroupByKey]=DiscreteStatsTable[[#This Row],[GroupByKey]]),(DiscreteStatsTable[GroupByKey]=DiscreteStatsTable[[#This Row],[GroupByKey]])*DiscreteStatsTable[Replication]))</f>
        <v>10</v>
      </c>
      <c r="Y286" s="5">
        <f>IF(DiscreteStatsTable[[#This Row],[RepsRequested]]=DiscreteStatsTable[[#This Row],[RepsWithStatObserved]],1,0)</f>
        <v>1</v>
      </c>
    </row>
    <row r="287" spans="1:25" x14ac:dyDescent="0.3">
      <c r="A287" t="s">
        <v>66</v>
      </c>
      <c r="B287" t="s">
        <v>68</v>
      </c>
      <c r="C287">
        <v>6</v>
      </c>
      <c r="D287" t="s">
        <v>95</v>
      </c>
      <c r="E287" t="s">
        <v>70</v>
      </c>
      <c r="F287" t="s">
        <v>71</v>
      </c>
      <c r="G287">
        <v>12.032353435961801</v>
      </c>
      <c r="H287">
        <v>2E+20</v>
      </c>
      <c r="I287">
        <v>0</v>
      </c>
      <c r="J287">
        <v>36.036638692237297</v>
      </c>
      <c r="K287">
        <v>262</v>
      </c>
      <c r="L287" s="5" t="str">
        <f>DiscreteStatsTable[[#This Row],[ProjectName]]&amp;DiscreteStatsTable[[#This Row],[Name]]&amp;DiscreteStatsTable[[#This Row],[Type]]&amp;DiscreteStatsTable[[#This Row],[Source]]</f>
        <v>Unnamed Projectmaquinainter.QueueWaiting TimeQueue</v>
      </c>
      <c r="M287" s="5" cm="1">
        <f t="array" ref="M287">MAX(IF((ProjectInfoTable[ProjectName]=DiscreteStatsTable[[#This Row],[ProjectName]]),(ProjectInfoTable[ProjectName]=DiscreteStatsTable[[#This Row],[ProjectName]])*ProjectInfoTable[NumberOfReplications]))</f>
        <v>10</v>
      </c>
      <c r="N287" s="5" cm="1">
        <f t="array" ref="N287">IFERROR(AVERAGE(IF((DiscreteStatsTable[GroupByKey]=DiscreteStatsTable[[#This Row],[GroupByKey]]),(DiscreteStatsTable[GroupByKey]=DiscreteStatsTable[[#This Row],[GroupByKey]])*DiscreteStatsTable[Average])),0)</f>
        <v>6.8041660941550974</v>
      </c>
      <c r="O287" s="5" cm="1">
        <f t="array" ref="O287">IFERROR(_xlfn.STDEV.S(IF((DiscreteStatsTable[GroupByKey]=DiscreteStatsTable[[#This Row],[GroupByKey]]),(DiscreteStatsTable[GroupByKey]=DiscreteStatsTable[[#This Row],[GroupByKey]])*DiscreteStatsTable[Average])),0)</f>
        <v>2.5888060068808318</v>
      </c>
      <c r="P287" s="5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 s="5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1.8519202552405429</v>
      </c>
      <c r="R287" s="5" cm="1">
        <f t="array" ref="R287">MIN(IF((DiscreteStatsTable[GroupByKey]=DiscreteStatsTable[[#This Row],[GroupByKey]]),(DiscreteStatsTable[GroupByKey]=DiscreteStatsTable[[#This Row],[GroupByKey]])*DiscreteStatsTable[Average]))</f>
        <v>3.9788744982611002</v>
      </c>
      <c r="S287" s="5" cm="1">
        <f t="array" ref="S287">MAX(IF((DiscreteStatsTable[GroupByKey]=DiscreteStatsTable[[#This Row],[GroupByKey]]),(DiscreteStatsTable[GroupByKey]=DiscreteStatsTable[[#This Row],[GroupByKey]])*DiscreteStatsTable[Average]))</f>
        <v>12.032353435961801</v>
      </c>
      <c r="T287" s="5" cm="1">
        <f t="array" ref="T287">MIN(IF((DiscreteStatsTable[GroupByKey]=DiscreteStatsTable[[#This Row],[GroupByKey]]),(DiscreteStatsTable[GroupByKey]=DiscreteStatsTable[[#This Row],[GroupByKey]])*DiscreteStatsTable[Minimum]))</f>
        <v>0</v>
      </c>
      <c r="U287" s="5" cm="1">
        <f t="array" ref="U287">MAX(IF((DiscreteStatsTable[GroupByKey]=DiscreteStatsTable[[#This Row],[GroupByKey]]),(DiscreteStatsTable[GroupByKey]=DiscreteStatsTable[[#This Row],[GroupByKey]])*DiscreteStatsTable[Maximum]))</f>
        <v>36.036638692237297</v>
      </c>
      <c r="V287" s="5" cm="1">
        <f t="array" ref="V287">IFERROR(AVERAGE(IF((DiscreteStatsTable[GroupByKey]=DiscreteStatsTable[[#This Row],[GroupByKey]]),(DiscreteStatsTable[GroupByKey]=DiscreteStatsTable[[#This Row],[GroupByKey]])*DiscreteStatsTable[NumberObservations])),0)</f>
        <v>231.5</v>
      </c>
      <c r="W287" s="5">
        <f>IF((DiscreteStatsTable[[#This Row],[RepsRequested]]&gt;1),DiscreteStatsTable[[#This Row],[HalfWidth]],DiscreteStatsTable[[#This Row],[BatchMeansHalfWidth]])</f>
        <v>1.8519202552405429</v>
      </c>
      <c r="X287" s="5" cm="1">
        <f t="array" ref="X287">COUNT(IF((DiscreteStatsTable[GroupByKey]=DiscreteStatsTable[[#This Row],[GroupByKey]]),(DiscreteStatsTable[GroupByKey]=DiscreteStatsTable[[#This Row],[GroupByKey]])*DiscreteStatsTable[Replication]))</f>
        <v>10</v>
      </c>
      <c r="Y287" s="5">
        <f>IF(DiscreteStatsTable[[#This Row],[RepsRequested]]=DiscreteStatsTable[[#This Row],[RepsWithStatObserved]],1,0)</f>
        <v>1</v>
      </c>
    </row>
    <row r="288" spans="1:25" x14ac:dyDescent="0.3">
      <c r="A288" t="s">
        <v>66</v>
      </c>
      <c r="B288" t="s">
        <v>68</v>
      </c>
      <c r="C288">
        <v>7</v>
      </c>
      <c r="D288" t="s">
        <v>95</v>
      </c>
      <c r="E288" t="s">
        <v>70</v>
      </c>
      <c r="F288" t="s">
        <v>71</v>
      </c>
      <c r="G288">
        <v>4.9737081852724598</v>
      </c>
      <c r="H288">
        <v>2E+20</v>
      </c>
      <c r="I288">
        <v>0</v>
      </c>
      <c r="J288">
        <v>23.155963467738001</v>
      </c>
      <c r="K288">
        <v>208</v>
      </c>
      <c r="L288" s="5" t="str">
        <f>DiscreteStatsTable[[#This Row],[ProjectName]]&amp;DiscreteStatsTable[[#This Row],[Name]]&amp;DiscreteStatsTable[[#This Row],[Type]]&amp;DiscreteStatsTable[[#This Row],[Source]]</f>
        <v>Unnamed Projectmaquinainter.QueueWaiting TimeQueue</v>
      </c>
      <c r="M288" s="5" cm="1">
        <f t="array" ref="M288">MAX(IF((ProjectInfoTable[ProjectName]=DiscreteStatsTable[[#This Row],[ProjectName]]),(ProjectInfoTable[ProjectName]=DiscreteStatsTable[[#This Row],[ProjectName]])*ProjectInfoTable[NumberOfReplications]))</f>
        <v>10</v>
      </c>
      <c r="N288" s="5" cm="1">
        <f t="array" ref="N288">IFERROR(AVERAGE(IF((DiscreteStatsTable[GroupByKey]=DiscreteStatsTable[[#This Row],[GroupByKey]]),(DiscreteStatsTable[GroupByKey]=DiscreteStatsTable[[#This Row],[GroupByKey]])*DiscreteStatsTable[Average])),0)</f>
        <v>6.8041660941550974</v>
      </c>
      <c r="O288" s="5" cm="1">
        <f t="array" ref="O288">IFERROR(_xlfn.STDEV.S(IF((DiscreteStatsTable[GroupByKey]=DiscreteStatsTable[[#This Row],[GroupByKey]]),(DiscreteStatsTable[GroupByKey]=DiscreteStatsTable[[#This Row],[GroupByKey]])*DiscreteStatsTable[Average])),0)</f>
        <v>2.5888060068808318</v>
      </c>
      <c r="P288" s="5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 s="5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1.8519202552405429</v>
      </c>
      <c r="R288" s="5" cm="1">
        <f t="array" ref="R288">MIN(IF((DiscreteStatsTable[GroupByKey]=DiscreteStatsTable[[#This Row],[GroupByKey]]),(DiscreteStatsTable[GroupByKey]=DiscreteStatsTable[[#This Row],[GroupByKey]])*DiscreteStatsTable[Average]))</f>
        <v>3.9788744982611002</v>
      </c>
      <c r="S288" s="5" cm="1">
        <f t="array" ref="S288">MAX(IF((DiscreteStatsTable[GroupByKey]=DiscreteStatsTable[[#This Row],[GroupByKey]]),(DiscreteStatsTable[GroupByKey]=DiscreteStatsTable[[#This Row],[GroupByKey]])*DiscreteStatsTable[Average]))</f>
        <v>12.032353435961801</v>
      </c>
      <c r="T288" s="5" cm="1">
        <f t="array" ref="T288">MIN(IF((DiscreteStatsTable[GroupByKey]=DiscreteStatsTable[[#This Row],[GroupByKey]]),(DiscreteStatsTable[GroupByKey]=DiscreteStatsTable[[#This Row],[GroupByKey]])*DiscreteStatsTable[Minimum]))</f>
        <v>0</v>
      </c>
      <c r="U288" s="5" cm="1">
        <f t="array" ref="U288">MAX(IF((DiscreteStatsTable[GroupByKey]=DiscreteStatsTable[[#This Row],[GroupByKey]]),(DiscreteStatsTable[GroupByKey]=DiscreteStatsTable[[#This Row],[GroupByKey]])*DiscreteStatsTable[Maximum]))</f>
        <v>36.036638692237297</v>
      </c>
      <c r="V288" s="5" cm="1">
        <f t="array" ref="V288">IFERROR(AVERAGE(IF((DiscreteStatsTable[GroupByKey]=DiscreteStatsTable[[#This Row],[GroupByKey]]),(DiscreteStatsTable[GroupByKey]=DiscreteStatsTable[[#This Row],[GroupByKey]])*DiscreteStatsTable[NumberObservations])),0)</f>
        <v>231.5</v>
      </c>
      <c r="W288" s="5">
        <f>IF((DiscreteStatsTable[[#This Row],[RepsRequested]]&gt;1),DiscreteStatsTable[[#This Row],[HalfWidth]],DiscreteStatsTable[[#This Row],[BatchMeansHalfWidth]])</f>
        <v>1.8519202552405429</v>
      </c>
      <c r="X288" s="5" cm="1">
        <f t="array" ref="X288">COUNT(IF((DiscreteStatsTable[GroupByKey]=DiscreteStatsTable[[#This Row],[GroupByKey]]),(DiscreteStatsTable[GroupByKey]=DiscreteStatsTable[[#This Row],[GroupByKey]])*DiscreteStatsTable[Replication]))</f>
        <v>10</v>
      </c>
      <c r="Y288" s="5">
        <f>IF(DiscreteStatsTable[[#This Row],[RepsRequested]]=DiscreteStatsTable[[#This Row],[RepsWithStatObserved]],1,0)</f>
        <v>1</v>
      </c>
    </row>
    <row r="289" spans="1:25" x14ac:dyDescent="0.3">
      <c r="A289" t="s">
        <v>66</v>
      </c>
      <c r="B289" t="s">
        <v>68</v>
      </c>
      <c r="C289">
        <v>8</v>
      </c>
      <c r="D289" t="s">
        <v>95</v>
      </c>
      <c r="E289" t="s">
        <v>70</v>
      </c>
      <c r="F289" t="s">
        <v>71</v>
      </c>
      <c r="G289">
        <v>5.1442767701570098</v>
      </c>
      <c r="H289">
        <v>2E+20</v>
      </c>
      <c r="I289">
        <v>0</v>
      </c>
      <c r="J289">
        <v>22.759753785881902</v>
      </c>
      <c r="K289">
        <v>219</v>
      </c>
      <c r="L289" s="5" t="str">
        <f>DiscreteStatsTable[[#This Row],[ProjectName]]&amp;DiscreteStatsTable[[#This Row],[Name]]&amp;DiscreteStatsTable[[#This Row],[Type]]&amp;DiscreteStatsTable[[#This Row],[Source]]</f>
        <v>Unnamed Projectmaquinainter.QueueWaiting TimeQueue</v>
      </c>
      <c r="M289" s="5" cm="1">
        <f t="array" ref="M289">MAX(IF((ProjectInfoTable[ProjectName]=DiscreteStatsTable[[#This Row],[ProjectName]]),(ProjectInfoTable[ProjectName]=DiscreteStatsTable[[#This Row],[ProjectName]])*ProjectInfoTable[NumberOfReplications]))</f>
        <v>10</v>
      </c>
      <c r="N289" s="5" cm="1">
        <f t="array" ref="N289">IFERROR(AVERAGE(IF((DiscreteStatsTable[GroupByKey]=DiscreteStatsTable[[#This Row],[GroupByKey]]),(DiscreteStatsTable[GroupByKey]=DiscreteStatsTable[[#This Row],[GroupByKey]])*DiscreteStatsTable[Average])),0)</f>
        <v>6.8041660941550974</v>
      </c>
      <c r="O289" s="5" cm="1">
        <f t="array" ref="O289">IFERROR(_xlfn.STDEV.S(IF((DiscreteStatsTable[GroupByKey]=DiscreteStatsTable[[#This Row],[GroupByKey]]),(DiscreteStatsTable[GroupByKey]=DiscreteStatsTable[[#This Row],[GroupByKey]])*DiscreteStatsTable[Average])),0)</f>
        <v>2.5888060068808318</v>
      </c>
      <c r="P289" s="5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 s="5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1.8519202552405429</v>
      </c>
      <c r="R289" s="5" cm="1">
        <f t="array" ref="R289">MIN(IF((DiscreteStatsTable[GroupByKey]=DiscreteStatsTable[[#This Row],[GroupByKey]]),(DiscreteStatsTable[GroupByKey]=DiscreteStatsTable[[#This Row],[GroupByKey]])*DiscreteStatsTable[Average]))</f>
        <v>3.9788744982611002</v>
      </c>
      <c r="S289" s="5" cm="1">
        <f t="array" ref="S289">MAX(IF((DiscreteStatsTable[GroupByKey]=DiscreteStatsTable[[#This Row],[GroupByKey]]),(DiscreteStatsTable[GroupByKey]=DiscreteStatsTable[[#This Row],[GroupByKey]])*DiscreteStatsTable[Average]))</f>
        <v>12.032353435961801</v>
      </c>
      <c r="T289" s="5" cm="1">
        <f t="array" ref="T289">MIN(IF((DiscreteStatsTable[GroupByKey]=DiscreteStatsTable[[#This Row],[GroupByKey]]),(DiscreteStatsTable[GroupByKey]=DiscreteStatsTable[[#This Row],[GroupByKey]])*DiscreteStatsTable[Minimum]))</f>
        <v>0</v>
      </c>
      <c r="U289" s="5" cm="1">
        <f t="array" ref="U289">MAX(IF((DiscreteStatsTable[GroupByKey]=DiscreteStatsTable[[#This Row],[GroupByKey]]),(DiscreteStatsTable[GroupByKey]=DiscreteStatsTable[[#This Row],[GroupByKey]])*DiscreteStatsTable[Maximum]))</f>
        <v>36.036638692237297</v>
      </c>
      <c r="V289" s="5" cm="1">
        <f t="array" ref="V289">IFERROR(AVERAGE(IF((DiscreteStatsTable[GroupByKey]=DiscreteStatsTable[[#This Row],[GroupByKey]]),(DiscreteStatsTable[GroupByKey]=DiscreteStatsTable[[#This Row],[GroupByKey]])*DiscreteStatsTable[NumberObservations])),0)</f>
        <v>231.5</v>
      </c>
      <c r="W289" s="5">
        <f>IF((DiscreteStatsTable[[#This Row],[RepsRequested]]&gt;1),DiscreteStatsTable[[#This Row],[HalfWidth]],DiscreteStatsTable[[#This Row],[BatchMeansHalfWidth]])</f>
        <v>1.8519202552405429</v>
      </c>
      <c r="X289" s="5" cm="1">
        <f t="array" ref="X289">COUNT(IF((DiscreteStatsTable[GroupByKey]=DiscreteStatsTable[[#This Row],[GroupByKey]]),(DiscreteStatsTable[GroupByKey]=DiscreteStatsTable[[#This Row],[GroupByKey]])*DiscreteStatsTable[Replication]))</f>
        <v>10</v>
      </c>
      <c r="Y289" s="5">
        <f>IF(DiscreteStatsTable[[#This Row],[RepsRequested]]=DiscreteStatsTable[[#This Row],[RepsWithStatObserved]],1,0)</f>
        <v>1</v>
      </c>
    </row>
    <row r="290" spans="1:25" x14ac:dyDescent="0.3">
      <c r="A290" t="s">
        <v>66</v>
      </c>
      <c r="B290" t="s">
        <v>68</v>
      </c>
      <c r="C290">
        <v>9</v>
      </c>
      <c r="D290" t="s">
        <v>95</v>
      </c>
      <c r="E290" t="s">
        <v>70</v>
      </c>
      <c r="F290" t="s">
        <v>71</v>
      </c>
      <c r="G290">
        <v>5.7041390248941397</v>
      </c>
      <c r="H290">
        <v>2E+20</v>
      </c>
      <c r="I290">
        <v>0</v>
      </c>
      <c r="J290">
        <v>35.607527630308198</v>
      </c>
      <c r="K290">
        <v>244</v>
      </c>
      <c r="L290" s="5" t="str">
        <f>DiscreteStatsTable[[#This Row],[ProjectName]]&amp;DiscreteStatsTable[[#This Row],[Name]]&amp;DiscreteStatsTable[[#This Row],[Type]]&amp;DiscreteStatsTable[[#This Row],[Source]]</f>
        <v>Unnamed Projectmaquinainter.QueueWaiting TimeQueue</v>
      </c>
      <c r="M290" s="5" cm="1">
        <f t="array" ref="M290">MAX(IF((ProjectInfoTable[ProjectName]=DiscreteStatsTable[[#This Row],[ProjectName]]),(ProjectInfoTable[ProjectName]=DiscreteStatsTable[[#This Row],[ProjectName]])*ProjectInfoTable[NumberOfReplications]))</f>
        <v>10</v>
      </c>
      <c r="N290" s="5" cm="1">
        <f t="array" ref="N290">IFERROR(AVERAGE(IF((DiscreteStatsTable[GroupByKey]=DiscreteStatsTable[[#This Row],[GroupByKey]]),(DiscreteStatsTable[GroupByKey]=DiscreteStatsTable[[#This Row],[GroupByKey]])*DiscreteStatsTable[Average])),0)</f>
        <v>6.8041660941550974</v>
      </c>
      <c r="O290" s="5" cm="1">
        <f t="array" ref="O290">IFERROR(_xlfn.STDEV.S(IF((DiscreteStatsTable[GroupByKey]=DiscreteStatsTable[[#This Row],[GroupByKey]]),(DiscreteStatsTable[GroupByKey]=DiscreteStatsTable[[#This Row],[GroupByKey]])*DiscreteStatsTable[Average])),0)</f>
        <v>2.5888060068808318</v>
      </c>
      <c r="P290" s="5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 s="5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1.8519202552405429</v>
      </c>
      <c r="R290" s="5" cm="1">
        <f t="array" ref="R290">MIN(IF((DiscreteStatsTable[GroupByKey]=DiscreteStatsTable[[#This Row],[GroupByKey]]),(DiscreteStatsTable[GroupByKey]=DiscreteStatsTable[[#This Row],[GroupByKey]])*DiscreteStatsTable[Average]))</f>
        <v>3.9788744982611002</v>
      </c>
      <c r="S290" s="5" cm="1">
        <f t="array" ref="S290">MAX(IF((DiscreteStatsTable[GroupByKey]=DiscreteStatsTable[[#This Row],[GroupByKey]]),(DiscreteStatsTable[GroupByKey]=DiscreteStatsTable[[#This Row],[GroupByKey]])*DiscreteStatsTable[Average]))</f>
        <v>12.032353435961801</v>
      </c>
      <c r="T290" s="5" cm="1">
        <f t="array" ref="T290">MIN(IF((DiscreteStatsTable[GroupByKey]=DiscreteStatsTable[[#This Row],[GroupByKey]]),(DiscreteStatsTable[GroupByKey]=DiscreteStatsTable[[#This Row],[GroupByKey]])*DiscreteStatsTable[Minimum]))</f>
        <v>0</v>
      </c>
      <c r="U290" s="5" cm="1">
        <f t="array" ref="U290">MAX(IF((DiscreteStatsTable[GroupByKey]=DiscreteStatsTable[[#This Row],[GroupByKey]]),(DiscreteStatsTable[GroupByKey]=DiscreteStatsTable[[#This Row],[GroupByKey]])*DiscreteStatsTable[Maximum]))</f>
        <v>36.036638692237297</v>
      </c>
      <c r="V290" s="5" cm="1">
        <f t="array" ref="V290">IFERROR(AVERAGE(IF((DiscreteStatsTable[GroupByKey]=DiscreteStatsTable[[#This Row],[GroupByKey]]),(DiscreteStatsTable[GroupByKey]=DiscreteStatsTable[[#This Row],[GroupByKey]])*DiscreteStatsTable[NumberObservations])),0)</f>
        <v>231.5</v>
      </c>
      <c r="W290" s="5">
        <f>IF((DiscreteStatsTable[[#This Row],[RepsRequested]]&gt;1),DiscreteStatsTable[[#This Row],[HalfWidth]],DiscreteStatsTable[[#This Row],[BatchMeansHalfWidth]])</f>
        <v>1.8519202552405429</v>
      </c>
      <c r="X290" s="5" cm="1">
        <f t="array" ref="X290">COUNT(IF((DiscreteStatsTable[GroupByKey]=DiscreteStatsTable[[#This Row],[GroupByKey]]),(DiscreteStatsTable[GroupByKey]=DiscreteStatsTable[[#This Row],[GroupByKey]])*DiscreteStatsTable[Replication]))</f>
        <v>10</v>
      </c>
      <c r="Y290" s="5">
        <f>IF(DiscreteStatsTable[[#This Row],[RepsRequested]]=DiscreteStatsTable[[#This Row],[RepsWithStatObserved]],1,0)</f>
        <v>1</v>
      </c>
    </row>
    <row r="291" spans="1:25" x14ac:dyDescent="0.3">
      <c r="A291" t="s">
        <v>66</v>
      </c>
      <c r="B291" t="s">
        <v>68</v>
      </c>
      <c r="C291">
        <v>10</v>
      </c>
      <c r="D291" t="s">
        <v>95</v>
      </c>
      <c r="E291" t="s">
        <v>70</v>
      </c>
      <c r="F291" t="s">
        <v>71</v>
      </c>
      <c r="G291">
        <v>3.9788744982611002</v>
      </c>
      <c r="H291">
        <v>2E+20</v>
      </c>
      <c r="I291">
        <v>0</v>
      </c>
      <c r="J291">
        <v>16.280673215737</v>
      </c>
      <c r="K291">
        <v>202</v>
      </c>
      <c r="L291" s="5" t="str">
        <f>DiscreteStatsTable[[#This Row],[ProjectName]]&amp;DiscreteStatsTable[[#This Row],[Name]]&amp;DiscreteStatsTable[[#This Row],[Type]]&amp;DiscreteStatsTable[[#This Row],[Source]]</f>
        <v>Unnamed Projectmaquinainter.QueueWaiting TimeQueue</v>
      </c>
      <c r="M291" s="5" cm="1">
        <f t="array" ref="M291">MAX(IF((ProjectInfoTable[ProjectName]=DiscreteStatsTable[[#This Row],[ProjectName]]),(ProjectInfoTable[ProjectName]=DiscreteStatsTable[[#This Row],[ProjectName]])*ProjectInfoTable[NumberOfReplications]))</f>
        <v>10</v>
      </c>
      <c r="N291" s="5" cm="1">
        <f t="array" ref="N291">IFERROR(AVERAGE(IF((DiscreteStatsTable[GroupByKey]=DiscreteStatsTable[[#This Row],[GroupByKey]]),(DiscreteStatsTable[GroupByKey]=DiscreteStatsTable[[#This Row],[GroupByKey]])*DiscreteStatsTable[Average])),0)</f>
        <v>6.8041660941550974</v>
      </c>
      <c r="O291" s="5" cm="1">
        <f t="array" ref="O291">IFERROR(_xlfn.STDEV.S(IF((DiscreteStatsTable[GroupByKey]=DiscreteStatsTable[[#This Row],[GroupByKey]]),(DiscreteStatsTable[GroupByKey]=DiscreteStatsTable[[#This Row],[GroupByKey]])*DiscreteStatsTable[Average])),0)</f>
        <v>2.5888060068808318</v>
      </c>
      <c r="P291" s="5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 s="5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1.8519202552405429</v>
      </c>
      <c r="R291" s="5" cm="1">
        <f t="array" ref="R291">MIN(IF((DiscreteStatsTable[GroupByKey]=DiscreteStatsTable[[#This Row],[GroupByKey]]),(DiscreteStatsTable[GroupByKey]=DiscreteStatsTable[[#This Row],[GroupByKey]])*DiscreteStatsTable[Average]))</f>
        <v>3.9788744982611002</v>
      </c>
      <c r="S291" s="5" cm="1">
        <f t="array" ref="S291">MAX(IF((DiscreteStatsTable[GroupByKey]=DiscreteStatsTable[[#This Row],[GroupByKey]]),(DiscreteStatsTable[GroupByKey]=DiscreteStatsTable[[#This Row],[GroupByKey]])*DiscreteStatsTable[Average]))</f>
        <v>12.032353435961801</v>
      </c>
      <c r="T291" s="5" cm="1">
        <f t="array" ref="T291">MIN(IF((DiscreteStatsTable[GroupByKey]=DiscreteStatsTable[[#This Row],[GroupByKey]]),(DiscreteStatsTable[GroupByKey]=DiscreteStatsTable[[#This Row],[GroupByKey]])*DiscreteStatsTable[Minimum]))</f>
        <v>0</v>
      </c>
      <c r="U291" s="5" cm="1">
        <f t="array" ref="U291">MAX(IF((DiscreteStatsTable[GroupByKey]=DiscreteStatsTable[[#This Row],[GroupByKey]]),(DiscreteStatsTable[GroupByKey]=DiscreteStatsTable[[#This Row],[GroupByKey]])*DiscreteStatsTable[Maximum]))</f>
        <v>36.036638692237297</v>
      </c>
      <c r="V291" s="5" cm="1">
        <f t="array" ref="V291">IFERROR(AVERAGE(IF((DiscreteStatsTable[GroupByKey]=DiscreteStatsTable[[#This Row],[GroupByKey]]),(DiscreteStatsTable[GroupByKey]=DiscreteStatsTable[[#This Row],[GroupByKey]])*DiscreteStatsTable[NumberObservations])),0)</f>
        <v>231.5</v>
      </c>
      <c r="W291" s="5">
        <f>IF((DiscreteStatsTable[[#This Row],[RepsRequested]]&gt;1),DiscreteStatsTable[[#This Row],[HalfWidth]],DiscreteStatsTable[[#This Row],[BatchMeansHalfWidth]])</f>
        <v>1.8519202552405429</v>
      </c>
      <c r="X291" s="5" cm="1">
        <f t="array" ref="X291">COUNT(IF((DiscreteStatsTable[GroupByKey]=DiscreteStatsTable[[#This Row],[GroupByKey]]),(DiscreteStatsTable[GroupByKey]=DiscreteStatsTable[[#This Row],[GroupByKey]])*DiscreteStatsTable[Replication]))</f>
        <v>10</v>
      </c>
      <c r="Y291" s="5">
        <f>IF(DiscreteStatsTable[[#This Row],[RepsRequested]]=DiscreteStatsTable[[#This Row],[RepsWithStatObserved]],1,0)</f>
        <v>1</v>
      </c>
    </row>
    <row r="292" spans="1:25" x14ac:dyDescent="0.3">
      <c r="A292" t="s">
        <v>66</v>
      </c>
      <c r="B292" t="s">
        <v>68</v>
      </c>
      <c r="C292">
        <v>1</v>
      </c>
      <c r="D292" t="s">
        <v>96</v>
      </c>
      <c r="E292" t="s">
        <v>70</v>
      </c>
      <c r="F292" t="s">
        <v>71</v>
      </c>
      <c r="G292">
        <v>0.49294909666530401</v>
      </c>
      <c r="H292">
        <v>2E+20</v>
      </c>
      <c r="I292">
        <v>0</v>
      </c>
      <c r="J292">
        <v>4.3282416669186903</v>
      </c>
      <c r="K292">
        <v>163</v>
      </c>
      <c r="L292" s="5" t="str">
        <f>DiscreteStatsTable[[#This Row],[ProjectName]]&amp;DiscreteStatsTable[[#This Row],[Name]]&amp;DiscreteStatsTable[[#This Row],[Type]]&amp;DiscreteStatsTable[[#This Row],[Source]]</f>
        <v>Unnamed Projectmaquinanacional.QueueWaiting TimeQueue</v>
      </c>
      <c r="M292" s="5" cm="1">
        <f t="array" ref="M292">MAX(IF((ProjectInfoTable[ProjectName]=DiscreteStatsTable[[#This Row],[ProjectName]]),(ProjectInfoTable[ProjectName]=DiscreteStatsTable[[#This Row],[ProjectName]])*ProjectInfoTable[NumberOfReplications]))</f>
        <v>10</v>
      </c>
      <c r="N292" s="5" cm="1">
        <f t="array" ref="N292">IFERROR(AVERAGE(IF((DiscreteStatsTable[GroupByKey]=DiscreteStatsTable[[#This Row],[GroupByKey]]),(DiscreteStatsTable[GroupByKey]=DiscreteStatsTable[[#This Row],[GroupByKey]])*DiscreteStatsTable[Average])),0)</f>
        <v>0.747489081451579</v>
      </c>
      <c r="O292" s="5" cm="1">
        <f t="array" ref="O292">IFERROR(_xlfn.STDEV.S(IF((DiscreteStatsTable[GroupByKey]=DiscreteStatsTable[[#This Row],[GroupByKey]]),(DiscreteStatsTable[GroupByKey]=DiscreteStatsTable[[#This Row],[GroupByKey]])*DiscreteStatsTable[Average])),0)</f>
        <v>0.19060672289655917</v>
      </c>
      <c r="P292" s="5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 s="5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0.1363518355484904</v>
      </c>
      <c r="R292" s="5" cm="1">
        <f t="array" ref="R292">MIN(IF((DiscreteStatsTable[GroupByKey]=DiscreteStatsTable[[#This Row],[GroupByKey]]),(DiscreteStatsTable[GroupByKey]=DiscreteStatsTable[[#This Row],[GroupByKey]])*DiscreteStatsTable[Average]))</f>
        <v>0.37607609012155202</v>
      </c>
      <c r="S292" s="5" cm="1">
        <f t="array" ref="S292">MAX(IF((DiscreteStatsTable[GroupByKey]=DiscreteStatsTable[[#This Row],[GroupByKey]]),(DiscreteStatsTable[GroupByKey]=DiscreteStatsTable[[#This Row],[GroupByKey]])*DiscreteStatsTable[Average]))</f>
        <v>0.917362804937359</v>
      </c>
      <c r="T292" s="5" cm="1">
        <f t="array" ref="T292">MIN(IF((DiscreteStatsTable[GroupByKey]=DiscreteStatsTable[[#This Row],[GroupByKey]]),(DiscreteStatsTable[GroupByKey]=DiscreteStatsTable[[#This Row],[GroupByKey]])*DiscreteStatsTable[Minimum]))</f>
        <v>0</v>
      </c>
      <c r="U292" s="5" cm="1">
        <f t="array" ref="U292">MAX(IF((DiscreteStatsTable[GroupByKey]=DiscreteStatsTable[[#This Row],[GroupByKey]]),(DiscreteStatsTable[GroupByKey]=DiscreteStatsTable[[#This Row],[GroupByKey]])*DiscreteStatsTable[Maximum]))</f>
        <v>10.402532424877601</v>
      </c>
      <c r="V292" s="5" cm="1">
        <f t="array" ref="V292">IFERROR(AVERAGE(IF((DiscreteStatsTable[GroupByKey]=DiscreteStatsTable[[#This Row],[GroupByKey]]),(DiscreteStatsTable[GroupByKey]=DiscreteStatsTable[[#This Row],[GroupByKey]])*DiscreteStatsTable[NumberObservations])),0)</f>
        <v>161.5</v>
      </c>
      <c r="W292" s="5">
        <f>IF((DiscreteStatsTable[[#This Row],[RepsRequested]]&gt;1),DiscreteStatsTable[[#This Row],[HalfWidth]],DiscreteStatsTable[[#This Row],[BatchMeansHalfWidth]])</f>
        <v>0.1363518355484904</v>
      </c>
      <c r="X292" s="5" cm="1">
        <f t="array" ref="X292">COUNT(IF((DiscreteStatsTable[GroupByKey]=DiscreteStatsTable[[#This Row],[GroupByKey]]),(DiscreteStatsTable[GroupByKey]=DiscreteStatsTable[[#This Row],[GroupByKey]])*DiscreteStatsTable[Replication]))</f>
        <v>10</v>
      </c>
      <c r="Y292" s="5">
        <f>IF(DiscreteStatsTable[[#This Row],[RepsRequested]]=DiscreteStatsTable[[#This Row],[RepsWithStatObserved]],1,0)</f>
        <v>1</v>
      </c>
    </row>
    <row r="293" spans="1:25" x14ac:dyDescent="0.3">
      <c r="A293" t="s">
        <v>66</v>
      </c>
      <c r="B293" t="s">
        <v>68</v>
      </c>
      <c r="C293">
        <v>2</v>
      </c>
      <c r="D293" t="s">
        <v>96</v>
      </c>
      <c r="E293" t="s">
        <v>70</v>
      </c>
      <c r="F293" t="s">
        <v>71</v>
      </c>
      <c r="G293">
        <v>0.917362804937359</v>
      </c>
      <c r="H293">
        <v>2E+20</v>
      </c>
      <c r="I293">
        <v>0</v>
      </c>
      <c r="J293">
        <v>7.54850836112763</v>
      </c>
      <c r="K293">
        <v>147</v>
      </c>
      <c r="L293" s="5" t="str">
        <f>DiscreteStatsTable[[#This Row],[ProjectName]]&amp;DiscreteStatsTable[[#This Row],[Name]]&amp;DiscreteStatsTable[[#This Row],[Type]]&amp;DiscreteStatsTable[[#This Row],[Source]]</f>
        <v>Unnamed Projectmaquinanacional.QueueWaiting TimeQueue</v>
      </c>
      <c r="M293" s="5" cm="1">
        <f t="array" ref="M293">MAX(IF((ProjectInfoTable[ProjectName]=DiscreteStatsTable[[#This Row],[ProjectName]]),(ProjectInfoTable[ProjectName]=DiscreteStatsTable[[#This Row],[ProjectName]])*ProjectInfoTable[NumberOfReplications]))</f>
        <v>10</v>
      </c>
      <c r="N293" s="5" cm="1">
        <f t="array" ref="N293">IFERROR(AVERAGE(IF((DiscreteStatsTable[GroupByKey]=DiscreteStatsTable[[#This Row],[GroupByKey]]),(DiscreteStatsTable[GroupByKey]=DiscreteStatsTable[[#This Row],[GroupByKey]])*DiscreteStatsTable[Average])),0)</f>
        <v>0.747489081451579</v>
      </c>
      <c r="O293" s="5" cm="1">
        <f t="array" ref="O293">IFERROR(_xlfn.STDEV.S(IF((DiscreteStatsTable[GroupByKey]=DiscreteStatsTable[[#This Row],[GroupByKey]]),(DiscreteStatsTable[GroupByKey]=DiscreteStatsTable[[#This Row],[GroupByKey]])*DiscreteStatsTable[Average])),0)</f>
        <v>0.19060672289655917</v>
      </c>
      <c r="P293" s="5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 s="5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0.1363518355484904</v>
      </c>
      <c r="R293" s="5" cm="1">
        <f t="array" ref="R293">MIN(IF((DiscreteStatsTable[GroupByKey]=DiscreteStatsTable[[#This Row],[GroupByKey]]),(DiscreteStatsTable[GroupByKey]=DiscreteStatsTable[[#This Row],[GroupByKey]])*DiscreteStatsTable[Average]))</f>
        <v>0.37607609012155202</v>
      </c>
      <c r="S293" s="5" cm="1">
        <f t="array" ref="S293">MAX(IF((DiscreteStatsTable[GroupByKey]=DiscreteStatsTable[[#This Row],[GroupByKey]]),(DiscreteStatsTable[GroupByKey]=DiscreteStatsTable[[#This Row],[GroupByKey]])*DiscreteStatsTable[Average]))</f>
        <v>0.917362804937359</v>
      </c>
      <c r="T293" s="5" cm="1">
        <f t="array" ref="T293">MIN(IF((DiscreteStatsTable[GroupByKey]=DiscreteStatsTable[[#This Row],[GroupByKey]]),(DiscreteStatsTable[GroupByKey]=DiscreteStatsTable[[#This Row],[GroupByKey]])*DiscreteStatsTable[Minimum]))</f>
        <v>0</v>
      </c>
      <c r="U293" s="5" cm="1">
        <f t="array" ref="U293">MAX(IF((DiscreteStatsTable[GroupByKey]=DiscreteStatsTable[[#This Row],[GroupByKey]]),(DiscreteStatsTable[GroupByKey]=DiscreteStatsTable[[#This Row],[GroupByKey]])*DiscreteStatsTable[Maximum]))</f>
        <v>10.402532424877601</v>
      </c>
      <c r="V293" s="5" cm="1">
        <f t="array" ref="V293">IFERROR(AVERAGE(IF((DiscreteStatsTable[GroupByKey]=DiscreteStatsTable[[#This Row],[GroupByKey]]),(DiscreteStatsTable[GroupByKey]=DiscreteStatsTable[[#This Row],[GroupByKey]])*DiscreteStatsTable[NumberObservations])),0)</f>
        <v>161.5</v>
      </c>
      <c r="W293" s="5">
        <f>IF((DiscreteStatsTable[[#This Row],[RepsRequested]]&gt;1),DiscreteStatsTable[[#This Row],[HalfWidth]],DiscreteStatsTable[[#This Row],[BatchMeansHalfWidth]])</f>
        <v>0.1363518355484904</v>
      </c>
      <c r="X293" s="5" cm="1">
        <f t="array" ref="X293">COUNT(IF((DiscreteStatsTable[GroupByKey]=DiscreteStatsTable[[#This Row],[GroupByKey]]),(DiscreteStatsTable[GroupByKey]=DiscreteStatsTable[[#This Row],[GroupByKey]])*DiscreteStatsTable[Replication]))</f>
        <v>10</v>
      </c>
      <c r="Y293" s="5">
        <f>IF(DiscreteStatsTable[[#This Row],[RepsRequested]]=DiscreteStatsTable[[#This Row],[RepsWithStatObserved]],1,0)</f>
        <v>1</v>
      </c>
    </row>
    <row r="294" spans="1:25" x14ac:dyDescent="0.3">
      <c r="A294" t="s">
        <v>66</v>
      </c>
      <c r="B294" t="s">
        <v>68</v>
      </c>
      <c r="C294">
        <v>3</v>
      </c>
      <c r="D294" t="s">
        <v>96</v>
      </c>
      <c r="E294" t="s">
        <v>70</v>
      </c>
      <c r="F294" t="s">
        <v>71</v>
      </c>
      <c r="G294">
        <v>0.88418174761786505</v>
      </c>
      <c r="H294">
        <v>2E+20</v>
      </c>
      <c r="I294">
        <v>0</v>
      </c>
      <c r="J294">
        <v>8.7871271491066505</v>
      </c>
      <c r="K294">
        <v>153</v>
      </c>
      <c r="L294" s="5" t="str">
        <f>DiscreteStatsTable[[#This Row],[ProjectName]]&amp;DiscreteStatsTable[[#This Row],[Name]]&amp;DiscreteStatsTable[[#This Row],[Type]]&amp;DiscreteStatsTable[[#This Row],[Source]]</f>
        <v>Unnamed Projectmaquinanacional.QueueWaiting TimeQueue</v>
      </c>
      <c r="M294" s="5" cm="1">
        <f t="array" ref="M294">MAX(IF((ProjectInfoTable[ProjectName]=DiscreteStatsTable[[#This Row],[ProjectName]]),(ProjectInfoTable[ProjectName]=DiscreteStatsTable[[#This Row],[ProjectName]])*ProjectInfoTable[NumberOfReplications]))</f>
        <v>10</v>
      </c>
      <c r="N294" s="5" cm="1">
        <f t="array" ref="N294">IFERROR(AVERAGE(IF((DiscreteStatsTable[GroupByKey]=DiscreteStatsTable[[#This Row],[GroupByKey]]),(DiscreteStatsTable[GroupByKey]=DiscreteStatsTable[[#This Row],[GroupByKey]])*DiscreteStatsTable[Average])),0)</f>
        <v>0.747489081451579</v>
      </c>
      <c r="O294" s="5" cm="1">
        <f t="array" ref="O294">IFERROR(_xlfn.STDEV.S(IF((DiscreteStatsTable[GroupByKey]=DiscreteStatsTable[[#This Row],[GroupByKey]]),(DiscreteStatsTable[GroupByKey]=DiscreteStatsTable[[#This Row],[GroupByKey]])*DiscreteStatsTable[Average])),0)</f>
        <v>0.19060672289655917</v>
      </c>
      <c r="P294" s="5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 s="5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0.1363518355484904</v>
      </c>
      <c r="R294" s="5" cm="1">
        <f t="array" ref="R294">MIN(IF((DiscreteStatsTable[GroupByKey]=DiscreteStatsTable[[#This Row],[GroupByKey]]),(DiscreteStatsTable[GroupByKey]=DiscreteStatsTable[[#This Row],[GroupByKey]])*DiscreteStatsTable[Average]))</f>
        <v>0.37607609012155202</v>
      </c>
      <c r="S294" s="5" cm="1">
        <f t="array" ref="S294">MAX(IF((DiscreteStatsTable[GroupByKey]=DiscreteStatsTable[[#This Row],[GroupByKey]]),(DiscreteStatsTable[GroupByKey]=DiscreteStatsTable[[#This Row],[GroupByKey]])*DiscreteStatsTable[Average]))</f>
        <v>0.917362804937359</v>
      </c>
      <c r="T294" s="5" cm="1">
        <f t="array" ref="T294">MIN(IF((DiscreteStatsTable[GroupByKey]=DiscreteStatsTable[[#This Row],[GroupByKey]]),(DiscreteStatsTable[GroupByKey]=DiscreteStatsTable[[#This Row],[GroupByKey]])*DiscreteStatsTable[Minimum]))</f>
        <v>0</v>
      </c>
      <c r="U294" s="5" cm="1">
        <f t="array" ref="U294">MAX(IF((DiscreteStatsTable[GroupByKey]=DiscreteStatsTable[[#This Row],[GroupByKey]]),(DiscreteStatsTable[GroupByKey]=DiscreteStatsTable[[#This Row],[GroupByKey]])*DiscreteStatsTable[Maximum]))</f>
        <v>10.402532424877601</v>
      </c>
      <c r="V294" s="5" cm="1">
        <f t="array" ref="V294">IFERROR(AVERAGE(IF((DiscreteStatsTable[GroupByKey]=DiscreteStatsTable[[#This Row],[GroupByKey]]),(DiscreteStatsTable[GroupByKey]=DiscreteStatsTable[[#This Row],[GroupByKey]])*DiscreteStatsTable[NumberObservations])),0)</f>
        <v>161.5</v>
      </c>
      <c r="W294" s="5">
        <f>IF((DiscreteStatsTable[[#This Row],[RepsRequested]]&gt;1),DiscreteStatsTable[[#This Row],[HalfWidth]],DiscreteStatsTable[[#This Row],[BatchMeansHalfWidth]])</f>
        <v>0.1363518355484904</v>
      </c>
      <c r="X294" s="5" cm="1">
        <f t="array" ref="X294">COUNT(IF((DiscreteStatsTable[GroupByKey]=DiscreteStatsTable[[#This Row],[GroupByKey]]),(DiscreteStatsTable[GroupByKey]=DiscreteStatsTable[[#This Row],[GroupByKey]])*DiscreteStatsTable[Replication]))</f>
        <v>10</v>
      </c>
      <c r="Y294" s="5">
        <f>IF(DiscreteStatsTable[[#This Row],[RepsRequested]]=DiscreteStatsTable[[#This Row],[RepsWithStatObserved]],1,0)</f>
        <v>1</v>
      </c>
    </row>
    <row r="295" spans="1:25" x14ac:dyDescent="0.3">
      <c r="A295" t="s">
        <v>66</v>
      </c>
      <c r="B295" t="s">
        <v>68</v>
      </c>
      <c r="C295">
        <v>4</v>
      </c>
      <c r="D295" t="s">
        <v>96</v>
      </c>
      <c r="E295" t="s">
        <v>70</v>
      </c>
      <c r="F295" t="s">
        <v>71</v>
      </c>
      <c r="G295">
        <v>0.87057864383237205</v>
      </c>
      <c r="H295">
        <v>2E+20</v>
      </c>
      <c r="I295">
        <v>0</v>
      </c>
      <c r="J295">
        <v>8.4566388793584206</v>
      </c>
      <c r="K295">
        <v>161</v>
      </c>
      <c r="L295" s="5" t="str">
        <f>DiscreteStatsTable[[#This Row],[ProjectName]]&amp;DiscreteStatsTable[[#This Row],[Name]]&amp;DiscreteStatsTable[[#This Row],[Type]]&amp;DiscreteStatsTable[[#This Row],[Source]]</f>
        <v>Unnamed Projectmaquinanacional.QueueWaiting TimeQueue</v>
      </c>
      <c r="M295" s="5" cm="1">
        <f t="array" ref="M295">MAX(IF((ProjectInfoTable[ProjectName]=DiscreteStatsTable[[#This Row],[ProjectName]]),(ProjectInfoTable[ProjectName]=DiscreteStatsTable[[#This Row],[ProjectName]])*ProjectInfoTable[NumberOfReplications]))</f>
        <v>10</v>
      </c>
      <c r="N295" s="5" cm="1">
        <f t="array" ref="N295">IFERROR(AVERAGE(IF((DiscreteStatsTable[GroupByKey]=DiscreteStatsTable[[#This Row],[GroupByKey]]),(DiscreteStatsTable[GroupByKey]=DiscreteStatsTable[[#This Row],[GroupByKey]])*DiscreteStatsTable[Average])),0)</f>
        <v>0.747489081451579</v>
      </c>
      <c r="O295" s="5" cm="1">
        <f t="array" ref="O295">IFERROR(_xlfn.STDEV.S(IF((DiscreteStatsTable[GroupByKey]=DiscreteStatsTable[[#This Row],[GroupByKey]]),(DiscreteStatsTable[GroupByKey]=DiscreteStatsTable[[#This Row],[GroupByKey]])*DiscreteStatsTable[Average])),0)</f>
        <v>0.19060672289655917</v>
      </c>
      <c r="P295" s="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 s="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0.1363518355484904</v>
      </c>
      <c r="R295" s="5" cm="1">
        <f t="array" ref="R295">MIN(IF((DiscreteStatsTable[GroupByKey]=DiscreteStatsTable[[#This Row],[GroupByKey]]),(DiscreteStatsTable[GroupByKey]=DiscreteStatsTable[[#This Row],[GroupByKey]])*DiscreteStatsTable[Average]))</f>
        <v>0.37607609012155202</v>
      </c>
      <c r="S295" s="5" cm="1">
        <f t="array" ref="S295">MAX(IF((DiscreteStatsTable[GroupByKey]=DiscreteStatsTable[[#This Row],[GroupByKey]]),(DiscreteStatsTable[GroupByKey]=DiscreteStatsTable[[#This Row],[GroupByKey]])*DiscreteStatsTable[Average]))</f>
        <v>0.917362804937359</v>
      </c>
      <c r="T295" s="5" cm="1">
        <f t="array" ref="T295">MIN(IF((DiscreteStatsTable[GroupByKey]=DiscreteStatsTable[[#This Row],[GroupByKey]]),(DiscreteStatsTable[GroupByKey]=DiscreteStatsTable[[#This Row],[GroupByKey]])*DiscreteStatsTable[Minimum]))</f>
        <v>0</v>
      </c>
      <c r="U295" s="5" cm="1">
        <f t="array" ref="U295">MAX(IF((DiscreteStatsTable[GroupByKey]=DiscreteStatsTable[[#This Row],[GroupByKey]]),(DiscreteStatsTable[GroupByKey]=DiscreteStatsTable[[#This Row],[GroupByKey]])*DiscreteStatsTable[Maximum]))</f>
        <v>10.402532424877601</v>
      </c>
      <c r="V295" s="5" cm="1">
        <f t="array" ref="V295">IFERROR(AVERAGE(IF((DiscreteStatsTable[GroupByKey]=DiscreteStatsTable[[#This Row],[GroupByKey]]),(DiscreteStatsTable[GroupByKey]=DiscreteStatsTable[[#This Row],[GroupByKey]])*DiscreteStatsTable[NumberObservations])),0)</f>
        <v>161.5</v>
      </c>
      <c r="W295" s="5">
        <f>IF((DiscreteStatsTable[[#This Row],[RepsRequested]]&gt;1),DiscreteStatsTable[[#This Row],[HalfWidth]],DiscreteStatsTable[[#This Row],[BatchMeansHalfWidth]])</f>
        <v>0.1363518355484904</v>
      </c>
      <c r="X295" s="5" cm="1">
        <f t="array" ref="X295">COUNT(IF((DiscreteStatsTable[GroupByKey]=DiscreteStatsTable[[#This Row],[GroupByKey]]),(DiscreteStatsTable[GroupByKey]=DiscreteStatsTable[[#This Row],[GroupByKey]])*DiscreteStatsTable[Replication]))</f>
        <v>10</v>
      </c>
      <c r="Y295" s="5">
        <f>IF(DiscreteStatsTable[[#This Row],[RepsRequested]]=DiscreteStatsTable[[#This Row],[RepsWithStatObserved]],1,0)</f>
        <v>1</v>
      </c>
    </row>
    <row r="296" spans="1:25" x14ac:dyDescent="0.3">
      <c r="A296" t="s">
        <v>66</v>
      </c>
      <c r="B296" t="s">
        <v>68</v>
      </c>
      <c r="C296">
        <v>5</v>
      </c>
      <c r="D296" t="s">
        <v>96</v>
      </c>
      <c r="E296" t="s">
        <v>70</v>
      </c>
      <c r="F296" t="s">
        <v>71</v>
      </c>
      <c r="G296">
        <v>0.59317717093501199</v>
      </c>
      <c r="H296">
        <v>2E+20</v>
      </c>
      <c r="I296">
        <v>0</v>
      </c>
      <c r="J296">
        <v>4.61297440329691</v>
      </c>
      <c r="K296">
        <v>180</v>
      </c>
      <c r="L296" s="5" t="str">
        <f>DiscreteStatsTable[[#This Row],[ProjectName]]&amp;DiscreteStatsTable[[#This Row],[Name]]&amp;DiscreteStatsTable[[#This Row],[Type]]&amp;DiscreteStatsTable[[#This Row],[Source]]</f>
        <v>Unnamed Projectmaquinanacional.QueueWaiting TimeQueue</v>
      </c>
      <c r="M296" s="5" cm="1">
        <f t="array" ref="M296">MAX(IF((ProjectInfoTable[ProjectName]=DiscreteStatsTable[[#This Row],[ProjectName]]),(ProjectInfoTable[ProjectName]=DiscreteStatsTable[[#This Row],[ProjectName]])*ProjectInfoTable[NumberOfReplications]))</f>
        <v>10</v>
      </c>
      <c r="N296" s="5" cm="1">
        <f t="array" ref="N296">IFERROR(AVERAGE(IF((DiscreteStatsTable[GroupByKey]=DiscreteStatsTable[[#This Row],[GroupByKey]]),(DiscreteStatsTable[GroupByKey]=DiscreteStatsTable[[#This Row],[GroupByKey]])*DiscreteStatsTable[Average])),0)</f>
        <v>0.747489081451579</v>
      </c>
      <c r="O296" s="5" cm="1">
        <f t="array" ref="O296">IFERROR(_xlfn.STDEV.S(IF((DiscreteStatsTable[GroupByKey]=DiscreteStatsTable[[#This Row],[GroupByKey]]),(DiscreteStatsTable[GroupByKey]=DiscreteStatsTable[[#This Row],[GroupByKey]])*DiscreteStatsTable[Average])),0)</f>
        <v>0.19060672289655917</v>
      </c>
      <c r="P296" s="5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 s="5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0.1363518355484904</v>
      </c>
      <c r="R296" s="5" cm="1">
        <f t="array" ref="R296">MIN(IF((DiscreteStatsTable[GroupByKey]=DiscreteStatsTable[[#This Row],[GroupByKey]]),(DiscreteStatsTable[GroupByKey]=DiscreteStatsTable[[#This Row],[GroupByKey]])*DiscreteStatsTable[Average]))</f>
        <v>0.37607609012155202</v>
      </c>
      <c r="S296" s="5" cm="1">
        <f t="array" ref="S296">MAX(IF((DiscreteStatsTable[GroupByKey]=DiscreteStatsTable[[#This Row],[GroupByKey]]),(DiscreteStatsTable[GroupByKey]=DiscreteStatsTable[[#This Row],[GroupByKey]])*DiscreteStatsTable[Average]))</f>
        <v>0.917362804937359</v>
      </c>
      <c r="T296" s="5" cm="1">
        <f t="array" ref="T296">MIN(IF((DiscreteStatsTable[GroupByKey]=DiscreteStatsTable[[#This Row],[GroupByKey]]),(DiscreteStatsTable[GroupByKey]=DiscreteStatsTable[[#This Row],[GroupByKey]])*DiscreteStatsTable[Minimum]))</f>
        <v>0</v>
      </c>
      <c r="U296" s="5" cm="1">
        <f t="array" ref="U296">MAX(IF((DiscreteStatsTable[GroupByKey]=DiscreteStatsTable[[#This Row],[GroupByKey]]),(DiscreteStatsTable[GroupByKey]=DiscreteStatsTable[[#This Row],[GroupByKey]])*DiscreteStatsTable[Maximum]))</f>
        <v>10.402532424877601</v>
      </c>
      <c r="V296" s="5" cm="1">
        <f t="array" ref="V296">IFERROR(AVERAGE(IF((DiscreteStatsTable[GroupByKey]=DiscreteStatsTable[[#This Row],[GroupByKey]]),(DiscreteStatsTable[GroupByKey]=DiscreteStatsTable[[#This Row],[GroupByKey]])*DiscreteStatsTable[NumberObservations])),0)</f>
        <v>161.5</v>
      </c>
      <c r="W296" s="5">
        <f>IF((DiscreteStatsTable[[#This Row],[RepsRequested]]&gt;1),DiscreteStatsTable[[#This Row],[HalfWidth]],DiscreteStatsTable[[#This Row],[BatchMeansHalfWidth]])</f>
        <v>0.1363518355484904</v>
      </c>
      <c r="X296" s="5" cm="1">
        <f t="array" ref="X296">COUNT(IF((DiscreteStatsTable[GroupByKey]=DiscreteStatsTable[[#This Row],[GroupByKey]]),(DiscreteStatsTable[GroupByKey]=DiscreteStatsTable[[#This Row],[GroupByKey]])*DiscreteStatsTable[Replication]))</f>
        <v>10</v>
      </c>
      <c r="Y296" s="5">
        <f>IF(DiscreteStatsTable[[#This Row],[RepsRequested]]=DiscreteStatsTable[[#This Row],[RepsWithStatObserved]],1,0)</f>
        <v>1</v>
      </c>
    </row>
    <row r="297" spans="1:25" x14ac:dyDescent="0.3">
      <c r="A297" t="s">
        <v>66</v>
      </c>
      <c r="B297" t="s">
        <v>68</v>
      </c>
      <c r="C297">
        <v>6</v>
      </c>
      <c r="D297" t="s">
        <v>96</v>
      </c>
      <c r="E297" t="s">
        <v>70</v>
      </c>
      <c r="F297" t="s">
        <v>71</v>
      </c>
      <c r="G297">
        <v>0.37607609012155202</v>
      </c>
      <c r="H297">
        <v>2E+20</v>
      </c>
      <c r="I297">
        <v>0</v>
      </c>
      <c r="J297">
        <v>4.16931664440511</v>
      </c>
      <c r="K297">
        <v>155</v>
      </c>
      <c r="L297" s="5" t="str">
        <f>DiscreteStatsTable[[#This Row],[ProjectName]]&amp;DiscreteStatsTable[[#This Row],[Name]]&amp;DiscreteStatsTable[[#This Row],[Type]]&amp;DiscreteStatsTable[[#This Row],[Source]]</f>
        <v>Unnamed Projectmaquinanacional.QueueWaiting TimeQueue</v>
      </c>
      <c r="M297" s="5" cm="1">
        <f t="array" ref="M297">MAX(IF((ProjectInfoTable[ProjectName]=DiscreteStatsTable[[#This Row],[ProjectName]]),(ProjectInfoTable[ProjectName]=DiscreteStatsTable[[#This Row],[ProjectName]])*ProjectInfoTable[NumberOfReplications]))</f>
        <v>10</v>
      </c>
      <c r="N297" s="5" cm="1">
        <f t="array" ref="N297">IFERROR(AVERAGE(IF((DiscreteStatsTable[GroupByKey]=DiscreteStatsTable[[#This Row],[GroupByKey]]),(DiscreteStatsTable[GroupByKey]=DiscreteStatsTable[[#This Row],[GroupByKey]])*DiscreteStatsTable[Average])),0)</f>
        <v>0.747489081451579</v>
      </c>
      <c r="O297" s="5" cm="1">
        <f t="array" ref="O297">IFERROR(_xlfn.STDEV.S(IF((DiscreteStatsTable[GroupByKey]=DiscreteStatsTable[[#This Row],[GroupByKey]]),(DiscreteStatsTable[GroupByKey]=DiscreteStatsTable[[#This Row],[GroupByKey]])*DiscreteStatsTable[Average])),0)</f>
        <v>0.19060672289655917</v>
      </c>
      <c r="P297" s="5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 s="5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0.1363518355484904</v>
      </c>
      <c r="R297" s="5" cm="1">
        <f t="array" ref="R297">MIN(IF((DiscreteStatsTable[GroupByKey]=DiscreteStatsTable[[#This Row],[GroupByKey]]),(DiscreteStatsTable[GroupByKey]=DiscreteStatsTable[[#This Row],[GroupByKey]])*DiscreteStatsTable[Average]))</f>
        <v>0.37607609012155202</v>
      </c>
      <c r="S297" s="5" cm="1">
        <f t="array" ref="S297">MAX(IF((DiscreteStatsTable[GroupByKey]=DiscreteStatsTable[[#This Row],[GroupByKey]]),(DiscreteStatsTable[GroupByKey]=DiscreteStatsTable[[#This Row],[GroupByKey]])*DiscreteStatsTable[Average]))</f>
        <v>0.917362804937359</v>
      </c>
      <c r="T297" s="5" cm="1">
        <f t="array" ref="T297">MIN(IF((DiscreteStatsTable[GroupByKey]=DiscreteStatsTable[[#This Row],[GroupByKey]]),(DiscreteStatsTable[GroupByKey]=DiscreteStatsTable[[#This Row],[GroupByKey]])*DiscreteStatsTable[Minimum]))</f>
        <v>0</v>
      </c>
      <c r="U297" s="5" cm="1">
        <f t="array" ref="U297">MAX(IF((DiscreteStatsTable[GroupByKey]=DiscreteStatsTable[[#This Row],[GroupByKey]]),(DiscreteStatsTable[GroupByKey]=DiscreteStatsTable[[#This Row],[GroupByKey]])*DiscreteStatsTable[Maximum]))</f>
        <v>10.402532424877601</v>
      </c>
      <c r="V297" s="5" cm="1">
        <f t="array" ref="V297">IFERROR(AVERAGE(IF((DiscreteStatsTable[GroupByKey]=DiscreteStatsTable[[#This Row],[GroupByKey]]),(DiscreteStatsTable[GroupByKey]=DiscreteStatsTable[[#This Row],[GroupByKey]])*DiscreteStatsTable[NumberObservations])),0)</f>
        <v>161.5</v>
      </c>
      <c r="W297" s="5">
        <f>IF((DiscreteStatsTable[[#This Row],[RepsRequested]]&gt;1),DiscreteStatsTable[[#This Row],[HalfWidth]],DiscreteStatsTable[[#This Row],[BatchMeansHalfWidth]])</f>
        <v>0.1363518355484904</v>
      </c>
      <c r="X297" s="5" cm="1">
        <f t="array" ref="X297">COUNT(IF((DiscreteStatsTable[GroupByKey]=DiscreteStatsTable[[#This Row],[GroupByKey]]),(DiscreteStatsTable[GroupByKey]=DiscreteStatsTable[[#This Row],[GroupByKey]])*DiscreteStatsTable[Replication]))</f>
        <v>10</v>
      </c>
      <c r="Y297" s="5">
        <f>IF(DiscreteStatsTable[[#This Row],[RepsRequested]]=DiscreteStatsTable[[#This Row],[RepsWithStatObserved]],1,0)</f>
        <v>1</v>
      </c>
    </row>
    <row r="298" spans="1:25" x14ac:dyDescent="0.3">
      <c r="A298" t="s">
        <v>66</v>
      </c>
      <c r="B298" t="s">
        <v>68</v>
      </c>
      <c r="C298">
        <v>7</v>
      </c>
      <c r="D298" t="s">
        <v>96</v>
      </c>
      <c r="E298" t="s">
        <v>70</v>
      </c>
      <c r="F298" t="s">
        <v>71</v>
      </c>
      <c r="G298">
        <v>0.838929912748969</v>
      </c>
      <c r="H298">
        <v>2E+20</v>
      </c>
      <c r="I298">
        <v>0</v>
      </c>
      <c r="J298">
        <v>6.9308970342048903</v>
      </c>
      <c r="K298">
        <v>156</v>
      </c>
      <c r="L298" s="5" t="str">
        <f>DiscreteStatsTable[[#This Row],[ProjectName]]&amp;DiscreteStatsTable[[#This Row],[Name]]&amp;DiscreteStatsTable[[#This Row],[Type]]&amp;DiscreteStatsTable[[#This Row],[Source]]</f>
        <v>Unnamed Projectmaquinanacional.QueueWaiting TimeQueue</v>
      </c>
      <c r="M298" s="5" cm="1">
        <f t="array" ref="M298">MAX(IF((ProjectInfoTable[ProjectName]=DiscreteStatsTable[[#This Row],[ProjectName]]),(ProjectInfoTable[ProjectName]=DiscreteStatsTable[[#This Row],[ProjectName]])*ProjectInfoTable[NumberOfReplications]))</f>
        <v>10</v>
      </c>
      <c r="N298" s="5" cm="1">
        <f t="array" ref="N298">IFERROR(AVERAGE(IF((DiscreteStatsTable[GroupByKey]=DiscreteStatsTable[[#This Row],[GroupByKey]]),(DiscreteStatsTable[GroupByKey]=DiscreteStatsTable[[#This Row],[GroupByKey]])*DiscreteStatsTable[Average])),0)</f>
        <v>0.747489081451579</v>
      </c>
      <c r="O298" s="5" cm="1">
        <f t="array" ref="O298">IFERROR(_xlfn.STDEV.S(IF((DiscreteStatsTable[GroupByKey]=DiscreteStatsTable[[#This Row],[GroupByKey]]),(DiscreteStatsTable[GroupByKey]=DiscreteStatsTable[[#This Row],[GroupByKey]])*DiscreteStatsTable[Average])),0)</f>
        <v>0.19060672289655917</v>
      </c>
      <c r="P298" s="5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 s="5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0.1363518355484904</v>
      </c>
      <c r="R298" s="5" cm="1">
        <f t="array" ref="R298">MIN(IF((DiscreteStatsTable[GroupByKey]=DiscreteStatsTable[[#This Row],[GroupByKey]]),(DiscreteStatsTable[GroupByKey]=DiscreteStatsTable[[#This Row],[GroupByKey]])*DiscreteStatsTable[Average]))</f>
        <v>0.37607609012155202</v>
      </c>
      <c r="S298" s="5" cm="1">
        <f t="array" ref="S298">MAX(IF((DiscreteStatsTable[GroupByKey]=DiscreteStatsTable[[#This Row],[GroupByKey]]),(DiscreteStatsTable[GroupByKey]=DiscreteStatsTable[[#This Row],[GroupByKey]])*DiscreteStatsTable[Average]))</f>
        <v>0.917362804937359</v>
      </c>
      <c r="T298" s="5" cm="1">
        <f t="array" ref="T298">MIN(IF((DiscreteStatsTable[GroupByKey]=DiscreteStatsTable[[#This Row],[GroupByKey]]),(DiscreteStatsTable[GroupByKey]=DiscreteStatsTable[[#This Row],[GroupByKey]])*DiscreteStatsTable[Minimum]))</f>
        <v>0</v>
      </c>
      <c r="U298" s="5" cm="1">
        <f t="array" ref="U298">MAX(IF((DiscreteStatsTable[GroupByKey]=DiscreteStatsTable[[#This Row],[GroupByKey]]),(DiscreteStatsTable[GroupByKey]=DiscreteStatsTable[[#This Row],[GroupByKey]])*DiscreteStatsTable[Maximum]))</f>
        <v>10.402532424877601</v>
      </c>
      <c r="V298" s="5" cm="1">
        <f t="array" ref="V298">IFERROR(AVERAGE(IF((DiscreteStatsTable[GroupByKey]=DiscreteStatsTable[[#This Row],[GroupByKey]]),(DiscreteStatsTable[GroupByKey]=DiscreteStatsTable[[#This Row],[GroupByKey]])*DiscreteStatsTable[NumberObservations])),0)</f>
        <v>161.5</v>
      </c>
      <c r="W298" s="5">
        <f>IF((DiscreteStatsTable[[#This Row],[RepsRequested]]&gt;1),DiscreteStatsTable[[#This Row],[HalfWidth]],DiscreteStatsTable[[#This Row],[BatchMeansHalfWidth]])</f>
        <v>0.1363518355484904</v>
      </c>
      <c r="X298" s="5" cm="1">
        <f t="array" ref="X298">COUNT(IF((DiscreteStatsTable[GroupByKey]=DiscreteStatsTable[[#This Row],[GroupByKey]]),(DiscreteStatsTable[GroupByKey]=DiscreteStatsTable[[#This Row],[GroupByKey]])*DiscreteStatsTable[Replication]))</f>
        <v>10</v>
      </c>
      <c r="Y298" s="5">
        <f>IF(DiscreteStatsTable[[#This Row],[RepsRequested]]=DiscreteStatsTable[[#This Row],[RepsWithStatObserved]],1,0)</f>
        <v>1</v>
      </c>
    </row>
    <row r="299" spans="1:25" x14ac:dyDescent="0.3">
      <c r="A299" t="s">
        <v>66</v>
      </c>
      <c r="B299" t="s">
        <v>68</v>
      </c>
      <c r="C299">
        <v>8</v>
      </c>
      <c r="D299" t="s">
        <v>96</v>
      </c>
      <c r="E299" t="s">
        <v>70</v>
      </c>
      <c r="F299" t="s">
        <v>71</v>
      </c>
      <c r="G299">
        <v>0.79157754210732001</v>
      </c>
      <c r="H299">
        <v>2E+20</v>
      </c>
      <c r="I299">
        <v>0</v>
      </c>
      <c r="J299">
        <v>10.402532424877601</v>
      </c>
      <c r="K299">
        <v>150</v>
      </c>
      <c r="L299" s="5" t="str">
        <f>DiscreteStatsTable[[#This Row],[ProjectName]]&amp;DiscreteStatsTable[[#This Row],[Name]]&amp;DiscreteStatsTable[[#This Row],[Type]]&amp;DiscreteStatsTable[[#This Row],[Source]]</f>
        <v>Unnamed Projectmaquinanacional.QueueWaiting TimeQueue</v>
      </c>
      <c r="M299" s="5" cm="1">
        <f t="array" ref="M299">MAX(IF((ProjectInfoTable[ProjectName]=DiscreteStatsTable[[#This Row],[ProjectName]]),(ProjectInfoTable[ProjectName]=DiscreteStatsTable[[#This Row],[ProjectName]])*ProjectInfoTable[NumberOfReplications]))</f>
        <v>10</v>
      </c>
      <c r="N299" s="5" cm="1">
        <f t="array" ref="N299">IFERROR(AVERAGE(IF((DiscreteStatsTable[GroupByKey]=DiscreteStatsTable[[#This Row],[GroupByKey]]),(DiscreteStatsTable[GroupByKey]=DiscreteStatsTable[[#This Row],[GroupByKey]])*DiscreteStatsTable[Average])),0)</f>
        <v>0.747489081451579</v>
      </c>
      <c r="O299" s="5" cm="1">
        <f t="array" ref="O299">IFERROR(_xlfn.STDEV.S(IF((DiscreteStatsTable[GroupByKey]=DiscreteStatsTable[[#This Row],[GroupByKey]]),(DiscreteStatsTable[GroupByKey]=DiscreteStatsTable[[#This Row],[GroupByKey]])*DiscreteStatsTable[Average])),0)</f>
        <v>0.19060672289655917</v>
      </c>
      <c r="P299" s="5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 s="5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0.1363518355484904</v>
      </c>
      <c r="R299" s="5" cm="1">
        <f t="array" ref="R299">MIN(IF((DiscreteStatsTable[GroupByKey]=DiscreteStatsTable[[#This Row],[GroupByKey]]),(DiscreteStatsTable[GroupByKey]=DiscreteStatsTable[[#This Row],[GroupByKey]])*DiscreteStatsTable[Average]))</f>
        <v>0.37607609012155202</v>
      </c>
      <c r="S299" s="5" cm="1">
        <f t="array" ref="S299">MAX(IF((DiscreteStatsTable[GroupByKey]=DiscreteStatsTable[[#This Row],[GroupByKey]]),(DiscreteStatsTable[GroupByKey]=DiscreteStatsTable[[#This Row],[GroupByKey]])*DiscreteStatsTable[Average]))</f>
        <v>0.917362804937359</v>
      </c>
      <c r="T299" s="5" cm="1">
        <f t="array" ref="T299">MIN(IF((DiscreteStatsTable[GroupByKey]=DiscreteStatsTable[[#This Row],[GroupByKey]]),(DiscreteStatsTable[GroupByKey]=DiscreteStatsTable[[#This Row],[GroupByKey]])*DiscreteStatsTable[Minimum]))</f>
        <v>0</v>
      </c>
      <c r="U299" s="5" cm="1">
        <f t="array" ref="U299">MAX(IF((DiscreteStatsTable[GroupByKey]=DiscreteStatsTable[[#This Row],[GroupByKey]]),(DiscreteStatsTable[GroupByKey]=DiscreteStatsTable[[#This Row],[GroupByKey]])*DiscreteStatsTable[Maximum]))</f>
        <v>10.402532424877601</v>
      </c>
      <c r="V299" s="5" cm="1">
        <f t="array" ref="V299">IFERROR(AVERAGE(IF((DiscreteStatsTable[GroupByKey]=DiscreteStatsTable[[#This Row],[GroupByKey]]),(DiscreteStatsTable[GroupByKey]=DiscreteStatsTable[[#This Row],[GroupByKey]])*DiscreteStatsTable[NumberObservations])),0)</f>
        <v>161.5</v>
      </c>
      <c r="W299" s="5">
        <f>IF((DiscreteStatsTable[[#This Row],[RepsRequested]]&gt;1),DiscreteStatsTable[[#This Row],[HalfWidth]],DiscreteStatsTable[[#This Row],[BatchMeansHalfWidth]])</f>
        <v>0.1363518355484904</v>
      </c>
      <c r="X299" s="5" cm="1">
        <f t="array" ref="X299">COUNT(IF((DiscreteStatsTable[GroupByKey]=DiscreteStatsTable[[#This Row],[GroupByKey]]),(DiscreteStatsTable[GroupByKey]=DiscreteStatsTable[[#This Row],[GroupByKey]])*DiscreteStatsTable[Replication]))</f>
        <v>10</v>
      </c>
      <c r="Y299" s="5">
        <f>IF(DiscreteStatsTable[[#This Row],[RepsRequested]]=DiscreteStatsTable[[#This Row],[RepsWithStatObserved]],1,0)</f>
        <v>1</v>
      </c>
    </row>
    <row r="300" spans="1:25" x14ac:dyDescent="0.3">
      <c r="A300" t="s">
        <v>66</v>
      </c>
      <c r="B300" t="s">
        <v>68</v>
      </c>
      <c r="C300">
        <v>9</v>
      </c>
      <c r="D300" t="s">
        <v>96</v>
      </c>
      <c r="E300" t="s">
        <v>70</v>
      </c>
      <c r="F300" t="s">
        <v>71</v>
      </c>
      <c r="G300">
        <v>0.90139739420903697</v>
      </c>
      <c r="H300">
        <v>2E+20</v>
      </c>
      <c r="I300">
        <v>0</v>
      </c>
      <c r="J300">
        <v>7.8549639686333403</v>
      </c>
      <c r="K300">
        <v>191</v>
      </c>
      <c r="L300" s="5" t="str">
        <f>DiscreteStatsTable[[#This Row],[ProjectName]]&amp;DiscreteStatsTable[[#This Row],[Name]]&amp;DiscreteStatsTable[[#This Row],[Type]]&amp;DiscreteStatsTable[[#This Row],[Source]]</f>
        <v>Unnamed Projectmaquinanacional.QueueWaiting TimeQueue</v>
      </c>
      <c r="M300" s="5" cm="1">
        <f t="array" ref="M300">MAX(IF((ProjectInfoTable[ProjectName]=DiscreteStatsTable[[#This Row],[ProjectName]]),(ProjectInfoTable[ProjectName]=DiscreteStatsTable[[#This Row],[ProjectName]])*ProjectInfoTable[NumberOfReplications]))</f>
        <v>10</v>
      </c>
      <c r="N300" s="5" cm="1">
        <f t="array" ref="N300">IFERROR(AVERAGE(IF((DiscreteStatsTable[GroupByKey]=DiscreteStatsTable[[#This Row],[GroupByKey]]),(DiscreteStatsTable[GroupByKey]=DiscreteStatsTable[[#This Row],[GroupByKey]])*DiscreteStatsTable[Average])),0)</f>
        <v>0.747489081451579</v>
      </c>
      <c r="O300" s="5" cm="1">
        <f t="array" ref="O300">IFERROR(_xlfn.STDEV.S(IF((DiscreteStatsTable[GroupByKey]=DiscreteStatsTable[[#This Row],[GroupByKey]]),(DiscreteStatsTable[GroupByKey]=DiscreteStatsTable[[#This Row],[GroupByKey]])*DiscreteStatsTable[Average])),0)</f>
        <v>0.19060672289655917</v>
      </c>
      <c r="P300" s="5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 s="5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0.1363518355484904</v>
      </c>
      <c r="R300" s="5" cm="1">
        <f t="array" ref="R300">MIN(IF((DiscreteStatsTable[GroupByKey]=DiscreteStatsTable[[#This Row],[GroupByKey]]),(DiscreteStatsTable[GroupByKey]=DiscreteStatsTable[[#This Row],[GroupByKey]])*DiscreteStatsTable[Average]))</f>
        <v>0.37607609012155202</v>
      </c>
      <c r="S300" s="5" cm="1">
        <f t="array" ref="S300">MAX(IF((DiscreteStatsTable[GroupByKey]=DiscreteStatsTable[[#This Row],[GroupByKey]]),(DiscreteStatsTable[GroupByKey]=DiscreteStatsTable[[#This Row],[GroupByKey]])*DiscreteStatsTable[Average]))</f>
        <v>0.917362804937359</v>
      </c>
      <c r="T300" s="5" cm="1">
        <f t="array" ref="T300">MIN(IF((DiscreteStatsTable[GroupByKey]=DiscreteStatsTable[[#This Row],[GroupByKey]]),(DiscreteStatsTable[GroupByKey]=DiscreteStatsTable[[#This Row],[GroupByKey]])*DiscreteStatsTable[Minimum]))</f>
        <v>0</v>
      </c>
      <c r="U300" s="5" cm="1">
        <f t="array" ref="U300">MAX(IF((DiscreteStatsTable[GroupByKey]=DiscreteStatsTable[[#This Row],[GroupByKey]]),(DiscreteStatsTable[GroupByKey]=DiscreteStatsTable[[#This Row],[GroupByKey]])*DiscreteStatsTable[Maximum]))</f>
        <v>10.402532424877601</v>
      </c>
      <c r="V300" s="5" cm="1">
        <f t="array" ref="V300">IFERROR(AVERAGE(IF((DiscreteStatsTable[GroupByKey]=DiscreteStatsTable[[#This Row],[GroupByKey]]),(DiscreteStatsTable[GroupByKey]=DiscreteStatsTable[[#This Row],[GroupByKey]])*DiscreteStatsTable[NumberObservations])),0)</f>
        <v>161.5</v>
      </c>
      <c r="W300" s="5">
        <f>IF((DiscreteStatsTable[[#This Row],[RepsRequested]]&gt;1),DiscreteStatsTable[[#This Row],[HalfWidth]],DiscreteStatsTable[[#This Row],[BatchMeansHalfWidth]])</f>
        <v>0.1363518355484904</v>
      </c>
      <c r="X300" s="5" cm="1">
        <f t="array" ref="X300">COUNT(IF((DiscreteStatsTable[GroupByKey]=DiscreteStatsTable[[#This Row],[GroupByKey]]),(DiscreteStatsTable[GroupByKey]=DiscreteStatsTable[[#This Row],[GroupByKey]])*DiscreteStatsTable[Replication]))</f>
        <v>10</v>
      </c>
      <c r="Y300" s="5">
        <f>IF(DiscreteStatsTable[[#This Row],[RepsRequested]]=DiscreteStatsTable[[#This Row],[RepsWithStatObserved]],1,0)</f>
        <v>1</v>
      </c>
    </row>
    <row r="301" spans="1:25" x14ac:dyDescent="0.3">
      <c r="A301" t="s">
        <v>66</v>
      </c>
      <c r="B301" t="s">
        <v>68</v>
      </c>
      <c r="C301">
        <v>10</v>
      </c>
      <c r="D301" t="s">
        <v>96</v>
      </c>
      <c r="E301" t="s">
        <v>70</v>
      </c>
      <c r="F301" t="s">
        <v>71</v>
      </c>
      <c r="G301">
        <v>0.80866041134099897</v>
      </c>
      <c r="H301">
        <v>2E+20</v>
      </c>
      <c r="I301">
        <v>0</v>
      </c>
      <c r="J301">
        <v>6.8602190980317301</v>
      </c>
      <c r="K301">
        <v>159</v>
      </c>
      <c r="L301" s="5" t="str">
        <f>DiscreteStatsTable[[#This Row],[ProjectName]]&amp;DiscreteStatsTable[[#This Row],[Name]]&amp;DiscreteStatsTable[[#This Row],[Type]]&amp;DiscreteStatsTable[[#This Row],[Source]]</f>
        <v>Unnamed Projectmaquinanacional.QueueWaiting TimeQueue</v>
      </c>
      <c r="M301" s="5" cm="1">
        <f t="array" ref="M301">MAX(IF((ProjectInfoTable[ProjectName]=DiscreteStatsTable[[#This Row],[ProjectName]]),(ProjectInfoTable[ProjectName]=DiscreteStatsTable[[#This Row],[ProjectName]])*ProjectInfoTable[NumberOfReplications]))</f>
        <v>10</v>
      </c>
      <c r="N301" s="5" cm="1">
        <f t="array" ref="N301">IFERROR(AVERAGE(IF((DiscreteStatsTable[GroupByKey]=DiscreteStatsTable[[#This Row],[GroupByKey]]),(DiscreteStatsTable[GroupByKey]=DiscreteStatsTable[[#This Row],[GroupByKey]])*DiscreteStatsTable[Average])),0)</f>
        <v>0.747489081451579</v>
      </c>
      <c r="O301" s="5" cm="1">
        <f t="array" ref="O301">IFERROR(_xlfn.STDEV.S(IF((DiscreteStatsTable[GroupByKey]=DiscreteStatsTable[[#This Row],[GroupByKey]]),(DiscreteStatsTable[GroupByKey]=DiscreteStatsTable[[#This Row],[GroupByKey]])*DiscreteStatsTable[Average])),0)</f>
        <v>0.19060672289655917</v>
      </c>
      <c r="P301" s="5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 s="5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0.1363518355484904</v>
      </c>
      <c r="R301" s="5" cm="1">
        <f t="array" ref="R301">MIN(IF((DiscreteStatsTable[GroupByKey]=DiscreteStatsTable[[#This Row],[GroupByKey]]),(DiscreteStatsTable[GroupByKey]=DiscreteStatsTable[[#This Row],[GroupByKey]])*DiscreteStatsTable[Average]))</f>
        <v>0.37607609012155202</v>
      </c>
      <c r="S301" s="5" cm="1">
        <f t="array" ref="S301">MAX(IF((DiscreteStatsTable[GroupByKey]=DiscreteStatsTable[[#This Row],[GroupByKey]]),(DiscreteStatsTable[GroupByKey]=DiscreteStatsTable[[#This Row],[GroupByKey]])*DiscreteStatsTable[Average]))</f>
        <v>0.917362804937359</v>
      </c>
      <c r="T301" s="5" cm="1">
        <f t="array" ref="T301">MIN(IF((DiscreteStatsTable[GroupByKey]=DiscreteStatsTable[[#This Row],[GroupByKey]]),(DiscreteStatsTable[GroupByKey]=DiscreteStatsTable[[#This Row],[GroupByKey]])*DiscreteStatsTable[Minimum]))</f>
        <v>0</v>
      </c>
      <c r="U301" s="5" cm="1">
        <f t="array" ref="U301">MAX(IF((DiscreteStatsTable[GroupByKey]=DiscreteStatsTable[[#This Row],[GroupByKey]]),(DiscreteStatsTable[GroupByKey]=DiscreteStatsTable[[#This Row],[GroupByKey]])*DiscreteStatsTable[Maximum]))</f>
        <v>10.402532424877601</v>
      </c>
      <c r="V301" s="5" cm="1">
        <f t="array" ref="V301">IFERROR(AVERAGE(IF((DiscreteStatsTable[GroupByKey]=DiscreteStatsTable[[#This Row],[GroupByKey]]),(DiscreteStatsTable[GroupByKey]=DiscreteStatsTable[[#This Row],[GroupByKey]])*DiscreteStatsTable[NumberObservations])),0)</f>
        <v>161.5</v>
      </c>
      <c r="W301" s="5">
        <f>IF((DiscreteStatsTable[[#This Row],[RepsRequested]]&gt;1),DiscreteStatsTable[[#This Row],[HalfWidth]],DiscreteStatsTable[[#This Row],[BatchMeansHalfWidth]])</f>
        <v>0.1363518355484904</v>
      </c>
      <c r="X301" s="5" cm="1">
        <f t="array" ref="X301">COUNT(IF((DiscreteStatsTable[GroupByKey]=DiscreteStatsTable[[#This Row],[GroupByKey]]),(DiscreteStatsTable[GroupByKey]=DiscreteStatsTable[[#This Row],[GroupByKey]])*DiscreteStatsTable[Replication]))</f>
        <v>10</v>
      </c>
      <c r="Y301" s="5">
        <f>IF(DiscreteStatsTable[[#This Row],[RepsRequested]]=DiscreteStatsTable[[#This Row],[RepsWithStatObserved]],1,0)</f>
        <v>1</v>
      </c>
    </row>
    <row r="302" spans="1:25" x14ac:dyDescent="0.3">
      <c r="A302" t="s">
        <v>66</v>
      </c>
      <c r="B302" t="s">
        <v>68</v>
      </c>
      <c r="C302">
        <v>1</v>
      </c>
      <c r="D302" t="s">
        <v>97</v>
      </c>
      <c r="E302" t="s">
        <v>70</v>
      </c>
      <c r="F302" t="s">
        <v>71</v>
      </c>
      <c r="G302">
        <v>1.06060417498293</v>
      </c>
      <c r="H302">
        <v>2E+20</v>
      </c>
      <c r="I302">
        <v>0</v>
      </c>
      <c r="J302">
        <v>10.1060765196916</v>
      </c>
      <c r="K302">
        <v>82</v>
      </c>
      <c r="L302" s="5" t="str">
        <f>DiscreteStatsTable[[#This Row],[ProjectName]]&amp;DiscreteStatsTable[[#This Row],[Name]]&amp;DiscreteStatsTable[[#This Row],[Type]]&amp;DiscreteStatsTable[[#This Row],[Source]]</f>
        <v>Unnamed Projectmostrador1.QueueWaiting TimeQueue</v>
      </c>
      <c r="M302" s="5" cm="1">
        <f t="array" ref="M302">MAX(IF((ProjectInfoTable[ProjectName]=DiscreteStatsTable[[#This Row],[ProjectName]]),(ProjectInfoTable[ProjectName]=DiscreteStatsTable[[#This Row],[ProjectName]])*ProjectInfoTable[NumberOfReplications]))</f>
        <v>10</v>
      </c>
      <c r="N302" s="5" cm="1">
        <f t="array" ref="N302">IFERROR(AVERAGE(IF((DiscreteStatsTable[GroupByKey]=DiscreteStatsTable[[#This Row],[GroupByKey]]),(DiscreteStatsTable[GroupByKey]=DiscreteStatsTable[[#This Row],[GroupByKey]])*DiscreteStatsTable[Average])),0)</f>
        <v>1.629848414966363</v>
      </c>
      <c r="O302" s="5" cm="1">
        <f t="array" ref="O302">IFERROR(_xlfn.STDEV.S(IF((DiscreteStatsTable[GroupByKey]=DiscreteStatsTable[[#This Row],[GroupByKey]]),(DiscreteStatsTable[GroupByKey]=DiscreteStatsTable[[#This Row],[GroupByKey]])*DiscreteStatsTable[Average])),0)</f>
        <v>0.49941564973950264</v>
      </c>
      <c r="P302" s="5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 s="5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0.35726043399097979</v>
      </c>
      <c r="R302" s="5" cm="1">
        <f t="array" ref="R302">MIN(IF((DiscreteStatsTable[GroupByKey]=DiscreteStatsTable[[#This Row],[GroupByKey]]),(DiscreteStatsTable[GroupByKey]=DiscreteStatsTable[[#This Row],[GroupByKey]])*DiscreteStatsTable[Average]))</f>
        <v>0.86566386323483102</v>
      </c>
      <c r="S302" s="5" cm="1">
        <f t="array" ref="S302">MAX(IF((DiscreteStatsTable[GroupByKey]=DiscreteStatsTable[[#This Row],[GroupByKey]]),(DiscreteStatsTable[GroupByKey]=DiscreteStatsTable[[#This Row],[GroupByKey]])*DiscreteStatsTable[Average]))</f>
        <v>2.39065565653069</v>
      </c>
      <c r="T302" s="5" cm="1">
        <f t="array" ref="T302">MIN(IF((DiscreteStatsTable[GroupByKey]=DiscreteStatsTable[[#This Row],[GroupByKey]]),(DiscreteStatsTable[GroupByKey]=DiscreteStatsTable[[#This Row],[GroupByKey]])*DiscreteStatsTable[Minimum]))</f>
        <v>0</v>
      </c>
      <c r="U302" s="5" cm="1">
        <f t="array" ref="U302">MAX(IF((DiscreteStatsTable[GroupByKey]=DiscreteStatsTable[[#This Row],[GroupByKey]]),(DiscreteStatsTable[GroupByKey]=DiscreteStatsTable[[#This Row],[GroupByKey]])*DiscreteStatsTable[Maximum]))</f>
        <v>18.5346844444935</v>
      </c>
      <c r="V302" s="5" cm="1">
        <f t="array" ref="V302">IFERROR(AVERAGE(IF((DiscreteStatsTable[GroupByKey]=DiscreteStatsTable[[#This Row],[GroupByKey]]),(DiscreteStatsTable[GroupByKey]=DiscreteStatsTable[[#This Row],[GroupByKey]])*DiscreteStatsTable[NumberObservations])),0)</f>
        <v>89.7</v>
      </c>
      <c r="W302" s="5">
        <f>IF((DiscreteStatsTable[[#This Row],[RepsRequested]]&gt;1),DiscreteStatsTable[[#This Row],[HalfWidth]],DiscreteStatsTable[[#This Row],[BatchMeansHalfWidth]])</f>
        <v>0.35726043399097979</v>
      </c>
      <c r="X302" s="5" cm="1">
        <f t="array" ref="X302">COUNT(IF((DiscreteStatsTable[GroupByKey]=DiscreteStatsTable[[#This Row],[GroupByKey]]),(DiscreteStatsTable[GroupByKey]=DiscreteStatsTable[[#This Row],[GroupByKey]])*DiscreteStatsTable[Replication]))</f>
        <v>10</v>
      </c>
      <c r="Y302" s="5">
        <f>IF(DiscreteStatsTable[[#This Row],[RepsRequested]]=DiscreteStatsTable[[#This Row],[RepsWithStatObserved]],1,0)</f>
        <v>1</v>
      </c>
    </row>
    <row r="303" spans="1:25" x14ac:dyDescent="0.3">
      <c r="A303" t="s">
        <v>66</v>
      </c>
      <c r="B303" t="s">
        <v>68</v>
      </c>
      <c r="C303">
        <v>2</v>
      </c>
      <c r="D303" t="s">
        <v>97</v>
      </c>
      <c r="E303" t="s">
        <v>70</v>
      </c>
      <c r="F303" t="s">
        <v>71</v>
      </c>
      <c r="G303">
        <v>1.4523069614961599</v>
      </c>
      <c r="H303">
        <v>2E+20</v>
      </c>
      <c r="I303">
        <v>0</v>
      </c>
      <c r="J303">
        <v>10.4492600679981</v>
      </c>
      <c r="K303">
        <v>85</v>
      </c>
      <c r="L303" s="5" t="str">
        <f>DiscreteStatsTable[[#This Row],[ProjectName]]&amp;DiscreteStatsTable[[#This Row],[Name]]&amp;DiscreteStatsTable[[#This Row],[Type]]&amp;DiscreteStatsTable[[#This Row],[Source]]</f>
        <v>Unnamed Projectmostrador1.QueueWaiting TimeQueue</v>
      </c>
      <c r="M303" s="5" cm="1">
        <f t="array" ref="M303">MAX(IF((ProjectInfoTable[ProjectName]=DiscreteStatsTable[[#This Row],[ProjectName]]),(ProjectInfoTable[ProjectName]=DiscreteStatsTable[[#This Row],[ProjectName]])*ProjectInfoTable[NumberOfReplications]))</f>
        <v>10</v>
      </c>
      <c r="N303" s="5" cm="1">
        <f t="array" ref="N303">IFERROR(AVERAGE(IF((DiscreteStatsTable[GroupByKey]=DiscreteStatsTable[[#This Row],[GroupByKey]]),(DiscreteStatsTable[GroupByKey]=DiscreteStatsTable[[#This Row],[GroupByKey]])*DiscreteStatsTable[Average])),0)</f>
        <v>1.629848414966363</v>
      </c>
      <c r="O303" s="5" cm="1">
        <f t="array" ref="O303">IFERROR(_xlfn.STDEV.S(IF((DiscreteStatsTable[GroupByKey]=DiscreteStatsTable[[#This Row],[GroupByKey]]),(DiscreteStatsTable[GroupByKey]=DiscreteStatsTable[[#This Row],[GroupByKey]])*DiscreteStatsTable[Average])),0)</f>
        <v>0.49941564973950264</v>
      </c>
      <c r="P303" s="5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 s="5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0.35726043399097979</v>
      </c>
      <c r="R303" s="5" cm="1">
        <f t="array" ref="R303">MIN(IF((DiscreteStatsTable[GroupByKey]=DiscreteStatsTable[[#This Row],[GroupByKey]]),(DiscreteStatsTable[GroupByKey]=DiscreteStatsTable[[#This Row],[GroupByKey]])*DiscreteStatsTable[Average]))</f>
        <v>0.86566386323483102</v>
      </c>
      <c r="S303" s="5" cm="1">
        <f t="array" ref="S303">MAX(IF((DiscreteStatsTable[GroupByKey]=DiscreteStatsTable[[#This Row],[GroupByKey]]),(DiscreteStatsTable[GroupByKey]=DiscreteStatsTable[[#This Row],[GroupByKey]])*DiscreteStatsTable[Average]))</f>
        <v>2.39065565653069</v>
      </c>
      <c r="T303" s="5" cm="1">
        <f t="array" ref="T303">MIN(IF((DiscreteStatsTable[GroupByKey]=DiscreteStatsTable[[#This Row],[GroupByKey]]),(DiscreteStatsTable[GroupByKey]=DiscreteStatsTable[[#This Row],[GroupByKey]])*DiscreteStatsTable[Minimum]))</f>
        <v>0</v>
      </c>
      <c r="U303" s="5" cm="1">
        <f t="array" ref="U303">MAX(IF((DiscreteStatsTable[GroupByKey]=DiscreteStatsTable[[#This Row],[GroupByKey]]),(DiscreteStatsTable[GroupByKey]=DiscreteStatsTable[[#This Row],[GroupByKey]])*DiscreteStatsTable[Maximum]))</f>
        <v>18.5346844444935</v>
      </c>
      <c r="V303" s="5" cm="1">
        <f t="array" ref="V303">IFERROR(AVERAGE(IF((DiscreteStatsTable[GroupByKey]=DiscreteStatsTable[[#This Row],[GroupByKey]]),(DiscreteStatsTable[GroupByKey]=DiscreteStatsTable[[#This Row],[GroupByKey]])*DiscreteStatsTable[NumberObservations])),0)</f>
        <v>89.7</v>
      </c>
      <c r="W303" s="5">
        <f>IF((DiscreteStatsTable[[#This Row],[RepsRequested]]&gt;1),DiscreteStatsTable[[#This Row],[HalfWidth]],DiscreteStatsTable[[#This Row],[BatchMeansHalfWidth]])</f>
        <v>0.35726043399097979</v>
      </c>
      <c r="X303" s="5" cm="1">
        <f t="array" ref="X303">COUNT(IF((DiscreteStatsTable[GroupByKey]=DiscreteStatsTable[[#This Row],[GroupByKey]]),(DiscreteStatsTable[GroupByKey]=DiscreteStatsTable[[#This Row],[GroupByKey]])*DiscreteStatsTable[Replication]))</f>
        <v>10</v>
      </c>
      <c r="Y303" s="5">
        <f>IF(DiscreteStatsTable[[#This Row],[RepsRequested]]=DiscreteStatsTable[[#This Row],[RepsWithStatObserved]],1,0)</f>
        <v>1</v>
      </c>
    </row>
    <row r="304" spans="1:25" x14ac:dyDescent="0.3">
      <c r="A304" t="s">
        <v>66</v>
      </c>
      <c r="B304" t="s">
        <v>68</v>
      </c>
      <c r="C304">
        <v>3</v>
      </c>
      <c r="D304" t="s">
        <v>97</v>
      </c>
      <c r="E304" t="s">
        <v>70</v>
      </c>
      <c r="F304" t="s">
        <v>71</v>
      </c>
      <c r="G304">
        <v>0.86566386323483102</v>
      </c>
      <c r="H304">
        <v>2E+20</v>
      </c>
      <c r="I304">
        <v>0</v>
      </c>
      <c r="J304">
        <v>8.8676281650516593</v>
      </c>
      <c r="K304">
        <v>86</v>
      </c>
      <c r="L304" s="5" t="str">
        <f>DiscreteStatsTable[[#This Row],[ProjectName]]&amp;DiscreteStatsTable[[#This Row],[Name]]&amp;DiscreteStatsTable[[#This Row],[Type]]&amp;DiscreteStatsTable[[#This Row],[Source]]</f>
        <v>Unnamed Projectmostrador1.QueueWaiting TimeQueue</v>
      </c>
      <c r="M304" s="5" cm="1">
        <f t="array" ref="M304">MAX(IF((ProjectInfoTable[ProjectName]=DiscreteStatsTable[[#This Row],[ProjectName]]),(ProjectInfoTable[ProjectName]=DiscreteStatsTable[[#This Row],[ProjectName]])*ProjectInfoTable[NumberOfReplications]))</f>
        <v>10</v>
      </c>
      <c r="N304" s="5" cm="1">
        <f t="array" ref="N304">IFERROR(AVERAGE(IF((DiscreteStatsTable[GroupByKey]=DiscreteStatsTable[[#This Row],[GroupByKey]]),(DiscreteStatsTable[GroupByKey]=DiscreteStatsTable[[#This Row],[GroupByKey]])*DiscreteStatsTable[Average])),0)</f>
        <v>1.629848414966363</v>
      </c>
      <c r="O304" s="5" cm="1">
        <f t="array" ref="O304">IFERROR(_xlfn.STDEV.S(IF((DiscreteStatsTable[GroupByKey]=DiscreteStatsTable[[#This Row],[GroupByKey]]),(DiscreteStatsTable[GroupByKey]=DiscreteStatsTable[[#This Row],[GroupByKey]])*DiscreteStatsTable[Average])),0)</f>
        <v>0.49941564973950264</v>
      </c>
      <c r="P304" s="5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 s="5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0.35726043399097979</v>
      </c>
      <c r="R304" s="5" cm="1">
        <f t="array" ref="R304">MIN(IF((DiscreteStatsTable[GroupByKey]=DiscreteStatsTable[[#This Row],[GroupByKey]]),(DiscreteStatsTable[GroupByKey]=DiscreteStatsTable[[#This Row],[GroupByKey]])*DiscreteStatsTable[Average]))</f>
        <v>0.86566386323483102</v>
      </c>
      <c r="S304" s="5" cm="1">
        <f t="array" ref="S304">MAX(IF((DiscreteStatsTable[GroupByKey]=DiscreteStatsTable[[#This Row],[GroupByKey]]),(DiscreteStatsTable[GroupByKey]=DiscreteStatsTable[[#This Row],[GroupByKey]])*DiscreteStatsTable[Average]))</f>
        <v>2.39065565653069</v>
      </c>
      <c r="T304" s="5" cm="1">
        <f t="array" ref="T304">MIN(IF((DiscreteStatsTable[GroupByKey]=DiscreteStatsTable[[#This Row],[GroupByKey]]),(DiscreteStatsTable[GroupByKey]=DiscreteStatsTable[[#This Row],[GroupByKey]])*DiscreteStatsTable[Minimum]))</f>
        <v>0</v>
      </c>
      <c r="U304" s="5" cm="1">
        <f t="array" ref="U304">MAX(IF((DiscreteStatsTable[GroupByKey]=DiscreteStatsTable[[#This Row],[GroupByKey]]),(DiscreteStatsTable[GroupByKey]=DiscreteStatsTable[[#This Row],[GroupByKey]])*DiscreteStatsTable[Maximum]))</f>
        <v>18.5346844444935</v>
      </c>
      <c r="V304" s="5" cm="1">
        <f t="array" ref="V304">IFERROR(AVERAGE(IF((DiscreteStatsTable[GroupByKey]=DiscreteStatsTable[[#This Row],[GroupByKey]]),(DiscreteStatsTable[GroupByKey]=DiscreteStatsTable[[#This Row],[GroupByKey]])*DiscreteStatsTable[NumberObservations])),0)</f>
        <v>89.7</v>
      </c>
      <c r="W304" s="5">
        <f>IF((DiscreteStatsTable[[#This Row],[RepsRequested]]&gt;1),DiscreteStatsTable[[#This Row],[HalfWidth]],DiscreteStatsTable[[#This Row],[BatchMeansHalfWidth]])</f>
        <v>0.35726043399097979</v>
      </c>
      <c r="X304" s="5" cm="1">
        <f t="array" ref="X304">COUNT(IF((DiscreteStatsTable[GroupByKey]=DiscreteStatsTable[[#This Row],[GroupByKey]]),(DiscreteStatsTable[GroupByKey]=DiscreteStatsTable[[#This Row],[GroupByKey]])*DiscreteStatsTable[Replication]))</f>
        <v>10</v>
      </c>
      <c r="Y304" s="5">
        <f>IF(DiscreteStatsTable[[#This Row],[RepsRequested]]=DiscreteStatsTable[[#This Row],[RepsWithStatObserved]],1,0)</f>
        <v>1</v>
      </c>
    </row>
    <row r="305" spans="1:25" x14ac:dyDescent="0.3">
      <c r="A305" t="s">
        <v>66</v>
      </c>
      <c r="B305" t="s">
        <v>68</v>
      </c>
      <c r="C305">
        <v>4</v>
      </c>
      <c r="D305" t="s">
        <v>97</v>
      </c>
      <c r="E305" t="s">
        <v>70</v>
      </c>
      <c r="F305" t="s">
        <v>71</v>
      </c>
      <c r="G305">
        <v>1.7970822535341</v>
      </c>
      <c r="H305">
        <v>2E+20</v>
      </c>
      <c r="I305">
        <v>0</v>
      </c>
      <c r="J305">
        <v>11.786608250126701</v>
      </c>
      <c r="K305">
        <v>119</v>
      </c>
      <c r="L305" s="5" t="str">
        <f>DiscreteStatsTable[[#This Row],[ProjectName]]&amp;DiscreteStatsTable[[#This Row],[Name]]&amp;DiscreteStatsTable[[#This Row],[Type]]&amp;DiscreteStatsTable[[#This Row],[Source]]</f>
        <v>Unnamed Projectmostrador1.QueueWaiting TimeQueue</v>
      </c>
      <c r="M305" s="5" cm="1">
        <f t="array" ref="M305">MAX(IF((ProjectInfoTable[ProjectName]=DiscreteStatsTable[[#This Row],[ProjectName]]),(ProjectInfoTable[ProjectName]=DiscreteStatsTable[[#This Row],[ProjectName]])*ProjectInfoTable[NumberOfReplications]))</f>
        <v>10</v>
      </c>
      <c r="N305" s="5" cm="1">
        <f t="array" ref="N305">IFERROR(AVERAGE(IF((DiscreteStatsTable[GroupByKey]=DiscreteStatsTable[[#This Row],[GroupByKey]]),(DiscreteStatsTable[GroupByKey]=DiscreteStatsTable[[#This Row],[GroupByKey]])*DiscreteStatsTable[Average])),0)</f>
        <v>1.629848414966363</v>
      </c>
      <c r="O305" s="5" cm="1">
        <f t="array" ref="O305">IFERROR(_xlfn.STDEV.S(IF((DiscreteStatsTable[GroupByKey]=DiscreteStatsTable[[#This Row],[GroupByKey]]),(DiscreteStatsTable[GroupByKey]=DiscreteStatsTable[[#This Row],[GroupByKey]])*DiscreteStatsTable[Average])),0)</f>
        <v>0.49941564973950264</v>
      </c>
      <c r="P305" s="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 s="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0.35726043399097979</v>
      </c>
      <c r="R305" s="5" cm="1">
        <f t="array" ref="R305">MIN(IF((DiscreteStatsTable[GroupByKey]=DiscreteStatsTable[[#This Row],[GroupByKey]]),(DiscreteStatsTable[GroupByKey]=DiscreteStatsTable[[#This Row],[GroupByKey]])*DiscreteStatsTable[Average]))</f>
        <v>0.86566386323483102</v>
      </c>
      <c r="S305" s="5" cm="1">
        <f t="array" ref="S305">MAX(IF((DiscreteStatsTable[GroupByKey]=DiscreteStatsTable[[#This Row],[GroupByKey]]),(DiscreteStatsTable[GroupByKey]=DiscreteStatsTable[[#This Row],[GroupByKey]])*DiscreteStatsTable[Average]))</f>
        <v>2.39065565653069</v>
      </c>
      <c r="T305" s="5" cm="1">
        <f t="array" ref="T305">MIN(IF((DiscreteStatsTable[GroupByKey]=DiscreteStatsTable[[#This Row],[GroupByKey]]),(DiscreteStatsTable[GroupByKey]=DiscreteStatsTable[[#This Row],[GroupByKey]])*DiscreteStatsTable[Minimum]))</f>
        <v>0</v>
      </c>
      <c r="U305" s="5" cm="1">
        <f t="array" ref="U305">MAX(IF((DiscreteStatsTable[GroupByKey]=DiscreteStatsTable[[#This Row],[GroupByKey]]),(DiscreteStatsTable[GroupByKey]=DiscreteStatsTable[[#This Row],[GroupByKey]])*DiscreteStatsTable[Maximum]))</f>
        <v>18.5346844444935</v>
      </c>
      <c r="V305" s="5" cm="1">
        <f t="array" ref="V305">IFERROR(AVERAGE(IF((DiscreteStatsTable[GroupByKey]=DiscreteStatsTable[[#This Row],[GroupByKey]]),(DiscreteStatsTable[GroupByKey]=DiscreteStatsTable[[#This Row],[GroupByKey]])*DiscreteStatsTable[NumberObservations])),0)</f>
        <v>89.7</v>
      </c>
      <c r="W305" s="5">
        <f>IF((DiscreteStatsTable[[#This Row],[RepsRequested]]&gt;1),DiscreteStatsTable[[#This Row],[HalfWidth]],DiscreteStatsTable[[#This Row],[BatchMeansHalfWidth]])</f>
        <v>0.35726043399097979</v>
      </c>
      <c r="X305" s="5" cm="1">
        <f t="array" ref="X305">COUNT(IF((DiscreteStatsTable[GroupByKey]=DiscreteStatsTable[[#This Row],[GroupByKey]]),(DiscreteStatsTable[GroupByKey]=DiscreteStatsTable[[#This Row],[GroupByKey]])*DiscreteStatsTable[Replication]))</f>
        <v>10</v>
      </c>
      <c r="Y305" s="5">
        <f>IF(DiscreteStatsTable[[#This Row],[RepsRequested]]=DiscreteStatsTable[[#This Row],[RepsWithStatObserved]],1,0)</f>
        <v>1</v>
      </c>
    </row>
    <row r="306" spans="1:25" x14ac:dyDescent="0.3">
      <c r="A306" t="s">
        <v>66</v>
      </c>
      <c r="B306" t="s">
        <v>68</v>
      </c>
      <c r="C306">
        <v>5</v>
      </c>
      <c r="D306" t="s">
        <v>97</v>
      </c>
      <c r="E306" t="s">
        <v>70</v>
      </c>
      <c r="F306" t="s">
        <v>71</v>
      </c>
      <c r="G306">
        <v>2.39065565653069</v>
      </c>
      <c r="H306">
        <v>2E+20</v>
      </c>
      <c r="I306">
        <v>0</v>
      </c>
      <c r="J306">
        <v>17.669213588668001</v>
      </c>
      <c r="K306">
        <v>86</v>
      </c>
      <c r="L306" s="5" t="str">
        <f>DiscreteStatsTable[[#This Row],[ProjectName]]&amp;DiscreteStatsTable[[#This Row],[Name]]&amp;DiscreteStatsTable[[#This Row],[Type]]&amp;DiscreteStatsTable[[#This Row],[Source]]</f>
        <v>Unnamed Projectmostrador1.QueueWaiting TimeQueue</v>
      </c>
      <c r="M306" s="5" cm="1">
        <f t="array" ref="M306">MAX(IF((ProjectInfoTable[ProjectName]=DiscreteStatsTable[[#This Row],[ProjectName]]),(ProjectInfoTable[ProjectName]=DiscreteStatsTable[[#This Row],[ProjectName]])*ProjectInfoTable[NumberOfReplications]))</f>
        <v>10</v>
      </c>
      <c r="N306" s="5" cm="1">
        <f t="array" ref="N306">IFERROR(AVERAGE(IF((DiscreteStatsTable[GroupByKey]=DiscreteStatsTable[[#This Row],[GroupByKey]]),(DiscreteStatsTable[GroupByKey]=DiscreteStatsTable[[#This Row],[GroupByKey]])*DiscreteStatsTable[Average])),0)</f>
        <v>1.629848414966363</v>
      </c>
      <c r="O306" s="5" cm="1">
        <f t="array" ref="O306">IFERROR(_xlfn.STDEV.S(IF((DiscreteStatsTable[GroupByKey]=DiscreteStatsTable[[#This Row],[GroupByKey]]),(DiscreteStatsTable[GroupByKey]=DiscreteStatsTable[[#This Row],[GroupByKey]])*DiscreteStatsTable[Average])),0)</f>
        <v>0.49941564973950264</v>
      </c>
      <c r="P306" s="5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 s="5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0.35726043399097979</v>
      </c>
      <c r="R306" s="5" cm="1">
        <f t="array" ref="R306">MIN(IF((DiscreteStatsTable[GroupByKey]=DiscreteStatsTable[[#This Row],[GroupByKey]]),(DiscreteStatsTable[GroupByKey]=DiscreteStatsTable[[#This Row],[GroupByKey]])*DiscreteStatsTable[Average]))</f>
        <v>0.86566386323483102</v>
      </c>
      <c r="S306" s="5" cm="1">
        <f t="array" ref="S306">MAX(IF((DiscreteStatsTable[GroupByKey]=DiscreteStatsTable[[#This Row],[GroupByKey]]),(DiscreteStatsTable[GroupByKey]=DiscreteStatsTable[[#This Row],[GroupByKey]])*DiscreteStatsTable[Average]))</f>
        <v>2.39065565653069</v>
      </c>
      <c r="T306" s="5" cm="1">
        <f t="array" ref="T306">MIN(IF((DiscreteStatsTable[GroupByKey]=DiscreteStatsTable[[#This Row],[GroupByKey]]),(DiscreteStatsTable[GroupByKey]=DiscreteStatsTable[[#This Row],[GroupByKey]])*DiscreteStatsTable[Minimum]))</f>
        <v>0</v>
      </c>
      <c r="U306" s="5" cm="1">
        <f t="array" ref="U306">MAX(IF((DiscreteStatsTable[GroupByKey]=DiscreteStatsTable[[#This Row],[GroupByKey]]),(DiscreteStatsTable[GroupByKey]=DiscreteStatsTable[[#This Row],[GroupByKey]])*DiscreteStatsTable[Maximum]))</f>
        <v>18.5346844444935</v>
      </c>
      <c r="V306" s="5" cm="1">
        <f t="array" ref="V306">IFERROR(AVERAGE(IF((DiscreteStatsTable[GroupByKey]=DiscreteStatsTable[[#This Row],[GroupByKey]]),(DiscreteStatsTable[GroupByKey]=DiscreteStatsTable[[#This Row],[GroupByKey]])*DiscreteStatsTable[NumberObservations])),0)</f>
        <v>89.7</v>
      </c>
      <c r="W306" s="5">
        <f>IF((DiscreteStatsTable[[#This Row],[RepsRequested]]&gt;1),DiscreteStatsTable[[#This Row],[HalfWidth]],DiscreteStatsTable[[#This Row],[BatchMeansHalfWidth]])</f>
        <v>0.35726043399097979</v>
      </c>
      <c r="X306" s="5" cm="1">
        <f t="array" ref="X306">COUNT(IF((DiscreteStatsTable[GroupByKey]=DiscreteStatsTable[[#This Row],[GroupByKey]]),(DiscreteStatsTable[GroupByKey]=DiscreteStatsTable[[#This Row],[GroupByKey]])*DiscreteStatsTable[Replication]))</f>
        <v>10</v>
      </c>
      <c r="Y306" s="5">
        <f>IF(DiscreteStatsTable[[#This Row],[RepsRequested]]=DiscreteStatsTable[[#This Row],[RepsWithStatObserved]],1,0)</f>
        <v>1</v>
      </c>
    </row>
    <row r="307" spans="1:25" x14ac:dyDescent="0.3">
      <c r="A307" t="s">
        <v>66</v>
      </c>
      <c r="B307" t="s">
        <v>68</v>
      </c>
      <c r="C307">
        <v>6</v>
      </c>
      <c r="D307" t="s">
        <v>97</v>
      </c>
      <c r="E307" t="s">
        <v>70</v>
      </c>
      <c r="F307" t="s">
        <v>71</v>
      </c>
      <c r="G307">
        <v>2.0940024562042399</v>
      </c>
      <c r="H307">
        <v>2E+20</v>
      </c>
      <c r="I307">
        <v>0</v>
      </c>
      <c r="J307">
        <v>18.5346844444935</v>
      </c>
      <c r="K307">
        <v>94</v>
      </c>
      <c r="L307" s="5" t="str">
        <f>DiscreteStatsTable[[#This Row],[ProjectName]]&amp;DiscreteStatsTable[[#This Row],[Name]]&amp;DiscreteStatsTable[[#This Row],[Type]]&amp;DiscreteStatsTable[[#This Row],[Source]]</f>
        <v>Unnamed Projectmostrador1.QueueWaiting TimeQueue</v>
      </c>
      <c r="M307" s="5" cm="1">
        <f t="array" ref="M307">MAX(IF((ProjectInfoTable[ProjectName]=DiscreteStatsTable[[#This Row],[ProjectName]]),(ProjectInfoTable[ProjectName]=DiscreteStatsTable[[#This Row],[ProjectName]])*ProjectInfoTable[NumberOfReplications]))</f>
        <v>10</v>
      </c>
      <c r="N307" s="5" cm="1">
        <f t="array" ref="N307">IFERROR(AVERAGE(IF((DiscreteStatsTable[GroupByKey]=DiscreteStatsTable[[#This Row],[GroupByKey]]),(DiscreteStatsTable[GroupByKey]=DiscreteStatsTable[[#This Row],[GroupByKey]])*DiscreteStatsTable[Average])),0)</f>
        <v>1.629848414966363</v>
      </c>
      <c r="O307" s="5" cm="1">
        <f t="array" ref="O307">IFERROR(_xlfn.STDEV.S(IF((DiscreteStatsTable[GroupByKey]=DiscreteStatsTable[[#This Row],[GroupByKey]]),(DiscreteStatsTable[GroupByKey]=DiscreteStatsTable[[#This Row],[GroupByKey]])*DiscreteStatsTable[Average])),0)</f>
        <v>0.49941564973950264</v>
      </c>
      <c r="P307" s="5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 s="5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0.35726043399097979</v>
      </c>
      <c r="R307" s="5" cm="1">
        <f t="array" ref="R307">MIN(IF((DiscreteStatsTable[GroupByKey]=DiscreteStatsTable[[#This Row],[GroupByKey]]),(DiscreteStatsTable[GroupByKey]=DiscreteStatsTable[[#This Row],[GroupByKey]])*DiscreteStatsTable[Average]))</f>
        <v>0.86566386323483102</v>
      </c>
      <c r="S307" s="5" cm="1">
        <f t="array" ref="S307">MAX(IF((DiscreteStatsTable[GroupByKey]=DiscreteStatsTable[[#This Row],[GroupByKey]]),(DiscreteStatsTable[GroupByKey]=DiscreteStatsTable[[#This Row],[GroupByKey]])*DiscreteStatsTable[Average]))</f>
        <v>2.39065565653069</v>
      </c>
      <c r="T307" s="5" cm="1">
        <f t="array" ref="T307">MIN(IF((DiscreteStatsTable[GroupByKey]=DiscreteStatsTable[[#This Row],[GroupByKey]]),(DiscreteStatsTable[GroupByKey]=DiscreteStatsTable[[#This Row],[GroupByKey]])*DiscreteStatsTable[Minimum]))</f>
        <v>0</v>
      </c>
      <c r="U307" s="5" cm="1">
        <f t="array" ref="U307">MAX(IF((DiscreteStatsTable[GroupByKey]=DiscreteStatsTable[[#This Row],[GroupByKey]]),(DiscreteStatsTable[GroupByKey]=DiscreteStatsTable[[#This Row],[GroupByKey]])*DiscreteStatsTable[Maximum]))</f>
        <v>18.5346844444935</v>
      </c>
      <c r="V307" s="5" cm="1">
        <f t="array" ref="V307">IFERROR(AVERAGE(IF((DiscreteStatsTable[GroupByKey]=DiscreteStatsTable[[#This Row],[GroupByKey]]),(DiscreteStatsTable[GroupByKey]=DiscreteStatsTable[[#This Row],[GroupByKey]])*DiscreteStatsTable[NumberObservations])),0)</f>
        <v>89.7</v>
      </c>
      <c r="W307" s="5">
        <f>IF((DiscreteStatsTable[[#This Row],[RepsRequested]]&gt;1),DiscreteStatsTable[[#This Row],[HalfWidth]],DiscreteStatsTable[[#This Row],[BatchMeansHalfWidth]])</f>
        <v>0.35726043399097979</v>
      </c>
      <c r="X307" s="5" cm="1">
        <f t="array" ref="X307">COUNT(IF((DiscreteStatsTable[GroupByKey]=DiscreteStatsTable[[#This Row],[GroupByKey]]),(DiscreteStatsTable[GroupByKey]=DiscreteStatsTable[[#This Row],[GroupByKey]])*DiscreteStatsTable[Replication]))</f>
        <v>10</v>
      </c>
      <c r="Y307" s="5">
        <f>IF(DiscreteStatsTable[[#This Row],[RepsRequested]]=DiscreteStatsTable[[#This Row],[RepsWithStatObserved]],1,0)</f>
        <v>1</v>
      </c>
    </row>
    <row r="308" spans="1:25" x14ac:dyDescent="0.3">
      <c r="A308" t="s">
        <v>66</v>
      </c>
      <c r="B308" t="s">
        <v>68</v>
      </c>
      <c r="C308">
        <v>7</v>
      </c>
      <c r="D308" t="s">
        <v>97</v>
      </c>
      <c r="E308" t="s">
        <v>70</v>
      </c>
      <c r="F308" t="s">
        <v>71</v>
      </c>
      <c r="G308">
        <v>1.6613604324245099</v>
      </c>
      <c r="H308">
        <v>2E+20</v>
      </c>
      <c r="I308">
        <v>0</v>
      </c>
      <c r="J308">
        <v>9.8671467596435605</v>
      </c>
      <c r="K308">
        <v>72</v>
      </c>
      <c r="L308" s="5" t="str">
        <f>DiscreteStatsTable[[#This Row],[ProjectName]]&amp;DiscreteStatsTable[[#This Row],[Name]]&amp;DiscreteStatsTable[[#This Row],[Type]]&amp;DiscreteStatsTable[[#This Row],[Source]]</f>
        <v>Unnamed Projectmostrador1.QueueWaiting TimeQueue</v>
      </c>
      <c r="M308" s="5" cm="1">
        <f t="array" ref="M308">MAX(IF((ProjectInfoTable[ProjectName]=DiscreteStatsTable[[#This Row],[ProjectName]]),(ProjectInfoTable[ProjectName]=DiscreteStatsTable[[#This Row],[ProjectName]])*ProjectInfoTable[NumberOfReplications]))</f>
        <v>10</v>
      </c>
      <c r="N308" s="5" cm="1">
        <f t="array" ref="N308">IFERROR(AVERAGE(IF((DiscreteStatsTable[GroupByKey]=DiscreteStatsTable[[#This Row],[GroupByKey]]),(DiscreteStatsTable[GroupByKey]=DiscreteStatsTable[[#This Row],[GroupByKey]])*DiscreteStatsTable[Average])),0)</f>
        <v>1.629848414966363</v>
      </c>
      <c r="O308" s="5" cm="1">
        <f t="array" ref="O308">IFERROR(_xlfn.STDEV.S(IF((DiscreteStatsTable[GroupByKey]=DiscreteStatsTable[[#This Row],[GroupByKey]]),(DiscreteStatsTable[GroupByKey]=DiscreteStatsTable[[#This Row],[GroupByKey]])*DiscreteStatsTable[Average])),0)</f>
        <v>0.49941564973950264</v>
      </c>
      <c r="P308" s="5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 s="5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0.35726043399097979</v>
      </c>
      <c r="R308" s="5" cm="1">
        <f t="array" ref="R308">MIN(IF((DiscreteStatsTable[GroupByKey]=DiscreteStatsTable[[#This Row],[GroupByKey]]),(DiscreteStatsTable[GroupByKey]=DiscreteStatsTable[[#This Row],[GroupByKey]])*DiscreteStatsTable[Average]))</f>
        <v>0.86566386323483102</v>
      </c>
      <c r="S308" s="5" cm="1">
        <f t="array" ref="S308">MAX(IF((DiscreteStatsTable[GroupByKey]=DiscreteStatsTable[[#This Row],[GroupByKey]]),(DiscreteStatsTable[GroupByKey]=DiscreteStatsTable[[#This Row],[GroupByKey]])*DiscreteStatsTable[Average]))</f>
        <v>2.39065565653069</v>
      </c>
      <c r="T308" s="5" cm="1">
        <f t="array" ref="T308">MIN(IF((DiscreteStatsTable[GroupByKey]=DiscreteStatsTable[[#This Row],[GroupByKey]]),(DiscreteStatsTable[GroupByKey]=DiscreteStatsTable[[#This Row],[GroupByKey]])*DiscreteStatsTable[Minimum]))</f>
        <v>0</v>
      </c>
      <c r="U308" s="5" cm="1">
        <f t="array" ref="U308">MAX(IF((DiscreteStatsTable[GroupByKey]=DiscreteStatsTable[[#This Row],[GroupByKey]]),(DiscreteStatsTable[GroupByKey]=DiscreteStatsTable[[#This Row],[GroupByKey]])*DiscreteStatsTable[Maximum]))</f>
        <v>18.5346844444935</v>
      </c>
      <c r="V308" s="5" cm="1">
        <f t="array" ref="V308">IFERROR(AVERAGE(IF((DiscreteStatsTable[GroupByKey]=DiscreteStatsTable[[#This Row],[GroupByKey]]),(DiscreteStatsTable[GroupByKey]=DiscreteStatsTable[[#This Row],[GroupByKey]])*DiscreteStatsTable[NumberObservations])),0)</f>
        <v>89.7</v>
      </c>
      <c r="W308" s="5">
        <f>IF((DiscreteStatsTable[[#This Row],[RepsRequested]]&gt;1),DiscreteStatsTable[[#This Row],[HalfWidth]],DiscreteStatsTable[[#This Row],[BatchMeansHalfWidth]])</f>
        <v>0.35726043399097979</v>
      </c>
      <c r="X308" s="5" cm="1">
        <f t="array" ref="X308">COUNT(IF((DiscreteStatsTable[GroupByKey]=DiscreteStatsTable[[#This Row],[GroupByKey]]),(DiscreteStatsTable[GroupByKey]=DiscreteStatsTable[[#This Row],[GroupByKey]])*DiscreteStatsTable[Replication]))</f>
        <v>10</v>
      </c>
      <c r="Y308" s="5">
        <f>IF(DiscreteStatsTable[[#This Row],[RepsRequested]]=DiscreteStatsTable[[#This Row],[RepsWithStatObserved]],1,0)</f>
        <v>1</v>
      </c>
    </row>
    <row r="309" spans="1:25" x14ac:dyDescent="0.3">
      <c r="A309" t="s">
        <v>66</v>
      </c>
      <c r="B309" t="s">
        <v>68</v>
      </c>
      <c r="C309">
        <v>8</v>
      </c>
      <c r="D309" t="s">
        <v>97</v>
      </c>
      <c r="E309" t="s">
        <v>70</v>
      </c>
      <c r="F309" t="s">
        <v>71</v>
      </c>
      <c r="G309">
        <v>1.8685484203486</v>
      </c>
      <c r="H309">
        <v>2E+20</v>
      </c>
      <c r="I309">
        <v>0</v>
      </c>
      <c r="J309">
        <v>11.325463521988199</v>
      </c>
      <c r="K309">
        <v>76</v>
      </c>
      <c r="L309" s="5" t="str">
        <f>DiscreteStatsTable[[#This Row],[ProjectName]]&amp;DiscreteStatsTable[[#This Row],[Name]]&amp;DiscreteStatsTable[[#This Row],[Type]]&amp;DiscreteStatsTable[[#This Row],[Source]]</f>
        <v>Unnamed Projectmostrador1.QueueWaiting TimeQueue</v>
      </c>
      <c r="M309" s="5" cm="1">
        <f t="array" ref="M309">MAX(IF((ProjectInfoTable[ProjectName]=DiscreteStatsTable[[#This Row],[ProjectName]]),(ProjectInfoTable[ProjectName]=DiscreteStatsTable[[#This Row],[ProjectName]])*ProjectInfoTable[NumberOfReplications]))</f>
        <v>10</v>
      </c>
      <c r="N309" s="5" cm="1">
        <f t="array" ref="N309">IFERROR(AVERAGE(IF((DiscreteStatsTable[GroupByKey]=DiscreteStatsTable[[#This Row],[GroupByKey]]),(DiscreteStatsTable[GroupByKey]=DiscreteStatsTable[[#This Row],[GroupByKey]])*DiscreteStatsTable[Average])),0)</f>
        <v>1.629848414966363</v>
      </c>
      <c r="O309" s="5" cm="1">
        <f t="array" ref="O309">IFERROR(_xlfn.STDEV.S(IF((DiscreteStatsTable[GroupByKey]=DiscreteStatsTable[[#This Row],[GroupByKey]]),(DiscreteStatsTable[GroupByKey]=DiscreteStatsTable[[#This Row],[GroupByKey]])*DiscreteStatsTable[Average])),0)</f>
        <v>0.49941564973950264</v>
      </c>
      <c r="P309" s="5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 s="5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0.35726043399097979</v>
      </c>
      <c r="R309" s="5" cm="1">
        <f t="array" ref="R309">MIN(IF((DiscreteStatsTable[GroupByKey]=DiscreteStatsTable[[#This Row],[GroupByKey]]),(DiscreteStatsTable[GroupByKey]=DiscreteStatsTable[[#This Row],[GroupByKey]])*DiscreteStatsTable[Average]))</f>
        <v>0.86566386323483102</v>
      </c>
      <c r="S309" s="5" cm="1">
        <f t="array" ref="S309">MAX(IF((DiscreteStatsTable[GroupByKey]=DiscreteStatsTable[[#This Row],[GroupByKey]]),(DiscreteStatsTable[GroupByKey]=DiscreteStatsTable[[#This Row],[GroupByKey]])*DiscreteStatsTable[Average]))</f>
        <v>2.39065565653069</v>
      </c>
      <c r="T309" s="5" cm="1">
        <f t="array" ref="T309">MIN(IF((DiscreteStatsTable[GroupByKey]=DiscreteStatsTable[[#This Row],[GroupByKey]]),(DiscreteStatsTable[GroupByKey]=DiscreteStatsTable[[#This Row],[GroupByKey]])*DiscreteStatsTable[Minimum]))</f>
        <v>0</v>
      </c>
      <c r="U309" s="5" cm="1">
        <f t="array" ref="U309">MAX(IF((DiscreteStatsTable[GroupByKey]=DiscreteStatsTable[[#This Row],[GroupByKey]]),(DiscreteStatsTable[GroupByKey]=DiscreteStatsTable[[#This Row],[GroupByKey]])*DiscreteStatsTable[Maximum]))</f>
        <v>18.5346844444935</v>
      </c>
      <c r="V309" s="5" cm="1">
        <f t="array" ref="V309">IFERROR(AVERAGE(IF((DiscreteStatsTable[GroupByKey]=DiscreteStatsTable[[#This Row],[GroupByKey]]),(DiscreteStatsTable[GroupByKey]=DiscreteStatsTable[[#This Row],[GroupByKey]])*DiscreteStatsTable[NumberObservations])),0)</f>
        <v>89.7</v>
      </c>
      <c r="W309" s="5">
        <f>IF((DiscreteStatsTable[[#This Row],[RepsRequested]]&gt;1),DiscreteStatsTable[[#This Row],[HalfWidth]],DiscreteStatsTable[[#This Row],[BatchMeansHalfWidth]])</f>
        <v>0.35726043399097979</v>
      </c>
      <c r="X309" s="5" cm="1">
        <f t="array" ref="X309">COUNT(IF((DiscreteStatsTable[GroupByKey]=DiscreteStatsTable[[#This Row],[GroupByKey]]),(DiscreteStatsTable[GroupByKey]=DiscreteStatsTable[[#This Row],[GroupByKey]])*DiscreteStatsTable[Replication]))</f>
        <v>10</v>
      </c>
      <c r="Y309" s="5">
        <f>IF(DiscreteStatsTable[[#This Row],[RepsRequested]]=DiscreteStatsTable[[#This Row],[RepsWithStatObserved]],1,0)</f>
        <v>1</v>
      </c>
    </row>
    <row r="310" spans="1:25" x14ac:dyDescent="0.3">
      <c r="A310" t="s">
        <v>66</v>
      </c>
      <c r="B310" t="s">
        <v>68</v>
      </c>
      <c r="C310">
        <v>9</v>
      </c>
      <c r="D310" t="s">
        <v>97</v>
      </c>
      <c r="E310" t="s">
        <v>70</v>
      </c>
      <c r="F310" t="s">
        <v>71</v>
      </c>
      <c r="G310">
        <v>2.00884683488992</v>
      </c>
      <c r="H310">
        <v>2E+20</v>
      </c>
      <c r="I310">
        <v>0</v>
      </c>
      <c r="J310">
        <v>11.512819933410499</v>
      </c>
      <c r="K310">
        <v>114</v>
      </c>
      <c r="L310" s="5" t="str">
        <f>DiscreteStatsTable[[#This Row],[ProjectName]]&amp;DiscreteStatsTable[[#This Row],[Name]]&amp;DiscreteStatsTable[[#This Row],[Type]]&amp;DiscreteStatsTable[[#This Row],[Source]]</f>
        <v>Unnamed Projectmostrador1.QueueWaiting TimeQueue</v>
      </c>
      <c r="M310" s="5" cm="1">
        <f t="array" ref="M310">MAX(IF((ProjectInfoTable[ProjectName]=DiscreteStatsTable[[#This Row],[ProjectName]]),(ProjectInfoTable[ProjectName]=DiscreteStatsTable[[#This Row],[ProjectName]])*ProjectInfoTable[NumberOfReplications]))</f>
        <v>10</v>
      </c>
      <c r="N310" s="5" cm="1">
        <f t="array" ref="N310">IFERROR(AVERAGE(IF((DiscreteStatsTable[GroupByKey]=DiscreteStatsTable[[#This Row],[GroupByKey]]),(DiscreteStatsTable[GroupByKey]=DiscreteStatsTable[[#This Row],[GroupByKey]])*DiscreteStatsTable[Average])),0)</f>
        <v>1.629848414966363</v>
      </c>
      <c r="O310" s="5" cm="1">
        <f t="array" ref="O310">IFERROR(_xlfn.STDEV.S(IF((DiscreteStatsTable[GroupByKey]=DiscreteStatsTable[[#This Row],[GroupByKey]]),(DiscreteStatsTable[GroupByKey]=DiscreteStatsTable[[#This Row],[GroupByKey]])*DiscreteStatsTable[Average])),0)</f>
        <v>0.49941564973950264</v>
      </c>
      <c r="P310" s="5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 s="5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0.35726043399097979</v>
      </c>
      <c r="R310" s="5" cm="1">
        <f t="array" ref="R310">MIN(IF((DiscreteStatsTable[GroupByKey]=DiscreteStatsTable[[#This Row],[GroupByKey]]),(DiscreteStatsTable[GroupByKey]=DiscreteStatsTable[[#This Row],[GroupByKey]])*DiscreteStatsTable[Average]))</f>
        <v>0.86566386323483102</v>
      </c>
      <c r="S310" s="5" cm="1">
        <f t="array" ref="S310">MAX(IF((DiscreteStatsTable[GroupByKey]=DiscreteStatsTable[[#This Row],[GroupByKey]]),(DiscreteStatsTable[GroupByKey]=DiscreteStatsTable[[#This Row],[GroupByKey]])*DiscreteStatsTable[Average]))</f>
        <v>2.39065565653069</v>
      </c>
      <c r="T310" s="5" cm="1">
        <f t="array" ref="T310">MIN(IF((DiscreteStatsTable[GroupByKey]=DiscreteStatsTable[[#This Row],[GroupByKey]]),(DiscreteStatsTable[GroupByKey]=DiscreteStatsTable[[#This Row],[GroupByKey]])*DiscreteStatsTable[Minimum]))</f>
        <v>0</v>
      </c>
      <c r="U310" s="5" cm="1">
        <f t="array" ref="U310">MAX(IF((DiscreteStatsTable[GroupByKey]=DiscreteStatsTable[[#This Row],[GroupByKey]]),(DiscreteStatsTable[GroupByKey]=DiscreteStatsTable[[#This Row],[GroupByKey]])*DiscreteStatsTable[Maximum]))</f>
        <v>18.5346844444935</v>
      </c>
      <c r="V310" s="5" cm="1">
        <f t="array" ref="V310">IFERROR(AVERAGE(IF((DiscreteStatsTable[GroupByKey]=DiscreteStatsTable[[#This Row],[GroupByKey]]),(DiscreteStatsTable[GroupByKey]=DiscreteStatsTable[[#This Row],[GroupByKey]])*DiscreteStatsTable[NumberObservations])),0)</f>
        <v>89.7</v>
      </c>
      <c r="W310" s="5">
        <f>IF((DiscreteStatsTable[[#This Row],[RepsRequested]]&gt;1),DiscreteStatsTable[[#This Row],[HalfWidth]],DiscreteStatsTable[[#This Row],[BatchMeansHalfWidth]])</f>
        <v>0.35726043399097979</v>
      </c>
      <c r="X310" s="5" cm="1">
        <f t="array" ref="X310">COUNT(IF((DiscreteStatsTable[GroupByKey]=DiscreteStatsTable[[#This Row],[GroupByKey]]),(DiscreteStatsTable[GroupByKey]=DiscreteStatsTable[[#This Row],[GroupByKey]])*DiscreteStatsTable[Replication]))</f>
        <v>10</v>
      </c>
      <c r="Y310" s="5">
        <f>IF(DiscreteStatsTable[[#This Row],[RepsRequested]]=DiscreteStatsTable[[#This Row],[RepsWithStatObserved]],1,0)</f>
        <v>1</v>
      </c>
    </row>
    <row r="311" spans="1:25" x14ac:dyDescent="0.3">
      <c r="A311" t="s">
        <v>66</v>
      </c>
      <c r="B311" t="s">
        <v>68</v>
      </c>
      <c r="C311">
        <v>10</v>
      </c>
      <c r="D311" t="s">
        <v>97</v>
      </c>
      <c r="E311" t="s">
        <v>70</v>
      </c>
      <c r="F311" t="s">
        <v>71</v>
      </c>
      <c r="G311">
        <v>1.09941309601765</v>
      </c>
      <c r="H311">
        <v>2E+20</v>
      </c>
      <c r="I311">
        <v>0</v>
      </c>
      <c r="J311">
        <v>9.0250784035802099</v>
      </c>
      <c r="K311">
        <v>83</v>
      </c>
      <c r="L311" s="5" t="str">
        <f>DiscreteStatsTable[[#This Row],[ProjectName]]&amp;DiscreteStatsTable[[#This Row],[Name]]&amp;DiscreteStatsTable[[#This Row],[Type]]&amp;DiscreteStatsTable[[#This Row],[Source]]</f>
        <v>Unnamed Projectmostrador1.QueueWaiting TimeQueue</v>
      </c>
      <c r="M311" s="5" cm="1">
        <f t="array" ref="M311">MAX(IF((ProjectInfoTable[ProjectName]=DiscreteStatsTable[[#This Row],[ProjectName]]),(ProjectInfoTable[ProjectName]=DiscreteStatsTable[[#This Row],[ProjectName]])*ProjectInfoTable[NumberOfReplications]))</f>
        <v>10</v>
      </c>
      <c r="N311" s="5" cm="1">
        <f t="array" ref="N311">IFERROR(AVERAGE(IF((DiscreteStatsTable[GroupByKey]=DiscreteStatsTable[[#This Row],[GroupByKey]]),(DiscreteStatsTable[GroupByKey]=DiscreteStatsTable[[#This Row],[GroupByKey]])*DiscreteStatsTable[Average])),0)</f>
        <v>1.629848414966363</v>
      </c>
      <c r="O311" s="5" cm="1">
        <f t="array" ref="O311">IFERROR(_xlfn.STDEV.S(IF((DiscreteStatsTable[GroupByKey]=DiscreteStatsTable[[#This Row],[GroupByKey]]),(DiscreteStatsTable[GroupByKey]=DiscreteStatsTable[[#This Row],[GroupByKey]])*DiscreteStatsTable[Average])),0)</f>
        <v>0.49941564973950264</v>
      </c>
      <c r="P311" s="5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 s="5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0.35726043399097979</v>
      </c>
      <c r="R311" s="5" cm="1">
        <f t="array" ref="R311">MIN(IF((DiscreteStatsTable[GroupByKey]=DiscreteStatsTable[[#This Row],[GroupByKey]]),(DiscreteStatsTable[GroupByKey]=DiscreteStatsTable[[#This Row],[GroupByKey]])*DiscreteStatsTable[Average]))</f>
        <v>0.86566386323483102</v>
      </c>
      <c r="S311" s="5" cm="1">
        <f t="array" ref="S311">MAX(IF((DiscreteStatsTable[GroupByKey]=DiscreteStatsTable[[#This Row],[GroupByKey]]),(DiscreteStatsTable[GroupByKey]=DiscreteStatsTable[[#This Row],[GroupByKey]])*DiscreteStatsTable[Average]))</f>
        <v>2.39065565653069</v>
      </c>
      <c r="T311" s="5" cm="1">
        <f t="array" ref="T311">MIN(IF((DiscreteStatsTable[GroupByKey]=DiscreteStatsTable[[#This Row],[GroupByKey]]),(DiscreteStatsTable[GroupByKey]=DiscreteStatsTable[[#This Row],[GroupByKey]])*DiscreteStatsTable[Minimum]))</f>
        <v>0</v>
      </c>
      <c r="U311" s="5" cm="1">
        <f t="array" ref="U311">MAX(IF((DiscreteStatsTable[GroupByKey]=DiscreteStatsTable[[#This Row],[GroupByKey]]),(DiscreteStatsTable[GroupByKey]=DiscreteStatsTable[[#This Row],[GroupByKey]])*DiscreteStatsTable[Maximum]))</f>
        <v>18.5346844444935</v>
      </c>
      <c r="V311" s="5" cm="1">
        <f t="array" ref="V311">IFERROR(AVERAGE(IF((DiscreteStatsTable[GroupByKey]=DiscreteStatsTable[[#This Row],[GroupByKey]]),(DiscreteStatsTable[GroupByKey]=DiscreteStatsTable[[#This Row],[GroupByKey]])*DiscreteStatsTable[NumberObservations])),0)</f>
        <v>89.7</v>
      </c>
      <c r="W311" s="5">
        <f>IF((DiscreteStatsTable[[#This Row],[RepsRequested]]&gt;1),DiscreteStatsTable[[#This Row],[HalfWidth]],DiscreteStatsTable[[#This Row],[BatchMeansHalfWidth]])</f>
        <v>0.35726043399097979</v>
      </c>
      <c r="X311" s="5" cm="1">
        <f t="array" ref="X311">COUNT(IF((DiscreteStatsTable[GroupByKey]=DiscreteStatsTable[[#This Row],[GroupByKey]]),(DiscreteStatsTable[GroupByKey]=DiscreteStatsTable[[#This Row],[GroupByKey]])*DiscreteStatsTable[Replication]))</f>
        <v>10</v>
      </c>
      <c r="Y311" s="5">
        <f>IF(DiscreteStatsTable[[#This Row],[RepsRequested]]=DiscreteStatsTable[[#This Row],[RepsWithStatObserved]],1,0)</f>
        <v>1</v>
      </c>
    </row>
    <row r="312" spans="1:25" x14ac:dyDescent="0.3">
      <c r="A312" t="s">
        <v>66</v>
      </c>
      <c r="B312" t="s">
        <v>68</v>
      </c>
      <c r="C312">
        <v>1</v>
      </c>
      <c r="D312" t="s">
        <v>98</v>
      </c>
      <c r="E312" t="s">
        <v>70</v>
      </c>
      <c r="F312" t="s">
        <v>71</v>
      </c>
      <c r="G312">
        <v>1.4883474828955501</v>
      </c>
      <c r="H312">
        <v>2E+20</v>
      </c>
      <c r="I312">
        <v>0</v>
      </c>
      <c r="J312">
        <v>16.669499567158699</v>
      </c>
      <c r="K312">
        <v>191</v>
      </c>
      <c r="L312" s="5" t="str">
        <f>DiscreteStatsTable[[#This Row],[ProjectName]]&amp;DiscreteStatsTable[[#This Row],[Name]]&amp;DiscreteStatsTable[[#This Row],[Type]]&amp;DiscreteStatsTable[[#This Row],[Source]]</f>
        <v>Unnamed Projectmostrador2.QueueWaiting TimeQueue</v>
      </c>
      <c r="M312" s="5" cm="1">
        <f t="array" ref="M312">MAX(IF((ProjectInfoTable[ProjectName]=DiscreteStatsTable[[#This Row],[ProjectName]]),(ProjectInfoTable[ProjectName]=DiscreteStatsTable[[#This Row],[ProjectName]])*ProjectInfoTable[NumberOfReplications]))</f>
        <v>10</v>
      </c>
      <c r="N312" s="5" cm="1">
        <f t="array" ref="N312">IFERROR(AVERAGE(IF((DiscreteStatsTable[GroupByKey]=DiscreteStatsTable[[#This Row],[GroupByKey]]),(DiscreteStatsTable[GroupByKey]=DiscreteStatsTable[[#This Row],[GroupByKey]])*DiscreteStatsTable[Average])),0)</f>
        <v>1.8591428303213111</v>
      </c>
      <c r="O312" s="5" cm="1">
        <f t="array" ref="O312">IFERROR(_xlfn.STDEV.S(IF((DiscreteStatsTable[GroupByKey]=DiscreteStatsTable[[#This Row],[GroupByKey]]),(DiscreteStatsTable[GroupByKey]=DiscreteStatsTable[[#This Row],[GroupByKey]])*DiscreteStatsTable[Average])),0)</f>
        <v>0.32590913678849398</v>
      </c>
      <c r="P312" s="5" cm="1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 s="5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0.23314135172058717</v>
      </c>
      <c r="R312" s="5" cm="1">
        <f t="array" ref="R312">MIN(IF((DiscreteStatsTable[GroupByKey]=DiscreteStatsTable[[#This Row],[GroupByKey]]),(DiscreteStatsTable[GroupByKey]=DiscreteStatsTable[[#This Row],[GroupByKey]])*DiscreteStatsTable[Average]))</f>
        <v>1.4883474828955501</v>
      </c>
      <c r="S312" s="5" cm="1">
        <f t="array" ref="S312">MAX(IF((DiscreteStatsTable[GroupByKey]=DiscreteStatsTable[[#This Row],[GroupByKey]]),(DiscreteStatsTable[GroupByKey]=DiscreteStatsTable[[#This Row],[GroupByKey]])*DiscreteStatsTable[Average]))</f>
        <v>2.5323142314576299</v>
      </c>
      <c r="T312" s="5" cm="1">
        <f t="array" ref="T312">MIN(IF((DiscreteStatsTable[GroupByKey]=DiscreteStatsTable[[#This Row],[GroupByKey]]),(DiscreteStatsTable[GroupByKey]=DiscreteStatsTable[[#This Row],[GroupByKey]])*DiscreteStatsTable[Minimum]))</f>
        <v>0</v>
      </c>
      <c r="U312" s="5" cm="1">
        <f t="array" ref="U312">MAX(IF((DiscreteStatsTable[GroupByKey]=DiscreteStatsTable[[#This Row],[GroupByKey]]),(DiscreteStatsTable[GroupByKey]=DiscreteStatsTable[[#This Row],[GroupByKey]])*DiscreteStatsTable[Maximum]))</f>
        <v>21.652390393913599</v>
      </c>
      <c r="V312" s="5" cm="1">
        <f t="array" ref="V312">IFERROR(AVERAGE(IF((DiscreteStatsTable[GroupByKey]=DiscreteStatsTable[[#This Row],[GroupByKey]]),(DiscreteStatsTable[GroupByKey]=DiscreteStatsTable[[#This Row],[GroupByKey]])*DiscreteStatsTable[NumberObservations])),0)</f>
        <v>181.1</v>
      </c>
      <c r="W312" s="5">
        <f>IF((DiscreteStatsTable[[#This Row],[RepsRequested]]&gt;1),DiscreteStatsTable[[#This Row],[HalfWidth]],DiscreteStatsTable[[#This Row],[BatchMeansHalfWidth]])</f>
        <v>0.23314135172058717</v>
      </c>
      <c r="X312" s="5" cm="1">
        <f t="array" ref="X312">COUNT(IF((DiscreteStatsTable[GroupByKey]=DiscreteStatsTable[[#This Row],[GroupByKey]]),(DiscreteStatsTable[GroupByKey]=DiscreteStatsTable[[#This Row],[GroupByKey]])*DiscreteStatsTable[Replication]))</f>
        <v>10</v>
      </c>
      <c r="Y312" s="5">
        <f>IF(DiscreteStatsTable[[#This Row],[RepsRequested]]=DiscreteStatsTable[[#This Row],[RepsWithStatObserved]],1,0)</f>
        <v>1</v>
      </c>
    </row>
    <row r="313" spans="1:25" x14ac:dyDescent="0.3">
      <c r="A313" t="s">
        <v>66</v>
      </c>
      <c r="B313" t="s">
        <v>68</v>
      </c>
      <c r="C313">
        <v>2</v>
      </c>
      <c r="D313" t="s">
        <v>98</v>
      </c>
      <c r="E313" t="s">
        <v>70</v>
      </c>
      <c r="F313" t="s">
        <v>71</v>
      </c>
      <c r="G313">
        <v>2.0065186737156502</v>
      </c>
      <c r="H313">
        <v>2E+20</v>
      </c>
      <c r="I313">
        <v>0</v>
      </c>
      <c r="J313">
        <v>17.6995051976144</v>
      </c>
      <c r="K313">
        <v>169</v>
      </c>
      <c r="L313" s="5" t="str">
        <f>DiscreteStatsTable[[#This Row],[ProjectName]]&amp;DiscreteStatsTable[[#This Row],[Name]]&amp;DiscreteStatsTable[[#This Row],[Type]]&amp;DiscreteStatsTable[[#This Row],[Source]]</f>
        <v>Unnamed Projectmostrador2.QueueWaiting TimeQueue</v>
      </c>
      <c r="M313" s="5" cm="1">
        <f t="array" ref="M313">MAX(IF((ProjectInfoTable[ProjectName]=DiscreteStatsTable[[#This Row],[ProjectName]]),(ProjectInfoTable[ProjectName]=DiscreteStatsTable[[#This Row],[ProjectName]])*ProjectInfoTable[NumberOfReplications]))</f>
        <v>10</v>
      </c>
      <c r="N313" s="5" cm="1">
        <f t="array" ref="N313">IFERROR(AVERAGE(IF((DiscreteStatsTable[GroupByKey]=DiscreteStatsTable[[#This Row],[GroupByKey]]),(DiscreteStatsTable[GroupByKey]=DiscreteStatsTable[[#This Row],[GroupByKey]])*DiscreteStatsTable[Average])),0)</f>
        <v>1.8591428303213111</v>
      </c>
      <c r="O313" s="5" cm="1">
        <f t="array" ref="O313">IFERROR(_xlfn.STDEV.S(IF((DiscreteStatsTable[GroupByKey]=DiscreteStatsTable[[#This Row],[GroupByKey]]),(DiscreteStatsTable[GroupByKey]=DiscreteStatsTable[[#This Row],[GroupByKey]])*DiscreteStatsTable[Average])),0)</f>
        <v>0.32590913678849398</v>
      </c>
      <c r="P313" s="5" cm="1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 s="5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0.23314135172058717</v>
      </c>
      <c r="R313" s="5" cm="1">
        <f t="array" ref="R313">MIN(IF((DiscreteStatsTable[GroupByKey]=DiscreteStatsTable[[#This Row],[GroupByKey]]),(DiscreteStatsTable[GroupByKey]=DiscreteStatsTable[[#This Row],[GroupByKey]])*DiscreteStatsTable[Average]))</f>
        <v>1.4883474828955501</v>
      </c>
      <c r="S313" s="5" cm="1">
        <f t="array" ref="S313">MAX(IF((DiscreteStatsTable[GroupByKey]=DiscreteStatsTable[[#This Row],[GroupByKey]]),(DiscreteStatsTable[GroupByKey]=DiscreteStatsTable[[#This Row],[GroupByKey]])*DiscreteStatsTable[Average]))</f>
        <v>2.5323142314576299</v>
      </c>
      <c r="T313" s="5" cm="1">
        <f t="array" ref="T313">MIN(IF((DiscreteStatsTable[GroupByKey]=DiscreteStatsTable[[#This Row],[GroupByKey]]),(DiscreteStatsTable[GroupByKey]=DiscreteStatsTable[[#This Row],[GroupByKey]])*DiscreteStatsTable[Minimum]))</f>
        <v>0</v>
      </c>
      <c r="U313" s="5" cm="1">
        <f t="array" ref="U313">MAX(IF((DiscreteStatsTable[GroupByKey]=DiscreteStatsTable[[#This Row],[GroupByKey]]),(DiscreteStatsTable[GroupByKey]=DiscreteStatsTable[[#This Row],[GroupByKey]])*DiscreteStatsTable[Maximum]))</f>
        <v>21.652390393913599</v>
      </c>
      <c r="V313" s="5" cm="1">
        <f t="array" ref="V313">IFERROR(AVERAGE(IF((DiscreteStatsTable[GroupByKey]=DiscreteStatsTable[[#This Row],[GroupByKey]]),(DiscreteStatsTable[GroupByKey]=DiscreteStatsTable[[#This Row],[GroupByKey]])*DiscreteStatsTable[NumberObservations])),0)</f>
        <v>181.1</v>
      </c>
      <c r="W313" s="5">
        <f>IF((DiscreteStatsTable[[#This Row],[RepsRequested]]&gt;1),DiscreteStatsTable[[#This Row],[HalfWidth]],DiscreteStatsTable[[#This Row],[BatchMeansHalfWidth]])</f>
        <v>0.23314135172058717</v>
      </c>
      <c r="X313" s="5" cm="1">
        <f t="array" ref="X313">COUNT(IF((DiscreteStatsTable[GroupByKey]=DiscreteStatsTable[[#This Row],[GroupByKey]]),(DiscreteStatsTable[GroupByKey]=DiscreteStatsTable[[#This Row],[GroupByKey]])*DiscreteStatsTable[Replication]))</f>
        <v>10</v>
      </c>
      <c r="Y313" s="5">
        <f>IF(DiscreteStatsTable[[#This Row],[RepsRequested]]=DiscreteStatsTable[[#This Row],[RepsWithStatObserved]],1,0)</f>
        <v>1</v>
      </c>
    </row>
    <row r="314" spans="1:25" x14ac:dyDescent="0.3">
      <c r="A314" t="s">
        <v>66</v>
      </c>
      <c r="B314" t="s">
        <v>68</v>
      </c>
      <c r="C314">
        <v>3</v>
      </c>
      <c r="D314" t="s">
        <v>98</v>
      </c>
      <c r="E314" t="s">
        <v>70</v>
      </c>
      <c r="F314" t="s">
        <v>71</v>
      </c>
      <c r="G314">
        <v>1.53489412908783</v>
      </c>
      <c r="H314">
        <v>2E+20</v>
      </c>
      <c r="I314">
        <v>0</v>
      </c>
      <c r="J314">
        <v>13.755502457459199</v>
      </c>
      <c r="K314">
        <v>183</v>
      </c>
      <c r="L314" s="5" t="str">
        <f>DiscreteStatsTable[[#This Row],[ProjectName]]&amp;DiscreteStatsTable[[#This Row],[Name]]&amp;DiscreteStatsTable[[#This Row],[Type]]&amp;DiscreteStatsTable[[#This Row],[Source]]</f>
        <v>Unnamed Projectmostrador2.QueueWaiting TimeQueue</v>
      </c>
      <c r="M314" s="5" cm="1">
        <f t="array" ref="M314">MAX(IF((ProjectInfoTable[ProjectName]=DiscreteStatsTable[[#This Row],[ProjectName]]),(ProjectInfoTable[ProjectName]=DiscreteStatsTable[[#This Row],[ProjectName]])*ProjectInfoTable[NumberOfReplications]))</f>
        <v>10</v>
      </c>
      <c r="N314" s="5" cm="1">
        <f t="array" ref="N314">IFERROR(AVERAGE(IF((DiscreteStatsTable[GroupByKey]=DiscreteStatsTable[[#This Row],[GroupByKey]]),(DiscreteStatsTable[GroupByKey]=DiscreteStatsTable[[#This Row],[GroupByKey]])*DiscreteStatsTable[Average])),0)</f>
        <v>1.8591428303213111</v>
      </c>
      <c r="O314" s="5" cm="1">
        <f t="array" ref="O314">IFERROR(_xlfn.STDEV.S(IF((DiscreteStatsTable[GroupByKey]=DiscreteStatsTable[[#This Row],[GroupByKey]]),(DiscreteStatsTable[GroupByKey]=DiscreteStatsTable[[#This Row],[GroupByKey]])*DiscreteStatsTable[Average])),0)</f>
        <v>0.32590913678849398</v>
      </c>
      <c r="P314" s="5" cm="1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 s="5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0.23314135172058717</v>
      </c>
      <c r="R314" s="5" cm="1">
        <f t="array" ref="R314">MIN(IF((DiscreteStatsTable[GroupByKey]=DiscreteStatsTable[[#This Row],[GroupByKey]]),(DiscreteStatsTable[GroupByKey]=DiscreteStatsTable[[#This Row],[GroupByKey]])*DiscreteStatsTable[Average]))</f>
        <v>1.4883474828955501</v>
      </c>
      <c r="S314" s="5" cm="1">
        <f t="array" ref="S314">MAX(IF((DiscreteStatsTable[GroupByKey]=DiscreteStatsTable[[#This Row],[GroupByKey]]),(DiscreteStatsTable[GroupByKey]=DiscreteStatsTable[[#This Row],[GroupByKey]])*DiscreteStatsTable[Average]))</f>
        <v>2.5323142314576299</v>
      </c>
      <c r="T314" s="5" cm="1">
        <f t="array" ref="T314">MIN(IF((DiscreteStatsTable[GroupByKey]=DiscreteStatsTable[[#This Row],[GroupByKey]]),(DiscreteStatsTable[GroupByKey]=DiscreteStatsTable[[#This Row],[GroupByKey]])*DiscreteStatsTable[Minimum]))</f>
        <v>0</v>
      </c>
      <c r="U314" s="5" cm="1">
        <f t="array" ref="U314">MAX(IF((DiscreteStatsTable[GroupByKey]=DiscreteStatsTable[[#This Row],[GroupByKey]]),(DiscreteStatsTable[GroupByKey]=DiscreteStatsTable[[#This Row],[GroupByKey]])*DiscreteStatsTable[Maximum]))</f>
        <v>21.652390393913599</v>
      </c>
      <c r="V314" s="5" cm="1">
        <f t="array" ref="V314">IFERROR(AVERAGE(IF((DiscreteStatsTable[GroupByKey]=DiscreteStatsTable[[#This Row],[GroupByKey]]),(DiscreteStatsTable[GroupByKey]=DiscreteStatsTable[[#This Row],[GroupByKey]])*DiscreteStatsTable[NumberObservations])),0)</f>
        <v>181.1</v>
      </c>
      <c r="W314" s="5">
        <f>IF((DiscreteStatsTable[[#This Row],[RepsRequested]]&gt;1),DiscreteStatsTable[[#This Row],[HalfWidth]],DiscreteStatsTable[[#This Row],[BatchMeansHalfWidth]])</f>
        <v>0.23314135172058717</v>
      </c>
      <c r="X314" s="5" cm="1">
        <f t="array" ref="X314">COUNT(IF((DiscreteStatsTable[GroupByKey]=DiscreteStatsTable[[#This Row],[GroupByKey]]),(DiscreteStatsTable[GroupByKey]=DiscreteStatsTable[[#This Row],[GroupByKey]])*DiscreteStatsTable[Replication]))</f>
        <v>10</v>
      </c>
      <c r="Y314" s="5">
        <f>IF(DiscreteStatsTable[[#This Row],[RepsRequested]]=DiscreteStatsTable[[#This Row],[RepsWithStatObserved]],1,0)</f>
        <v>1</v>
      </c>
    </row>
    <row r="315" spans="1:25" x14ac:dyDescent="0.3">
      <c r="A315" t="s">
        <v>66</v>
      </c>
      <c r="B315" t="s">
        <v>68</v>
      </c>
      <c r="C315">
        <v>4</v>
      </c>
      <c r="D315" t="s">
        <v>98</v>
      </c>
      <c r="E315" t="s">
        <v>70</v>
      </c>
      <c r="F315" t="s">
        <v>71</v>
      </c>
      <c r="G315">
        <v>2.25236035044205</v>
      </c>
      <c r="H315">
        <v>2E+20</v>
      </c>
      <c r="I315">
        <v>0</v>
      </c>
      <c r="J315">
        <v>18.8698617977753</v>
      </c>
      <c r="K315">
        <v>190</v>
      </c>
      <c r="L315" s="5" t="str">
        <f>DiscreteStatsTable[[#This Row],[ProjectName]]&amp;DiscreteStatsTable[[#This Row],[Name]]&amp;DiscreteStatsTable[[#This Row],[Type]]&amp;DiscreteStatsTable[[#This Row],[Source]]</f>
        <v>Unnamed Projectmostrador2.QueueWaiting TimeQueue</v>
      </c>
      <c r="M315" s="5" cm="1">
        <f t="array" ref="M315">MAX(IF((ProjectInfoTable[ProjectName]=DiscreteStatsTable[[#This Row],[ProjectName]]),(ProjectInfoTable[ProjectName]=DiscreteStatsTable[[#This Row],[ProjectName]])*ProjectInfoTable[NumberOfReplications]))</f>
        <v>10</v>
      </c>
      <c r="N315" s="5" cm="1">
        <f t="array" ref="N315">IFERROR(AVERAGE(IF((DiscreteStatsTable[GroupByKey]=DiscreteStatsTable[[#This Row],[GroupByKey]]),(DiscreteStatsTable[GroupByKey]=DiscreteStatsTable[[#This Row],[GroupByKey]])*DiscreteStatsTable[Average])),0)</f>
        <v>1.8591428303213111</v>
      </c>
      <c r="O315" s="5" cm="1">
        <f t="array" ref="O315">IFERROR(_xlfn.STDEV.S(IF((DiscreteStatsTable[GroupByKey]=DiscreteStatsTable[[#This Row],[GroupByKey]]),(DiscreteStatsTable[GroupByKey]=DiscreteStatsTable[[#This Row],[GroupByKey]])*DiscreteStatsTable[Average])),0)</f>
        <v>0.32590913678849398</v>
      </c>
      <c r="P315" s="5" cm="1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 s="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0.23314135172058717</v>
      </c>
      <c r="R315" s="5" cm="1">
        <f t="array" ref="R315">MIN(IF((DiscreteStatsTable[GroupByKey]=DiscreteStatsTable[[#This Row],[GroupByKey]]),(DiscreteStatsTable[GroupByKey]=DiscreteStatsTable[[#This Row],[GroupByKey]])*DiscreteStatsTable[Average]))</f>
        <v>1.4883474828955501</v>
      </c>
      <c r="S315" s="5" cm="1">
        <f t="array" ref="S315">MAX(IF((DiscreteStatsTable[GroupByKey]=DiscreteStatsTable[[#This Row],[GroupByKey]]),(DiscreteStatsTable[GroupByKey]=DiscreteStatsTable[[#This Row],[GroupByKey]])*DiscreteStatsTable[Average]))</f>
        <v>2.5323142314576299</v>
      </c>
      <c r="T315" s="5" cm="1">
        <f t="array" ref="T315">MIN(IF((DiscreteStatsTable[GroupByKey]=DiscreteStatsTable[[#This Row],[GroupByKey]]),(DiscreteStatsTable[GroupByKey]=DiscreteStatsTable[[#This Row],[GroupByKey]])*DiscreteStatsTable[Minimum]))</f>
        <v>0</v>
      </c>
      <c r="U315" s="5" cm="1">
        <f t="array" ref="U315">MAX(IF((DiscreteStatsTable[GroupByKey]=DiscreteStatsTable[[#This Row],[GroupByKey]]),(DiscreteStatsTable[GroupByKey]=DiscreteStatsTable[[#This Row],[GroupByKey]])*DiscreteStatsTable[Maximum]))</f>
        <v>21.652390393913599</v>
      </c>
      <c r="V315" s="5" cm="1">
        <f t="array" ref="V315">IFERROR(AVERAGE(IF((DiscreteStatsTable[GroupByKey]=DiscreteStatsTable[[#This Row],[GroupByKey]]),(DiscreteStatsTable[GroupByKey]=DiscreteStatsTable[[#This Row],[GroupByKey]])*DiscreteStatsTable[NumberObservations])),0)</f>
        <v>181.1</v>
      </c>
      <c r="W315" s="5">
        <f>IF((DiscreteStatsTable[[#This Row],[RepsRequested]]&gt;1),DiscreteStatsTable[[#This Row],[HalfWidth]],DiscreteStatsTable[[#This Row],[BatchMeansHalfWidth]])</f>
        <v>0.23314135172058717</v>
      </c>
      <c r="X315" s="5" cm="1">
        <f t="array" ref="X315">COUNT(IF((DiscreteStatsTable[GroupByKey]=DiscreteStatsTable[[#This Row],[GroupByKey]]),(DiscreteStatsTable[GroupByKey]=DiscreteStatsTable[[#This Row],[GroupByKey]])*DiscreteStatsTable[Replication]))</f>
        <v>10</v>
      </c>
      <c r="Y315" s="5">
        <f>IF(DiscreteStatsTable[[#This Row],[RepsRequested]]=DiscreteStatsTable[[#This Row],[RepsWithStatObserved]],1,0)</f>
        <v>1</v>
      </c>
    </row>
    <row r="316" spans="1:25" x14ac:dyDescent="0.3">
      <c r="A316" t="s">
        <v>66</v>
      </c>
      <c r="B316" t="s">
        <v>68</v>
      </c>
      <c r="C316">
        <v>5</v>
      </c>
      <c r="D316" t="s">
        <v>98</v>
      </c>
      <c r="E316" t="s">
        <v>70</v>
      </c>
      <c r="F316" t="s">
        <v>71</v>
      </c>
      <c r="G316">
        <v>1.72834693443274</v>
      </c>
      <c r="H316">
        <v>2E+20</v>
      </c>
      <c r="I316">
        <v>0</v>
      </c>
      <c r="J316">
        <v>11.1356305727492</v>
      </c>
      <c r="K316">
        <v>191</v>
      </c>
      <c r="L316" s="5" t="str">
        <f>DiscreteStatsTable[[#This Row],[ProjectName]]&amp;DiscreteStatsTable[[#This Row],[Name]]&amp;DiscreteStatsTable[[#This Row],[Type]]&amp;DiscreteStatsTable[[#This Row],[Source]]</f>
        <v>Unnamed Projectmostrador2.QueueWaiting TimeQueue</v>
      </c>
      <c r="M316" s="5" cm="1">
        <f t="array" ref="M316">MAX(IF((ProjectInfoTable[ProjectName]=DiscreteStatsTable[[#This Row],[ProjectName]]),(ProjectInfoTable[ProjectName]=DiscreteStatsTable[[#This Row],[ProjectName]])*ProjectInfoTable[NumberOfReplications]))</f>
        <v>10</v>
      </c>
      <c r="N316" s="5" cm="1">
        <f t="array" ref="N316">IFERROR(AVERAGE(IF((DiscreteStatsTable[GroupByKey]=DiscreteStatsTable[[#This Row],[GroupByKey]]),(DiscreteStatsTable[GroupByKey]=DiscreteStatsTable[[#This Row],[GroupByKey]])*DiscreteStatsTable[Average])),0)</f>
        <v>1.8591428303213111</v>
      </c>
      <c r="O316" s="5" cm="1">
        <f t="array" ref="O316">IFERROR(_xlfn.STDEV.S(IF((DiscreteStatsTable[GroupByKey]=DiscreteStatsTable[[#This Row],[GroupByKey]]),(DiscreteStatsTable[GroupByKey]=DiscreteStatsTable[[#This Row],[GroupByKey]])*DiscreteStatsTable[Average])),0)</f>
        <v>0.32590913678849398</v>
      </c>
      <c r="P316" s="5" cm="1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 s="5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0.23314135172058717</v>
      </c>
      <c r="R316" s="5" cm="1">
        <f t="array" ref="R316">MIN(IF((DiscreteStatsTable[GroupByKey]=DiscreteStatsTable[[#This Row],[GroupByKey]]),(DiscreteStatsTable[GroupByKey]=DiscreteStatsTable[[#This Row],[GroupByKey]])*DiscreteStatsTable[Average]))</f>
        <v>1.4883474828955501</v>
      </c>
      <c r="S316" s="5" cm="1">
        <f t="array" ref="S316">MAX(IF((DiscreteStatsTable[GroupByKey]=DiscreteStatsTable[[#This Row],[GroupByKey]]),(DiscreteStatsTable[GroupByKey]=DiscreteStatsTable[[#This Row],[GroupByKey]])*DiscreteStatsTable[Average]))</f>
        <v>2.5323142314576299</v>
      </c>
      <c r="T316" s="5" cm="1">
        <f t="array" ref="T316">MIN(IF((DiscreteStatsTable[GroupByKey]=DiscreteStatsTable[[#This Row],[GroupByKey]]),(DiscreteStatsTable[GroupByKey]=DiscreteStatsTable[[#This Row],[GroupByKey]])*DiscreteStatsTable[Minimum]))</f>
        <v>0</v>
      </c>
      <c r="U316" s="5" cm="1">
        <f t="array" ref="U316">MAX(IF((DiscreteStatsTable[GroupByKey]=DiscreteStatsTable[[#This Row],[GroupByKey]]),(DiscreteStatsTable[GroupByKey]=DiscreteStatsTable[[#This Row],[GroupByKey]])*DiscreteStatsTable[Maximum]))</f>
        <v>21.652390393913599</v>
      </c>
      <c r="V316" s="5" cm="1">
        <f t="array" ref="V316">IFERROR(AVERAGE(IF((DiscreteStatsTable[GroupByKey]=DiscreteStatsTable[[#This Row],[GroupByKey]]),(DiscreteStatsTable[GroupByKey]=DiscreteStatsTable[[#This Row],[GroupByKey]])*DiscreteStatsTable[NumberObservations])),0)</f>
        <v>181.1</v>
      </c>
      <c r="W316" s="5">
        <f>IF((DiscreteStatsTable[[#This Row],[RepsRequested]]&gt;1),DiscreteStatsTable[[#This Row],[HalfWidth]],DiscreteStatsTable[[#This Row],[BatchMeansHalfWidth]])</f>
        <v>0.23314135172058717</v>
      </c>
      <c r="X316" s="5" cm="1">
        <f t="array" ref="X316">COUNT(IF((DiscreteStatsTable[GroupByKey]=DiscreteStatsTable[[#This Row],[GroupByKey]]),(DiscreteStatsTable[GroupByKey]=DiscreteStatsTable[[#This Row],[GroupByKey]])*DiscreteStatsTable[Replication]))</f>
        <v>10</v>
      </c>
      <c r="Y316" s="5">
        <f>IF(DiscreteStatsTable[[#This Row],[RepsRequested]]=DiscreteStatsTable[[#This Row],[RepsWithStatObserved]],1,0)</f>
        <v>1</v>
      </c>
    </row>
    <row r="317" spans="1:25" x14ac:dyDescent="0.3">
      <c r="A317" t="s">
        <v>66</v>
      </c>
      <c r="B317" t="s">
        <v>68</v>
      </c>
      <c r="C317">
        <v>6</v>
      </c>
      <c r="D317" t="s">
        <v>98</v>
      </c>
      <c r="E317" t="s">
        <v>70</v>
      </c>
      <c r="F317" t="s">
        <v>71</v>
      </c>
      <c r="G317">
        <v>1.8003903703214501</v>
      </c>
      <c r="H317">
        <v>2E+20</v>
      </c>
      <c r="I317">
        <v>0</v>
      </c>
      <c r="J317">
        <v>15.919686073775599</v>
      </c>
      <c r="K317">
        <v>194</v>
      </c>
      <c r="L317" s="5" t="str">
        <f>DiscreteStatsTable[[#This Row],[ProjectName]]&amp;DiscreteStatsTable[[#This Row],[Name]]&amp;DiscreteStatsTable[[#This Row],[Type]]&amp;DiscreteStatsTable[[#This Row],[Source]]</f>
        <v>Unnamed Projectmostrador2.QueueWaiting TimeQueue</v>
      </c>
      <c r="M317" s="5" cm="1">
        <f t="array" ref="M317">MAX(IF((ProjectInfoTable[ProjectName]=DiscreteStatsTable[[#This Row],[ProjectName]]),(ProjectInfoTable[ProjectName]=DiscreteStatsTable[[#This Row],[ProjectName]])*ProjectInfoTable[NumberOfReplications]))</f>
        <v>10</v>
      </c>
      <c r="N317" s="5" cm="1">
        <f t="array" ref="N317">IFERROR(AVERAGE(IF((DiscreteStatsTable[GroupByKey]=DiscreteStatsTable[[#This Row],[GroupByKey]]),(DiscreteStatsTable[GroupByKey]=DiscreteStatsTable[[#This Row],[GroupByKey]])*DiscreteStatsTable[Average])),0)</f>
        <v>1.8591428303213111</v>
      </c>
      <c r="O317" s="5" cm="1">
        <f t="array" ref="O317">IFERROR(_xlfn.STDEV.S(IF((DiscreteStatsTable[GroupByKey]=DiscreteStatsTable[[#This Row],[GroupByKey]]),(DiscreteStatsTable[GroupByKey]=DiscreteStatsTable[[#This Row],[GroupByKey]])*DiscreteStatsTable[Average])),0)</f>
        <v>0.32590913678849398</v>
      </c>
      <c r="P317" s="5" cm="1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 s="5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0.23314135172058717</v>
      </c>
      <c r="R317" s="5" cm="1">
        <f t="array" ref="R317">MIN(IF((DiscreteStatsTable[GroupByKey]=DiscreteStatsTable[[#This Row],[GroupByKey]]),(DiscreteStatsTable[GroupByKey]=DiscreteStatsTable[[#This Row],[GroupByKey]])*DiscreteStatsTable[Average]))</f>
        <v>1.4883474828955501</v>
      </c>
      <c r="S317" s="5" cm="1">
        <f t="array" ref="S317">MAX(IF((DiscreteStatsTable[GroupByKey]=DiscreteStatsTable[[#This Row],[GroupByKey]]),(DiscreteStatsTable[GroupByKey]=DiscreteStatsTable[[#This Row],[GroupByKey]])*DiscreteStatsTable[Average]))</f>
        <v>2.5323142314576299</v>
      </c>
      <c r="T317" s="5" cm="1">
        <f t="array" ref="T317">MIN(IF((DiscreteStatsTable[GroupByKey]=DiscreteStatsTable[[#This Row],[GroupByKey]]),(DiscreteStatsTable[GroupByKey]=DiscreteStatsTable[[#This Row],[GroupByKey]])*DiscreteStatsTable[Minimum]))</f>
        <v>0</v>
      </c>
      <c r="U317" s="5" cm="1">
        <f t="array" ref="U317">MAX(IF((DiscreteStatsTable[GroupByKey]=DiscreteStatsTable[[#This Row],[GroupByKey]]),(DiscreteStatsTable[GroupByKey]=DiscreteStatsTable[[#This Row],[GroupByKey]])*DiscreteStatsTable[Maximum]))</f>
        <v>21.652390393913599</v>
      </c>
      <c r="V317" s="5" cm="1">
        <f t="array" ref="V317">IFERROR(AVERAGE(IF((DiscreteStatsTable[GroupByKey]=DiscreteStatsTable[[#This Row],[GroupByKey]]),(DiscreteStatsTable[GroupByKey]=DiscreteStatsTable[[#This Row],[GroupByKey]])*DiscreteStatsTable[NumberObservations])),0)</f>
        <v>181.1</v>
      </c>
      <c r="W317" s="5">
        <f>IF((DiscreteStatsTable[[#This Row],[RepsRequested]]&gt;1),DiscreteStatsTable[[#This Row],[HalfWidth]],DiscreteStatsTable[[#This Row],[BatchMeansHalfWidth]])</f>
        <v>0.23314135172058717</v>
      </c>
      <c r="X317" s="5" cm="1">
        <f t="array" ref="X317">COUNT(IF((DiscreteStatsTable[GroupByKey]=DiscreteStatsTable[[#This Row],[GroupByKey]]),(DiscreteStatsTable[GroupByKey]=DiscreteStatsTable[[#This Row],[GroupByKey]])*DiscreteStatsTable[Replication]))</f>
        <v>10</v>
      </c>
      <c r="Y317" s="5">
        <f>IF(DiscreteStatsTable[[#This Row],[RepsRequested]]=DiscreteStatsTable[[#This Row],[RepsWithStatObserved]],1,0)</f>
        <v>1</v>
      </c>
    </row>
    <row r="318" spans="1:25" x14ac:dyDescent="0.3">
      <c r="A318" t="s">
        <v>66</v>
      </c>
      <c r="B318" t="s">
        <v>68</v>
      </c>
      <c r="C318">
        <v>7</v>
      </c>
      <c r="D318" t="s">
        <v>98</v>
      </c>
      <c r="E318" t="s">
        <v>70</v>
      </c>
      <c r="F318" t="s">
        <v>71</v>
      </c>
      <c r="G318">
        <v>1.8415334638079801</v>
      </c>
      <c r="H318">
        <v>2E+20</v>
      </c>
      <c r="I318">
        <v>0</v>
      </c>
      <c r="J318">
        <v>21.652390393913599</v>
      </c>
      <c r="K318">
        <v>172</v>
      </c>
      <c r="L318" s="5" t="str">
        <f>DiscreteStatsTable[[#This Row],[ProjectName]]&amp;DiscreteStatsTable[[#This Row],[Name]]&amp;DiscreteStatsTable[[#This Row],[Type]]&amp;DiscreteStatsTable[[#This Row],[Source]]</f>
        <v>Unnamed Projectmostrador2.QueueWaiting TimeQueue</v>
      </c>
      <c r="M318" s="5" cm="1">
        <f t="array" ref="M318">MAX(IF((ProjectInfoTable[ProjectName]=DiscreteStatsTable[[#This Row],[ProjectName]]),(ProjectInfoTable[ProjectName]=DiscreteStatsTable[[#This Row],[ProjectName]])*ProjectInfoTable[NumberOfReplications]))</f>
        <v>10</v>
      </c>
      <c r="N318" s="5" cm="1">
        <f t="array" ref="N318">IFERROR(AVERAGE(IF((DiscreteStatsTable[GroupByKey]=DiscreteStatsTable[[#This Row],[GroupByKey]]),(DiscreteStatsTable[GroupByKey]=DiscreteStatsTable[[#This Row],[GroupByKey]])*DiscreteStatsTable[Average])),0)</f>
        <v>1.8591428303213111</v>
      </c>
      <c r="O318" s="5" cm="1">
        <f t="array" ref="O318">IFERROR(_xlfn.STDEV.S(IF((DiscreteStatsTable[GroupByKey]=DiscreteStatsTable[[#This Row],[GroupByKey]]),(DiscreteStatsTable[GroupByKey]=DiscreteStatsTable[[#This Row],[GroupByKey]])*DiscreteStatsTable[Average])),0)</f>
        <v>0.32590913678849398</v>
      </c>
      <c r="P318" s="5" cm="1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 s="5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0.23314135172058717</v>
      </c>
      <c r="R318" s="5" cm="1">
        <f t="array" ref="R318">MIN(IF((DiscreteStatsTable[GroupByKey]=DiscreteStatsTable[[#This Row],[GroupByKey]]),(DiscreteStatsTable[GroupByKey]=DiscreteStatsTable[[#This Row],[GroupByKey]])*DiscreteStatsTable[Average]))</f>
        <v>1.4883474828955501</v>
      </c>
      <c r="S318" s="5" cm="1">
        <f t="array" ref="S318">MAX(IF((DiscreteStatsTable[GroupByKey]=DiscreteStatsTable[[#This Row],[GroupByKey]]),(DiscreteStatsTable[GroupByKey]=DiscreteStatsTable[[#This Row],[GroupByKey]])*DiscreteStatsTable[Average]))</f>
        <v>2.5323142314576299</v>
      </c>
      <c r="T318" s="5" cm="1">
        <f t="array" ref="T318">MIN(IF((DiscreteStatsTable[GroupByKey]=DiscreteStatsTable[[#This Row],[GroupByKey]]),(DiscreteStatsTable[GroupByKey]=DiscreteStatsTable[[#This Row],[GroupByKey]])*DiscreteStatsTable[Minimum]))</f>
        <v>0</v>
      </c>
      <c r="U318" s="5" cm="1">
        <f t="array" ref="U318">MAX(IF((DiscreteStatsTable[GroupByKey]=DiscreteStatsTable[[#This Row],[GroupByKey]]),(DiscreteStatsTable[GroupByKey]=DiscreteStatsTable[[#This Row],[GroupByKey]])*DiscreteStatsTable[Maximum]))</f>
        <v>21.652390393913599</v>
      </c>
      <c r="V318" s="5" cm="1">
        <f t="array" ref="V318">IFERROR(AVERAGE(IF((DiscreteStatsTable[GroupByKey]=DiscreteStatsTable[[#This Row],[GroupByKey]]),(DiscreteStatsTable[GroupByKey]=DiscreteStatsTable[[#This Row],[GroupByKey]])*DiscreteStatsTable[NumberObservations])),0)</f>
        <v>181.1</v>
      </c>
      <c r="W318" s="5">
        <f>IF((DiscreteStatsTable[[#This Row],[RepsRequested]]&gt;1),DiscreteStatsTable[[#This Row],[HalfWidth]],DiscreteStatsTable[[#This Row],[BatchMeansHalfWidth]])</f>
        <v>0.23314135172058717</v>
      </c>
      <c r="X318" s="5" cm="1">
        <f t="array" ref="X318">COUNT(IF((DiscreteStatsTable[GroupByKey]=DiscreteStatsTable[[#This Row],[GroupByKey]]),(DiscreteStatsTable[GroupByKey]=DiscreteStatsTable[[#This Row],[GroupByKey]])*DiscreteStatsTable[Replication]))</f>
        <v>10</v>
      </c>
      <c r="Y318" s="5">
        <f>IF(DiscreteStatsTable[[#This Row],[RepsRequested]]=DiscreteStatsTable[[#This Row],[RepsWithStatObserved]],1,0)</f>
        <v>1</v>
      </c>
    </row>
    <row r="319" spans="1:25" x14ac:dyDescent="0.3">
      <c r="A319" t="s">
        <v>66</v>
      </c>
      <c r="B319" t="s">
        <v>68</v>
      </c>
      <c r="C319">
        <v>8</v>
      </c>
      <c r="D319" t="s">
        <v>98</v>
      </c>
      <c r="E319" t="s">
        <v>70</v>
      </c>
      <c r="F319" t="s">
        <v>71</v>
      </c>
      <c r="G319">
        <v>1.78827254947558</v>
      </c>
      <c r="H319">
        <v>2E+20</v>
      </c>
      <c r="I319">
        <v>0</v>
      </c>
      <c r="J319">
        <v>14.6359815796469</v>
      </c>
      <c r="K319">
        <v>174</v>
      </c>
      <c r="L319" s="5" t="str">
        <f>DiscreteStatsTable[[#This Row],[ProjectName]]&amp;DiscreteStatsTable[[#This Row],[Name]]&amp;DiscreteStatsTable[[#This Row],[Type]]&amp;DiscreteStatsTable[[#This Row],[Source]]</f>
        <v>Unnamed Projectmostrador2.QueueWaiting TimeQueue</v>
      </c>
      <c r="M319" s="5" cm="1">
        <f t="array" ref="M319">MAX(IF((ProjectInfoTable[ProjectName]=DiscreteStatsTable[[#This Row],[ProjectName]]),(ProjectInfoTable[ProjectName]=DiscreteStatsTable[[#This Row],[ProjectName]])*ProjectInfoTable[NumberOfReplications]))</f>
        <v>10</v>
      </c>
      <c r="N319" s="5" cm="1">
        <f t="array" ref="N319">IFERROR(AVERAGE(IF((DiscreteStatsTable[GroupByKey]=DiscreteStatsTable[[#This Row],[GroupByKey]]),(DiscreteStatsTable[GroupByKey]=DiscreteStatsTable[[#This Row],[GroupByKey]])*DiscreteStatsTable[Average])),0)</f>
        <v>1.8591428303213111</v>
      </c>
      <c r="O319" s="5" cm="1">
        <f t="array" ref="O319">IFERROR(_xlfn.STDEV.S(IF((DiscreteStatsTable[GroupByKey]=DiscreteStatsTable[[#This Row],[GroupByKey]]),(DiscreteStatsTable[GroupByKey]=DiscreteStatsTable[[#This Row],[GroupByKey]])*DiscreteStatsTable[Average])),0)</f>
        <v>0.32590913678849398</v>
      </c>
      <c r="P319" s="5" cm="1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 s="5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0.23314135172058717</v>
      </c>
      <c r="R319" s="5" cm="1">
        <f t="array" ref="R319">MIN(IF((DiscreteStatsTable[GroupByKey]=DiscreteStatsTable[[#This Row],[GroupByKey]]),(DiscreteStatsTable[GroupByKey]=DiscreteStatsTable[[#This Row],[GroupByKey]])*DiscreteStatsTable[Average]))</f>
        <v>1.4883474828955501</v>
      </c>
      <c r="S319" s="5" cm="1">
        <f t="array" ref="S319">MAX(IF((DiscreteStatsTable[GroupByKey]=DiscreteStatsTable[[#This Row],[GroupByKey]]),(DiscreteStatsTable[GroupByKey]=DiscreteStatsTable[[#This Row],[GroupByKey]])*DiscreteStatsTable[Average]))</f>
        <v>2.5323142314576299</v>
      </c>
      <c r="T319" s="5" cm="1">
        <f t="array" ref="T319">MIN(IF((DiscreteStatsTable[GroupByKey]=DiscreteStatsTable[[#This Row],[GroupByKey]]),(DiscreteStatsTable[GroupByKey]=DiscreteStatsTable[[#This Row],[GroupByKey]])*DiscreteStatsTable[Minimum]))</f>
        <v>0</v>
      </c>
      <c r="U319" s="5" cm="1">
        <f t="array" ref="U319">MAX(IF((DiscreteStatsTable[GroupByKey]=DiscreteStatsTable[[#This Row],[GroupByKey]]),(DiscreteStatsTable[GroupByKey]=DiscreteStatsTable[[#This Row],[GroupByKey]])*DiscreteStatsTable[Maximum]))</f>
        <v>21.652390393913599</v>
      </c>
      <c r="V319" s="5" cm="1">
        <f t="array" ref="V319">IFERROR(AVERAGE(IF((DiscreteStatsTable[GroupByKey]=DiscreteStatsTable[[#This Row],[GroupByKey]]),(DiscreteStatsTable[GroupByKey]=DiscreteStatsTable[[#This Row],[GroupByKey]])*DiscreteStatsTable[NumberObservations])),0)</f>
        <v>181.1</v>
      </c>
      <c r="W319" s="5">
        <f>IF((DiscreteStatsTable[[#This Row],[RepsRequested]]&gt;1),DiscreteStatsTable[[#This Row],[HalfWidth]],DiscreteStatsTable[[#This Row],[BatchMeansHalfWidth]])</f>
        <v>0.23314135172058717</v>
      </c>
      <c r="X319" s="5" cm="1">
        <f t="array" ref="X319">COUNT(IF((DiscreteStatsTable[GroupByKey]=DiscreteStatsTable[[#This Row],[GroupByKey]]),(DiscreteStatsTable[GroupByKey]=DiscreteStatsTable[[#This Row],[GroupByKey]])*DiscreteStatsTable[Replication]))</f>
        <v>10</v>
      </c>
      <c r="Y319" s="5">
        <f>IF(DiscreteStatsTable[[#This Row],[RepsRequested]]=DiscreteStatsTable[[#This Row],[RepsWithStatObserved]],1,0)</f>
        <v>1</v>
      </c>
    </row>
    <row r="320" spans="1:25" x14ac:dyDescent="0.3">
      <c r="A320" t="s">
        <v>66</v>
      </c>
      <c r="B320" t="s">
        <v>68</v>
      </c>
      <c r="C320">
        <v>9</v>
      </c>
      <c r="D320" t="s">
        <v>98</v>
      </c>
      <c r="E320" t="s">
        <v>70</v>
      </c>
      <c r="F320" t="s">
        <v>71</v>
      </c>
      <c r="G320">
        <v>2.5323142314576299</v>
      </c>
      <c r="H320">
        <v>2E+20</v>
      </c>
      <c r="I320">
        <v>0</v>
      </c>
      <c r="J320">
        <v>16.6213583408612</v>
      </c>
      <c r="K320">
        <v>176</v>
      </c>
      <c r="L320" s="5" t="str">
        <f>DiscreteStatsTable[[#This Row],[ProjectName]]&amp;DiscreteStatsTable[[#This Row],[Name]]&amp;DiscreteStatsTable[[#This Row],[Type]]&amp;DiscreteStatsTable[[#This Row],[Source]]</f>
        <v>Unnamed Projectmostrador2.QueueWaiting TimeQueue</v>
      </c>
      <c r="M320" s="5" cm="1">
        <f t="array" ref="M320">MAX(IF((ProjectInfoTable[ProjectName]=DiscreteStatsTable[[#This Row],[ProjectName]]),(ProjectInfoTable[ProjectName]=DiscreteStatsTable[[#This Row],[ProjectName]])*ProjectInfoTable[NumberOfReplications]))</f>
        <v>10</v>
      </c>
      <c r="N320" s="5" cm="1">
        <f t="array" ref="N320">IFERROR(AVERAGE(IF((DiscreteStatsTable[GroupByKey]=DiscreteStatsTable[[#This Row],[GroupByKey]]),(DiscreteStatsTable[GroupByKey]=DiscreteStatsTable[[#This Row],[GroupByKey]])*DiscreteStatsTable[Average])),0)</f>
        <v>1.8591428303213111</v>
      </c>
      <c r="O320" s="5" cm="1">
        <f t="array" ref="O320">IFERROR(_xlfn.STDEV.S(IF((DiscreteStatsTable[GroupByKey]=DiscreteStatsTable[[#This Row],[GroupByKey]]),(DiscreteStatsTable[GroupByKey]=DiscreteStatsTable[[#This Row],[GroupByKey]])*DiscreteStatsTable[Average])),0)</f>
        <v>0.32590913678849398</v>
      </c>
      <c r="P320" s="5" cm="1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 s="5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0.23314135172058717</v>
      </c>
      <c r="R320" s="5" cm="1">
        <f t="array" ref="R320">MIN(IF((DiscreteStatsTable[GroupByKey]=DiscreteStatsTable[[#This Row],[GroupByKey]]),(DiscreteStatsTable[GroupByKey]=DiscreteStatsTable[[#This Row],[GroupByKey]])*DiscreteStatsTable[Average]))</f>
        <v>1.4883474828955501</v>
      </c>
      <c r="S320" s="5" cm="1">
        <f t="array" ref="S320">MAX(IF((DiscreteStatsTable[GroupByKey]=DiscreteStatsTable[[#This Row],[GroupByKey]]),(DiscreteStatsTable[GroupByKey]=DiscreteStatsTable[[#This Row],[GroupByKey]])*DiscreteStatsTable[Average]))</f>
        <v>2.5323142314576299</v>
      </c>
      <c r="T320" s="5" cm="1">
        <f t="array" ref="T320">MIN(IF((DiscreteStatsTable[GroupByKey]=DiscreteStatsTable[[#This Row],[GroupByKey]]),(DiscreteStatsTable[GroupByKey]=DiscreteStatsTable[[#This Row],[GroupByKey]])*DiscreteStatsTable[Minimum]))</f>
        <v>0</v>
      </c>
      <c r="U320" s="5" cm="1">
        <f t="array" ref="U320">MAX(IF((DiscreteStatsTable[GroupByKey]=DiscreteStatsTable[[#This Row],[GroupByKey]]),(DiscreteStatsTable[GroupByKey]=DiscreteStatsTable[[#This Row],[GroupByKey]])*DiscreteStatsTable[Maximum]))</f>
        <v>21.652390393913599</v>
      </c>
      <c r="V320" s="5" cm="1">
        <f t="array" ref="V320">IFERROR(AVERAGE(IF((DiscreteStatsTable[GroupByKey]=DiscreteStatsTable[[#This Row],[GroupByKey]]),(DiscreteStatsTable[GroupByKey]=DiscreteStatsTable[[#This Row],[GroupByKey]])*DiscreteStatsTable[NumberObservations])),0)</f>
        <v>181.1</v>
      </c>
      <c r="W320" s="5">
        <f>IF((DiscreteStatsTable[[#This Row],[RepsRequested]]&gt;1),DiscreteStatsTable[[#This Row],[HalfWidth]],DiscreteStatsTable[[#This Row],[BatchMeansHalfWidth]])</f>
        <v>0.23314135172058717</v>
      </c>
      <c r="X320" s="5" cm="1">
        <f t="array" ref="X320">COUNT(IF((DiscreteStatsTable[GroupByKey]=DiscreteStatsTable[[#This Row],[GroupByKey]]),(DiscreteStatsTable[GroupByKey]=DiscreteStatsTable[[#This Row],[GroupByKey]])*DiscreteStatsTable[Replication]))</f>
        <v>10</v>
      </c>
      <c r="Y320" s="5">
        <f>IF(DiscreteStatsTable[[#This Row],[RepsRequested]]=DiscreteStatsTable[[#This Row],[RepsWithStatObserved]],1,0)</f>
        <v>1</v>
      </c>
    </row>
    <row r="321" spans="1:25" x14ac:dyDescent="0.3">
      <c r="A321" t="s">
        <v>66</v>
      </c>
      <c r="B321" t="s">
        <v>68</v>
      </c>
      <c r="C321">
        <v>10</v>
      </c>
      <c r="D321" t="s">
        <v>98</v>
      </c>
      <c r="E321" t="s">
        <v>70</v>
      </c>
      <c r="F321" t="s">
        <v>71</v>
      </c>
      <c r="G321">
        <v>1.6184501175766499</v>
      </c>
      <c r="H321">
        <v>2E+20</v>
      </c>
      <c r="I321">
        <v>0</v>
      </c>
      <c r="J321">
        <v>13.299250752611901</v>
      </c>
      <c r="K321">
        <v>171</v>
      </c>
      <c r="L321" s="5" t="str">
        <f>DiscreteStatsTable[[#This Row],[ProjectName]]&amp;DiscreteStatsTable[[#This Row],[Name]]&amp;DiscreteStatsTable[[#This Row],[Type]]&amp;DiscreteStatsTable[[#This Row],[Source]]</f>
        <v>Unnamed Projectmostrador2.QueueWaiting TimeQueue</v>
      </c>
      <c r="M321" s="5" cm="1">
        <f t="array" ref="M321">MAX(IF((ProjectInfoTable[ProjectName]=DiscreteStatsTable[[#This Row],[ProjectName]]),(ProjectInfoTable[ProjectName]=DiscreteStatsTable[[#This Row],[ProjectName]])*ProjectInfoTable[NumberOfReplications]))</f>
        <v>10</v>
      </c>
      <c r="N321" s="5" cm="1">
        <f t="array" ref="N321">IFERROR(AVERAGE(IF((DiscreteStatsTable[GroupByKey]=DiscreteStatsTable[[#This Row],[GroupByKey]]),(DiscreteStatsTable[GroupByKey]=DiscreteStatsTable[[#This Row],[GroupByKey]])*DiscreteStatsTable[Average])),0)</f>
        <v>1.8591428303213111</v>
      </c>
      <c r="O321" s="5" cm="1">
        <f t="array" ref="O321">IFERROR(_xlfn.STDEV.S(IF((DiscreteStatsTable[GroupByKey]=DiscreteStatsTable[[#This Row],[GroupByKey]]),(DiscreteStatsTable[GroupByKey]=DiscreteStatsTable[[#This Row],[GroupByKey]])*DiscreteStatsTable[Average])),0)</f>
        <v>0.32590913678849398</v>
      </c>
      <c r="P321" s="5" cm="1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 s="5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0.23314135172058717</v>
      </c>
      <c r="R321" s="5" cm="1">
        <f t="array" ref="R321">MIN(IF((DiscreteStatsTable[GroupByKey]=DiscreteStatsTable[[#This Row],[GroupByKey]]),(DiscreteStatsTable[GroupByKey]=DiscreteStatsTable[[#This Row],[GroupByKey]])*DiscreteStatsTable[Average]))</f>
        <v>1.4883474828955501</v>
      </c>
      <c r="S321" s="5" cm="1">
        <f t="array" ref="S321">MAX(IF((DiscreteStatsTable[GroupByKey]=DiscreteStatsTable[[#This Row],[GroupByKey]]),(DiscreteStatsTable[GroupByKey]=DiscreteStatsTable[[#This Row],[GroupByKey]])*DiscreteStatsTable[Average]))</f>
        <v>2.5323142314576299</v>
      </c>
      <c r="T321" s="5" cm="1">
        <f t="array" ref="T321">MIN(IF((DiscreteStatsTable[GroupByKey]=DiscreteStatsTable[[#This Row],[GroupByKey]]),(DiscreteStatsTable[GroupByKey]=DiscreteStatsTable[[#This Row],[GroupByKey]])*DiscreteStatsTable[Minimum]))</f>
        <v>0</v>
      </c>
      <c r="U321" s="5" cm="1">
        <f t="array" ref="U321">MAX(IF((DiscreteStatsTable[GroupByKey]=DiscreteStatsTable[[#This Row],[GroupByKey]]),(DiscreteStatsTable[GroupByKey]=DiscreteStatsTable[[#This Row],[GroupByKey]])*DiscreteStatsTable[Maximum]))</f>
        <v>21.652390393913599</v>
      </c>
      <c r="V321" s="5" cm="1">
        <f t="array" ref="V321">IFERROR(AVERAGE(IF((DiscreteStatsTable[GroupByKey]=DiscreteStatsTable[[#This Row],[GroupByKey]]),(DiscreteStatsTable[GroupByKey]=DiscreteStatsTable[[#This Row],[GroupByKey]])*DiscreteStatsTable[NumberObservations])),0)</f>
        <v>181.1</v>
      </c>
      <c r="W321" s="5">
        <f>IF((DiscreteStatsTable[[#This Row],[RepsRequested]]&gt;1),DiscreteStatsTable[[#This Row],[HalfWidth]],DiscreteStatsTable[[#This Row],[BatchMeansHalfWidth]])</f>
        <v>0.23314135172058717</v>
      </c>
      <c r="X321" s="5" cm="1">
        <f t="array" ref="X321">COUNT(IF((DiscreteStatsTable[GroupByKey]=DiscreteStatsTable[[#This Row],[GroupByKey]]),(DiscreteStatsTable[GroupByKey]=DiscreteStatsTable[[#This Row],[GroupByKey]])*DiscreteStatsTable[Replication]))</f>
        <v>10</v>
      </c>
      <c r="Y321" s="5">
        <f>IF(DiscreteStatsTable[[#This Row],[RepsRequested]]=DiscreteStatsTable[[#This Row],[RepsWithStatObserved]],1,0)</f>
        <v>1</v>
      </c>
    </row>
    <row r="322" spans="1:25" x14ac:dyDescent="0.3">
      <c r="A322" t="s">
        <v>66</v>
      </c>
      <c r="B322" t="s">
        <v>68</v>
      </c>
      <c r="C322">
        <v>1</v>
      </c>
      <c r="D322" t="s">
        <v>89</v>
      </c>
      <c r="E322" t="s">
        <v>90</v>
      </c>
      <c r="F322" t="s">
        <v>91</v>
      </c>
      <c r="G322">
        <v>34.7545467702097</v>
      </c>
      <c r="H322">
        <v>2E+20</v>
      </c>
      <c r="I322">
        <v>23.796442963815899</v>
      </c>
      <c r="J322">
        <v>88.081600023830703</v>
      </c>
      <c r="K322">
        <v>210</v>
      </c>
      <c r="L322" s="5" t="str">
        <f>DiscreteStatsTable[[#This Row],[ProjectName]]&amp;DiscreteStatsTable[[#This Row],[Name]]&amp;DiscreteStatsTable[[#This Row],[Type]]&amp;DiscreteStatsTable[[#This Row],[Source]]</f>
        <v>Unnamed ProjectTCiclo InternacionalNoneUser Specified</v>
      </c>
      <c r="M322" s="5" cm="1">
        <f t="array" ref="M322">MAX(IF((ProjectInfoTable[ProjectName]=DiscreteStatsTable[[#This Row],[ProjectName]]),(ProjectInfoTable[ProjectName]=DiscreteStatsTable[[#This Row],[ProjectName]])*ProjectInfoTable[NumberOfReplications]))</f>
        <v>10</v>
      </c>
      <c r="N322" s="5" cm="1">
        <f t="array" ref="N322">IFERROR(AVERAGE(IF((DiscreteStatsTable[GroupByKey]=DiscreteStatsTable[[#This Row],[GroupByKey]]),(DiscreteStatsTable[GroupByKey]=DiscreteStatsTable[[#This Row],[GroupByKey]])*DiscreteStatsTable[Average])),0)</f>
        <v>37.229253620322382</v>
      </c>
      <c r="O322" s="5" cm="1">
        <f t="array" ref="O322">IFERROR(_xlfn.STDEV.S(IF((DiscreteStatsTable[GroupByKey]=DiscreteStatsTable[[#This Row],[GroupByKey]]),(DiscreteStatsTable[GroupByKey]=DiscreteStatsTable[[#This Row],[GroupByKey]])*DiscreteStatsTable[Average])),0)</f>
        <v>2.4529302067208123</v>
      </c>
      <c r="P322" s="5" cm="1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 s="5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1.7547205632417833</v>
      </c>
      <c r="R322" s="5" cm="1">
        <f t="array" ref="R322">MIN(IF((DiscreteStatsTable[GroupByKey]=DiscreteStatsTable[[#This Row],[GroupByKey]]),(DiscreteStatsTable[GroupByKey]=DiscreteStatsTable[[#This Row],[GroupByKey]])*DiscreteStatsTable[Average]))</f>
        <v>34.084822591333797</v>
      </c>
      <c r="S322" s="5" cm="1">
        <f t="array" ref="S322">MAX(IF((DiscreteStatsTable[GroupByKey]=DiscreteStatsTable[[#This Row],[GroupByKey]]),(DiscreteStatsTable[GroupByKey]=DiscreteStatsTable[[#This Row],[GroupByKey]])*DiscreteStatsTable[Average]))</f>
        <v>42.045643918903899</v>
      </c>
      <c r="T322" s="5" cm="1">
        <f t="array" ref="T322">MIN(IF((DiscreteStatsTable[GroupByKey]=DiscreteStatsTable[[#This Row],[GroupByKey]]),(DiscreteStatsTable[GroupByKey]=DiscreteStatsTable[[#This Row],[GroupByKey]])*DiscreteStatsTable[Minimum]))</f>
        <v>23.2621458877368</v>
      </c>
      <c r="U322" s="5" cm="1">
        <f t="array" ref="U322">MAX(IF((DiscreteStatsTable[GroupByKey]=DiscreteStatsTable[[#This Row],[GroupByKey]]),(DiscreteStatsTable[GroupByKey]=DiscreteStatsTable[[#This Row],[GroupByKey]])*DiscreteStatsTable[Maximum]))</f>
        <v>115.03202502190101</v>
      </c>
      <c r="V322" s="5" cm="1">
        <f t="array" ref="V322">IFERROR(AVERAGE(IF((DiscreteStatsTable[GroupByKey]=DiscreteStatsTable[[#This Row],[GroupByKey]]),(DiscreteStatsTable[GroupByKey]=DiscreteStatsTable[[#This Row],[GroupByKey]])*DiscreteStatsTable[NumberObservations])),0)</f>
        <v>213.3</v>
      </c>
      <c r="W322" s="5">
        <f>IF((DiscreteStatsTable[[#This Row],[RepsRequested]]&gt;1),DiscreteStatsTable[[#This Row],[HalfWidth]],DiscreteStatsTable[[#This Row],[BatchMeansHalfWidth]])</f>
        <v>1.7547205632417833</v>
      </c>
      <c r="X322" s="5" cm="1">
        <f t="array" ref="X322">COUNT(IF((DiscreteStatsTable[GroupByKey]=DiscreteStatsTable[[#This Row],[GroupByKey]]),(DiscreteStatsTable[GroupByKey]=DiscreteStatsTable[[#This Row],[GroupByKey]])*DiscreteStatsTable[Replication]))</f>
        <v>10</v>
      </c>
      <c r="Y322" s="5">
        <f>IF(DiscreteStatsTable[[#This Row],[RepsRequested]]=DiscreteStatsTable[[#This Row],[RepsWithStatObserved]],1,0)</f>
        <v>1</v>
      </c>
    </row>
    <row r="323" spans="1:25" x14ac:dyDescent="0.3">
      <c r="A323" t="s">
        <v>66</v>
      </c>
      <c r="B323" t="s">
        <v>68</v>
      </c>
      <c r="C323">
        <v>2</v>
      </c>
      <c r="D323" t="s">
        <v>89</v>
      </c>
      <c r="E323" t="s">
        <v>90</v>
      </c>
      <c r="F323" t="s">
        <v>91</v>
      </c>
      <c r="G323">
        <v>36.3011648447998</v>
      </c>
      <c r="H323">
        <v>2E+20</v>
      </c>
      <c r="I323">
        <v>24.534649860201501</v>
      </c>
      <c r="J323">
        <v>69.859917188264305</v>
      </c>
      <c r="K323">
        <v>197</v>
      </c>
      <c r="L323" s="5" t="str">
        <f>DiscreteStatsTable[[#This Row],[ProjectName]]&amp;DiscreteStatsTable[[#This Row],[Name]]&amp;DiscreteStatsTable[[#This Row],[Type]]&amp;DiscreteStatsTable[[#This Row],[Source]]</f>
        <v>Unnamed ProjectTCiclo InternacionalNoneUser Specified</v>
      </c>
      <c r="M323" s="5" cm="1">
        <f t="array" ref="M323">MAX(IF((ProjectInfoTable[ProjectName]=DiscreteStatsTable[[#This Row],[ProjectName]]),(ProjectInfoTable[ProjectName]=DiscreteStatsTable[[#This Row],[ProjectName]])*ProjectInfoTable[NumberOfReplications]))</f>
        <v>10</v>
      </c>
      <c r="N323" s="5" cm="1">
        <f t="array" ref="N323">IFERROR(AVERAGE(IF((DiscreteStatsTable[GroupByKey]=DiscreteStatsTable[[#This Row],[GroupByKey]]),(DiscreteStatsTable[GroupByKey]=DiscreteStatsTable[[#This Row],[GroupByKey]])*DiscreteStatsTable[Average])),0)</f>
        <v>37.229253620322382</v>
      </c>
      <c r="O323" s="5" cm="1">
        <f t="array" ref="O323">IFERROR(_xlfn.STDEV.S(IF((DiscreteStatsTable[GroupByKey]=DiscreteStatsTable[[#This Row],[GroupByKey]]),(DiscreteStatsTable[GroupByKey]=DiscreteStatsTable[[#This Row],[GroupByKey]])*DiscreteStatsTable[Average])),0)</f>
        <v>2.4529302067208123</v>
      </c>
      <c r="P323" s="5" cm="1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 s="5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1.7547205632417833</v>
      </c>
      <c r="R323" s="5" cm="1">
        <f t="array" ref="R323">MIN(IF((DiscreteStatsTable[GroupByKey]=DiscreteStatsTable[[#This Row],[GroupByKey]]),(DiscreteStatsTable[GroupByKey]=DiscreteStatsTable[[#This Row],[GroupByKey]])*DiscreteStatsTable[Average]))</f>
        <v>34.084822591333797</v>
      </c>
      <c r="S323" s="5" cm="1">
        <f t="array" ref="S323">MAX(IF((DiscreteStatsTable[GroupByKey]=DiscreteStatsTable[[#This Row],[GroupByKey]]),(DiscreteStatsTable[GroupByKey]=DiscreteStatsTable[[#This Row],[GroupByKey]])*DiscreteStatsTable[Average]))</f>
        <v>42.045643918903899</v>
      </c>
      <c r="T323" s="5" cm="1">
        <f t="array" ref="T323">MIN(IF((DiscreteStatsTable[GroupByKey]=DiscreteStatsTable[[#This Row],[GroupByKey]]),(DiscreteStatsTable[GroupByKey]=DiscreteStatsTable[[#This Row],[GroupByKey]])*DiscreteStatsTable[Minimum]))</f>
        <v>23.2621458877368</v>
      </c>
      <c r="U323" s="5" cm="1">
        <f t="array" ref="U323">MAX(IF((DiscreteStatsTable[GroupByKey]=DiscreteStatsTable[[#This Row],[GroupByKey]]),(DiscreteStatsTable[GroupByKey]=DiscreteStatsTable[[#This Row],[GroupByKey]])*DiscreteStatsTable[Maximum]))</f>
        <v>115.03202502190101</v>
      </c>
      <c r="V323" s="5" cm="1">
        <f t="array" ref="V323">IFERROR(AVERAGE(IF((DiscreteStatsTable[GroupByKey]=DiscreteStatsTable[[#This Row],[GroupByKey]]),(DiscreteStatsTable[GroupByKey]=DiscreteStatsTable[[#This Row],[GroupByKey]])*DiscreteStatsTable[NumberObservations])),0)</f>
        <v>213.3</v>
      </c>
      <c r="W323" s="5">
        <f>IF((DiscreteStatsTable[[#This Row],[RepsRequested]]&gt;1),DiscreteStatsTable[[#This Row],[HalfWidth]],DiscreteStatsTable[[#This Row],[BatchMeansHalfWidth]])</f>
        <v>1.7547205632417833</v>
      </c>
      <c r="X323" s="5" cm="1">
        <f t="array" ref="X323">COUNT(IF((DiscreteStatsTable[GroupByKey]=DiscreteStatsTable[[#This Row],[GroupByKey]]),(DiscreteStatsTable[GroupByKey]=DiscreteStatsTable[[#This Row],[GroupByKey]])*DiscreteStatsTable[Replication]))</f>
        <v>10</v>
      </c>
      <c r="Y323" s="5">
        <f>IF(DiscreteStatsTable[[#This Row],[RepsRequested]]=DiscreteStatsTable[[#This Row],[RepsWithStatObserved]],1,0)</f>
        <v>1</v>
      </c>
    </row>
    <row r="324" spans="1:25" x14ac:dyDescent="0.3">
      <c r="A324" t="s">
        <v>66</v>
      </c>
      <c r="B324" t="s">
        <v>68</v>
      </c>
      <c r="C324">
        <v>3</v>
      </c>
      <c r="D324" t="s">
        <v>89</v>
      </c>
      <c r="E324" t="s">
        <v>90</v>
      </c>
      <c r="F324" t="s">
        <v>91</v>
      </c>
      <c r="G324">
        <v>39.6086358688055</v>
      </c>
      <c r="H324">
        <v>2E+20</v>
      </c>
      <c r="I324">
        <v>23.2621458877368</v>
      </c>
      <c r="J324">
        <v>73.576454427159902</v>
      </c>
      <c r="K324">
        <v>208</v>
      </c>
      <c r="L324" s="5" t="str">
        <f>DiscreteStatsTable[[#This Row],[ProjectName]]&amp;DiscreteStatsTable[[#This Row],[Name]]&amp;DiscreteStatsTable[[#This Row],[Type]]&amp;DiscreteStatsTable[[#This Row],[Source]]</f>
        <v>Unnamed ProjectTCiclo InternacionalNoneUser Specified</v>
      </c>
      <c r="M324" s="5" cm="1">
        <f t="array" ref="M324">MAX(IF((ProjectInfoTable[ProjectName]=DiscreteStatsTable[[#This Row],[ProjectName]]),(ProjectInfoTable[ProjectName]=DiscreteStatsTable[[#This Row],[ProjectName]])*ProjectInfoTable[NumberOfReplications]))</f>
        <v>10</v>
      </c>
      <c r="N324" s="5" cm="1">
        <f t="array" ref="N324">IFERROR(AVERAGE(IF((DiscreteStatsTable[GroupByKey]=DiscreteStatsTable[[#This Row],[GroupByKey]]),(DiscreteStatsTable[GroupByKey]=DiscreteStatsTable[[#This Row],[GroupByKey]])*DiscreteStatsTable[Average])),0)</f>
        <v>37.229253620322382</v>
      </c>
      <c r="O324" s="5" cm="1">
        <f t="array" ref="O324">IFERROR(_xlfn.STDEV.S(IF((DiscreteStatsTable[GroupByKey]=DiscreteStatsTable[[#This Row],[GroupByKey]]),(DiscreteStatsTable[GroupByKey]=DiscreteStatsTable[[#This Row],[GroupByKey]])*DiscreteStatsTable[Average])),0)</f>
        <v>2.4529302067208123</v>
      </c>
      <c r="P324" s="5" cm="1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 s="5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1.7547205632417833</v>
      </c>
      <c r="R324" s="5" cm="1">
        <f t="array" ref="R324">MIN(IF((DiscreteStatsTable[GroupByKey]=DiscreteStatsTable[[#This Row],[GroupByKey]]),(DiscreteStatsTable[GroupByKey]=DiscreteStatsTable[[#This Row],[GroupByKey]])*DiscreteStatsTable[Average]))</f>
        <v>34.084822591333797</v>
      </c>
      <c r="S324" s="5" cm="1">
        <f t="array" ref="S324">MAX(IF((DiscreteStatsTable[GroupByKey]=DiscreteStatsTable[[#This Row],[GroupByKey]]),(DiscreteStatsTable[GroupByKey]=DiscreteStatsTable[[#This Row],[GroupByKey]])*DiscreteStatsTable[Average]))</f>
        <v>42.045643918903899</v>
      </c>
      <c r="T324" s="5" cm="1">
        <f t="array" ref="T324">MIN(IF((DiscreteStatsTable[GroupByKey]=DiscreteStatsTable[[#This Row],[GroupByKey]]),(DiscreteStatsTable[GroupByKey]=DiscreteStatsTable[[#This Row],[GroupByKey]])*DiscreteStatsTable[Minimum]))</f>
        <v>23.2621458877368</v>
      </c>
      <c r="U324" s="5" cm="1">
        <f t="array" ref="U324">MAX(IF((DiscreteStatsTable[GroupByKey]=DiscreteStatsTable[[#This Row],[GroupByKey]]),(DiscreteStatsTable[GroupByKey]=DiscreteStatsTable[[#This Row],[GroupByKey]])*DiscreteStatsTable[Maximum]))</f>
        <v>115.03202502190101</v>
      </c>
      <c r="V324" s="5" cm="1">
        <f t="array" ref="V324">IFERROR(AVERAGE(IF((DiscreteStatsTable[GroupByKey]=DiscreteStatsTable[[#This Row],[GroupByKey]]),(DiscreteStatsTable[GroupByKey]=DiscreteStatsTable[[#This Row],[GroupByKey]])*DiscreteStatsTable[NumberObservations])),0)</f>
        <v>213.3</v>
      </c>
      <c r="W324" s="5">
        <f>IF((DiscreteStatsTable[[#This Row],[RepsRequested]]&gt;1),DiscreteStatsTable[[#This Row],[HalfWidth]],DiscreteStatsTable[[#This Row],[BatchMeansHalfWidth]])</f>
        <v>1.7547205632417833</v>
      </c>
      <c r="X324" s="5" cm="1">
        <f t="array" ref="X324">COUNT(IF((DiscreteStatsTable[GroupByKey]=DiscreteStatsTable[[#This Row],[GroupByKey]]),(DiscreteStatsTable[GroupByKey]=DiscreteStatsTable[[#This Row],[GroupByKey]])*DiscreteStatsTable[Replication]))</f>
        <v>10</v>
      </c>
      <c r="Y324" s="5">
        <f>IF(DiscreteStatsTable[[#This Row],[RepsRequested]]=DiscreteStatsTable[[#This Row],[RepsWithStatObserved]],1,0)</f>
        <v>1</v>
      </c>
    </row>
    <row r="325" spans="1:25" x14ac:dyDescent="0.3">
      <c r="A325" t="s">
        <v>66</v>
      </c>
      <c r="B325" t="s">
        <v>68</v>
      </c>
      <c r="C325">
        <v>4</v>
      </c>
      <c r="D325" t="s">
        <v>89</v>
      </c>
      <c r="E325" t="s">
        <v>90</v>
      </c>
      <c r="F325" t="s">
        <v>91</v>
      </c>
      <c r="G325">
        <v>39.349423870511004</v>
      </c>
      <c r="H325">
        <v>2E+20</v>
      </c>
      <c r="I325">
        <v>24.900372240101401</v>
      </c>
      <c r="J325">
        <v>79.908722369558504</v>
      </c>
      <c r="K325">
        <v>242</v>
      </c>
      <c r="L325" s="5" t="str">
        <f>DiscreteStatsTable[[#This Row],[ProjectName]]&amp;DiscreteStatsTable[[#This Row],[Name]]&amp;DiscreteStatsTable[[#This Row],[Type]]&amp;DiscreteStatsTable[[#This Row],[Source]]</f>
        <v>Unnamed ProjectTCiclo InternacionalNoneUser Specified</v>
      </c>
      <c r="M325" s="5" cm="1">
        <f t="array" ref="M325">MAX(IF((ProjectInfoTable[ProjectName]=DiscreteStatsTable[[#This Row],[ProjectName]]),(ProjectInfoTable[ProjectName]=DiscreteStatsTable[[#This Row],[ProjectName]])*ProjectInfoTable[NumberOfReplications]))</f>
        <v>10</v>
      </c>
      <c r="N325" s="5" cm="1">
        <f t="array" ref="N325">IFERROR(AVERAGE(IF((DiscreteStatsTable[GroupByKey]=DiscreteStatsTable[[#This Row],[GroupByKey]]),(DiscreteStatsTable[GroupByKey]=DiscreteStatsTable[[#This Row],[GroupByKey]])*DiscreteStatsTable[Average])),0)</f>
        <v>37.229253620322382</v>
      </c>
      <c r="O325" s="5" cm="1">
        <f t="array" ref="O325">IFERROR(_xlfn.STDEV.S(IF((DiscreteStatsTable[GroupByKey]=DiscreteStatsTable[[#This Row],[GroupByKey]]),(DiscreteStatsTable[GroupByKey]=DiscreteStatsTable[[#This Row],[GroupByKey]])*DiscreteStatsTable[Average])),0)</f>
        <v>2.4529302067208123</v>
      </c>
      <c r="P325" s="5" cm="1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 s="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1.7547205632417833</v>
      </c>
      <c r="R325" s="5" cm="1">
        <f t="array" ref="R325">MIN(IF((DiscreteStatsTable[GroupByKey]=DiscreteStatsTable[[#This Row],[GroupByKey]]),(DiscreteStatsTable[GroupByKey]=DiscreteStatsTable[[#This Row],[GroupByKey]])*DiscreteStatsTable[Average]))</f>
        <v>34.084822591333797</v>
      </c>
      <c r="S325" s="5" cm="1">
        <f t="array" ref="S325">MAX(IF((DiscreteStatsTable[GroupByKey]=DiscreteStatsTable[[#This Row],[GroupByKey]]),(DiscreteStatsTable[GroupByKey]=DiscreteStatsTable[[#This Row],[GroupByKey]])*DiscreteStatsTable[Average]))</f>
        <v>42.045643918903899</v>
      </c>
      <c r="T325" s="5" cm="1">
        <f t="array" ref="T325">MIN(IF((DiscreteStatsTable[GroupByKey]=DiscreteStatsTable[[#This Row],[GroupByKey]]),(DiscreteStatsTable[GroupByKey]=DiscreteStatsTable[[#This Row],[GroupByKey]])*DiscreteStatsTable[Minimum]))</f>
        <v>23.2621458877368</v>
      </c>
      <c r="U325" s="5" cm="1">
        <f t="array" ref="U325">MAX(IF((DiscreteStatsTable[GroupByKey]=DiscreteStatsTable[[#This Row],[GroupByKey]]),(DiscreteStatsTable[GroupByKey]=DiscreteStatsTable[[#This Row],[GroupByKey]])*DiscreteStatsTable[Maximum]))</f>
        <v>115.03202502190101</v>
      </c>
      <c r="V325" s="5" cm="1">
        <f t="array" ref="V325">IFERROR(AVERAGE(IF((DiscreteStatsTable[GroupByKey]=DiscreteStatsTable[[#This Row],[GroupByKey]]),(DiscreteStatsTable[GroupByKey]=DiscreteStatsTable[[#This Row],[GroupByKey]])*DiscreteStatsTable[NumberObservations])),0)</f>
        <v>213.3</v>
      </c>
      <c r="W325" s="5">
        <f>IF((DiscreteStatsTable[[#This Row],[RepsRequested]]&gt;1),DiscreteStatsTable[[#This Row],[HalfWidth]],DiscreteStatsTable[[#This Row],[BatchMeansHalfWidth]])</f>
        <v>1.7547205632417833</v>
      </c>
      <c r="X325" s="5" cm="1">
        <f t="array" ref="X325">COUNT(IF((DiscreteStatsTable[GroupByKey]=DiscreteStatsTable[[#This Row],[GroupByKey]]),(DiscreteStatsTable[GroupByKey]=DiscreteStatsTable[[#This Row],[GroupByKey]])*DiscreteStatsTable[Replication]))</f>
        <v>10</v>
      </c>
      <c r="Y325" s="5">
        <f>IF(DiscreteStatsTable[[#This Row],[RepsRequested]]=DiscreteStatsTable[[#This Row],[RepsWithStatObserved]],1,0)</f>
        <v>1</v>
      </c>
    </row>
    <row r="326" spans="1:25" x14ac:dyDescent="0.3">
      <c r="A326" t="s">
        <v>66</v>
      </c>
      <c r="B326" t="s">
        <v>68</v>
      </c>
      <c r="C326">
        <v>5</v>
      </c>
      <c r="D326" t="s">
        <v>89</v>
      </c>
      <c r="E326" t="s">
        <v>90</v>
      </c>
      <c r="F326" t="s">
        <v>91</v>
      </c>
      <c r="G326">
        <v>37.631815441495597</v>
      </c>
      <c r="H326">
        <v>2E+20</v>
      </c>
      <c r="I326">
        <v>24.895205168716299</v>
      </c>
      <c r="J326">
        <v>95.254098387809094</v>
      </c>
      <c r="K326">
        <v>220</v>
      </c>
      <c r="L326" s="5" t="str">
        <f>DiscreteStatsTable[[#This Row],[ProjectName]]&amp;DiscreteStatsTable[[#This Row],[Name]]&amp;DiscreteStatsTable[[#This Row],[Type]]&amp;DiscreteStatsTable[[#This Row],[Source]]</f>
        <v>Unnamed ProjectTCiclo InternacionalNoneUser Specified</v>
      </c>
      <c r="M326" s="5" cm="1">
        <f t="array" ref="M326">MAX(IF((ProjectInfoTable[ProjectName]=DiscreteStatsTable[[#This Row],[ProjectName]]),(ProjectInfoTable[ProjectName]=DiscreteStatsTable[[#This Row],[ProjectName]])*ProjectInfoTable[NumberOfReplications]))</f>
        <v>10</v>
      </c>
      <c r="N326" s="5" cm="1">
        <f t="array" ref="N326">IFERROR(AVERAGE(IF((DiscreteStatsTable[GroupByKey]=DiscreteStatsTable[[#This Row],[GroupByKey]]),(DiscreteStatsTable[GroupByKey]=DiscreteStatsTable[[#This Row],[GroupByKey]])*DiscreteStatsTable[Average])),0)</f>
        <v>37.229253620322382</v>
      </c>
      <c r="O326" s="5" cm="1">
        <f t="array" ref="O326">IFERROR(_xlfn.STDEV.S(IF((DiscreteStatsTable[GroupByKey]=DiscreteStatsTable[[#This Row],[GroupByKey]]),(DiscreteStatsTable[GroupByKey]=DiscreteStatsTable[[#This Row],[GroupByKey]])*DiscreteStatsTable[Average])),0)</f>
        <v>2.4529302067208123</v>
      </c>
      <c r="P326" s="5" cm="1">
        <f t="array" ref="P326">MAX(IF((ProjectInfoTable[ProjectName]=DiscreteStatsTable[[#This Row],[ProjectName]]),(ProjectInfoTable[ProjectName]=DiscreteStatsTable[[#This Row],[ProjectName]])*ProjectInfoTable[ConfidenceInterval]))</f>
        <v>0.95</v>
      </c>
      <c r="Q326" s="5">
        <f>IF(AND(DiscreteStatsTable[[#This Row],[RepsWithStatObserved]]=1,Y326=0),200000000000000000000,IFERROR(_xlfn.T.INV.2T(1 -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1.7547205632417833</v>
      </c>
      <c r="R326" s="5" cm="1">
        <f t="array" ref="R326">MIN(IF((DiscreteStatsTable[GroupByKey]=DiscreteStatsTable[[#This Row],[GroupByKey]]),(DiscreteStatsTable[GroupByKey]=DiscreteStatsTable[[#This Row],[GroupByKey]])*DiscreteStatsTable[Average]))</f>
        <v>34.084822591333797</v>
      </c>
      <c r="S326" s="5" cm="1">
        <f t="array" ref="S326">MAX(IF((DiscreteStatsTable[GroupByKey]=DiscreteStatsTable[[#This Row],[GroupByKey]]),(DiscreteStatsTable[GroupByKey]=DiscreteStatsTable[[#This Row],[GroupByKey]])*DiscreteStatsTable[Average]))</f>
        <v>42.045643918903899</v>
      </c>
      <c r="T326" s="5" cm="1">
        <f t="array" ref="T326">MIN(IF((DiscreteStatsTable[GroupByKey]=DiscreteStatsTable[[#This Row],[GroupByKey]]),(DiscreteStatsTable[GroupByKey]=DiscreteStatsTable[[#This Row],[GroupByKey]])*DiscreteStatsTable[Minimum]))</f>
        <v>23.2621458877368</v>
      </c>
      <c r="U326" s="5" cm="1">
        <f t="array" ref="U326">MAX(IF((DiscreteStatsTable[GroupByKey]=DiscreteStatsTable[[#This Row],[GroupByKey]]),(DiscreteStatsTable[GroupByKey]=DiscreteStatsTable[[#This Row],[GroupByKey]])*DiscreteStatsTable[Maximum]))</f>
        <v>115.03202502190101</v>
      </c>
      <c r="V326" s="5" cm="1">
        <f t="array" ref="V326">IFERROR(AVERAGE(IF((DiscreteStatsTable[GroupByKey]=DiscreteStatsTable[[#This Row],[GroupByKey]]),(DiscreteStatsTable[GroupByKey]=DiscreteStatsTable[[#This Row],[GroupByKey]])*DiscreteStatsTable[NumberObservations])),0)</f>
        <v>213.3</v>
      </c>
      <c r="W326" s="5">
        <f>IF((DiscreteStatsTable[[#This Row],[RepsRequested]]&gt;1),DiscreteStatsTable[[#This Row],[HalfWidth]],DiscreteStatsTable[[#This Row],[BatchMeansHalfWidth]])</f>
        <v>1.7547205632417833</v>
      </c>
      <c r="X326" s="5" cm="1">
        <f t="array" ref="X326">COUNT(IF((DiscreteStatsTable[GroupByKey]=DiscreteStatsTable[[#This Row],[GroupByKey]]),(DiscreteStatsTable[GroupByKey]=DiscreteStatsTable[[#This Row],[GroupByKey]])*DiscreteStatsTable[Replication]))</f>
        <v>10</v>
      </c>
      <c r="Y326" s="5">
        <f>IF(DiscreteStatsTable[[#This Row],[RepsRequested]]=DiscreteStatsTable[[#This Row],[RepsWithStatObserved]],1,0)</f>
        <v>1</v>
      </c>
    </row>
    <row r="327" spans="1:25" x14ac:dyDescent="0.3">
      <c r="A327" t="s">
        <v>66</v>
      </c>
      <c r="B327" t="s">
        <v>68</v>
      </c>
      <c r="C327">
        <v>6</v>
      </c>
      <c r="D327" t="s">
        <v>89</v>
      </c>
      <c r="E327" t="s">
        <v>90</v>
      </c>
      <c r="F327" t="s">
        <v>91</v>
      </c>
      <c r="G327">
        <v>42.045643918903899</v>
      </c>
      <c r="H327">
        <v>2E+20</v>
      </c>
      <c r="I327">
        <v>23.468719829916601</v>
      </c>
      <c r="J327">
        <v>78.545351585803999</v>
      </c>
      <c r="K327">
        <v>243</v>
      </c>
      <c r="L327" s="5" t="str">
        <f>DiscreteStatsTable[[#This Row],[ProjectName]]&amp;DiscreteStatsTable[[#This Row],[Name]]&amp;DiscreteStatsTable[[#This Row],[Type]]&amp;DiscreteStatsTable[[#This Row],[Source]]</f>
        <v>Unnamed ProjectTCiclo InternacionalNoneUser Specified</v>
      </c>
      <c r="M327" s="5" cm="1">
        <f t="array" ref="M327">MAX(IF((ProjectInfoTable[ProjectName]=DiscreteStatsTable[[#This Row],[ProjectName]]),(ProjectInfoTable[ProjectName]=DiscreteStatsTable[[#This Row],[ProjectName]])*ProjectInfoTable[NumberOfReplications]))</f>
        <v>10</v>
      </c>
      <c r="N327" s="5" cm="1">
        <f t="array" ref="N327">IFERROR(AVERAGE(IF((DiscreteStatsTable[GroupByKey]=DiscreteStatsTable[[#This Row],[GroupByKey]]),(DiscreteStatsTable[GroupByKey]=DiscreteStatsTable[[#This Row],[GroupByKey]])*DiscreteStatsTable[Average])),0)</f>
        <v>37.229253620322382</v>
      </c>
      <c r="O327" s="5" cm="1">
        <f t="array" ref="O327">IFERROR(_xlfn.STDEV.S(IF((DiscreteStatsTable[GroupByKey]=DiscreteStatsTable[[#This Row],[GroupByKey]]),(DiscreteStatsTable[GroupByKey]=DiscreteStatsTable[[#This Row],[GroupByKey]])*DiscreteStatsTable[Average])),0)</f>
        <v>2.4529302067208123</v>
      </c>
      <c r="P327" s="5" cm="1">
        <f t="array" ref="P327">MAX(IF((ProjectInfoTable[ProjectName]=DiscreteStatsTable[[#This Row],[ProjectName]]),(ProjectInfoTable[ProjectName]=DiscreteStatsTable[[#This Row],[ProjectName]])*ProjectInfoTable[ConfidenceInterval]))</f>
        <v>0.95</v>
      </c>
      <c r="Q327" s="5">
        <f>IF(AND(DiscreteStatsTable[[#This Row],[RepsWithStatObserved]]=1,Y327=0),200000000000000000000,IFERROR(_xlfn.T.INV.2T(1 -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1.7547205632417833</v>
      </c>
      <c r="R327" s="5" cm="1">
        <f t="array" ref="R327">MIN(IF((DiscreteStatsTable[GroupByKey]=DiscreteStatsTable[[#This Row],[GroupByKey]]),(DiscreteStatsTable[GroupByKey]=DiscreteStatsTable[[#This Row],[GroupByKey]])*DiscreteStatsTable[Average]))</f>
        <v>34.084822591333797</v>
      </c>
      <c r="S327" s="5" cm="1">
        <f t="array" ref="S327">MAX(IF((DiscreteStatsTable[GroupByKey]=DiscreteStatsTable[[#This Row],[GroupByKey]]),(DiscreteStatsTable[GroupByKey]=DiscreteStatsTable[[#This Row],[GroupByKey]])*DiscreteStatsTable[Average]))</f>
        <v>42.045643918903899</v>
      </c>
      <c r="T327" s="5" cm="1">
        <f t="array" ref="T327">MIN(IF((DiscreteStatsTable[GroupByKey]=DiscreteStatsTable[[#This Row],[GroupByKey]]),(DiscreteStatsTable[GroupByKey]=DiscreteStatsTable[[#This Row],[GroupByKey]])*DiscreteStatsTable[Minimum]))</f>
        <v>23.2621458877368</v>
      </c>
      <c r="U327" s="5" cm="1">
        <f t="array" ref="U327">MAX(IF((DiscreteStatsTable[GroupByKey]=DiscreteStatsTable[[#This Row],[GroupByKey]]),(DiscreteStatsTable[GroupByKey]=DiscreteStatsTable[[#This Row],[GroupByKey]])*DiscreteStatsTable[Maximum]))</f>
        <v>115.03202502190101</v>
      </c>
      <c r="V327" s="5" cm="1">
        <f t="array" ref="V327">IFERROR(AVERAGE(IF((DiscreteStatsTable[GroupByKey]=DiscreteStatsTable[[#This Row],[GroupByKey]]),(DiscreteStatsTable[GroupByKey]=DiscreteStatsTable[[#This Row],[GroupByKey]])*DiscreteStatsTable[NumberObservations])),0)</f>
        <v>213.3</v>
      </c>
      <c r="W327" s="5">
        <f>IF((DiscreteStatsTable[[#This Row],[RepsRequested]]&gt;1),DiscreteStatsTable[[#This Row],[HalfWidth]],DiscreteStatsTable[[#This Row],[BatchMeansHalfWidth]])</f>
        <v>1.7547205632417833</v>
      </c>
      <c r="X327" s="5" cm="1">
        <f t="array" ref="X327">COUNT(IF((DiscreteStatsTable[GroupByKey]=DiscreteStatsTable[[#This Row],[GroupByKey]]),(DiscreteStatsTable[GroupByKey]=DiscreteStatsTable[[#This Row],[GroupByKey]])*DiscreteStatsTable[Replication]))</f>
        <v>10</v>
      </c>
      <c r="Y327" s="5">
        <f>IF(DiscreteStatsTable[[#This Row],[RepsRequested]]=DiscreteStatsTable[[#This Row],[RepsWithStatObserved]],1,0)</f>
        <v>1</v>
      </c>
    </row>
    <row r="328" spans="1:25" x14ac:dyDescent="0.3">
      <c r="A328" t="s">
        <v>66</v>
      </c>
      <c r="B328" t="s">
        <v>68</v>
      </c>
      <c r="C328">
        <v>7</v>
      </c>
      <c r="D328" t="s">
        <v>89</v>
      </c>
      <c r="E328" t="s">
        <v>90</v>
      </c>
      <c r="F328" t="s">
        <v>91</v>
      </c>
      <c r="G328">
        <v>35.877097368048602</v>
      </c>
      <c r="H328">
        <v>2E+20</v>
      </c>
      <c r="I328">
        <v>23.4963358267693</v>
      </c>
      <c r="J328">
        <v>90.137728651436802</v>
      </c>
      <c r="K328">
        <v>194</v>
      </c>
      <c r="L328" s="5" t="str">
        <f>DiscreteStatsTable[[#This Row],[ProjectName]]&amp;DiscreteStatsTable[[#This Row],[Name]]&amp;DiscreteStatsTable[[#This Row],[Type]]&amp;DiscreteStatsTable[[#This Row],[Source]]</f>
        <v>Unnamed ProjectTCiclo InternacionalNoneUser Specified</v>
      </c>
      <c r="M328" s="5" cm="1">
        <f t="array" ref="M328">MAX(IF((ProjectInfoTable[ProjectName]=DiscreteStatsTable[[#This Row],[ProjectName]]),(ProjectInfoTable[ProjectName]=DiscreteStatsTable[[#This Row],[ProjectName]])*ProjectInfoTable[NumberOfReplications]))</f>
        <v>10</v>
      </c>
      <c r="N328" s="5" cm="1">
        <f t="array" ref="N328">IFERROR(AVERAGE(IF((DiscreteStatsTable[GroupByKey]=DiscreteStatsTable[[#This Row],[GroupByKey]]),(DiscreteStatsTable[GroupByKey]=DiscreteStatsTable[[#This Row],[GroupByKey]])*DiscreteStatsTable[Average])),0)</f>
        <v>37.229253620322382</v>
      </c>
      <c r="O328" s="5" cm="1">
        <f t="array" ref="O328">IFERROR(_xlfn.STDEV.S(IF((DiscreteStatsTable[GroupByKey]=DiscreteStatsTable[[#This Row],[GroupByKey]]),(DiscreteStatsTable[GroupByKey]=DiscreteStatsTable[[#This Row],[GroupByKey]])*DiscreteStatsTable[Average])),0)</f>
        <v>2.4529302067208123</v>
      </c>
      <c r="P328" s="5" cm="1">
        <f t="array" ref="P328">MAX(IF((ProjectInfoTable[ProjectName]=DiscreteStatsTable[[#This Row],[ProjectName]]),(ProjectInfoTable[ProjectName]=DiscreteStatsTable[[#This Row],[ProjectName]])*ProjectInfoTable[ConfidenceInterval]))</f>
        <v>0.95</v>
      </c>
      <c r="Q328" s="5">
        <f>IF(AND(DiscreteStatsTable[[#This Row],[RepsWithStatObserved]]=1,Y328=0),200000000000000000000,IFERROR(_xlfn.T.INV.2T(1 -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1.7547205632417833</v>
      </c>
      <c r="R328" s="5" cm="1">
        <f t="array" ref="R328">MIN(IF((DiscreteStatsTable[GroupByKey]=DiscreteStatsTable[[#This Row],[GroupByKey]]),(DiscreteStatsTable[GroupByKey]=DiscreteStatsTable[[#This Row],[GroupByKey]])*DiscreteStatsTable[Average]))</f>
        <v>34.084822591333797</v>
      </c>
      <c r="S328" s="5" cm="1">
        <f t="array" ref="S328">MAX(IF((DiscreteStatsTable[GroupByKey]=DiscreteStatsTable[[#This Row],[GroupByKey]]),(DiscreteStatsTable[GroupByKey]=DiscreteStatsTable[[#This Row],[GroupByKey]])*DiscreteStatsTable[Average]))</f>
        <v>42.045643918903899</v>
      </c>
      <c r="T328" s="5" cm="1">
        <f t="array" ref="T328">MIN(IF((DiscreteStatsTable[GroupByKey]=DiscreteStatsTable[[#This Row],[GroupByKey]]),(DiscreteStatsTable[GroupByKey]=DiscreteStatsTable[[#This Row],[GroupByKey]])*DiscreteStatsTable[Minimum]))</f>
        <v>23.2621458877368</v>
      </c>
      <c r="U328" s="5" cm="1">
        <f t="array" ref="U328">MAX(IF((DiscreteStatsTable[GroupByKey]=DiscreteStatsTable[[#This Row],[GroupByKey]]),(DiscreteStatsTable[GroupByKey]=DiscreteStatsTable[[#This Row],[GroupByKey]])*DiscreteStatsTable[Maximum]))</f>
        <v>115.03202502190101</v>
      </c>
      <c r="V328" s="5" cm="1">
        <f t="array" ref="V328">IFERROR(AVERAGE(IF((DiscreteStatsTable[GroupByKey]=DiscreteStatsTable[[#This Row],[GroupByKey]]),(DiscreteStatsTable[GroupByKey]=DiscreteStatsTable[[#This Row],[GroupByKey]])*DiscreteStatsTable[NumberObservations])),0)</f>
        <v>213.3</v>
      </c>
      <c r="W328" s="5">
        <f>IF((DiscreteStatsTable[[#This Row],[RepsRequested]]&gt;1),DiscreteStatsTable[[#This Row],[HalfWidth]],DiscreteStatsTable[[#This Row],[BatchMeansHalfWidth]])</f>
        <v>1.7547205632417833</v>
      </c>
      <c r="X328" s="5" cm="1">
        <f t="array" ref="X328">COUNT(IF((DiscreteStatsTable[GroupByKey]=DiscreteStatsTable[[#This Row],[GroupByKey]]),(DiscreteStatsTable[GroupByKey]=DiscreteStatsTable[[#This Row],[GroupByKey]])*DiscreteStatsTable[Replication]))</f>
        <v>10</v>
      </c>
      <c r="Y328" s="5">
        <f>IF(DiscreteStatsTable[[#This Row],[RepsRequested]]=DiscreteStatsTable[[#This Row],[RepsWithStatObserved]],1,0)</f>
        <v>1</v>
      </c>
    </row>
    <row r="329" spans="1:25" x14ac:dyDescent="0.3">
      <c r="A329" t="s">
        <v>66</v>
      </c>
      <c r="B329" t="s">
        <v>68</v>
      </c>
      <c r="C329">
        <v>8</v>
      </c>
      <c r="D329" t="s">
        <v>89</v>
      </c>
      <c r="E329" t="s">
        <v>90</v>
      </c>
      <c r="F329" t="s">
        <v>91</v>
      </c>
      <c r="G329">
        <v>35.945762027308398</v>
      </c>
      <c r="H329">
        <v>2E+20</v>
      </c>
      <c r="I329">
        <v>23.401682553857899</v>
      </c>
      <c r="J329">
        <v>115.03202502190101</v>
      </c>
      <c r="K329">
        <v>198</v>
      </c>
      <c r="L329" s="5" t="str">
        <f>DiscreteStatsTable[[#This Row],[ProjectName]]&amp;DiscreteStatsTable[[#This Row],[Name]]&amp;DiscreteStatsTable[[#This Row],[Type]]&amp;DiscreteStatsTable[[#This Row],[Source]]</f>
        <v>Unnamed ProjectTCiclo InternacionalNoneUser Specified</v>
      </c>
      <c r="M329" s="5" cm="1">
        <f t="array" ref="M329">MAX(IF((ProjectInfoTable[ProjectName]=DiscreteStatsTable[[#This Row],[ProjectName]]),(ProjectInfoTable[ProjectName]=DiscreteStatsTable[[#This Row],[ProjectName]])*ProjectInfoTable[NumberOfReplications]))</f>
        <v>10</v>
      </c>
      <c r="N329" s="5" cm="1">
        <f t="array" ref="N329">IFERROR(AVERAGE(IF((DiscreteStatsTable[GroupByKey]=DiscreteStatsTable[[#This Row],[GroupByKey]]),(DiscreteStatsTable[GroupByKey]=DiscreteStatsTable[[#This Row],[GroupByKey]])*DiscreteStatsTable[Average])),0)</f>
        <v>37.229253620322382</v>
      </c>
      <c r="O329" s="5" cm="1">
        <f t="array" ref="O329">IFERROR(_xlfn.STDEV.S(IF((DiscreteStatsTable[GroupByKey]=DiscreteStatsTable[[#This Row],[GroupByKey]]),(DiscreteStatsTable[GroupByKey]=DiscreteStatsTable[[#This Row],[GroupByKey]])*DiscreteStatsTable[Average])),0)</f>
        <v>2.4529302067208123</v>
      </c>
      <c r="P329" s="5" cm="1">
        <f t="array" ref="P329">MAX(IF((ProjectInfoTable[ProjectName]=DiscreteStatsTable[[#This Row],[ProjectName]]),(ProjectInfoTable[ProjectName]=DiscreteStatsTable[[#This Row],[ProjectName]])*ProjectInfoTable[ConfidenceInterval]))</f>
        <v>0.95</v>
      </c>
      <c r="Q329" s="5">
        <f>IF(AND(DiscreteStatsTable[[#This Row],[RepsWithStatObserved]]=1,Y329=0),200000000000000000000,IFERROR(_xlfn.T.INV.2T(1 -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1.7547205632417833</v>
      </c>
      <c r="R329" s="5" cm="1">
        <f t="array" ref="R329">MIN(IF((DiscreteStatsTable[GroupByKey]=DiscreteStatsTable[[#This Row],[GroupByKey]]),(DiscreteStatsTable[GroupByKey]=DiscreteStatsTable[[#This Row],[GroupByKey]])*DiscreteStatsTable[Average]))</f>
        <v>34.084822591333797</v>
      </c>
      <c r="S329" s="5" cm="1">
        <f t="array" ref="S329">MAX(IF((DiscreteStatsTable[GroupByKey]=DiscreteStatsTable[[#This Row],[GroupByKey]]),(DiscreteStatsTable[GroupByKey]=DiscreteStatsTable[[#This Row],[GroupByKey]])*DiscreteStatsTable[Average]))</f>
        <v>42.045643918903899</v>
      </c>
      <c r="T329" s="5" cm="1">
        <f t="array" ref="T329">MIN(IF((DiscreteStatsTable[GroupByKey]=DiscreteStatsTable[[#This Row],[GroupByKey]]),(DiscreteStatsTable[GroupByKey]=DiscreteStatsTable[[#This Row],[GroupByKey]])*DiscreteStatsTable[Minimum]))</f>
        <v>23.2621458877368</v>
      </c>
      <c r="U329" s="5" cm="1">
        <f t="array" ref="U329">MAX(IF((DiscreteStatsTable[GroupByKey]=DiscreteStatsTable[[#This Row],[GroupByKey]]),(DiscreteStatsTable[GroupByKey]=DiscreteStatsTable[[#This Row],[GroupByKey]])*DiscreteStatsTable[Maximum]))</f>
        <v>115.03202502190101</v>
      </c>
      <c r="V329" s="5" cm="1">
        <f t="array" ref="V329">IFERROR(AVERAGE(IF((DiscreteStatsTable[GroupByKey]=DiscreteStatsTable[[#This Row],[GroupByKey]]),(DiscreteStatsTable[GroupByKey]=DiscreteStatsTable[[#This Row],[GroupByKey]])*DiscreteStatsTable[NumberObservations])),0)</f>
        <v>213.3</v>
      </c>
      <c r="W329" s="5">
        <f>IF((DiscreteStatsTable[[#This Row],[RepsRequested]]&gt;1),DiscreteStatsTable[[#This Row],[HalfWidth]],DiscreteStatsTable[[#This Row],[BatchMeansHalfWidth]])</f>
        <v>1.7547205632417833</v>
      </c>
      <c r="X329" s="5" cm="1">
        <f t="array" ref="X329">COUNT(IF((DiscreteStatsTable[GroupByKey]=DiscreteStatsTable[[#This Row],[GroupByKey]]),(DiscreteStatsTable[GroupByKey]=DiscreteStatsTable[[#This Row],[GroupByKey]])*DiscreteStatsTable[Replication]))</f>
        <v>10</v>
      </c>
      <c r="Y329" s="5">
        <f>IF(DiscreteStatsTable[[#This Row],[RepsRequested]]=DiscreteStatsTable[[#This Row],[RepsWithStatObserved]],1,0)</f>
        <v>1</v>
      </c>
    </row>
    <row r="330" spans="1:25" x14ac:dyDescent="0.3">
      <c r="A330" t="s">
        <v>66</v>
      </c>
      <c r="B330" t="s">
        <v>68</v>
      </c>
      <c r="C330">
        <v>9</v>
      </c>
      <c r="D330" t="s">
        <v>89</v>
      </c>
      <c r="E330" t="s">
        <v>90</v>
      </c>
      <c r="F330" t="s">
        <v>91</v>
      </c>
      <c r="G330">
        <v>36.693623501807501</v>
      </c>
      <c r="H330">
        <v>2E+20</v>
      </c>
      <c r="I330">
        <v>24.0221212972309</v>
      </c>
      <c r="J330">
        <v>72.4771574738281</v>
      </c>
      <c r="K330">
        <v>233</v>
      </c>
      <c r="L330" s="5" t="str">
        <f>DiscreteStatsTable[[#This Row],[ProjectName]]&amp;DiscreteStatsTable[[#This Row],[Name]]&amp;DiscreteStatsTable[[#This Row],[Type]]&amp;DiscreteStatsTable[[#This Row],[Source]]</f>
        <v>Unnamed ProjectTCiclo InternacionalNoneUser Specified</v>
      </c>
      <c r="M330" s="5" cm="1">
        <f t="array" ref="M330">MAX(IF((ProjectInfoTable[ProjectName]=DiscreteStatsTable[[#This Row],[ProjectName]]),(ProjectInfoTable[ProjectName]=DiscreteStatsTable[[#This Row],[ProjectName]])*ProjectInfoTable[NumberOfReplications]))</f>
        <v>10</v>
      </c>
      <c r="N330" s="5" cm="1">
        <f t="array" ref="N330">IFERROR(AVERAGE(IF((DiscreteStatsTable[GroupByKey]=DiscreteStatsTable[[#This Row],[GroupByKey]]),(DiscreteStatsTable[GroupByKey]=DiscreteStatsTable[[#This Row],[GroupByKey]])*DiscreteStatsTable[Average])),0)</f>
        <v>37.229253620322382</v>
      </c>
      <c r="O330" s="5" cm="1">
        <f t="array" ref="O330">IFERROR(_xlfn.STDEV.S(IF((DiscreteStatsTable[GroupByKey]=DiscreteStatsTable[[#This Row],[GroupByKey]]),(DiscreteStatsTable[GroupByKey]=DiscreteStatsTable[[#This Row],[GroupByKey]])*DiscreteStatsTable[Average])),0)</f>
        <v>2.4529302067208123</v>
      </c>
      <c r="P330" s="5" cm="1">
        <f t="array" ref="P330">MAX(IF((ProjectInfoTable[ProjectName]=DiscreteStatsTable[[#This Row],[ProjectName]]),(ProjectInfoTable[ProjectName]=DiscreteStatsTable[[#This Row],[ProjectName]])*ProjectInfoTable[ConfidenceInterval]))</f>
        <v>0.95</v>
      </c>
      <c r="Q330" s="5">
        <f>IF(AND(DiscreteStatsTable[[#This Row],[RepsWithStatObserved]]=1,Y330=0),200000000000000000000,IFERROR(_xlfn.T.INV.2T(1 -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1.7547205632417833</v>
      </c>
      <c r="R330" s="5" cm="1">
        <f t="array" ref="R330">MIN(IF((DiscreteStatsTable[GroupByKey]=DiscreteStatsTable[[#This Row],[GroupByKey]]),(DiscreteStatsTable[GroupByKey]=DiscreteStatsTable[[#This Row],[GroupByKey]])*DiscreteStatsTable[Average]))</f>
        <v>34.084822591333797</v>
      </c>
      <c r="S330" s="5" cm="1">
        <f t="array" ref="S330">MAX(IF((DiscreteStatsTable[GroupByKey]=DiscreteStatsTable[[#This Row],[GroupByKey]]),(DiscreteStatsTable[GroupByKey]=DiscreteStatsTable[[#This Row],[GroupByKey]])*DiscreteStatsTable[Average]))</f>
        <v>42.045643918903899</v>
      </c>
      <c r="T330" s="5" cm="1">
        <f t="array" ref="T330">MIN(IF((DiscreteStatsTable[GroupByKey]=DiscreteStatsTable[[#This Row],[GroupByKey]]),(DiscreteStatsTable[GroupByKey]=DiscreteStatsTable[[#This Row],[GroupByKey]])*DiscreteStatsTable[Minimum]))</f>
        <v>23.2621458877368</v>
      </c>
      <c r="U330" s="5" cm="1">
        <f t="array" ref="U330">MAX(IF((DiscreteStatsTable[GroupByKey]=DiscreteStatsTable[[#This Row],[GroupByKey]]),(DiscreteStatsTable[GroupByKey]=DiscreteStatsTable[[#This Row],[GroupByKey]])*DiscreteStatsTable[Maximum]))</f>
        <v>115.03202502190101</v>
      </c>
      <c r="V330" s="5" cm="1">
        <f t="array" ref="V330">IFERROR(AVERAGE(IF((DiscreteStatsTable[GroupByKey]=DiscreteStatsTable[[#This Row],[GroupByKey]]),(DiscreteStatsTable[GroupByKey]=DiscreteStatsTable[[#This Row],[GroupByKey]])*DiscreteStatsTable[NumberObservations])),0)</f>
        <v>213.3</v>
      </c>
      <c r="W330" s="5">
        <f>IF((DiscreteStatsTable[[#This Row],[RepsRequested]]&gt;1),DiscreteStatsTable[[#This Row],[HalfWidth]],DiscreteStatsTable[[#This Row],[BatchMeansHalfWidth]])</f>
        <v>1.7547205632417833</v>
      </c>
      <c r="X330" s="5" cm="1">
        <f t="array" ref="X330">COUNT(IF((DiscreteStatsTable[GroupByKey]=DiscreteStatsTable[[#This Row],[GroupByKey]]),(DiscreteStatsTable[GroupByKey]=DiscreteStatsTable[[#This Row],[GroupByKey]])*DiscreteStatsTable[Replication]))</f>
        <v>10</v>
      </c>
      <c r="Y330" s="5">
        <f>IF(DiscreteStatsTable[[#This Row],[RepsRequested]]=DiscreteStatsTable[[#This Row],[RepsWithStatObserved]],1,0)</f>
        <v>1</v>
      </c>
    </row>
    <row r="331" spans="1:25" x14ac:dyDescent="0.3">
      <c r="A331" t="s">
        <v>66</v>
      </c>
      <c r="B331" t="s">
        <v>68</v>
      </c>
      <c r="C331">
        <v>10</v>
      </c>
      <c r="D331" t="s">
        <v>89</v>
      </c>
      <c r="E331" t="s">
        <v>90</v>
      </c>
      <c r="F331" t="s">
        <v>91</v>
      </c>
      <c r="G331">
        <v>34.084822591333797</v>
      </c>
      <c r="H331">
        <v>2E+20</v>
      </c>
      <c r="I331">
        <v>23.653765019616799</v>
      </c>
      <c r="J331">
        <v>74.010963669073305</v>
      </c>
      <c r="K331">
        <v>188</v>
      </c>
      <c r="L331" s="5" t="str">
        <f>DiscreteStatsTable[[#This Row],[ProjectName]]&amp;DiscreteStatsTable[[#This Row],[Name]]&amp;DiscreteStatsTable[[#This Row],[Type]]&amp;DiscreteStatsTable[[#This Row],[Source]]</f>
        <v>Unnamed ProjectTCiclo InternacionalNoneUser Specified</v>
      </c>
      <c r="M331" s="5" cm="1">
        <f t="array" ref="M331">MAX(IF((ProjectInfoTable[ProjectName]=DiscreteStatsTable[[#This Row],[ProjectName]]),(ProjectInfoTable[ProjectName]=DiscreteStatsTable[[#This Row],[ProjectName]])*ProjectInfoTable[NumberOfReplications]))</f>
        <v>10</v>
      </c>
      <c r="N331" s="5" cm="1">
        <f t="array" ref="N331">IFERROR(AVERAGE(IF((DiscreteStatsTable[GroupByKey]=DiscreteStatsTable[[#This Row],[GroupByKey]]),(DiscreteStatsTable[GroupByKey]=DiscreteStatsTable[[#This Row],[GroupByKey]])*DiscreteStatsTable[Average])),0)</f>
        <v>37.229253620322382</v>
      </c>
      <c r="O331" s="5" cm="1">
        <f t="array" ref="O331">IFERROR(_xlfn.STDEV.S(IF((DiscreteStatsTable[GroupByKey]=DiscreteStatsTable[[#This Row],[GroupByKey]]),(DiscreteStatsTable[GroupByKey]=DiscreteStatsTable[[#This Row],[GroupByKey]])*DiscreteStatsTable[Average])),0)</f>
        <v>2.4529302067208123</v>
      </c>
      <c r="P331" s="5" cm="1">
        <f t="array" ref="P331">MAX(IF((ProjectInfoTable[ProjectName]=DiscreteStatsTable[[#This Row],[ProjectName]]),(ProjectInfoTable[ProjectName]=DiscreteStatsTable[[#This Row],[ProjectName]])*ProjectInfoTable[ConfidenceInterval]))</f>
        <v>0.95</v>
      </c>
      <c r="Q331" s="5">
        <f>IF(AND(DiscreteStatsTable[[#This Row],[RepsWithStatObserved]]=1,Y331=0),200000000000000000000,IFERROR(_xlfn.T.INV.2T(1 -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1.7547205632417833</v>
      </c>
      <c r="R331" s="5" cm="1">
        <f t="array" ref="R331">MIN(IF((DiscreteStatsTable[GroupByKey]=DiscreteStatsTable[[#This Row],[GroupByKey]]),(DiscreteStatsTable[GroupByKey]=DiscreteStatsTable[[#This Row],[GroupByKey]])*DiscreteStatsTable[Average]))</f>
        <v>34.084822591333797</v>
      </c>
      <c r="S331" s="5" cm="1">
        <f t="array" ref="S331">MAX(IF((DiscreteStatsTable[GroupByKey]=DiscreteStatsTable[[#This Row],[GroupByKey]]),(DiscreteStatsTable[GroupByKey]=DiscreteStatsTable[[#This Row],[GroupByKey]])*DiscreteStatsTable[Average]))</f>
        <v>42.045643918903899</v>
      </c>
      <c r="T331" s="5" cm="1">
        <f t="array" ref="T331">MIN(IF((DiscreteStatsTable[GroupByKey]=DiscreteStatsTable[[#This Row],[GroupByKey]]),(DiscreteStatsTable[GroupByKey]=DiscreteStatsTable[[#This Row],[GroupByKey]])*DiscreteStatsTable[Minimum]))</f>
        <v>23.2621458877368</v>
      </c>
      <c r="U331" s="5" cm="1">
        <f t="array" ref="U331">MAX(IF((DiscreteStatsTable[GroupByKey]=DiscreteStatsTable[[#This Row],[GroupByKey]]),(DiscreteStatsTable[GroupByKey]=DiscreteStatsTable[[#This Row],[GroupByKey]])*DiscreteStatsTable[Maximum]))</f>
        <v>115.03202502190101</v>
      </c>
      <c r="V331" s="5" cm="1">
        <f t="array" ref="V331">IFERROR(AVERAGE(IF((DiscreteStatsTable[GroupByKey]=DiscreteStatsTable[[#This Row],[GroupByKey]]),(DiscreteStatsTable[GroupByKey]=DiscreteStatsTable[[#This Row],[GroupByKey]])*DiscreteStatsTable[NumberObservations])),0)</f>
        <v>213.3</v>
      </c>
      <c r="W331" s="5">
        <f>IF((DiscreteStatsTable[[#This Row],[RepsRequested]]&gt;1),DiscreteStatsTable[[#This Row],[HalfWidth]],DiscreteStatsTable[[#This Row],[BatchMeansHalfWidth]])</f>
        <v>1.7547205632417833</v>
      </c>
      <c r="X331" s="5" cm="1">
        <f t="array" ref="X331">COUNT(IF((DiscreteStatsTable[GroupByKey]=DiscreteStatsTable[[#This Row],[GroupByKey]]),(DiscreteStatsTable[GroupByKey]=DiscreteStatsTable[[#This Row],[GroupByKey]])*DiscreteStatsTable[Replication]))</f>
        <v>10</v>
      </c>
      <c r="Y331" s="5">
        <f>IF(DiscreteStatsTable[[#This Row],[RepsRequested]]=DiscreteStatsTable[[#This Row],[RepsWithStatObserved]],1,0)</f>
        <v>1</v>
      </c>
    </row>
    <row r="332" spans="1:25" x14ac:dyDescent="0.3">
      <c r="A332" t="s">
        <v>66</v>
      </c>
      <c r="B332" t="s">
        <v>68</v>
      </c>
      <c r="C332">
        <v>1</v>
      </c>
      <c r="D332" t="s">
        <v>92</v>
      </c>
      <c r="E332" t="s">
        <v>90</v>
      </c>
      <c r="F332" t="s">
        <v>91</v>
      </c>
      <c r="G332">
        <v>13.229725974501401</v>
      </c>
      <c r="H332">
        <v>2E+20</v>
      </c>
      <c r="I332">
        <v>7.9929942684415503</v>
      </c>
      <c r="J332">
        <v>31.942653901493699</v>
      </c>
      <c r="K332">
        <v>162</v>
      </c>
      <c r="L332" s="5" t="str">
        <f>DiscreteStatsTable[[#This Row],[ProjectName]]&amp;DiscreteStatsTable[[#This Row],[Name]]&amp;DiscreteStatsTable[[#This Row],[Type]]&amp;DiscreteStatsTable[[#This Row],[Source]]</f>
        <v>Unnamed ProjectTCiclo NacionalNoneUser Specified</v>
      </c>
      <c r="M332" s="5" cm="1">
        <f t="array" ref="M332">MAX(IF((ProjectInfoTable[ProjectName]=DiscreteStatsTable[[#This Row],[ProjectName]]),(ProjectInfoTable[ProjectName]=DiscreteStatsTable[[#This Row],[ProjectName]])*ProjectInfoTable[NumberOfReplications]))</f>
        <v>10</v>
      </c>
      <c r="N332" s="5" cm="1">
        <f t="array" ref="N332">IFERROR(AVERAGE(IF((DiscreteStatsTable[GroupByKey]=DiscreteStatsTable[[#This Row],[GroupByKey]]),(DiscreteStatsTable[GroupByKey]=DiscreteStatsTable[[#This Row],[GroupByKey]])*DiscreteStatsTable[Average])),0)</f>
        <v>13.7917642070894</v>
      </c>
      <c r="O332" s="5" cm="1">
        <f t="array" ref="O332">IFERROR(_xlfn.STDEV.S(IF((DiscreteStatsTable[GroupByKey]=DiscreteStatsTable[[#This Row],[GroupByKey]]),(DiscreteStatsTable[GroupByKey]=DiscreteStatsTable[[#This Row],[GroupByKey]])*DiscreteStatsTable[Average])),0)</f>
        <v>0.56169949914077655</v>
      </c>
      <c r="P332" s="5" cm="1">
        <f t="array" ref="P332">MAX(IF((ProjectInfoTable[ProjectName]=DiscreteStatsTable[[#This Row],[ProjectName]]),(ProjectInfoTable[ProjectName]=DiscreteStatsTable[[#This Row],[ProjectName]])*ProjectInfoTable[ConfidenceInterval]))</f>
        <v>0.95</v>
      </c>
      <c r="Q332" s="5">
        <f>IF(AND(DiscreteStatsTable[[#This Row],[RepsWithStatObserved]]=1,Y332=0),200000000000000000000,IFERROR(_xlfn.T.INV.2T(1 -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0.40181561579061792</v>
      </c>
      <c r="R332" s="5" cm="1">
        <f t="array" ref="R332">MIN(IF((DiscreteStatsTable[GroupByKey]=DiscreteStatsTable[[#This Row],[GroupByKey]]),(DiscreteStatsTable[GroupByKey]=DiscreteStatsTable[[#This Row],[GroupByKey]])*DiscreteStatsTable[Average]))</f>
        <v>13.1762012321516</v>
      </c>
      <c r="S332" s="5" cm="1">
        <f t="array" ref="S332">MAX(IF((DiscreteStatsTable[GroupByKey]=DiscreteStatsTable[[#This Row],[GroupByKey]]),(DiscreteStatsTable[GroupByKey]=DiscreteStatsTable[[#This Row],[GroupByKey]])*DiscreteStatsTable[Average]))</f>
        <v>14.645498483682401</v>
      </c>
      <c r="T332" s="5" cm="1">
        <f t="array" ref="T332">MIN(IF((DiscreteStatsTable[GroupByKey]=DiscreteStatsTable[[#This Row],[GroupByKey]]),(DiscreteStatsTable[GroupByKey]=DiscreteStatsTable[[#This Row],[GroupByKey]])*DiscreteStatsTable[Minimum]))</f>
        <v>7.7554535873941601</v>
      </c>
      <c r="U332" s="5" cm="1">
        <f t="array" ref="U332">MAX(IF((DiscreteStatsTable[GroupByKey]=DiscreteStatsTable[[#This Row],[GroupByKey]]),(DiscreteStatsTable[GroupByKey]=DiscreteStatsTable[[#This Row],[GroupByKey]])*DiscreteStatsTable[Maximum]))</f>
        <v>32.234342623085197</v>
      </c>
      <c r="V332" s="5" cm="1">
        <f t="array" ref="V332">IFERROR(AVERAGE(IF((DiscreteStatsTable[GroupByKey]=DiscreteStatsTable[[#This Row],[GroupByKey]]),(DiscreteStatsTable[GroupByKey]=DiscreteStatsTable[[#This Row],[GroupByKey]])*DiscreteStatsTable[NumberObservations])),0)</f>
        <v>155.19999999999999</v>
      </c>
      <c r="W332" s="5">
        <f>IF((DiscreteStatsTable[[#This Row],[RepsRequested]]&gt;1),DiscreteStatsTable[[#This Row],[HalfWidth]],DiscreteStatsTable[[#This Row],[BatchMeansHalfWidth]])</f>
        <v>0.40181561579061792</v>
      </c>
      <c r="X332" s="5" cm="1">
        <f t="array" ref="X332">COUNT(IF((DiscreteStatsTable[GroupByKey]=DiscreteStatsTable[[#This Row],[GroupByKey]]),(DiscreteStatsTable[GroupByKey]=DiscreteStatsTable[[#This Row],[GroupByKey]])*DiscreteStatsTable[Replication]))</f>
        <v>10</v>
      </c>
      <c r="Y332" s="5">
        <f>IF(DiscreteStatsTable[[#This Row],[RepsRequested]]=DiscreteStatsTable[[#This Row],[RepsWithStatObserved]],1,0)</f>
        <v>1</v>
      </c>
    </row>
    <row r="333" spans="1:25" x14ac:dyDescent="0.3">
      <c r="A333" t="s">
        <v>66</v>
      </c>
      <c r="B333" t="s">
        <v>68</v>
      </c>
      <c r="C333">
        <v>2</v>
      </c>
      <c r="D333" t="s">
        <v>92</v>
      </c>
      <c r="E333" t="s">
        <v>90</v>
      </c>
      <c r="F333" t="s">
        <v>91</v>
      </c>
      <c r="G333">
        <v>13.903832864086</v>
      </c>
      <c r="H333">
        <v>2E+20</v>
      </c>
      <c r="I333">
        <v>8.2894787389338909</v>
      </c>
      <c r="J333">
        <v>29.6638083919851</v>
      </c>
      <c r="K333">
        <v>141</v>
      </c>
      <c r="L333" s="5" t="str">
        <f>DiscreteStatsTable[[#This Row],[ProjectName]]&amp;DiscreteStatsTable[[#This Row],[Name]]&amp;DiscreteStatsTable[[#This Row],[Type]]&amp;DiscreteStatsTable[[#This Row],[Source]]</f>
        <v>Unnamed ProjectTCiclo NacionalNoneUser Specified</v>
      </c>
      <c r="M333" s="5" cm="1">
        <f t="array" ref="M333">MAX(IF((ProjectInfoTable[ProjectName]=DiscreteStatsTable[[#This Row],[ProjectName]]),(ProjectInfoTable[ProjectName]=DiscreteStatsTable[[#This Row],[ProjectName]])*ProjectInfoTable[NumberOfReplications]))</f>
        <v>10</v>
      </c>
      <c r="N333" s="5" cm="1">
        <f t="array" ref="N333">IFERROR(AVERAGE(IF((DiscreteStatsTable[GroupByKey]=DiscreteStatsTable[[#This Row],[GroupByKey]]),(DiscreteStatsTable[GroupByKey]=DiscreteStatsTable[[#This Row],[GroupByKey]])*DiscreteStatsTable[Average])),0)</f>
        <v>13.7917642070894</v>
      </c>
      <c r="O333" s="5" cm="1">
        <f t="array" ref="O333">IFERROR(_xlfn.STDEV.S(IF((DiscreteStatsTable[GroupByKey]=DiscreteStatsTable[[#This Row],[GroupByKey]]),(DiscreteStatsTable[GroupByKey]=DiscreteStatsTable[[#This Row],[GroupByKey]])*DiscreteStatsTable[Average])),0)</f>
        <v>0.56169949914077655</v>
      </c>
      <c r="P333" s="5" cm="1">
        <f t="array" ref="P333">MAX(IF((ProjectInfoTable[ProjectName]=DiscreteStatsTable[[#This Row],[ProjectName]]),(ProjectInfoTable[ProjectName]=DiscreteStatsTable[[#This Row],[ProjectName]])*ProjectInfoTable[ConfidenceInterval]))</f>
        <v>0.95</v>
      </c>
      <c r="Q333" s="5">
        <f>IF(AND(DiscreteStatsTable[[#This Row],[RepsWithStatObserved]]=1,Y333=0),200000000000000000000,IFERROR(_xlfn.T.INV.2T(1 -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0.40181561579061792</v>
      </c>
      <c r="R333" s="5" cm="1">
        <f t="array" ref="R333">MIN(IF((DiscreteStatsTable[GroupByKey]=DiscreteStatsTable[[#This Row],[GroupByKey]]),(DiscreteStatsTable[GroupByKey]=DiscreteStatsTable[[#This Row],[GroupByKey]])*DiscreteStatsTable[Average]))</f>
        <v>13.1762012321516</v>
      </c>
      <c r="S333" s="5" cm="1">
        <f t="array" ref="S333">MAX(IF((DiscreteStatsTable[GroupByKey]=DiscreteStatsTable[[#This Row],[GroupByKey]]),(DiscreteStatsTable[GroupByKey]=DiscreteStatsTable[[#This Row],[GroupByKey]])*DiscreteStatsTable[Average]))</f>
        <v>14.645498483682401</v>
      </c>
      <c r="T333" s="5" cm="1">
        <f t="array" ref="T333">MIN(IF((DiscreteStatsTable[GroupByKey]=DiscreteStatsTable[[#This Row],[GroupByKey]]),(DiscreteStatsTable[GroupByKey]=DiscreteStatsTable[[#This Row],[GroupByKey]])*DiscreteStatsTable[Minimum]))</f>
        <v>7.7554535873941601</v>
      </c>
      <c r="U333" s="5" cm="1">
        <f t="array" ref="U333">MAX(IF((DiscreteStatsTable[GroupByKey]=DiscreteStatsTable[[#This Row],[GroupByKey]]),(DiscreteStatsTable[GroupByKey]=DiscreteStatsTable[[#This Row],[GroupByKey]])*DiscreteStatsTable[Maximum]))</f>
        <v>32.234342623085197</v>
      </c>
      <c r="V333" s="5" cm="1">
        <f t="array" ref="V333">IFERROR(AVERAGE(IF((DiscreteStatsTable[GroupByKey]=DiscreteStatsTable[[#This Row],[GroupByKey]]),(DiscreteStatsTable[GroupByKey]=DiscreteStatsTable[[#This Row],[GroupByKey]])*DiscreteStatsTable[NumberObservations])),0)</f>
        <v>155.19999999999999</v>
      </c>
      <c r="W333" s="5">
        <f>IF((DiscreteStatsTable[[#This Row],[RepsRequested]]&gt;1),DiscreteStatsTable[[#This Row],[HalfWidth]],DiscreteStatsTable[[#This Row],[BatchMeansHalfWidth]])</f>
        <v>0.40181561579061792</v>
      </c>
      <c r="X333" s="5" cm="1">
        <f t="array" ref="X333">COUNT(IF((DiscreteStatsTable[GroupByKey]=DiscreteStatsTable[[#This Row],[GroupByKey]]),(DiscreteStatsTable[GroupByKey]=DiscreteStatsTable[[#This Row],[GroupByKey]])*DiscreteStatsTable[Replication]))</f>
        <v>10</v>
      </c>
      <c r="Y333" s="5">
        <f>IF(DiscreteStatsTable[[#This Row],[RepsRequested]]=DiscreteStatsTable[[#This Row],[RepsWithStatObserved]],1,0)</f>
        <v>1</v>
      </c>
    </row>
    <row r="334" spans="1:25" x14ac:dyDescent="0.3">
      <c r="A334" t="s">
        <v>66</v>
      </c>
      <c r="B334" t="s">
        <v>68</v>
      </c>
      <c r="C334">
        <v>3</v>
      </c>
      <c r="D334" t="s">
        <v>92</v>
      </c>
      <c r="E334" t="s">
        <v>90</v>
      </c>
      <c r="F334" t="s">
        <v>91</v>
      </c>
      <c r="G334">
        <v>13.289440133790499</v>
      </c>
      <c r="H334">
        <v>2E+20</v>
      </c>
      <c r="I334">
        <v>7.9666748572838104</v>
      </c>
      <c r="J334">
        <v>25.090279975966698</v>
      </c>
      <c r="K334">
        <v>149</v>
      </c>
      <c r="L334" s="5" t="str">
        <f>DiscreteStatsTable[[#This Row],[ProjectName]]&amp;DiscreteStatsTable[[#This Row],[Name]]&amp;DiscreteStatsTable[[#This Row],[Type]]&amp;DiscreteStatsTable[[#This Row],[Source]]</f>
        <v>Unnamed ProjectTCiclo NacionalNoneUser Specified</v>
      </c>
      <c r="M334" s="5" cm="1">
        <f t="array" ref="M334">MAX(IF((ProjectInfoTable[ProjectName]=DiscreteStatsTable[[#This Row],[ProjectName]]),(ProjectInfoTable[ProjectName]=DiscreteStatsTable[[#This Row],[ProjectName]])*ProjectInfoTable[NumberOfReplications]))</f>
        <v>10</v>
      </c>
      <c r="N334" s="5" cm="1">
        <f t="array" ref="N334">IFERROR(AVERAGE(IF((DiscreteStatsTable[GroupByKey]=DiscreteStatsTable[[#This Row],[GroupByKey]]),(DiscreteStatsTable[GroupByKey]=DiscreteStatsTable[[#This Row],[GroupByKey]])*DiscreteStatsTable[Average])),0)</f>
        <v>13.7917642070894</v>
      </c>
      <c r="O334" s="5" cm="1">
        <f t="array" ref="O334">IFERROR(_xlfn.STDEV.S(IF((DiscreteStatsTable[GroupByKey]=DiscreteStatsTable[[#This Row],[GroupByKey]]),(DiscreteStatsTable[GroupByKey]=DiscreteStatsTable[[#This Row],[GroupByKey]])*DiscreteStatsTable[Average])),0)</f>
        <v>0.56169949914077655</v>
      </c>
      <c r="P334" s="5" cm="1">
        <f t="array" ref="P334">MAX(IF((ProjectInfoTable[ProjectName]=DiscreteStatsTable[[#This Row],[ProjectName]]),(ProjectInfoTable[ProjectName]=DiscreteStatsTable[[#This Row],[ProjectName]])*ProjectInfoTable[ConfidenceInterval]))</f>
        <v>0.95</v>
      </c>
      <c r="Q334" s="5">
        <f>IF(AND(DiscreteStatsTable[[#This Row],[RepsWithStatObserved]]=1,Y334=0),200000000000000000000,IFERROR(_xlfn.T.INV.2T(1 -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0.40181561579061792</v>
      </c>
      <c r="R334" s="5" cm="1">
        <f t="array" ref="R334">MIN(IF((DiscreteStatsTable[GroupByKey]=DiscreteStatsTable[[#This Row],[GroupByKey]]),(DiscreteStatsTable[GroupByKey]=DiscreteStatsTable[[#This Row],[GroupByKey]])*DiscreteStatsTable[Average]))</f>
        <v>13.1762012321516</v>
      </c>
      <c r="S334" s="5" cm="1">
        <f t="array" ref="S334">MAX(IF((DiscreteStatsTable[GroupByKey]=DiscreteStatsTable[[#This Row],[GroupByKey]]),(DiscreteStatsTable[GroupByKey]=DiscreteStatsTable[[#This Row],[GroupByKey]])*DiscreteStatsTable[Average]))</f>
        <v>14.645498483682401</v>
      </c>
      <c r="T334" s="5" cm="1">
        <f t="array" ref="T334">MIN(IF((DiscreteStatsTable[GroupByKey]=DiscreteStatsTable[[#This Row],[GroupByKey]]),(DiscreteStatsTable[GroupByKey]=DiscreteStatsTable[[#This Row],[GroupByKey]])*DiscreteStatsTable[Minimum]))</f>
        <v>7.7554535873941601</v>
      </c>
      <c r="U334" s="5" cm="1">
        <f t="array" ref="U334">MAX(IF((DiscreteStatsTable[GroupByKey]=DiscreteStatsTable[[#This Row],[GroupByKey]]),(DiscreteStatsTable[GroupByKey]=DiscreteStatsTable[[#This Row],[GroupByKey]])*DiscreteStatsTable[Maximum]))</f>
        <v>32.234342623085197</v>
      </c>
      <c r="V334" s="5" cm="1">
        <f t="array" ref="V334">IFERROR(AVERAGE(IF((DiscreteStatsTable[GroupByKey]=DiscreteStatsTable[[#This Row],[GroupByKey]]),(DiscreteStatsTable[GroupByKey]=DiscreteStatsTable[[#This Row],[GroupByKey]])*DiscreteStatsTable[NumberObservations])),0)</f>
        <v>155.19999999999999</v>
      </c>
      <c r="W334" s="5">
        <f>IF((DiscreteStatsTable[[#This Row],[RepsRequested]]&gt;1),DiscreteStatsTable[[#This Row],[HalfWidth]],DiscreteStatsTable[[#This Row],[BatchMeansHalfWidth]])</f>
        <v>0.40181561579061792</v>
      </c>
      <c r="X334" s="5" cm="1">
        <f t="array" ref="X334">COUNT(IF((DiscreteStatsTable[GroupByKey]=DiscreteStatsTable[[#This Row],[GroupByKey]]),(DiscreteStatsTable[GroupByKey]=DiscreteStatsTable[[#This Row],[GroupByKey]])*DiscreteStatsTable[Replication]))</f>
        <v>10</v>
      </c>
      <c r="Y334" s="5">
        <f>IF(DiscreteStatsTable[[#This Row],[RepsRequested]]=DiscreteStatsTable[[#This Row],[RepsWithStatObserved]],1,0)</f>
        <v>1</v>
      </c>
    </row>
    <row r="335" spans="1:25" x14ac:dyDescent="0.3">
      <c r="A335" t="s">
        <v>66</v>
      </c>
      <c r="B335" t="s">
        <v>68</v>
      </c>
      <c r="C335">
        <v>4</v>
      </c>
      <c r="D335" t="s">
        <v>92</v>
      </c>
      <c r="E335" t="s">
        <v>90</v>
      </c>
      <c r="F335" t="s">
        <v>91</v>
      </c>
      <c r="G335">
        <v>14.645498483682401</v>
      </c>
      <c r="H335">
        <v>2E+20</v>
      </c>
      <c r="I335">
        <v>7.7554535873941601</v>
      </c>
      <c r="J335">
        <v>32.177315532482801</v>
      </c>
      <c r="K335">
        <v>152</v>
      </c>
      <c r="L335" s="5" t="str">
        <f>DiscreteStatsTable[[#This Row],[ProjectName]]&amp;DiscreteStatsTable[[#This Row],[Name]]&amp;DiscreteStatsTable[[#This Row],[Type]]&amp;DiscreteStatsTable[[#This Row],[Source]]</f>
        <v>Unnamed ProjectTCiclo NacionalNoneUser Specified</v>
      </c>
      <c r="M335" s="5" cm="1">
        <f t="array" ref="M335">MAX(IF((ProjectInfoTable[ProjectName]=DiscreteStatsTable[[#This Row],[ProjectName]]),(ProjectInfoTable[ProjectName]=DiscreteStatsTable[[#This Row],[ProjectName]])*ProjectInfoTable[NumberOfReplications]))</f>
        <v>10</v>
      </c>
      <c r="N335" s="5" cm="1">
        <f t="array" ref="N335">IFERROR(AVERAGE(IF((DiscreteStatsTable[GroupByKey]=DiscreteStatsTable[[#This Row],[GroupByKey]]),(DiscreteStatsTable[GroupByKey]=DiscreteStatsTable[[#This Row],[GroupByKey]])*DiscreteStatsTable[Average])),0)</f>
        <v>13.7917642070894</v>
      </c>
      <c r="O335" s="5" cm="1">
        <f t="array" ref="O335">IFERROR(_xlfn.STDEV.S(IF((DiscreteStatsTable[GroupByKey]=DiscreteStatsTable[[#This Row],[GroupByKey]]),(DiscreteStatsTable[GroupByKey]=DiscreteStatsTable[[#This Row],[GroupByKey]])*DiscreteStatsTable[Average])),0)</f>
        <v>0.56169949914077655</v>
      </c>
      <c r="P335" s="5" cm="1">
        <f t="array" ref="P335">MAX(IF((ProjectInfoTable[ProjectName]=DiscreteStatsTable[[#This Row],[ProjectName]]),(ProjectInfoTable[ProjectName]=DiscreteStatsTable[[#This Row],[ProjectName]])*ProjectInfoTable[ConfidenceInterval]))</f>
        <v>0.95</v>
      </c>
      <c r="Q335" s="5">
        <f>IF(AND(DiscreteStatsTable[[#This Row],[RepsWithStatObserved]]=1,Y335=0),200000000000000000000,IFERROR(_xlfn.T.INV.2T(1 -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0.40181561579061792</v>
      </c>
      <c r="R335" s="5" cm="1">
        <f t="array" ref="R335">MIN(IF((DiscreteStatsTable[GroupByKey]=DiscreteStatsTable[[#This Row],[GroupByKey]]),(DiscreteStatsTable[GroupByKey]=DiscreteStatsTable[[#This Row],[GroupByKey]])*DiscreteStatsTable[Average]))</f>
        <v>13.1762012321516</v>
      </c>
      <c r="S335" s="5" cm="1">
        <f t="array" ref="S335">MAX(IF((DiscreteStatsTable[GroupByKey]=DiscreteStatsTable[[#This Row],[GroupByKey]]),(DiscreteStatsTable[GroupByKey]=DiscreteStatsTable[[#This Row],[GroupByKey]])*DiscreteStatsTable[Average]))</f>
        <v>14.645498483682401</v>
      </c>
      <c r="T335" s="5" cm="1">
        <f t="array" ref="T335">MIN(IF((DiscreteStatsTable[GroupByKey]=DiscreteStatsTable[[#This Row],[GroupByKey]]),(DiscreteStatsTable[GroupByKey]=DiscreteStatsTable[[#This Row],[GroupByKey]])*DiscreteStatsTable[Minimum]))</f>
        <v>7.7554535873941601</v>
      </c>
      <c r="U335" s="5" cm="1">
        <f t="array" ref="U335">MAX(IF((DiscreteStatsTable[GroupByKey]=DiscreteStatsTable[[#This Row],[GroupByKey]]),(DiscreteStatsTable[GroupByKey]=DiscreteStatsTable[[#This Row],[GroupByKey]])*DiscreteStatsTable[Maximum]))</f>
        <v>32.234342623085197</v>
      </c>
      <c r="V335" s="5" cm="1">
        <f t="array" ref="V335">IFERROR(AVERAGE(IF((DiscreteStatsTable[GroupByKey]=DiscreteStatsTable[[#This Row],[GroupByKey]]),(DiscreteStatsTable[GroupByKey]=DiscreteStatsTable[[#This Row],[GroupByKey]])*DiscreteStatsTable[NumberObservations])),0)</f>
        <v>155.19999999999999</v>
      </c>
      <c r="W335" s="5">
        <f>IF((DiscreteStatsTable[[#This Row],[RepsRequested]]&gt;1),DiscreteStatsTable[[#This Row],[HalfWidth]],DiscreteStatsTable[[#This Row],[BatchMeansHalfWidth]])</f>
        <v>0.40181561579061792</v>
      </c>
      <c r="X335" s="5" cm="1">
        <f t="array" ref="X335">COUNT(IF((DiscreteStatsTable[GroupByKey]=DiscreteStatsTable[[#This Row],[GroupByKey]]),(DiscreteStatsTable[GroupByKey]=DiscreteStatsTable[[#This Row],[GroupByKey]])*DiscreteStatsTable[Replication]))</f>
        <v>10</v>
      </c>
      <c r="Y335" s="5">
        <f>IF(DiscreteStatsTable[[#This Row],[RepsRequested]]=DiscreteStatsTable[[#This Row],[RepsWithStatObserved]],1,0)</f>
        <v>1</v>
      </c>
    </row>
    <row r="336" spans="1:25" x14ac:dyDescent="0.3">
      <c r="A336" t="s">
        <v>66</v>
      </c>
      <c r="B336" t="s">
        <v>68</v>
      </c>
      <c r="C336">
        <v>5</v>
      </c>
      <c r="D336" t="s">
        <v>92</v>
      </c>
      <c r="E336" t="s">
        <v>90</v>
      </c>
      <c r="F336" t="s">
        <v>91</v>
      </c>
      <c r="G336">
        <v>13.393037327038501</v>
      </c>
      <c r="H336">
        <v>2E+20</v>
      </c>
      <c r="I336">
        <v>7.8705429873440398</v>
      </c>
      <c r="J336">
        <v>27.2533580855678</v>
      </c>
      <c r="K336">
        <v>173</v>
      </c>
      <c r="L336" s="5" t="str">
        <f>DiscreteStatsTable[[#This Row],[ProjectName]]&amp;DiscreteStatsTable[[#This Row],[Name]]&amp;DiscreteStatsTable[[#This Row],[Type]]&amp;DiscreteStatsTable[[#This Row],[Source]]</f>
        <v>Unnamed ProjectTCiclo NacionalNoneUser Specified</v>
      </c>
      <c r="M336" s="5" cm="1">
        <f t="array" ref="M336">MAX(IF((ProjectInfoTable[ProjectName]=DiscreteStatsTable[[#This Row],[ProjectName]]),(ProjectInfoTable[ProjectName]=DiscreteStatsTable[[#This Row],[ProjectName]])*ProjectInfoTable[NumberOfReplications]))</f>
        <v>10</v>
      </c>
      <c r="N336" s="5" cm="1">
        <f t="array" ref="N336">IFERROR(AVERAGE(IF((DiscreteStatsTable[GroupByKey]=DiscreteStatsTable[[#This Row],[GroupByKey]]),(DiscreteStatsTable[GroupByKey]=DiscreteStatsTable[[#This Row],[GroupByKey]])*DiscreteStatsTable[Average])),0)</f>
        <v>13.7917642070894</v>
      </c>
      <c r="O336" s="5" cm="1">
        <f t="array" ref="O336">IFERROR(_xlfn.STDEV.S(IF((DiscreteStatsTable[GroupByKey]=DiscreteStatsTable[[#This Row],[GroupByKey]]),(DiscreteStatsTable[GroupByKey]=DiscreteStatsTable[[#This Row],[GroupByKey]])*DiscreteStatsTable[Average])),0)</f>
        <v>0.56169949914077655</v>
      </c>
      <c r="P336" s="5" cm="1">
        <f t="array" ref="P336">MAX(IF((ProjectInfoTable[ProjectName]=DiscreteStatsTable[[#This Row],[ProjectName]]),(ProjectInfoTable[ProjectName]=DiscreteStatsTable[[#This Row],[ProjectName]])*ProjectInfoTable[ConfidenceInterval]))</f>
        <v>0.95</v>
      </c>
      <c r="Q336" s="5">
        <f>IF(AND(DiscreteStatsTable[[#This Row],[RepsWithStatObserved]]=1,Y336=0),200000000000000000000,IFERROR(_xlfn.T.INV.2T(1 -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0.40181561579061792</v>
      </c>
      <c r="R336" s="5" cm="1">
        <f t="array" ref="R336">MIN(IF((DiscreteStatsTable[GroupByKey]=DiscreteStatsTable[[#This Row],[GroupByKey]]),(DiscreteStatsTable[GroupByKey]=DiscreteStatsTable[[#This Row],[GroupByKey]])*DiscreteStatsTable[Average]))</f>
        <v>13.1762012321516</v>
      </c>
      <c r="S336" s="5" cm="1">
        <f t="array" ref="S336">MAX(IF((DiscreteStatsTable[GroupByKey]=DiscreteStatsTable[[#This Row],[GroupByKey]]),(DiscreteStatsTable[GroupByKey]=DiscreteStatsTable[[#This Row],[GroupByKey]])*DiscreteStatsTable[Average]))</f>
        <v>14.645498483682401</v>
      </c>
      <c r="T336" s="5" cm="1">
        <f t="array" ref="T336">MIN(IF((DiscreteStatsTable[GroupByKey]=DiscreteStatsTable[[#This Row],[GroupByKey]]),(DiscreteStatsTable[GroupByKey]=DiscreteStatsTable[[#This Row],[GroupByKey]])*DiscreteStatsTable[Minimum]))</f>
        <v>7.7554535873941601</v>
      </c>
      <c r="U336" s="5" cm="1">
        <f t="array" ref="U336">MAX(IF((DiscreteStatsTable[GroupByKey]=DiscreteStatsTable[[#This Row],[GroupByKey]]),(DiscreteStatsTable[GroupByKey]=DiscreteStatsTable[[#This Row],[GroupByKey]])*DiscreteStatsTable[Maximum]))</f>
        <v>32.234342623085197</v>
      </c>
      <c r="V336" s="5" cm="1">
        <f t="array" ref="V336">IFERROR(AVERAGE(IF((DiscreteStatsTable[GroupByKey]=DiscreteStatsTable[[#This Row],[GroupByKey]]),(DiscreteStatsTable[GroupByKey]=DiscreteStatsTable[[#This Row],[GroupByKey]])*DiscreteStatsTable[NumberObservations])),0)</f>
        <v>155.19999999999999</v>
      </c>
      <c r="W336" s="5">
        <f>IF((DiscreteStatsTable[[#This Row],[RepsRequested]]&gt;1),DiscreteStatsTable[[#This Row],[HalfWidth]],DiscreteStatsTable[[#This Row],[BatchMeansHalfWidth]])</f>
        <v>0.40181561579061792</v>
      </c>
      <c r="X336" s="5" cm="1">
        <f t="array" ref="X336">COUNT(IF((DiscreteStatsTable[GroupByKey]=DiscreteStatsTable[[#This Row],[GroupByKey]]),(DiscreteStatsTable[GroupByKey]=DiscreteStatsTable[[#This Row],[GroupByKey]])*DiscreteStatsTable[Replication]))</f>
        <v>10</v>
      </c>
      <c r="Y336" s="5">
        <f>IF(DiscreteStatsTable[[#This Row],[RepsRequested]]=DiscreteStatsTable[[#This Row],[RepsWithStatObserved]],1,0)</f>
        <v>1</v>
      </c>
    </row>
    <row r="337" spans="1:25" x14ac:dyDescent="0.3">
      <c r="A337" t="s">
        <v>66</v>
      </c>
      <c r="B337" t="s">
        <v>68</v>
      </c>
      <c r="C337">
        <v>6</v>
      </c>
      <c r="D337" t="s">
        <v>92</v>
      </c>
      <c r="E337" t="s">
        <v>90</v>
      </c>
      <c r="F337" t="s">
        <v>91</v>
      </c>
      <c r="G337">
        <v>13.502952552557399</v>
      </c>
      <c r="H337">
        <v>2E+20</v>
      </c>
      <c r="I337">
        <v>7.9105571145921703</v>
      </c>
      <c r="J337">
        <v>29.522832692181701</v>
      </c>
      <c r="K337">
        <v>151</v>
      </c>
      <c r="L337" s="5" t="str">
        <f>DiscreteStatsTable[[#This Row],[ProjectName]]&amp;DiscreteStatsTable[[#This Row],[Name]]&amp;DiscreteStatsTable[[#This Row],[Type]]&amp;DiscreteStatsTable[[#This Row],[Source]]</f>
        <v>Unnamed ProjectTCiclo NacionalNoneUser Specified</v>
      </c>
      <c r="M337" s="5" cm="1">
        <f t="array" ref="M337">MAX(IF((ProjectInfoTable[ProjectName]=DiscreteStatsTable[[#This Row],[ProjectName]]),(ProjectInfoTable[ProjectName]=DiscreteStatsTable[[#This Row],[ProjectName]])*ProjectInfoTable[NumberOfReplications]))</f>
        <v>10</v>
      </c>
      <c r="N337" s="5" cm="1">
        <f t="array" ref="N337">IFERROR(AVERAGE(IF((DiscreteStatsTable[GroupByKey]=DiscreteStatsTable[[#This Row],[GroupByKey]]),(DiscreteStatsTable[GroupByKey]=DiscreteStatsTable[[#This Row],[GroupByKey]])*DiscreteStatsTable[Average])),0)</f>
        <v>13.7917642070894</v>
      </c>
      <c r="O337" s="5" cm="1">
        <f t="array" ref="O337">IFERROR(_xlfn.STDEV.S(IF((DiscreteStatsTable[GroupByKey]=DiscreteStatsTable[[#This Row],[GroupByKey]]),(DiscreteStatsTable[GroupByKey]=DiscreteStatsTable[[#This Row],[GroupByKey]])*DiscreteStatsTable[Average])),0)</f>
        <v>0.56169949914077655</v>
      </c>
      <c r="P337" s="5" cm="1">
        <f t="array" ref="P337">MAX(IF((ProjectInfoTable[ProjectName]=DiscreteStatsTable[[#This Row],[ProjectName]]),(ProjectInfoTable[ProjectName]=DiscreteStatsTable[[#This Row],[ProjectName]])*ProjectInfoTable[ConfidenceInterval]))</f>
        <v>0.95</v>
      </c>
      <c r="Q337" s="5">
        <f>IF(AND(DiscreteStatsTable[[#This Row],[RepsWithStatObserved]]=1,Y337=0),200000000000000000000,IFERROR(_xlfn.T.INV.2T(1 -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0.40181561579061792</v>
      </c>
      <c r="R337" s="5" cm="1">
        <f t="array" ref="R337">MIN(IF((DiscreteStatsTable[GroupByKey]=DiscreteStatsTable[[#This Row],[GroupByKey]]),(DiscreteStatsTable[GroupByKey]=DiscreteStatsTable[[#This Row],[GroupByKey]])*DiscreteStatsTable[Average]))</f>
        <v>13.1762012321516</v>
      </c>
      <c r="S337" s="5" cm="1">
        <f t="array" ref="S337">MAX(IF((DiscreteStatsTable[GroupByKey]=DiscreteStatsTable[[#This Row],[GroupByKey]]),(DiscreteStatsTable[GroupByKey]=DiscreteStatsTable[[#This Row],[GroupByKey]])*DiscreteStatsTable[Average]))</f>
        <v>14.645498483682401</v>
      </c>
      <c r="T337" s="5" cm="1">
        <f t="array" ref="T337">MIN(IF((DiscreteStatsTable[GroupByKey]=DiscreteStatsTable[[#This Row],[GroupByKey]]),(DiscreteStatsTable[GroupByKey]=DiscreteStatsTable[[#This Row],[GroupByKey]])*DiscreteStatsTable[Minimum]))</f>
        <v>7.7554535873941601</v>
      </c>
      <c r="U337" s="5" cm="1">
        <f t="array" ref="U337">MAX(IF((DiscreteStatsTable[GroupByKey]=DiscreteStatsTable[[#This Row],[GroupByKey]]),(DiscreteStatsTable[GroupByKey]=DiscreteStatsTable[[#This Row],[GroupByKey]])*DiscreteStatsTable[Maximum]))</f>
        <v>32.234342623085197</v>
      </c>
      <c r="V337" s="5" cm="1">
        <f t="array" ref="V337">IFERROR(AVERAGE(IF((DiscreteStatsTable[GroupByKey]=DiscreteStatsTable[[#This Row],[GroupByKey]]),(DiscreteStatsTable[GroupByKey]=DiscreteStatsTable[[#This Row],[GroupByKey]])*DiscreteStatsTable[NumberObservations])),0)</f>
        <v>155.19999999999999</v>
      </c>
      <c r="W337" s="5">
        <f>IF((DiscreteStatsTable[[#This Row],[RepsRequested]]&gt;1),DiscreteStatsTable[[#This Row],[HalfWidth]],DiscreteStatsTable[[#This Row],[BatchMeansHalfWidth]])</f>
        <v>0.40181561579061792</v>
      </c>
      <c r="X337" s="5" cm="1">
        <f t="array" ref="X337">COUNT(IF((DiscreteStatsTable[GroupByKey]=DiscreteStatsTable[[#This Row],[GroupByKey]]),(DiscreteStatsTable[GroupByKey]=DiscreteStatsTable[[#This Row],[GroupByKey]])*DiscreteStatsTable[Replication]))</f>
        <v>10</v>
      </c>
      <c r="Y337" s="5">
        <f>IF(DiscreteStatsTable[[#This Row],[RepsRequested]]=DiscreteStatsTable[[#This Row],[RepsWithStatObserved]],1,0)</f>
        <v>1</v>
      </c>
    </row>
    <row r="338" spans="1:25" x14ac:dyDescent="0.3">
      <c r="A338" t="s">
        <v>66</v>
      </c>
      <c r="B338" t="s">
        <v>68</v>
      </c>
      <c r="C338">
        <v>7</v>
      </c>
      <c r="D338" t="s">
        <v>92</v>
      </c>
      <c r="E338" t="s">
        <v>90</v>
      </c>
      <c r="F338" t="s">
        <v>91</v>
      </c>
      <c r="G338">
        <v>14.3606556052407</v>
      </c>
      <c r="H338">
        <v>2E+20</v>
      </c>
      <c r="I338">
        <v>8.3012236072645997</v>
      </c>
      <c r="J338">
        <v>32.234342623085197</v>
      </c>
      <c r="K338">
        <v>144</v>
      </c>
      <c r="L338" s="5" t="str">
        <f>DiscreteStatsTable[[#This Row],[ProjectName]]&amp;DiscreteStatsTable[[#This Row],[Name]]&amp;DiscreteStatsTable[[#This Row],[Type]]&amp;DiscreteStatsTable[[#This Row],[Source]]</f>
        <v>Unnamed ProjectTCiclo NacionalNoneUser Specified</v>
      </c>
      <c r="M338" s="5" cm="1">
        <f t="array" ref="M338">MAX(IF((ProjectInfoTable[ProjectName]=DiscreteStatsTable[[#This Row],[ProjectName]]),(ProjectInfoTable[ProjectName]=DiscreteStatsTable[[#This Row],[ProjectName]])*ProjectInfoTable[NumberOfReplications]))</f>
        <v>10</v>
      </c>
      <c r="N338" s="5" cm="1">
        <f t="array" ref="N338">IFERROR(AVERAGE(IF((DiscreteStatsTable[GroupByKey]=DiscreteStatsTable[[#This Row],[GroupByKey]]),(DiscreteStatsTable[GroupByKey]=DiscreteStatsTable[[#This Row],[GroupByKey]])*DiscreteStatsTable[Average])),0)</f>
        <v>13.7917642070894</v>
      </c>
      <c r="O338" s="5" cm="1">
        <f t="array" ref="O338">IFERROR(_xlfn.STDEV.S(IF((DiscreteStatsTable[GroupByKey]=DiscreteStatsTable[[#This Row],[GroupByKey]]),(DiscreteStatsTable[GroupByKey]=DiscreteStatsTable[[#This Row],[GroupByKey]])*DiscreteStatsTable[Average])),0)</f>
        <v>0.56169949914077655</v>
      </c>
      <c r="P338" s="5" cm="1">
        <f t="array" ref="P338">MAX(IF((ProjectInfoTable[ProjectName]=DiscreteStatsTable[[#This Row],[ProjectName]]),(ProjectInfoTable[ProjectName]=DiscreteStatsTable[[#This Row],[ProjectName]])*ProjectInfoTable[ConfidenceInterval]))</f>
        <v>0.95</v>
      </c>
      <c r="Q338" s="5">
        <f>IF(AND(DiscreteStatsTable[[#This Row],[RepsWithStatObserved]]=1,Y338=0),200000000000000000000,IFERROR(_xlfn.T.INV.2T(1 -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0.40181561579061792</v>
      </c>
      <c r="R338" s="5" cm="1">
        <f t="array" ref="R338">MIN(IF((DiscreteStatsTable[GroupByKey]=DiscreteStatsTable[[#This Row],[GroupByKey]]),(DiscreteStatsTable[GroupByKey]=DiscreteStatsTable[[#This Row],[GroupByKey]])*DiscreteStatsTable[Average]))</f>
        <v>13.1762012321516</v>
      </c>
      <c r="S338" s="5" cm="1">
        <f t="array" ref="S338">MAX(IF((DiscreteStatsTable[GroupByKey]=DiscreteStatsTable[[#This Row],[GroupByKey]]),(DiscreteStatsTable[GroupByKey]=DiscreteStatsTable[[#This Row],[GroupByKey]])*DiscreteStatsTable[Average]))</f>
        <v>14.645498483682401</v>
      </c>
      <c r="T338" s="5" cm="1">
        <f t="array" ref="T338">MIN(IF((DiscreteStatsTable[GroupByKey]=DiscreteStatsTable[[#This Row],[GroupByKey]]),(DiscreteStatsTable[GroupByKey]=DiscreteStatsTable[[#This Row],[GroupByKey]])*DiscreteStatsTable[Minimum]))</f>
        <v>7.7554535873941601</v>
      </c>
      <c r="U338" s="5" cm="1">
        <f t="array" ref="U338">MAX(IF((DiscreteStatsTable[GroupByKey]=DiscreteStatsTable[[#This Row],[GroupByKey]]),(DiscreteStatsTable[GroupByKey]=DiscreteStatsTable[[#This Row],[GroupByKey]])*DiscreteStatsTable[Maximum]))</f>
        <v>32.234342623085197</v>
      </c>
      <c r="V338" s="5" cm="1">
        <f t="array" ref="V338">IFERROR(AVERAGE(IF((DiscreteStatsTable[GroupByKey]=DiscreteStatsTable[[#This Row],[GroupByKey]]),(DiscreteStatsTable[GroupByKey]=DiscreteStatsTable[[#This Row],[GroupByKey]])*DiscreteStatsTable[NumberObservations])),0)</f>
        <v>155.19999999999999</v>
      </c>
      <c r="W338" s="5">
        <f>IF((DiscreteStatsTable[[#This Row],[RepsRequested]]&gt;1),DiscreteStatsTable[[#This Row],[HalfWidth]],DiscreteStatsTable[[#This Row],[BatchMeansHalfWidth]])</f>
        <v>0.40181561579061792</v>
      </c>
      <c r="X338" s="5" cm="1">
        <f t="array" ref="X338">COUNT(IF((DiscreteStatsTable[GroupByKey]=DiscreteStatsTable[[#This Row],[GroupByKey]]),(DiscreteStatsTable[GroupByKey]=DiscreteStatsTable[[#This Row],[GroupByKey]])*DiscreteStatsTable[Replication]))</f>
        <v>10</v>
      </c>
      <c r="Y338" s="5">
        <f>IF(DiscreteStatsTable[[#This Row],[RepsRequested]]=DiscreteStatsTable[[#This Row],[RepsWithStatObserved]],1,0)</f>
        <v>1</v>
      </c>
    </row>
    <row r="339" spans="1:25" x14ac:dyDescent="0.3">
      <c r="A339" t="s">
        <v>66</v>
      </c>
      <c r="B339" t="s">
        <v>68</v>
      </c>
      <c r="C339">
        <v>8</v>
      </c>
      <c r="D339" t="s">
        <v>92</v>
      </c>
      <c r="E339" t="s">
        <v>90</v>
      </c>
      <c r="F339" t="s">
        <v>91</v>
      </c>
      <c r="G339">
        <v>13.863028755757201</v>
      </c>
      <c r="H339">
        <v>2E+20</v>
      </c>
      <c r="I339">
        <v>8.5275343257946297</v>
      </c>
      <c r="J339">
        <v>31.317383316312601</v>
      </c>
      <c r="K339">
        <v>147</v>
      </c>
      <c r="L339" s="5" t="str">
        <f>DiscreteStatsTable[[#This Row],[ProjectName]]&amp;DiscreteStatsTable[[#This Row],[Name]]&amp;DiscreteStatsTable[[#This Row],[Type]]&amp;DiscreteStatsTable[[#This Row],[Source]]</f>
        <v>Unnamed ProjectTCiclo NacionalNoneUser Specified</v>
      </c>
      <c r="M339" s="5" cm="1">
        <f t="array" ref="M339">MAX(IF((ProjectInfoTable[ProjectName]=DiscreteStatsTable[[#This Row],[ProjectName]]),(ProjectInfoTable[ProjectName]=DiscreteStatsTable[[#This Row],[ProjectName]])*ProjectInfoTable[NumberOfReplications]))</f>
        <v>10</v>
      </c>
      <c r="N339" s="5" cm="1">
        <f t="array" ref="N339">IFERROR(AVERAGE(IF((DiscreteStatsTable[GroupByKey]=DiscreteStatsTable[[#This Row],[GroupByKey]]),(DiscreteStatsTable[GroupByKey]=DiscreteStatsTable[[#This Row],[GroupByKey]])*DiscreteStatsTable[Average])),0)</f>
        <v>13.7917642070894</v>
      </c>
      <c r="O339" s="5" cm="1">
        <f t="array" ref="O339">IFERROR(_xlfn.STDEV.S(IF((DiscreteStatsTable[GroupByKey]=DiscreteStatsTable[[#This Row],[GroupByKey]]),(DiscreteStatsTable[GroupByKey]=DiscreteStatsTable[[#This Row],[GroupByKey]])*DiscreteStatsTable[Average])),0)</f>
        <v>0.56169949914077655</v>
      </c>
      <c r="P339" s="5" cm="1">
        <f t="array" ref="P339">MAX(IF((ProjectInfoTable[ProjectName]=DiscreteStatsTable[[#This Row],[ProjectName]]),(ProjectInfoTable[ProjectName]=DiscreteStatsTable[[#This Row],[ProjectName]])*ProjectInfoTable[ConfidenceInterval]))</f>
        <v>0.95</v>
      </c>
      <c r="Q339" s="5">
        <f>IF(AND(DiscreteStatsTable[[#This Row],[RepsWithStatObserved]]=1,Y339=0),200000000000000000000,IFERROR(_xlfn.T.INV.2T(1 -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0.40181561579061792</v>
      </c>
      <c r="R339" s="5" cm="1">
        <f t="array" ref="R339">MIN(IF((DiscreteStatsTable[GroupByKey]=DiscreteStatsTable[[#This Row],[GroupByKey]]),(DiscreteStatsTable[GroupByKey]=DiscreteStatsTable[[#This Row],[GroupByKey]])*DiscreteStatsTable[Average]))</f>
        <v>13.1762012321516</v>
      </c>
      <c r="S339" s="5" cm="1">
        <f t="array" ref="S339">MAX(IF((DiscreteStatsTable[GroupByKey]=DiscreteStatsTable[[#This Row],[GroupByKey]]),(DiscreteStatsTable[GroupByKey]=DiscreteStatsTable[[#This Row],[GroupByKey]])*DiscreteStatsTable[Average]))</f>
        <v>14.645498483682401</v>
      </c>
      <c r="T339" s="5" cm="1">
        <f t="array" ref="T339">MIN(IF((DiscreteStatsTable[GroupByKey]=DiscreteStatsTable[[#This Row],[GroupByKey]]),(DiscreteStatsTable[GroupByKey]=DiscreteStatsTable[[#This Row],[GroupByKey]])*DiscreteStatsTable[Minimum]))</f>
        <v>7.7554535873941601</v>
      </c>
      <c r="U339" s="5" cm="1">
        <f t="array" ref="U339">MAX(IF((DiscreteStatsTable[GroupByKey]=DiscreteStatsTable[[#This Row],[GroupByKey]]),(DiscreteStatsTable[GroupByKey]=DiscreteStatsTable[[#This Row],[GroupByKey]])*DiscreteStatsTable[Maximum]))</f>
        <v>32.234342623085197</v>
      </c>
      <c r="V339" s="5" cm="1">
        <f t="array" ref="V339">IFERROR(AVERAGE(IF((DiscreteStatsTable[GroupByKey]=DiscreteStatsTable[[#This Row],[GroupByKey]]),(DiscreteStatsTable[GroupByKey]=DiscreteStatsTable[[#This Row],[GroupByKey]])*DiscreteStatsTable[NumberObservations])),0)</f>
        <v>155.19999999999999</v>
      </c>
      <c r="W339" s="5">
        <f>IF((DiscreteStatsTable[[#This Row],[RepsRequested]]&gt;1),DiscreteStatsTable[[#This Row],[HalfWidth]],DiscreteStatsTable[[#This Row],[BatchMeansHalfWidth]])</f>
        <v>0.40181561579061792</v>
      </c>
      <c r="X339" s="5" cm="1">
        <f t="array" ref="X339">COUNT(IF((DiscreteStatsTable[GroupByKey]=DiscreteStatsTable[[#This Row],[GroupByKey]]),(DiscreteStatsTable[GroupByKey]=DiscreteStatsTable[[#This Row],[GroupByKey]])*DiscreteStatsTable[Replication]))</f>
        <v>10</v>
      </c>
      <c r="Y339" s="5">
        <f>IF(DiscreteStatsTable[[#This Row],[RepsRequested]]=DiscreteStatsTable[[#This Row],[RepsWithStatObserved]],1,0)</f>
        <v>1</v>
      </c>
    </row>
    <row r="340" spans="1:25" x14ac:dyDescent="0.3">
      <c r="A340" t="s">
        <v>66</v>
      </c>
      <c r="B340" t="s">
        <v>68</v>
      </c>
      <c r="C340">
        <v>9</v>
      </c>
      <c r="D340" t="s">
        <v>92</v>
      </c>
      <c r="E340" t="s">
        <v>90</v>
      </c>
      <c r="F340" t="s">
        <v>91</v>
      </c>
      <c r="G340">
        <v>14.5532691420883</v>
      </c>
      <c r="H340">
        <v>2E+20</v>
      </c>
      <c r="I340">
        <v>8.7299795277762708</v>
      </c>
      <c r="J340">
        <v>26.4692106318385</v>
      </c>
      <c r="K340">
        <v>183</v>
      </c>
      <c r="L340" s="5" t="str">
        <f>DiscreteStatsTable[[#This Row],[ProjectName]]&amp;DiscreteStatsTable[[#This Row],[Name]]&amp;DiscreteStatsTable[[#This Row],[Type]]&amp;DiscreteStatsTable[[#This Row],[Source]]</f>
        <v>Unnamed ProjectTCiclo NacionalNoneUser Specified</v>
      </c>
      <c r="M340" s="5" cm="1">
        <f t="array" ref="M340">MAX(IF((ProjectInfoTable[ProjectName]=DiscreteStatsTable[[#This Row],[ProjectName]]),(ProjectInfoTable[ProjectName]=DiscreteStatsTable[[#This Row],[ProjectName]])*ProjectInfoTable[NumberOfReplications]))</f>
        <v>10</v>
      </c>
      <c r="N340" s="5" cm="1">
        <f t="array" ref="N340">IFERROR(AVERAGE(IF((DiscreteStatsTable[GroupByKey]=DiscreteStatsTable[[#This Row],[GroupByKey]]),(DiscreteStatsTable[GroupByKey]=DiscreteStatsTable[[#This Row],[GroupByKey]])*DiscreteStatsTable[Average])),0)</f>
        <v>13.7917642070894</v>
      </c>
      <c r="O340" s="5" cm="1">
        <f t="array" ref="O340">IFERROR(_xlfn.STDEV.S(IF((DiscreteStatsTable[GroupByKey]=DiscreteStatsTable[[#This Row],[GroupByKey]]),(DiscreteStatsTable[GroupByKey]=DiscreteStatsTable[[#This Row],[GroupByKey]])*DiscreteStatsTable[Average])),0)</f>
        <v>0.56169949914077655</v>
      </c>
      <c r="P340" s="5" cm="1">
        <f t="array" ref="P340">MAX(IF((ProjectInfoTable[ProjectName]=DiscreteStatsTable[[#This Row],[ProjectName]]),(ProjectInfoTable[ProjectName]=DiscreteStatsTable[[#This Row],[ProjectName]])*ProjectInfoTable[ConfidenceInterval]))</f>
        <v>0.95</v>
      </c>
      <c r="Q340" s="5">
        <f>IF(AND(DiscreteStatsTable[[#This Row],[RepsWithStatObserved]]=1,Y340=0),200000000000000000000,IFERROR(_xlfn.T.INV.2T(1 -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0.40181561579061792</v>
      </c>
      <c r="R340" s="5" cm="1">
        <f t="array" ref="R340">MIN(IF((DiscreteStatsTable[GroupByKey]=DiscreteStatsTable[[#This Row],[GroupByKey]]),(DiscreteStatsTable[GroupByKey]=DiscreteStatsTable[[#This Row],[GroupByKey]])*DiscreteStatsTable[Average]))</f>
        <v>13.1762012321516</v>
      </c>
      <c r="S340" s="5" cm="1">
        <f t="array" ref="S340">MAX(IF((DiscreteStatsTable[GroupByKey]=DiscreteStatsTable[[#This Row],[GroupByKey]]),(DiscreteStatsTable[GroupByKey]=DiscreteStatsTable[[#This Row],[GroupByKey]])*DiscreteStatsTable[Average]))</f>
        <v>14.645498483682401</v>
      </c>
      <c r="T340" s="5" cm="1">
        <f t="array" ref="T340">MIN(IF((DiscreteStatsTable[GroupByKey]=DiscreteStatsTable[[#This Row],[GroupByKey]]),(DiscreteStatsTable[GroupByKey]=DiscreteStatsTable[[#This Row],[GroupByKey]])*DiscreteStatsTable[Minimum]))</f>
        <v>7.7554535873941601</v>
      </c>
      <c r="U340" s="5" cm="1">
        <f t="array" ref="U340">MAX(IF((DiscreteStatsTable[GroupByKey]=DiscreteStatsTable[[#This Row],[GroupByKey]]),(DiscreteStatsTable[GroupByKey]=DiscreteStatsTable[[#This Row],[GroupByKey]])*DiscreteStatsTable[Maximum]))</f>
        <v>32.234342623085197</v>
      </c>
      <c r="V340" s="5" cm="1">
        <f t="array" ref="V340">IFERROR(AVERAGE(IF((DiscreteStatsTable[GroupByKey]=DiscreteStatsTable[[#This Row],[GroupByKey]]),(DiscreteStatsTable[GroupByKey]=DiscreteStatsTable[[#This Row],[GroupByKey]])*DiscreteStatsTable[NumberObservations])),0)</f>
        <v>155.19999999999999</v>
      </c>
      <c r="W340" s="5">
        <f>IF((DiscreteStatsTable[[#This Row],[RepsRequested]]&gt;1),DiscreteStatsTable[[#This Row],[HalfWidth]],DiscreteStatsTable[[#This Row],[BatchMeansHalfWidth]])</f>
        <v>0.40181561579061792</v>
      </c>
      <c r="X340" s="5" cm="1">
        <f t="array" ref="X340">COUNT(IF((DiscreteStatsTable[GroupByKey]=DiscreteStatsTable[[#This Row],[GroupByKey]]),(DiscreteStatsTable[GroupByKey]=DiscreteStatsTable[[#This Row],[GroupByKey]])*DiscreteStatsTable[Replication]))</f>
        <v>10</v>
      </c>
      <c r="Y340" s="5">
        <f>IF(DiscreteStatsTable[[#This Row],[RepsRequested]]=DiscreteStatsTable[[#This Row],[RepsWithStatObserved]],1,0)</f>
        <v>1</v>
      </c>
    </row>
    <row r="341" spans="1:25" x14ac:dyDescent="0.3">
      <c r="A341" t="s">
        <v>66</v>
      </c>
      <c r="B341" t="s">
        <v>68</v>
      </c>
      <c r="C341">
        <v>10</v>
      </c>
      <c r="D341" t="s">
        <v>92</v>
      </c>
      <c r="E341" t="s">
        <v>90</v>
      </c>
      <c r="F341" t="s">
        <v>91</v>
      </c>
      <c r="G341">
        <v>13.1762012321516</v>
      </c>
      <c r="H341">
        <v>2E+20</v>
      </c>
      <c r="I341">
        <v>8.0907400819754098</v>
      </c>
      <c r="J341">
        <v>20.714579896292001</v>
      </c>
      <c r="K341">
        <v>150</v>
      </c>
      <c r="L341" s="5" t="str">
        <f>DiscreteStatsTable[[#This Row],[ProjectName]]&amp;DiscreteStatsTable[[#This Row],[Name]]&amp;DiscreteStatsTable[[#This Row],[Type]]&amp;DiscreteStatsTable[[#This Row],[Source]]</f>
        <v>Unnamed ProjectTCiclo NacionalNoneUser Specified</v>
      </c>
      <c r="M341" s="5" cm="1">
        <f t="array" ref="M341">MAX(IF((ProjectInfoTable[ProjectName]=DiscreteStatsTable[[#This Row],[ProjectName]]),(ProjectInfoTable[ProjectName]=DiscreteStatsTable[[#This Row],[ProjectName]])*ProjectInfoTable[NumberOfReplications]))</f>
        <v>10</v>
      </c>
      <c r="N341" s="5" cm="1">
        <f t="array" ref="N341">IFERROR(AVERAGE(IF((DiscreteStatsTable[GroupByKey]=DiscreteStatsTable[[#This Row],[GroupByKey]]),(DiscreteStatsTable[GroupByKey]=DiscreteStatsTable[[#This Row],[GroupByKey]])*DiscreteStatsTable[Average])),0)</f>
        <v>13.7917642070894</v>
      </c>
      <c r="O341" s="5" cm="1">
        <f t="array" ref="O341">IFERROR(_xlfn.STDEV.S(IF((DiscreteStatsTable[GroupByKey]=DiscreteStatsTable[[#This Row],[GroupByKey]]),(DiscreteStatsTable[GroupByKey]=DiscreteStatsTable[[#This Row],[GroupByKey]])*DiscreteStatsTable[Average])),0)</f>
        <v>0.56169949914077655</v>
      </c>
      <c r="P341" s="5" cm="1">
        <f t="array" ref="P341">MAX(IF((ProjectInfoTable[ProjectName]=DiscreteStatsTable[[#This Row],[ProjectName]]),(ProjectInfoTable[ProjectName]=DiscreteStatsTable[[#This Row],[ProjectName]])*ProjectInfoTable[ConfidenceInterval]))</f>
        <v>0.95</v>
      </c>
      <c r="Q341" s="5">
        <f>IF(AND(DiscreteStatsTable[[#This Row],[RepsWithStatObserved]]=1,Y341=0),200000000000000000000,IFERROR(_xlfn.T.INV.2T(1 -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0.40181561579061792</v>
      </c>
      <c r="R341" s="5" cm="1">
        <f t="array" ref="R341">MIN(IF((DiscreteStatsTable[GroupByKey]=DiscreteStatsTable[[#This Row],[GroupByKey]]),(DiscreteStatsTable[GroupByKey]=DiscreteStatsTable[[#This Row],[GroupByKey]])*DiscreteStatsTable[Average]))</f>
        <v>13.1762012321516</v>
      </c>
      <c r="S341" s="5" cm="1">
        <f t="array" ref="S341">MAX(IF((DiscreteStatsTable[GroupByKey]=DiscreteStatsTable[[#This Row],[GroupByKey]]),(DiscreteStatsTable[GroupByKey]=DiscreteStatsTable[[#This Row],[GroupByKey]])*DiscreteStatsTable[Average]))</f>
        <v>14.645498483682401</v>
      </c>
      <c r="T341" s="5" cm="1">
        <f t="array" ref="T341">MIN(IF((DiscreteStatsTable[GroupByKey]=DiscreteStatsTable[[#This Row],[GroupByKey]]),(DiscreteStatsTable[GroupByKey]=DiscreteStatsTable[[#This Row],[GroupByKey]])*DiscreteStatsTable[Minimum]))</f>
        <v>7.7554535873941601</v>
      </c>
      <c r="U341" s="5" cm="1">
        <f t="array" ref="U341">MAX(IF((DiscreteStatsTable[GroupByKey]=DiscreteStatsTable[[#This Row],[GroupByKey]]),(DiscreteStatsTable[GroupByKey]=DiscreteStatsTable[[#This Row],[GroupByKey]])*DiscreteStatsTable[Maximum]))</f>
        <v>32.234342623085197</v>
      </c>
      <c r="V341" s="5" cm="1">
        <f t="array" ref="V341">IFERROR(AVERAGE(IF((DiscreteStatsTable[GroupByKey]=DiscreteStatsTable[[#This Row],[GroupByKey]]),(DiscreteStatsTable[GroupByKey]=DiscreteStatsTable[[#This Row],[GroupByKey]])*DiscreteStatsTable[NumberObservations])),0)</f>
        <v>155.19999999999999</v>
      </c>
      <c r="W341" s="5">
        <f>IF((DiscreteStatsTable[[#This Row],[RepsRequested]]&gt;1),DiscreteStatsTable[[#This Row],[HalfWidth]],DiscreteStatsTable[[#This Row],[BatchMeansHalfWidth]])</f>
        <v>0.40181561579061792</v>
      </c>
      <c r="X341" s="5" cm="1">
        <f t="array" ref="X341">COUNT(IF((DiscreteStatsTable[GroupByKey]=DiscreteStatsTable[[#This Row],[GroupByKey]]),(DiscreteStatsTable[GroupByKey]=DiscreteStatsTable[[#This Row],[GroupByKey]])*DiscreteStatsTable[Replication]))</f>
        <v>10</v>
      </c>
      <c r="Y341" s="5">
        <f>IF(DiscreteStatsTable[[#This Row],[RepsRequested]]=DiscreteStatsTable[[#This Row],[RepsWithStatObserved]],1,0)</f>
        <v>1</v>
      </c>
    </row>
  </sheetData>
  <phoneticPr fontId="2" type="noConversion"/>
  <conditionalFormatting sqref="H2:H341 Q2:Q341">
    <cfRule type="expression" dxfId="27" priority="23">
      <formula>H2=200000000000000000000</formula>
    </cfRule>
  </conditionalFormatting>
  <conditionalFormatting sqref="H2:H341">
    <cfRule type="expression" dxfId="26" priority="21">
      <formula>H2=300000000000000000000</formula>
    </cfRule>
  </conditionalFormatting>
  <conditionalFormatting sqref="L2:Y341">
    <cfRule type="expression" dxfId="25" priority="19">
      <formula>MOD(ROW(),2)=0</formula>
    </cfRule>
  </conditionalFormatting>
  <conditionalFormatting sqref="Y2:Y341">
    <cfRule type="expression" dxfId="24" priority="14">
      <formula>Y2=0</formula>
    </cfRule>
    <cfRule type="expression" dxfId="23" priority="16">
      <formula>Y2=1</formula>
    </cfRule>
  </conditionalFormatting>
  <conditionalFormatting sqref="Y3:Y341">
    <cfRule type="expression" dxfId="22" priority="15">
      <formula>Y3=1</formula>
    </cfRule>
  </conditionalFormatting>
  <conditionalFormatting sqref="W2:W341">
    <cfRule type="expression" dxfId="21" priority="6">
      <formula>W2=300000000000000000000</formula>
    </cfRule>
    <cfRule type="expression" dxfId="20" priority="7">
      <formula>W2=200000000000000000000</formula>
    </cfRule>
  </conditionalFormatting>
  <conditionalFormatting sqref="Q2:Q341 W2:W341">
    <cfRule type="expression" dxfId="19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391"/>
  <sheetViews>
    <sheetView workbookViewId="0">
      <selection activeCell="D2" sqref="D2"/>
    </sheetView>
  </sheetViews>
  <sheetFormatPr baseColWidth="10" defaultColWidth="8.88671875" defaultRowHeight="14.4" x14ac:dyDescent="0.3"/>
  <cols>
    <col min="1" max="1" width="15.109375" bestFit="1" customWidth="1"/>
    <col min="2" max="2" width="21.109375" bestFit="1" customWidth="1"/>
    <col min="3" max="3" width="12.5546875" bestFit="1" customWidth="1"/>
    <col min="4" max="4" width="20.88671875" bestFit="1" customWidth="1"/>
    <col min="5" max="5" width="21.5546875" bestFit="1" customWidth="1"/>
    <col min="6" max="6" width="9" bestFit="1" customWidth="1"/>
    <col min="7" max="7" width="12" bestFit="1" customWidth="1"/>
    <col min="8" max="8" width="22.21875" bestFit="1" customWidth="1"/>
    <col min="9" max="9" width="11.44140625" bestFit="1" customWidth="1"/>
    <col min="10" max="10" width="11.77734375" bestFit="1" customWidth="1"/>
    <col min="11" max="11" width="19.44140625" bestFit="1" customWidth="1"/>
    <col min="12" max="12" width="11.33203125" bestFit="1" customWidth="1"/>
    <col min="13" max="13" width="57" bestFit="1" customWidth="1"/>
    <col min="14" max="14" width="16.109375" bestFit="1" customWidth="1"/>
    <col min="15" max="15" width="19.109375" bestFit="1" customWidth="1"/>
    <col min="16" max="16" width="17" bestFit="1" customWidth="1"/>
    <col min="17" max="17" width="19.33203125" bestFit="1" customWidth="1"/>
    <col min="18" max="18" width="12" bestFit="1" customWidth="1"/>
    <col min="19" max="19" width="18.44140625" bestFit="1" customWidth="1"/>
    <col min="20" max="20" width="18.77734375" bestFit="1" customWidth="1"/>
    <col min="21" max="21" width="19.8867187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69</v>
      </c>
      <c r="E2" t="s">
        <v>99</v>
      </c>
      <c r="F2" t="s">
        <v>71</v>
      </c>
      <c r="G2">
        <v>2.99173791266488E-4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ProjectCargar Avion.QueueNumber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4.3234278073230802E-4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8.6650685478403973E-4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6.1986166264068276E-4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2.8294284227636502E-3</v>
      </c>
      <c r="U2">
        <f>IF((ContinuousStatsTable[[#This Row],[RepsRequested]]&gt;1),ContinuousStatsTable[[#This Row],[HalfWidth]],ContinuousStatsTable[[#This Row],[BatchMeansHalfWidth]])</f>
        <v>6.1986166264068276E-4</v>
      </c>
    </row>
    <row r="3" spans="1:21" x14ac:dyDescent="0.3">
      <c r="A3" t="s">
        <v>66</v>
      </c>
      <c r="B3" t="s">
        <v>68</v>
      </c>
      <c r="C3">
        <v>1</v>
      </c>
      <c r="D3" t="s">
        <v>72</v>
      </c>
      <c r="E3" t="s">
        <v>100</v>
      </c>
      <c r="F3" t="s">
        <v>74</v>
      </c>
      <c r="G3">
        <v>1.6851971076197101</v>
      </c>
      <c r="H3">
        <v>3E+20</v>
      </c>
      <c r="I3">
        <v>0</v>
      </c>
      <c r="J3">
        <v>8</v>
      </c>
      <c r="K3">
        <v>6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1.938691833558875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0.24426972485872975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0.17474003459724646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1.6635577018983201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2.3099874805957801</v>
      </c>
      <c r="U3">
        <f>IF((ContinuousStatsTable[[#This Row],[RepsRequested]]&gt;1),ContinuousStatsTable[[#This Row],[HalfWidth]],ContinuousStatsTable[[#This Row],[BatchMeansHalfWidth]])</f>
        <v>0.17474003459724646</v>
      </c>
    </row>
    <row r="4" spans="1:21" x14ac:dyDescent="0.3">
      <c r="A4" t="s">
        <v>66</v>
      </c>
      <c r="B4" t="s">
        <v>68</v>
      </c>
      <c r="C4">
        <v>1</v>
      </c>
      <c r="D4" t="s">
        <v>101</v>
      </c>
      <c r="E4" t="s">
        <v>102</v>
      </c>
      <c r="F4" t="s">
        <v>103</v>
      </c>
      <c r="G4">
        <v>0.26574304531041898</v>
      </c>
      <c r="H4">
        <v>2E+20</v>
      </c>
      <c r="I4">
        <v>0</v>
      </c>
      <c r="J4">
        <v>1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ProjectInterautoInstantaneous UtilizationResource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0.26535205929836458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2.5807993647623796E-2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1.8461926485074727E-2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0.20483176768320299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0.29552077299252399</v>
      </c>
      <c r="U4">
        <f>IF((ContinuousStatsTable[[#This Row],[RepsRequested]]&gt;1),ContinuousStatsTable[[#This Row],[HalfWidth]],ContinuousStatsTable[[#This Row],[BatchMeansHalfWidth]])</f>
        <v>1.8461926485074727E-2</v>
      </c>
    </row>
    <row r="5" spans="1:21" x14ac:dyDescent="0.3">
      <c r="A5" t="s">
        <v>66</v>
      </c>
      <c r="B5" t="s">
        <v>68</v>
      </c>
      <c r="C5">
        <v>1</v>
      </c>
      <c r="D5" t="s">
        <v>101</v>
      </c>
      <c r="E5" t="s">
        <v>104</v>
      </c>
      <c r="F5" t="s">
        <v>103</v>
      </c>
      <c r="G5">
        <v>0.26574304531041898</v>
      </c>
      <c r="H5">
        <v>2E+20</v>
      </c>
      <c r="I5">
        <v>0</v>
      </c>
      <c r="J5">
        <v>1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ProjectInterautoNumber BusyResource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0.26535205929836458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2.5807993647623796E-2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1.8461926485074727E-2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0.20483176768320299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0.29552077299252399</v>
      </c>
      <c r="U5">
        <f>IF((ContinuousStatsTable[[#This Row],[RepsRequested]]&gt;1),ContinuousStatsTable[[#This Row],[HalfWidth]],ContinuousStatsTable[[#This Row],[BatchMeansHalfWidth]])</f>
        <v>1.8461926485074727E-2</v>
      </c>
    </row>
    <row r="6" spans="1:21" x14ac:dyDescent="0.3">
      <c r="A6" t="s">
        <v>66</v>
      </c>
      <c r="B6" t="s">
        <v>68</v>
      </c>
      <c r="C6">
        <v>1</v>
      </c>
      <c r="D6" t="s">
        <v>101</v>
      </c>
      <c r="E6" t="s">
        <v>105</v>
      </c>
      <c r="F6" t="s">
        <v>103</v>
      </c>
      <c r="G6">
        <v>1</v>
      </c>
      <c r="H6">
        <v>2E+20</v>
      </c>
      <c r="I6">
        <v>1</v>
      </c>
      <c r="J6">
        <v>1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ProjectInterautoNumber ScheduledResource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</v>
      </c>
      <c r="U6">
        <f>IF((ContinuousStatsTable[[#This Row],[RepsRequested]]&gt;1),ContinuousStatsTable[[#This Row],[HalfWidth]],ContinuousStatsTable[[#This Row],[BatchMeansHalfWidth]])</f>
        <v>0</v>
      </c>
    </row>
    <row r="7" spans="1:21" x14ac:dyDescent="0.3">
      <c r="A7" t="s">
        <v>66</v>
      </c>
      <c r="B7" t="s">
        <v>68</v>
      </c>
      <c r="C7">
        <v>1</v>
      </c>
      <c r="D7" t="s">
        <v>80</v>
      </c>
      <c r="E7" t="s">
        <v>99</v>
      </c>
      <c r="F7" t="s">
        <v>71</v>
      </c>
      <c r="G7">
        <v>0.20138305683662799</v>
      </c>
      <c r="H7">
        <v>3.3240088709993697E-2</v>
      </c>
      <c r="I7">
        <v>0</v>
      </c>
      <c r="J7">
        <v>4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ProjectLeave 1.QueueNumber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0.20353568461890376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2.6549184575613477E-2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1.899214253405495E-2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0.168502364443611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0.24578450490959</v>
      </c>
      <c r="U7">
        <f>IF((ContinuousStatsTable[[#This Row],[RepsRequested]]&gt;1),ContinuousStatsTable[[#This Row],[HalfWidth]],ContinuousStatsTable[[#This Row],[BatchMeansHalfWidth]])</f>
        <v>1.899214253405495E-2</v>
      </c>
    </row>
    <row r="8" spans="1:21" x14ac:dyDescent="0.3">
      <c r="A8" t="s">
        <v>66</v>
      </c>
      <c r="B8" t="s">
        <v>68</v>
      </c>
      <c r="C8">
        <v>1</v>
      </c>
      <c r="D8" t="s">
        <v>81</v>
      </c>
      <c r="E8" t="s">
        <v>99</v>
      </c>
      <c r="F8" t="s">
        <v>71</v>
      </c>
      <c r="G8">
        <v>6.0328557173678302E-3</v>
      </c>
      <c r="H8">
        <v>2E+20</v>
      </c>
      <c r="I8">
        <v>0</v>
      </c>
      <c r="J8">
        <v>2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ProjectLeave 4.QueueNumber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4.8729672989697272E-3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9.2135939256816457E-4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6.5910080435457321E-4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3.2012309459038099E-3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6.0338305270789001E-3</v>
      </c>
      <c r="U8">
        <f>IF((ContinuousStatsTable[[#This Row],[RepsRequested]]&gt;1),ContinuousStatsTable[[#This Row],[HalfWidth]],ContinuousStatsTable[[#This Row],[BatchMeansHalfWidth]])</f>
        <v>6.5910080435457321E-4</v>
      </c>
    </row>
    <row r="9" spans="1:21" x14ac:dyDescent="0.3">
      <c r="A9" t="s">
        <v>66</v>
      </c>
      <c r="B9" t="s">
        <v>68</v>
      </c>
      <c r="C9">
        <v>1</v>
      </c>
      <c r="D9" t="s">
        <v>82</v>
      </c>
      <c r="E9" t="s">
        <v>99</v>
      </c>
      <c r="F9" t="s">
        <v>71</v>
      </c>
      <c r="G9">
        <v>5.1493186659370499E-2</v>
      </c>
      <c r="H9">
        <v>1.1839367548514499E-2</v>
      </c>
      <c r="I9">
        <v>0</v>
      </c>
      <c r="J9">
        <v>3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ProjectLeave 5.QueueNumber WaitingQueue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4.8788152574119628E-2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5.3039270336942244E-3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3.7942008323176655E-3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4.1058101580258903E-2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5.6386723112129902E-2</v>
      </c>
      <c r="U9">
        <f>IF((ContinuousStatsTable[[#This Row],[RepsRequested]]&gt;1),ContinuousStatsTable[[#This Row],[HalfWidth]],ContinuousStatsTable[[#This Row],[BatchMeansHalfWidth]])</f>
        <v>3.7942008323176655E-3</v>
      </c>
    </row>
    <row r="10" spans="1:21" x14ac:dyDescent="0.3">
      <c r="A10" t="s">
        <v>66</v>
      </c>
      <c r="B10" t="s">
        <v>68</v>
      </c>
      <c r="C10">
        <v>1</v>
      </c>
      <c r="D10" t="s">
        <v>83</v>
      </c>
      <c r="E10" t="s">
        <v>99</v>
      </c>
      <c r="F10" t="s">
        <v>71</v>
      </c>
      <c r="G10">
        <v>1.9027055835964301E-3</v>
      </c>
      <c r="H10">
        <v>2E+20</v>
      </c>
      <c r="I10">
        <v>0</v>
      </c>
      <c r="J10">
        <v>1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ProjectLeave 6.QueueNumber WaitingQueue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3.227619592382791E-3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1.5087685522347895E-3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1.0793080033525183E-3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4.7201486102630699E-4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6.2452549613019898E-3</v>
      </c>
      <c r="U10">
        <f>IF((ContinuousStatsTable[[#This Row],[RepsRequested]]&gt;1),ContinuousStatsTable[[#This Row],[HalfWidth]],ContinuousStatsTable[[#This Row],[BatchMeansHalfWidth]])</f>
        <v>1.0793080033525183E-3</v>
      </c>
    </row>
    <row r="11" spans="1:21" x14ac:dyDescent="0.3">
      <c r="A11" t="s">
        <v>66</v>
      </c>
      <c r="B11" t="s">
        <v>68</v>
      </c>
      <c r="C11">
        <v>1</v>
      </c>
      <c r="D11" t="s">
        <v>84</v>
      </c>
      <c r="E11" t="s">
        <v>99</v>
      </c>
      <c r="F11" t="s">
        <v>71</v>
      </c>
      <c r="G11">
        <v>7.2840353337939395E-2</v>
      </c>
      <c r="H11">
        <v>2E+20</v>
      </c>
      <c r="I11">
        <v>0</v>
      </c>
      <c r="J11">
        <v>3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ProjectLeave 7.QueueNumber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5.9441954240945373E-2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1.1519407308393107E-2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8.2404875707479553E-3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4.5386728660866099E-2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7.8633362228088005E-2</v>
      </c>
      <c r="U11">
        <f>IF((ContinuousStatsTable[[#This Row],[RepsRequested]]&gt;1),ContinuousStatsTable[[#This Row],[HalfWidth]],ContinuousStatsTable[[#This Row],[BatchMeansHalfWidth]])</f>
        <v>8.2404875707479553E-3</v>
      </c>
    </row>
    <row r="12" spans="1:21" x14ac:dyDescent="0.3">
      <c r="A12" t="s">
        <v>66</v>
      </c>
      <c r="B12" t="s">
        <v>68</v>
      </c>
      <c r="C12">
        <v>1</v>
      </c>
      <c r="D12" t="s">
        <v>85</v>
      </c>
      <c r="E12" t="s">
        <v>99</v>
      </c>
      <c r="F12" t="s">
        <v>71</v>
      </c>
      <c r="G12">
        <v>9.0451064743319795E-4</v>
      </c>
      <c r="H12">
        <v>2E+20</v>
      </c>
      <c r="I12">
        <v>0</v>
      </c>
      <c r="J12">
        <v>1</v>
      </c>
      <c r="K12">
        <v>0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ProjectLeave 8.QueueNumber WaitingQueue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10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2.1217771776478596E-3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8.0254950645480523E-4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5.7410933182579346E-4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9.0451064743319795E-4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3.5490296241417699E-3</v>
      </c>
      <c r="U12">
        <f>IF((ContinuousStatsTable[[#This Row],[RepsRequested]]&gt;1),ContinuousStatsTable[[#This Row],[HalfWidth]],ContinuousStatsTable[[#This Row],[BatchMeansHalfWidth]])</f>
        <v>5.7410933182579346E-4</v>
      </c>
    </row>
    <row r="13" spans="1:21" x14ac:dyDescent="0.3">
      <c r="A13" t="s">
        <v>66</v>
      </c>
      <c r="B13" t="s">
        <v>68</v>
      </c>
      <c r="C13">
        <v>1</v>
      </c>
      <c r="D13" t="s">
        <v>86</v>
      </c>
      <c r="E13" t="s">
        <v>99</v>
      </c>
      <c r="F13" t="s">
        <v>71</v>
      </c>
      <c r="G13">
        <v>2.0079260911407899E-3</v>
      </c>
      <c r="H13">
        <v>2E+20</v>
      </c>
      <c r="I13">
        <v>0</v>
      </c>
      <c r="J13">
        <v>1</v>
      </c>
      <c r="K13">
        <v>0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ProjectLeave 9.QueueNumber WaitingQueue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10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1.3877246767065991E-3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7.1875981577935533E-4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5.1416979795196457E-4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2.8555279956142001E-4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2.50186012594582E-3</v>
      </c>
      <c r="U13">
        <f>IF((ContinuousStatsTable[[#This Row],[RepsRequested]]&gt;1),ContinuousStatsTable[[#This Row],[HalfWidth]],ContinuousStatsTable[[#This Row],[BatchMeansHalfWidth]])</f>
        <v>5.1416979795196457E-4</v>
      </c>
    </row>
    <row r="14" spans="1:21" x14ac:dyDescent="0.3">
      <c r="A14" t="s">
        <v>66</v>
      </c>
      <c r="B14" t="s">
        <v>68</v>
      </c>
      <c r="C14">
        <v>1</v>
      </c>
      <c r="D14" t="s">
        <v>87</v>
      </c>
      <c r="E14" t="s">
        <v>100</v>
      </c>
      <c r="F14" t="s">
        <v>74</v>
      </c>
      <c r="G14">
        <v>12.639851548122699</v>
      </c>
      <c r="H14">
        <v>3E+20</v>
      </c>
      <c r="I14">
        <v>0</v>
      </c>
      <c r="J14">
        <v>25</v>
      </c>
      <c r="K14">
        <v>15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ProjectMaleta InternacionalWIPEntity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10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13.037689788098451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1.9631643885071912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1.4043632028742961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10.277307754823401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16.425571484417201</v>
      </c>
      <c r="U14">
        <f>IF((ContinuousStatsTable[[#This Row],[RepsRequested]]&gt;1),ContinuousStatsTable[[#This Row],[HalfWidth]],ContinuousStatsTable[[#This Row],[BatchMeansHalfWidth]])</f>
        <v>1.4043632028742961</v>
      </c>
    </row>
    <row r="15" spans="1:21" x14ac:dyDescent="0.3">
      <c r="A15" t="s">
        <v>66</v>
      </c>
      <c r="B15" t="s">
        <v>68</v>
      </c>
      <c r="C15">
        <v>1</v>
      </c>
      <c r="D15" t="s">
        <v>88</v>
      </c>
      <c r="E15" t="s">
        <v>100</v>
      </c>
      <c r="F15" t="s">
        <v>74</v>
      </c>
      <c r="G15">
        <v>2.67222365426858</v>
      </c>
      <c r="H15">
        <v>2E+20</v>
      </c>
      <c r="I15">
        <v>0</v>
      </c>
      <c r="J15">
        <v>10</v>
      </c>
      <c r="K15">
        <v>1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ProjectMaleta NacionalWIPEntity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10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2.7356580954557046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0.24675556542769644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0.17651829781539885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2.4605296674942401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3.2916533376655202</v>
      </c>
      <c r="U15">
        <f>IF((ContinuousStatsTable[[#This Row],[RepsRequested]]&gt;1),ContinuousStatsTable[[#This Row],[HalfWidth]],ContinuousStatsTable[[#This Row],[BatchMeansHalfWidth]])</f>
        <v>0.17651829781539885</v>
      </c>
    </row>
    <row r="16" spans="1:21" x14ac:dyDescent="0.3">
      <c r="A16" t="s">
        <v>66</v>
      </c>
      <c r="B16" t="s">
        <v>68</v>
      </c>
      <c r="C16">
        <v>1</v>
      </c>
      <c r="D16" t="s">
        <v>106</v>
      </c>
      <c r="E16" t="s">
        <v>102</v>
      </c>
      <c r="F16" t="s">
        <v>103</v>
      </c>
      <c r="G16">
        <v>0.72909322032718105</v>
      </c>
      <c r="H16">
        <v>2E+20</v>
      </c>
      <c r="I16">
        <v>0</v>
      </c>
      <c r="J16">
        <v>1</v>
      </c>
      <c r="K16">
        <v>1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ProjectNacionalautoInstantaneous UtilizationResource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10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0.73175058451933661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6.0813477412386734E-2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4.3503341043041877E-2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0.64995347349336796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0.82581624655093899</v>
      </c>
      <c r="U16">
        <f>IF((ContinuousStatsTable[[#This Row],[RepsRequested]]&gt;1),ContinuousStatsTable[[#This Row],[HalfWidth]],ContinuousStatsTable[[#This Row],[BatchMeansHalfWidth]])</f>
        <v>4.3503341043041877E-2</v>
      </c>
    </row>
    <row r="17" spans="1:21" x14ac:dyDescent="0.3">
      <c r="A17" t="s">
        <v>66</v>
      </c>
      <c r="B17" t="s">
        <v>68</v>
      </c>
      <c r="C17">
        <v>1</v>
      </c>
      <c r="D17" t="s">
        <v>106</v>
      </c>
      <c r="E17" t="s">
        <v>104</v>
      </c>
      <c r="F17" t="s">
        <v>103</v>
      </c>
      <c r="G17">
        <v>0.72909322032718105</v>
      </c>
      <c r="H17">
        <v>2E+20</v>
      </c>
      <c r="I17">
        <v>0</v>
      </c>
      <c r="J17">
        <v>1</v>
      </c>
      <c r="K17">
        <v>1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ProjectNacionalautoNumber BusyResource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10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0.73175058451933661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6.0813477412386734E-2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4.3503341043041877E-2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0.64995347349336796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0.82581624655093899</v>
      </c>
      <c r="U17">
        <f>IF((ContinuousStatsTable[[#This Row],[RepsRequested]]&gt;1),ContinuousStatsTable[[#This Row],[HalfWidth]],ContinuousStatsTable[[#This Row],[BatchMeansHalfWidth]])</f>
        <v>4.3503341043041877E-2</v>
      </c>
    </row>
    <row r="18" spans="1:21" x14ac:dyDescent="0.3">
      <c r="A18" t="s">
        <v>66</v>
      </c>
      <c r="B18" t="s">
        <v>68</v>
      </c>
      <c r="C18">
        <v>1</v>
      </c>
      <c r="D18" t="s">
        <v>106</v>
      </c>
      <c r="E18" t="s">
        <v>105</v>
      </c>
      <c r="F18" t="s">
        <v>103</v>
      </c>
      <c r="G18">
        <v>1</v>
      </c>
      <c r="H18">
        <v>2E+20</v>
      </c>
      <c r="I18">
        <v>1</v>
      </c>
      <c r="J18">
        <v>1</v>
      </c>
      <c r="K18">
        <v>1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ProjectNacionalautoNumber ScheduledResource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10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1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1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1</v>
      </c>
      <c r="U18">
        <f>IF((ContinuousStatsTable[[#This Row],[RepsRequested]]&gt;1),ContinuousStatsTable[[#This Row],[HalfWidth]],ContinuousStatsTable[[#This Row],[BatchMeansHalfWidth]])</f>
        <v>0</v>
      </c>
    </row>
    <row r="19" spans="1:21" x14ac:dyDescent="0.3">
      <c r="A19" t="s">
        <v>66</v>
      </c>
      <c r="B19" t="s">
        <v>68</v>
      </c>
      <c r="C19">
        <v>1</v>
      </c>
      <c r="D19" t="s">
        <v>107</v>
      </c>
      <c r="E19" t="s">
        <v>102</v>
      </c>
      <c r="F19" t="s">
        <v>103</v>
      </c>
      <c r="G19">
        <v>6.7485948117393404E-2</v>
      </c>
      <c r="H19">
        <v>1.43145214257229E-2</v>
      </c>
      <c r="I19">
        <v>0</v>
      </c>
      <c r="J19">
        <v>1</v>
      </c>
      <c r="K19">
        <v>0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ProjectOperarios AvionInstantaneous UtilizationResource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10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7.5958437118625627E-2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5.0572810112240948E-3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3.6177608968134627E-3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6.7485948117393404E-2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8.7852447587946303E-2</v>
      </c>
      <c r="U19">
        <f>IF((ContinuousStatsTable[[#This Row],[RepsRequested]]&gt;1),ContinuousStatsTable[[#This Row],[HalfWidth]],ContinuousStatsTable[[#This Row],[BatchMeansHalfWidth]])</f>
        <v>3.6177608968134627E-3</v>
      </c>
    </row>
    <row r="20" spans="1:21" x14ac:dyDescent="0.3">
      <c r="A20" t="s">
        <v>66</v>
      </c>
      <c r="B20" t="s">
        <v>68</v>
      </c>
      <c r="C20">
        <v>1</v>
      </c>
      <c r="D20" t="s">
        <v>107</v>
      </c>
      <c r="E20" t="s">
        <v>104</v>
      </c>
      <c r="F20" t="s">
        <v>103</v>
      </c>
      <c r="G20">
        <v>0.134971896234787</v>
      </c>
      <c r="H20">
        <v>2.86290428514458E-2</v>
      </c>
      <c r="I20">
        <v>0</v>
      </c>
      <c r="J20">
        <v>2</v>
      </c>
      <c r="K20">
        <v>0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ProjectOperarios AvionNumber BusyResource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10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0.1519168742372512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1.0114562022448264E-2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7.2355217936269783E-3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0.134971896234787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0.17570489517589299</v>
      </c>
      <c r="U20">
        <f>IF((ContinuousStatsTable[[#This Row],[RepsRequested]]&gt;1),ContinuousStatsTable[[#This Row],[HalfWidth]],ContinuousStatsTable[[#This Row],[BatchMeansHalfWidth]])</f>
        <v>7.2355217936269783E-3</v>
      </c>
    </row>
    <row r="21" spans="1:21" x14ac:dyDescent="0.3">
      <c r="A21" t="s">
        <v>66</v>
      </c>
      <c r="B21" t="s">
        <v>68</v>
      </c>
      <c r="C21">
        <v>1</v>
      </c>
      <c r="D21" t="s">
        <v>107</v>
      </c>
      <c r="E21" t="s">
        <v>105</v>
      </c>
      <c r="F21" t="s">
        <v>103</v>
      </c>
      <c r="G21">
        <v>2</v>
      </c>
      <c r="H21">
        <v>2E+20</v>
      </c>
      <c r="I21">
        <v>2</v>
      </c>
      <c r="J21">
        <v>2</v>
      </c>
      <c r="K21">
        <v>2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ProjectOperarios AvionNumber ScheduledResource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10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2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2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2</v>
      </c>
      <c r="U21">
        <f>IF((ContinuousStatsTable[[#This Row],[RepsRequested]]&gt;1),ContinuousStatsTable[[#This Row],[HalfWidth]],ContinuousStatsTable[[#This Row],[BatchMeansHalfWidth]])</f>
        <v>0</v>
      </c>
    </row>
    <row r="22" spans="1:21" x14ac:dyDescent="0.3">
      <c r="A22" t="s">
        <v>66</v>
      </c>
      <c r="B22" t="s">
        <v>68</v>
      </c>
      <c r="C22">
        <v>1</v>
      </c>
      <c r="D22" t="s">
        <v>108</v>
      </c>
      <c r="E22" t="s">
        <v>102</v>
      </c>
      <c r="F22" t="s">
        <v>103</v>
      </c>
      <c r="G22">
        <v>0.35968491066771402</v>
      </c>
      <c r="H22">
        <v>2E+20</v>
      </c>
      <c r="I22">
        <v>0</v>
      </c>
      <c r="J22">
        <v>1</v>
      </c>
      <c r="K22">
        <v>1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ProjectcajeraInstantaneous UtilizationResource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10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0.38078385056341441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5.6481911326734656E-2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4.040472533000234E-2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0.28913636698845602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0.46134650546047301</v>
      </c>
      <c r="U22">
        <f>IF((ContinuousStatsTable[[#This Row],[RepsRequested]]&gt;1),ContinuousStatsTable[[#This Row],[HalfWidth]],ContinuousStatsTable[[#This Row],[BatchMeansHalfWidth]])</f>
        <v>4.040472533000234E-2</v>
      </c>
    </row>
    <row r="23" spans="1:21" x14ac:dyDescent="0.3">
      <c r="A23" t="s">
        <v>66</v>
      </c>
      <c r="B23" t="s">
        <v>68</v>
      </c>
      <c r="C23">
        <v>1</v>
      </c>
      <c r="D23" t="s">
        <v>108</v>
      </c>
      <c r="E23" t="s">
        <v>104</v>
      </c>
      <c r="F23" t="s">
        <v>103</v>
      </c>
      <c r="G23">
        <v>0.35968491066771402</v>
      </c>
      <c r="H23">
        <v>2E+20</v>
      </c>
      <c r="I23">
        <v>0</v>
      </c>
      <c r="J23">
        <v>1</v>
      </c>
      <c r="K23">
        <v>1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ProjectcajeraNumber BusyResource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10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0.38078385056341441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5.6481911326734656E-2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4.040472533000234E-2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0.28913636698845602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0.46134650546047301</v>
      </c>
      <c r="U23">
        <f>IF((ContinuousStatsTable[[#This Row],[RepsRequested]]&gt;1),ContinuousStatsTable[[#This Row],[HalfWidth]],ContinuousStatsTable[[#This Row],[BatchMeansHalfWidth]])</f>
        <v>4.040472533000234E-2</v>
      </c>
    </row>
    <row r="24" spans="1:21" x14ac:dyDescent="0.3">
      <c r="A24" t="s">
        <v>66</v>
      </c>
      <c r="B24" t="s">
        <v>68</v>
      </c>
      <c r="C24">
        <v>1</v>
      </c>
      <c r="D24" t="s">
        <v>108</v>
      </c>
      <c r="E24" t="s">
        <v>105</v>
      </c>
      <c r="F24" t="s">
        <v>103</v>
      </c>
      <c r="G24">
        <v>1</v>
      </c>
      <c r="H24">
        <v>2E+20</v>
      </c>
      <c r="I24">
        <v>1</v>
      </c>
      <c r="J24">
        <v>1</v>
      </c>
      <c r="K24">
        <v>1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ProjectcajeraNumber ScheduledResource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10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1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1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1</v>
      </c>
      <c r="U24">
        <f>IF((ContinuousStatsTable[[#This Row],[RepsRequested]]&gt;1),ContinuousStatsTable[[#This Row],[HalfWidth]],ContinuousStatsTable[[#This Row],[BatchMeansHalfWidth]])</f>
        <v>0</v>
      </c>
    </row>
    <row r="25" spans="1:21" x14ac:dyDescent="0.3">
      <c r="A25" t="s">
        <v>66</v>
      </c>
      <c r="B25" t="s">
        <v>68</v>
      </c>
      <c r="C25">
        <v>1</v>
      </c>
      <c r="D25" t="s">
        <v>109</v>
      </c>
      <c r="E25" t="s">
        <v>102</v>
      </c>
      <c r="F25" t="s">
        <v>103</v>
      </c>
      <c r="G25">
        <v>0.69752119636771104</v>
      </c>
      <c r="H25">
        <v>2E+20</v>
      </c>
      <c r="I25">
        <v>0</v>
      </c>
      <c r="J25">
        <v>1</v>
      </c>
      <c r="K25">
        <v>1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Projectcajera2Instantaneous UtilizationResource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10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0.73571117943508912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2.3945213257811505E-2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1.7129373668915777E-2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0.69752119636771104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0.77845968782647601</v>
      </c>
      <c r="U25">
        <f>IF((ContinuousStatsTable[[#This Row],[RepsRequested]]&gt;1),ContinuousStatsTable[[#This Row],[HalfWidth]],ContinuousStatsTable[[#This Row],[BatchMeansHalfWidth]])</f>
        <v>1.7129373668915777E-2</v>
      </c>
    </row>
    <row r="26" spans="1:21" x14ac:dyDescent="0.3">
      <c r="A26" t="s">
        <v>66</v>
      </c>
      <c r="B26" t="s">
        <v>68</v>
      </c>
      <c r="C26">
        <v>1</v>
      </c>
      <c r="D26" t="s">
        <v>109</v>
      </c>
      <c r="E26" t="s">
        <v>104</v>
      </c>
      <c r="F26" t="s">
        <v>103</v>
      </c>
      <c r="G26">
        <v>0.69752119636771104</v>
      </c>
      <c r="H26">
        <v>2E+20</v>
      </c>
      <c r="I26">
        <v>0</v>
      </c>
      <c r="J26">
        <v>1</v>
      </c>
      <c r="K26">
        <v>1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Projectcajera2Number BusyResource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10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0.73571117943508912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2.3945213257811505E-2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1.7129373668915777E-2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0.69752119636771104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0.77845968782647601</v>
      </c>
      <c r="U26">
        <f>IF((ContinuousStatsTable[[#This Row],[RepsRequested]]&gt;1),ContinuousStatsTable[[#This Row],[HalfWidth]],ContinuousStatsTable[[#This Row],[BatchMeansHalfWidth]])</f>
        <v>1.7129373668915777E-2</v>
      </c>
    </row>
    <row r="27" spans="1:21" x14ac:dyDescent="0.3">
      <c r="A27" t="s">
        <v>66</v>
      </c>
      <c r="B27" t="s">
        <v>68</v>
      </c>
      <c r="C27">
        <v>1</v>
      </c>
      <c r="D27" t="s">
        <v>109</v>
      </c>
      <c r="E27" t="s">
        <v>105</v>
      </c>
      <c r="F27" t="s">
        <v>103</v>
      </c>
      <c r="G27">
        <v>1</v>
      </c>
      <c r="H27">
        <v>2E+20</v>
      </c>
      <c r="I27">
        <v>1</v>
      </c>
      <c r="J27">
        <v>1</v>
      </c>
      <c r="K27">
        <v>1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Projectcajera2Number ScheduledResource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10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1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1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1</v>
      </c>
      <c r="U27">
        <f>IF((ContinuousStatsTable[[#This Row],[RepsRequested]]&gt;1),ContinuousStatsTable[[#This Row],[HalfWidth]],ContinuousStatsTable[[#This Row],[BatchMeansHalfWidth]])</f>
        <v>0</v>
      </c>
    </row>
    <row r="28" spans="1:21" x14ac:dyDescent="0.3">
      <c r="A28" t="s">
        <v>66</v>
      </c>
      <c r="B28" t="s">
        <v>68</v>
      </c>
      <c r="C28">
        <v>1</v>
      </c>
      <c r="D28" t="s">
        <v>93</v>
      </c>
      <c r="E28" t="s">
        <v>99</v>
      </c>
      <c r="F28" t="s">
        <v>71</v>
      </c>
      <c r="G28">
        <v>0.42437357441778001</v>
      </c>
      <c r="H28">
        <v>2E+20</v>
      </c>
      <c r="I28">
        <v>0</v>
      </c>
      <c r="J28">
        <v>2</v>
      </c>
      <c r="K28">
        <v>1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Projectmanualinter.QueueNumber WaitingQueue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10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0.33257710094571935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0.27159595138606457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0.19428803945769421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4.88437833500961E-2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0.95917715937716497</v>
      </c>
      <c r="U28">
        <f>IF((ContinuousStatsTable[[#This Row],[RepsRequested]]&gt;1),ContinuousStatsTable[[#This Row],[HalfWidth]],ContinuousStatsTable[[#This Row],[BatchMeansHalfWidth]])</f>
        <v>0.19428803945769421</v>
      </c>
    </row>
    <row r="29" spans="1:21" x14ac:dyDescent="0.3">
      <c r="A29" t="s">
        <v>66</v>
      </c>
      <c r="B29" t="s">
        <v>68</v>
      </c>
      <c r="C29">
        <v>1</v>
      </c>
      <c r="D29" t="s">
        <v>94</v>
      </c>
      <c r="E29" t="s">
        <v>99</v>
      </c>
      <c r="F29" t="s">
        <v>71</v>
      </c>
      <c r="G29">
        <v>0</v>
      </c>
      <c r="H29">
        <v>2E+20</v>
      </c>
      <c r="I29">
        <v>0</v>
      </c>
      <c r="J29">
        <v>0</v>
      </c>
      <c r="K29">
        <v>0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Projectmanualnaciona.QueueNumber WaitingQueue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10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2.2437109622866062E-3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6.4095428429067599E-3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4.5851107367881972E-3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2.0447096127880302E-2</v>
      </c>
      <c r="U29">
        <f>IF((ContinuousStatsTable[[#This Row],[RepsRequested]]&gt;1),ContinuousStatsTable[[#This Row],[HalfWidth]],ContinuousStatsTable[[#This Row],[BatchMeansHalfWidth]])</f>
        <v>4.5851107367881972E-3</v>
      </c>
    </row>
    <row r="30" spans="1:21" x14ac:dyDescent="0.3">
      <c r="A30" t="s">
        <v>66</v>
      </c>
      <c r="B30" t="s">
        <v>68</v>
      </c>
      <c r="C30">
        <v>1</v>
      </c>
      <c r="D30" t="s">
        <v>95</v>
      </c>
      <c r="E30" t="s">
        <v>99</v>
      </c>
      <c r="F30" t="s">
        <v>71</v>
      </c>
      <c r="G30">
        <v>2.14092352312377</v>
      </c>
      <c r="H30">
        <v>3E+20</v>
      </c>
      <c r="I30">
        <v>0</v>
      </c>
      <c r="J30">
        <v>12</v>
      </c>
      <c r="K30">
        <v>4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Projectmaquinainter.QueueNumber WaitingQueue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10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2.7250893633296323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1.2704307292922721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0.90881139575657477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1.35760259855807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5.2621649076821404</v>
      </c>
      <c r="U30">
        <f>IF((ContinuousStatsTable[[#This Row],[RepsRequested]]&gt;1),ContinuousStatsTable[[#This Row],[HalfWidth]],ContinuousStatsTable[[#This Row],[BatchMeansHalfWidth]])</f>
        <v>0.90881139575657477</v>
      </c>
    </row>
    <row r="31" spans="1:21" x14ac:dyDescent="0.3">
      <c r="A31" t="s">
        <v>66</v>
      </c>
      <c r="B31" t="s">
        <v>68</v>
      </c>
      <c r="C31">
        <v>1</v>
      </c>
      <c r="D31" t="s">
        <v>96</v>
      </c>
      <c r="E31" t="s">
        <v>99</v>
      </c>
      <c r="F31" t="s">
        <v>71</v>
      </c>
      <c r="G31">
        <v>0.133917837927408</v>
      </c>
      <c r="H31">
        <v>2E+20</v>
      </c>
      <c r="I31">
        <v>0</v>
      </c>
      <c r="J31">
        <v>4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Projectmaquinanacional.QueueNumber WaitingQueue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10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0.20327393268399513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5.4678802003311266E-2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3.9114858623271326E-2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9.7152989948067606E-2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0.28694483715654301</v>
      </c>
      <c r="U31">
        <f>IF((ContinuousStatsTable[[#This Row],[RepsRequested]]&gt;1),ContinuousStatsTable[[#This Row],[HalfWidth]],ContinuousStatsTable[[#This Row],[BatchMeansHalfWidth]])</f>
        <v>3.9114858623271326E-2</v>
      </c>
    </row>
    <row r="32" spans="1:21" x14ac:dyDescent="0.3">
      <c r="A32" t="s">
        <v>66</v>
      </c>
      <c r="B32" t="s">
        <v>68</v>
      </c>
      <c r="C32">
        <v>1</v>
      </c>
      <c r="D32" t="s">
        <v>97</v>
      </c>
      <c r="E32" t="s">
        <v>99</v>
      </c>
      <c r="F32" t="s">
        <v>71</v>
      </c>
      <c r="G32">
        <v>0.147187834931682</v>
      </c>
      <c r="H32">
        <v>2E+20</v>
      </c>
      <c r="I32">
        <v>0</v>
      </c>
      <c r="J32">
        <v>2</v>
      </c>
      <c r="K32">
        <v>2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Projectmostrador1.QueueNumber WaitingQueue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10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0.25365601436241814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9.7306237195948719E-2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6.9608688772141478E-2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0.124078487063659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0.381680898629085</v>
      </c>
      <c r="U32">
        <f>IF((ContinuousStatsTable[[#This Row],[RepsRequested]]&gt;1),ContinuousStatsTable[[#This Row],[HalfWidth]],ContinuousStatsTable[[#This Row],[BatchMeansHalfWidth]])</f>
        <v>6.9608688772141478E-2</v>
      </c>
    </row>
    <row r="33" spans="1:21" x14ac:dyDescent="0.3">
      <c r="A33" t="s">
        <v>66</v>
      </c>
      <c r="B33" t="s">
        <v>68</v>
      </c>
      <c r="C33">
        <v>1</v>
      </c>
      <c r="D33" t="s">
        <v>98</v>
      </c>
      <c r="E33" t="s">
        <v>99</v>
      </c>
      <c r="F33" t="s">
        <v>71</v>
      </c>
      <c r="G33">
        <v>0.480803165652607</v>
      </c>
      <c r="H33">
        <v>2E+20</v>
      </c>
      <c r="I33">
        <v>0</v>
      </c>
      <c r="J33">
        <v>3</v>
      </c>
      <c r="K33">
        <v>2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Projectmostrador2.QueueNumber WaitingQueue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10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0.56854078919795403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9.5876381195630939E-2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6.8585831407770567E-2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0.461258283509344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0.74281217456090598</v>
      </c>
      <c r="U33">
        <f>IF((ContinuousStatsTable[[#This Row],[RepsRequested]]&gt;1),ContinuousStatsTable[[#This Row],[HalfWidth]],ContinuousStatsTable[[#This Row],[BatchMeansHalfWidth]])</f>
        <v>6.8585831407770567E-2</v>
      </c>
    </row>
    <row r="34" spans="1:21" x14ac:dyDescent="0.3">
      <c r="A34" t="s">
        <v>66</v>
      </c>
      <c r="B34" t="s">
        <v>68</v>
      </c>
      <c r="C34">
        <v>1</v>
      </c>
      <c r="D34" t="s">
        <v>110</v>
      </c>
      <c r="E34" t="s">
        <v>100</v>
      </c>
      <c r="F34" t="s">
        <v>74</v>
      </c>
      <c r="G34">
        <v>0</v>
      </c>
      <c r="H34">
        <v>2E+20</v>
      </c>
      <c r="I34">
        <v>0</v>
      </c>
      <c r="J34">
        <v>0</v>
      </c>
      <c r="K34">
        <v>0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ProjectpersonaWIPEntity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10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0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0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0</v>
      </c>
      <c r="U34">
        <f>IF((ContinuousStatsTable[[#This Row],[RepsRequested]]&gt;1),ContinuousStatsTable[[#This Row],[HalfWidth]],ContinuousStatsTable[[#This Row],[BatchMeansHalfWidth]])</f>
        <v>0</v>
      </c>
    </row>
    <row r="35" spans="1:21" x14ac:dyDescent="0.3">
      <c r="A35" t="s">
        <v>66</v>
      </c>
      <c r="B35" t="s">
        <v>68</v>
      </c>
      <c r="C35">
        <v>1</v>
      </c>
      <c r="D35" t="s">
        <v>111</v>
      </c>
      <c r="E35" t="s">
        <v>102</v>
      </c>
      <c r="F35" t="s">
        <v>103</v>
      </c>
      <c r="G35">
        <v>3.1325407242192502E-2</v>
      </c>
      <c r="H35">
        <v>2E+20</v>
      </c>
      <c r="I35">
        <v>0</v>
      </c>
      <c r="J35">
        <v>1</v>
      </c>
      <c r="K35">
        <v>0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Projectregistro1Instantaneous UtilizationResource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10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5.6433247648491516E-2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2.4456082934732001E-2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1.7494827820351853E-2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2.1279401430778E-2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8.8472374570180701E-2</v>
      </c>
      <c r="U35">
        <f>IF((ContinuousStatsTable[[#This Row],[RepsRequested]]&gt;1),ContinuousStatsTable[[#This Row],[HalfWidth]],ContinuousStatsTable[[#This Row],[BatchMeansHalfWidth]])</f>
        <v>1.7494827820351853E-2</v>
      </c>
    </row>
    <row r="36" spans="1:21" x14ac:dyDescent="0.3">
      <c r="A36" t="s">
        <v>66</v>
      </c>
      <c r="B36" t="s">
        <v>68</v>
      </c>
      <c r="C36">
        <v>1</v>
      </c>
      <c r="D36" t="s">
        <v>111</v>
      </c>
      <c r="E36" t="s">
        <v>104</v>
      </c>
      <c r="F36" t="s">
        <v>103</v>
      </c>
      <c r="G36">
        <v>3.1325407242192502E-2</v>
      </c>
      <c r="H36">
        <v>2E+20</v>
      </c>
      <c r="I36">
        <v>0</v>
      </c>
      <c r="J36">
        <v>1</v>
      </c>
      <c r="K36">
        <v>0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Projectregistro1Number BusyResource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10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5.6433247648491516E-2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2.4456082934732001E-2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1.7494827820351853E-2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2.1279401430778E-2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8.8472374570180701E-2</v>
      </c>
      <c r="U36">
        <f>IF((ContinuousStatsTable[[#This Row],[RepsRequested]]&gt;1),ContinuousStatsTable[[#This Row],[HalfWidth]],ContinuousStatsTable[[#This Row],[BatchMeansHalfWidth]])</f>
        <v>1.7494827820351853E-2</v>
      </c>
    </row>
    <row r="37" spans="1:21" x14ac:dyDescent="0.3">
      <c r="A37" t="s">
        <v>66</v>
      </c>
      <c r="B37" t="s">
        <v>68</v>
      </c>
      <c r="C37">
        <v>1</v>
      </c>
      <c r="D37" t="s">
        <v>111</v>
      </c>
      <c r="E37" t="s">
        <v>105</v>
      </c>
      <c r="F37" t="s">
        <v>103</v>
      </c>
      <c r="G37">
        <v>1</v>
      </c>
      <c r="H37">
        <v>2E+20</v>
      </c>
      <c r="I37">
        <v>1</v>
      </c>
      <c r="J37">
        <v>1</v>
      </c>
      <c r="K37">
        <v>1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Projectregistro1Number ScheduledResource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10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1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1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1</v>
      </c>
      <c r="U37">
        <f>IF((ContinuousStatsTable[[#This Row],[RepsRequested]]&gt;1),ContinuousStatsTable[[#This Row],[HalfWidth]],ContinuousStatsTable[[#This Row],[BatchMeansHalfWidth]])</f>
        <v>0</v>
      </c>
    </row>
    <row r="38" spans="1:21" x14ac:dyDescent="0.3">
      <c r="A38" t="s">
        <v>66</v>
      </c>
      <c r="B38" t="s">
        <v>68</v>
      </c>
      <c r="C38">
        <v>1</v>
      </c>
      <c r="D38" t="s">
        <v>112</v>
      </c>
      <c r="E38" t="s">
        <v>102</v>
      </c>
      <c r="F38" t="s">
        <v>103</v>
      </c>
      <c r="G38">
        <v>0.66990172486561195</v>
      </c>
      <c r="H38">
        <v>2E+20</v>
      </c>
      <c r="I38">
        <v>0</v>
      </c>
      <c r="J38">
        <v>1</v>
      </c>
      <c r="K38">
        <v>1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Projectregistro2Instantaneous UtilizationResource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10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0.46274808587050231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9.1165192054027525E-2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6.5215649719990554E-2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0.338210899349628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0.66990172486561195</v>
      </c>
      <c r="U38">
        <f>IF((ContinuousStatsTable[[#This Row],[RepsRequested]]&gt;1),ContinuousStatsTable[[#This Row],[HalfWidth]],ContinuousStatsTable[[#This Row],[BatchMeansHalfWidth]])</f>
        <v>6.5215649719990554E-2</v>
      </c>
    </row>
    <row r="39" spans="1:21" x14ac:dyDescent="0.3">
      <c r="A39" t="s">
        <v>66</v>
      </c>
      <c r="B39" t="s">
        <v>68</v>
      </c>
      <c r="C39">
        <v>1</v>
      </c>
      <c r="D39" t="s">
        <v>112</v>
      </c>
      <c r="E39" t="s">
        <v>104</v>
      </c>
      <c r="F39" t="s">
        <v>103</v>
      </c>
      <c r="G39">
        <v>0.66990172486561195</v>
      </c>
      <c r="H39">
        <v>2E+20</v>
      </c>
      <c r="I39">
        <v>0</v>
      </c>
      <c r="J39">
        <v>1</v>
      </c>
      <c r="K39">
        <v>1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Projectregistro2Number BusyResource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10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0.46274808587050231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9.1165192054027525E-2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6.5215649719990554E-2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0.338210899349628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0.66990172486561195</v>
      </c>
      <c r="U39">
        <f>IF((ContinuousStatsTable[[#This Row],[RepsRequested]]&gt;1),ContinuousStatsTable[[#This Row],[HalfWidth]],ContinuousStatsTable[[#This Row],[BatchMeansHalfWidth]])</f>
        <v>6.5215649719990554E-2</v>
      </c>
    </row>
    <row r="40" spans="1:21" x14ac:dyDescent="0.3">
      <c r="A40" t="s">
        <v>66</v>
      </c>
      <c r="B40" t="s">
        <v>68</v>
      </c>
      <c r="C40">
        <v>1</v>
      </c>
      <c r="D40" t="s">
        <v>112</v>
      </c>
      <c r="E40" t="s">
        <v>105</v>
      </c>
      <c r="F40" t="s">
        <v>103</v>
      </c>
      <c r="G40">
        <v>1</v>
      </c>
      <c r="H40">
        <v>2E+20</v>
      </c>
      <c r="I40">
        <v>1</v>
      </c>
      <c r="J40">
        <v>1</v>
      </c>
      <c r="K40">
        <v>1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Projectregistro2Number ScheduledResource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10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1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1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1</v>
      </c>
      <c r="U40">
        <f>IF((ContinuousStatsTable[[#This Row],[RepsRequested]]&gt;1),ContinuousStatsTable[[#This Row],[HalfWidth]],ContinuousStatsTable[[#This Row],[BatchMeansHalfWidth]])</f>
        <v>0</v>
      </c>
    </row>
    <row r="41" spans="1:21" x14ac:dyDescent="0.3">
      <c r="A41" t="s">
        <v>66</v>
      </c>
      <c r="B41" t="s">
        <v>68</v>
      </c>
      <c r="C41">
        <v>2</v>
      </c>
      <c r="D41" t="s">
        <v>69</v>
      </c>
      <c r="E41" t="s">
        <v>99</v>
      </c>
      <c r="F41" t="s">
        <v>71</v>
      </c>
      <c r="G41">
        <v>1.3679982418224801E-4</v>
      </c>
      <c r="H41">
        <v>2E+20</v>
      </c>
      <c r="I41">
        <v>0</v>
      </c>
      <c r="J41">
        <v>1</v>
      </c>
      <c r="K41">
        <v>0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ProjectCargar Avion.QueueNumber WaitingQueue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10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4.3234278073230802E-4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8.6650685478403973E-4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6.1986166264068276E-4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0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2.8294284227636502E-3</v>
      </c>
      <c r="U41">
        <f>IF((ContinuousStatsTable[[#This Row],[RepsRequested]]&gt;1),ContinuousStatsTable[[#This Row],[HalfWidth]],ContinuousStatsTable[[#This Row],[BatchMeansHalfWidth]])</f>
        <v>6.1986166264068276E-4</v>
      </c>
    </row>
    <row r="42" spans="1:21" x14ac:dyDescent="0.3">
      <c r="A42" t="s">
        <v>66</v>
      </c>
      <c r="B42" t="s">
        <v>68</v>
      </c>
      <c r="C42">
        <v>2</v>
      </c>
      <c r="D42" t="s">
        <v>72</v>
      </c>
      <c r="E42" t="s">
        <v>100</v>
      </c>
      <c r="F42" t="s">
        <v>74</v>
      </c>
      <c r="G42">
        <v>1.88515874608377</v>
      </c>
      <c r="H42">
        <v>0.418448437094885</v>
      </c>
      <c r="I42">
        <v>0</v>
      </c>
      <c r="J42">
        <v>10</v>
      </c>
      <c r="K42">
        <v>4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10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1.938691833558875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0.24426972485872975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0.17474003459724646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1.6635577018983201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2.3099874805957801</v>
      </c>
      <c r="U42">
        <f>IF((ContinuousStatsTable[[#This Row],[RepsRequested]]&gt;1),ContinuousStatsTable[[#This Row],[HalfWidth]],ContinuousStatsTable[[#This Row],[BatchMeansHalfWidth]])</f>
        <v>0.17474003459724646</v>
      </c>
    </row>
    <row r="43" spans="1:21" x14ac:dyDescent="0.3">
      <c r="A43" t="s">
        <v>66</v>
      </c>
      <c r="B43" t="s">
        <v>68</v>
      </c>
      <c r="C43">
        <v>2</v>
      </c>
      <c r="D43" t="s">
        <v>101</v>
      </c>
      <c r="E43" t="s">
        <v>102</v>
      </c>
      <c r="F43" t="s">
        <v>103</v>
      </c>
      <c r="G43">
        <v>0.25945894132650299</v>
      </c>
      <c r="H43">
        <v>2E+20</v>
      </c>
      <c r="I43">
        <v>0</v>
      </c>
      <c r="J43">
        <v>1</v>
      </c>
      <c r="K43">
        <v>0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ProjectInterautoInstantaneous UtilizationResource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10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0.26535205929836458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2.5807993647623796E-2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1.8461926485074727E-2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0.20483176768320299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0.29552077299252399</v>
      </c>
      <c r="U43">
        <f>IF((ContinuousStatsTable[[#This Row],[RepsRequested]]&gt;1),ContinuousStatsTable[[#This Row],[HalfWidth]],ContinuousStatsTable[[#This Row],[BatchMeansHalfWidth]])</f>
        <v>1.8461926485074727E-2</v>
      </c>
    </row>
    <row r="44" spans="1:21" x14ac:dyDescent="0.3">
      <c r="A44" t="s">
        <v>66</v>
      </c>
      <c r="B44" t="s">
        <v>68</v>
      </c>
      <c r="C44">
        <v>2</v>
      </c>
      <c r="D44" t="s">
        <v>101</v>
      </c>
      <c r="E44" t="s">
        <v>104</v>
      </c>
      <c r="F44" t="s">
        <v>103</v>
      </c>
      <c r="G44">
        <v>0.25945894132650299</v>
      </c>
      <c r="H44">
        <v>2E+20</v>
      </c>
      <c r="I44">
        <v>0</v>
      </c>
      <c r="J44">
        <v>1</v>
      </c>
      <c r="K44">
        <v>0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ProjectInterautoNumber BusyResource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10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0.26535205929836458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2.5807993647623796E-2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1.8461926485074727E-2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0.20483176768320299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0.29552077299252399</v>
      </c>
      <c r="U44">
        <f>IF((ContinuousStatsTable[[#This Row],[RepsRequested]]&gt;1),ContinuousStatsTable[[#This Row],[HalfWidth]],ContinuousStatsTable[[#This Row],[BatchMeansHalfWidth]])</f>
        <v>1.8461926485074727E-2</v>
      </c>
    </row>
    <row r="45" spans="1:21" x14ac:dyDescent="0.3">
      <c r="A45" t="s">
        <v>66</v>
      </c>
      <c r="B45" t="s">
        <v>68</v>
      </c>
      <c r="C45">
        <v>2</v>
      </c>
      <c r="D45" t="s">
        <v>101</v>
      </c>
      <c r="E45" t="s">
        <v>105</v>
      </c>
      <c r="F45" t="s">
        <v>103</v>
      </c>
      <c r="G45">
        <v>1</v>
      </c>
      <c r="H45">
        <v>2E+20</v>
      </c>
      <c r="I45">
        <v>1</v>
      </c>
      <c r="J45">
        <v>1</v>
      </c>
      <c r="K45">
        <v>1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ProjectInterautoNumber ScheduledResource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10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1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1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1</v>
      </c>
      <c r="U45">
        <f>IF((ContinuousStatsTable[[#This Row],[RepsRequested]]&gt;1),ContinuousStatsTable[[#This Row],[HalfWidth]],ContinuousStatsTable[[#This Row],[BatchMeansHalfWidth]])</f>
        <v>0</v>
      </c>
    </row>
    <row r="46" spans="1:21" x14ac:dyDescent="0.3">
      <c r="A46" t="s">
        <v>66</v>
      </c>
      <c r="B46" t="s">
        <v>68</v>
      </c>
      <c r="C46">
        <v>2</v>
      </c>
      <c r="D46" t="s">
        <v>80</v>
      </c>
      <c r="E46" t="s">
        <v>99</v>
      </c>
      <c r="F46" t="s">
        <v>71</v>
      </c>
      <c r="G46">
        <v>0.180310396862502</v>
      </c>
      <c r="H46">
        <v>4.0442225136576297E-2</v>
      </c>
      <c r="I46">
        <v>0</v>
      </c>
      <c r="J46">
        <v>4</v>
      </c>
      <c r="K46">
        <v>1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ProjectLeave 1.QueueNumber WaitingQueue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10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0.20353568461890376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2.6549184575613477E-2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1.899214253405495E-2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0.168502364443611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0.24578450490959</v>
      </c>
      <c r="U46">
        <f>IF((ContinuousStatsTable[[#This Row],[RepsRequested]]&gt;1),ContinuousStatsTable[[#This Row],[HalfWidth]],ContinuousStatsTable[[#This Row],[BatchMeansHalfWidth]])</f>
        <v>1.899214253405495E-2</v>
      </c>
    </row>
    <row r="47" spans="1:21" x14ac:dyDescent="0.3">
      <c r="A47" t="s">
        <v>66</v>
      </c>
      <c r="B47" t="s">
        <v>68</v>
      </c>
      <c r="C47">
        <v>2</v>
      </c>
      <c r="D47" t="s">
        <v>81</v>
      </c>
      <c r="E47" t="s">
        <v>99</v>
      </c>
      <c r="F47" t="s">
        <v>71</v>
      </c>
      <c r="G47">
        <v>4.3748489956124499E-3</v>
      </c>
      <c r="H47">
        <v>2E+20</v>
      </c>
      <c r="I47">
        <v>0</v>
      </c>
      <c r="J47">
        <v>1</v>
      </c>
      <c r="K47">
        <v>0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ProjectLeave 4.QueueNumber WaitingQueue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10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4.8729672989697272E-3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9.2135939256816457E-4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6.5910080435457321E-4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3.2012309459038099E-3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6.0338305270789001E-3</v>
      </c>
      <c r="U47">
        <f>IF((ContinuousStatsTable[[#This Row],[RepsRequested]]&gt;1),ContinuousStatsTable[[#This Row],[HalfWidth]],ContinuousStatsTable[[#This Row],[BatchMeansHalfWidth]])</f>
        <v>6.5910080435457321E-4</v>
      </c>
    </row>
    <row r="48" spans="1:21" x14ac:dyDescent="0.3">
      <c r="A48" t="s">
        <v>66</v>
      </c>
      <c r="B48" t="s">
        <v>68</v>
      </c>
      <c r="C48">
        <v>2</v>
      </c>
      <c r="D48" t="s">
        <v>82</v>
      </c>
      <c r="E48" t="s">
        <v>99</v>
      </c>
      <c r="F48" t="s">
        <v>71</v>
      </c>
      <c r="G48">
        <v>4.33489577344668E-2</v>
      </c>
      <c r="H48">
        <v>8.4837843293313498E-3</v>
      </c>
      <c r="I48">
        <v>0</v>
      </c>
      <c r="J48">
        <v>3</v>
      </c>
      <c r="K48">
        <v>0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ProjectLeave 5.QueueNumber WaitingQueue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10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4.8788152574119628E-2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5.3039270336942244E-3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3.7942008323176655E-3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4.1058101580258903E-2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5.6386723112129902E-2</v>
      </c>
      <c r="U48">
        <f>IF((ContinuousStatsTable[[#This Row],[RepsRequested]]&gt;1),ContinuousStatsTable[[#This Row],[HalfWidth]],ContinuousStatsTable[[#This Row],[BatchMeansHalfWidth]])</f>
        <v>3.7942008323176655E-3</v>
      </c>
    </row>
    <row r="49" spans="1:21" x14ac:dyDescent="0.3">
      <c r="A49" t="s">
        <v>66</v>
      </c>
      <c r="B49" t="s">
        <v>68</v>
      </c>
      <c r="C49">
        <v>2</v>
      </c>
      <c r="D49" t="s">
        <v>83</v>
      </c>
      <c r="E49" t="s">
        <v>99</v>
      </c>
      <c r="F49" t="s">
        <v>71</v>
      </c>
      <c r="G49">
        <v>3.2439602390038399E-3</v>
      </c>
      <c r="H49">
        <v>2E+20</v>
      </c>
      <c r="I49">
        <v>0</v>
      </c>
      <c r="J49">
        <v>1</v>
      </c>
      <c r="K49">
        <v>0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ProjectLeave 6.QueueNumber WaitingQueue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10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3.227619592382791E-3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1.5087685522347895E-3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1.0793080033525183E-3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4.7201486102630699E-4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6.2452549613019898E-3</v>
      </c>
      <c r="U49">
        <f>IF((ContinuousStatsTable[[#This Row],[RepsRequested]]&gt;1),ContinuousStatsTable[[#This Row],[HalfWidth]],ContinuousStatsTable[[#This Row],[BatchMeansHalfWidth]])</f>
        <v>1.0793080033525183E-3</v>
      </c>
    </row>
    <row r="50" spans="1:21" x14ac:dyDescent="0.3">
      <c r="A50" t="s">
        <v>66</v>
      </c>
      <c r="B50" t="s">
        <v>68</v>
      </c>
      <c r="C50">
        <v>2</v>
      </c>
      <c r="D50" t="s">
        <v>84</v>
      </c>
      <c r="E50" t="s">
        <v>99</v>
      </c>
      <c r="F50" t="s">
        <v>71</v>
      </c>
      <c r="G50">
        <v>4.6733329028163899E-2</v>
      </c>
      <c r="H50">
        <v>2E+20</v>
      </c>
      <c r="I50">
        <v>0</v>
      </c>
      <c r="J50">
        <v>3</v>
      </c>
      <c r="K50">
        <v>0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ProjectLeave 7.QueueNumber WaitingQueue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10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5.9441954240945373E-2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1.1519407308393107E-2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8.2404875707479553E-3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4.5386728660866099E-2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7.8633362228088005E-2</v>
      </c>
      <c r="U50">
        <f>IF((ContinuousStatsTable[[#This Row],[RepsRequested]]&gt;1),ContinuousStatsTable[[#This Row],[HalfWidth]],ContinuousStatsTable[[#This Row],[BatchMeansHalfWidth]])</f>
        <v>8.2404875707479553E-3</v>
      </c>
    </row>
    <row r="51" spans="1:21" x14ac:dyDescent="0.3">
      <c r="A51" t="s">
        <v>66</v>
      </c>
      <c r="B51" t="s">
        <v>68</v>
      </c>
      <c r="C51">
        <v>2</v>
      </c>
      <c r="D51" t="s">
        <v>85</v>
      </c>
      <c r="E51" t="s">
        <v>99</v>
      </c>
      <c r="F51" t="s">
        <v>71</v>
      </c>
      <c r="G51">
        <v>1.4902441991966201E-3</v>
      </c>
      <c r="H51">
        <v>2E+20</v>
      </c>
      <c r="I51">
        <v>0</v>
      </c>
      <c r="J51">
        <v>1</v>
      </c>
      <c r="K51">
        <v>0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ProjectLeave 8.QueueNumber WaitingQueue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10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2.1217771776478596E-3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8.0254950645480523E-4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5.7410933182579346E-4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9.0451064743319795E-4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3.5490296241417699E-3</v>
      </c>
      <c r="U51">
        <f>IF((ContinuousStatsTable[[#This Row],[RepsRequested]]&gt;1),ContinuousStatsTable[[#This Row],[HalfWidth]],ContinuousStatsTable[[#This Row],[BatchMeansHalfWidth]])</f>
        <v>5.7410933182579346E-4</v>
      </c>
    </row>
    <row r="52" spans="1:21" x14ac:dyDescent="0.3">
      <c r="A52" t="s">
        <v>66</v>
      </c>
      <c r="B52" t="s">
        <v>68</v>
      </c>
      <c r="C52">
        <v>2</v>
      </c>
      <c r="D52" t="s">
        <v>86</v>
      </c>
      <c r="E52" t="s">
        <v>99</v>
      </c>
      <c r="F52" t="s">
        <v>71</v>
      </c>
      <c r="G52">
        <v>1.2593880115666701E-3</v>
      </c>
      <c r="H52">
        <v>2E+20</v>
      </c>
      <c r="I52">
        <v>0</v>
      </c>
      <c r="J52">
        <v>1</v>
      </c>
      <c r="K52">
        <v>0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ProjectLeave 9.QueueNumber WaitingQueue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10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1.3877246767065991E-3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7.1875981577935533E-4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5.1416979795196457E-4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2.8555279956142001E-4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2.50186012594582E-3</v>
      </c>
      <c r="U52">
        <f>IF((ContinuousStatsTable[[#This Row],[RepsRequested]]&gt;1),ContinuousStatsTable[[#This Row],[HalfWidth]],ContinuousStatsTable[[#This Row],[BatchMeansHalfWidth]])</f>
        <v>5.1416979795196457E-4</v>
      </c>
    </row>
    <row r="53" spans="1:21" x14ac:dyDescent="0.3">
      <c r="A53" t="s">
        <v>66</v>
      </c>
      <c r="B53" t="s">
        <v>68</v>
      </c>
      <c r="C53">
        <v>2</v>
      </c>
      <c r="D53" t="s">
        <v>87</v>
      </c>
      <c r="E53" t="s">
        <v>100</v>
      </c>
      <c r="F53" t="s">
        <v>74</v>
      </c>
      <c r="G53">
        <v>11.6054432234115</v>
      </c>
      <c r="H53">
        <v>3E+20</v>
      </c>
      <c r="I53">
        <v>0</v>
      </c>
      <c r="J53">
        <v>25</v>
      </c>
      <c r="K53">
        <v>15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ProjectMaleta InternacionalWIPEntity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10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13.037689788098451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1.9631643885071912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1.4043632028742961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10.277307754823401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16.425571484417201</v>
      </c>
      <c r="U53">
        <f>IF((ContinuousStatsTable[[#This Row],[RepsRequested]]&gt;1),ContinuousStatsTable[[#This Row],[HalfWidth]],ContinuousStatsTable[[#This Row],[BatchMeansHalfWidth]])</f>
        <v>1.4043632028742961</v>
      </c>
    </row>
    <row r="54" spans="1:21" x14ac:dyDescent="0.3">
      <c r="A54" t="s">
        <v>66</v>
      </c>
      <c r="B54" t="s">
        <v>68</v>
      </c>
      <c r="C54">
        <v>2</v>
      </c>
      <c r="D54" t="s">
        <v>88</v>
      </c>
      <c r="E54" t="s">
        <v>100</v>
      </c>
      <c r="F54" t="s">
        <v>74</v>
      </c>
      <c r="G54">
        <v>2.5733271363434098</v>
      </c>
      <c r="H54">
        <v>2E+20</v>
      </c>
      <c r="I54">
        <v>0</v>
      </c>
      <c r="J54">
        <v>9</v>
      </c>
      <c r="K54">
        <v>4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ProjectMaleta NacionalWIPEntity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10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2.7356580954557046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0.24675556542769644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0.17651829781539885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2.4605296674942401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3.2916533376655202</v>
      </c>
      <c r="U54">
        <f>IF((ContinuousStatsTable[[#This Row],[RepsRequested]]&gt;1),ContinuousStatsTable[[#This Row],[HalfWidth]],ContinuousStatsTable[[#This Row],[BatchMeansHalfWidth]])</f>
        <v>0.17651829781539885</v>
      </c>
    </row>
    <row r="55" spans="1:21" x14ac:dyDescent="0.3">
      <c r="A55" t="s">
        <v>66</v>
      </c>
      <c r="B55" t="s">
        <v>68</v>
      </c>
      <c r="C55">
        <v>2</v>
      </c>
      <c r="D55" t="s">
        <v>106</v>
      </c>
      <c r="E55" t="s">
        <v>102</v>
      </c>
      <c r="F55" t="s">
        <v>103</v>
      </c>
      <c r="G55">
        <v>0.68944986969492195</v>
      </c>
      <c r="H55">
        <v>2E+20</v>
      </c>
      <c r="I55">
        <v>0</v>
      </c>
      <c r="J55">
        <v>1</v>
      </c>
      <c r="K55">
        <v>1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ProjectNacionalautoInstantaneous UtilizationResource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10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0.73175058451933661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6.0813477412386734E-2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4.3503341043041877E-2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0.64995347349336796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0.82581624655093899</v>
      </c>
      <c r="U55">
        <f>IF((ContinuousStatsTable[[#This Row],[RepsRequested]]&gt;1),ContinuousStatsTable[[#This Row],[HalfWidth]],ContinuousStatsTable[[#This Row],[BatchMeansHalfWidth]])</f>
        <v>4.3503341043041877E-2</v>
      </c>
    </row>
    <row r="56" spans="1:21" x14ac:dyDescent="0.3">
      <c r="A56" t="s">
        <v>66</v>
      </c>
      <c r="B56" t="s">
        <v>68</v>
      </c>
      <c r="C56">
        <v>2</v>
      </c>
      <c r="D56" t="s">
        <v>106</v>
      </c>
      <c r="E56" t="s">
        <v>104</v>
      </c>
      <c r="F56" t="s">
        <v>103</v>
      </c>
      <c r="G56">
        <v>0.68944986969492195</v>
      </c>
      <c r="H56">
        <v>2E+20</v>
      </c>
      <c r="I56">
        <v>0</v>
      </c>
      <c r="J56">
        <v>1</v>
      </c>
      <c r="K56">
        <v>1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ProjectNacionalautoNumber BusyResource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10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0.73175058451933661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6.0813477412386734E-2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4.3503341043041877E-2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0.64995347349336796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0.82581624655093899</v>
      </c>
      <c r="U56">
        <f>IF((ContinuousStatsTable[[#This Row],[RepsRequested]]&gt;1),ContinuousStatsTable[[#This Row],[HalfWidth]],ContinuousStatsTable[[#This Row],[BatchMeansHalfWidth]])</f>
        <v>4.3503341043041877E-2</v>
      </c>
    </row>
    <row r="57" spans="1:21" x14ac:dyDescent="0.3">
      <c r="A57" t="s">
        <v>66</v>
      </c>
      <c r="B57" t="s">
        <v>68</v>
      </c>
      <c r="C57">
        <v>2</v>
      </c>
      <c r="D57" t="s">
        <v>106</v>
      </c>
      <c r="E57" t="s">
        <v>105</v>
      </c>
      <c r="F57" t="s">
        <v>103</v>
      </c>
      <c r="G57">
        <v>1</v>
      </c>
      <c r="H57">
        <v>2E+20</v>
      </c>
      <c r="I57">
        <v>1</v>
      </c>
      <c r="J57">
        <v>1</v>
      </c>
      <c r="K57">
        <v>1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ProjectNacionalautoNumber ScheduledResource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10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1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1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1</v>
      </c>
      <c r="U57">
        <f>IF((ContinuousStatsTable[[#This Row],[RepsRequested]]&gt;1),ContinuousStatsTable[[#This Row],[HalfWidth]],ContinuousStatsTable[[#This Row],[BatchMeansHalfWidth]])</f>
        <v>0</v>
      </c>
    </row>
    <row r="58" spans="1:21" x14ac:dyDescent="0.3">
      <c r="A58" t="s">
        <v>66</v>
      </c>
      <c r="B58" t="s">
        <v>68</v>
      </c>
      <c r="C58">
        <v>2</v>
      </c>
      <c r="D58" t="s">
        <v>107</v>
      </c>
      <c r="E58" t="s">
        <v>102</v>
      </c>
      <c r="F58" t="s">
        <v>103</v>
      </c>
      <c r="G58">
        <v>7.5522136747554799E-2</v>
      </c>
      <c r="H58">
        <v>1.21068996294791E-2</v>
      </c>
      <c r="I58">
        <v>0</v>
      </c>
      <c r="J58">
        <v>1</v>
      </c>
      <c r="K58">
        <v>0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ProjectOperarios AvionInstantaneous UtilizationResource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10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7.5958437118625627E-2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5.0572810112240948E-3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3.6177608968134627E-3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6.7485948117393404E-2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8.7852447587946303E-2</v>
      </c>
      <c r="U58">
        <f>IF((ContinuousStatsTable[[#This Row],[RepsRequested]]&gt;1),ContinuousStatsTable[[#This Row],[HalfWidth]],ContinuousStatsTable[[#This Row],[BatchMeansHalfWidth]])</f>
        <v>3.6177608968134627E-3</v>
      </c>
    </row>
    <row r="59" spans="1:21" x14ac:dyDescent="0.3">
      <c r="A59" t="s">
        <v>66</v>
      </c>
      <c r="B59" t="s">
        <v>68</v>
      </c>
      <c r="C59">
        <v>2</v>
      </c>
      <c r="D59" t="s">
        <v>107</v>
      </c>
      <c r="E59" t="s">
        <v>104</v>
      </c>
      <c r="F59" t="s">
        <v>103</v>
      </c>
      <c r="G59">
        <v>0.15104427349510999</v>
      </c>
      <c r="H59">
        <v>2.42137992589582E-2</v>
      </c>
      <c r="I59">
        <v>0</v>
      </c>
      <c r="J59">
        <v>2</v>
      </c>
      <c r="K59">
        <v>0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ProjectOperarios AvionNumber BusyResource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10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0.1519168742372512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1.0114562022448264E-2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7.2355217936269783E-3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0.134971896234787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0.17570489517589299</v>
      </c>
      <c r="U59">
        <f>IF((ContinuousStatsTable[[#This Row],[RepsRequested]]&gt;1),ContinuousStatsTable[[#This Row],[HalfWidth]],ContinuousStatsTable[[#This Row],[BatchMeansHalfWidth]])</f>
        <v>7.2355217936269783E-3</v>
      </c>
    </row>
    <row r="60" spans="1:21" x14ac:dyDescent="0.3">
      <c r="A60" t="s">
        <v>66</v>
      </c>
      <c r="B60" t="s">
        <v>68</v>
      </c>
      <c r="C60">
        <v>2</v>
      </c>
      <c r="D60" t="s">
        <v>107</v>
      </c>
      <c r="E60" t="s">
        <v>105</v>
      </c>
      <c r="F60" t="s">
        <v>103</v>
      </c>
      <c r="G60">
        <v>2</v>
      </c>
      <c r="H60">
        <v>2E+20</v>
      </c>
      <c r="I60">
        <v>2</v>
      </c>
      <c r="J60">
        <v>2</v>
      </c>
      <c r="K60">
        <v>2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ProjectOperarios AvionNumber ScheduledResource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10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2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2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2</v>
      </c>
      <c r="U60">
        <f>IF((ContinuousStatsTable[[#This Row],[RepsRequested]]&gt;1),ContinuousStatsTable[[#This Row],[HalfWidth]],ContinuousStatsTable[[#This Row],[BatchMeansHalfWidth]])</f>
        <v>0</v>
      </c>
    </row>
    <row r="61" spans="1:21" x14ac:dyDescent="0.3">
      <c r="A61" t="s">
        <v>66</v>
      </c>
      <c r="B61" t="s">
        <v>68</v>
      </c>
      <c r="C61">
        <v>2</v>
      </c>
      <c r="D61" t="s">
        <v>108</v>
      </c>
      <c r="E61" t="s">
        <v>102</v>
      </c>
      <c r="F61" t="s">
        <v>103</v>
      </c>
      <c r="G61">
        <v>0.35108547037536902</v>
      </c>
      <c r="H61">
        <v>2E+20</v>
      </c>
      <c r="I61">
        <v>0</v>
      </c>
      <c r="J61">
        <v>1</v>
      </c>
      <c r="K61">
        <v>0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ProjectcajeraInstantaneous UtilizationResource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10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0.38078385056341441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5.6481911326734656E-2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4.040472533000234E-2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0.28913636698845602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0.46134650546047301</v>
      </c>
      <c r="U61">
        <f>IF((ContinuousStatsTable[[#This Row],[RepsRequested]]&gt;1),ContinuousStatsTable[[#This Row],[HalfWidth]],ContinuousStatsTable[[#This Row],[BatchMeansHalfWidth]])</f>
        <v>4.040472533000234E-2</v>
      </c>
    </row>
    <row r="62" spans="1:21" x14ac:dyDescent="0.3">
      <c r="A62" t="s">
        <v>66</v>
      </c>
      <c r="B62" t="s">
        <v>68</v>
      </c>
      <c r="C62">
        <v>2</v>
      </c>
      <c r="D62" t="s">
        <v>108</v>
      </c>
      <c r="E62" t="s">
        <v>104</v>
      </c>
      <c r="F62" t="s">
        <v>103</v>
      </c>
      <c r="G62">
        <v>0.35108547037536902</v>
      </c>
      <c r="H62">
        <v>2E+20</v>
      </c>
      <c r="I62">
        <v>0</v>
      </c>
      <c r="J62">
        <v>1</v>
      </c>
      <c r="K62">
        <v>0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ProjectcajeraNumber BusyResource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10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0.38078385056341441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5.6481911326734656E-2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4.040472533000234E-2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0.28913636698845602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0.46134650546047301</v>
      </c>
      <c r="U62">
        <f>IF((ContinuousStatsTable[[#This Row],[RepsRequested]]&gt;1),ContinuousStatsTable[[#This Row],[HalfWidth]],ContinuousStatsTable[[#This Row],[BatchMeansHalfWidth]])</f>
        <v>4.040472533000234E-2</v>
      </c>
    </row>
    <row r="63" spans="1:21" x14ac:dyDescent="0.3">
      <c r="A63" t="s">
        <v>66</v>
      </c>
      <c r="B63" t="s">
        <v>68</v>
      </c>
      <c r="C63">
        <v>2</v>
      </c>
      <c r="D63" t="s">
        <v>108</v>
      </c>
      <c r="E63" t="s">
        <v>105</v>
      </c>
      <c r="F63" t="s">
        <v>103</v>
      </c>
      <c r="G63">
        <v>1</v>
      </c>
      <c r="H63">
        <v>2E+20</v>
      </c>
      <c r="I63">
        <v>1</v>
      </c>
      <c r="J63">
        <v>1</v>
      </c>
      <c r="K63">
        <v>1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ProjectcajeraNumber ScheduledResource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10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1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0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1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1</v>
      </c>
      <c r="U63">
        <f>IF((ContinuousStatsTable[[#This Row],[RepsRequested]]&gt;1),ContinuousStatsTable[[#This Row],[HalfWidth]],ContinuousStatsTable[[#This Row],[BatchMeansHalfWidth]])</f>
        <v>0</v>
      </c>
    </row>
    <row r="64" spans="1:21" x14ac:dyDescent="0.3">
      <c r="A64" t="s">
        <v>66</v>
      </c>
      <c r="B64" t="s">
        <v>68</v>
      </c>
      <c r="C64">
        <v>2</v>
      </c>
      <c r="D64" t="s">
        <v>109</v>
      </c>
      <c r="E64" t="s">
        <v>102</v>
      </c>
      <c r="F64" t="s">
        <v>103</v>
      </c>
      <c r="G64">
        <v>0.74845428172863504</v>
      </c>
      <c r="H64">
        <v>2E+20</v>
      </c>
      <c r="I64">
        <v>0</v>
      </c>
      <c r="J64">
        <v>1</v>
      </c>
      <c r="K64">
        <v>1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Projectcajera2Instantaneous UtilizationResource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10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0.73571117943508912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2.3945213257811505E-2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1.7129373668915777E-2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0.69752119636771104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0.77845968782647601</v>
      </c>
      <c r="U64">
        <f>IF((ContinuousStatsTable[[#This Row],[RepsRequested]]&gt;1),ContinuousStatsTable[[#This Row],[HalfWidth]],ContinuousStatsTable[[#This Row],[BatchMeansHalfWidth]])</f>
        <v>1.7129373668915777E-2</v>
      </c>
    </row>
    <row r="65" spans="1:21" x14ac:dyDescent="0.3">
      <c r="A65" t="s">
        <v>66</v>
      </c>
      <c r="B65" t="s">
        <v>68</v>
      </c>
      <c r="C65">
        <v>2</v>
      </c>
      <c r="D65" t="s">
        <v>109</v>
      </c>
      <c r="E65" t="s">
        <v>104</v>
      </c>
      <c r="F65" t="s">
        <v>103</v>
      </c>
      <c r="G65">
        <v>0.74845428172863504</v>
      </c>
      <c r="H65">
        <v>2E+20</v>
      </c>
      <c r="I65">
        <v>0</v>
      </c>
      <c r="J65">
        <v>1</v>
      </c>
      <c r="K65">
        <v>1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Projectcajera2Number BusyResource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10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0.73571117943508912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2.3945213257811505E-2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1.7129373668915777E-2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0.69752119636771104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0.77845968782647601</v>
      </c>
      <c r="U65">
        <f>IF((ContinuousStatsTable[[#This Row],[RepsRequested]]&gt;1),ContinuousStatsTable[[#This Row],[HalfWidth]],ContinuousStatsTable[[#This Row],[BatchMeansHalfWidth]])</f>
        <v>1.7129373668915777E-2</v>
      </c>
    </row>
    <row r="66" spans="1:21" x14ac:dyDescent="0.3">
      <c r="A66" t="s">
        <v>66</v>
      </c>
      <c r="B66" t="s">
        <v>68</v>
      </c>
      <c r="C66">
        <v>2</v>
      </c>
      <c r="D66" t="s">
        <v>109</v>
      </c>
      <c r="E66" t="s">
        <v>105</v>
      </c>
      <c r="F66" t="s">
        <v>103</v>
      </c>
      <c r="G66">
        <v>1</v>
      </c>
      <c r="H66">
        <v>2E+20</v>
      </c>
      <c r="I66">
        <v>1</v>
      </c>
      <c r="J66">
        <v>1</v>
      </c>
      <c r="K66">
        <v>1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Projectcajera2Number ScheduledResource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10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1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1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1</v>
      </c>
      <c r="U66">
        <f>IF((ContinuousStatsTable[[#This Row],[RepsRequested]]&gt;1),ContinuousStatsTable[[#This Row],[HalfWidth]],ContinuousStatsTable[[#This Row],[BatchMeansHalfWidth]])</f>
        <v>0</v>
      </c>
    </row>
    <row r="67" spans="1:21" x14ac:dyDescent="0.3">
      <c r="A67" t="s">
        <v>66</v>
      </c>
      <c r="B67" t="s">
        <v>68</v>
      </c>
      <c r="C67">
        <v>2</v>
      </c>
      <c r="D67" t="s">
        <v>93</v>
      </c>
      <c r="E67" t="s">
        <v>99</v>
      </c>
      <c r="F67" t="s">
        <v>71</v>
      </c>
      <c r="G67">
        <v>0.128776095520408</v>
      </c>
      <c r="H67">
        <v>2E+20</v>
      </c>
      <c r="I67">
        <v>0</v>
      </c>
      <c r="J67">
        <v>3</v>
      </c>
      <c r="K67">
        <v>0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Projectmanualinter.QueueNumber WaitingQueue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10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0.33257710094571935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0.27159595138606457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0.19428803945769421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4.88437833500961E-2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0.95917715937716497</v>
      </c>
      <c r="U67">
        <f>IF((ContinuousStatsTable[[#This Row],[RepsRequested]]&gt;1),ContinuousStatsTable[[#This Row],[HalfWidth]],ContinuousStatsTable[[#This Row],[BatchMeansHalfWidth]])</f>
        <v>0.19428803945769421</v>
      </c>
    </row>
    <row r="68" spans="1:21" x14ac:dyDescent="0.3">
      <c r="A68" t="s">
        <v>66</v>
      </c>
      <c r="B68" t="s">
        <v>68</v>
      </c>
      <c r="C68">
        <v>2</v>
      </c>
      <c r="D68" t="s">
        <v>94</v>
      </c>
      <c r="E68" t="s">
        <v>99</v>
      </c>
      <c r="F68" t="s">
        <v>71</v>
      </c>
      <c r="G68">
        <v>0</v>
      </c>
      <c r="H68">
        <v>2E+20</v>
      </c>
      <c r="I68">
        <v>0</v>
      </c>
      <c r="J68">
        <v>0</v>
      </c>
      <c r="K68">
        <v>0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Projectmanualnaciona.QueueNumber WaitingQueue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10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2.2437109622866062E-3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6.4095428429067599E-3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4.5851107367881972E-3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0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2.0447096127880302E-2</v>
      </c>
      <c r="U68">
        <f>IF((ContinuousStatsTable[[#This Row],[RepsRequested]]&gt;1),ContinuousStatsTable[[#This Row],[HalfWidth]],ContinuousStatsTable[[#This Row],[BatchMeansHalfWidth]])</f>
        <v>4.5851107367881972E-3</v>
      </c>
    </row>
    <row r="69" spans="1:21" x14ac:dyDescent="0.3">
      <c r="A69" t="s">
        <v>66</v>
      </c>
      <c r="B69" t="s">
        <v>68</v>
      </c>
      <c r="C69">
        <v>2</v>
      </c>
      <c r="D69" t="s">
        <v>95</v>
      </c>
      <c r="E69" t="s">
        <v>99</v>
      </c>
      <c r="F69" t="s">
        <v>71</v>
      </c>
      <c r="G69">
        <v>2.0751339851011399</v>
      </c>
      <c r="H69">
        <v>3E+20</v>
      </c>
      <c r="I69">
        <v>0</v>
      </c>
      <c r="J69">
        <v>14</v>
      </c>
      <c r="K69">
        <v>1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Projectmaquinainter.QueueNumber WaitingQueue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10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2.7250893633296323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1.2704307292922721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0.90881139575657477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1.35760259855807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5.2621649076821404</v>
      </c>
      <c r="U69">
        <f>IF((ContinuousStatsTable[[#This Row],[RepsRequested]]&gt;1),ContinuousStatsTable[[#This Row],[HalfWidth]],ContinuousStatsTable[[#This Row],[BatchMeansHalfWidth]])</f>
        <v>0.90881139575657477</v>
      </c>
    </row>
    <row r="70" spans="1:21" x14ac:dyDescent="0.3">
      <c r="A70" t="s">
        <v>66</v>
      </c>
      <c r="B70" t="s">
        <v>68</v>
      </c>
      <c r="C70">
        <v>2</v>
      </c>
      <c r="D70" t="s">
        <v>96</v>
      </c>
      <c r="E70" t="s">
        <v>99</v>
      </c>
      <c r="F70" t="s">
        <v>71</v>
      </c>
      <c r="G70">
        <v>0.224753887209653</v>
      </c>
      <c r="H70">
        <v>2E+20</v>
      </c>
      <c r="I70">
        <v>0</v>
      </c>
      <c r="J70">
        <v>4</v>
      </c>
      <c r="K70">
        <v>0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Projectmaquinanacional.QueueNumber WaitingQueue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10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0.20327393268399513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5.4678802003311266E-2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3.9114858623271326E-2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9.7152989948067606E-2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0.28694483715654301</v>
      </c>
      <c r="U70">
        <f>IF((ContinuousStatsTable[[#This Row],[RepsRequested]]&gt;1),ContinuousStatsTable[[#This Row],[HalfWidth]],ContinuousStatsTable[[#This Row],[BatchMeansHalfWidth]])</f>
        <v>3.9114858623271326E-2</v>
      </c>
    </row>
    <row r="71" spans="1:21" x14ac:dyDescent="0.3">
      <c r="A71" t="s">
        <v>66</v>
      </c>
      <c r="B71" t="s">
        <v>68</v>
      </c>
      <c r="C71">
        <v>2</v>
      </c>
      <c r="D71" t="s">
        <v>97</v>
      </c>
      <c r="E71" t="s">
        <v>99</v>
      </c>
      <c r="F71" t="s">
        <v>71</v>
      </c>
      <c r="G71">
        <v>0.20574348621195601</v>
      </c>
      <c r="H71">
        <v>2E+20</v>
      </c>
      <c r="I71">
        <v>0</v>
      </c>
      <c r="J71">
        <v>3</v>
      </c>
      <c r="K71">
        <v>0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Projectmostrador1.QueueNumber WaitingQueue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10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0.25365601436241814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9.7306237195948719E-2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6.9608688772141478E-2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0.124078487063659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0.381680898629085</v>
      </c>
      <c r="U71">
        <f>IF((ContinuousStatsTable[[#This Row],[RepsRequested]]&gt;1),ContinuousStatsTable[[#This Row],[HalfWidth]],ContinuousStatsTable[[#This Row],[BatchMeansHalfWidth]])</f>
        <v>6.9608688772141478E-2</v>
      </c>
    </row>
    <row r="72" spans="1:21" x14ac:dyDescent="0.3">
      <c r="A72" t="s">
        <v>66</v>
      </c>
      <c r="B72" t="s">
        <v>68</v>
      </c>
      <c r="C72">
        <v>2</v>
      </c>
      <c r="D72" t="s">
        <v>98</v>
      </c>
      <c r="E72" t="s">
        <v>99</v>
      </c>
      <c r="F72" t="s">
        <v>71</v>
      </c>
      <c r="G72">
        <v>0.57987550776780805</v>
      </c>
      <c r="H72">
        <v>2E+20</v>
      </c>
      <c r="I72">
        <v>0</v>
      </c>
      <c r="J72">
        <v>4</v>
      </c>
      <c r="K72">
        <v>3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Projectmostrador2.QueueNumber WaitingQueue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10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0.56854078919795403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9.5876381195630939E-2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6.8585831407770567E-2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0.461258283509344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0.74281217456090598</v>
      </c>
      <c r="U72">
        <f>IF((ContinuousStatsTable[[#This Row],[RepsRequested]]&gt;1),ContinuousStatsTable[[#This Row],[HalfWidth]],ContinuousStatsTable[[#This Row],[BatchMeansHalfWidth]])</f>
        <v>6.8585831407770567E-2</v>
      </c>
    </row>
    <row r="73" spans="1:21" x14ac:dyDescent="0.3">
      <c r="A73" t="s">
        <v>66</v>
      </c>
      <c r="B73" t="s">
        <v>68</v>
      </c>
      <c r="C73">
        <v>2</v>
      </c>
      <c r="D73" t="s">
        <v>110</v>
      </c>
      <c r="E73" t="s">
        <v>100</v>
      </c>
      <c r="F73" t="s">
        <v>74</v>
      </c>
      <c r="G73">
        <v>0</v>
      </c>
      <c r="H73">
        <v>2E+20</v>
      </c>
      <c r="I73">
        <v>0</v>
      </c>
      <c r="J73">
        <v>0</v>
      </c>
      <c r="K73">
        <v>0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ProjectpersonaWIPEntity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10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0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0</v>
      </c>
      <c r="U73">
        <f>IF((ContinuousStatsTable[[#This Row],[RepsRequested]]&gt;1),ContinuousStatsTable[[#This Row],[HalfWidth]],ContinuousStatsTable[[#This Row],[BatchMeansHalfWidth]])</f>
        <v>0</v>
      </c>
    </row>
    <row r="74" spans="1:21" x14ac:dyDescent="0.3">
      <c r="A74" t="s">
        <v>66</v>
      </c>
      <c r="B74" t="s">
        <v>68</v>
      </c>
      <c r="C74">
        <v>2</v>
      </c>
      <c r="D74" t="s">
        <v>111</v>
      </c>
      <c r="E74" t="s">
        <v>102</v>
      </c>
      <c r="F74" t="s">
        <v>103</v>
      </c>
      <c r="G74">
        <v>8.8472374570180701E-2</v>
      </c>
      <c r="H74">
        <v>2E+20</v>
      </c>
      <c r="I74">
        <v>0</v>
      </c>
      <c r="J74">
        <v>1</v>
      </c>
      <c r="K74">
        <v>0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Projectregistro1Instantaneous UtilizationResource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10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5.6433247648491516E-2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2.4456082934732001E-2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1.7494827820351853E-2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2.1279401430778E-2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8.8472374570180701E-2</v>
      </c>
      <c r="U74">
        <f>IF((ContinuousStatsTable[[#This Row],[RepsRequested]]&gt;1),ContinuousStatsTable[[#This Row],[HalfWidth]],ContinuousStatsTable[[#This Row],[BatchMeansHalfWidth]])</f>
        <v>1.7494827820351853E-2</v>
      </c>
    </row>
    <row r="75" spans="1:21" x14ac:dyDescent="0.3">
      <c r="A75" t="s">
        <v>66</v>
      </c>
      <c r="B75" t="s">
        <v>68</v>
      </c>
      <c r="C75">
        <v>2</v>
      </c>
      <c r="D75" t="s">
        <v>111</v>
      </c>
      <c r="E75" t="s">
        <v>104</v>
      </c>
      <c r="F75" t="s">
        <v>103</v>
      </c>
      <c r="G75">
        <v>8.8472374570180701E-2</v>
      </c>
      <c r="H75">
        <v>2E+20</v>
      </c>
      <c r="I75">
        <v>0</v>
      </c>
      <c r="J75">
        <v>1</v>
      </c>
      <c r="K75">
        <v>0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Projectregistro1Number BusyResource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10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5.6433247648491516E-2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2.4456082934732001E-2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1.7494827820351853E-2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2.1279401430778E-2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8.8472374570180701E-2</v>
      </c>
      <c r="U75">
        <f>IF((ContinuousStatsTable[[#This Row],[RepsRequested]]&gt;1),ContinuousStatsTable[[#This Row],[HalfWidth]],ContinuousStatsTable[[#This Row],[BatchMeansHalfWidth]])</f>
        <v>1.7494827820351853E-2</v>
      </c>
    </row>
    <row r="76" spans="1:21" x14ac:dyDescent="0.3">
      <c r="A76" t="s">
        <v>66</v>
      </c>
      <c r="B76" t="s">
        <v>68</v>
      </c>
      <c r="C76">
        <v>2</v>
      </c>
      <c r="D76" t="s">
        <v>111</v>
      </c>
      <c r="E76" t="s">
        <v>105</v>
      </c>
      <c r="F76" t="s">
        <v>103</v>
      </c>
      <c r="G76">
        <v>1</v>
      </c>
      <c r="H76">
        <v>2E+20</v>
      </c>
      <c r="I76">
        <v>1</v>
      </c>
      <c r="J76">
        <v>1</v>
      </c>
      <c r="K76">
        <v>1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Projectregistro1Number ScheduledResource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10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1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0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1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1</v>
      </c>
      <c r="U76">
        <f>IF((ContinuousStatsTable[[#This Row],[RepsRequested]]&gt;1),ContinuousStatsTable[[#This Row],[HalfWidth]],ContinuousStatsTable[[#This Row],[BatchMeansHalfWidth]])</f>
        <v>0</v>
      </c>
    </row>
    <row r="77" spans="1:21" x14ac:dyDescent="0.3">
      <c r="A77" t="s">
        <v>66</v>
      </c>
      <c r="B77" t="s">
        <v>68</v>
      </c>
      <c r="C77">
        <v>2</v>
      </c>
      <c r="D77" t="s">
        <v>112</v>
      </c>
      <c r="E77" t="s">
        <v>102</v>
      </c>
      <c r="F77" t="s">
        <v>103</v>
      </c>
      <c r="G77">
        <v>0.49654893419644103</v>
      </c>
      <c r="H77">
        <v>2E+20</v>
      </c>
      <c r="I77">
        <v>0</v>
      </c>
      <c r="J77">
        <v>1</v>
      </c>
      <c r="K77">
        <v>0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Projectregistro2Instantaneous UtilizationResource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10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0.46274808587050231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9.1165192054027525E-2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6.5215649719990554E-2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0.338210899349628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0.66990172486561195</v>
      </c>
      <c r="U77">
        <f>IF((ContinuousStatsTable[[#This Row],[RepsRequested]]&gt;1),ContinuousStatsTable[[#This Row],[HalfWidth]],ContinuousStatsTable[[#This Row],[BatchMeansHalfWidth]])</f>
        <v>6.5215649719990554E-2</v>
      </c>
    </row>
    <row r="78" spans="1:21" x14ac:dyDescent="0.3">
      <c r="A78" t="s">
        <v>66</v>
      </c>
      <c r="B78" t="s">
        <v>68</v>
      </c>
      <c r="C78">
        <v>2</v>
      </c>
      <c r="D78" t="s">
        <v>112</v>
      </c>
      <c r="E78" t="s">
        <v>104</v>
      </c>
      <c r="F78" t="s">
        <v>103</v>
      </c>
      <c r="G78">
        <v>0.49654893419644103</v>
      </c>
      <c r="H78">
        <v>2E+20</v>
      </c>
      <c r="I78">
        <v>0</v>
      </c>
      <c r="J78">
        <v>1</v>
      </c>
      <c r="K78">
        <v>0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Projectregistro2Number BusyResource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10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0.46274808587050231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9.1165192054027525E-2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6.5215649719990554E-2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0.338210899349628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0.66990172486561195</v>
      </c>
      <c r="U78">
        <f>IF((ContinuousStatsTable[[#This Row],[RepsRequested]]&gt;1),ContinuousStatsTable[[#This Row],[HalfWidth]],ContinuousStatsTable[[#This Row],[BatchMeansHalfWidth]])</f>
        <v>6.5215649719990554E-2</v>
      </c>
    </row>
    <row r="79" spans="1:21" x14ac:dyDescent="0.3">
      <c r="A79" t="s">
        <v>66</v>
      </c>
      <c r="B79" t="s">
        <v>68</v>
      </c>
      <c r="C79">
        <v>2</v>
      </c>
      <c r="D79" t="s">
        <v>112</v>
      </c>
      <c r="E79" t="s">
        <v>105</v>
      </c>
      <c r="F79" t="s">
        <v>103</v>
      </c>
      <c r="G79">
        <v>1</v>
      </c>
      <c r="H79">
        <v>2E+20</v>
      </c>
      <c r="I79">
        <v>1</v>
      </c>
      <c r="J79">
        <v>1</v>
      </c>
      <c r="K79">
        <v>1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Projectregistro2Number ScheduledResource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10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1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1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1</v>
      </c>
      <c r="U79">
        <f>IF((ContinuousStatsTable[[#This Row],[RepsRequested]]&gt;1),ContinuousStatsTable[[#This Row],[HalfWidth]],ContinuousStatsTable[[#This Row],[BatchMeansHalfWidth]])</f>
        <v>0</v>
      </c>
    </row>
    <row r="80" spans="1:21" x14ac:dyDescent="0.3">
      <c r="A80" t="s">
        <v>66</v>
      </c>
      <c r="B80" t="s">
        <v>68</v>
      </c>
      <c r="C80">
        <v>3</v>
      </c>
      <c r="D80" t="s">
        <v>69</v>
      </c>
      <c r="E80" t="s">
        <v>99</v>
      </c>
      <c r="F80" t="s">
        <v>71</v>
      </c>
      <c r="G80">
        <v>0</v>
      </c>
      <c r="H80">
        <v>2E+20</v>
      </c>
      <c r="I80">
        <v>0</v>
      </c>
      <c r="J80">
        <v>0</v>
      </c>
      <c r="K80">
        <v>0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ProjectCargar Avion.QueueNumber WaitingQueue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10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4.3234278073230802E-4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8.6650685478403973E-4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6.1986166264068276E-4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0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2.8294284227636502E-3</v>
      </c>
      <c r="U80">
        <f>IF((ContinuousStatsTable[[#This Row],[RepsRequested]]&gt;1),ContinuousStatsTable[[#This Row],[HalfWidth]],ContinuousStatsTable[[#This Row],[BatchMeansHalfWidth]])</f>
        <v>6.1986166264068276E-4</v>
      </c>
    </row>
    <row r="81" spans="1:21" x14ac:dyDescent="0.3">
      <c r="A81" t="s">
        <v>66</v>
      </c>
      <c r="B81" t="s">
        <v>68</v>
      </c>
      <c r="C81">
        <v>3</v>
      </c>
      <c r="D81" t="s">
        <v>72</v>
      </c>
      <c r="E81" t="s">
        <v>100</v>
      </c>
      <c r="F81" t="s">
        <v>74</v>
      </c>
      <c r="G81">
        <v>1.7186764395674601</v>
      </c>
      <c r="H81">
        <v>0.25805551787322201</v>
      </c>
      <c r="I81">
        <v>0</v>
      </c>
      <c r="J81">
        <v>8</v>
      </c>
      <c r="K81">
        <v>0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10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1.938691833558875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0.24426972485872975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0.17474003459724646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1.6635577018983201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2.3099874805957801</v>
      </c>
      <c r="U81">
        <f>IF((ContinuousStatsTable[[#This Row],[RepsRequested]]&gt;1),ContinuousStatsTable[[#This Row],[HalfWidth]],ContinuousStatsTable[[#This Row],[BatchMeansHalfWidth]])</f>
        <v>0.17474003459724646</v>
      </c>
    </row>
    <row r="82" spans="1:21" x14ac:dyDescent="0.3">
      <c r="A82" t="s">
        <v>66</v>
      </c>
      <c r="B82" t="s">
        <v>68</v>
      </c>
      <c r="C82">
        <v>3</v>
      </c>
      <c r="D82" t="s">
        <v>101</v>
      </c>
      <c r="E82" t="s">
        <v>102</v>
      </c>
      <c r="F82" t="s">
        <v>103</v>
      </c>
      <c r="G82">
        <v>0.26503388045743098</v>
      </c>
      <c r="H82">
        <v>2E+20</v>
      </c>
      <c r="I82">
        <v>0</v>
      </c>
      <c r="J82">
        <v>1</v>
      </c>
      <c r="K82">
        <v>0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ProjectInterautoInstantaneous UtilizationResource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10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0.26535205929836458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2.5807993647623796E-2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1.8461926485074727E-2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0.20483176768320299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0.29552077299252399</v>
      </c>
      <c r="U82">
        <f>IF((ContinuousStatsTable[[#This Row],[RepsRequested]]&gt;1),ContinuousStatsTable[[#This Row],[HalfWidth]],ContinuousStatsTable[[#This Row],[BatchMeansHalfWidth]])</f>
        <v>1.8461926485074727E-2</v>
      </c>
    </row>
    <row r="83" spans="1:21" x14ac:dyDescent="0.3">
      <c r="A83" t="s">
        <v>66</v>
      </c>
      <c r="B83" t="s">
        <v>68</v>
      </c>
      <c r="C83">
        <v>3</v>
      </c>
      <c r="D83" t="s">
        <v>101</v>
      </c>
      <c r="E83" t="s">
        <v>104</v>
      </c>
      <c r="F83" t="s">
        <v>103</v>
      </c>
      <c r="G83">
        <v>0.26503388045743098</v>
      </c>
      <c r="H83">
        <v>2E+20</v>
      </c>
      <c r="I83">
        <v>0</v>
      </c>
      <c r="J83">
        <v>1</v>
      </c>
      <c r="K83">
        <v>0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ProjectInterautoNumber BusyResource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10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0.26535205929836458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2.5807993647623796E-2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1.8461926485074727E-2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0.20483176768320299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0.29552077299252399</v>
      </c>
      <c r="U83">
        <f>IF((ContinuousStatsTable[[#This Row],[RepsRequested]]&gt;1),ContinuousStatsTable[[#This Row],[HalfWidth]],ContinuousStatsTable[[#This Row],[BatchMeansHalfWidth]])</f>
        <v>1.8461926485074727E-2</v>
      </c>
    </row>
    <row r="84" spans="1:21" x14ac:dyDescent="0.3">
      <c r="A84" t="s">
        <v>66</v>
      </c>
      <c r="B84" t="s">
        <v>68</v>
      </c>
      <c r="C84">
        <v>3</v>
      </c>
      <c r="D84" t="s">
        <v>101</v>
      </c>
      <c r="E84" t="s">
        <v>105</v>
      </c>
      <c r="F84" t="s">
        <v>103</v>
      </c>
      <c r="G84">
        <v>1</v>
      </c>
      <c r="H84">
        <v>2E+20</v>
      </c>
      <c r="I84">
        <v>1</v>
      </c>
      <c r="J84">
        <v>1</v>
      </c>
      <c r="K84">
        <v>1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ProjectInterautoNumber ScheduledResource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10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1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1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1</v>
      </c>
      <c r="U84">
        <f>IF((ContinuousStatsTable[[#This Row],[RepsRequested]]&gt;1),ContinuousStatsTable[[#This Row],[HalfWidth]],ContinuousStatsTable[[#This Row],[BatchMeansHalfWidth]])</f>
        <v>0</v>
      </c>
    </row>
    <row r="85" spans="1:21" x14ac:dyDescent="0.3">
      <c r="A85" t="s">
        <v>66</v>
      </c>
      <c r="B85" t="s">
        <v>68</v>
      </c>
      <c r="C85">
        <v>3</v>
      </c>
      <c r="D85" t="s">
        <v>80</v>
      </c>
      <c r="E85" t="s">
        <v>99</v>
      </c>
      <c r="F85" t="s">
        <v>71</v>
      </c>
      <c r="G85">
        <v>0.19874137712331899</v>
      </c>
      <c r="H85">
        <v>3.6714336096366297E-2</v>
      </c>
      <c r="I85">
        <v>0</v>
      </c>
      <c r="J85">
        <v>5</v>
      </c>
      <c r="K85">
        <v>0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ProjectLeave 1.QueueNumber WaitingQueue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10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0.20353568461890376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2.6549184575613477E-2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1.899214253405495E-2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0.168502364443611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0.24578450490959</v>
      </c>
      <c r="U85">
        <f>IF((ContinuousStatsTable[[#This Row],[RepsRequested]]&gt;1),ContinuousStatsTable[[#This Row],[HalfWidth]],ContinuousStatsTable[[#This Row],[BatchMeansHalfWidth]])</f>
        <v>1.899214253405495E-2</v>
      </c>
    </row>
    <row r="86" spans="1:21" x14ac:dyDescent="0.3">
      <c r="A86" t="s">
        <v>66</v>
      </c>
      <c r="B86" t="s">
        <v>68</v>
      </c>
      <c r="C86">
        <v>3</v>
      </c>
      <c r="D86" t="s">
        <v>81</v>
      </c>
      <c r="E86" t="s">
        <v>99</v>
      </c>
      <c r="F86" t="s">
        <v>71</v>
      </c>
      <c r="G86">
        <v>5.6963498355955804E-3</v>
      </c>
      <c r="H86">
        <v>2E+20</v>
      </c>
      <c r="I86">
        <v>0</v>
      </c>
      <c r="J86">
        <v>1</v>
      </c>
      <c r="K86">
        <v>0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ProjectLeave 4.QueueNumber WaitingQueue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10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4.8729672989697272E-3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9.2135939256816457E-4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6.5910080435457321E-4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3.2012309459038099E-3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6.0338305270789001E-3</v>
      </c>
      <c r="U86">
        <f>IF((ContinuousStatsTable[[#This Row],[RepsRequested]]&gt;1),ContinuousStatsTable[[#This Row],[HalfWidth]],ContinuousStatsTable[[#This Row],[BatchMeansHalfWidth]])</f>
        <v>6.5910080435457321E-4</v>
      </c>
    </row>
    <row r="87" spans="1:21" x14ac:dyDescent="0.3">
      <c r="A87" t="s">
        <v>66</v>
      </c>
      <c r="B87" t="s">
        <v>68</v>
      </c>
      <c r="C87">
        <v>3</v>
      </c>
      <c r="D87" t="s">
        <v>82</v>
      </c>
      <c r="E87" t="s">
        <v>99</v>
      </c>
      <c r="F87" t="s">
        <v>71</v>
      </c>
      <c r="G87">
        <v>4.7234166747865902E-2</v>
      </c>
      <c r="H87">
        <v>8.1427530514589196E-3</v>
      </c>
      <c r="I87">
        <v>0</v>
      </c>
      <c r="J87">
        <v>2</v>
      </c>
      <c r="K87">
        <v>0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ProjectLeave 5.QueueNumber WaitingQueue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10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4.8788152574119628E-2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5.3039270336942244E-3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3.7942008323176655E-3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4.1058101580258903E-2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5.6386723112129902E-2</v>
      </c>
      <c r="U87">
        <f>IF((ContinuousStatsTable[[#This Row],[RepsRequested]]&gt;1),ContinuousStatsTable[[#This Row],[HalfWidth]],ContinuousStatsTable[[#This Row],[BatchMeansHalfWidth]])</f>
        <v>3.7942008323176655E-3</v>
      </c>
    </row>
    <row r="88" spans="1:21" x14ac:dyDescent="0.3">
      <c r="A88" t="s">
        <v>66</v>
      </c>
      <c r="B88" t="s">
        <v>68</v>
      </c>
      <c r="C88">
        <v>3</v>
      </c>
      <c r="D88" t="s">
        <v>83</v>
      </c>
      <c r="E88" t="s">
        <v>99</v>
      </c>
      <c r="F88" t="s">
        <v>71</v>
      </c>
      <c r="G88">
        <v>2.8179525089237199E-3</v>
      </c>
      <c r="H88">
        <v>2E+20</v>
      </c>
      <c r="I88">
        <v>0</v>
      </c>
      <c r="J88">
        <v>1</v>
      </c>
      <c r="K88">
        <v>0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ProjectLeave 6.QueueNumber WaitingQueue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10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3.227619592382791E-3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1.5087685522347895E-3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1.0793080033525183E-3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4.7201486102630699E-4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6.2452549613019898E-3</v>
      </c>
      <c r="U88">
        <f>IF((ContinuousStatsTable[[#This Row],[RepsRequested]]&gt;1),ContinuousStatsTable[[#This Row],[HalfWidth]],ContinuousStatsTable[[#This Row],[BatchMeansHalfWidth]])</f>
        <v>1.0793080033525183E-3</v>
      </c>
    </row>
    <row r="89" spans="1:21" x14ac:dyDescent="0.3">
      <c r="A89" t="s">
        <v>66</v>
      </c>
      <c r="B89" t="s">
        <v>68</v>
      </c>
      <c r="C89">
        <v>3</v>
      </c>
      <c r="D89" t="s">
        <v>84</v>
      </c>
      <c r="E89" t="s">
        <v>99</v>
      </c>
      <c r="F89" t="s">
        <v>71</v>
      </c>
      <c r="G89">
        <v>5.0868258760367602E-2</v>
      </c>
      <c r="H89">
        <v>2E+20</v>
      </c>
      <c r="I89">
        <v>0</v>
      </c>
      <c r="J89">
        <v>2</v>
      </c>
      <c r="K89">
        <v>0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ProjectLeave 7.QueueNumber WaitingQueue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10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5.9441954240945373E-2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1.1519407308393107E-2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8.2404875707479553E-3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4.5386728660866099E-2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7.8633362228088005E-2</v>
      </c>
      <c r="U89">
        <f>IF((ContinuousStatsTable[[#This Row],[RepsRequested]]&gt;1),ContinuousStatsTable[[#This Row],[HalfWidth]],ContinuousStatsTable[[#This Row],[BatchMeansHalfWidth]])</f>
        <v>8.2404875707479553E-3</v>
      </c>
    </row>
    <row r="90" spans="1:21" x14ac:dyDescent="0.3">
      <c r="A90" t="s">
        <v>66</v>
      </c>
      <c r="B90" t="s">
        <v>68</v>
      </c>
      <c r="C90">
        <v>3</v>
      </c>
      <c r="D90" t="s">
        <v>85</v>
      </c>
      <c r="E90" t="s">
        <v>99</v>
      </c>
      <c r="F90" t="s">
        <v>71</v>
      </c>
      <c r="G90">
        <v>2.40565150175395E-3</v>
      </c>
      <c r="H90">
        <v>2E+20</v>
      </c>
      <c r="I90">
        <v>0</v>
      </c>
      <c r="J90">
        <v>1</v>
      </c>
      <c r="K90">
        <v>0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ProjectLeave 8.QueueNumber WaitingQueue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10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2.1217771776478596E-3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8.0254950645480523E-4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5.7410933182579346E-4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9.0451064743319795E-4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3.5490296241417699E-3</v>
      </c>
      <c r="U90">
        <f>IF((ContinuousStatsTable[[#This Row],[RepsRequested]]&gt;1),ContinuousStatsTable[[#This Row],[HalfWidth]],ContinuousStatsTable[[#This Row],[BatchMeansHalfWidth]])</f>
        <v>5.7410933182579346E-4</v>
      </c>
    </row>
    <row r="91" spans="1:21" x14ac:dyDescent="0.3">
      <c r="A91" t="s">
        <v>66</v>
      </c>
      <c r="B91" t="s">
        <v>68</v>
      </c>
      <c r="C91">
        <v>3</v>
      </c>
      <c r="D91" t="s">
        <v>86</v>
      </c>
      <c r="E91" t="s">
        <v>99</v>
      </c>
      <c r="F91" t="s">
        <v>71</v>
      </c>
      <c r="G91">
        <v>4.1142093699458301E-4</v>
      </c>
      <c r="H91">
        <v>2E+20</v>
      </c>
      <c r="I91">
        <v>0</v>
      </c>
      <c r="J91">
        <v>1</v>
      </c>
      <c r="K91">
        <v>0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ProjectLeave 9.QueueNumber WaitingQueue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10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1.3877246767065991E-3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7.1875981577935533E-4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5.1416979795196457E-4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2.8555279956142001E-4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2.50186012594582E-3</v>
      </c>
      <c r="U91">
        <f>IF((ContinuousStatsTable[[#This Row],[RepsRequested]]&gt;1),ContinuousStatsTable[[#This Row],[HalfWidth]],ContinuousStatsTable[[#This Row],[BatchMeansHalfWidth]])</f>
        <v>5.1416979795196457E-4</v>
      </c>
    </row>
    <row r="92" spans="1:21" x14ac:dyDescent="0.3">
      <c r="A92" t="s">
        <v>66</v>
      </c>
      <c r="B92" t="s">
        <v>68</v>
      </c>
      <c r="C92">
        <v>3</v>
      </c>
      <c r="D92" t="s">
        <v>87</v>
      </c>
      <c r="E92" t="s">
        <v>100</v>
      </c>
      <c r="F92" t="s">
        <v>74</v>
      </c>
      <c r="G92">
        <v>14.1228456094682</v>
      </c>
      <c r="H92">
        <v>3E+20</v>
      </c>
      <c r="I92">
        <v>0</v>
      </c>
      <c r="J92">
        <v>30</v>
      </c>
      <c r="K92">
        <v>30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ProjectMaleta InternacionalWIPEntity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10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13.037689788098451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1.9631643885071912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1.4043632028742961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10.277307754823401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16.425571484417201</v>
      </c>
      <c r="U92">
        <f>IF((ContinuousStatsTable[[#This Row],[RepsRequested]]&gt;1),ContinuousStatsTable[[#This Row],[HalfWidth]],ContinuousStatsTable[[#This Row],[BatchMeansHalfWidth]])</f>
        <v>1.4043632028742961</v>
      </c>
    </row>
    <row r="93" spans="1:21" x14ac:dyDescent="0.3">
      <c r="A93" t="s">
        <v>66</v>
      </c>
      <c r="B93" t="s">
        <v>68</v>
      </c>
      <c r="C93">
        <v>3</v>
      </c>
      <c r="D93" t="s">
        <v>88</v>
      </c>
      <c r="E93" t="s">
        <v>100</v>
      </c>
      <c r="F93" t="s">
        <v>74</v>
      </c>
      <c r="G93">
        <v>2.6467472826623801</v>
      </c>
      <c r="H93">
        <v>2E+20</v>
      </c>
      <c r="I93">
        <v>0</v>
      </c>
      <c r="J93">
        <v>10</v>
      </c>
      <c r="K93">
        <v>0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ProjectMaleta NacionalWIPEntity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10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2.7356580954557046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0.24675556542769644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0.17651829781539885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2.4605296674942401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3.2916533376655202</v>
      </c>
      <c r="U93">
        <f>IF((ContinuousStatsTable[[#This Row],[RepsRequested]]&gt;1),ContinuousStatsTable[[#This Row],[HalfWidth]],ContinuousStatsTable[[#This Row],[BatchMeansHalfWidth]])</f>
        <v>0.17651829781539885</v>
      </c>
    </row>
    <row r="94" spans="1:21" x14ac:dyDescent="0.3">
      <c r="A94" t="s">
        <v>66</v>
      </c>
      <c r="B94" t="s">
        <v>68</v>
      </c>
      <c r="C94">
        <v>3</v>
      </c>
      <c r="D94" t="s">
        <v>106</v>
      </c>
      <c r="E94" t="s">
        <v>102</v>
      </c>
      <c r="F94" t="s">
        <v>103</v>
      </c>
      <c r="G94">
        <v>0.80810986871710599</v>
      </c>
      <c r="H94">
        <v>2E+20</v>
      </c>
      <c r="I94">
        <v>0</v>
      </c>
      <c r="J94">
        <v>1</v>
      </c>
      <c r="K94">
        <v>1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ProjectNacionalautoInstantaneous UtilizationResource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10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0.73175058451933661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6.0813477412386734E-2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4.3503341043041877E-2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0.64995347349336796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0.82581624655093899</v>
      </c>
      <c r="U94">
        <f>IF((ContinuousStatsTable[[#This Row],[RepsRequested]]&gt;1),ContinuousStatsTable[[#This Row],[HalfWidth]],ContinuousStatsTable[[#This Row],[BatchMeansHalfWidth]])</f>
        <v>4.3503341043041877E-2</v>
      </c>
    </row>
    <row r="95" spans="1:21" x14ac:dyDescent="0.3">
      <c r="A95" t="s">
        <v>66</v>
      </c>
      <c r="B95" t="s">
        <v>68</v>
      </c>
      <c r="C95">
        <v>3</v>
      </c>
      <c r="D95" t="s">
        <v>106</v>
      </c>
      <c r="E95" t="s">
        <v>104</v>
      </c>
      <c r="F95" t="s">
        <v>103</v>
      </c>
      <c r="G95">
        <v>0.80810986871710599</v>
      </c>
      <c r="H95">
        <v>2E+20</v>
      </c>
      <c r="I95">
        <v>0</v>
      </c>
      <c r="J95">
        <v>1</v>
      </c>
      <c r="K95">
        <v>1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ProjectNacionalautoNumber BusyResource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10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0.73175058451933661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6.0813477412386734E-2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4.3503341043041877E-2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0.64995347349336796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0.82581624655093899</v>
      </c>
      <c r="U95">
        <f>IF((ContinuousStatsTable[[#This Row],[RepsRequested]]&gt;1),ContinuousStatsTable[[#This Row],[HalfWidth]],ContinuousStatsTable[[#This Row],[BatchMeansHalfWidth]])</f>
        <v>4.3503341043041877E-2</v>
      </c>
    </row>
    <row r="96" spans="1:21" x14ac:dyDescent="0.3">
      <c r="A96" t="s">
        <v>66</v>
      </c>
      <c r="B96" t="s">
        <v>68</v>
      </c>
      <c r="C96">
        <v>3</v>
      </c>
      <c r="D96" t="s">
        <v>106</v>
      </c>
      <c r="E96" t="s">
        <v>105</v>
      </c>
      <c r="F96" t="s">
        <v>103</v>
      </c>
      <c r="G96">
        <v>1</v>
      </c>
      <c r="H96">
        <v>2E+20</v>
      </c>
      <c r="I96">
        <v>1</v>
      </c>
      <c r="J96">
        <v>1</v>
      </c>
      <c r="K96">
        <v>1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ProjectNacionalautoNumber ScheduledResource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10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1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1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1</v>
      </c>
      <c r="U96">
        <f>IF((ContinuousStatsTable[[#This Row],[RepsRequested]]&gt;1),ContinuousStatsTable[[#This Row],[HalfWidth]],ContinuousStatsTable[[#This Row],[BatchMeansHalfWidth]])</f>
        <v>0</v>
      </c>
    </row>
    <row r="97" spans="1:21" x14ac:dyDescent="0.3">
      <c r="A97" t="s">
        <v>66</v>
      </c>
      <c r="B97" t="s">
        <v>68</v>
      </c>
      <c r="C97">
        <v>3</v>
      </c>
      <c r="D97" t="s">
        <v>107</v>
      </c>
      <c r="E97" t="s">
        <v>102</v>
      </c>
      <c r="F97" t="s">
        <v>103</v>
      </c>
      <c r="G97">
        <v>7.4589944457269602E-2</v>
      </c>
      <c r="H97">
        <v>3E+20</v>
      </c>
      <c r="I97">
        <v>0</v>
      </c>
      <c r="J97">
        <v>1</v>
      </c>
      <c r="K97">
        <v>0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ProjectOperarios AvionInstantaneous UtilizationResource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10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7.5958437118625627E-2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5.0572810112240948E-3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3.6177608968134627E-3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6.7485948117393404E-2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8.7852447587946303E-2</v>
      </c>
      <c r="U97">
        <f>IF((ContinuousStatsTable[[#This Row],[RepsRequested]]&gt;1),ContinuousStatsTable[[#This Row],[HalfWidth]],ContinuousStatsTable[[#This Row],[BatchMeansHalfWidth]])</f>
        <v>3.6177608968134627E-3</v>
      </c>
    </row>
    <row r="98" spans="1:21" x14ac:dyDescent="0.3">
      <c r="A98" t="s">
        <v>66</v>
      </c>
      <c r="B98" t="s">
        <v>68</v>
      </c>
      <c r="C98">
        <v>3</v>
      </c>
      <c r="D98" t="s">
        <v>107</v>
      </c>
      <c r="E98" t="s">
        <v>104</v>
      </c>
      <c r="F98" t="s">
        <v>103</v>
      </c>
      <c r="G98">
        <v>0.14917988891453901</v>
      </c>
      <c r="H98">
        <v>3E+20</v>
      </c>
      <c r="I98">
        <v>0</v>
      </c>
      <c r="J98">
        <v>2</v>
      </c>
      <c r="K98">
        <v>0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ProjectOperarios AvionNumber BusyResource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10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0.1519168742372512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1.0114562022448264E-2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7.2355217936269783E-3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0.134971896234787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0.17570489517589299</v>
      </c>
      <c r="U98">
        <f>IF((ContinuousStatsTable[[#This Row],[RepsRequested]]&gt;1),ContinuousStatsTable[[#This Row],[HalfWidth]],ContinuousStatsTable[[#This Row],[BatchMeansHalfWidth]])</f>
        <v>7.2355217936269783E-3</v>
      </c>
    </row>
    <row r="99" spans="1:21" x14ac:dyDescent="0.3">
      <c r="A99" t="s">
        <v>66</v>
      </c>
      <c r="B99" t="s">
        <v>68</v>
      </c>
      <c r="C99">
        <v>3</v>
      </c>
      <c r="D99" t="s">
        <v>107</v>
      </c>
      <c r="E99" t="s">
        <v>105</v>
      </c>
      <c r="F99" t="s">
        <v>103</v>
      </c>
      <c r="G99">
        <v>2</v>
      </c>
      <c r="H99">
        <v>2E+20</v>
      </c>
      <c r="I99">
        <v>2</v>
      </c>
      <c r="J99">
        <v>2</v>
      </c>
      <c r="K99">
        <v>2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ProjectOperarios AvionNumber ScheduledResource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10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2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2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2</v>
      </c>
      <c r="U99">
        <f>IF((ContinuousStatsTable[[#This Row],[RepsRequested]]&gt;1),ContinuousStatsTable[[#This Row],[HalfWidth]],ContinuousStatsTable[[#This Row],[BatchMeansHalfWidth]])</f>
        <v>0</v>
      </c>
    </row>
    <row r="100" spans="1:21" x14ac:dyDescent="0.3">
      <c r="A100" t="s">
        <v>66</v>
      </c>
      <c r="B100" t="s">
        <v>68</v>
      </c>
      <c r="C100">
        <v>3</v>
      </c>
      <c r="D100" t="s">
        <v>108</v>
      </c>
      <c r="E100" t="s">
        <v>102</v>
      </c>
      <c r="F100" t="s">
        <v>103</v>
      </c>
      <c r="G100">
        <v>0.402052150629301</v>
      </c>
      <c r="H100">
        <v>2E+20</v>
      </c>
      <c r="I100">
        <v>0</v>
      </c>
      <c r="J100">
        <v>1</v>
      </c>
      <c r="K100">
        <v>0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ProjectcajeraInstantaneous UtilizationResource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10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0.38078385056341441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5.6481911326734656E-2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4.040472533000234E-2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0.28913636698845602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0.46134650546047301</v>
      </c>
      <c r="U100">
        <f>IF((ContinuousStatsTable[[#This Row],[RepsRequested]]&gt;1),ContinuousStatsTable[[#This Row],[HalfWidth]],ContinuousStatsTable[[#This Row],[BatchMeansHalfWidth]])</f>
        <v>4.040472533000234E-2</v>
      </c>
    </row>
    <row r="101" spans="1:21" x14ac:dyDescent="0.3">
      <c r="A101" t="s">
        <v>66</v>
      </c>
      <c r="B101" t="s">
        <v>68</v>
      </c>
      <c r="C101">
        <v>3</v>
      </c>
      <c r="D101" t="s">
        <v>108</v>
      </c>
      <c r="E101" t="s">
        <v>104</v>
      </c>
      <c r="F101" t="s">
        <v>103</v>
      </c>
      <c r="G101">
        <v>0.402052150629301</v>
      </c>
      <c r="H101">
        <v>2E+20</v>
      </c>
      <c r="I101">
        <v>0</v>
      </c>
      <c r="J101">
        <v>1</v>
      </c>
      <c r="K101">
        <v>0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ProjectcajeraNumber BusyResource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10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0.38078385056341441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5.6481911326734656E-2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4.040472533000234E-2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0.28913636698845602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0.46134650546047301</v>
      </c>
      <c r="U101">
        <f>IF((ContinuousStatsTable[[#This Row],[RepsRequested]]&gt;1),ContinuousStatsTable[[#This Row],[HalfWidth]],ContinuousStatsTable[[#This Row],[BatchMeansHalfWidth]])</f>
        <v>4.040472533000234E-2</v>
      </c>
    </row>
    <row r="102" spans="1:21" x14ac:dyDescent="0.3">
      <c r="A102" t="s">
        <v>66</v>
      </c>
      <c r="B102" t="s">
        <v>68</v>
      </c>
      <c r="C102">
        <v>3</v>
      </c>
      <c r="D102" t="s">
        <v>108</v>
      </c>
      <c r="E102" t="s">
        <v>105</v>
      </c>
      <c r="F102" t="s">
        <v>103</v>
      </c>
      <c r="G102">
        <v>1</v>
      </c>
      <c r="H102">
        <v>2E+20</v>
      </c>
      <c r="I102">
        <v>1</v>
      </c>
      <c r="J102">
        <v>1</v>
      </c>
      <c r="K102">
        <v>1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ProjectcajeraNumber ScheduledResource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10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1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1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1</v>
      </c>
      <c r="U102">
        <f>IF((ContinuousStatsTable[[#This Row],[RepsRequested]]&gt;1),ContinuousStatsTable[[#This Row],[HalfWidth]],ContinuousStatsTable[[#This Row],[BatchMeansHalfWidth]])</f>
        <v>0</v>
      </c>
    </row>
    <row r="103" spans="1:21" x14ac:dyDescent="0.3">
      <c r="A103" t="s">
        <v>66</v>
      </c>
      <c r="B103" t="s">
        <v>68</v>
      </c>
      <c r="C103">
        <v>3</v>
      </c>
      <c r="D103" t="s">
        <v>109</v>
      </c>
      <c r="E103" t="s">
        <v>102</v>
      </c>
      <c r="F103" t="s">
        <v>103</v>
      </c>
      <c r="G103">
        <v>0.72440309250271195</v>
      </c>
      <c r="H103">
        <v>2E+20</v>
      </c>
      <c r="I103">
        <v>0</v>
      </c>
      <c r="J103">
        <v>1</v>
      </c>
      <c r="K103">
        <v>0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Projectcajera2Instantaneous UtilizationResource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10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0.73571117943508912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2.3945213257811505E-2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1.7129373668915777E-2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0.69752119636771104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0.77845968782647601</v>
      </c>
      <c r="U103">
        <f>IF((ContinuousStatsTable[[#This Row],[RepsRequested]]&gt;1),ContinuousStatsTable[[#This Row],[HalfWidth]],ContinuousStatsTable[[#This Row],[BatchMeansHalfWidth]])</f>
        <v>1.7129373668915777E-2</v>
      </c>
    </row>
    <row r="104" spans="1:21" x14ac:dyDescent="0.3">
      <c r="A104" t="s">
        <v>66</v>
      </c>
      <c r="B104" t="s">
        <v>68</v>
      </c>
      <c r="C104">
        <v>3</v>
      </c>
      <c r="D104" t="s">
        <v>109</v>
      </c>
      <c r="E104" t="s">
        <v>104</v>
      </c>
      <c r="F104" t="s">
        <v>103</v>
      </c>
      <c r="G104">
        <v>0.72440309250271195</v>
      </c>
      <c r="H104">
        <v>2E+20</v>
      </c>
      <c r="I104">
        <v>0</v>
      </c>
      <c r="J104">
        <v>1</v>
      </c>
      <c r="K104">
        <v>0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Projectcajera2Number BusyResource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10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0.73571117943508912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2.3945213257811505E-2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1.7129373668915777E-2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0.69752119636771104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0.77845968782647601</v>
      </c>
      <c r="U104">
        <f>IF((ContinuousStatsTable[[#This Row],[RepsRequested]]&gt;1),ContinuousStatsTable[[#This Row],[HalfWidth]],ContinuousStatsTable[[#This Row],[BatchMeansHalfWidth]])</f>
        <v>1.7129373668915777E-2</v>
      </c>
    </row>
    <row r="105" spans="1:21" x14ac:dyDescent="0.3">
      <c r="A105" t="s">
        <v>66</v>
      </c>
      <c r="B105" t="s">
        <v>68</v>
      </c>
      <c r="C105">
        <v>3</v>
      </c>
      <c r="D105" t="s">
        <v>109</v>
      </c>
      <c r="E105" t="s">
        <v>105</v>
      </c>
      <c r="F105" t="s">
        <v>103</v>
      </c>
      <c r="G105">
        <v>1</v>
      </c>
      <c r="H105">
        <v>2E+20</v>
      </c>
      <c r="I105">
        <v>1</v>
      </c>
      <c r="J105">
        <v>1</v>
      </c>
      <c r="K105">
        <v>1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Projectcajera2Number ScheduledResource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10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1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1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1</v>
      </c>
      <c r="U105">
        <f>IF((ContinuousStatsTable[[#This Row],[RepsRequested]]&gt;1),ContinuousStatsTable[[#This Row],[HalfWidth]],ContinuousStatsTable[[#This Row],[BatchMeansHalfWidth]])</f>
        <v>0</v>
      </c>
    </row>
    <row r="106" spans="1:21" x14ac:dyDescent="0.3">
      <c r="A106" t="s">
        <v>66</v>
      </c>
      <c r="B106" t="s">
        <v>68</v>
      </c>
      <c r="C106">
        <v>3</v>
      </c>
      <c r="D106" t="s">
        <v>93</v>
      </c>
      <c r="E106" t="s">
        <v>99</v>
      </c>
      <c r="F106" t="s">
        <v>71</v>
      </c>
      <c r="G106">
        <v>0.15928465430720601</v>
      </c>
      <c r="H106">
        <v>2E+20</v>
      </c>
      <c r="I106">
        <v>0</v>
      </c>
      <c r="J106">
        <v>2</v>
      </c>
      <c r="K106">
        <v>1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Projectmanualinter.QueueNumber WaitingQueue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10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0.33257710094571935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0.27159595138606457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0.19428803945769421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4.88437833500961E-2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0.95917715937716497</v>
      </c>
      <c r="U106">
        <f>IF((ContinuousStatsTable[[#This Row],[RepsRequested]]&gt;1),ContinuousStatsTable[[#This Row],[HalfWidth]],ContinuousStatsTable[[#This Row],[BatchMeansHalfWidth]])</f>
        <v>0.19428803945769421</v>
      </c>
    </row>
    <row r="107" spans="1:21" x14ac:dyDescent="0.3">
      <c r="A107" t="s">
        <v>66</v>
      </c>
      <c r="B107" t="s">
        <v>68</v>
      </c>
      <c r="C107">
        <v>3</v>
      </c>
      <c r="D107" t="s">
        <v>94</v>
      </c>
      <c r="E107" t="s">
        <v>99</v>
      </c>
      <c r="F107" t="s">
        <v>71</v>
      </c>
      <c r="G107">
        <v>0</v>
      </c>
      <c r="H107">
        <v>2E+20</v>
      </c>
      <c r="I107">
        <v>0</v>
      </c>
      <c r="J107">
        <v>0</v>
      </c>
      <c r="K107">
        <v>0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Projectmanualnaciona.QueueNumber WaitingQueue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10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2.2437109622866062E-3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6.4095428429067599E-3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4.5851107367881972E-3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0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2.0447096127880302E-2</v>
      </c>
      <c r="U107">
        <f>IF((ContinuousStatsTable[[#This Row],[RepsRequested]]&gt;1),ContinuousStatsTable[[#This Row],[HalfWidth]],ContinuousStatsTable[[#This Row],[BatchMeansHalfWidth]])</f>
        <v>4.5851107367881972E-3</v>
      </c>
    </row>
    <row r="108" spans="1:21" x14ac:dyDescent="0.3">
      <c r="A108" t="s">
        <v>66</v>
      </c>
      <c r="B108" t="s">
        <v>68</v>
      </c>
      <c r="C108">
        <v>3</v>
      </c>
      <c r="D108" t="s">
        <v>95</v>
      </c>
      <c r="E108" t="s">
        <v>99</v>
      </c>
      <c r="F108" t="s">
        <v>71</v>
      </c>
      <c r="G108">
        <v>3.8764727066268598</v>
      </c>
      <c r="H108">
        <v>3E+20</v>
      </c>
      <c r="I108">
        <v>0</v>
      </c>
      <c r="J108">
        <v>14</v>
      </c>
      <c r="K108">
        <v>11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Projectmaquinainter.QueueNumber WaitingQueue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10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2.7250893633296323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1.2704307292922721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0.90881139575657477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1.35760259855807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5.2621649076821404</v>
      </c>
      <c r="U108">
        <f>IF((ContinuousStatsTable[[#This Row],[RepsRequested]]&gt;1),ContinuousStatsTable[[#This Row],[HalfWidth]],ContinuousStatsTable[[#This Row],[BatchMeansHalfWidth]])</f>
        <v>0.90881139575657477</v>
      </c>
    </row>
    <row r="109" spans="1:21" x14ac:dyDescent="0.3">
      <c r="A109" t="s">
        <v>66</v>
      </c>
      <c r="B109" t="s">
        <v>68</v>
      </c>
      <c r="C109">
        <v>3</v>
      </c>
      <c r="D109" t="s">
        <v>96</v>
      </c>
      <c r="E109" t="s">
        <v>99</v>
      </c>
      <c r="F109" t="s">
        <v>71</v>
      </c>
      <c r="G109">
        <v>0.22546634564255499</v>
      </c>
      <c r="H109">
        <v>2E+20</v>
      </c>
      <c r="I109">
        <v>0</v>
      </c>
      <c r="J109">
        <v>7</v>
      </c>
      <c r="K109">
        <v>0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Projectmaquinanacional.QueueNumber WaitingQueue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10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0.20327393268399513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5.4678802003311266E-2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3.9114858623271326E-2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9.7152989948067606E-2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0.28694483715654301</v>
      </c>
      <c r="U109">
        <f>IF((ContinuousStatsTable[[#This Row],[RepsRequested]]&gt;1),ContinuousStatsTable[[#This Row],[HalfWidth]],ContinuousStatsTable[[#This Row],[BatchMeansHalfWidth]])</f>
        <v>3.9114858623271326E-2</v>
      </c>
    </row>
    <row r="110" spans="1:21" x14ac:dyDescent="0.3">
      <c r="A110" t="s">
        <v>66</v>
      </c>
      <c r="B110" t="s">
        <v>68</v>
      </c>
      <c r="C110">
        <v>3</v>
      </c>
      <c r="D110" t="s">
        <v>97</v>
      </c>
      <c r="E110" t="s">
        <v>99</v>
      </c>
      <c r="F110" t="s">
        <v>71</v>
      </c>
      <c r="G110">
        <v>0.124078487063659</v>
      </c>
      <c r="H110">
        <v>2E+20</v>
      </c>
      <c r="I110">
        <v>0</v>
      </c>
      <c r="J110">
        <v>2</v>
      </c>
      <c r="K110">
        <v>0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Projectmostrador1.QueueNumber WaitingQueue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10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0.25365601436241814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9.7306237195948719E-2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6.9608688772141478E-2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0.124078487063659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0.381680898629085</v>
      </c>
      <c r="U110">
        <f>IF((ContinuousStatsTable[[#This Row],[RepsRequested]]&gt;1),ContinuousStatsTable[[#This Row],[HalfWidth]],ContinuousStatsTable[[#This Row],[BatchMeansHalfWidth]])</f>
        <v>6.9608688772141478E-2</v>
      </c>
    </row>
    <row r="111" spans="1:21" x14ac:dyDescent="0.3">
      <c r="A111" t="s">
        <v>66</v>
      </c>
      <c r="B111" t="s">
        <v>68</v>
      </c>
      <c r="C111">
        <v>3</v>
      </c>
      <c r="D111" t="s">
        <v>98</v>
      </c>
      <c r="E111" t="s">
        <v>99</v>
      </c>
      <c r="F111" t="s">
        <v>71</v>
      </c>
      <c r="G111">
        <v>0.46814270937178798</v>
      </c>
      <c r="H111">
        <v>2E+20</v>
      </c>
      <c r="I111">
        <v>0</v>
      </c>
      <c r="J111">
        <v>3</v>
      </c>
      <c r="K111">
        <v>0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Projectmostrador2.QueueNumber WaitingQueue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10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0.56854078919795403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9.5876381195630939E-2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6.8585831407770567E-2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0.461258283509344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0.74281217456090598</v>
      </c>
      <c r="U111">
        <f>IF((ContinuousStatsTable[[#This Row],[RepsRequested]]&gt;1),ContinuousStatsTable[[#This Row],[HalfWidth]],ContinuousStatsTable[[#This Row],[BatchMeansHalfWidth]])</f>
        <v>6.8585831407770567E-2</v>
      </c>
    </row>
    <row r="112" spans="1:21" x14ac:dyDescent="0.3">
      <c r="A112" t="s">
        <v>66</v>
      </c>
      <c r="B112" t="s">
        <v>68</v>
      </c>
      <c r="C112">
        <v>3</v>
      </c>
      <c r="D112" t="s">
        <v>110</v>
      </c>
      <c r="E112" t="s">
        <v>100</v>
      </c>
      <c r="F112" t="s">
        <v>74</v>
      </c>
      <c r="G112">
        <v>0</v>
      </c>
      <c r="H112">
        <v>2E+20</v>
      </c>
      <c r="I112">
        <v>0</v>
      </c>
      <c r="J112">
        <v>0</v>
      </c>
      <c r="K112">
        <v>0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ProjectpersonaWIPEntity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10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0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0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0</v>
      </c>
      <c r="U112">
        <f>IF((ContinuousStatsTable[[#This Row],[RepsRequested]]&gt;1),ContinuousStatsTable[[#This Row],[HalfWidth]],ContinuousStatsTable[[#This Row],[BatchMeansHalfWidth]])</f>
        <v>0</v>
      </c>
    </row>
    <row r="113" spans="1:21" x14ac:dyDescent="0.3">
      <c r="A113" t="s">
        <v>66</v>
      </c>
      <c r="B113" t="s">
        <v>68</v>
      </c>
      <c r="C113">
        <v>3</v>
      </c>
      <c r="D113" t="s">
        <v>111</v>
      </c>
      <c r="E113" t="s">
        <v>102</v>
      </c>
      <c r="F113" t="s">
        <v>103</v>
      </c>
      <c r="G113">
        <v>6.8430469457483406E-2</v>
      </c>
      <c r="H113">
        <v>2E+20</v>
      </c>
      <c r="I113">
        <v>0</v>
      </c>
      <c r="J113">
        <v>1</v>
      </c>
      <c r="K113">
        <v>0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Projectregistro1Instantaneous UtilizationResource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10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5.6433247648491516E-2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2.4456082934732001E-2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1.7494827820351853E-2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2.1279401430778E-2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8.8472374570180701E-2</v>
      </c>
      <c r="U113">
        <f>IF((ContinuousStatsTable[[#This Row],[RepsRequested]]&gt;1),ContinuousStatsTable[[#This Row],[HalfWidth]],ContinuousStatsTable[[#This Row],[BatchMeansHalfWidth]])</f>
        <v>1.7494827820351853E-2</v>
      </c>
    </row>
    <row r="114" spans="1:21" x14ac:dyDescent="0.3">
      <c r="A114" t="s">
        <v>66</v>
      </c>
      <c r="B114" t="s">
        <v>68</v>
      </c>
      <c r="C114">
        <v>3</v>
      </c>
      <c r="D114" t="s">
        <v>111</v>
      </c>
      <c r="E114" t="s">
        <v>104</v>
      </c>
      <c r="F114" t="s">
        <v>103</v>
      </c>
      <c r="G114">
        <v>6.8430469457483406E-2</v>
      </c>
      <c r="H114">
        <v>2E+20</v>
      </c>
      <c r="I114">
        <v>0</v>
      </c>
      <c r="J114">
        <v>1</v>
      </c>
      <c r="K114">
        <v>0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Projectregistro1Number BusyResource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10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5.6433247648491516E-2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2.4456082934732001E-2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1.7494827820351853E-2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2.1279401430778E-2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8.8472374570180701E-2</v>
      </c>
      <c r="U114">
        <f>IF((ContinuousStatsTable[[#This Row],[RepsRequested]]&gt;1),ContinuousStatsTable[[#This Row],[HalfWidth]],ContinuousStatsTable[[#This Row],[BatchMeansHalfWidth]])</f>
        <v>1.7494827820351853E-2</v>
      </c>
    </row>
    <row r="115" spans="1:21" x14ac:dyDescent="0.3">
      <c r="A115" t="s">
        <v>66</v>
      </c>
      <c r="B115" t="s">
        <v>68</v>
      </c>
      <c r="C115">
        <v>3</v>
      </c>
      <c r="D115" t="s">
        <v>111</v>
      </c>
      <c r="E115" t="s">
        <v>105</v>
      </c>
      <c r="F115" t="s">
        <v>103</v>
      </c>
      <c r="G115">
        <v>1</v>
      </c>
      <c r="H115">
        <v>2E+20</v>
      </c>
      <c r="I115">
        <v>1</v>
      </c>
      <c r="J115">
        <v>1</v>
      </c>
      <c r="K115">
        <v>1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Projectregistro1Number ScheduledResource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10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1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1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1</v>
      </c>
      <c r="U115">
        <f>IF((ContinuousStatsTable[[#This Row],[RepsRequested]]&gt;1),ContinuousStatsTable[[#This Row],[HalfWidth]],ContinuousStatsTable[[#This Row],[BatchMeansHalfWidth]])</f>
        <v>0</v>
      </c>
    </row>
    <row r="116" spans="1:21" x14ac:dyDescent="0.3">
      <c r="A116" t="s">
        <v>66</v>
      </c>
      <c r="B116" t="s">
        <v>68</v>
      </c>
      <c r="C116">
        <v>3</v>
      </c>
      <c r="D116" t="s">
        <v>112</v>
      </c>
      <c r="E116" t="s">
        <v>102</v>
      </c>
      <c r="F116" t="s">
        <v>103</v>
      </c>
      <c r="G116">
        <v>0.4217141266426</v>
      </c>
      <c r="H116">
        <v>2E+20</v>
      </c>
      <c r="I116">
        <v>0</v>
      </c>
      <c r="J116">
        <v>1</v>
      </c>
      <c r="K116">
        <v>1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Projectregistro2Instantaneous UtilizationResource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10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0.46274808587050231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9.1165192054027525E-2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6.5215649719990554E-2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0.338210899349628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0.66990172486561195</v>
      </c>
      <c r="U116">
        <f>IF((ContinuousStatsTable[[#This Row],[RepsRequested]]&gt;1),ContinuousStatsTable[[#This Row],[HalfWidth]],ContinuousStatsTable[[#This Row],[BatchMeansHalfWidth]])</f>
        <v>6.5215649719990554E-2</v>
      </c>
    </row>
    <row r="117" spans="1:21" x14ac:dyDescent="0.3">
      <c r="A117" t="s">
        <v>66</v>
      </c>
      <c r="B117" t="s">
        <v>68</v>
      </c>
      <c r="C117">
        <v>3</v>
      </c>
      <c r="D117" t="s">
        <v>112</v>
      </c>
      <c r="E117" t="s">
        <v>104</v>
      </c>
      <c r="F117" t="s">
        <v>103</v>
      </c>
      <c r="G117">
        <v>0.4217141266426</v>
      </c>
      <c r="H117">
        <v>2E+20</v>
      </c>
      <c r="I117">
        <v>0</v>
      </c>
      <c r="J117">
        <v>1</v>
      </c>
      <c r="K117">
        <v>1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Projectregistro2Number BusyResource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10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0.46274808587050231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9.1165192054027525E-2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6.5215649719990554E-2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0.338210899349628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0.66990172486561195</v>
      </c>
      <c r="U117">
        <f>IF((ContinuousStatsTable[[#This Row],[RepsRequested]]&gt;1),ContinuousStatsTable[[#This Row],[HalfWidth]],ContinuousStatsTable[[#This Row],[BatchMeansHalfWidth]])</f>
        <v>6.5215649719990554E-2</v>
      </c>
    </row>
    <row r="118" spans="1:21" x14ac:dyDescent="0.3">
      <c r="A118" t="s">
        <v>66</v>
      </c>
      <c r="B118" t="s">
        <v>68</v>
      </c>
      <c r="C118">
        <v>3</v>
      </c>
      <c r="D118" t="s">
        <v>112</v>
      </c>
      <c r="E118" t="s">
        <v>105</v>
      </c>
      <c r="F118" t="s">
        <v>103</v>
      </c>
      <c r="G118">
        <v>1</v>
      </c>
      <c r="H118">
        <v>2E+20</v>
      </c>
      <c r="I118">
        <v>1</v>
      </c>
      <c r="J118">
        <v>1</v>
      </c>
      <c r="K118">
        <v>1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Projectregistro2Number ScheduledResource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10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1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1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1</v>
      </c>
      <c r="U118">
        <f>IF((ContinuousStatsTable[[#This Row],[RepsRequested]]&gt;1),ContinuousStatsTable[[#This Row],[HalfWidth]],ContinuousStatsTable[[#This Row],[BatchMeansHalfWidth]])</f>
        <v>0</v>
      </c>
    </row>
    <row r="119" spans="1:21" x14ac:dyDescent="0.3">
      <c r="A119" t="s">
        <v>66</v>
      </c>
      <c r="B119" t="s">
        <v>68</v>
      </c>
      <c r="C119">
        <v>4</v>
      </c>
      <c r="D119" t="s">
        <v>69</v>
      </c>
      <c r="E119" t="s">
        <v>99</v>
      </c>
      <c r="F119" t="s">
        <v>71</v>
      </c>
      <c r="G119">
        <v>1.2587385128436299E-4</v>
      </c>
      <c r="H119">
        <v>2E+20</v>
      </c>
      <c r="I119">
        <v>0</v>
      </c>
      <c r="J119">
        <v>1</v>
      </c>
      <c r="K119">
        <v>0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ProjectCargar Avion.QueueNumber WaitingQueue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10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4.3234278073230802E-4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8.6650685478403973E-4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6.1986166264068276E-4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2.8294284227636502E-3</v>
      </c>
      <c r="U119">
        <f>IF((ContinuousStatsTable[[#This Row],[RepsRequested]]&gt;1),ContinuousStatsTable[[#This Row],[HalfWidth]],ContinuousStatsTable[[#This Row],[BatchMeansHalfWidth]])</f>
        <v>6.1986166264068276E-4</v>
      </c>
    </row>
    <row r="120" spans="1:21" x14ac:dyDescent="0.3">
      <c r="A120" t="s">
        <v>66</v>
      </c>
      <c r="B120" t="s">
        <v>68</v>
      </c>
      <c r="C120">
        <v>4</v>
      </c>
      <c r="D120" t="s">
        <v>72</v>
      </c>
      <c r="E120" t="s">
        <v>100</v>
      </c>
      <c r="F120" t="s">
        <v>74</v>
      </c>
      <c r="G120">
        <v>2.3094749512111901</v>
      </c>
      <c r="H120">
        <v>0.46583270858410097</v>
      </c>
      <c r="I120">
        <v>0</v>
      </c>
      <c r="J120">
        <v>11</v>
      </c>
      <c r="K120">
        <v>2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10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1.938691833558875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0.24426972485872975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0.17474003459724646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1.6635577018983201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2.3099874805957801</v>
      </c>
      <c r="U120">
        <f>IF((ContinuousStatsTable[[#This Row],[RepsRequested]]&gt;1),ContinuousStatsTable[[#This Row],[HalfWidth]],ContinuousStatsTable[[#This Row],[BatchMeansHalfWidth]])</f>
        <v>0.17474003459724646</v>
      </c>
    </row>
    <row r="121" spans="1:21" x14ac:dyDescent="0.3">
      <c r="A121" t="s">
        <v>66</v>
      </c>
      <c r="B121" t="s">
        <v>68</v>
      </c>
      <c r="C121">
        <v>4</v>
      </c>
      <c r="D121" t="s">
        <v>101</v>
      </c>
      <c r="E121" t="s">
        <v>102</v>
      </c>
      <c r="F121" t="s">
        <v>103</v>
      </c>
      <c r="G121">
        <v>0.29421516955182597</v>
      </c>
      <c r="H121">
        <v>2E+20</v>
      </c>
      <c r="I121">
        <v>0</v>
      </c>
      <c r="J121">
        <v>1</v>
      </c>
      <c r="K121">
        <v>0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ProjectInterautoInstantaneous UtilizationResource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10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0.26535205929836458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2.5807993647623796E-2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1.8461926485074727E-2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0.20483176768320299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0.29552077299252399</v>
      </c>
      <c r="U121">
        <f>IF((ContinuousStatsTable[[#This Row],[RepsRequested]]&gt;1),ContinuousStatsTable[[#This Row],[HalfWidth]],ContinuousStatsTable[[#This Row],[BatchMeansHalfWidth]])</f>
        <v>1.8461926485074727E-2</v>
      </c>
    </row>
    <row r="122" spans="1:21" x14ac:dyDescent="0.3">
      <c r="A122" t="s">
        <v>66</v>
      </c>
      <c r="B122" t="s">
        <v>68</v>
      </c>
      <c r="C122">
        <v>4</v>
      </c>
      <c r="D122" t="s">
        <v>101</v>
      </c>
      <c r="E122" t="s">
        <v>104</v>
      </c>
      <c r="F122" t="s">
        <v>103</v>
      </c>
      <c r="G122">
        <v>0.29421516955182597</v>
      </c>
      <c r="H122">
        <v>2E+20</v>
      </c>
      <c r="I122">
        <v>0</v>
      </c>
      <c r="J122">
        <v>1</v>
      </c>
      <c r="K122">
        <v>0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ProjectInterautoNumber BusyResource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10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0.26535205929836458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2.5807993647623796E-2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1.8461926485074727E-2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0.20483176768320299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0.29552077299252399</v>
      </c>
      <c r="U122">
        <f>IF((ContinuousStatsTable[[#This Row],[RepsRequested]]&gt;1),ContinuousStatsTable[[#This Row],[HalfWidth]],ContinuousStatsTable[[#This Row],[BatchMeansHalfWidth]])</f>
        <v>1.8461926485074727E-2</v>
      </c>
    </row>
    <row r="123" spans="1:21" x14ac:dyDescent="0.3">
      <c r="A123" t="s">
        <v>66</v>
      </c>
      <c r="B123" t="s">
        <v>68</v>
      </c>
      <c r="C123">
        <v>4</v>
      </c>
      <c r="D123" t="s">
        <v>101</v>
      </c>
      <c r="E123" t="s">
        <v>105</v>
      </c>
      <c r="F123" t="s">
        <v>103</v>
      </c>
      <c r="G123">
        <v>1</v>
      </c>
      <c r="H123">
        <v>2E+20</v>
      </c>
      <c r="I123">
        <v>1</v>
      </c>
      <c r="J123">
        <v>1</v>
      </c>
      <c r="K123">
        <v>1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ProjectInterautoNumber ScheduledResource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10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1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0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1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1</v>
      </c>
      <c r="U123">
        <f>IF((ContinuousStatsTable[[#This Row],[RepsRequested]]&gt;1),ContinuousStatsTable[[#This Row],[HalfWidth]],ContinuousStatsTable[[#This Row],[BatchMeansHalfWidth]])</f>
        <v>0</v>
      </c>
    </row>
    <row r="124" spans="1:21" x14ac:dyDescent="0.3">
      <c r="A124" t="s">
        <v>66</v>
      </c>
      <c r="B124" t="s">
        <v>68</v>
      </c>
      <c r="C124">
        <v>4</v>
      </c>
      <c r="D124" t="s">
        <v>80</v>
      </c>
      <c r="E124" t="s">
        <v>99</v>
      </c>
      <c r="F124" t="s">
        <v>71</v>
      </c>
      <c r="G124">
        <v>0.234038936386188</v>
      </c>
      <c r="H124">
        <v>4.1887276838375197E-2</v>
      </c>
      <c r="I124">
        <v>0</v>
      </c>
      <c r="J124">
        <v>5</v>
      </c>
      <c r="K124">
        <v>0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ProjectLeave 1.QueueNumber WaitingQueue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10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0.20353568461890376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2.6549184575613477E-2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1.899214253405495E-2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0.168502364443611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0.24578450490959</v>
      </c>
      <c r="U124">
        <f>IF((ContinuousStatsTable[[#This Row],[RepsRequested]]&gt;1),ContinuousStatsTable[[#This Row],[HalfWidth]],ContinuousStatsTable[[#This Row],[BatchMeansHalfWidth]])</f>
        <v>1.899214253405495E-2</v>
      </c>
    </row>
    <row r="125" spans="1:21" x14ac:dyDescent="0.3">
      <c r="A125" t="s">
        <v>66</v>
      </c>
      <c r="B125" t="s">
        <v>68</v>
      </c>
      <c r="C125">
        <v>4</v>
      </c>
      <c r="D125" t="s">
        <v>81</v>
      </c>
      <c r="E125" t="s">
        <v>99</v>
      </c>
      <c r="F125" t="s">
        <v>71</v>
      </c>
      <c r="G125">
        <v>4.5324132315033199E-3</v>
      </c>
      <c r="H125">
        <v>2E+20</v>
      </c>
      <c r="I125">
        <v>0</v>
      </c>
      <c r="J125">
        <v>1</v>
      </c>
      <c r="K125">
        <v>0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ProjectLeave 4.QueueNumber WaitingQueue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10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4.8729672989697272E-3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9.2135939256816457E-4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6.5910080435457321E-4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3.2012309459038099E-3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6.0338305270789001E-3</v>
      </c>
      <c r="U125">
        <f>IF((ContinuousStatsTable[[#This Row],[RepsRequested]]&gt;1),ContinuousStatsTable[[#This Row],[HalfWidth]],ContinuousStatsTable[[#This Row],[BatchMeansHalfWidth]])</f>
        <v>6.5910080435457321E-4</v>
      </c>
    </row>
    <row r="126" spans="1:21" x14ac:dyDescent="0.3">
      <c r="A126" t="s">
        <v>66</v>
      </c>
      <c r="B126" t="s">
        <v>68</v>
      </c>
      <c r="C126">
        <v>4</v>
      </c>
      <c r="D126" t="s">
        <v>82</v>
      </c>
      <c r="E126" t="s">
        <v>99</v>
      </c>
      <c r="F126" t="s">
        <v>71</v>
      </c>
      <c r="G126">
        <v>5.32479198607681E-2</v>
      </c>
      <c r="H126">
        <v>3E+20</v>
      </c>
      <c r="I126">
        <v>0</v>
      </c>
      <c r="J126">
        <v>3</v>
      </c>
      <c r="K126">
        <v>0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ProjectLeave 5.QueueNumber WaitingQueue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10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4.8788152574119628E-2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5.3039270336942244E-3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3.7942008323176655E-3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4.1058101580258903E-2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5.6386723112129902E-2</v>
      </c>
      <c r="U126">
        <f>IF((ContinuousStatsTable[[#This Row],[RepsRequested]]&gt;1),ContinuousStatsTable[[#This Row],[HalfWidth]],ContinuousStatsTable[[#This Row],[BatchMeansHalfWidth]])</f>
        <v>3.7942008323176655E-3</v>
      </c>
    </row>
    <row r="127" spans="1:21" x14ac:dyDescent="0.3">
      <c r="A127" t="s">
        <v>66</v>
      </c>
      <c r="B127" t="s">
        <v>68</v>
      </c>
      <c r="C127">
        <v>4</v>
      </c>
      <c r="D127" t="s">
        <v>83</v>
      </c>
      <c r="E127" t="s">
        <v>99</v>
      </c>
      <c r="F127" t="s">
        <v>71</v>
      </c>
      <c r="G127">
        <v>6.2452549613019898E-3</v>
      </c>
      <c r="H127">
        <v>2E+20</v>
      </c>
      <c r="I127">
        <v>0</v>
      </c>
      <c r="J127">
        <v>1</v>
      </c>
      <c r="K127">
        <v>0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ProjectLeave 6.QueueNumber WaitingQueue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10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3.227619592382791E-3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1.5087685522347895E-3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1.0793080033525183E-3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4.7201486102630699E-4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6.2452549613019898E-3</v>
      </c>
      <c r="U127">
        <f>IF((ContinuousStatsTable[[#This Row],[RepsRequested]]&gt;1),ContinuousStatsTable[[#This Row],[HalfWidth]],ContinuousStatsTable[[#This Row],[BatchMeansHalfWidth]])</f>
        <v>1.0793080033525183E-3</v>
      </c>
    </row>
    <row r="128" spans="1:21" x14ac:dyDescent="0.3">
      <c r="A128" t="s">
        <v>66</v>
      </c>
      <c r="B128" t="s">
        <v>68</v>
      </c>
      <c r="C128">
        <v>4</v>
      </c>
      <c r="D128" t="s">
        <v>84</v>
      </c>
      <c r="E128" t="s">
        <v>99</v>
      </c>
      <c r="F128" t="s">
        <v>71</v>
      </c>
      <c r="G128">
        <v>6.5940432183484596E-2</v>
      </c>
      <c r="H128">
        <v>2E+20</v>
      </c>
      <c r="I128">
        <v>0</v>
      </c>
      <c r="J128">
        <v>3</v>
      </c>
      <c r="K128">
        <v>0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ProjectLeave 7.QueueNumber WaitingQueue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10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5.9441954240945373E-2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1.1519407308393107E-2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8.2404875707479553E-3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4.5386728660866099E-2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7.8633362228088005E-2</v>
      </c>
      <c r="U128">
        <f>IF((ContinuousStatsTable[[#This Row],[RepsRequested]]&gt;1),ContinuousStatsTable[[#This Row],[HalfWidth]],ContinuousStatsTable[[#This Row],[BatchMeansHalfWidth]])</f>
        <v>8.2404875707479553E-3</v>
      </c>
    </row>
    <row r="129" spans="1:21" x14ac:dyDescent="0.3">
      <c r="A129" t="s">
        <v>66</v>
      </c>
      <c r="B129" t="s">
        <v>68</v>
      </c>
      <c r="C129">
        <v>4</v>
      </c>
      <c r="D129" t="s">
        <v>85</v>
      </c>
      <c r="E129" t="s">
        <v>99</v>
      </c>
      <c r="F129" t="s">
        <v>71</v>
      </c>
      <c r="G129">
        <v>2.3780494675323199E-3</v>
      </c>
      <c r="H129">
        <v>2E+20</v>
      </c>
      <c r="I129">
        <v>0</v>
      </c>
      <c r="J129">
        <v>1</v>
      </c>
      <c r="K129">
        <v>0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ProjectLeave 8.QueueNumber WaitingQueue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10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2.1217771776478596E-3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8.0254950645480523E-4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5.7410933182579346E-4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9.0451064743319795E-4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3.5490296241417699E-3</v>
      </c>
      <c r="U129">
        <f>IF((ContinuousStatsTable[[#This Row],[RepsRequested]]&gt;1),ContinuousStatsTable[[#This Row],[HalfWidth]],ContinuousStatsTable[[#This Row],[BatchMeansHalfWidth]])</f>
        <v>5.7410933182579346E-4</v>
      </c>
    </row>
    <row r="130" spans="1:21" x14ac:dyDescent="0.3">
      <c r="A130" t="s">
        <v>66</v>
      </c>
      <c r="B130" t="s">
        <v>68</v>
      </c>
      <c r="C130">
        <v>4</v>
      </c>
      <c r="D130" t="s">
        <v>86</v>
      </c>
      <c r="E130" t="s">
        <v>99</v>
      </c>
      <c r="F130" t="s">
        <v>71</v>
      </c>
      <c r="G130">
        <v>1.60829454014845E-3</v>
      </c>
      <c r="H130">
        <v>2E+20</v>
      </c>
      <c r="I130">
        <v>0</v>
      </c>
      <c r="J130">
        <v>1</v>
      </c>
      <c r="K130">
        <v>0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ProjectLeave 9.QueueNumber WaitingQueue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10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1.3877246767065991E-3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7.1875981577935533E-4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5.1416979795196457E-4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2.8555279956142001E-4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2.50186012594582E-3</v>
      </c>
      <c r="U130">
        <f>IF((ContinuousStatsTable[[#This Row],[RepsRequested]]&gt;1),ContinuousStatsTable[[#This Row],[HalfWidth]],ContinuousStatsTable[[#This Row],[BatchMeansHalfWidth]])</f>
        <v>5.1416979795196457E-4</v>
      </c>
    </row>
    <row r="131" spans="1:21" x14ac:dyDescent="0.3">
      <c r="A131" t="s">
        <v>66</v>
      </c>
      <c r="B131" t="s">
        <v>68</v>
      </c>
      <c r="C131">
        <v>4</v>
      </c>
      <c r="D131" t="s">
        <v>87</v>
      </c>
      <c r="E131" t="s">
        <v>100</v>
      </c>
      <c r="F131" t="s">
        <v>74</v>
      </c>
      <c r="G131">
        <v>15.7623811038364</v>
      </c>
      <c r="H131">
        <v>3E+20</v>
      </c>
      <c r="I131">
        <v>0</v>
      </c>
      <c r="J131">
        <v>31</v>
      </c>
      <c r="K131">
        <v>31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ProjectMaleta InternacionalWIPEntity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10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13.037689788098451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1.9631643885071912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1.4043632028742961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10.277307754823401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16.425571484417201</v>
      </c>
      <c r="U131">
        <f>IF((ContinuousStatsTable[[#This Row],[RepsRequested]]&gt;1),ContinuousStatsTable[[#This Row],[HalfWidth]],ContinuousStatsTable[[#This Row],[BatchMeansHalfWidth]])</f>
        <v>1.4043632028742961</v>
      </c>
    </row>
    <row r="132" spans="1:21" x14ac:dyDescent="0.3">
      <c r="A132" t="s">
        <v>66</v>
      </c>
      <c r="B132" t="s">
        <v>68</v>
      </c>
      <c r="C132">
        <v>4</v>
      </c>
      <c r="D132" t="s">
        <v>88</v>
      </c>
      <c r="E132" t="s">
        <v>100</v>
      </c>
      <c r="F132" t="s">
        <v>74</v>
      </c>
      <c r="G132">
        <v>2.81172462831405</v>
      </c>
      <c r="H132">
        <v>2E+20</v>
      </c>
      <c r="I132">
        <v>0</v>
      </c>
      <c r="J132">
        <v>9</v>
      </c>
      <c r="K132">
        <v>3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ProjectMaleta NacionalWIPEntity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10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2.7356580954557046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0.24675556542769644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0.17651829781539885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2.4605296674942401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3.2916533376655202</v>
      </c>
      <c r="U132">
        <f>IF((ContinuousStatsTable[[#This Row],[RepsRequested]]&gt;1),ContinuousStatsTable[[#This Row],[HalfWidth]],ContinuousStatsTable[[#This Row],[BatchMeansHalfWidth]])</f>
        <v>0.17651829781539885</v>
      </c>
    </row>
    <row r="133" spans="1:21" x14ac:dyDescent="0.3">
      <c r="A133" t="s">
        <v>66</v>
      </c>
      <c r="B133" t="s">
        <v>68</v>
      </c>
      <c r="C133">
        <v>4</v>
      </c>
      <c r="D133" t="s">
        <v>106</v>
      </c>
      <c r="E133" t="s">
        <v>102</v>
      </c>
      <c r="F133" t="s">
        <v>103</v>
      </c>
      <c r="G133">
        <v>0.82581624655093899</v>
      </c>
      <c r="H133">
        <v>2E+20</v>
      </c>
      <c r="I133">
        <v>0</v>
      </c>
      <c r="J133">
        <v>1</v>
      </c>
      <c r="K133">
        <v>1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ProjectNacionalautoInstantaneous UtilizationResource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10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0.73175058451933661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6.0813477412386734E-2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4.3503341043041877E-2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0.64995347349336796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0.82581624655093899</v>
      </c>
      <c r="U133">
        <f>IF((ContinuousStatsTable[[#This Row],[RepsRequested]]&gt;1),ContinuousStatsTable[[#This Row],[HalfWidth]],ContinuousStatsTable[[#This Row],[BatchMeansHalfWidth]])</f>
        <v>4.3503341043041877E-2</v>
      </c>
    </row>
    <row r="134" spans="1:21" x14ac:dyDescent="0.3">
      <c r="A134" t="s">
        <v>66</v>
      </c>
      <c r="B134" t="s">
        <v>68</v>
      </c>
      <c r="C134">
        <v>4</v>
      </c>
      <c r="D134" t="s">
        <v>106</v>
      </c>
      <c r="E134" t="s">
        <v>104</v>
      </c>
      <c r="F134" t="s">
        <v>103</v>
      </c>
      <c r="G134">
        <v>0.82581624655093899</v>
      </c>
      <c r="H134">
        <v>2E+20</v>
      </c>
      <c r="I134">
        <v>0</v>
      </c>
      <c r="J134">
        <v>1</v>
      </c>
      <c r="K134">
        <v>1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ProjectNacionalautoNumber BusyResource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10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0.73175058451933661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6.0813477412386734E-2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4.3503341043041877E-2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0.64995347349336796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0.82581624655093899</v>
      </c>
      <c r="U134">
        <f>IF((ContinuousStatsTable[[#This Row],[RepsRequested]]&gt;1),ContinuousStatsTable[[#This Row],[HalfWidth]],ContinuousStatsTable[[#This Row],[BatchMeansHalfWidth]])</f>
        <v>4.3503341043041877E-2</v>
      </c>
    </row>
    <row r="135" spans="1:21" x14ac:dyDescent="0.3">
      <c r="A135" t="s">
        <v>66</v>
      </c>
      <c r="B135" t="s">
        <v>68</v>
      </c>
      <c r="C135">
        <v>4</v>
      </c>
      <c r="D135" t="s">
        <v>106</v>
      </c>
      <c r="E135" t="s">
        <v>105</v>
      </c>
      <c r="F135" t="s">
        <v>103</v>
      </c>
      <c r="G135">
        <v>1</v>
      </c>
      <c r="H135">
        <v>2E+20</v>
      </c>
      <c r="I135">
        <v>1</v>
      </c>
      <c r="J135">
        <v>1</v>
      </c>
      <c r="K135">
        <v>1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ProjectNacionalautoNumber ScheduledResource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10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1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1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1</v>
      </c>
      <c r="U135">
        <f>IF((ContinuousStatsTable[[#This Row],[RepsRequested]]&gt;1),ContinuousStatsTable[[#This Row],[HalfWidth]],ContinuousStatsTable[[#This Row],[BatchMeansHalfWidth]])</f>
        <v>0</v>
      </c>
    </row>
    <row r="136" spans="1:21" x14ac:dyDescent="0.3">
      <c r="A136" t="s">
        <v>66</v>
      </c>
      <c r="B136" t="s">
        <v>68</v>
      </c>
      <c r="C136">
        <v>4</v>
      </c>
      <c r="D136" t="s">
        <v>107</v>
      </c>
      <c r="E136" t="s">
        <v>102</v>
      </c>
      <c r="F136" t="s">
        <v>103</v>
      </c>
      <c r="G136">
        <v>7.5664719476007503E-2</v>
      </c>
      <c r="H136">
        <v>3E+20</v>
      </c>
      <c r="I136">
        <v>0</v>
      </c>
      <c r="J136">
        <v>1</v>
      </c>
      <c r="K136">
        <v>0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ProjectOperarios AvionInstantaneous UtilizationResource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10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7.5958437118625627E-2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5.0572810112240948E-3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3.6177608968134627E-3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6.7485948117393404E-2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8.7852447587946303E-2</v>
      </c>
      <c r="U136">
        <f>IF((ContinuousStatsTable[[#This Row],[RepsRequested]]&gt;1),ContinuousStatsTable[[#This Row],[HalfWidth]],ContinuousStatsTable[[#This Row],[BatchMeansHalfWidth]])</f>
        <v>3.6177608968134627E-3</v>
      </c>
    </row>
    <row r="137" spans="1:21" x14ac:dyDescent="0.3">
      <c r="A137" t="s">
        <v>66</v>
      </c>
      <c r="B137" t="s">
        <v>68</v>
      </c>
      <c r="C137">
        <v>4</v>
      </c>
      <c r="D137" t="s">
        <v>107</v>
      </c>
      <c r="E137" t="s">
        <v>104</v>
      </c>
      <c r="F137" t="s">
        <v>103</v>
      </c>
      <c r="G137">
        <v>0.15132943895201501</v>
      </c>
      <c r="H137">
        <v>3E+20</v>
      </c>
      <c r="I137">
        <v>0</v>
      </c>
      <c r="J137">
        <v>2</v>
      </c>
      <c r="K137">
        <v>0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ProjectOperarios AvionNumber BusyResource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10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0.1519168742372512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1.0114562022448264E-2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7.2355217936269783E-3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0.134971896234787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0.17570489517589299</v>
      </c>
      <c r="U137">
        <f>IF((ContinuousStatsTable[[#This Row],[RepsRequested]]&gt;1),ContinuousStatsTable[[#This Row],[HalfWidth]],ContinuousStatsTable[[#This Row],[BatchMeansHalfWidth]])</f>
        <v>7.2355217936269783E-3</v>
      </c>
    </row>
    <row r="138" spans="1:21" x14ac:dyDescent="0.3">
      <c r="A138" t="s">
        <v>66</v>
      </c>
      <c r="B138" t="s">
        <v>68</v>
      </c>
      <c r="C138">
        <v>4</v>
      </c>
      <c r="D138" t="s">
        <v>107</v>
      </c>
      <c r="E138" t="s">
        <v>105</v>
      </c>
      <c r="F138" t="s">
        <v>103</v>
      </c>
      <c r="G138">
        <v>2</v>
      </c>
      <c r="H138">
        <v>2E+20</v>
      </c>
      <c r="I138">
        <v>2</v>
      </c>
      <c r="J138">
        <v>2</v>
      </c>
      <c r="K138">
        <v>2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ProjectOperarios AvionNumber ScheduledResource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10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2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0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2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2</v>
      </c>
      <c r="U138">
        <f>IF((ContinuousStatsTable[[#This Row],[RepsRequested]]&gt;1),ContinuousStatsTable[[#This Row],[HalfWidth]],ContinuousStatsTable[[#This Row],[BatchMeansHalfWidth]])</f>
        <v>0</v>
      </c>
    </row>
    <row r="139" spans="1:21" x14ac:dyDescent="0.3">
      <c r="A139" t="s">
        <v>66</v>
      </c>
      <c r="B139" t="s">
        <v>68</v>
      </c>
      <c r="C139">
        <v>4</v>
      </c>
      <c r="D139" t="s">
        <v>108</v>
      </c>
      <c r="E139" t="s">
        <v>102</v>
      </c>
      <c r="F139" t="s">
        <v>103</v>
      </c>
      <c r="G139">
        <v>0.46134650546047301</v>
      </c>
      <c r="H139">
        <v>2E+20</v>
      </c>
      <c r="I139">
        <v>0</v>
      </c>
      <c r="J139">
        <v>1</v>
      </c>
      <c r="K139">
        <v>1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ProjectcajeraInstantaneous UtilizationResource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10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0.38078385056341441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5.6481911326734656E-2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4.040472533000234E-2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0.28913636698845602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0.46134650546047301</v>
      </c>
      <c r="U139">
        <f>IF((ContinuousStatsTable[[#This Row],[RepsRequested]]&gt;1),ContinuousStatsTable[[#This Row],[HalfWidth]],ContinuousStatsTable[[#This Row],[BatchMeansHalfWidth]])</f>
        <v>4.040472533000234E-2</v>
      </c>
    </row>
    <row r="140" spans="1:21" x14ac:dyDescent="0.3">
      <c r="A140" t="s">
        <v>66</v>
      </c>
      <c r="B140" t="s">
        <v>68</v>
      </c>
      <c r="C140">
        <v>4</v>
      </c>
      <c r="D140" t="s">
        <v>108</v>
      </c>
      <c r="E140" t="s">
        <v>104</v>
      </c>
      <c r="F140" t="s">
        <v>103</v>
      </c>
      <c r="G140">
        <v>0.46134650546047301</v>
      </c>
      <c r="H140">
        <v>2E+20</v>
      </c>
      <c r="I140">
        <v>0</v>
      </c>
      <c r="J140">
        <v>1</v>
      </c>
      <c r="K140">
        <v>1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ProjectcajeraNumber BusyResource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10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0.38078385056341441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5.6481911326734656E-2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4.040472533000234E-2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0.28913636698845602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0.46134650546047301</v>
      </c>
      <c r="U140">
        <f>IF((ContinuousStatsTable[[#This Row],[RepsRequested]]&gt;1),ContinuousStatsTable[[#This Row],[HalfWidth]],ContinuousStatsTable[[#This Row],[BatchMeansHalfWidth]])</f>
        <v>4.040472533000234E-2</v>
      </c>
    </row>
    <row r="141" spans="1:21" x14ac:dyDescent="0.3">
      <c r="A141" t="s">
        <v>66</v>
      </c>
      <c r="B141" t="s">
        <v>68</v>
      </c>
      <c r="C141">
        <v>4</v>
      </c>
      <c r="D141" t="s">
        <v>108</v>
      </c>
      <c r="E141" t="s">
        <v>105</v>
      </c>
      <c r="F141" t="s">
        <v>103</v>
      </c>
      <c r="G141">
        <v>1</v>
      </c>
      <c r="H141">
        <v>2E+20</v>
      </c>
      <c r="I141">
        <v>1</v>
      </c>
      <c r="J141">
        <v>1</v>
      </c>
      <c r="K141">
        <v>1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ProjectcajeraNumber ScheduledResource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10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1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0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1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1</v>
      </c>
      <c r="U141">
        <f>IF((ContinuousStatsTable[[#This Row],[RepsRequested]]&gt;1),ContinuousStatsTable[[#This Row],[HalfWidth]],ContinuousStatsTable[[#This Row],[BatchMeansHalfWidth]])</f>
        <v>0</v>
      </c>
    </row>
    <row r="142" spans="1:21" x14ac:dyDescent="0.3">
      <c r="A142" t="s">
        <v>66</v>
      </c>
      <c r="B142" t="s">
        <v>68</v>
      </c>
      <c r="C142">
        <v>4</v>
      </c>
      <c r="D142" t="s">
        <v>109</v>
      </c>
      <c r="E142" t="s">
        <v>102</v>
      </c>
      <c r="F142" t="s">
        <v>103</v>
      </c>
      <c r="G142">
        <v>0.77845968782647601</v>
      </c>
      <c r="H142">
        <v>2E+20</v>
      </c>
      <c r="I142">
        <v>0</v>
      </c>
      <c r="J142">
        <v>1</v>
      </c>
      <c r="K142">
        <v>1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Projectcajera2Instantaneous UtilizationResource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10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0.73571117943508912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2.3945213257811505E-2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1.7129373668915777E-2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0.69752119636771104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0.77845968782647601</v>
      </c>
      <c r="U142">
        <f>IF((ContinuousStatsTable[[#This Row],[RepsRequested]]&gt;1),ContinuousStatsTable[[#This Row],[HalfWidth]],ContinuousStatsTable[[#This Row],[BatchMeansHalfWidth]])</f>
        <v>1.7129373668915777E-2</v>
      </c>
    </row>
    <row r="143" spans="1:21" x14ac:dyDescent="0.3">
      <c r="A143" t="s">
        <v>66</v>
      </c>
      <c r="B143" t="s">
        <v>68</v>
      </c>
      <c r="C143">
        <v>4</v>
      </c>
      <c r="D143" t="s">
        <v>109</v>
      </c>
      <c r="E143" t="s">
        <v>104</v>
      </c>
      <c r="F143" t="s">
        <v>103</v>
      </c>
      <c r="G143">
        <v>0.77845968782647601</v>
      </c>
      <c r="H143">
        <v>2E+20</v>
      </c>
      <c r="I143">
        <v>0</v>
      </c>
      <c r="J143">
        <v>1</v>
      </c>
      <c r="K143">
        <v>1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Projectcajera2Number BusyResource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10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0.73571117943508912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2.3945213257811505E-2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1.7129373668915777E-2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0.69752119636771104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0.77845968782647601</v>
      </c>
      <c r="U143">
        <f>IF((ContinuousStatsTable[[#This Row],[RepsRequested]]&gt;1),ContinuousStatsTable[[#This Row],[HalfWidth]],ContinuousStatsTable[[#This Row],[BatchMeansHalfWidth]])</f>
        <v>1.7129373668915777E-2</v>
      </c>
    </row>
    <row r="144" spans="1:21" x14ac:dyDescent="0.3">
      <c r="A144" t="s">
        <v>66</v>
      </c>
      <c r="B144" t="s">
        <v>68</v>
      </c>
      <c r="C144">
        <v>4</v>
      </c>
      <c r="D144" t="s">
        <v>109</v>
      </c>
      <c r="E144" t="s">
        <v>105</v>
      </c>
      <c r="F144" t="s">
        <v>103</v>
      </c>
      <c r="G144">
        <v>1</v>
      </c>
      <c r="H144">
        <v>2E+20</v>
      </c>
      <c r="I144">
        <v>1</v>
      </c>
      <c r="J144">
        <v>1</v>
      </c>
      <c r="K144">
        <v>1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Projectcajera2Number ScheduledResource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10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1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1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1</v>
      </c>
      <c r="U144">
        <f>IF((ContinuousStatsTable[[#This Row],[RepsRequested]]&gt;1),ContinuousStatsTable[[#This Row],[HalfWidth]],ContinuousStatsTable[[#This Row],[BatchMeansHalfWidth]])</f>
        <v>0</v>
      </c>
    </row>
    <row r="145" spans="1:21" x14ac:dyDescent="0.3">
      <c r="A145" t="s">
        <v>66</v>
      </c>
      <c r="B145" t="s">
        <v>68</v>
      </c>
      <c r="C145">
        <v>4</v>
      </c>
      <c r="D145" t="s">
        <v>93</v>
      </c>
      <c r="E145" t="s">
        <v>99</v>
      </c>
      <c r="F145" t="s">
        <v>71</v>
      </c>
      <c r="G145">
        <v>0.115553178442506</v>
      </c>
      <c r="H145">
        <v>2E+20</v>
      </c>
      <c r="I145">
        <v>0</v>
      </c>
      <c r="J145">
        <v>1</v>
      </c>
      <c r="K145">
        <v>0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Projectmanualinter.QueueNumber WaitingQueue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10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0.33257710094571935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0.27159595138606457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0.19428803945769421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4.88437833500961E-2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0.95917715937716497</v>
      </c>
      <c r="U145">
        <f>IF((ContinuousStatsTable[[#This Row],[RepsRequested]]&gt;1),ContinuousStatsTable[[#This Row],[HalfWidth]],ContinuousStatsTable[[#This Row],[BatchMeansHalfWidth]])</f>
        <v>0.19428803945769421</v>
      </c>
    </row>
    <row r="146" spans="1:21" x14ac:dyDescent="0.3">
      <c r="A146" t="s">
        <v>66</v>
      </c>
      <c r="B146" t="s">
        <v>68</v>
      </c>
      <c r="C146">
        <v>4</v>
      </c>
      <c r="D146" t="s">
        <v>94</v>
      </c>
      <c r="E146" t="s">
        <v>99</v>
      </c>
      <c r="F146" t="s">
        <v>71</v>
      </c>
      <c r="G146">
        <v>0</v>
      </c>
      <c r="H146">
        <v>2E+20</v>
      </c>
      <c r="I146">
        <v>0</v>
      </c>
      <c r="J146">
        <v>0</v>
      </c>
      <c r="K146">
        <v>0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Projectmanualnaciona.QueueNumber WaitingQueue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10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2.2437109622866062E-3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6.4095428429067599E-3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4.5851107367881972E-3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0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2.0447096127880302E-2</v>
      </c>
      <c r="U146">
        <f>IF((ContinuousStatsTable[[#This Row],[RepsRequested]]&gt;1),ContinuousStatsTable[[#This Row],[HalfWidth]],ContinuousStatsTable[[#This Row],[BatchMeansHalfWidth]])</f>
        <v>4.5851107367881972E-3</v>
      </c>
    </row>
    <row r="147" spans="1:21" x14ac:dyDescent="0.3">
      <c r="A147" t="s">
        <v>66</v>
      </c>
      <c r="B147" t="s">
        <v>68</v>
      </c>
      <c r="C147">
        <v>4</v>
      </c>
      <c r="D147" t="s">
        <v>95</v>
      </c>
      <c r="E147" t="s">
        <v>99</v>
      </c>
      <c r="F147" t="s">
        <v>71</v>
      </c>
      <c r="G147">
        <v>4.1967726469991202</v>
      </c>
      <c r="H147">
        <v>3E+20</v>
      </c>
      <c r="I147">
        <v>0</v>
      </c>
      <c r="J147">
        <v>14</v>
      </c>
      <c r="K147">
        <v>11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Projectmaquinainter.QueueNumber WaitingQueue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10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2.7250893633296323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1.2704307292922721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0.90881139575657477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1.35760259855807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5.2621649076821404</v>
      </c>
      <c r="U147">
        <f>IF((ContinuousStatsTable[[#This Row],[RepsRequested]]&gt;1),ContinuousStatsTable[[#This Row],[HalfWidth]],ContinuousStatsTable[[#This Row],[BatchMeansHalfWidth]])</f>
        <v>0.90881139575657477</v>
      </c>
    </row>
    <row r="148" spans="1:21" x14ac:dyDescent="0.3">
      <c r="A148" t="s">
        <v>66</v>
      </c>
      <c r="B148" t="s">
        <v>68</v>
      </c>
      <c r="C148">
        <v>4</v>
      </c>
      <c r="D148" t="s">
        <v>96</v>
      </c>
      <c r="E148" t="s">
        <v>99</v>
      </c>
      <c r="F148" t="s">
        <v>71</v>
      </c>
      <c r="G148">
        <v>0.233605269428353</v>
      </c>
      <c r="H148">
        <v>2E+20</v>
      </c>
      <c r="I148">
        <v>0</v>
      </c>
      <c r="J148">
        <v>5</v>
      </c>
      <c r="K148">
        <v>0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Projectmaquinanacional.QueueNumber WaitingQueue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10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0.20327393268399513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5.4678802003311266E-2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3.9114858623271326E-2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9.7152989948067606E-2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0.28694483715654301</v>
      </c>
      <c r="U148">
        <f>IF((ContinuousStatsTable[[#This Row],[RepsRequested]]&gt;1),ContinuousStatsTable[[#This Row],[HalfWidth]],ContinuousStatsTable[[#This Row],[BatchMeansHalfWidth]])</f>
        <v>3.9114858623271326E-2</v>
      </c>
    </row>
    <row r="149" spans="1:21" x14ac:dyDescent="0.3">
      <c r="A149" t="s">
        <v>66</v>
      </c>
      <c r="B149" t="s">
        <v>68</v>
      </c>
      <c r="C149">
        <v>4</v>
      </c>
      <c r="D149" t="s">
        <v>97</v>
      </c>
      <c r="E149" t="s">
        <v>99</v>
      </c>
      <c r="F149" t="s">
        <v>71</v>
      </c>
      <c r="G149">
        <v>0.35642131361759599</v>
      </c>
      <c r="H149">
        <v>2E+20</v>
      </c>
      <c r="I149">
        <v>0</v>
      </c>
      <c r="J149">
        <v>3</v>
      </c>
      <c r="K149">
        <v>0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Projectmostrador1.QueueNumber WaitingQueue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10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0.25365601436241814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9.7306237195948719E-2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6.9608688772141478E-2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0.124078487063659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0.381680898629085</v>
      </c>
      <c r="U149">
        <f>IF((ContinuousStatsTable[[#This Row],[RepsRequested]]&gt;1),ContinuousStatsTable[[#This Row],[HalfWidth]],ContinuousStatsTable[[#This Row],[BatchMeansHalfWidth]])</f>
        <v>6.9608688772141478E-2</v>
      </c>
    </row>
    <row r="150" spans="1:21" x14ac:dyDescent="0.3">
      <c r="A150" t="s">
        <v>66</v>
      </c>
      <c r="B150" t="s">
        <v>68</v>
      </c>
      <c r="C150">
        <v>4</v>
      </c>
      <c r="D150" t="s">
        <v>98</v>
      </c>
      <c r="E150" t="s">
        <v>99</v>
      </c>
      <c r="F150" t="s">
        <v>71</v>
      </c>
      <c r="G150">
        <v>0.71324744430664899</v>
      </c>
      <c r="H150">
        <v>2E+20</v>
      </c>
      <c r="I150">
        <v>0</v>
      </c>
      <c r="J150">
        <v>4</v>
      </c>
      <c r="K150">
        <v>0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Projectmostrador2.QueueNumber WaitingQueue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10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0.56854078919795403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9.5876381195630939E-2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6.8585831407770567E-2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0.461258283509344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0.74281217456090598</v>
      </c>
      <c r="U150">
        <f>IF((ContinuousStatsTable[[#This Row],[RepsRequested]]&gt;1),ContinuousStatsTable[[#This Row],[HalfWidth]],ContinuousStatsTable[[#This Row],[BatchMeansHalfWidth]])</f>
        <v>6.8585831407770567E-2</v>
      </c>
    </row>
    <row r="151" spans="1:21" x14ac:dyDescent="0.3">
      <c r="A151" t="s">
        <v>66</v>
      </c>
      <c r="B151" t="s">
        <v>68</v>
      </c>
      <c r="C151">
        <v>4</v>
      </c>
      <c r="D151" t="s">
        <v>110</v>
      </c>
      <c r="E151" t="s">
        <v>100</v>
      </c>
      <c r="F151" t="s">
        <v>74</v>
      </c>
      <c r="G151">
        <v>0</v>
      </c>
      <c r="H151">
        <v>2E+20</v>
      </c>
      <c r="I151">
        <v>0</v>
      </c>
      <c r="J151">
        <v>0</v>
      </c>
      <c r="K151">
        <v>0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ProjectpersonaWIPEntity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10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0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0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0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0</v>
      </c>
      <c r="U151">
        <f>IF((ContinuousStatsTable[[#This Row],[RepsRequested]]&gt;1),ContinuousStatsTable[[#This Row],[HalfWidth]],ContinuousStatsTable[[#This Row],[BatchMeansHalfWidth]])</f>
        <v>0</v>
      </c>
    </row>
    <row r="152" spans="1:21" x14ac:dyDescent="0.3">
      <c r="A152" t="s">
        <v>66</v>
      </c>
      <c r="B152" t="s">
        <v>68</v>
      </c>
      <c r="C152">
        <v>4</v>
      </c>
      <c r="D152" t="s">
        <v>111</v>
      </c>
      <c r="E152" t="s">
        <v>102</v>
      </c>
      <c r="F152" t="s">
        <v>103</v>
      </c>
      <c r="G152">
        <v>8.6750307062005094E-2</v>
      </c>
      <c r="H152">
        <v>2E+20</v>
      </c>
      <c r="I152">
        <v>0</v>
      </c>
      <c r="J152">
        <v>1</v>
      </c>
      <c r="K152">
        <v>0</v>
      </c>
      <c r="L152">
        <v>0</v>
      </c>
      <c r="M152" t="str">
        <f>ContinuousStatsTable[[#This Row],[ProjectName]]&amp;ContinuousStatsTable[[#This Row],[Name]]&amp;ContinuousStatsTable[[#This Row],[Type]]&amp;ContinuousStatsTable[[#This Row],[Source]]</f>
        <v>Unnamed Projectregistro1Instantaneous UtilizationResource</v>
      </c>
      <c r="N152" cm="1">
        <f t="array" ref="N152">MAX(IF((ProjectInfoTable[ProjectName]=ContinuousStatsTable[[#This Row],[ProjectName]]),(ProjectInfoTable[ProjectName]=ContinuousStatsTable[[#This Row],[ProjectName]])*ProjectInfoTable[NumberOfReplications]))</f>
        <v>10</v>
      </c>
      <c r="O152" cm="1">
        <f t="array" ref="O152">IFERROR(AVERAGE(IF((ContinuousStatsTable[GroupByKey]=ContinuousStatsTable[[#This Row],[GroupByKey]]),(ContinuousStatsTable[GroupByKey]=ContinuousStatsTable[[#This Row],[GroupByKey]])*ContinuousStatsTable[Average])),0)</f>
        <v>5.6433247648491516E-2</v>
      </c>
      <c r="P152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2.4456082934732001E-2</v>
      </c>
      <c r="Q152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1.7494827820351853E-2</v>
      </c>
      <c r="S152" cm="1">
        <f t="array" ref="S152">MIN(IF((ContinuousStatsTable[GroupByKey]=ContinuousStatsTable[[#This Row],[GroupByKey]]),(ContinuousStatsTable[GroupByKey]=ContinuousStatsTable[[#This Row],[GroupByKey]])*ContinuousStatsTable[Average]))</f>
        <v>2.1279401430778E-2</v>
      </c>
      <c r="T152" cm="1">
        <f t="array" ref="T152">MAX(IF((ContinuousStatsTable[GroupByKey]=ContinuousStatsTable[[#This Row],[GroupByKey]]),(ContinuousStatsTable[GroupByKey]=ContinuousStatsTable[[#This Row],[GroupByKey]])*ContinuousStatsTable[Average]))</f>
        <v>8.8472374570180701E-2</v>
      </c>
      <c r="U152">
        <f>IF((ContinuousStatsTable[[#This Row],[RepsRequested]]&gt;1),ContinuousStatsTable[[#This Row],[HalfWidth]],ContinuousStatsTable[[#This Row],[BatchMeansHalfWidth]])</f>
        <v>1.7494827820351853E-2</v>
      </c>
    </row>
    <row r="153" spans="1:21" x14ac:dyDescent="0.3">
      <c r="A153" t="s">
        <v>66</v>
      </c>
      <c r="B153" t="s">
        <v>68</v>
      </c>
      <c r="C153">
        <v>4</v>
      </c>
      <c r="D153" t="s">
        <v>111</v>
      </c>
      <c r="E153" t="s">
        <v>104</v>
      </c>
      <c r="F153" t="s">
        <v>103</v>
      </c>
      <c r="G153">
        <v>8.6750307062005094E-2</v>
      </c>
      <c r="H153">
        <v>2E+20</v>
      </c>
      <c r="I153">
        <v>0</v>
      </c>
      <c r="J153">
        <v>1</v>
      </c>
      <c r="K153">
        <v>0</v>
      </c>
      <c r="L153">
        <v>0</v>
      </c>
      <c r="M153" t="str">
        <f>ContinuousStatsTable[[#This Row],[ProjectName]]&amp;ContinuousStatsTable[[#This Row],[Name]]&amp;ContinuousStatsTable[[#This Row],[Type]]&amp;ContinuousStatsTable[[#This Row],[Source]]</f>
        <v>Unnamed Projectregistro1Number BusyResource</v>
      </c>
      <c r="N153" cm="1">
        <f t="array" ref="N153">MAX(IF((ProjectInfoTable[ProjectName]=ContinuousStatsTable[[#This Row],[ProjectName]]),(ProjectInfoTable[ProjectName]=ContinuousStatsTable[[#This Row],[ProjectName]])*ProjectInfoTable[NumberOfReplications]))</f>
        <v>10</v>
      </c>
      <c r="O153" cm="1">
        <f t="array" ref="O153">IFERROR(AVERAGE(IF((ContinuousStatsTable[GroupByKey]=ContinuousStatsTable[[#This Row],[GroupByKey]]),(ContinuousStatsTable[GroupByKey]=ContinuousStatsTable[[#This Row],[GroupByKey]])*ContinuousStatsTable[Average])),0)</f>
        <v>5.6433247648491516E-2</v>
      </c>
      <c r="P153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2.4456082934732001E-2</v>
      </c>
      <c r="Q153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1.7494827820351853E-2</v>
      </c>
      <c r="S153" cm="1">
        <f t="array" ref="S153">MIN(IF((ContinuousStatsTable[GroupByKey]=ContinuousStatsTable[[#This Row],[GroupByKey]]),(ContinuousStatsTable[GroupByKey]=ContinuousStatsTable[[#This Row],[GroupByKey]])*ContinuousStatsTable[Average]))</f>
        <v>2.1279401430778E-2</v>
      </c>
      <c r="T153" cm="1">
        <f t="array" ref="T153">MAX(IF((ContinuousStatsTable[GroupByKey]=ContinuousStatsTable[[#This Row],[GroupByKey]]),(ContinuousStatsTable[GroupByKey]=ContinuousStatsTable[[#This Row],[GroupByKey]])*ContinuousStatsTable[Average]))</f>
        <v>8.8472374570180701E-2</v>
      </c>
      <c r="U153">
        <f>IF((ContinuousStatsTable[[#This Row],[RepsRequested]]&gt;1),ContinuousStatsTable[[#This Row],[HalfWidth]],ContinuousStatsTable[[#This Row],[BatchMeansHalfWidth]])</f>
        <v>1.7494827820351853E-2</v>
      </c>
    </row>
    <row r="154" spans="1:21" x14ac:dyDescent="0.3">
      <c r="A154" t="s">
        <v>66</v>
      </c>
      <c r="B154" t="s">
        <v>68</v>
      </c>
      <c r="C154">
        <v>4</v>
      </c>
      <c r="D154" t="s">
        <v>111</v>
      </c>
      <c r="E154" t="s">
        <v>105</v>
      </c>
      <c r="F154" t="s">
        <v>103</v>
      </c>
      <c r="G154">
        <v>1</v>
      </c>
      <c r="H154">
        <v>2E+20</v>
      </c>
      <c r="I154">
        <v>1</v>
      </c>
      <c r="J154">
        <v>1</v>
      </c>
      <c r="K154">
        <v>1</v>
      </c>
      <c r="L154">
        <v>0</v>
      </c>
      <c r="M154" t="str">
        <f>ContinuousStatsTable[[#This Row],[ProjectName]]&amp;ContinuousStatsTable[[#This Row],[Name]]&amp;ContinuousStatsTable[[#This Row],[Type]]&amp;ContinuousStatsTable[[#This Row],[Source]]</f>
        <v>Unnamed Projectregistro1Number ScheduledResource</v>
      </c>
      <c r="N154" cm="1">
        <f t="array" ref="N154">MAX(IF((ProjectInfoTable[ProjectName]=ContinuousStatsTable[[#This Row],[ProjectName]]),(ProjectInfoTable[ProjectName]=ContinuousStatsTable[[#This Row],[ProjectName]])*ProjectInfoTable[NumberOfReplications]))</f>
        <v>10</v>
      </c>
      <c r="O154" cm="1">
        <f t="array" ref="O154">IFERROR(AVERAGE(IF((ContinuousStatsTable[GroupByKey]=ContinuousStatsTable[[#This Row],[GroupByKey]]),(ContinuousStatsTable[GroupByKey]=ContinuousStatsTable[[#This Row],[GroupByKey]])*ContinuousStatsTable[Average])),0)</f>
        <v>1</v>
      </c>
      <c r="P154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0</v>
      </c>
      <c r="Q154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4" cm="1">
        <f t="array" ref="S154">MIN(IF((ContinuousStatsTable[GroupByKey]=ContinuousStatsTable[[#This Row],[GroupByKey]]),(ContinuousStatsTable[GroupByKey]=ContinuousStatsTable[[#This Row],[GroupByKey]])*ContinuousStatsTable[Average]))</f>
        <v>1</v>
      </c>
      <c r="T154" cm="1">
        <f t="array" ref="T154">MAX(IF((ContinuousStatsTable[GroupByKey]=ContinuousStatsTable[[#This Row],[GroupByKey]]),(ContinuousStatsTable[GroupByKey]=ContinuousStatsTable[[#This Row],[GroupByKey]])*ContinuousStatsTable[Average]))</f>
        <v>1</v>
      </c>
      <c r="U154">
        <f>IF((ContinuousStatsTable[[#This Row],[RepsRequested]]&gt;1),ContinuousStatsTable[[#This Row],[HalfWidth]],ContinuousStatsTable[[#This Row],[BatchMeansHalfWidth]])</f>
        <v>0</v>
      </c>
    </row>
    <row r="155" spans="1:21" x14ac:dyDescent="0.3">
      <c r="A155" t="s">
        <v>66</v>
      </c>
      <c r="B155" t="s">
        <v>68</v>
      </c>
      <c r="C155">
        <v>4</v>
      </c>
      <c r="D155" t="s">
        <v>112</v>
      </c>
      <c r="E155" t="s">
        <v>102</v>
      </c>
      <c r="F155" t="s">
        <v>103</v>
      </c>
      <c r="G155">
        <v>0.49903677354296999</v>
      </c>
      <c r="H155">
        <v>2E+20</v>
      </c>
      <c r="I155">
        <v>0</v>
      </c>
      <c r="J155">
        <v>1</v>
      </c>
      <c r="K155">
        <v>0</v>
      </c>
      <c r="L155">
        <v>0</v>
      </c>
      <c r="M155" t="str">
        <f>ContinuousStatsTable[[#This Row],[ProjectName]]&amp;ContinuousStatsTable[[#This Row],[Name]]&amp;ContinuousStatsTable[[#This Row],[Type]]&amp;ContinuousStatsTable[[#This Row],[Source]]</f>
        <v>Unnamed Projectregistro2Instantaneous UtilizationResource</v>
      </c>
      <c r="N155" cm="1">
        <f t="array" ref="N155">MAX(IF((ProjectInfoTable[ProjectName]=ContinuousStatsTable[[#This Row],[ProjectName]]),(ProjectInfoTable[ProjectName]=ContinuousStatsTable[[#This Row],[ProjectName]])*ProjectInfoTable[NumberOfReplications]))</f>
        <v>10</v>
      </c>
      <c r="O155" cm="1">
        <f t="array" ref="O155">IFERROR(AVERAGE(IF((ContinuousStatsTable[GroupByKey]=ContinuousStatsTable[[#This Row],[GroupByKey]]),(ContinuousStatsTable[GroupByKey]=ContinuousStatsTable[[#This Row],[GroupByKey]])*ContinuousStatsTable[Average])),0)</f>
        <v>0.46274808587050231</v>
      </c>
      <c r="P15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9.1165192054027525E-2</v>
      </c>
      <c r="Q15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6.5215649719990554E-2</v>
      </c>
      <c r="S155" cm="1">
        <f t="array" ref="S155">MIN(IF((ContinuousStatsTable[GroupByKey]=ContinuousStatsTable[[#This Row],[GroupByKey]]),(ContinuousStatsTable[GroupByKey]=ContinuousStatsTable[[#This Row],[GroupByKey]])*ContinuousStatsTable[Average]))</f>
        <v>0.338210899349628</v>
      </c>
      <c r="T155" cm="1">
        <f t="array" ref="T155">MAX(IF((ContinuousStatsTable[GroupByKey]=ContinuousStatsTable[[#This Row],[GroupByKey]]),(ContinuousStatsTable[GroupByKey]=ContinuousStatsTable[[#This Row],[GroupByKey]])*ContinuousStatsTable[Average]))</f>
        <v>0.66990172486561195</v>
      </c>
      <c r="U155">
        <f>IF((ContinuousStatsTable[[#This Row],[RepsRequested]]&gt;1),ContinuousStatsTable[[#This Row],[HalfWidth]],ContinuousStatsTable[[#This Row],[BatchMeansHalfWidth]])</f>
        <v>6.5215649719990554E-2</v>
      </c>
    </row>
    <row r="156" spans="1:21" x14ac:dyDescent="0.3">
      <c r="A156" t="s">
        <v>66</v>
      </c>
      <c r="B156" t="s">
        <v>68</v>
      </c>
      <c r="C156">
        <v>4</v>
      </c>
      <c r="D156" t="s">
        <v>112</v>
      </c>
      <c r="E156" t="s">
        <v>104</v>
      </c>
      <c r="F156" t="s">
        <v>103</v>
      </c>
      <c r="G156">
        <v>0.49903677354296999</v>
      </c>
      <c r="H156">
        <v>2E+20</v>
      </c>
      <c r="I156">
        <v>0</v>
      </c>
      <c r="J156">
        <v>1</v>
      </c>
      <c r="K156">
        <v>0</v>
      </c>
      <c r="L156">
        <v>0</v>
      </c>
      <c r="M156" t="str">
        <f>ContinuousStatsTable[[#This Row],[ProjectName]]&amp;ContinuousStatsTable[[#This Row],[Name]]&amp;ContinuousStatsTable[[#This Row],[Type]]&amp;ContinuousStatsTable[[#This Row],[Source]]</f>
        <v>Unnamed Projectregistro2Number BusyResource</v>
      </c>
      <c r="N156" cm="1">
        <f t="array" ref="N156">MAX(IF((ProjectInfoTable[ProjectName]=ContinuousStatsTable[[#This Row],[ProjectName]]),(ProjectInfoTable[ProjectName]=ContinuousStatsTable[[#This Row],[ProjectName]])*ProjectInfoTable[NumberOfReplications]))</f>
        <v>10</v>
      </c>
      <c r="O156" cm="1">
        <f t="array" ref="O156">IFERROR(AVERAGE(IF((ContinuousStatsTable[GroupByKey]=ContinuousStatsTable[[#This Row],[GroupByKey]]),(ContinuousStatsTable[GroupByKey]=ContinuousStatsTable[[#This Row],[GroupByKey]])*ContinuousStatsTable[Average])),0)</f>
        <v>0.46274808587050231</v>
      </c>
      <c r="P156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9.1165192054027525E-2</v>
      </c>
      <c r="Q156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6.5215649719990554E-2</v>
      </c>
      <c r="S156" cm="1">
        <f t="array" ref="S156">MIN(IF((ContinuousStatsTable[GroupByKey]=ContinuousStatsTable[[#This Row],[GroupByKey]]),(ContinuousStatsTable[GroupByKey]=ContinuousStatsTable[[#This Row],[GroupByKey]])*ContinuousStatsTable[Average]))</f>
        <v>0.338210899349628</v>
      </c>
      <c r="T156" cm="1">
        <f t="array" ref="T156">MAX(IF((ContinuousStatsTable[GroupByKey]=ContinuousStatsTable[[#This Row],[GroupByKey]]),(ContinuousStatsTable[GroupByKey]=ContinuousStatsTable[[#This Row],[GroupByKey]])*ContinuousStatsTable[Average]))</f>
        <v>0.66990172486561195</v>
      </c>
      <c r="U156">
        <f>IF((ContinuousStatsTable[[#This Row],[RepsRequested]]&gt;1),ContinuousStatsTable[[#This Row],[HalfWidth]],ContinuousStatsTable[[#This Row],[BatchMeansHalfWidth]])</f>
        <v>6.5215649719990554E-2</v>
      </c>
    </row>
    <row r="157" spans="1:21" x14ac:dyDescent="0.3">
      <c r="A157" t="s">
        <v>66</v>
      </c>
      <c r="B157" t="s">
        <v>68</v>
      </c>
      <c r="C157">
        <v>4</v>
      </c>
      <c r="D157" t="s">
        <v>112</v>
      </c>
      <c r="E157" t="s">
        <v>105</v>
      </c>
      <c r="F157" t="s">
        <v>103</v>
      </c>
      <c r="G157">
        <v>1</v>
      </c>
      <c r="H157">
        <v>2E+20</v>
      </c>
      <c r="I157">
        <v>1</v>
      </c>
      <c r="J157">
        <v>1</v>
      </c>
      <c r="K157">
        <v>1</v>
      </c>
      <c r="L157">
        <v>0</v>
      </c>
      <c r="M157" t="str">
        <f>ContinuousStatsTable[[#This Row],[ProjectName]]&amp;ContinuousStatsTable[[#This Row],[Name]]&amp;ContinuousStatsTable[[#This Row],[Type]]&amp;ContinuousStatsTable[[#This Row],[Source]]</f>
        <v>Unnamed Projectregistro2Number ScheduledResource</v>
      </c>
      <c r="N157" cm="1">
        <f t="array" ref="N157">MAX(IF((ProjectInfoTable[ProjectName]=ContinuousStatsTable[[#This Row],[ProjectName]]),(ProjectInfoTable[ProjectName]=ContinuousStatsTable[[#This Row],[ProjectName]])*ProjectInfoTable[NumberOfReplications]))</f>
        <v>10</v>
      </c>
      <c r="O157" cm="1">
        <f t="array" ref="O157">IFERROR(AVERAGE(IF((ContinuousStatsTable[GroupByKey]=ContinuousStatsTable[[#This Row],[GroupByKey]]),(ContinuousStatsTable[GroupByKey]=ContinuousStatsTable[[#This Row],[GroupByKey]])*ContinuousStatsTable[Average])),0)</f>
        <v>1</v>
      </c>
      <c r="P157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0</v>
      </c>
      <c r="Q157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7" cm="1">
        <f t="array" ref="S157">MIN(IF((ContinuousStatsTable[GroupByKey]=ContinuousStatsTable[[#This Row],[GroupByKey]]),(ContinuousStatsTable[GroupByKey]=ContinuousStatsTable[[#This Row],[GroupByKey]])*ContinuousStatsTable[Average]))</f>
        <v>1</v>
      </c>
      <c r="T157" cm="1">
        <f t="array" ref="T157">MAX(IF((ContinuousStatsTable[GroupByKey]=ContinuousStatsTable[[#This Row],[GroupByKey]]),(ContinuousStatsTable[GroupByKey]=ContinuousStatsTable[[#This Row],[GroupByKey]])*ContinuousStatsTable[Average]))</f>
        <v>1</v>
      </c>
      <c r="U157">
        <f>IF((ContinuousStatsTable[[#This Row],[RepsRequested]]&gt;1),ContinuousStatsTable[[#This Row],[HalfWidth]],ContinuousStatsTable[[#This Row],[BatchMeansHalfWidth]])</f>
        <v>0</v>
      </c>
    </row>
    <row r="158" spans="1:21" x14ac:dyDescent="0.3">
      <c r="A158" t="s">
        <v>66</v>
      </c>
      <c r="B158" t="s">
        <v>68</v>
      </c>
      <c r="C158">
        <v>5</v>
      </c>
      <c r="D158" t="s">
        <v>69</v>
      </c>
      <c r="E158" t="s">
        <v>99</v>
      </c>
      <c r="F158" t="s">
        <v>71</v>
      </c>
      <c r="G158">
        <v>0</v>
      </c>
      <c r="H158">
        <v>2E+20</v>
      </c>
      <c r="I158">
        <v>0</v>
      </c>
      <c r="J158">
        <v>0</v>
      </c>
      <c r="K158">
        <v>0</v>
      </c>
      <c r="L158">
        <v>0</v>
      </c>
      <c r="M158" t="str">
        <f>ContinuousStatsTable[[#This Row],[ProjectName]]&amp;ContinuousStatsTable[[#This Row],[Name]]&amp;ContinuousStatsTable[[#This Row],[Type]]&amp;ContinuousStatsTable[[#This Row],[Source]]</f>
        <v>Unnamed ProjectCargar Avion.QueueNumber WaitingQueue</v>
      </c>
      <c r="N158" cm="1">
        <f t="array" ref="N158">MAX(IF((ProjectInfoTable[ProjectName]=ContinuousStatsTable[[#This Row],[ProjectName]]),(ProjectInfoTable[ProjectName]=ContinuousStatsTable[[#This Row],[ProjectName]])*ProjectInfoTable[NumberOfReplications]))</f>
        <v>10</v>
      </c>
      <c r="O158" cm="1">
        <f t="array" ref="O158">IFERROR(AVERAGE(IF((ContinuousStatsTable[GroupByKey]=ContinuousStatsTable[[#This Row],[GroupByKey]]),(ContinuousStatsTable[GroupByKey]=ContinuousStatsTable[[#This Row],[GroupByKey]])*ContinuousStatsTable[Average])),0)</f>
        <v>4.3234278073230802E-4</v>
      </c>
      <c r="P158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8.6650685478403973E-4</v>
      </c>
      <c r="Q158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6.1986166264068276E-4</v>
      </c>
      <c r="S158" cm="1">
        <f t="array" ref="S158">MIN(IF((ContinuousStatsTable[GroupByKey]=ContinuousStatsTable[[#This Row],[GroupByKey]]),(ContinuousStatsTable[GroupByKey]=ContinuousStatsTable[[#This Row],[GroupByKey]])*ContinuousStatsTable[Average]))</f>
        <v>0</v>
      </c>
      <c r="T158" cm="1">
        <f t="array" ref="T158">MAX(IF((ContinuousStatsTable[GroupByKey]=ContinuousStatsTable[[#This Row],[GroupByKey]]),(ContinuousStatsTable[GroupByKey]=ContinuousStatsTable[[#This Row],[GroupByKey]])*ContinuousStatsTable[Average]))</f>
        <v>2.8294284227636502E-3</v>
      </c>
      <c r="U158">
        <f>IF((ContinuousStatsTable[[#This Row],[RepsRequested]]&gt;1),ContinuousStatsTable[[#This Row],[HalfWidth]],ContinuousStatsTable[[#This Row],[BatchMeansHalfWidth]])</f>
        <v>6.1986166264068276E-4</v>
      </c>
    </row>
    <row r="159" spans="1:21" x14ac:dyDescent="0.3">
      <c r="A159" t="s">
        <v>66</v>
      </c>
      <c r="B159" t="s">
        <v>68</v>
      </c>
      <c r="C159">
        <v>5</v>
      </c>
      <c r="D159" t="s">
        <v>72</v>
      </c>
      <c r="E159" t="s">
        <v>100</v>
      </c>
      <c r="F159" t="s">
        <v>74</v>
      </c>
      <c r="G159">
        <v>2.0160096041751099</v>
      </c>
      <c r="H159">
        <v>0.48710472680194999</v>
      </c>
      <c r="I159">
        <v>0</v>
      </c>
      <c r="J159">
        <v>10</v>
      </c>
      <c r="K159">
        <v>2</v>
      </c>
      <c r="L159">
        <v>0</v>
      </c>
      <c r="M159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59" cm="1">
        <f t="array" ref="N159">MAX(IF((ProjectInfoTable[ProjectName]=ContinuousStatsTable[[#This Row],[ProjectName]]),(ProjectInfoTable[ProjectName]=ContinuousStatsTable[[#This Row],[ProjectName]])*ProjectInfoTable[NumberOfReplications]))</f>
        <v>10</v>
      </c>
      <c r="O159" cm="1">
        <f t="array" ref="O159">IFERROR(AVERAGE(IF((ContinuousStatsTable[GroupByKey]=ContinuousStatsTable[[#This Row],[GroupByKey]]),(ContinuousStatsTable[GroupByKey]=ContinuousStatsTable[[#This Row],[GroupByKey]])*ContinuousStatsTable[Average])),0)</f>
        <v>1.938691833558875</v>
      </c>
      <c r="P159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0.24426972485872975</v>
      </c>
      <c r="Q159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0.17474003459724646</v>
      </c>
      <c r="S159" cm="1">
        <f t="array" ref="S159">MIN(IF((ContinuousStatsTable[GroupByKey]=ContinuousStatsTable[[#This Row],[GroupByKey]]),(ContinuousStatsTable[GroupByKey]=ContinuousStatsTable[[#This Row],[GroupByKey]])*ContinuousStatsTable[Average]))</f>
        <v>1.6635577018983201</v>
      </c>
      <c r="T159" cm="1">
        <f t="array" ref="T159">MAX(IF((ContinuousStatsTable[GroupByKey]=ContinuousStatsTable[[#This Row],[GroupByKey]]),(ContinuousStatsTable[GroupByKey]=ContinuousStatsTable[[#This Row],[GroupByKey]])*ContinuousStatsTable[Average]))</f>
        <v>2.3099874805957801</v>
      </c>
      <c r="U159">
        <f>IF((ContinuousStatsTable[[#This Row],[RepsRequested]]&gt;1),ContinuousStatsTable[[#This Row],[HalfWidth]],ContinuousStatsTable[[#This Row],[BatchMeansHalfWidth]])</f>
        <v>0.17474003459724646</v>
      </c>
    </row>
    <row r="160" spans="1:21" x14ac:dyDescent="0.3">
      <c r="A160" t="s">
        <v>66</v>
      </c>
      <c r="B160" t="s">
        <v>68</v>
      </c>
      <c r="C160">
        <v>5</v>
      </c>
      <c r="D160" t="s">
        <v>101</v>
      </c>
      <c r="E160" t="s">
        <v>102</v>
      </c>
      <c r="F160" t="s">
        <v>103</v>
      </c>
      <c r="G160">
        <v>0.27477476556598701</v>
      </c>
      <c r="H160">
        <v>2E+20</v>
      </c>
      <c r="I160">
        <v>0</v>
      </c>
      <c r="J160">
        <v>1</v>
      </c>
      <c r="K160">
        <v>0</v>
      </c>
      <c r="L160">
        <v>0</v>
      </c>
      <c r="M160" t="str">
        <f>ContinuousStatsTable[[#This Row],[ProjectName]]&amp;ContinuousStatsTable[[#This Row],[Name]]&amp;ContinuousStatsTable[[#This Row],[Type]]&amp;ContinuousStatsTable[[#This Row],[Source]]</f>
        <v>Unnamed ProjectInterautoInstantaneous UtilizationResource</v>
      </c>
      <c r="N160" cm="1">
        <f t="array" ref="N160">MAX(IF((ProjectInfoTable[ProjectName]=ContinuousStatsTable[[#This Row],[ProjectName]]),(ProjectInfoTable[ProjectName]=ContinuousStatsTable[[#This Row],[ProjectName]])*ProjectInfoTable[NumberOfReplications]))</f>
        <v>10</v>
      </c>
      <c r="O160" cm="1">
        <f t="array" ref="O160">IFERROR(AVERAGE(IF((ContinuousStatsTable[GroupByKey]=ContinuousStatsTable[[#This Row],[GroupByKey]]),(ContinuousStatsTable[GroupByKey]=ContinuousStatsTable[[#This Row],[GroupByKey]])*ContinuousStatsTable[Average])),0)</f>
        <v>0.26535205929836458</v>
      </c>
      <c r="P160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2.5807993647623796E-2</v>
      </c>
      <c r="Q160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1.8461926485074727E-2</v>
      </c>
      <c r="S160" cm="1">
        <f t="array" ref="S160">MIN(IF((ContinuousStatsTable[GroupByKey]=ContinuousStatsTable[[#This Row],[GroupByKey]]),(ContinuousStatsTable[GroupByKey]=ContinuousStatsTable[[#This Row],[GroupByKey]])*ContinuousStatsTable[Average]))</f>
        <v>0.20483176768320299</v>
      </c>
      <c r="T160" cm="1">
        <f t="array" ref="T160">MAX(IF((ContinuousStatsTable[GroupByKey]=ContinuousStatsTable[[#This Row],[GroupByKey]]),(ContinuousStatsTable[GroupByKey]=ContinuousStatsTable[[#This Row],[GroupByKey]])*ContinuousStatsTable[Average]))</f>
        <v>0.29552077299252399</v>
      </c>
      <c r="U160">
        <f>IF((ContinuousStatsTable[[#This Row],[RepsRequested]]&gt;1),ContinuousStatsTable[[#This Row],[HalfWidth]],ContinuousStatsTable[[#This Row],[BatchMeansHalfWidth]])</f>
        <v>1.8461926485074727E-2</v>
      </c>
    </row>
    <row r="161" spans="1:21" x14ac:dyDescent="0.3">
      <c r="A161" t="s">
        <v>66</v>
      </c>
      <c r="B161" t="s">
        <v>68</v>
      </c>
      <c r="C161">
        <v>5</v>
      </c>
      <c r="D161" t="s">
        <v>101</v>
      </c>
      <c r="E161" t="s">
        <v>104</v>
      </c>
      <c r="F161" t="s">
        <v>103</v>
      </c>
      <c r="G161">
        <v>0.27477476556598701</v>
      </c>
      <c r="H161">
        <v>2E+20</v>
      </c>
      <c r="I161">
        <v>0</v>
      </c>
      <c r="J161">
        <v>1</v>
      </c>
      <c r="K161">
        <v>0</v>
      </c>
      <c r="L161">
        <v>0</v>
      </c>
      <c r="M161" t="str">
        <f>ContinuousStatsTable[[#This Row],[ProjectName]]&amp;ContinuousStatsTable[[#This Row],[Name]]&amp;ContinuousStatsTable[[#This Row],[Type]]&amp;ContinuousStatsTable[[#This Row],[Source]]</f>
        <v>Unnamed ProjectInterautoNumber BusyResource</v>
      </c>
      <c r="N161" cm="1">
        <f t="array" ref="N161">MAX(IF((ProjectInfoTable[ProjectName]=ContinuousStatsTable[[#This Row],[ProjectName]]),(ProjectInfoTable[ProjectName]=ContinuousStatsTable[[#This Row],[ProjectName]])*ProjectInfoTable[NumberOfReplications]))</f>
        <v>10</v>
      </c>
      <c r="O161" cm="1">
        <f t="array" ref="O161">IFERROR(AVERAGE(IF((ContinuousStatsTable[GroupByKey]=ContinuousStatsTable[[#This Row],[GroupByKey]]),(ContinuousStatsTable[GroupByKey]=ContinuousStatsTable[[#This Row],[GroupByKey]])*ContinuousStatsTable[Average])),0)</f>
        <v>0.26535205929836458</v>
      </c>
      <c r="P161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2.5807993647623796E-2</v>
      </c>
      <c r="Q161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1.8461926485074727E-2</v>
      </c>
      <c r="S161" cm="1">
        <f t="array" ref="S161">MIN(IF((ContinuousStatsTable[GroupByKey]=ContinuousStatsTable[[#This Row],[GroupByKey]]),(ContinuousStatsTable[GroupByKey]=ContinuousStatsTable[[#This Row],[GroupByKey]])*ContinuousStatsTable[Average]))</f>
        <v>0.20483176768320299</v>
      </c>
      <c r="T161" cm="1">
        <f t="array" ref="T161">MAX(IF((ContinuousStatsTable[GroupByKey]=ContinuousStatsTable[[#This Row],[GroupByKey]]),(ContinuousStatsTable[GroupByKey]=ContinuousStatsTable[[#This Row],[GroupByKey]])*ContinuousStatsTable[Average]))</f>
        <v>0.29552077299252399</v>
      </c>
      <c r="U161">
        <f>IF((ContinuousStatsTable[[#This Row],[RepsRequested]]&gt;1),ContinuousStatsTable[[#This Row],[HalfWidth]],ContinuousStatsTable[[#This Row],[BatchMeansHalfWidth]])</f>
        <v>1.8461926485074727E-2</v>
      </c>
    </row>
    <row r="162" spans="1:21" x14ac:dyDescent="0.3">
      <c r="A162" t="s">
        <v>66</v>
      </c>
      <c r="B162" t="s">
        <v>68</v>
      </c>
      <c r="C162">
        <v>5</v>
      </c>
      <c r="D162" t="s">
        <v>101</v>
      </c>
      <c r="E162" t="s">
        <v>105</v>
      </c>
      <c r="F162" t="s">
        <v>103</v>
      </c>
      <c r="G162">
        <v>1</v>
      </c>
      <c r="H162">
        <v>2E+20</v>
      </c>
      <c r="I162">
        <v>1</v>
      </c>
      <c r="J162">
        <v>1</v>
      </c>
      <c r="K162">
        <v>1</v>
      </c>
      <c r="L162">
        <v>0</v>
      </c>
      <c r="M162" t="str">
        <f>ContinuousStatsTable[[#This Row],[ProjectName]]&amp;ContinuousStatsTable[[#This Row],[Name]]&amp;ContinuousStatsTable[[#This Row],[Type]]&amp;ContinuousStatsTable[[#This Row],[Source]]</f>
        <v>Unnamed ProjectInterautoNumber ScheduledResource</v>
      </c>
      <c r="N162" cm="1">
        <f t="array" ref="N162">MAX(IF((ProjectInfoTable[ProjectName]=ContinuousStatsTable[[#This Row],[ProjectName]]),(ProjectInfoTable[ProjectName]=ContinuousStatsTable[[#This Row],[ProjectName]])*ProjectInfoTable[NumberOfReplications]))</f>
        <v>10</v>
      </c>
      <c r="O162" cm="1">
        <f t="array" ref="O162">IFERROR(AVERAGE(IF((ContinuousStatsTable[GroupByKey]=ContinuousStatsTable[[#This Row],[GroupByKey]]),(ContinuousStatsTable[GroupByKey]=ContinuousStatsTable[[#This Row],[GroupByKey]])*ContinuousStatsTable[Average])),0)</f>
        <v>1</v>
      </c>
      <c r="P162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0</v>
      </c>
      <c r="Q162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2" cm="1">
        <f t="array" ref="S162">MIN(IF((ContinuousStatsTable[GroupByKey]=ContinuousStatsTable[[#This Row],[GroupByKey]]),(ContinuousStatsTable[GroupByKey]=ContinuousStatsTable[[#This Row],[GroupByKey]])*ContinuousStatsTable[Average]))</f>
        <v>1</v>
      </c>
      <c r="T162" cm="1">
        <f t="array" ref="T162">MAX(IF((ContinuousStatsTable[GroupByKey]=ContinuousStatsTable[[#This Row],[GroupByKey]]),(ContinuousStatsTable[GroupByKey]=ContinuousStatsTable[[#This Row],[GroupByKey]])*ContinuousStatsTable[Average]))</f>
        <v>1</v>
      </c>
      <c r="U162">
        <f>IF((ContinuousStatsTable[[#This Row],[RepsRequested]]&gt;1),ContinuousStatsTable[[#This Row],[HalfWidth]],ContinuousStatsTable[[#This Row],[BatchMeansHalfWidth]])</f>
        <v>0</v>
      </c>
    </row>
    <row r="163" spans="1:21" x14ac:dyDescent="0.3">
      <c r="A163" t="s">
        <v>66</v>
      </c>
      <c r="B163" t="s">
        <v>68</v>
      </c>
      <c r="C163">
        <v>5</v>
      </c>
      <c r="D163" t="s">
        <v>80</v>
      </c>
      <c r="E163" t="s">
        <v>99</v>
      </c>
      <c r="F163" t="s">
        <v>71</v>
      </c>
      <c r="G163">
        <v>0.23610711878732199</v>
      </c>
      <c r="H163">
        <v>5.8839318788524303E-2</v>
      </c>
      <c r="I163">
        <v>0</v>
      </c>
      <c r="J163">
        <v>6</v>
      </c>
      <c r="K163">
        <v>2</v>
      </c>
      <c r="L163">
        <v>0</v>
      </c>
      <c r="M163" t="str">
        <f>ContinuousStatsTable[[#This Row],[ProjectName]]&amp;ContinuousStatsTable[[#This Row],[Name]]&amp;ContinuousStatsTable[[#This Row],[Type]]&amp;ContinuousStatsTable[[#This Row],[Source]]</f>
        <v>Unnamed ProjectLeave 1.QueueNumber WaitingQueue</v>
      </c>
      <c r="N163" cm="1">
        <f t="array" ref="N163">MAX(IF((ProjectInfoTable[ProjectName]=ContinuousStatsTable[[#This Row],[ProjectName]]),(ProjectInfoTable[ProjectName]=ContinuousStatsTable[[#This Row],[ProjectName]])*ProjectInfoTable[NumberOfReplications]))</f>
        <v>10</v>
      </c>
      <c r="O163" cm="1">
        <f t="array" ref="O163">IFERROR(AVERAGE(IF((ContinuousStatsTable[GroupByKey]=ContinuousStatsTable[[#This Row],[GroupByKey]]),(ContinuousStatsTable[GroupByKey]=ContinuousStatsTable[[#This Row],[GroupByKey]])*ContinuousStatsTable[Average])),0)</f>
        <v>0.20353568461890376</v>
      </c>
      <c r="P163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2.6549184575613477E-2</v>
      </c>
      <c r="Q163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1.899214253405495E-2</v>
      </c>
      <c r="S163" cm="1">
        <f t="array" ref="S163">MIN(IF((ContinuousStatsTable[GroupByKey]=ContinuousStatsTable[[#This Row],[GroupByKey]]),(ContinuousStatsTable[GroupByKey]=ContinuousStatsTable[[#This Row],[GroupByKey]])*ContinuousStatsTable[Average]))</f>
        <v>0.168502364443611</v>
      </c>
      <c r="T163" cm="1">
        <f t="array" ref="T163">MAX(IF((ContinuousStatsTable[GroupByKey]=ContinuousStatsTable[[#This Row],[GroupByKey]]),(ContinuousStatsTable[GroupByKey]=ContinuousStatsTable[[#This Row],[GroupByKey]])*ContinuousStatsTable[Average]))</f>
        <v>0.24578450490959</v>
      </c>
      <c r="U163">
        <f>IF((ContinuousStatsTable[[#This Row],[RepsRequested]]&gt;1),ContinuousStatsTable[[#This Row],[HalfWidth]],ContinuousStatsTable[[#This Row],[BatchMeansHalfWidth]])</f>
        <v>1.899214253405495E-2</v>
      </c>
    </row>
    <row r="164" spans="1:21" x14ac:dyDescent="0.3">
      <c r="A164" t="s">
        <v>66</v>
      </c>
      <c r="B164" t="s">
        <v>68</v>
      </c>
      <c r="C164">
        <v>5</v>
      </c>
      <c r="D164" t="s">
        <v>81</v>
      </c>
      <c r="E164" t="s">
        <v>99</v>
      </c>
      <c r="F164" t="s">
        <v>71</v>
      </c>
      <c r="G164">
        <v>4.4958754778589302E-3</v>
      </c>
      <c r="H164">
        <v>2E+20</v>
      </c>
      <c r="I164">
        <v>0</v>
      </c>
      <c r="J164">
        <v>1</v>
      </c>
      <c r="K164">
        <v>0</v>
      </c>
      <c r="L164">
        <v>0</v>
      </c>
      <c r="M164" t="str">
        <f>ContinuousStatsTable[[#This Row],[ProjectName]]&amp;ContinuousStatsTable[[#This Row],[Name]]&amp;ContinuousStatsTable[[#This Row],[Type]]&amp;ContinuousStatsTable[[#This Row],[Source]]</f>
        <v>Unnamed ProjectLeave 4.QueueNumber WaitingQueue</v>
      </c>
      <c r="N164" cm="1">
        <f t="array" ref="N164">MAX(IF((ProjectInfoTable[ProjectName]=ContinuousStatsTable[[#This Row],[ProjectName]]),(ProjectInfoTable[ProjectName]=ContinuousStatsTable[[#This Row],[ProjectName]])*ProjectInfoTable[NumberOfReplications]))</f>
        <v>10</v>
      </c>
      <c r="O164" cm="1">
        <f t="array" ref="O164">IFERROR(AVERAGE(IF((ContinuousStatsTable[GroupByKey]=ContinuousStatsTable[[#This Row],[GroupByKey]]),(ContinuousStatsTable[GroupByKey]=ContinuousStatsTable[[#This Row],[GroupByKey]])*ContinuousStatsTable[Average])),0)</f>
        <v>4.8729672989697272E-3</v>
      </c>
      <c r="P164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9.2135939256816457E-4</v>
      </c>
      <c r="Q164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6.5910080435457321E-4</v>
      </c>
      <c r="S164" cm="1">
        <f t="array" ref="S164">MIN(IF((ContinuousStatsTable[GroupByKey]=ContinuousStatsTable[[#This Row],[GroupByKey]]),(ContinuousStatsTable[GroupByKey]=ContinuousStatsTable[[#This Row],[GroupByKey]])*ContinuousStatsTable[Average]))</f>
        <v>3.2012309459038099E-3</v>
      </c>
      <c r="T164" cm="1">
        <f t="array" ref="T164">MAX(IF((ContinuousStatsTable[GroupByKey]=ContinuousStatsTable[[#This Row],[GroupByKey]]),(ContinuousStatsTable[GroupByKey]=ContinuousStatsTable[[#This Row],[GroupByKey]])*ContinuousStatsTable[Average]))</f>
        <v>6.0338305270789001E-3</v>
      </c>
      <c r="U164">
        <f>IF((ContinuousStatsTable[[#This Row],[RepsRequested]]&gt;1),ContinuousStatsTable[[#This Row],[HalfWidth]],ContinuousStatsTable[[#This Row],[BatchMeansHalfWidth]])</f>
        <v>6.5910080435457321E-4</v>
      </c>
    </row>
    <row r="165" spans="1:21" x14ac:dyDescent="0.3">
      <c r="A165" t="s">
        <v>66</v>
      </c>
      <c r="B165" t="s">
        <v>68</v>
      </c>
      <c r="C165">
        <v>5</v>
      </c>
      <c r="D165" t="s">
        <v>82</v>
      </c>
      <c r="E165" t="s">
        <v>99</v>
      </c>
      <c r="F165" t="s">
        <v>71</v>
      </c>
      <c r="G165">
        <v>5.1251374157596799E-2</v>
      </c>
      <c r="H165">
        <v>1.1469598594558201E-2</v>
      </c>
      <c r="I165">
        <v>0</v>
      </c>
      <c r="J165">
        <v>2</v>
      </c>
      <c r="K165">
        <v>0</v>
      </c>
      <c r="L165">
        <v>0</v>
      </c>
      <c r="M165" t="str">
        <f>ContinuousStatsTable[[#This Row],[ProjectName]]&amp;ContinuousStatsTable[[#This Row],[Name]]&amp;ContinuousStatsTable[[#This Row],[Type]]&amp;ContinuousStatsTable[[#This Row],[Source]]</f>
        <v>Unnamed ProjectLeave 5.QueueNumber WaitingQueue</v>
      </c>
      <c r="N165" cm="1">
        <f t="array" ref="N165">MAX(IF((ProjectInfoTable[ProjectName]=ContinuousStatsTable[[#This Row],[ProjectName]]),(ProjectInfoTable[ProjectName]=ContinuousStatsTable[[#This Row],[ProjectName]])*ProjectInfoTable[NumberOfReplications]))</f>
        <v>10</v>
      </c>
      <c r="O165" cm="1">
        <f t="array" ref="O165">IFERROR(AVERAGE(IF((ContinuousStatsTable[GroupByKey]=ContinuousStatsTable[[#This Row],[GroupByKey]]),(ContinuousStatsTable[GroupByKey]=ContinuousStatsTable[[#This Row],[GroupByKey]])*ContinuousStatsTable[Average])),0)</f>
        <v>4.8788152574119628E-2</v>
      </c>
      <c r="P16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5.3039270336942244E-3</v>
      </c>
      <c r="Q16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3.7942008323176655E-3</v>
      </c>
      <c r="S165" cm="1">
        <f t="array" ref="S165">MIN(IF((ContinuousStatsTable[GroupByKey]=ContinuousStatsTable[[#This Row],[GroupByKey]]),(ContinuousStatsTable[GroupByKey]=ContinuousStatsTable[[#This Row],[GroupByKey]])*ContinuousStatsTable[Average]))</f>
        <v>4.1058101580258903E-2</v>
      </c>
      <c r="T165" cm="1">
        <f t="array" ref="T165">MAX(IF((ContinuousStatsTable[GroupByKey]=ContinuousStatsTable[[#This Row],[GroupByKey]]),(ContinuousStatsTable[GroupByKey]=ContinuousStatsTable[[#This Row],[GroupByKey]])*ContinuousStatsTable[Average]))</f>
        <v>5.6386723112129902E-2</v>
      </c>
      <c r="U165">
        <f>IF((ContinuousStatsTable[[#This Row],[RepsRequested]]&gt;1),ContinuousStatsTable[[#This Row],[HalfWidth]],ContinuousStatsTable[[#This Row],[BatchMeansHalfWidth]])</f>
        <v>3.7942008323176655E-3</v>
      </c>
    </row>
    <row r="166" spans="1:21" x14ac:dyDescent="0.3">
      <c r="A166" t="s">
        <v>66</v>
      </c>
      <c r="B166" t="s">
        <v>68</v>
      </c>
      <c r="C166">
        <v>5</v>
      </c>
      <c r="D166" t="s">
        <v>83</v>
      </c>
      <c r="E166" t="s">
        <v>99</v>
      </c>
      <c r="F166" t="s">
        <v>71</v>
      </c>
      <c r="G166">
        <v>2.8058502183471502E-3</v>
      </c>
      <c r="H166">
        <v>2E+20</v>
      </c>
      <c r="I166">
        <v>0</v>
      </c>
      <c r="J166">
        <v>1</v>
      </c>
      <c r="K166">
        <v>0</v>
      </c>
      <c r="L166">
        <v>0</v>
      </c>
      <c r="M166" t="str">
        <f>ContinuousStatsTable[[#This Row],[ProjectName]]&amp;ContinuousStatsTable[[#This Row],[Name]]&amp;ContinuousStatsTable[[#This Row],[Type]]&amp;ContinuousStatsTable[[#This Row],[Source]]</f>
        <v>Unnamed ProjectLeave 6.QueueNumber WaitingQueue</v>
      </c>
      <c r="N166" cm="1">
        <f t="array" ref="N166">MAX(IF((ProjectInfoTable[ProjectName]=ContinuousStatsTable[[#This Row],[ProjectName]]),(ProjectInfoTable[ProjectName]=ContinuousStatsTable[[#This Row],[ProjectName]])*ProjectInfoTable[NumberOfReplications]))</f>
        <v>10</v>
      </c>
      <c r="O166" cm="1">
        <f t="array" ref="O166">IFERROR(AVERAGE(IF((ContinuousStatsTable[GroupByKey]=ContinuousStatsTable[[#This Row],[GroupByKey]]),(ContinuousStatsTable[GroupByKey]=ContinuousStatsTable[[#This Row],[GroupByKey]])*ContinuousStatsTable[Average])),0)</f>
        <v>3.227619592382791E-3</v>
      </c>
      <c r="P166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1.5087685522347895E-3</v>
      </c>
      <c r="Q166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1.0793080033525183E-3</v>
      </c>
      <c r="S166" cm="1">
        <f t="array" ref="S166">MIN(IF((ContinuousStatsTable[GroupByKey]=ContinuousStatsTable[[#This Row],[GroupByKey]]),(ContinuousStatsTable[GroupByKey]=ContinuousStatsTable[[#This Row],[GroupByKey]])*ContinuousStatsTable[Average]))</f>
        <v>4.7201486102630699E-4</v>
      </c>
      <c r="T166" cm="1">
        <f t="array" ref="T166">MAX(IF((ContinuousStatsTable[GroupByKey]=ContinuousStatsTable[[#This Row],[GroupByKey]]),(ContinuousStatsTable[GroupByKey]=ContinuousStatsTable[[#This Row],[GroupByKey]])*ContinuousStatsTable[Average]))</f>
        <v>6.2452549613019898E-3</v>
      </c>
      <c r="U166">
        <f>IF((ContinuousStatsTable[[#This Row],[RepsRequested]]&gt;1),ContinuousStatsTable[[#This Row],[HalfWidth]],ContinuousStatsTable[[#This Row],[BatchMeansHalfWidth]])</f>
        <v>1.0793080033525183E-3</v>
      </c>
    </row>
    <row r="167" spans="1:21" x14ac:dyDescent="0.3">
      <c r="A167" t="s">
        <v>66</v>
      </c>
      <c r="B167" t="s">
        <v>68</v>
      </c>
      <c r="C167">
        <v>5</v>
      </c>
      <c r="D167" t="s">
        <v>84</v>
      </c>
      <c r="E167" t="s">
        <v>99</v>
      </c>
      <c r="F167" t="s">
        <v>71</v>
      </c>
      <c r="G167">
        <v>7.8633362228088005E-2</v>
      </c>
      <c r="H167">
        <v>2.25516831517945E-2</v>
      </c>
      <c r="I167">
        <v>0</v>
      </c>
      <c r="J167">
        <v>3</v>
      </c>
      <c r="K167">
        <v>0</v>
      </c>
      <c r="L167">
        <v>0</v>
      </c>
      <c r="M167" t="str">
        <f>ContinuousStatsTable[[#This Row],[ProjectName]]&amp;ContinuousStatsTable[[#This Row],[Name]]&amp;ContinuousStatsTable[[#This Row],[Type]]&amp;ContinuousStatsTable[[#This Row],[Source]]</f>
        <v>Unnamed ProjectLeave 7.QueueNumber WaitingQueue</v>
      </c>
      <c r="N167" cm="1">
        <f t="array" ref="N167">MAX(IF((ProjectInfoTable[ProjectName]=ContinuousStatsTable[[#This Row],[ProjectName]]),(ProjectInfoTable[ProjectName]=ContinuousStatsTable[[#This Row],[ProjectName]])*ProjectInfoTable[NumberOfReplications]))</f>
        <v>10</v>
      </c>
      <c r="O167" cm="1">
        <f t="array" ref="O167">IFERROR(AVERAGE(IF((ContinuousStatsTable[GroupByKey]=ContinuousStatsTable[[#This Row],[GroupByKey]]),(ContinuousStatsTable[GroupByKey]=ContinuousStatsTable[[#This Row],[GroupByKey]])*ContinuousStatsTable[Average])),0)</f>
        <v>5.9441954240945373E-2</v>
      </c>
      <c r="P167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1.1519407308393107E-2</v>
      </c>
      <c r="Q167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8.2404875707479553E-3</v>
      </c>
      <c r="S167" cm="1">
        <f t="array" ref="S167">MIN(IF((ContinuousStatsTable[GroupByKey]=ContinuousStatsTable[[#This Row],[GroupByKey]]),(ContinuousStatsTable[GroupByKey]=ContinuousStatsTable[[#This Row],[GroupByKey]])*ContinuousStatsTable[Average]))</f>
        <v>4.5386728660866099E-2</v>
      </c>
      <c r="T167" cm="1">
        <f t="array" ref="T167">MAX(IF((ContinuousStatsTable[GroupByKey]=ContinuousStatsTable[[#This Row],[GroupByKey]]),(ContinuousStatsTable[GroupByKey]=ContinuousStatsTable[[#This Row],[GroupByKey]])*ContinuousStatsTable[Average]))</f>
        <v>7.8633362228088005E-2</v>
      </c>
      <c r="U167">
        <f>IF((ContinuousStatsTable[[#This Row],[RepsRequested]]&gt;1),ContinuousStatsTable[[#This Row],[HalfWidth]],ContinuousStatsTable[[#This Row],[BatchMeansHalfWidth]])</f>
        <v>8.2404875707479553E-3</v>
      </c>
    </row>
    <row r="168" spans="1:21" x14ac:dyDescent="0.3">
      <c r="A168" t="s">
        <v>66</v>
      </c>
      <c r="B168" t="s">
        <v>68</v>
      </c>
      <c r="C168">
        <v>5</v>
      </c>
      <c r="D168" t="s">
        <v>85</v>
      </c>
      <c r="E168" t="s">
        <v>99</v>
      </c>
      <c r="F168" t="s">
        <v>71</v>
      </c>
      <c r="G168">
        <v>3.5490296241417699E-3</v>
      </c>
      <c r="H168">
        <v>2E+20</v>
      </c>
      <c r="I168">
        <v>0</v>
      </c>
      <c r="J168">
        <v>1</v>
      </c>
      <c r="K168">
        <v>0</v>
      </c>
      <c r="L168">
        <v>0</v>
      </c>
      <c r="M168" t="str">
        <f>ContinuousStatsTable[[#This Row],[ProjectName]]&amp;ContinuousStatsTable[[#This Row],[Name]]&amp;ContinuousStatsTable[[#This Row],[Type]]&amp;ContinuousStatsTable[[#This Row],[Source]]</f>
        <v>Unnamed ProjectLeave 8.QueueNumber WaitingQueue</v>
      </c>
      <c r="N168" cm="1">
        <f t="array" ref="N168">MAX(IF((ProjectInfoTable[ProjectName]=ContinuousStatsTable[[#This Row],[ProjectName]]),(ProjectInfoTable[ProjectName]=ContinuousStatsTable[[#This Row],[ProjectName]])*ProjectInfoTable[NumberOfReplications]))</f>
        <v>10</v>
      </c>
      <c r="O168" cm="1">
        <f t="array" ref="O168">IFERROR(AVERAGE(IF((ContinuousStatsTable[GroupByKey]=ContinuousStatsTable[[#This Row],[GroupByKey]]),(ContinuousStatsTable[GroupByKey]=ContinuousStatsTable[[#This Row],[GroupByKey]])*ContinuousStatsTable[Average])),0)</f>
        <v>2.1217771776478596E-3</v>
      </c>
      <c r="P168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8.0254950645480523E-4</v>
      </c>
      <c r="Q168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5.7410933182579346E-4</v>
      </c>
      <c r="S168" cm="1">
        <f t="array" ref="S168">MIN(IF((ContinuousStatsTable[GroupByKey]=ContinuousStatsTable[[#This Row],[GroupByKey]]),(ContinuousStatsTable[GroupByKey]=ContinuousStatsTable[[#This Row],[GroupByKey]])*ContinuousStatsTable[Average]))</f>
        <v>9.0451064743319795E-4</v>
      </c>
      <c r="T168" cm="1">
        <f t="array" ref="T168">MAX(IF((ContinuousStatsTable[GroupByKey]=ContinuousStatsTable[[#This Row],[GroupByKey]]),(ContinuousStatsTable[GroupByKey]=ContinuousStatsTable[[#This Row],[GroupByKey]])*ContinuousStatsTable[Average]))</f>
        <v>3.5490296241417699E-3</v>
      </c>
      <c r="U168">
        <f>IF((ContinuousStatsTable[[#This Row],[RepsRequested]]&gt;1),ContinuousStatsTable[[#This Row],[HalfWidth]],ContinuousStatsTable[[#This Row],[BatchMeansHalfWidth]])</f>
        <v>5.7410933182579346E-4</v>
      </c>
    </row>
    <row r="169" spans="1:21" x14ac:dyDescent="0.3">
      <c r="A169" t="s">
        <v>66</v>
      </c>
      <c r="B169" t="s">
        <v>68</v>
      </c>
      <c r="C169">
        <v>5</v>
      </c>
      <c r="D169" t="s">
        <v>86</v>
      </c>
      <c r="E169" t="s">
        <v>99</v>
      </c>
      <c r="F169" t="s">
        <v>71</v>
      </c>
      <c r="G169">
        <v>1.0495493640213401E-3</v>
      </c>
      <c r="H169">
        <v>2E+20</v>
      </c>
      <c r="I169">
        <v>0</v>
      </c>
      <c r="J169">
        <v>1</v>
      </c>
      <c r="K169">
        <v>0</v>
      </c>
      <c r="L169">
        <v>0</v>
      </c>
      <c r="M169" t="str">
        <f>ContinuousStatsTable[[#This Row],[ProjectName]]&amp;ContinuousStatsTable[[#This Row],[Name]]&amp;ContinuousStatsTable[[#This Row],[Type]]&amp;ContinuousStatsTable[[#This Row],[Source]]</f>
        <v>Unnamed ProjectLeave 9.QueueNumber WaitingQueue</v>
      </c>
      <c r="N169" cm="1">
        <f t="array" ref="N169">MAX(IF((ProjectInfoTable[ProjectName]=ContinuousStatsTable[[#This Row],[ProjectName]]),(ProjectInfoTable[ProjectName]=ContinuousStatsTable[[#This Row],[ProjectName]])*ProjectInfoTable[NumberOfReplications]))</f>
        <v>10</v>
      </c>
      <c r="O169" cm="1">
        <f t="array" ref="O169">IFERROR(AVERAGE(IF((ContinuousStatsTable[GroupByKey]=ContinuousStatsTable[[#This Row],[GroupByKey]]),(ContinuousStatsTable[GroupByKey]=ContinuousStatsTable[[#This Row],[GroupByKey]])*ContinuousStatsTable[Average])),0)</f>
        <v>1.3877246767065991E-3</v>
      </c>
      <c r="P169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7.1875981577935533E-4</v>
      </c>
      <c r="Q169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5.1416979795196457E-4</v>
      </c>
      <c r="S169" cm="1">
        <f t="array" ref="S169">MIN(IF((ContinuousStatsTable[GroupByKey]=ContinuousStatsTable[[#This Row],[GroupByKey]]),(ContinuousStatsTable[GroupByKey]=ContinuousStatsTable[[#This Row],[GroupByKey]])*ContinuousStatsTable[Average]))</f>
        <v>2.8555279956142001E-4</v>
      </c>
      <c r="T169" cm="1">
        <f t="array" ref="T169">MAX(IF((ContinuousStatsTable[GroupByKey]=ContinuousStatsTable[[#This Row],[GroupByKey]]),(ContinuousStatsTable[GroupByKey]=ContinuousStatsTable[[#This Row],[GroupByKey]])*ContinuousStatsTable[Average]))</f>
        <v>2.50186012594582E-3</v>
      </c>
      <c r="U169">
        <f>IF((ContinuousStatsTable[[#This Row],[RepsRequested]]&gt;1),ContinuousStatsTable[[#This Row],[HalfWidth]],ContinuousStatsTable[[#This Row],[BatchMeansHalfWidth]])</f>
        <v>5.1416979795196457E-4</v>
      </c>
    </row>
    <row r="170" spans="1:21" x14ac:dyDescent="0.3">
      <c r="A170" t="s">
        <v>66</v>
      </c>
      <c r="B170" t="s">
        <v>68</v>
      </c>
      <c r="C170">
        <v>5</v>
      </c>
      <c r="D170" t="s">
        <v>87</v>
      </c>
      <c r="E170" t="s">
        <v>100</v>
      </c>
      <c r="F170" t="s">
        <v>74</v>
      </c>
      <c r="G170">
        <v>13.096214757577799</v>
      </c>
      <c r="H170">
        <v>3E+20</v>
      </c>
      <c r="I170">
        <v>0</v>
      </c>
      <c r="J170">
        <v>28</v>
      </c>
      <c r="K170">
        <v>16</v>
      </c>
      <c r="L170">
        <v>0</v>
      </c>
      <c r="M170" t="str">
        <f>ContinuousStatsTable[[#This Row],[ProjectName]]&amp;ContinuousStatsTable[[#This Row],[Name]]&amp;ContinuousStatsTable[[#This Row],[Type]]&amp;ContinuousStatsTable[[#This Row],[Source]]</f>
        <v>Unnamed ProjectMaleta InternacionalWIPEntity</v>
      </c>
      <c r="N170" cm="1">
        <f t="array" ref="N170">MAX(IF((ProjectInfoTable[ProjectName]=ContinuousStatsTable[[#This Row],[ProjectName]]),(ProjectInfoTable[ProjectName]=ContinuousStatsTable[[#This Row],[ProjectName]])*ProjectInfoTable[NumberOfReplications]))</f>
        <v>10</v>
      </c>
      <c r="O170" cm="1">
        <f t="array" ref="O170">IFERROR(AVERAGE(IF((ContinuousStatsTable[GroupByKey]=ContinuousStatsTable[[#This Row],[GroupByKey]]),(ContinuousStatsTable[GroupByKey]=ContinuousStatsTable[[#This Row],[GroupByKey]])*ContinuousStatsTable[Average])),0)</f>
        <v>13.037689788098451</v>
      </c>
      <c r="P170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1.9631643885071912</v>
      </c>
      <c r="Q170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1.4043632028742961</v>
      </c>
      <c r="S170" cm="1">
        <f t="array" ref="S170">MIN(IF((ContinuousStatsTable[GroupByKey]=ContinuousStatsTable[[#This Row],[GroupByKey]]),(ContinuousStatsTable[GroupByKey]=ContinuousStatsTable[[#This Row],[GroupByKey]])*ContinuousStatsTable[Average]))</f>
        <v>10.277307754823401</v>
      </c>
      <c r="T170" cm="1">
        <f t="array" ref="T170">MAX(IF((ContinuousStatsTable[GroupByKey]=ContinuousStatsTable[[#This Row],[GroupByKey]]),(ContinuousStatsTable[GroupByKey]=ContinuousStatsTable[[#This Row],[GroupByKey]])*ContinuousStatsTable[Average]))</f>
        <v>16.425571484417201</v>
      </c>
      <c r="U170">
        <f>IF((ContinuousStatsTable[[#This Row],[RepsRequested]]&gt;1),ContinuousStatsTable[[#This Row],[HalfWidth]],ContinuousStatsTable[[#This Row],[BatchMeansHalfWidth]])</f>
        <v>1.4043632028742961</v>
      </c>
    </row>
    <row r="171" spans="1:21" x14ac:dyDescent="0.3">
      <c r="A171" t="s">
        <v>66</v>
      </c>
      <c r="B171" t="s">
        <v>68</v>
      </c>
      <c r="C171">
        <v>5</v>
      </c>
      <c r="D171" t="s">
        <v>88</v>
      </c>
      <c r="E171" t="s">
        <v>100</v>
      </c>
      <c r="F171" t="s">
        <v>74</v>
      </c>
      <c r="G171">
        <v>3.0013070077553499</v>
      </c>
      <c r="H171">
        <v>2E+20</v>
      </c>
      <c r="I171">
        <v>0</v>
      </c>
      <c r="J171">
        <v>10</v>
      </c>
      <c r="K171">
        <v>7</v>
      </c>
      <c r="L171">
        <v>0</v>
      </c>
      <c r="M171" t="str">
        <f>ContinuousStatsTable[[#This Row],[ProjectName]]&amp;ContinuousStatsTable[[#This Row],[Name]]&amp;ContinuousStatsTable[[#This Row],[Type]]&amp;ContinuousStatsTable[[#This Row],[Source]]</f>
        <v>Unnamed ProjectMaleta NacionalWIPEntity</v>
      </c>
      <c r="N171" cm="1">
        <f t="array" ref="N171">MAX(IF((ProjectInfoTable[ProjectName]=ContinuousStatsTable[[#This Row],[ProjectName]]),(ProjectInfoTable[ProjectName]=ContinuousStatsTable[[#This Row],[ProjectName]])*ProjectInfoTable[NumberOfReplications]))</f>
        <v>10</v>
      </c>
      <c r="O171" cm="1">
        <f t="array" ref="O171">IFERROR(AVERAGE(IF((ContinuousStatsTable[GroupByKey]=ContinuousStatsTable[[#This Row],[GroupByKey]]),(ContinuousStatsTable[GroupByKey]=ContinuousStatsTable[[#This Row],[GroupByKey]])*ContinuousStatsTable[Average])),0)</f>
        <v>2.7356580954557046</v>
      </c>
      <c r="P171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0.24675556542769644</v>
      </c>
      <c r="Q171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0.17651829781539885</v>
      </c>
      <c r="S171" cm="1">
        <f t="array" ref="S171">MIN(IF((ContinuousStatsTable[GroupByKey]=ContinuousStatsTable[[#This Row],[GroupByKey]]),(ContinuousStatsTable[GroupByKey]=ContinuousStatsTable[[#This Row],[GroupByKey]])*ContinuousStatsTable[Average]))</f>
        <v>2.4605296674942401</v>
      </c>
      <c r="T171" cm="1">
        <f t="array" ref="T171">MAX(IF((ContinuousStatsTable[GroupByKey]=ContinuousStatsTable[[#This Row],[GroupByKey]]),(ContinuousStatsTable[GroupByKey]=ContinuousStatsTable[[#This Row],[GroupByKey]])*ContinuousStatsTable[Average]))</f>
        <v>3.2916533376655202</v>
      </c>
      <c r="U171">
        <f>IF((ContinuousStatsTable[[#This Row],[RepsRequested]]&gt;1),ContinuousStatsTable[[#This Row],[HalfWidth]],ContinuousStatsTable[[#This Row],[BatchMeansHalfWidth]])</f>
        <v>0.17651829781539885</v>
      </c>
    </row>
    <row r="172" spans="1:21" x14ac:dyDescent="0.3">
      <c r="A172" t="s">
        <v>66</v>
      </c>
      <c r="B172" t="s">
        <v>68</v>
      </c>
      <c r="C172">
        <v>5</v>
      </c>
      <c r="D172" t="s">
        <v>106</v>
      </c>
      <c r="E172" t="s">
        <v>102</v>
      </c>
      <c r="F172" t="s">
        <v>103</v>
      </c>
      <c r="G172">
        <v>0.71336223524589704</v>
      </c>
      <c r="H172">
        <v>2E+20</v>
      </c>
      <c r="I172">
        <v>0</v>
      </c>
      <c r="J172">
        <v>1</v>
      </c>
      <c r="K172">
        <v>1</v>
      </c>
      <c r="L172">
        <v>0</v>
      </c>
      <c r="M172" t="str">
        <f>ContinuousStatsTable[[#This Row],[ProjectName]]&amp;ContinuousStatsTable[[#This Row],[Name]]&amp;ContinuousStatsTable[[#This Row],[Type]]&amp;ContinuousStatsTable[[#This Row],[Source]]</f>
        <v>Unnamed ProjectNacionalautoInstantaneous UtilizationResource</v>
      </c>
      <c r="N172" cm="1">
        <f t="array" ref="N172">MAX(IF((ProjectInfoTable[ProjectName]=ContinuousStatsTable[[#This Row],[ProjectName]]),(ProjectInfoTable[ProjectName]=ContinuousStatsTable[[#This Row],[ProjectName]])*ProjectInfoTable[NumberOfReplications]))</f>
        <v>10</v>
      </c>
      <c r="O172" cm="1">
        <f t="array" ref="O172">IFERROR(AVERAGE(IF((ContinuousStatsTable[GroupByKey]=ContinuousStatsTable[[#This Row],[GroupByKey]]),(ContinuousStatsTable[GroupByKey]=ContinuousStatsTable[[#This Row],[GroupByKey]])*ContinuousStatsTable[Average])),0)</f>
        <v>0.73175058451933661</v>
      </c>
      <c r="P172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6.0813477412386734E-2</v>
      </c>
      <c r="Q172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4.3503341043041877E-2</v>
      </c>
      <c r="S172" cm="1">
        <f t="array" ref="S172">MIN(IF((ContinuousStatsTable[GroupByKey]=ContinuousStatsTable[[#This Row],[GroupByKey]]),(ContinuousStatsTable[GroupByKey]=ContinuousStatsTable[[#This Row],[GroupByKey]])*ContinuousStatsTable[Average]))</f>
        <v>0.64995347349336796</v>
      </c>
      <c r="T172" cm="1">
        <f t="array" ref="T172">MAX(IF((ContinuousStatsTable[GroupByKey]=ContinuousStatsTable[[#This Row],[GroupByKey]]),(ContinuousStatsTable[GroupByKey]=ContinuousStatsTable[[#This Row],[GroupByKey]])*ContinuousStatsTable[Average]))</f>
        <v>0.82581624655093899</v>
      </c>
      <c r="U172">
        <f>IF((ContinuousStatsTable[[#This Row],[RepsRequested]]&gt;1),ContinuousStatsTable[[#This Row],[HalfWidth]],ContinuousStatsTable[[#This Row],[BatchMeansHalfWidth]])</f>
        <v>4.3503341043041877E-2</v>
      </c>
    </row>
    <row r="173" spans="1:21" x14ac:dyDescent="0.3">
      <c r="A173" t="s">
        <v>66</v>
      </c>
      <c r="B173" t="s">
        <v>68</v>
      </c>
      <c r="C173">
        <v>5</v>
      </c>
      <c r="D173" t="s">
        <v>106</v>
      </c>
      <c r="E173" t="s">
        <v>104</v>
      </c>
      <c r="F173" t="s">
        <v>103</v>
      </c>
      <c r="G173">
        <v>0.71336223524589704</v>
      </c>
      <c r="H173">
        <v>2E+20</v>
      </c>
      <c r="I173">
        <v>0</v>
      </c>
      <c r="J173">
        <v>1</v>
      </c>
      <c r="K173">
        <v>1</v>
      </c>
      <c r="L173">
        <v>0</v>
      </c>
      <c r="M173" t="str">
        <f>ContinuousStatsTable[[#This Row],[ProjectName]]&amp;ContinuousStatsTable[[#This Row],[Name]]&amp;ContinuousStatsTable[[#This Row],[Type]]&amp;ContinuousStatsTable[[#This Row],[Source]]</f>
        <v>Unnamed ProjectNacionalautoNumber BusyResource</v>
      </c>
      <c r="N173" cm="1">
        <f t="array" ref="N173">MAX(IF((ProjectInfoTable[ProjectName]=ContinuousStatsTable[[#This Row],[ProjectName]]),(ProjectInfoTable[ProjectName]=ContinuousStatsTable[[#This Row],[ProjectName]])*ProjectInfoTable[NumberOfReplications]))</f>
        <v>10</v>
      </c>
      <c r="O173" cm="1">
        <f t="array" ref="O173">IFERROR(AVERAGE(IF((ContinuousStatsTable[GroupByKey]=ContinuousStatsTable[[#This Row],[GroupByKey]]),(ContinuousStatsTable[GroupByKey]=ContinuousStatsTable[[#This Row],[GroupByKey]])*ContinuousStatsTable[Average])),0)</f>
        <v>0.73175058451933661</v>
      </c>
      <c r="P173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6.0813477412386734E-2</v>
      </c>
      <c r="Q173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4.3503341043041877E-2</v>
      </c>
      <c r="S173" cm="1">
        <f t="array" ref="S173">MIN(IF((ContinuousStatsTable[GroupByKey]=ContinuousStatsTable[[#This Row],[GroupByKey]]),(ContinuousStatsTable[GroupByKey]=ContinuousStatsTable[[#This Row],[GroupByKey]])*ContinuousStatsTable[Average]))</f>
        <v>0.64995347349336796</v>
      </c>
      <c r="T173" cm="1">
        <f t="array" ref="T173">MAX(IF((ContinuousStatsTable[GroupByKey]=ContinuousStatsTable[[#This Row],[GroupByKey]]),(ContinuousStatsTable[GroupByKey]=ContinuousStatsTable[[#This Row],[GroupByKey]])*ContinuousStatsTable[Average]))</f>
        <v>0.82581624655093899</v>
      </c>
      <c r="U173">
        <f>IF((ContinuousStatsTable[[#This Row],[RepsRequested]]&gt;1),ContinuousStatsTable[[#This Row],[HalfWidth]],ContinuousStatsTable[[#This Row],[BatchMeansHalfWidth]])</f>
        <v>4.3503341043041877E-2</v>
      </c>
    </row>
    <row r="174" spans="1:21" x14ac:dyDescent="0.3">
      <c r="A174" t="s">
        <v>66</v>
      </c>
      <c r="B174" t="s">
        <v>68</v>
      </c>
      <c r="C174">
        <v>5</v>
      </c>
      <c r="D174" t="s">
        <v>106</v>
      </c>
      <c r="E174" t="s">
        <v>105</v>
      </c>
      <c r="F174" t="s">
        <v>103</v>
      </c>
      <c r="G174">
        <v>1</v>
      </c>
      <c r="H174">
        <v>2E+20</v>
      </c>
      <c r="I174">
        <v>1</v>
      </c>
      <c r="J174">
        <v>1</v>
      </c>
      <c r="K174">
        <v>1</v>
      </c>
      <c r="L174">
        <v>0</v>
      </c>
      <c r="M174" t="str">
        <f>ContinuousStatsTable[[#This Row],[ProjectName]]&amp;ContinuousStatsTable[[#This Row],[Name]]&amp;ContinuousStatsTable[[#This Row],[Type]]&amp;ContinuousStatsTable[[#This Row],[Source]]</f>
        <v>Unnamed ProjectNacionalautoNumber ScheduledResource</v>
      </c>
      <c r="N174" cm="1">
        <f t="array" ref="N174">MAX(IF((ProjectInfoTable[ProjectName]=ContinuousStatsTable[[#This Row],[ProjectName]]),(ProjectInfoTable[ProjectName]=ContinuousStatsTable[[#This Row],[ProjectName]])*ProjectInfoTable[NumberOfReplications]))</f>
        <v>10</v>
      </c>
      <c r="O174" cm="1">
        <f t="array" ref="O174">IFERROR(AVERAGE(IF((ContinuousStatsTable[GroupByKey]=ContinuousStatsTable[[#This Row],[GroupByKey]]),(ContinuousStatsTable[GroupByKey]=ContinuousStatsTable[[#This Row],[GroupByKey]])*ContinuousStatsTable[Average])),0)</f>
        <v>1</v>
      </c>
      <c r="P174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0</v>
      </c>
      <c r="Q174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4" cm="1">
        <f t="array" ref="S174">MIN(IF((ContinuousStatsTable[GroupByKey]=ContinuousStatsTable[[#This Row],[GroupByKey]]),(ContinuousStatsTable[GroupByKey]=ContinuousStatsTable[[#This Row],[GroupByKey]])*ContinuousStatsTable[Average]))</f>
        <v>1</v>
      </c>
      <c r="T174" cm="1">
        <f t="array" ref="T174">MAX(IF((ContinuousStatsTable[GroupByKey]=ContinuousStatsTable[[#This Row],[GroupByKey]]),(ContinuousStatsTable[GroupByKey]=ContinuousStatsTable[[#This Row],[GroupByKey]])*ContinuousStatsTable[Average]))</f>
        <v>1</v>
      </c>
      <c r="U174">
        <f>IF((ContinuousStatsTable[[#This Row],[RepsRequested]]&gt;1),ContinuousStatsTable[[#This Row],[HalfWidth]],ContinuousStatsTable[[#This Row],[BatchMeansHalfWidth]])</f>
        <v>0</v>
      </c>
    </row>
    <row r="175" spans="1:21" x14ac:dyDescent="0.3">
      <c r="A175" t="s">
        <v>66</v>
      </c>
      <c r="B175" t="s">
        <v>68</v>
      </c>
      <c r="C175">
        <v>5</v>
      </c>
      <c r="D175" t="s">
        <v>107</v>
      </c>
      <c r="E175" t="s">
        <v>102</v>
      </c>
      <c r="F175" t="s">
        <v>103</v>
      </c>
      <c r="G175">
        <v>7.7377695589084194E-2</v>
      </c>
      <c r="H175">
        <v>1.3198091067752601E-2</v>
      </c>
      <c r="I175">
        <v>0</v>
      </c>
      <c r="J175">
        <v>1</v>
      </c>
      <c r="K175">
        <v>0</v>
      </c>
      <c r="L175">
        <v>0</v>
      </c>
      <c r="M175" t="str">
        <f>ContinuousStatsTable[[#This Row],[ProjectName]]&amp;ContinuousStatsTable[[#This Row],[Name]]&amp;ContinuousStatsTable[[#This Row],[Type]]&amp;ContinuousStatsTable[[#This Row],[Source]]</f>
        <v>Unnamed ProjectOperarios AvionInstantaneous UtilizationResource</v>
      </c>
      <c r="N175" cm="1">
        <f t="array" ref="N175">MAX(IF((ProjectInfoTable[ProjectName]=ContinuousStatsTable[[#This Row],[ProjectName]]),(ProjectInfoTable[ProjectName]=ContinuousStatsTable[[#This Row],[ProjectName]])*ProjectInfoTable[NumberOfReplications]))</f>
        <v>10</v>
      </c>
      <c r="O175" cm="1">
        <f t="array" ref="O175">IFERROR(AVERAGE(IF((ContinuousStatsTable[GroupByKey]=ContinuousStatsTable[[#This Row],[GroupByKey]]),(ContinuousStatsTable[GroupByKey]=ContinuousStatsTable[[#This Row],[GroupByKey]])*ContinuousStatsTable[Average])),0)</f>
        <v>7.5958437118625627E-2</v>
      </c>
      <c r="P17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5.0572810112240948E-3</v>
      </c>
      <c r="Q17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3.6177608968134627E-3</v>
      </c>
      <c r="S175" cm="1">
        <f t="array" ref="S175">MIN(IF((ContinuousStatsTable[GroupByKey]=ContinuousStatsTable[[#This Row],[GroupByKey]]),(ContinuousStatsTable[GroupByKey]=ContinuousStatsTable[[#This Row],[GroupByKey]])*ContinuousStatsTable[Average]))</f>
        <v>6.7485948117393404E-2</v>
      </c>
      <c r="T175" cm="1">
        <f t="array" ref="T175">MAX(IF((ContinuousStatsTable[GroupByKey]=ContinuousStatsTable[[#This Row],[GroupByKey]]),(ContinuousStatsTable[GroupByKey]=ContinuousStatsTable[[#This Row],[GroupByKey]])*ContinuousStatsTable[Average]))</f>
        <v>8.7852447587946303E-2</v>
      </c>
      <c r="U175">
        <f>IF((ContinuousStatsTable[[#This Row],[RepsRequested]]&gt;1),ContinuousStatsTable[[#This Row],[HalfWidth]],ContinuousStatsTable[[#This Row],[BatchMeansHalfWidth]])</f>
        <v>3.6177608968134627E-3</v>
      </c>
    </row>
    <row r="176" spans="1:21" x14ac:dyDescent="0.3">
      <c r="A176" t="s">
        <v>66</v>
      </c>
      <c r="B176" t="s">
        <v>68</v>
      </c>
      <c r="C176">
        <v>5</v>
      </c>
      <c r="D176" t="s">
        <v>107</v>
      </c>
      <c r="E176" t="s">
        <v>104</v>
      </c>
      <c r="F176" t="s">
        <v>103</v>
      </c>
      <c r="G176">
        <v>0.154755391178168</v>
      </c>
      <c r="H176">
        <v>2.6396182135505201E-2</v>
      </c>
      <c r="I176">
        <v>0</v>
      </c>
      <c r="J176">
        <v>2</v>
      </c>
      <c r="K176">
        <v>0</v>
      </c>
      <c r="L176">
        <v>0</v>
      </c>
      <c r="M176" t="str">
        <f>ContinuousStatsTable[[#This Row],[ProjectName]]&amp;ContinuousStatsTable[[#This Row],[Name]]&amp;ContinuousStatsTable[[#This Row],[Type]]&amp;ContinuousStatsTable[[#This Row],[Source]]</f>
        <v>Unnamed ProjectOperarios AvionNumber BusyResource</v>
      </c>
      <c r="N176" cm="1">
        <f t="array" ref="N176">MAX(IF((ProjectInfoTable[ProjectName]=ContinuousStatsTable[[#This Row],[ProjectName]]),(ProjectInfoTable[ProjectName]=ContinuousStatsTable[[#This Row],[ProjectName]])*ProjectInfoTable[NumberOfReplications]))</f>
        <v>10</v>
      </c>
      <c r="O176" cm="1">
        <f t="array" ref="O176">IFERROR(AVERAGE(IF((ContinuousStatsTable[GroupByKey]=ContinuousStatsTable[[#This Row],[GroupByKey]]),(ContinuousStatsTable[GroupByKey]=ContinuousStatsTable[[#This Row],[GroupByKey]])*ContinuousStatsTable[Average])),0)</f>
        <v>0.1519168742372512</v>
      </c>
      <c r="P176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1.0114562022448264E-2</v>
      </c>
      <c r="Q176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7.2355217936269783E-3</v>
      </c>
      <c r="S176" cm="1">
        <f t="array" ref="S176">MIN(IF((ContinuousStatsTable[GroupByKey]=ContinuousStatsTable[[#This Row],[GroupByKey]]),(ContinuousStatsTable[GroupByKey]=ContinuousStatsTable[[#This Row],[GroupByKey]])*ContinuousStatsTable[Average]))</f>
        <v>0.134971896234787</v>
      </c>
      <c r="T176" cm="1">
        <f t="array" ref="T176">MAX(IF((ContinuousStatsTable[GroupByKey]=ContinuousStatsTable[[#This Row],[GroupByKey]]),(ContinuousStatsTable[GroupByKey]=ContinuousStatsTable[[#This Row],[GroupByKey]])*ContinuousStatsTable[Average]))</f>
        <v>0.17570489517589299</v>
      </c>
      <c r="U176">
        <f>IF((ContinuousStatsTable[[#This Row],[RepsRequested]]&gt;1),ContinuousStatsTable[[#This Row],[HalfWidth]],ContinuousStatsTable[[#This Row],[BatchMeansHalfWidth]])</f>
        <v>7.2355217936269783E-3</v>
      </c>
    </row>
    <row r="177" spans="1:21" x14ac:dyDescent="0.3">
      <c r="A177" t="s">
        <v>66</v>
      </c>
      <c r="B177" t="s">
        <v>68</v>
      </c>
      <c r="C177">
        <v>5</v>
      </c>
      <c r="D177" t="s">
        <v>107</v>
      </c>
      <c r="E177" t="s">
        <v>105</v>
      </c>
      <c r="F177" t="s">
        <v>103</v>
      </c>
      <c r="G177">
        <v>2</v>
      </c>
      <c r="H177">
        <v>2E+20</v>
      </c>
      <c r="I177">
        <v>2</v>
      </c>
      <c r="J177">
        <v>2</v>
      </c>
      <c r="K177">
        <v>2</v>
      </c>
      <c r="L177">
        <v>0</v>
      </c>
      <c r="M177" t="str">
        <f>ContinuousStatsTable[[#This Row],[ProjectName]]&amp;ContinuousStatsTable[[#This Row],[Name]]&amp;ContinuousStatsTable[[#This Row],[Type]]&amp;ContinuousStatsTable[[#This Row],[Source]]</f>
        <v>Unnamed ProjectOperarios AvionNumber ScheduledResource</v>
      </c>
      <c r="N177" cm="1">
        <f t="array" ref="N177">MAX(IF((ProjectInfoTable[ProjectName]=ContinuousStatsTable[[#This Row],[ProjectName]]),(ProjectInfoTable[ProjectName]=ContinuousStatsTable[[#This Row],[ProjectName]])*ProjectInfoTable[NumberOfReplications]))</f>
        <v>10</v>
      </c>
      <c r="O177" cm="1">
        <f t="array" ref="O177">IFERROR(AVERAGE(IF((ContinuousStatsTable[GroupByKey]=ContinuousStatsTable[[#This Row],[GroupByKey]]),(ContinuousStatsTable[GroupByKey]=ContinuousStatsTable[[#This Row],[GroupByKey]])*ContinuousStatsTable[Average])),0)</f>
        <v>2</v>
      </c>
      <c r="P177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0</v>
      </c>
      <c r="Q177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7" cm="1">
        <f t="array" ref="S177">MIN(IF((ContinuousStatsTable[GroupByKey]=ContinuousStatsTable[[#This Row],[GroupByKey]]),(ContinuousStatsTable[GroupByKey]=ContinuousStatsTable[[#This Row],[GroupByKey]])*ContinuousStatsTable[Average]))</f>
        <v>2</v>
      </c>
      <c r="T177" cm="1">
        <f t="array" ref="T177">MAX(IF((ContinuousStatsTable[GroupByKey]=ContinuousStatsTable[[#This Row],[GroupByKey]]),(ContinuousStatsTable[GroupByKey]=ContinuousStatsTable[[#This Row],[GroupByKey]])*ContinuousStatsTable[Average]))</f>
        <v>2</v>
      </c>
      <c r="U177">
        <f>IF((ContinuousStatsTable[[#This Row],[RepsRequested]]&gt;1),ContinuousStatsTable[[#This Row],[HalfWidth]],ContinuousStatsTable[[#This Row],[BatchMeansHalfWidth]])</f>
        <v>0</v>
      </c>
    </row>
    <row r="178" spans="1:21" x14ac:dyDescent="0.3">
      <c r="A178" t="s">
        <v>66</v>
      </c>
      <c r="B178" t="s">
        <v>68</v>
      </c>
      <c r="C178">
        <v>5</v>
      </c>
      <c r="D178" t="s">
        <v>108</v>
      </c>
      <c r="E178" t="s">
        <v>102</v>
      </c>
      <c r="F178" t="s">
        <v>103</v>
      </c>
      <c r="G178">
        <v>0.386982235410052</v>
      </c>
      <c r="H178">
        <v>2E+20</v>
      </c>
      <c r="I178">
        <v>0</v>
      </c>
      <c r="J178">
        <v>1</v>
      </c>
      <c r="K178">
        <v>0</v>
      </c>
      <c r="L178">
        <v>0</v>
      </c>
      <c r="M178" t="str">
        <f>ContinuousStatsTable[[#This Row],[ProjectName]]&amp;ContinuousStatsTable[[#This Row],[Name]]&amp;ContinuousStatsTable[[#This Row],[Type]]&amp;ContinuousStatsTable[[#This Row],[Source]]</f>
        <v>Unnamed ProjectcajeraInstantaneous UtilizationResource</v>
      </c>
      <c r="N178" cm="1">
        <f t="array" ref="N178">MAX(IF((ProjectInfoTable[ProjectName]=ContinuousStatsTable[[#This Row],[ProjectName]]),(ProjectInfoTable[ProjectName]=ContinuousStatsTable[[#This Row],[ProjectName]])*ProjectInfoTable[NumberOfReplications]))</f>
        <v>10</v>
      </c>
      <c r="O178" cm="1">
        <f t="array" ref="O178">IFERROR(AVERAGE(IF((ContinuousStatsTable[GroupByKey]=ContinuousStatsTable[[#This Row],[GroupByKey]]),(ContinuousStatsTable[GroupByKey]=ContinuousStatsTable[[#This Row],[GroupByKey]])*ContinuousStatsTable[Average])),0)</f>
        <v>0.38078385056341441</v>
      </c>
      <c r="P178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5.6481911326734656E-2</v>
      </c>
      <c r="Q178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4.040472533000234E-2</v>
      </c>
      <c r="S178" cm="1">
        <f t="array" ref="S178">MIN(IF((ContinuousStatsTable[GroupByKey]=ContinuousStatsTable[[#This Row],[GroupByKey]]),(ContinuousStatsTable[GroupByKey]=ContinuousStatsTable[[#This Row],[GroupByKey]])*ContinuousStatsTable[Average]))</f>
        <v>0.28913636698845602</v>
      </c>
      <c r="T178" cm="1">
        <f t="array" ref="T178">MAX(IF((ContinuousStatsTable[GroupByKey]=ContinuousStatsTable[[#This Row],[GroupByKey]]),(ContinuousStatsTable[GroupByKey]=ContinuousStatsTable[[#This Row],[GroupByKey]])*ContinuousStatsTable[Average]))</f>
        <v>0.46134650546047301</v>
      </c>
      <c r="U178">
        <f>IF((ContinuousStatsTable[[#This Row],[RepsRequested]]&gt;1),ContinuousStatsTable[[#This Row],[HalfWidth]],ContinuousStatsTable[[#This Row],[BatchMeansHalfWidth]])</f>
        <v>4.040472533000234E-2</v>
      </c>
    </row>
    <row r="179" spans="1:21" x14ac:dyDescent="0.3">
      <c r="A179" t="s">
        <v>66</v>
      </c>
      <c r="B179" t="s">
        <v>68</v>
      </c>
      <c r="C179">
        <v>5</v>
      </c>
      <c r="D179" t="s">
        <v>108</v>
      </c>
      <c r="E179" t="s">
        <v>104</v>
      </c>
      <c r="F179" t="s">
        <v>103</v>
      </c>
      <c r="G179">
        <v>0.386982235410052</v>
      </c>
      <c r="H179">
        <v>2E+20</v>
      </c>
      <c r="I179">
        <v>0</v>
      </c>
      <c r="J179">
        <v>1</v>
      </c>
      <c r="K179">
        <v>0</v>
      </c>
      <c r="L179">
        <v>0</v>
      </c>
      <c r="M179" t="str">
        <f>ContinuousStatsTable[[#This Row],[ProjectName]]&amp;ContinuousStatsTable[[#This Row],[Name]]&amp;ContinuousStatsTable[[#This Row],[Type]]&amp;ContinuousStatsTable[[#This Row],[Source]]</f>
        <v>Unnamed ProjectcajeraNumber BusyResource</v>
      </c>
      <c r="N179" cm="1">
        <f t="array" ref="N179">MAX(IF((ProjectInfoTable[ProjectName]=ContinuousStatsTable[[#This Row],[ProjectName]]),(ProjectInfoTable[ProjectName]=ContinuousStatsTable[[#This Row],[ProjectName]])*ProjectInfoTable[NumberOfReplications]))</f>
        <v>10</v>
      </c>
      <c r="O179" cm="1">
        <f t="array" ref="O179">IFERROR(AVERAGE(IF((ContinuousStatsTable[GroupByKey]=ContinuousStatsTable[[#This Row],[GroupByKey]]),(ContinuousStatsTable[GroupByKey]=ContinuousStatsTable[[#This Row],[GroupByKey]])*ContinuousStatsTable[Average])),0)</f>
        <v>0.38078385056341441</v>
      </c>
      <c r="P179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5.6481911326734656E-2</v>
      </c>
      <c r="Q179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4.040472533000234E-2</v>
      </c>
      <c r="S179" cm="1">
        <f t="array" ref="S179">MIN(IF((ContinuousStatsTable[GroupByKey]=ContinuousStatsTable[[#This Row],[GroupByKey]]),(ContinuousStatsTable[GroupByKey]=ContinuousStatsTable[[#This Row],[GroupByKey]])*ContinuousStatsTable[Average]))</f>
        <v>0.28913636698845602</v>
      </c>
      <c r="T179" cm="1">
        <f t="array" ref="T179">MAX(IF((ContinuousStatsTable[GroupByKey]=ContinuousStatsTable[[#This Row],[GroupByKey]]),(ContinuousStatsTable[GroupByKey]=ContinuousStatsTable[[#This Row],[GroupByKey]])*ContinuousStatsTable[Average]))</f>
        <v>0.46134650546047301</v>
      </c>
      <c r="U179">
        <f>IF((ContinuousStatsTable[[#This Row],[RepsRequested]]&gt;1),ContinuousStatsTable[[#This Row],[HalfWidth]],ContinuousStatsTable[[#This Row],[BatchMeansHalfWidth]])</f>
        <v>4.040472533000234E-2</v>
      </c>
    </row>
    <row r="180" spans="1:21" x14ac:dyDescent="0.3">
      <c r="A180" t="s">
        <v>66</v>
      </c>
      <c r="B180" t="s">
        <v>68</v>
      </c>
      <c r="C180">
        <v>5</v>
      </c>
      <c r="D180" t="s">
        <v>108</v>
      </c>
      <c r="E180" t="s">
        <v>105</v>
      </c>
      <c r="F180" t="s">
        <v>103</v>
      </c>
      <c r="G180">
        <v>1</v>
      </c>
      <c r="H180">
        <v>2E+20</v>
      </c>
      <c r="I180">
        <v>1</v>
      </c>
      <c r="J180">
        <v>1</v>
      </c>
      <c r="K180">
        <v>1</v>
      </c>
      <c r="L180">
        <v>0</v>
      </c>
      <c r="M180" t="str">
        <f>ContinuousStatsTable[[#This Row],[ProjectName]]&amp;ContinuousStatsTable[[#This Row],[Name]]&amp;ContinuousStatsTable[[#This Row],[Type]]&amp;ContinuousStatsTable[[#This Row],[Source]]</f>
        <v>Unnamed ProjectcajeraNumber ScheduledResource</v>
      </c>
      <c r="N180" cm="1">
        <f t="array" ref="N180">MAX(IF((ProjectInfoTable[ProjectName]=ContinuousStatsTable[[#This Row],[ProjectName]]),(ProjectInfoTable[ProjectName]=ContinuousStatsTable[[#This Row],[ProjectName]])*ProjectInfoTable[NumberOfReplications]))</f>
        <v>10</v>
      </c>
      <c r="O180" cm="1">
        <f t="array" ref="O180">IFERROR(AVERAGE(IF((ContinuousStatsTable[GroupByKey]=ContinuousStatsTable[[#This Row],[GroupByKey]]),(ContinuousStatsTable[GroupByKey]=ContinuousStatsTable[[#This Row],[GroupByKey]])*ContinuousStatsTable[Average])),0)</f>
        <v>1</v>
      </c>
      <c r="P180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0</v>
      </c>
      <c r="Q180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0" cm="1">
        <f t="array" ref="S180">MIN(IF((ContinuousStatsTable[GroupByKey]=ContinuousStatsTable[[#This Row],[GroupByKey]]),(ContinuousStatsTable[GroupByKey]=ContinuousStatsTable[[#This Row],[GroupByKey]])*ContinuousStatsTable[Average]))</f>
        <v>1</v>
      </c>
      <c r="T180" cm="1">
        <f t="array" ref="T180">MAX(IF((ContinuousStatsTable[GroupByKey]=ContinuousStatsTable[[#This Row],[GroupByKey]]),(ContinuousStatsTable[GroupByKey]=ContinuousStatsTable[[#This Row],[GroupByKey]])*ContinuousStatsTable[Average]))</f>
        <v>1</v>
      </c>
      <c r="U180">
        <f>IF((ContinuousStatsTable[[#This Row],[RepsRequested]]&gt;1),ContinuousStatsTable[[#This Row],[HalfWidth]],ContinuousStatsTable[[#This Row],[BatchMeansHalfWidth]])</f>
        <v>0</v>
      </c>
    </row>
    <row r="181" spans="1:21" x14ac:dyDescent="0.3">
      <c r="A181" t="s">
        <v>66</v>
      </c>
      <c r="B181" t="s">
        <v>68</v>
      </c>
      <c r="C181">
        <v>5</v>
      </c>
      <c r="D181" t="s">
        <v>109</v>
      </c>
      <c r="E181" t="s">
        <v>102</v>
      </c>
      <c r="F181" t="s">
        <v>103</v>
      </c>
      <c r="G181">
        <v>0.735269347730102</v>
      </c>
      <c r="H181">
        <v>2E+20</v>
      </c>
      <c r="I181">
        <v>0</v>
      </c>
      <c r="J181">
        <v>1</v>
      </c>
      <c r="K181">
        <v>1</v>
      </c>
      <c r="L181">
        <v>0</v>
      </c>
      <c r="M181" t="str">
        <f>ContinuousStatsTable[[#This Row],[ProjectName]]&amp;ContinuousStatsTable[[#This Row],[Name]]&amp;ContinuousStatsTable[[#This Row],[Type]]&amp;ContinuousStatsTable[[#This Row],[Source]]</f>
        <v>Unnamed Projectcajera2Instantaneous UtilizationResource</v>
      </c>
      <c r="N181" cm="1">
        <f t="array" ref="N181">MAX(IF((ProjectInfoTable[ProjectName]=ContinuousStatsTable[[#This Row],[ProjectName]]),(ProjectInfoTable[ProjectName]=ContinuousStatsTable[[#This Row],[ProjectName]])*ProjectInfoTable[NumberOfReplications]))</f>
        <v>10</v>
      </c>
      <c r="O181" cm="1">
        <f t="array" ref="O181">IFERROR(AVERAGE(IF((ContinuousStatsTable[GroupByKey]=ContinuousStatsTable[[#This Row],[GroupByKey]]),(ContinuousStatsTable[GroupByKey]=ContinuousStatsTable[[#This Row],[GroupByKey]])*ContinuousStatsTable[Average])),0)</f>
        <v>0.73571117943508912</v>
      </c>
      <c r="P181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2.3945213257811505E-2</v>
      </c>
      <c r="Q181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1.7129373668915777E-2</v>
      </c>
      <c r="S181" cm="1">
        <f t="array" ref="S181">MIN(IF((ContinuousStatsTable[GroupByKey]=ContinuousStatsTable[[#This Row],[GroupByKey]]),(ContinuousStatsTable[GroupByKey]=ContinuousStatsTable[[#This Row],[GroupByKey]])*ContinuousStatsTable[Average]))</f>
        <v>0.69752119636771104</v>
      </c>
      <c r="T181" cm="1">
        <f t="array" ref="T181">MAX(IF((ContinuousStatsTable[GroupByKey]=ContinuousStatsTable[[#This Row],[GroupByKey]]),(ContinuousStatsTable[GroupByKey]=ContinuousStatsTable[[#This Row],[GroupByKey]])*ContinuousStatsTable[Average]))</f>
        <v>0.77845968782647601</v>
      </c>
      <c r="U181">
        <f>IF((ContinuousStatsTable[[#This Row],[RepsRequested]]&gt;1),ContinuousStatsTable[[#This Row],[HalfWidth]],ContinuousStatsTable[[#This Row],[BatchMeansHalfWidth]])</f>
        <v>1.7129373668915777E-2</v>
      </c>
    </row>
    <row r="182" spans="1:21" x14ac:dyDescent="0.3">
      <c r="A182" t="s">
        <v>66</v>
      </c>
      <c r="B182" t="s">
        <v>68</v>
      </c>
      <c r="C182">
        <v>5</v>
      </c>
      <c r="D182" t="s">
        <v>109</v>
      </c>
      <c r="E182" t="s">
        <v>104</v>
      </c>
      <c r="F182" t="s">
        <v>103</v>
      </c>
      <c r="G182">
        <v>0.735269347730102</v>
      </c>
      <c r="H182">
        <v>2E+20</v>
      </c>
      <c r="I182">
        <v>0</v>
      </c>
      <c r="J182">
        <v>1</v>
      </c>
      <c r="K182">
        <v>1</v>
      </c>
      <c r="L182">
        <v>0</v>
      </c>
      <c r="M182" s="5" t="str">
        <f>ContinuousStatsTable[[#This Row],[ProjectName]]&amp;ContinuousStatsTable[[#This Row],[Name]]&amp;ContinuousStatsTable[[#This Row],[Type]]&amp;ContinuousStatsTable[[#This Row],[Source]]</f>
        <v>Unnamed Projectcajera2Number BusyResource</v>
      </c>
      <c r="N182" s="5" cm="1">
        <f t="array" ref="N182">MAX(IF((ProjectInfoTable[ProjectName]=ContinuousStatsTable[[#This Row],[ProjectName]]),(ProjectInfoTable[ProjectName]=ContinuousStatsTable[[#This Row],[ProjectName]])*ProjectInfoTable[NumberOfReplications]))</f>
        <v>10</v>
      </c>
      <c r="O182" s="5" cm="1">
        <f t="array" ref="O182">IFERROR(AVERAGE(IF((ContinuousStatsTable[GroupByKey]=ContinuousStatsTable[[#This Row],[GroupByKey]]),(ContinuousStatsTable[GroupByKey]=ContinuousStatsTable[[#This Row],[GroupByKey]])*ContinuousStatsTable[Average])),0)</f>
        <v>0.73571117943508912</v>
      </c>
      <c r="P182" s="5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2.3945213257811505E-2</v>
      </c>
      <c r="Q182" s="5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1.7129373668915777E-2</v>
      </c>
      <c r="S182" s="5" cm="1">
        <f t="array" ref="S182">MIN(IF((ContinuousStatsTable[GroupByKey]=ContinuousStatsTable[[#This Row],[GroupByKey]]),(ContinuousStatsTable[GroupByKey]=ContinuousStatsTable[[#This Row],[GroupByKey]])*ContinuousStatsTable[Average]))</f>
        <v>0.69752119636771104</v>
      </c>
      <c r="T182" s="5" cm="1">
        <f t="array" ref="T182">MAX(IF((ContinuousStatsTable[GroupByKey]=ContinuousStatsTable[[#This Row],[GroupByKey]]),(ContinuousStatsTable[GroupByKey]=ContinuousStatsTable[[#This Row],[GroupByKey]])*ContinuousStatsTable[Average]))</f>
        <v>0.77845968782647601</v>
      </c>
      <c r="U182" s="5">
        <f>IF((ContinuousStatsTable[[#This Row],[RepsRequested]]&gt;1),ContinuousStatsTable[[#This Row],[HalfWidth]],ContinuousStatsTable[[#This Row],[BatchMeansHalfWidth]])</f>
        <v>1.7129373668915777E-2</v>
      </c>
    </row>
    <row r="183" spans="1:21" x14ac:dyDescent="0.3">
      <c r="A183" t="s">
        <v>66</v>
      </c>
      <c r="B183" t="s">
        <v>68</v>
      </c>
      <c r="C183">
        <v>5</v>
      </c>
      <c r="D183" t="s">
        <v>109</v>
      </c>
      <c r="E183" t="s">
        <v>105</v>
      </c>
      <c r="F183" t="s">
        <v>103</v>
      </c>
      <c r="G183">
        <v>1</v>
      </c>
      <c r="H183">
        <v>2E+20</v>
      </c>
      <c r="I183">
        <v>1</v>
      </c>
      <c r="J183">
        <v>1</v>
      </c>
      <c r="K183">
        <v>1</v>
      </c>
      <c r="L183">
        <v>0</v>
      </c>
      <c r="M183" s="5" t="str">
        <f>ContinuousStatsTable[[#This Row],[ProjectName]]&amp;ContinuousStatsTable[[#This Row],[Name]]&amp;ContinuousStatsTable[[#This Row],[Type]]&amp;ContinuousStatsTable[[#This Row],[Source]]</f>
        <v>Unnamed Projectcajera2Number ScheduledResource</v>
      </c>
      <c r="N183" s="5" cm="1">
        <f t="array" ref="N183">MAX(IF((ProjectInfoTable[ProjectName]=ContinuousStatsTable[[#This Row],[ProjectName]]),(ProjectInfoTable[ProjectName]=ContinuousStatsTable[[#This Row],[ProjectName]])*ProjectInfoTable[NumberOfReplications]))</f>
        <v>10</v>
      </c>
      <c r="O183" s="5" cm="1">
        <f t="array" ref="O183">IFERROR(AVERAGE(IF((ContinuousStatsTable[GroupByKey]=ContinuousStatsTable[[#This Row],[GroupByKey]]),(ContinuousStatsTable[GroupByKey]=ContinuousStatsTable[[#This Row],[GroupByKey]])*ContinuousStatsTable[Average])),0)</f>
        <v>1</v>
      </c>
      <c r="P183" s="5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0</v>
      </c>
      <c r="Q183" s="5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3" s="5" cm="1">
        <f t="array" ref="S183">MIN(IF((ContinuousStatsTable[GroupByKey]=ContinuousStatsTable[[#This Row],[GroupByKey]]),(ContinuousStatsTable[GroupByKey]=ContinuousStatsTable[[#This Row],[GroupByKey]])*ContinuousStatsTable[Average]))</f>
        <v>1</v>
      </c>
      <c r="T183" s="5" cm="1">
        <f t="array" ref="T183">MAX(IF((ContinuousStatsTable[GroupByKey]=ContinuousStatsTable[[#This Row],[GroupByKey]]),(ContinuousStatsTable[GroupByKey]=ContinuousStatsTable[[#This Row],[GroupByKey]])*ContinuousStatsTable[Average]))</f>
        <v>1</v>
      </c>
      <c r="U183" s="5">
        <f>IF((ContinuousStatsTable[[#This Row],[RepsRequested]]&gt;1),ContinuousStatsTable[[#This Row],[HalfWidth]],ContinuousStatsTable[[#This Row],[BatchMeansHalfWidth]])</f>
        <v>0</v>
      </c>
    </row>
    <row r="184" spans="1:21" x14ac:dyDescent="0.3">
      <c r="A184" t="s">
        <v>66</v>
      </c>
      <c r="B184" t="s">
        <v>68</v>
      </c>
      <c r="C184">
        <v>5</v>
      </c>
      <c r="D184" t="s">
        <v>93</v>
      </c>
      <c r="E184" t="s">
        <v>99</v>
      </c>
      <c r="F184" t="s">
        <v>71</v>
      </c>
      <c r="G184">
        <v>0.45238615087769601</v>
      </c>
      <c r="H184">
        <v>2E+20</v>
      </c>
      <c r="I184">
        <v>0</v>
      </c>
      <c r="J184">
        <v>5</v>
      </c>
      <c r="K184">
        <v>0</v>
      </c>
      <c r="L184">
        <v>0</v>
      </c>
      <c r="M184" s="5" t="str">
        <f>ContinuousStatsTable[[#This Row],[ProjectName]]&amp;ContinuousStatsTable[[#This Row],[Name]]&amp;ContinuousStatsTable[[#This Row],[Type]]&amp;ContinuousStatsTable[[#This Row],[Source]]</f>
        <v>Unnamed Projectmanualinter.QueueNumber WaitingQueue</v>
      </c>
      <c r="N184" s="5" cm="1">
        <f t="array" ref="N184">MAX(IF((ProjectInfoTable[ProjectName]=ContinuousStatsTable[[#This Row],[ProjectName]]),(ProjectInfoTable[ProjectName]=ContinuousStatsTable[[#This Row],[ProjectName]])*ProjectInfoTable[NumberOfReplications]))</f>
        <v>10</v>
      </c>
      <c r="O184" s="5" cm="1">
        <f t="array" ref="O184">IFERROR(AVERAGE(IF((ContinuousStatsTable[GroupByKey]=ContinuousStatsTable[[#This Row],[GroupByKey]]),(ContinuousStatsTable[GroupByKey]=ContinuousStatsTable[[#This Row],[GroupByKey]])*ContinuousStatsTable[Average])),0)</f>
        <v>0.33257710094571935</v>
      </c>
      <c r="P184" s="5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0.27159595138606457</v>
      </c>
      <c r="Q184" s="5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0.19428803945769421</v>
      </c>
      <c r="S184" s="5" cm="1">
        <f t="array" ref="S184">MIN(IF((ContinuousStatsTable[GroupByKey]=ContinuousStatsTable[[#This Row],[GroupByKey]]),(ContinuousStatsTable[GroupByKey]=ContinuousStatsTable[[#This Row],[GroupByKey]])*ContinuousStatsTable[Average]))</f>
        <v>4.88437833500961E-2</v>
      </c>
      <c r="T184" s="5" cm="1">
        <f t="array" ref="T184">MAX(IF((ContinuousStatsTable[GroupByKey]=ContinuousStatsTable[[#This Row],[GroupByKey]]),(ContinuousStatsTable[GroupByKey]=ContinuousStatsTable[[#This Row],[GroupByKey]])*ContinuousStatsTable[Average]))</f>
        <v>0.95917715937716497</v>
      </c>
      <c r="U184" s="5">
        <f>IF((ContinuousStatsTable[[#This Row],[RepsRequested]]&gt;1),ContinuousStatsTable[[#This Row],[HalfWidth]],ContinuousStatsTable[[#This Row],[BatchMeansHalfWidth]])</f>
        <v>0.19428803945769421</v>
      </c>
    </row>
    <row r="185" spans="1:21" x14ac:dyDescent="0.3">
      <c r="A185" t="s">
        <v>66</v>
      </c>
      <c r="B185" t="s">
        <v>68</v>
      </c>
      <c r="C185">
        <v>5</v>
      </c>
      <c r="D185" t="s">
        <v>94</v>
      </c>
      <c r="E185" t="s">
        <v>99</v>
      </c>
      <c r="F185" t="s">
        <v>71</v>
      </c>
      <c r="G185">
        <v>8.9824156657539699E-4</v>
      </c>
      <c r="H185">
        <v>2E+20</v>
      </c>
      <c r="I185">
        <v>0</v>
      </c>
      <c r="J185">
        <v>1</v>
      </c>
      <c r="K185">
        <v>0</v>
      </c>
      <c r="L185">
        <v>0</v>
      </c>
      <c r="M185" s="5" t="str">
        <f>ContinuousStatsTable[[#This Row],[ProjectName]]&amp;ContinuousStatsTable[[#This Row],[Name]]&amp;ContinuousStatsTable[[#This Row],[Type]]&amp;ContinuousStatsTable[[#This Row],[Source]]</f>
        <v>Unnamed Projectmanualnaciona.QueueNumber WaitingQueue</v>
      </c>
      <c r="N185" s="5" cm="1">
        <f t="array" ref="N185">MAX(IF((ProjectInfoTable[ProjectName]=ContinuousStatsTable[[#This Row],[ProjectName]]),(ProjectInfoTable[ProjectName]=ContinuousStatsTable[[#This Row],[ProjectName]])*ProjectInfoTable[NumberOfReplications]))</f>
        <v>10</v>
      </c>
      <c r="O185" s="5" cm="1">
        <f t="array" ref="O185">IFERROR(AVERAGE(IF((ContinuousStatsTable[GroupByKey]=ContinuousStatsTable[[#This Row],[GroupByKey]]),(ContinuousStatsTable[GroupByKey]=ContinuousStatsTable[[#This Row],[GroupByKey]])*ContinuousStatsTable[Average])),0)</f>
        <v>2.2437109622866062E-3</v>
      </c>
      <c r="P185" s="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6.4095428429067599E-3</v>
      </c>
      <c r="Q185" s="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4.5851107367881972E-3</v>
      </c>
      <c r="S185" s="5" cm="1">
        <f t="array" ref="S185">MIN(IF((ContinuousStatsTable[GroupByKey]=ContinuousStatsTable[[#This Row],[GroupByKey]]),(ContinuousStatsTable[GroupByKey]=ContinuousStatsTable[[#This Row],[GroupByKey]])*ContinuousStatsTable[Average]))</f>
        <v>0</v>
      </c>
      <c r="T185" s="5" cm="1">
        <f t="array" ref="T185">MAX(IF((ContinuousStatsTable[GroupByKey]=ContinuousStatsTable[[#This Row],[GroupByKey]]),(ContinuousStatsTable[GroupByKey]=ContinuousStatsTable[[#This Row],[GroupByKey]])*ContinuousStatsTable[Average]))</f>
        <v>2.0447096127880302E-2</v>
      </c>
      <c r="U185" s="5">
        <f>IF((ContinuousStatsTable[[#This Row],[RepsRequested]]&gt;1),ContinuousStatsTable[[#This Row],[HalfWidth]],ContinuousStatsTable[[#This Row],[BatchMeansHalfWidth]])</f>
        <v>4.5851107367881972E-3</v>
      </c>
    </row>
    <row r="186" spans="1:21" x14ac:dyDescent="0.3">
      <c r="A186" t="s">
        <v>66</v>
      </c>
      <c r="B186" t="s">
        <v>68</v>
      </c>
      <c r="C186">
        <v>5</v>
      </c>
      <c r="D186" t="s">
        <v>95</v>
      </c>
      <c r="E186" t="s">
        <v>99</v>
      </c>
      <c r="F186" t="s">
        <v>71</v>
      </c>
      <c r="G186">
        <v>2.4078081722243598</v>
      </c>
      <c r="H186">
        <v>3E+20</v>
      </c>
      <c r="I186">
        <v>0</v>
      </c>
      <c r="J186">
        <v>10</v>
      </c>
      <c r="K186">
        <v>4</v>
      </c>
      <c r="L186">
        <v>0</v>
      </c>
      <c r="M186" s="5" t="str">
        <f>ContinuousStatsTable[[#This Row],[ProjectName]]&amp;ContinuousStatsTable[[#This Row],[Name]]&amp;ContinuousStatsTable[[#This Row],[Type]]&amp;ContinuousStatsTable[[#This Row],[Source]]</f>
        <v>Unnamed Projectmaquinainter.QueueNumber WaitingQueue</v>
      </c>
      <c r="N186" s="5" cm="1">
        <f t="array" ref="N186">MAX(IF((ProjectInfoTable[ProjectName]=ContinuousStatsTable[[#This Row],[ProjectName]]),(ProjectInfoTable[ProjectName]=ContinuousStatsTable[[#This Row],[ProjectName]])*ProjectInfoTable[NumberOfReplications]))</f>
        <v>10</v>
      </c>
      <c r="O186" s="5" cm="1">
        <f t="array" ref="O186">IFERROR(AVERAGE(IF((ContinuousStatsTable[GroupByKey]=ContinuousStatsTable[[#This Row],[GroupByKey]]),(ContinuousStatsTable[GroupByKey]=ContinuousStatsTable[[#This Row],[GroupByKey]])*ContinuousStatsTable[Average])),0)</f>
        <v>2.7250893633296323</v>
      </c>
      <c r="P186" s="5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1.2704307292922721</v>
      </c>
      <c r="Q186" s="5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0.90881139575657477</v>
      </c>
      <c r="S186" s="5" cm="1">
        <f t="array" ref="S186">MIN(IF((ContinuousStatsTable[GroupByKey]=ContinuousStatsTable[[#This Row],[GroupByKey]]),(ContinuousStatsTable[GroupByKey]=ContinuousStatsTable[[#This Row],[GroupByKey]])*ContinuousStatsTable[Average]))</f>
        <v>1.35760259855807</v>
      </c>
      <c r="T186" s="5" cm="1">
        <f t="array" ref="T186">MAX(IF((ContinuousStatsTable[GroupByKey]=ContinuousStatsTable[[#This Row],[GroupByKey]]),(ContinuousStatsTable[GroupByKey]=ContinuousStatsTable[[#This Row],[GroupByKey]])*ContinuousStatsTable[Average]))</f>
        <v>5.2621649076821404</v>
      </c>
      <c r="U186" s="5">
        <f>IF((ContinuousStatsTable[[#This Row],[RepsRequested]]&gt;1),ContinuousStatsTable[[#This Row],[HalfWidth]],ContinuousStatsTable[[#This Row],[BatchMeansHalfWidth]])</f>
        <v>0.90881139575657477</v>
      </c>
    </row>
    <row r="187" spans="1:21" x14ac:dyDescent="0.3">
      <c r="A187" t="s">
        <v>66</v>
      </c>
      <c r="B187" t="s">
        <v>68</v>
      </c>
      <c r="C187">
        <v>5</v>
      </c>
      <c r="D187" t="s">
        <v>96</v>
      </c>
      <c r="E187" t="s">
        <v>99</v>
      </c>
      <c r="F187" t="s">
        <v>71</v>
      </c>
      <c r="G187">
        <v>0.17795315128050401</v>
      </c>
      <c r="H187">
        <v>2E+20</v>
      </c>
      <c r="I187">
        <v>0</v>
      </c>
      <c r="J187">
        <v>3</v>
      </c>
      <c r="K187">
        <v>0</v>
      </c>
      <c r="L187">
        <v>0</v>
      </c>
      <c r="M187" s="5" t="str">
        <f>ContinuousStatsTable[[#This Row],[ProjectName]]&amp;ContinuousStatsTable[[#This Row],[Name]]&amp;ContinuousStatsTable[[#This Row],[Type]]&amp;ContinuousStatsTable[[#This Row],[Source]]</f>
        <v>Unnamed Projectmaquinanacional.QueueNumber WaitingQueue</v>
      </c>
      <c r="N187" s="5" cm="1">
        <f t="array" ref="N187">MAX(IF((ProjectInfoTable[ProjectName]=ContinuousStatsTable[[#This Row],[ProjectName]]),(ProjectInfoTable[ProjectName]=ContinuousStatsTable[[#This Row],[ProjectName]])*ProjectInfoTable[NumberOfReplications]))</f>
        <v>10</v>
      </c>
      <c r="O187" s="5" cm="1">
        <f t="array" ref="O187">IFERROR(AVERAGE(IF((ContinuousStatsTable[GroupByKey]=ContinuousStatsTable[[#This Row],[GroupByKey]]),(ContinuousStatsTable[GroupByKey]=ContinuousStatsTable[[#This Row],[GroupByKey]])*ContinuousStatsTable[Average])),0)</f>
        <v>0.20327393268399513</v>
      </c>
      <c r="P187" s="5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5.4678802003311266E-2</v>
      </c>
      <c r="Q187" s="5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3.9114858623271326E-2</v>
      </c>
      <c r="S187" s="5" cm="1">
        <f t="array" ref="S187">MIN(IF((ContinuousStatsTable[GroupByKey]=ContinuousStatsTable[[#This Row],[GroupByKey]]),(ContinuousStatsTable[GroupByKey]=ContinuousStatsTable[[#This Row],[GroupByKey]])*ContinuousStatsTable[Average]))</f>
        <v>9.7152989948067606E-2</v>
      </c>
      <c r="T187" s="5" cm="1">
        <f t="array" ref="T187">MAX(IF((ContinuousStatsTable[GroupByKey]=ContinuousStatsTable[[#This Row],[GroupByKey]]),(ContinuousStatsTable[GroupByKey]=ContinuousStatsTable[[#This Row],[GroupByKey]])*ContinuousStatsTable[Average]))</f>
        <v>0.28694483715654301</v>
      </c>
      <c r="U187" s="5">
        <f>IF((ContinuousStatsTable[[#This Row],[RepsRequested]]&gt;1),ContinuousStatsTable[[#This Row],[HalfWidth]],ContinuousStatsTable[[#This Row],[BatchMeansHalfWidth]])</f>
        <v>3.9114858623271326E-2</v>
      </c>
    </row>
    <row r="188" spans="1:21" x14ac:dyDescent="0.3">
      <c r="A188" t="s">
        <v>66</v>
      </c>
      <c r="B188" t="s">
        <v>68</v>
      </c>
      <c r="C188">
        <v>5</v>
      </c>
      <c r="D188" t="s">
        <v>97</v>
      </c>
      <c r="E188" t="s">
        <v>99</v>
      </c>
      <c r="F188" t="s">
        <v>71</v>
      </c>
      <c r="G188">
        <v>0.342660644102733</v>
      </c>
      <c r="H188">
        <v>2E+20</v>
      </c>
      <c r="I188">
        <v>0</v>
      </c>
      <c r="J188">
        <v>3</v>
      </c>
      <c r="K188">
        <v>0</v>
      </c>
      <c r="L188">
        <v>0</v>
      </c>
      <c r="M188" s="5" t="str">
        <f>ContinuousStatsTable[[#This Row],[ProjectName]]&amp;ContinuousStatsTable[[#This Row],[Name]]&amp;ContinuousStatsTable[[#This Row],[Type]]&amp;ContinuousStatsTable[[#This Row],[Source]]</f>
        <v>Unnamed Projectmostrador1.QueueNumber WaitingQueue</v>
      </c>
      <c r="N188" s="5" cm="1">
        <f t="array" ref="N188">MAX(IF((ProjectInfoTable[ProjectName]=ContinuousStatsTable[[#This Row],[ProjectName]]),(ProjectInfoTable[ProjectName]=ContinuousStatsTable[[#This Row],[ProjectName]])*ProjectInfoTable[NumberOfReplications]))</f>
        <v>10</v>
      </c>
      <c r="O188" s="5" cm="1">
        <f t="array" ref="O188">IFERROR(AVERAGE(IF((ContinuousStatsTable[GroupByKey]=ContinuousStatsTable[[#This Row],[GroupByKey]]),(ContinuousStatsTable[GroupByKey]=ContinuousStatsTable[[#This Row],[GroupByKey]])*ContinuousStatsTable[Average])),0)</f>
        <v>0.25365601436241814</v>
      </c>
      <c r="P188" s="5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9.7306237195948719E-2</v>
      </c>
      <c r="Q188" s="5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6.9608688772141478E-2</v>
      </c>
      <c r="S188" s="5" cm="1">
        <f t="array" ref="S188">MIN(IF((ContinuousStatsTable[GroupByKey]=ContinuousStatsTable[[#This Row],[GroupByKey]]),(ContinuousStatsTable[GroupByKey]=ContinuousStatsTable[[#This Row],[GroupByKey]])*ContinuousStatsTable[Average]))</f>
        <v>0.124078487063659</v>
      </c>
      <c r="T188" s="5" cm="1">
        <f t="array" ref="T188">MAX(IF((ContinuousStatsTable[GroupByKey]=ContinuousStatsTable[[#This Row],[GroupByKey]]),(ContinuousStatsTable[GroupByKey]=ContinuousStatsTable[[#This Row],[GroupByKey]])*ContinuousStatsTable[Average]))</f>
        <v>0.381680898629085</v>
      </c>
      <c r="U188" s="5">
        <f>IF((ContinuousStatsTable[[#This Row],[RepsRequested]]&gt;1),ContinuousStatsTable[[#This Row],[HalfWidth]],ContinuousStatsTable[[#This Row],[BatchMeansHalfWidth]])</f>
        <v>6.9608688772141478E-2</v>
      </c>
    </row>
    <row r="189" spans="1:21" x14ac:dyDescent="0.3">
      <c r="A189" t="s">
        <v>66</v>
      </c>
      <c r="B189" t="s">
        <v>68</v>
      </c>
      <c r="C189">
        <v>5</v>
      </c>
      <c r="D189" t="s">
        <v>98</v>
      </c>
      <c r="E189" t="s">
        <v>99</v>
      </c>
      <c r="F189" t="s">
        <v>71</v>
      </c>
      <c r="G189">
        <v>0.55109737693222505</v>
      </c>
      <c r="H189">
        <v>2E+20</v>
      </c>
      <c r="I189">
        <v>0</v>
      </c>
      <c r="J189">
        <v>4</v>
      </c>
      <c r="K189">
        <v>1</v>
      </c>
      <c r="L189">
        <v>0</v>
      </c>
      <c r="M189" s="5" t="str">
        <f>ContinuousStatsTable[[#This Row],[ProjectName]]&amp;ContinuousStatsTable[[#This Row],[Name]]&amp;ContinuousStatsTable[[#This Row],[Type]]&amp;ContinuousStatsTable[[#This Row],[Source]]</f>
        <v>Unnamed Projectmostrador2.QueueNumber WaitingQueue</v>
      </c>
      <c r="N189" s="5" cm="1">
        <f t="array" ref="N189">MAX(IF((ProjectInfoTable[ProjectName]=ContinuousStatsTable[[#This Row],[ProjectName]]),(ProjectInfoTable[ProjectName]=ContinuousStatsTable[[#This Row],[ProjectName]])*ProjectInfoTable[NumberOfReplications]))</f>
        <v>10</v>
      </c>
      <c r="O189" s="5" cm="1">
        <f t="array" ref="O189">IFERROR(AVERAGE(IF((ContinuousStatsTable[GroupByKey]=ContinuousStatsTable[[#This Row],[GroupByKey]]),(ContinuousStatsTable[GroupByKey]=ContinuousStatsTable[[#This Row],[GroupByKey]])*ContinuousStatsTable[Average])),0)</f>
        <v>0.56854078919795403</v>
      </c>
      <c r="P189" s="5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9.5876381195630939E-2</v>
      </c>
      <c r="Q189" s="5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6.8585831407770567E-2</v>
      </c>
      <c r="S189" s="5" cm="1">
        <f t="array" ref="S189">MIN(IF((ContinuousStatsTable[GroupByKey]=ContinuousStatsTable[[#This Row],[GroupByKey]]),(ContinuousStatsTable[GroupByKey]=ContinuousStatsTable[[#This Row],[GroupByKey]])*ContinuousStatsTable[Average]))</f>
        <v>0.461258283509344</v>
      </c>
      <c r="T189" s="5" cm="1">
        <f t="array" ref="T189">MAX(IF((ContinuousStatsTable[GroupByKey]=ContinuousStatsTable[[#This Row],[GroupByKey]]),(ContinuousStatsTable[GroupByKey]=ContinuousStatsTable[[#This Row],[GroupByKey]])*ContinuousStatsTable[Average]))</f>
        <v>0.74281217456090598</v>
      </c>
      <c r="U189" s="5">
        <f>IF((ContinuousStatsTable[[#This Row],[RepsRequested]]&gt;1),ContinuousStatsTable[[#This Row],[HalfWidth]],ContinuousStatsTable[[#This Row],[BatchMeansHalfWidth]])</f>
        <v>6.8585831407770567E-2</v>
      </c>
    </row>
    <row r="190" spans="1:21" x14ac:dyDescent="0.3">
      <c r="A190" t="s">
        <v>66</v>
      </c>
      <c r="B190" t="s">
        <v>68</v>
      </c>
      <c r="C190">
        <v>5</v>
      </c>
      <c r="D190" t="s">
        <v>110</v>
      </c>
      <c r="E190" t="s">
        <v>100</v>
      </c>
      <c r="F190" t="s">
        <v>74</v>
      </c>
      <c r="G190">
        <v>0</v>
      </c>
      <c r="H190">
        <v>2E+20</v>
      </c>
      <c r="I190">
        <v>0</v>
      </c>
      <c r="J190">
        <v>0</v>
      </c>
      <c r="K190">
        <v>0</v>
      </c>
      <c r="L190">
        <v>0</v>
      </c>
      <c r="M190" s="5" t="str">
        <f>ContinuousStatsTable[[#This Row],[ProjectName]]&amp;ContinuousStatsTable[[#This Row],[Name]]&amp;ContinuousStatsTable[[#This Row],[Type]]&amp;ContinuousStatsTable[[#This Row],[Source]]</f>
        <v>Unnamed ProjectpersonaWIPEntity</v>
      </c>
      <c r="N190" s="5" cm="1">
        <f t="array" ref="N190">MAX(IF((ProjectInfoTable[ProjectName]=ContinuousStatsTable[[#This Row],[ProjectName]]),(ProjectInfoTable[ProjectName]=ContinuousStatsTable[[#This Row],[ProjectName]])*ProjectInfoTable[NumberOfReplications]))</f>
        <v>10</v>
      </c>
      <c r="O190" s="5" cm="1">
        <f t="array" ref="O190">IFERROR(AVERAGE(IF((ContinuousStatsTable[GroupByKey]=ContinuousStatsTable[[#This Row],[GroupByKey]]),(ContinuousStatsTable[GroupByKey]=ContinuousStatsTable[[#This Row],[GroupByKey]])*ContinuousStatsTable[Average])),0)</f>
        <v>0</v>
      </c>
      <c r="P190" s="5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0</v>
      </c>
      <c r="Q190" s="5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0" s="5" cm="1">
        <f t="array" ref="S190">MIN(IF((ContinuousStatsTable[GroupByKey]=ContinuousStatsTable[[#This Row],[GroupByKey]]),(ContinuousStatsTable[GroupByKey]=ContinuousStatsTable[[#This Row],[GroupByKey]])*ContinuousStatsTable[Average]))</f>
        <v>0</v>
      </c>
      <c r="T190" s="5" cm="1">
        <f t="array" ref="T190">MAX(IF((ContinuousStatsTable[GroupByKey]=ContinuousStatsTable[[#This Row],[GroupByKey]]),(ContinuousStatsTable[GroupByKey]=ContinuousStatsTable[[#This Row],[GroupByKey]])*ContinuousStatsTable[Average]))</f>
        <v>0</v>
      </c>
      <c r="U190" s="5">
        <f>IF((ContinuousStatsTable[[#This Row],[RepsRequested]]&gt;1),ContinuousStatsTable[[#This Row],[HalfWidth]],ContinuousStatsTable[[#This Row],[BatchMeansHalfWidth]])</f>
        <v>0</v>
      </c>
    </row>
    <row r="191" spans="1:21" x14ac:dyDescent="0.3">
      <c r="A191" t="s">
        <v>66</v>
      </c>
      <c r="B191" t="s">
        <v>68</v>
      </c>
      <c r="C191">
        <v>5</v>
      </c>
      <c r="D191" t="s">
        <v>111</v>
      </c>
      <c r="E191" t="s">
        <v>102</v>
      </c>
      <c r="F191" t="s">
        <v>103</v>
      </c>
      <c r="G191">
        <v>6.3839547104267397E-2</v>
      </c>
      <c r="H191">
        <v>2E+20</v>
      </c>
      <c r="I191">
        <v>0</v>
      </c>
      <c r="J191">
        <v>1</v>
      </c>
      <c r="K191">
        <v>0</v>
      </c>
      <c r="L191">
        <v>0</v>
      </c>
      <c r="M191" s="5" t="str">
        <f>ContinuousStatsTable[[#This Row],[ProjectName]]&amp;ContinuousStatsTable[[#This Row],[Name]]&amp;ContinuousStatsTable[[#This Row],[Type]]&amp;ContinuousStatsTable[[#This Row],[Source]]</f>
        <v>Unnamed Projectregistro1Instantaneous UtilizationResource</v>
      </c>
      <c r="N191" s="5" cm="1">
        <f t="array" ref="N191">MAX(IF((ProjectInfoTable[ProjectName]=ContinuousStatsTable[[#This Row],[ProjectName]]),(ProjectInfoTable[ProjectName]=ContinuousStatsTable[[#This Row],[ProjectName]])*ProjectInfoTable[NumberOfReplications]))</f>
        <v>10</v>
      </c>
      <c r="O191" s="5" cm="1">
        <f t="array" ref="O191">IFERROR(AVERAGE(IF((ContinuousStatsTable[GroupByKey]=ContinuousStatsTable[[#This Row],[GroupByKey]]),(ContinuousStatsTable[GroupByKey]=ContinuousStatsTable[[#This Row],[GroupByKey]])*ContinuousStatsTable[Average])),0)</f>
        <v>5.6433247648491516E-2</v>
      </c>
      <c r="P191" s="5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2.4456082934732001E-2</v>
      </c>
      <c r="Q191" s="5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1.7494827820351853E-2</v>
      </c>
      <c r="S191" s="5" cm="1">
        <f t="array" ref="S191">MIN(IF((ContinuousStatsTable[GroupByKey]=ContinuousStatsTable[[#This Row],[GroupByKey]]),(ContinuousStatsTable[GroupByKey]=ContinuousStatsTable[[#This Row],[GroupByKey]])*ContinuousStatsTable[Average]))</f>
        <v>2.1279401430778E-2</v>
      </c>
      <c r="T191" s="5" cm="1">
        <f t="array" ref="T191">MAX(IF((ContinuousStatsTable[GroupByKey]=ContinuousStatsTable[[#This Row],[GroupByKey]]),(ContinuousStatsTable[GroupByKey]=ContinuousStatsTable[[#This Row],[GroupByKey]])*ContinuousStatsTable[Average]))</f>
        <v>8.8472374570180701E-2</v>
      </c>
      <c r="U191" s="5">
        <f>IF((ContinuousStatsTable[[#This Row],[RepsRequested]]&gt;1),ContinuousStatsTable[[#This Row],[HalfWidth]],ContinuousStatsTable[[#This Row],[BatchMeansHalfWidth]])</f>
        <v>1.7494827820351853E-2</v>
      </c>
    </row>
    <row r="192" spans="1:21" x14ac:dyDescent="0.3">
      <c r="A192" t="s">
        <v>66</v>
      </c>
      <c r="B192" t="s">
        <v>68</v>
      </c>
      <c r="C192">
        <v>5</v>
      </c>
      <c r="D192" t="s">
        <v>111</v>
      </c>
      <c r="E192" t="s">
        <v>104</v>
      </c>
      <c r="F192" t="s">
        <v>103</v>
      </c>
      <c r="G192">
        <v>6.3839547104267397E-2</v>
      </c>
      <c r="H192">
        <v>2E+20</v>
      </c>
      <c r="I192">
        <v>0</v>
      </c>
      <c r="J192">
        <v>1</v>
      </c>
      <c r="K192">
        <v>0</v>
      </c>
      <c r="L192">
        <v>0</v>
      </c>
      <c r="M192" s="5" t="str">
        <f>ContinuousStatsTable[[#This Row],[ProjectName]]&amp;ContinuousStatsTable[[#This Row],[Name]]&amp;ContinuousStatsTable[[#This Row],[Type]]&amp;ContinuousStatsTable[[#This Row],[Source]]</f>
        <v>Unnamed Projectregistro1Number BusyResource</v>
      </c>
      <c r="N192" s="5" cm="1">
        <f t="array" ref="N192">MAX(IF((ProjectInfoTable[ProjectName]=ContinuousStatsTable[[#This Row],[ProjectName]]),(ProjectInfoTable[ProjectName]=ContinuousStatsTable[[#This Row],[ProjectName]])*ProjectInfoTable[NumberOfReplications]))</f>
        <v>10</v>
      </c>
      <c r="O192" s="5" cm="1">
        <f t="array" ref="O192">IFERROR(AVERAGE(IF((ContinuousStatsTable[GroupByKey]=ContinuousStatsTable[[#This Row],[GroupByKey]]),(ContinuousStatsTable[GroupByKey]=ContinuousStatsTable[[#This Row],[GroupByKey]])*ContinuousStatsTable[Average])),0)</f>
        <v>5.6433247648491516E-2</v>
      </c>
      <c r="P192" s="5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2.4456082934732001E-2</v>
      </c>
      <c r="Q192" s="5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1.7494827820351853E-2</v>
      </c>
      <c r="S192" s="5" cm="1">
        <f t="array" ref="S192">MIN(IF((ContinuousStatsTable[GroupByKey]=ContinuousStatsTable[[#This Row],[GroupByKey]]),(ContinuousStatsTable[GroupByKey]=ContinuousStatsTable[[#This Row],[GroupByKey]])*ContinuousStatsTable[Average]))</f>
        <v>2.1279401430778E-2</v>
      </c>
      <c r="T192" s="5" cm="1">
        <f t="array" ref="T192">MAX(IF((ContinuousStatsTable[GroupByKey]=ContinuousStatsTable[[#This Row],[GroupByKey]]),(ContinuousStatsTable[GroupByKey]=ContinuousStatsTable[[#This Row],[GroupByKey]])*ContinuousStatsTable[Average]))</f>
        <v>8.8472374570180701E-2</v>
      </c>
      <c r="U192" s="5">
        <f>IF((ContinuousStatsTable[[#This Row],[RepsRequested]]&gt;1),ContinuousStatsTable[[#This Row],[HalfWidth]],ContinuousStatsTable[[#This Row],[BatchMeansHalfWidth]])</f>
        <v>1.7494827820351853E-2</v>
      </c>
    </row>
    <row r="193" spans="1:21" x14ac:dyDescent="0.3">
      <c r="A193" t="s">
        <v>66</v>
      </c>
      <c r="B193" t="s">
        <v>68</v>
      </c>
      <c r="C193">
        <v>5</v>
      </c>
      <c r="D193" t="s">
        <v>111</v>
      </c>
      <c r="E193" t="s">
        <v>105</v>
      </c>
      <c r="F193" t="s">
        <v>103</v>
      </c>
      <c r="G193">
        <v>1</v>
      </c>
      <c r="H193">
        <v>2E+20</v>
      </c>
      <c r="I193">
        <v>1</v>
      </c>
      <c r="J193">
        <v>1</v>
      </c>
      <c r="K193">
        <v>1</v>
      </c>
      <c r="L193">
        <v>0</v>
      </c>
      <c r="M193" s="5" t="str">
        <f>ContinuousStatsTable[[#This Row],[ProjectName]]&amp;ContinuousStatsTable[[#This Row],[Name]]&amp;ContinuousStatsTable[[#This Row],[Type]]&amp;ContinuousStatsTable[[#This Row],[Source]]</f>
        <v>Unnamed Projectregistro1Number ScheduledResource</v>
      </c>
      <c r="N193" s="5" cm="1">
        <f t="array" ref="N193">MAX(IF((ProjectInfoTable[ProjectName]=ContinuousStatsTable[[#This Row],[ProjectName]]),(ProjectInfoTable[ProjectName]=ContinuousStatsTable[[#This Row],[ProjectName]])*ProjectInfoTable[NumberOfReplications]))</f>
        <v>10</v>
      </c>
      <c r="O193" s="5" cm="1">
        <f t="array" ref="O193">IFERROR(AVERAGE(IF((ContinuousStatsTable[GroupByKey]=ContinuousStatsTable[[#This Row],[GroupByKey]]),(ContinuousStatsTable[GroupByKey]=ContinuousStatsTable[[#This Row],[GroupByKey]])*ContinuousStatsTable[Average])),0)</f>
        <v>1</v>
      </c>
      <c r="P193" s="5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0</v>
      </c>
      <c r="Q193" s="5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3" s="5" cm="1">
        <f t="array" ref="S193">MIN(IF((ContinuousStatsTable[GroupByKey]=ContinuousStatsTable[[#This Row],[GroupByKey]]),(ContinuousStatsTable[GroupByKey]=ContinuousStatsTable[[#This Row],[GroupByKey]])*ContinuousStatsTable[Average]))</f>
        <v>1</v>
      </c>
      <c r="T193" s="5" cm="1">
        <f t="array" ref="T193">MAX(IF((ContinuousStatsTable[GroupByKey]=ContinuousStatsTable[[#This Row],[GroupByKey]]),(ContinuousStatsTable[GroupByKey]=ContinuousStatsTable[[#This Row],[GroupByKey]])*ContinuousStatsTable[Average]))</f>
        <v>1</v>
      </c>
      <c r="U193" s="5">
        <f>IF((ContinuousStatsTable[[#This Row],[RepsRequested]]&gt;1),ContinuousStatsTable[[#This Row],[HalfWidth]],ContinuousStatsTable[[#This Row],[BatchMeansHalfWidth]])</f>
        <v>0</v>
      </c>
    </row>
    <row r="194" spans="1:21" x14ac:dyDescent="0.3">
      <c r="A194" t="s">
        <v>66</v>
      </c>
      <c r="B194" t="s">
        <v>68</v>
      </c>
      <c r="C194">
        <v>5</v>
      </c>
      <c r="D194" t="s">
        <v>112</v>
      </c>
      <c r="E194" t="s">
        <v>102</v>
      </c>
      <c r="F194" t="s">
        <v>103</v>
      </c>
      <c r="G194">
        <v>0.51308674573803204</v>
      </c>
      <c r="H194">
        <v>2E+20</v>
      </c>
      <c r="I194">
        <v>0</v>
      </c>
      <c r="J194">
        <v>1</v>
      </c>
      <c r="K194">
        <v>0</v>
      </c>
      <c r="L194">
        <v>0</v>
      </c>
      <c r="M194" s="5" t="str">
        <f>ContinuousStatsTable[[#This Row],[ProjectName]]&amp;ContinuousStatsTable[[#This Row],[Name]]&amp;ContinuousStatsTable[[#This Row],[Type]]&amp;ContinuousStatsTable[[#This Row],[Source]]</f>
        <v>Unnamed Projectregistro2Instantaneous UtilizationResource</v>
      </c>
      <c r="N194" s="5" cm="1">
        <f t="array" ref="N194">MAX(IF((ProjectInfoTable[ProjectName]=ContinuousStatsTable[[#This Row],[ProjectName]]),(ProjectInfoTable[ProjectName]=ContinuousStatsTable[[#This Row],[ProjectName]])*ProjectInfoTable[NumberOfReplications]))</f>
        <v>10</v>
      </c>
      <c r="O194" s="5" cm="1">
        <f t="array" ref="O194">IFERROR(AVERAGE(IF((ContinuousStatsTable[GroupByKey]=ContinuousStatsTable[[#This Row],[GroupByKey]]),(ContinuousStatsTable[GroupByKey]=ContinuousStatsTable[[#This Row],[GroupByKey]])*ContinuousStatsTable[Average])),0)</f>
        <v>0.46274808587050231</v>
      </c>
      <c r="P194" s="5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9.1165192054027525E-2</v>
      </c>
      <c r="Q194" s="5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6.5215649719990554E-2</v>
      </c>
      <c r="S194" s="5" cm="1">
        <f t="array" ref="S194">MIN(IF((ContinuousStatsTable[GroupByKey]=ContinuousStatsTable[[#This Row],[GroupByKey]]),(ContinuousStatsTable[GroupByKey]=ContinuousStatsTable[[#This Row],[GroupByKey]])*ContinuousStatsTable[Average]))</f>
        <v>0.338210899349628</v>
      </c>
      <c r="T194" s="5" cm="1">
        <f t="array" ref="T194">MAX(IF((ContinuousStatsTable[GroupByKey]=ContinuousStatsTable[[#This Row],[GroupByKey]]),(ContinuousStatsTable[GroupByKey]=ContinuousStatsTable[[#This Row],[GroupByKey]])*ContinuousStatsTable[Average]))</f>
        <v>0.66990172486561195</v>
      </c>
      <c r="U194" s="5">
        <f>IF((ContinuousStatsTable[[#This Row],[RepsRequested]]&gt;1),ContinuousStatsTable[[#This Row],[HalfWidth]],ContinuousStatsTable[[#This Row],[BatchMeansHalfWidth]])</f>
        <v>6.5215649719990554E-2</v>
      </c>
    </row>
    <row r="195" spans="1:21" x14ac:dyDescent="0.3">
      <c r="A195" t="s">
        <v>66</v>
      </c>
      <c r="B195" t="s">
        <v>68</v>
      </c>
      <c r="C195">
        <v>5</v>
      </c>
      <c r="D195" t="s">
        <v>112</v>
      </c>
      <c r="E195" t="s">
        <v>104</v>
      </c>
      <c r="F195" t="s">
        <v>103</v>
      </c>
      <c r="G195">
        <v>0.51308674573803204</v>
      </c>
      <c r="H195">
        <v>2E+20</v>
      </c>
      <c r="I195">
        <v>0</v>
      </c>
      <c r="J195">
        <v>1</v>
      </c>
      <c r="K195">
        <v>0</v>
      </c>
      <c r="L195">
        <v>0</v>
      </c>
      <c r="M195" s="5" t="str">
        <f>ContinuousStatsTable[[#This Row],[ProjectName]]&amp;ContinuousStatsTable[[#This Row],[Name]]&amp;ContinuousStatsTable[[#This Row],[Type]]&amp;ContinuousStatsTable[[#This Row],[Source]]</f>
        <v>Unnamed Projectregistro2Number BusyResource</v>
      </c>
      <c r="N195" s="5" cm="1">
        <f t="array" ref="N195">MAX(IF((ProjectInfoTable[ProjectName]=ContinuousStatsTable[[#This Row],[ProjectName]]),(ProjectInfoTable[ProjectName]=ContinuousStatsTable[[#This Row],[ProjectName]])*ProjectInfoTable[NumberOfReplications]))</f>
        <v>10</v>
      </c>
      <c r="O195" s="5" cm="1">
        <f t="array" ref="O195">IFERROR(AVERAGE(IF((ContinuousStatsTable[GroupByKey]=ContinuousStatsTable[[#This Row],[GroupByKey]]),(ContinuousStatsTable[GroupByKey]=ContinuousStatsTable[[#This Row],[GroupByKey]])*ContinuousStatsTable[Average])),0)</f>
        <v>0.46274808587050231</v>
      </c>
      <c r="P195" s="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9.1165192054027525E-2</v>
      </c>
      <c r="Q195" s="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6.5215649719990554E-2</v>
      </c>
      <c r="S195" s="5" cm="1">
        <f t="array" ref="S195">MIN(IF((ContinuousStatsTable[GroupByKey]=ContinuousStatsTable[[#This Row],[GroupByKey]]),(ContinuousStatsTable[GroupByKey]=ContinuousStatsTable[[#This Row],[GroupByKey]])*ContinuousStatsTable[Average]))</f>
        <v>0.338210899349628</v>
      </c>
      <c r="T195" s="5" cm="1">
        <f t="array" ref="T195">MAX(IF((ContinuousStatsTable[GroupByKey]=ContinuousStatsTable[[#This Row],[GroupByKey]]),(ContinuousStatsTable[GroupByKey]=ContinuousStatsTable[[#This Row],[GroupByKey]])*ContinuousStatsTable[Average]))</f>
        <v>0.66990172486561195</v>
      </c>
      <c r="U195" s="5">
        <f>IF((ContinuousStatsTable[[#This Row],[RepsRequested]]&gt;1),ContinuousStatsTable[[#This Row],[HalfWidth]],ContinuousStatsTable[[#This Row],[BatchMeansHalfWidth]])</f>
        <v>6.5215649719990554E-2</v>
      </c>
    </row>
    <row r="196" spans="1:21" x14ac:dyDescent="0.3">
      <c r="A196" t="s">
        <v>66</v>
      </c>
      <c r="B196" t="s">
        <v>68</v>
      </c>
      <c r="C196">
        <v>5</v>
      </c>
      <c r="D196" t="s">
        <v>112</v>
      </c>
      <c r="E196" t="s">
        <v>105</v>
      </c>
      <c r="F196" t="s">
        <v>103</v>
      </c>
      <c r="G196">
        <v>1</v>
      </c>
      <c r="H196">
        <v>2E+20</v>
      </c>
      <c r="I196">
        <v>1</v>
      </c>
      <c r="J196">
        <v>1</v>
      </c>
      <c r="K196">
        <v>1</v>
      </c>
      <c r="L196">
        <v>0</v>
      </c>
      <c r="M196" s="5" t="str">
        <f>ContinuousStatsTable[[#This Row],[ProjectName]]&amp;ContinuousStatsTable[[#This Row],[Name]]&amp;ContinuousStatsTable[[#This Row],[Type]]&amp;ContinuousStatsTable[[#This Row],[Source]]</f>
        <v>Unnamed Projectregistro2Number ScheduledResource</v>
      </c>
      <c r="N196" s="5" cm="1">
        <f t="array" ref="N196">MAX(IF((ProjectInfoTable[ProjectName]=ContinuousStatsTable[[#This Row],[ProjectName]]),(ProjectInfoTable[ProjectName]=ContinuousStatsTable[[#This Row],[ProjectName]])*ProjectInfoTable[NumberOfReplications]))</f>
        <v>10</v>
      </c>
      <c r="O196" s="5" cm="1">
        <f t="array" ref="O196">IFERROR(AVERAGE(IF((ContinuousStatsTable[GroupByKey]=ContinuousStatsTable[[#This Row],[GroupByKey]]),(ContinuousStatsTable[GroupByKey]=ContinuousStatsTable[[#This Row],[GroupByKey]])*ContinuousStatsTable[Average])),0)</f>
        <v>1</v>
      </c>
      <c r="P196" s="5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0</v>
      </c>
      <c r="Q196" s="5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6" s="5" cm="1">
        <f t="array" ref="S196">MIN(IF((ContinuousStatsTable[GroupByKey]=ContinuousStatsTable[[#This Row],[GroupByKey]]),(ContinuousStatsTable[GroupByKey]=ContinuousStatsTable[[#This Row],[GroupByKey]])*ContinuousStatsTable[Average]))</f>
        <v>1</v>
      </c>
      <c r="T196" s="5" cm="1">
        <f t="array" ref="T196">MAX(IF((ContinuousStatsTable[GroupByKey]=ContinuousStatsTable[[#This Row],[GroupByKey]]),(ContinuousStatsTable[GroupByKey]=ContinuousStatsTable[[#This Row],[GroupByKey]])*ContinuousStatsTable[Average]))</f>
        <v>1</v>
      </c>
      <c r="U196" s="5">
        <f>IF((ContinuousStatsTable[[#This Row],[RepsRequested]]&gt;1),ContinuousStatsTable[[#This Row],[HalfWidth]],ContinuousStatsTable[[#This Row],[BatchMeansHalfWidth]])</f>
        <v>0</v>
      </c>
    </row>
    <row r="197" spans="1:21" x14ac:dyDescent="0.3">
      <c r="A197" t="s">
        <v>66</v>
      </c>
      <c r="B197" t="s">
        <v>68</v>
      </c>
      <c r="C197">
        <v>6</v>
      </c>
      <c r="D197" t="s">
        <v>69</v>
      </c>
      <c r="E197" t="s">
        <v>99</v>
      </c>
      <c r="F197" t="s">
        <v>71</v>
      </c>
      <c r="G197">
        <v>1.6657153840479101E-4</v>
      </c>
      <c r="H197">
        <v>2E+20</v>
      </c>
      <c r="I197">
        <v>0</v>
      </c>
      <c r="J197">
        <v>1</v>
      </c>
      <c r="K197">
        <v>0</v>
      </c>
      <c r="L197">
        <v>0</v>
      </c>
      <c r="M197" s="5" t="str">
        <f>ContinuousStatsTable[[#This Row],[ProjectName]]&amp;ContinuousStatsTable[[#This Row],[Name]]&amp;ContinuousStatsTable[[#This Row],[Type]]&amp;ContinuousStatsTable[[#This Row],[Source]]</f>
        <v>Unnamed ProjectCargar Avion.QueueNumber WaitingQueue</v>
      </c>
      <c r="N197" s="5" cm="1">
        <f t="array" ref="N197">MAX(IF((ProjectInfoTable[ProjectName]=ContinuousStatsTable[[#This Row],[ProjectName]]),(ProjectInfoTable[ProjectName]=ContinuousStatsTable[[#This Row],[ProjectName]])*ProjectInfoTable[NumberOfReplications]))</f>
        <v>10</v>
      </c>
      <c r="O197" s="5" cm="1">
        <f t="array" ref="O197">IFERROR(AVERAGE(IF((ContinuousStatsTable[GroupByKey]=ContinuousStatsTable[[#This Row],[GroupByKey]]),(ContinuousStatsTable[GroupByKey]=ContinuousStatsTable[[#This Row],[GroupByKey]])*ContinuousStatsTable[Average])),0)</f>
        <v>4.3234278073230802E-4</v>
      </c>
      <c r="P197" s="5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8.6650685478403973E-4</v>
      </c>
      <c r="Q197" s="5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6.1986166264068276E-4</v>
      </c>
      <c r="S197" s="5" cm="1">
        <f t="array" ref="S197">MIN(IF((ContinuousStatsTable[GroupByKey]=ContinuousStatsTable[[#This Row],[GroupByKey]]),(ContinuousStatsTable[GroupByKey]=ContinuousStatsTable[[#This Row],[GroupByKey]])*ContinuousStatsTable[Average]))</f>
        <v>0</v>
      </c>
      <c r="T197" s="5" cm="1">
        <f t="array" ref="T197">MAX(IF((ContinuousStatsTable[GroupByKey]=ContinuousStatsTable[[#This Row],[GroupByKey]]),(ContinuousStatsTable[GroupByKey]=ContinuousStatsTable[[#This Row],[GroupByKey]])*ContinuousStatsTable[Average]))</f>
        <v>2.8294284227636502E-3</v>
      </c>
      <c r="U197" s="5">
        <f>IF((ContinuousStatsTable[[#This Row],[RepsRequested]]&gt;1),ContinuousStatsTable[[#This Row],[HalfWidth]],ContinuousStatsTable[[#This Row],[BatchMeansHalfWidth]])</f>
        <v>6.1986166264068276E-4</v>
      </c>
    </row>
    <row r="198" spans="1:21" x14ac:dyDescent="0.3">
      <c r="A198" t="s">
        <v>66</v>
      </c>
      <c r="B198" t="s">
        <v>68</v>
      </c>
      <c r="C198">
        <v>6</v>
      </c>
      <c r="D198" t="s">
        <v>72</v>
      </c>
      <c r="E198" t="s">
        <v>100</v>
      </c>
      <c r="F198" t="s">
        <v>74</v>
      </c>
      <c r="G198">
        <v>2.1187470283430998</v>
      </c>
      <c r="H198">
        <v>0.382321554934757</v>
      </c>
      <c r="I198">
        <v>0</v>
      </c>
      <c r="J198">
        <v>9</v>
      </c>
      <c r="K198">
        <v>5</v>
      </c>
      <c r="L198">
        <v>0</v>
      </c>
      <c r="M198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198" s="5" cm="1">
        <f t="array" ref="N198">MAX(IF((ProjectInfoTable[ProjectName]=ContinuousStatsTable[[#This Row],[ProjectName]]),(ProjectInfoTable[ProjectName]=ContinuousStatsTable[[#This Row],[ProjectName]])*ProjectInfoTable[NumberOfReplications]))</f>
        <v>10</v>
      </c>
      <c r="O198" s="5" cm="1">
        <f t="array" ref="O198">IFERROR(AVERAGE(IF((ContinuousStatsTable[GroupByKey]=ContinuousStatsTable[[#This Row],[GroupByKey]]),(ContinuousStatsTable[GroupByKey]=ContinuousStatsTable[[#This Row],[GroupByKey]])*ContinuousStatsTable[Average])),0)</f>
        <v>1.938691833558875</v>
      </c>
      <c r="P198" s="5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0.24426972485872975</v>
      </c>
      <c r="Q198" s="5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0.17474003459724646</v>
      </c>
      <c r="S198" s="5" cm="1">
        <f t="array" ref="S198">MIN(IF((ContinuousStatsTable[GroupByKey]=ContinuousStatsTable[[#This Row],[GroupByKey]]),(ContinuousStatsTable[GroupByKey]=ContinuousStatsTable[[#This Row],[GroupByKey]])*ContinuousStatsTable[Average]))</f>
        <v>1.6635577018983201</v>
      </c>
      <c r="T198" s="5" cm="1">
        <f t="array" ref="T198">MAX(IF((ContinuousStatsTable[GroupByKey]=ContinuousStatsTable[[#This Row],[GroupByKey]]),(ContinuousStatsTable[GroupByKey]=ContinuousStatsTable[[#This Row],[GroupByKey]])*ContinuousStatsTable[Average]))</f>
        <v>2.3099874805957801</v>
      </c>
      <c r="U198" s="5">
        <f>IF((ContinuousStatsTable[[#This Row],[RepsRequested]]&gt;1),ContinuousStatsTable[[#This Row],[HalfWidth]],ContinuousStatsTable[[#This Row],[BatchMeansHalfWidth]])</f>
        <v>0.17474003459724646</v>
      </c>
    </row>
    <row r="199" spans="1:21" x14ac:dyDescent="0.3">
      <c r="A199" t="s">
        <v>66</v>
      </c>
      <c r="B199" t="s">
        <v>68</v>
      </c>
      <c r="C199">
        <v>6</v>
      </c>
      <c r="D199" t="s">
        <v>101</v>
      </c>
      <c r="E199" t="s">
        <v>102</v>
      </c>
      <c r="F199" t="s">
        <v>103</v>
      </c>
      <c r="G199">
        <v>0.20483176768320299</v>
      </c>
      <c r="H199">
        <v>2E+20</v>
      </c>
      <c r="I199">
        <v>0</v>
      </c>
      <c r="J199">
        <v>1</v>
      </c>
      <c r="K199">
        <v>0</v>
      </c>
      <c r="L199">
        <v>0</v>
      </c>
      <c r="M199" s="5" t="str">
        <f>ContinuousStatsTable[[#This Row],[ProjectName]]&amp;ContinuousStatsTable[[#This Row],[Name]]&amp;ContinuousStatsTable[[#This Row],[Type]]&amp;ContinuousStatsTable[[#This Row],[Source]]</f>
        <v>Unnamed ProjectInterautoInstantaneous UtilizationResource</v>
      </c>
      <c r="N199" s="5" cm="1">
        <f t="array" ref="N199">MAX(IF((ProjectInfoTable[ProjectName]=ContinuousStatsTable[[#This Row],[ProjectName]]),(ProjectInfoTable[ProjectName]=ContinuousStatsTable[[#This Row],[ProjectName]])*ProjectInfoTable[NumberOfReplications]))</f>
        <v>10</v>
      </c>
      <c r="O199" s="5" cm="1">
        <f t="array" ref="O199">IFERROR(AVERAGE(IF((ContinuousStatsTable[GroupByKey]=ContinuousStatsTable[[#This Row],[GroupByKey]]),(ContinuousStatsTable[GroupByKey]=ContinuousStatsTable[[#This Row],[GroupByKey]])*ContinuousStatsTable[Average])),0)</f>
        <v>0.26535205929836458</v>
      </c>
      <c r="P199" s="5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2.5807993647623796E-2</v>
      </c>
      <c r="Q199" s="5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1.8461926485074727E-2</v>
      </c>
      <c r="S199" s="5" cm="1">
        <f t="array" ref="S199">MIN(IF((ContinuousStatsTable[GroupByKey]=ContinuousStatsTable[[#This Row],[GroupByKey]]),(ContinuousStatsTable[GroupByKey]=ContinuousStatsTable[[#This Row],[GroupByKey]])*ContinuousStatsTable[Average]))</f>
        <v>0.20483176768320299</v>
      </c>
      <c r="T199" s="5" cm="1">
        <f t="array" ref="T199">MAX(IF((ContinuousStatsTable[GroupByKey]=ContinuousStatsTable[[#This Row],[GroupByKey]]),(ContinuousStatsTable[GroupByKey]=ContinuousStatsTable[[#This Row],[GroupByKey]])*ContinuousStatsTable[Average]))</f>
        <v>0.29552077299252399</v>
      </c>
      <c r="U199" s="5">
        <f>IF((ContinuousStatsTable[[#This Row],[RepsRequested]]&gt;1),ContinuousStatsTable[[#This Row],[HalfWidth]],ContinuousStatsTable[[#This Row],[BatchMeansHalfWidth]])</f>
        <v>1.8461926485074727E-2</v>
      </c>
    </row>
    <row r="200" spans="1:21" x14ac:dyDescent="0.3">
      <c r="A200" t="s">
        <v>66</v>
      </c>
      <c r="B200" t="s">
        <v>68</v>
      </c>
      <c r="C200">
        <v>6</v>
      </c>
      <c r="D200" t="s">
        <v>101</v>
      </c>
      <c r="E200" t="s">
        <v>104</v>
      </c>
      <c r="F200" t="s">
        <v>103</v>
      </c>
      <c r="G200">
        <v>0.20483176768320299</v>
      </c>
      <c r="H200">
        <v>2E+20</v>
      </c>
      <c r="I200">
        <v>0</v>
      </c>
      <c r="J200">
        <v>1</v>
      </c>
      <c r="K200">
        <v>0</v>
      </c>
      <c r="L200">
        <v>0</v>
      </c>
      <c r="M200" s="5" t="str">
        <f>ContinuousStatsTable[[#This Row],[ProjectName]]&amp;ContinuousStatsTable[[#This Row],[Name]]&amp;ContinuousStatsTable[[#This Row],[Type]]&amp;ContinuousStatsTable[[#This Row],[Source]]</f>
        <v>Unnamed ProjectInterautoNumber BusyResource</v>
      </c>
      <c r="N200" s="5" cm="1">
        <f t="array" ref="N200">MAX(IF((ProjectInfoTable[ProjectName]=ContinuousStatsTable[[#This Row],[ProjectName]]),(ProjectInfoTable[ProjectName]=ContinuousStatsTable[[#This Row],[ProjectName]])*ProjectInfoTable[NumberOfReplications]))</f>
        <v>10</v>
      </c>
      <c r="O200" s="5" cm="1">
        <f t="array" ref="O200">IFERROR(AVERAGE(IF((ContinuousStatsTable[GroupByKey]=ContinuousStatsTable[[#This Row],[GroupByKey]]),(ContinuousStatsTable[GroupByKey]=ContinuousStatsTable[[#This Row],[GroupByKey]])*ContinuousStatsTable[Average])),0)</f>
        <v>0.26535205929836458</v>
      </c>
      <c r="P200" s="5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2.5807993647623796E-2</v>
      </c>
      <c r="Q200" s="5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1.8461926485074727E-2</v>
      </c>
      <c r="S200" s="5" cm="1">
        <f t="array" ref="S200">MIN(IF((ContinuousStatsTable[GroupByKey]=ContinuousStatsTable[[#This Row],[GroupByKey]]),(ContinuousStatsTable[GroupByKey]=ContinuousStatsTable[[#This Row],[GroupByKey]])*ContinuousStatsTable[Average]))</f>
        <v>0.20483176768320299</v>
      </c>
      <c r="T200" s="5" cm="1">
        <f t="array" ref="T200">MAX(IF((ContinuousStatsTable[GroupByKey]=ContinuousStatsTable[[#This Row],[GroupByKey]]),(ContinuousStatsTable[GroupByKey]=ContinuousStatsTable[[#This Row],[GroupByKey]])*ContinuousStatsTable[Average]))</f>
        <v>0.29552077299252399</v>
      </c>
      <c r="U200" s="5">
        <f>IF((ContinuousStatsTable[[#This Row],[RepsRequested]]&gt;1),ContinuousStatsTable[[#This Row],[HalfWidth]],ContinuousStatsTable[[#This Row],[BatchMeansHalfWidth]])</f>
        <v>1.8461926485074727E-2</v>
      </c>
    </row>
    <row r="201" spans="1:21" x14ac:dyDescent="0.3">
      <c r="A201" t="s">
        <v>66</v>
      </c>
      <c r="B201" t="s">
        <v>68</v>
      </c>
      <c r="C201">
        <v>6</v>
      </c>
      <c r="D201" t="s">
        <v>101</v>
      </c>
      <c r="E201" t="s">
        <v>105</v>
      </c>
      <c r="F201" t="s">
        <v>103</v>
      </c>
      <c r="G201">
        <v>1</v>
      </c>
      <c r="H201">
        <v>2E+20</v>
      </c>
      <c r="I201">
        <v>1</v>
      </c>
      <c r="J201">
        <v>1</v>
      </c>
      <c r="K201">
        <v>1</v>
      </c>
      <c r="L201">
        <v>0</v>
      </c>
      <c r="M201" s="5" t="str">
        <f>ContinuousStatsTable[[#This Row],[ProjectName]]&amp;ContinuousStatsTable[[#This Row],[Name]]&amp;ContinuousStatsTable[[#This Row],[Type]]&amp;ContinuousStatsTable[[#This Row],[Source]]</f>
        <v>Unnamed ProjectInterautoNumber ScheduledResource</v>
      </c>
      <c r="N201" s="5" cm="1">
        <f t="array" ref="N201">MAX(IF((ProjectInfoTable[ProjectName]=ContinuousStatsTable[[#This Row],[ProjectName]]),(ProjectInfoTable[ProjectName]=ContinuousStatsTable[[#This Row],[ProjectName]])*ProjectInfoTable[NumberOfReplications]))</f>
        <v>10</v>
      </c>
      <c r="O201" s="5" cm="1">
        <f t="array" ref="O201">IFERROR(AVERAGE(IF((ContinuousStatsTable[GroupByKey]=ContinuousStatsTable[[#This Row],[GroupByKey]]),(ContinuousStatsTable[GroupByKey]=ContinuousStatsTable[[#This Row],[GroupByKey]])*ContinuousStatsTable[Average])),0)</f>
        <v>1</v>
      </c>
      <c r="P201" s="5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0</v>
      </c>
      <c r="Q201" s="5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1" s="5" cm="1">
        <f t="array" ref="S201">MIN(IF((ContinuousStatsTable[GroupByKey]=ContinuousStatsTable[[#This Row],[GroupByKey]]),(ContinuousStatsTable[GroupByKey]=ContinuousStatsTable[[#This Row],[GroupByKey]])*ContinuousStatsTable[Average]))</f>
        <v>1</v>
      </c>
      <c r="T201" s="5" cm="1">
        <f t="array" ref="T201">MAX(IF((ContinuousStatsTable[GroupByKey]=ContinuousStatsTable[[#This Row],[GroupByKey]]),(ContinuousStatsTable[GroupByKey]=ContinuousStatsTable[[#This Row],[GroupByKey]])*ContinuousStatsTable[Average]))</f>
        <v>1</v>
      </c>
      <c r="U201" s="5">
        <f>IF((ContinuousStatsTable[[#This Row],[RepsRequested]]&gt;1),ContinuousStatsTable[[#This Row],[HalfWidth]],ContinuousStatsTable[[#This Row],[BatchMeansHalfWidth]])</f>
        <v>0</v>
      </c>
    </row>
    <row r="202" spans="1:21" x14ac:dyDescent="0.3">
      <c r="A202" t="s">
        <v>66</v>
      </c>
      <c r="B202" t="s">
        <v>68</v>
      </c>
      <c r="C202">
        <v>6</v>
      </c>
      <c r="D202" t="s">
        <v>80</v>
      </c>
      <c r="E202" t="s">
        <v>99</v>
      </c>
      <c r="F202" t="s">
        <v>71</v>
      </c>
      <c r="G202">
        <v>0.20262672037266799</v>
      </c>
      <c r="H202">
        <v>3.40872049391708E-2</v>
      </c>
      <c r="I202">
        <v>0</v>
      </c>
      <c r="J202">
        <v>4</v>
      </c>
      <c r="K202">
        <v>0</v>
      </c>
      <c r="L202">
        <v>0</v>
      </c>
      <c r="M202" s="5" t="str">
        <f>ContinuousStatsTable[[#This Row],[ProjectName]]&amp;ContinuousStatsTable[[#This Row],[Name]]&amp;ContinuousStatsTable[[#This Row],[Type]]&amp;ContinuousStatsTable[[#This Row],[Source]]</f>
        <v>Unnamed ProjectLeave 1.QueueNumber WaitingQueue</v>
      </c>
      <c r="N202" s="5" cm="1">
        <f t="array" ref="N202">MAX(IF((ProjectInfoTable[ProjectName]=ContinuousStatsTable[[#This Row],[ProjectName]]),(ProjectInfoTable[ProjectName]=ContinuousStatsTable[[#This Row],[ProjectName]])*ProjectInfoTable[NumberOfReplications]))</f>
        <v>10</v>
      </c>
      <c r="O202" s="5" cm="1">
        <f t="array" ref="O202">IFERROR(AVERAGE(IF((ContinuousStatsTable[GroupByKey]=ContinuousStatsTable[[#This Row],[GroupByKey]]),(ContinuousStatsTable[GroupByKey]=ContinuousStatsTable[[#This Row],[GroupByKey]])*ContinuousStatsTable[Average])),0)</f>
        <v>0.20353568461890376</v>
      </c>
      <c r="P202" s="5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2.6549184575613477E-2</v>
      </c>
      <c r="Q202" s="5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1.899214253405495E-2</v>
      </c>
      <c r="S202" s="5" cm="1">
        <f t="array" ref="S202">MIN(IF((ContinuousStatsTable[GroupByKey]=ContinuousStatsTable[[#This Row],[GroupByKey]]),(ContinuousStatsTable[GroupByKey]=ContinuousStatsTable[[#This Row],[GroupByKey]])*ContinuousStatsTable[Average]))</f>
        <v>0.168502364443611</v>
      </c>
      <c r="T202" s="5" cm="1">
        <f t="array" ref="T202">MAX(IF((ContinuousStatsTable[GroupByKey]=ContinuousStatsTable[[#This Row],[GroupByKey]]),(ContinuousStatsTable[GroupByKey]=ContinuousStatsTable[[#This Row],[GroupByKey]])*ContinuousStatsTable[Average]))</f>
        <v>0.24578450490959</v>
      </c>
      <c r="U202" s="5">
        <f>IF((ContinuousStatsTable[[#This Row],[RepsRequested]]&gt;1),ContinuousStatsTable[[#This Row],[HalfWidth]],ContinuousStatsTable[[#This Row],[BatchMeansHalfWidth]])</f>
        <v>1.899214253405495E-2</v>
      </c>
    </row>
    <row r="203" spans="1:21" x14ac:dyDescent="0.3">
      <c r="A203" t="s">
        <v>66</v>
      </c>
      <c r="B203" t="s">
        <v>68</v>
      </c>
      <c r="C203">
        <v>6</v>
      </c>
      <c r="D203" t="s">
        <v>81</v>
      </c>
      <c r="E203" t="s">
        <v>99</v>
      </c>
      <c r="F203" t="s">
        <v>71</v>
      </c>
      <c r="G203">
        <v>6.0338305270789001E-3</v>
      </c>
      <c r="H203">
        <v>2E+20</v>
      </c>
      <c r="I203">
        <v>0</v>
      </c>
      <c r="J203">
        <v>1</v>
      </c>
      <c r="K203">
        <v>0</v>
      </c>
      <c r="L203">
        <v>0</v>
      </c>
      <c r="M203" s="5" t="str">
        <f>ContinuousStatsTable[[#This Row],[ProjectName]]&amp;ContinuousStatsTable[[#This Row],[Name]]&amp;ContinuousStatsTable[[#This Row],[Type]]&amp;ContinuousStatsTable[[#This Row],[Source]]</f>
        <v>Unnamed ProjectLeave 4.QueueNumber WaitingQueue</v>
      </c>
      <c r="N203" s="5" cm="1">
        <f t="array" ref="N203">MAX(IF((ProjectInfoTable[ProjectName]=ContinuousStatsTable[[#This Row],[ProjectName]]),(ProjectInfoTable[ProjectName]=ContinuousStatsTable[[#This Row],[ProjectName]])*ProjectInfoTable[NumberOfReplications]))</f>
        <v>10</v>
      </c>
      <c r="O203" s="5" cm="1">
        <f t="array" ref="O203">IFERROR(AVERAGE(IF((ContinuousStatsTable[GroupByKey]=ContinuousStatsTable[[#This Row],[GroupByKey]]),(ContinuousStatsTable[GroupByKey]=ContinuousStatsTable[[#This Row],[GroupByKey]])*ContinuousStatsTable[Average])),0)</f>
        <v>4.8729672989697272E-3</v>
      </c>
      <c r="P203" s="5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9.2135939256816457E-4</v>
      </c>
      <c r="Q203" s="5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6.5910080435457321E-4</v>
      </c>
      <c r="S203" s="5" cm="1">
        <f t="array" ref="S203">MIN(IF((ContinuousStatsTable[GroupByKey]=ContinuousStatsTable[[#This Row],[GroupByKey]]),(ContinuousStatsTable[GroupByKey]=ContinuousStatsTable[[#This Row],[GroupByKey]])*ContinuousStatsTable[Average]))</f>
        <v>3.2012309459038099E-3</v>
      </c>
      <c r="T203" s="5" cm="1">
        <f t="array" ref="T203">MAX(IF((ContinuousStatsTable[GroupByKey]=ContinuousStatsTable[[#This Row],[GroupByKey]]),(ContinuousStatsTable[GroupByKey]=ContinuousStatsTable[[#This Row],[GroupByKey]])*ContinuousStatsTable[Average]))</f>
        <v>6.0338305270789001E-3</v>
      </c>
      <c r="U203" s="5">
        <f>IF((ContinuousStatsTable[[#This Row],[RepsRequested]]&gt;1),ContinuousStatsTable[[#This Row],[HalfWidth]],ContinuousStatsTable[[#This Row],[BatchMeansHalfWidth]])</f>
        <v>6.5910080435457321E-4</v>
      </c>
    </row>
    <row r="204" spans="1:21" x14ac:dyDescent="0.3">
      <c r="A204" t="s">
        <v>66</v>
      </c>
      <c r="B204" t="s">
        <v>68</v>
      </c>
      <c r="C204">
        <v>6</v>
      </c>
      <c r="D204" t="s">
        <v>82</v>
      </c>
      <c r="E204" t="s">
        <v>99</v>
      </c>
      <c r="F204" t="s">
        <v>71</v>
      </c>
      <c r="G204">
        <v>5.6386723112129902E-2</v>
      </c>
      <c r="H204">
        <v>1.17242259054578E-2</v>
      </c>
      <c r="I204">
        <v>0</v>
      </c>
      <c r="J204">
        <v>2</v>
      </c>
      <c r="K204">
        <v>0</v>
      </c>
      <c r="L204">
        <v>0</v>
      </c>
      <c r="M204" s="5" t="str">
        <f>ContinuousStatsTable[[#This Row],[ProjectName]]&amp;ContinuousStatsTable[[#This Row],[Name]]&amp;ContinuousStatsTable[[#This Row],[Type]]&amp;ContinuousStatsTable[[#This Row],[Source]]</f>
        <v>Unnamed ProjectLeave 5.QueueNumber WaitingQueue</v>
      </c>
      <c r="N204" s="5" cm="1">
        <f t="array" ref="N204">MAX(IF((ProjectInfoTable[ProjectName]=ContinuousStatsTable[[#This Row],[ProjectName]]),(ProjectInfoTable[ProjectName]=ContinuousStatsTable[[#This Row],[ProjectName]])*ProjectInfoTable[NumberOfReplications]))</f>
        <v>10</v>
      </c>
      <c r="O204" s="5" cm="1">
        <f t="array" ref="O204">IFERROR(AVERAGE(IF((ContinuousStatsTable[GroupByKey]=ContinuousStatsTable[[#This Row],[GroupByKey]]),(ContinuousStatsTable[GroupByKey]=ContinuousStatsTable[[#This Row],[GroupByKey]])*ContinuousStatsTable[Average])),0)</f>
        <v>4.8788152574119628E-2</v>
      </c>
      <c r="P204" s="5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5.3039270336942244E-3</v>
      </c>
      <c r="Q204" s="5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3.7942008323176655E-3</v>
      </c>
      <c r="S204" s="5" cm="1">
        <f t="array" ref="S204">MIN(IF((ContinuousStatsTable[GroupByKey]=ContinuousStatsTable[[#This Row],[GroupByKey]]),(ContinuousStatsTable[GroupByKey]=ContinuousStatsTable[[#This Row],[GroupByKey]])*ContinuousStatsTable[Average]))</f>
        <v>4.1058101580258903E-2</v>
      </c>
      <c r="T204" s="5" cm="1">
        <f t="array" ref="T204">MAX(IF((ContinuousStatsTable[GroupByKey]=ContinuousStatsTable[[#This Row],[GroupByKey]]),(ContinuousStatsTable[GroupByKey]=ContinuousStatsTable[[#This Row],[GroupByKey]])*ContinuousStatsTable[Average]))</f>
        <v>5.6386723112129902E-2</v>
      </c>
      <c r="U204" s="5">
        <f>IF((ContinuousStatsTable[[#This Row],[RepsRequested]]&gt;1),ContinuousStatsTable[[#This Row],[HalfWidth]],ContinuousStatsTable[[#This Row],[BatchMeansHalfWidth]])</f>
        <v>3.7942008323176655E-3</v>
      </c>
    </row>
    <row r="205" spans="1:21" x14ac:dyDescent="0.3">
      <c r="A205" t="s">
        <v>66</v>
      </c>
      <c r="B205" t="s">
        <v>68</v>
      </c>
      <c r="C205">
        <v>6</v>
      </c>
      <c r="D205" t="s">
        <v>83</v>
      </c>
      <c r="E205" t="s">
        <v>99</v>
      </c>
      <c r="F205" t="s">
        <v>71</v>
      </c>
      <c r="G205">
        <v>3.3254701693812999E-3</v>
      </c>
      <c r="H205">
        <v>2E+20</v>
      </c>
      <c r="I205">
        <v>0</v>
      </c>
      <c r="J205">
        <v>1</v>
      </c>
      <c r="K205">
        <v>0</v>
      </c>
      <c r="L205">
        <v>0</v>
      </c>
      <c r="M205" s="5" t="str">
        <f>ContinuousStatsTable[[#This Row],[ProjectName]]&amp;ContinuousStatsTable[[#This Row],[Name]]&amp;ContinuousStatsTable[[#This Row],[Type]]&amp;ContinuousStatsTable[[#This Row],[Source]]</f>
        <v>Unnamed ProjectLeave 6.QueueNumber WaitingQueue</v>
      </c>
      <c r="N205" s="5" cm="1">
        <f t="array" ref="N205">MAX(IF((ProjectInfoTable[ProjectName]=ContinuousStatsTable[[#This Row],[ProjectName]]),(ProjectInfoTable[ProjectName]=ContinuousStatsTable[[#This Row],[ProjectName]])*ProjectInfoTable[NumberOfReplications]))</f>
        <v>10</v>
      </c>
      <c r="O205" s="5" cm="1">
        <f t="array" ref="O205">IFERROR(AVERAGE(IF((ContinuousStatsTable[GroupByKey]=ContinuousStatsTable[[#This Row],[GroupByKey]]),(ContinuousStatsTable[GroupByKey]=ContinuousStatsTable[[#This Row],[GroupByKey]])*ContinuousStatsTable[Average])),0)</f>
        <v>3.227619592382791E-3</v>
      </c>
      <c r="P205" s="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1.5087685522347895E-3</v>
      </c>
      <c r="Q205" s="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1.0793080033525183E-3</v>
      </c>
      <c r="S205" s="5" cm="1">
        <f t="array" ref="S205">MIN(IF((ContinuousStatsTable[GroupByKey]=ContinuousStatsTable[[#This Row],[GroupByKey]]),(ContinuousStatsTable[GroupByKey]=ContinuousStatsTable[[#This Row],[GroupByKey]])*ContinuousStatsTable[Average]))</f>
        <v>4.7201486102630699E-4</v>
      </c>
      <c r="T205" s="5" cm="1">
        <f t="array" ref="T205">MAX(IF((ContinuousStatsTable[GroupByKey]=ContinuousStatsTable[[#This Row],[GroupByKey]]),(ContinuousStatsTable[GroupByKey]=ContinuousStatsTable[[#This Row],[GroupByKey]])*ContinuousStatsTable[Average]))</f>
        <v>6.2452549613019898E-3</v>
      </c>
      <c r="U205" s="5">
        <f>IF((ContinuousStatsTable[[#This Row],[RepsRequested]]&gt;1),ContinuousStatsTable[[#This Row],[HalfWidth]],ContinuousStatsTable[[#This Row],[BatchMeansHalfWidth]])</f>
        <v>1.0793080033525183E-3</v>
      </c>
    </row>
    <row r="206" spans="1:21" x14ac:dyDescent="0.3">
      <c r="A206" t="s">
        <v>66</v>
      </c>
      <c r="B206" t="s">
        <v>68</v>
      </c>
      <c r="C206">
        <v>6</v>
      </c>
      <c r="D206" t="s">
        <v>84</v>
      </c>
      <c r="E206" t="s">
        <v>99</v>
      </c>
      <c r="F206" t="s">
        <v>71</v>
      </c>
      <c r="G206">
        <v>6.2634177446063893E-2</v>
      </c>
      <c r="H206">
        <v>2E+20</v>
      </c>
      <c r="I206">
        <v>0</v>
      </c>
      <c r="J206">
        <v>2</v>
      </c>
      <c r="K206">
        <v>0</v>
      </c>
      <c r="L206">
        <v>0</v>
      </c>
      <c r="M206" s="5" t="str">
        <f>ContinuousStatsTable[[#This Row],[ProjectName]]&amp;ContinuousStatsTable[[#This Row],[Name]]&amp;ContinuousStatsTable[[#This Row],[Type]]&amp;ContinuousStatsTable[[#This Row],[Source]]</f>
        <v>Unnamed ProjectLeave 7.QueueNumber WaitingQueue</v>
      </c>
      <c r="N206" s="5" cm="1">
        <f t="array" ref="N206">MAX(IF((ProjectInfoTable[ProjectName]=ContinuousStatsTable[[#This Row],[ProjectName]]),(ProjectInfoTable[ProjectName]=ContinuousStatsTable[[#This Row],[ProjectName]])*ProjectInfoTable[NumberOfReplications]))</f>
        <v>10</v>
      </c>
      <c r="O206" s="5" cm="1">
        <f t="array" ref="O206">IFERROR(AVERAGE(IF((ContinuousStatsTable[GroupByKey]=ContinuousStatsTable[[#This Row],[GroupByKey]]),(ContinuousStatsTable[GroupByKey]=ContinuousStatsTable[[#This Row],[GroupByKey]])*ContinuousStatsTable[Average])),0)</f>
        <v>5.9441954240945373E-2</v>
      </c>
      <c r="P206" s="5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1.1519407308393107E-2</v>
      </c>
      <c r="Q206" s="5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8.2404875707479553E-3</v>
      </c>
      <c r="S206" s="5" cm="1">
        <f t="array" ref="S206">MIN(IF((ContinuousStatsTable[GroupByKey]=ContinuousStatsTable[[#This Row],[GroupByKey]]),(ContinuousStatsTable[GroupByKey]=ContinuousStatsTable[[#This Row],[GroupByKey]])*ContinuousStatsTable[Average]))</f>
        <v>4.5386728660866099E-2</v>
      </c>
      <c r="T206" s="5" cm="1">
        <f t="array" ref="T206">MAX(IF((ContinuousStatsTable[GroupByKey]=ContinuousStatsTable[[#This Row],[GroupByKey]]),(ContinuousStatsTable[GroupByKey]=ContinuousStatsTable[[#This Row],[GroupByKey]])*ContinuousStatsTable[Average]))</f>
        <v>7.8633362228088005E-2</v>
      </c>
      <c r="U206" s="5">
        <f>IF((ContinuousStatsTable[[#This Row],[RepsRequested]]&gt;1),ContinuousStatsTable[[#This Row],[HalfWidth]],ContinuousStatsTable[[#This Row],[BatchMeansHalfWidth]])</f>
        <v>8.2404875707479553E-3</v>
      </c>
    </row>
    <row r="207" spans="1:21" x14ac:dyDescent="0.3">
      <c r="A207" t="s">
        <v>66</v>
      </c>
      <c r="B207" t="s">
        <v>68</v>
      </c>
      <c r="C207">
        <v>6</v>
      </c>
      <c r="D207" t="s">
        <v>85</v>
      </c>
      <c r="E207" t="s">
        <v>99</v>
      </c>
      <c r="F207" t="s">
        <v>71</v>
      </c>
      <c r="G207">
        <v>1.9987076431300702E-3</v>
      </c>
      <c r="H207">
        <v>2E+20</v>
      </c>
      <c r="I207">
        <v>0</v>
      </c>
      <c r="J207">
        <v>1</v>
      </c>
      <c r="K207">
        <v>0</v>
      </c>
      <c r="L207">
        <v>0</v>
      </c>
      <c r="M207" s="5" t="str">
        <f>ContinuousStatsTable[[#This Row],[ProjectName]]&amp;ContinuousStatsTable[[#This Row],[Name]]&amp;ContinuousStatsTable[[#This Row],[Type]]&amp;ContinuousStatsTable[[#This Row],[Source]]</f>
        <v>Unnamed ProjectLeave 8.QueueNumber WaitingQueue</v>
      </c>
      <c r="N207" s="5" cm="1">
        <f t="array" ref="N207">MAX(IF((ProjectInfoTable[ProjectName]=ContinuousStatsTable[[#This Row],[ProjectName]]),(ProjectInfoTable[ProjectName]=ContinuousStatsTable[[#This Row],[ProjectName]])*ProjectInfoTable[NumberOfReplications]))</f>
        <v>10</v>
      </c>
      <c r="O207" s="5" cm="1">
        <f t="array" ref="O207">IFERROR(AVERAGE(IF((ContinuousStatsTable[GroupByKey]=ContinuousStatsTable[[#This Row],[GroupByKey]]),(ContinuousStatsTable[GroupByKey]=ContinuousStatsTable[[#This Row],[GroupByKey]])*ContinuousStatsTable[Average])),0)</f>
        <v>2.1217771776478596E-3</v>
      </c>
      <c r="P207" s="5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8.0254950645480523E-4</v>
      </c>
      <c r="Q207" s="5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5.7410933182579346E-4</v>
      </c>
      <c r="S207" s="5" cm="1">
        <f t="array" ref="S207">MIN(IF((ContinuousStatsTable[GroupByKey]=ContinuousStatsTable[[#This Row],[GroupByKey]]),(ContinuousStatsTable[GroupByKey]=ContinuousStatsTable[[#This Row],[GroupByKey]])*ContinuousStatsTable[Average]))</f>
        <v>9.0451064743319795E-4</v>
      </c>
      <c r="T207" s="5" cm="1">
        <f t="array" ref="T207">MAX(IF((ContinuousStatsTable[GroupByKey]=ContinuousStatsTable[[#This Row],[GroupByKey]]),(ContinuousStatsTable[GroupByKey]=ContinuousStatsTable[[#This Row],[GroupByKey]])*ContinuousStatsTable[Average]))</f>
        <v>3.5490296241417699E-3</v>
      </c>
      <c r="U207" s="5">
        <f>IF((ContinuousStatsTable[[#This Row],[RepsRequested]]&gt;1),ContinuousStatsTable[[#This Row],[HalfWidth]],ContinuousStatsTable[[#This Row],[BatchMeansHalfWidth]])</f>
        <v>5.7410933182579346E-4</v>
      </c>
    </row>
    <row r="208" spans="1:21" x14ac:dyDescent="0.3">
      <c r="A208" t="s">
        <v>66</v>
      </c>
      <c r="B208" t="s">
        <v>68</v>
      </c>
      <c r="C208">
        <v>6</v>
      </c>
      <c r="D208" t="s">
        <v>86</v>
      </c>
      <c r="E208" t="s">
        <v>99</v>
      </c>
      <c r="F208" t="s">
        <v>71</v>
      </c>
      <c r="G208">
        <v>2.8555279956142001E-4</v>
      </c>
      <c r="H208">
        <v>2E+20</v>
      </c>
      <c r="I208">
        <v>0</v>
      </c>
      <c r="J208">
        <v>1</v>
      </c>
      <c r="K208">
        <v>0</v>
      </c>
      <c r="L208">
        <v>0</v>
      </c>
      <c r="M208" s="5" t="str">
        <f>ContinuousStatsTable[[#This Row],[ProjectName]]&amp;ContinuousStatsTable[[#This Row],[Name]]&amp;ContinuousStatsTable[[#This Row],[Type]]&amp;ContinuousStatsTable[[#This Row],[Source]]</f>
        <v>Unnamed ProjectLeave 9.QueueNumber WaitingQueue</v>
      </c>
      <c r="N208" s="5" cm="1">
        <f t="array" ref="N208">MAX(IF((ProjectInfoTable[ProjectName]=ContinuousStatsTable[[#This Row],[ProjectName]]),(ProjectInfoTable[ProjectName]=ContinuousStatsTable[[#This Row],[ProjectName]])*ProjectInfoTable[NumberOfReplications]))</f>
        <v>10</v>
      </c>
      <c r="O208" s="5" cm="1">
        <f t="array" ref="O208">IFERROR(AVERAGE(IF((ContinuousStatsTable[GroupByKey]=ContinuousStatsTable[[#This Row],[GroupByKey]]),(ContinuousStatsTable[GroupByKey]=ContinuousStatsTable[[#This Row],[GroupByKey]])*ContinuousStatsTable[Average])),0)</f>
        <v>1.3877246767065991E-3</v>
      </c>
      <c r="P208" s="5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7.1875981577935533E-4</v>
      </c>
      <c r="Q208" s="5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5.1416979795196457E-4</v>
      </c>
      <c r="S208" s="5" cm="1">
        <f t="array" ref="S208">MIN(IF((ContinuousStatsTable[GroupByKey]=ContinuousStatsTable[[#This Row],[GroupByKey]]),(ContinuousStatsTable[GroupByKey]=ContinuousStatsTable[[#This Row],[GroupByKey]])*ContinuousStatsTable[Average]))</f>
        <v>2.8555279956142001E-4</v>
      </c>
      <c r="T208" s="5" cm="1">
        <f t="array" ref="T208">MAX(IF((ContinuousStatsTable[GroupByKey]=ContinuousStatsTable[[#This Row],[GroupByKey]]),(ContinuousStatsTable[GroupByKey]=ContinuousStatsTable[[#This Row],[GroupByKey]])*ContinuousStatsTable[Average]))</f>
        <v>2.50186012594582E-3</v>
      </c>
      <c r="U208" s="5">
        <f>IF((ContinuousStatsTable[[#This Row],[RepsRequested]]&gt;1),ContinuousStatsTable[[#This Row],[HalfWidth]],ContinuousStatsTable[[#This Row],[BatchMeansHalfWidth]])</f>
        <v>5.1416979795196457E-4</v>
      </c>
    </row>
    <row r="209" spans="1:21" x14ac:dyDescent="0.3">
      <c r="A209" t="s">
        <v>66</v>
      </c>
      <c r="B209" t="s">
        <v>68</v>
      </c>
      <c r="C209">
        <v>6</v>
      </c>
      <c r="D209" t="s">
        <v>87</v>
      </c>
      <c r="E209" t="s">
        <v>100</v>
      </c>
      <c r="F209" t="s">
        <v>74</v>
      </c>
      <c r="G209">
        <v>16.425571484417201</v>
      </c>
      <c r="H209">
        <v>3E+20</v>
      </c>
      <c r="I209">
        <v>0</v>
      </c>
      <c r="J209">
        <v>33</v>
      </c>
      <c r="K209">
        <v>19</v>
      </c>
      <c r="L209">
        <v>0</v>
      </c>
      <c r="M209" s="5" t="str">
        <f>ContinuousStatsTable[[#This Row],[ProjectName]]&amp;ContinuousStatsTable[[#This Row],[Name]]&amp;ContinuousStatsTable[[#This Row],[Type]]&amp;ContinuousStatsTable[[#This Row],[Source]]</f>
        <v>Unnamed ProjectMaleta InternacionalWIPEntity</v>
      </c>
      <c r="N209" s="5" cm="1">
        <f t="array" ref="N209">MAX(IF((ProjectInfoTable[ProjectName]=ContinuousStatsTable[[#This Row],[ProjectName]]),(ProjectInfoTable[ProjectName]=ContinuousStatsTable[[#This Row],[ProjectName]])*ProjectInfoTable[NumberOfReplications]))</f>
        <v>10</v>
      </c>
      <c r="O209" s="5" cm="1">
        <f t="array" ref="O209">IFERROR(AVERAGE(IF((ContinuousStatsTable[GroupByKey]=ContinuousStatsTable[[#This Row],[GroupByKey]]),(ContinuousStatsTable[GroupByKey]=ContinuousStatsTable[[#This Row],[GroupByKey]])*ContinuousStatsTable[Average])),0)</f>
        <v>13.037689788098451</v>
      </c>
      <c r="P209" s="5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1.9631643885071912</v>
      </c>
      <c r="Q209" s="5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1.4043632028742961</v>
      </c>
      <c r="S209" s="5" cm="1">
        <f t="array" ref="S209">MIN(IF((ContinuousStatsTable[GroupByKey]=ContinuousStatsTable[[#This Row],[GroupByKey]]),(ContinuousStatsTable[GroupByKey]=ContinuousStatsTable[[#This Row],[GroupByKey]])*ContinuousStatsTable[Average]))</f>
        <v>10.277307754823401</v>
      </c>
      <c r="T209" s="5" cm="1">
        <f t="array" ref="T209">MAX(IF((ContinuousStatsTable[GroupByKey]=ContinuousStatsTable[[#This Row],[GroupByKey]]),(ContinuousStatsTable[GroupByKey]=ContinuousStatsTable[[#This Row],[GroupByKey]])*ContinuousStatsTable[Average]))</f>
        <v>16.425571484417201</v>
      </c>
      <c r="U209" s="5">
        <f>IF((ContinuousStatsTable[[#This Row],[RepsRequested]]&gt;1),ContinuousStatsTable[[#This Row],[HalfWidth]],ContinuousStatsTable[[#This Row],[BatchMeansHalfWidth]])</f>
        <v>1.4043632028742961</v>
      </c>
    </row>
    <row r="210" spans="1:21" x14ac:dyDescent="0.3">
      <c r="A210" t="s">
        <v>66</v>
      </c>
      <c r="B210" t="s">
        <v>68</v>
      </c>
      <c r="C210">
        <v>6</v>
      </c>
      <c r="D210" t="s">
        <v>88</v>
      </c>
      <c r="E210" t="s">
        <v>100</v>
      </c>
      <c r="F210" t="s">
        <v>74</v>
      </c>
      <c r="G210">
        <v>2.4605296674942401</v>
      </c>
      <c r="H210">
        <v>2E+20</v>
      </c>
      <c r="I210">
        <v>0</v>
      </c>
      <c r="J210">
        <v>8</v>
      </c>
      <c r="K210">
        <v>1</v>
      </c>
      <c r="L210">
        <v>0</v>
      </c>
      <c r="M210" s="5" t="str">
        <f>ContinuousStatsTable[[#This Row],[ProjectName]]&amp;ContinuousStatsTable[[#This Row],[Name]]&amp;ContinuousStatsTable[[#This Row],[Type]]&amp;ContinuousStatsTable[[#This Row],[Source]]</f>
        <v>Unnamed ProjectMaleta NacionalWIPEntity</v>
      </c>
      <c r="N210" s="5" cm="1">
        <f t="array" ref="N210">MAX(IF((ProjectInfoTable[ProjectName]=ContinuousStatsTable[[#This Row],[ProjectName]]),(ProjectInfoTable[ProjectName]=ContinuousStatsTable[[#This Row],[ProjectName]])*ProjectInfoTable[NumberOfReplications]))</f>
        <v>10</v>
      </c>
      <c r="O210" s="5" cm="1">
        <f t="array" ref="O210">IFERROR(AVERAGE(IF((ContinuousStatsTable[GroupByKey]=ContinuousStatsTable[[#This Row],[GroupByKey]]),(ContinuousStatsTable[GroupByKey]=ContinuousStatsTable[[#This Row],[GroupByKey]])*ContinuousStatsTable[Average])),0)</f>
        <v>2.7356580954557046</v>
      </c>
      <c r="P210" s="5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0.24675556542769644</v>
      </c>
      <c r="Q210" s="5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0.17651829781539885</v>
      </c>
      <c r="S210" s="5" cm="1">
        <f t="array" ref="S210">MIN(IF((ContinuousStatsTable[GroupByKey]=ContinuousStatsTable[[#This Row],[GroupByKey]]),(ContinuousStatsTable[GroupByKey]=ContinuousStatsTable[[#This Row],[GroupByKey]])*ContinuousStatsTable[Average]))</f>
        <v>2.4605296674942401</v>
      </c>
      <c r="T210" s="5" cm="1">
        <f t="array" ref="T210">MAX(IF((ContinuousStatsTable[GroupByKey]=ContinuousStatsTable[[#This Row],[GroupByKey]]),(ContinuousStatsTable[GroupByKey]=ContinuousStatsTable[[#This Row],[GroupByKey]])*ContinuousStatsTable[Average]))</f>
        <v>3.2916533376655202</v>
      </c>
      <c r="U210" s="5">
        <f>IF((ContinuousStatsTable[[#This Row],[RepsRequested]]&gt;1),ContinuousStatsTable[[#This Row],[HalfWidth]],ContinuousStatsTable[[#This Row],[BatchMeansHalfWidth]])</f>
        <v>0.17651829781539885</v>
      </c>
    </row>
    <row r="211" spans="1:21" x14ac:dyDescent="0.3">
      <c r="A211" t="s">
        <v>66</v>
      </c>
      <c r="B211" t="s">
        <v>68</v>
      </c>
      <c r="C211">
        <v>6</v>
      </c>
      <c r="D211" t="s">
        <v>106</v>
      </c>
      <c r="E211" t="s">
        <v>102</v>
      </c>
      <c r="F211" t="s">
        <v>103</v>
      </c>
      <c r="G211">
        <v>0.79079720639107598</v>
      </c>
      <c r="H211">
        <v>2E+20</v>
      </c>
      <c r="I211">
        <v>0</v>
      </c>
      <c r="J211">
        <v>1</v>
      </c>
      <c r="K211">
        <v>1</v>
      </c>
      <c r="L211">
        <v>0</v>
      </c>
      <c r="M211" s="5" t="str">
        <f>ContinuousStatsTable[[#This Row],[ProjectName]]&amp;ContinuousStatsTable[[#This Row],[Name]]&amp;ContinuousStatsTable[[#This Row],[Type]]&amp;ContinuousStatsTable[[#This Row],[Source]]</f>
        <v>Unnamed ProjectNacionalautoInstantaneous UtilizationResource</v>
      </c>
      <c r="N211" s="5" cm="1">
        <f t="array" ref="N211">MAX(IF((ProjectInfoTable[ProjectName]=ContinuousStatsTable[[#This Row],[ProjectName]]),(ProjectInfoTable[ProjectName]=ContinuousStatsTable[[#This Row],[ProjectName]])*ProjectInfoTable[NumberOfReplications]))</f>
        <v>10</v>
      </c>
      <c r="O211" s="5" cm="1">
        <f t="array" ref="O211">IFERROR(AVERAGE(IF((ContinuousStatsTable[GroupByKey]=ContinuousStatsTable[[#This Row],[GroupByKey]]),(ContinuousStatsTable[GroupByKey]=ContinuousStatsTable[[#This Row],[GroupByKey]])*ContinuousStatsTable[Average])),0)</f>
        <v>0.73175058451933661</v>
      </c>
      <c r="P211" s="5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6.0813477412386734E-2</v>
      </c>
      <c r="Q211" s="5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4.3503341043041877E-2</v>
      </c>
      <c r="S211" s="5" cm="1">
        <f t="array" ref="S211">MIN(IF((ContinuousStatsTable[GroupByKey]=ContinuousStatsTable[[#This Row],[GroupByKey]]),(ContinuousStatsTable[GroupByKey]=ContinuousStatsTable[[#This Row],[GroupByKey]])*ContinuousStatsTable[Average]))</f>
        <v>0.64995347349336796</v>
      </c>
      <c r="T211" s="5" cm="1">
        <f t="array" ref="T211">MAX(IF((ContinuousStatsTable[GroupByKey]=ContinuousStatsTable[[#This Row],[GroupByKey]]),(ContinuousStatsTable[GroupByKey]=ContinuousStatsTable[[#This Row],[GroupByKey]])*ContinuousStatsTable[Average]))</f>
        <v>0.82581624655093899</v>
      </c>
      <c r="U211" s="5">
        <f>IF((ContinuousStatsTable[[#This Row],[RepsRequested]]&gt;1),ContinuousStatsTable[[#This Row],[HalfWidth]],ContinuousStatsTable[[#This Row],[BatchMeansHalfWidth]])</f>
        <v>4.3503341043041877E-2</v>
      </c>
    </row>
    <row r="212" spans="1:21" x14ac:dyDescent="0.3">
      <c r="A212" t="s">
        <v>66</v>
      </c>
      <c r="B212" t="s">
        <v>68</v>
      </c>
      <c r="C212">
        <v>6</v>
      </c>
      <c r="D212" t="s">
        <v>106</v>
      </c>
      <c r="E212" t="s">
        <v>104</v>
      </c>
      <c r="F212" t="s">
        <v>103</v>
      </c>
      <c r="G212">
        <v>0.79079720639107598</v>
      </c>
      <c r="H212">
        <v>2E+20</v>
      </c>
      <c r="I212">
        <v>0</v>
      </c>
      <c r="J212">
        <v>1</v>
      </c>
      <c r="K212">
        <v>1</v>
      </c>
      <c r="L212">
        <v>0</v>
      </c>
      <c r="M212" s="5" t="str">
        <f>ContinuousStatsTable[[#This Row],[ProjectName]]&amp;ContinuousStatsTable[[#This Row],[Name]]&amp;ContinuousStatsTable[[#This Row],[Type]]&amp;ContinuousStatsTable[[#This Row],[Source]]</f>
        <v>Unnamed ProjectNacionalautoNumber BusyResource</v>
      </c>
      <c r="N212" s="5" cm="1">
        <f t="array" ref="N212">MAX(IF((ProjectInfoTable[ProjectName]=ContinuousStatsTable[[#This Row],[ProjectName]]),(ProjectInfoTable[ProjectName]=ContinuousStatsTable[[#This Row],[ProjectName]])*ProjectInfoTable[NumberOfReplications]))</f>
        <v>10</v>
      </c>
      <c r="O212" s="5" cm="1">
        <f t="array" ref="O212">IFERROR(AVERAGE(IF((ContinuousStatsTable[GroupByKey]=ContinuousStatsTable[[#This Row],[GroupByKey]]),(ContinuousStatsTable[GroupByKey]=ContinuousStatsTable[[#This Row],[GroupByKey]])*ContinuousStatsTable[Average])),0)</f>
        <v>0.73175058451933661</v>
      </c>
      <c r="P212" s="5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6.0813477412386734E-2</v>
      </c>
      <c r="Q212" s="5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4.3503341043041877E-2</v>
      </c>
      <c r="S212" s="5" cm="1">
        <f t="array" ref="S212">MIN(IF((ContinuousStatsTable[GroupByKey]=ContinuousStatsTable[[#This Row],[GroupByKey]]),(ContinuousStatsTable[GroupByKey]=ContinuousStatsTable[[#This Row],[GroupByKey]])*ContinuousStatsTable[Average]))</f>
        <v>0.64995347349336796</v>
      </c>
      <c r="T212" s="5" cm="1">
        <f t="array" ref="T212">MAX(IF((ContinuousStatsTable[GroupByKey]=ContinuousStatsTable[[#This Row],[GroupByKey]]),(ContinuousStatsTable[GroupByKey]=ContinuousStatsTable[[#This Row],[GroupByKey]])*ContinuousStatsTable[Average]))</f>
        <v>0.82581624655093899</v>
      </c>
      <c r="U212" s="5">
        <f>IF((ContinuousStatsTable[[#This Row],[RepsRequested]]&gt;1),ContinuousStatsTable[[#This Row],[HalfWidth]],ContinuousStatsTable[[#This Row],[BatchMeansHalfWidth]])</f>
        <v>4.3503341043041877E-2</v>
      </c>
    </row>
    <row r="213" spans="1:21" x14ac:dyDescent="0.3">
      <c r="A213" t="s">
        <v>66</v>
      </c>
      <c r="B213" t="s">
        <v>68</v>
      </c>
      <c r="C213">
        <v>6</v>
      </c>
      <c r="D213" t="s">
        <v>106</v>
      </c>
      <c r="E213" t="s">
        <v>105</v>
      </c>
      <c r="F213" t="s">
        <v>103</v>
      </c>
      <c r="G213">
        <v>1</v>
      </c>
      <c r="H213">
        <v>2E+20</v>
      </c>
      <c r="I213">
        <v>1</v>
      </c>
      <c r="J213">
        <v>1</v>
      </c>
      <c r="K213">
        <v>1</v>
      </c>
      <c r="L213">
        <v>0</v>
      </c>
      <c r="M213" s="5" t="str">
        <f>ContinuousStatsTable[[#This Row],[ProjectName]]&amp;ContinuousStatsTable[[#This Row],[Name]]&amp;ContinuousStatsTable[[#This Row],[Type]]&amp;ContinuousStatsTable[[#This Row],[Source]]</f>
        <v>Unnamed ProjectNacionalautoNumber ScheduledResource</v>
      </c>
      <c r="N213" s="5" cm="1">
        <f t="array" ref="N213">MAX(IF((ProjectInfoTable[ProjectName]=ContinuousStatsTable[[#This Row],[ProjectName]]),(ProjectInfoTable[ProjectName]=ContinuousStatsTable[[#This Row],[ProjectName]])*ProjectInfoTable[NumberOfReplications]))</f>
        <v>10</v>
      </c>
      <c r="O213" s="5" cm="1">
        <f t="array" ref="O213">IFERROR(AVERAGE(IF((ContinuousStatsTable[GroupByKey]=ContinuousStatsTable[[#This Row],[GroupByKey]]),(ContinuousStatsTable[GroupByKey]=ContinuousStatsTable[[#This Row],[GroupByKey]])*ContinuousStatsTable[Average])),0)</f>
        <v>1</v>
      </c>
      <c r="P213" s="5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0</v>
      </c>
      <c r="Q213" s="5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3" s="5" cm="1">
        <f t="array" ref="S213">MIN(IF((ContinuousStatsTable[GroupByKey]=ContinuousStatsTable[[#This Row],[GroupByKey]]),(ContinuousStatsTable[GroupByKey]=ContinuousStatsTable[[#This Row],[GroupByKey]])*ContinuousStatsTable[Average]))</f>
        <v>1</v>
      </c>
      <c r="T213" s="5" cm="1">
        <f t="array" ref="T213">MAX(IF((ContinuousStatsTable[GroupByKey]=ContinuousStatsTable[[#This Row],[GroupByKey]]),(ContinuousStatsTable[GroupByKey]=ContinuousStatsTable[[#This Row],[GroupByKey]])*ContinuousStatsTable[Average]))</f>
        <v>1</v>
      </c>
      <c r="U213" s="5">
        <f>IF((ContinuousStatsTable[[#This Row],[RepsRequested]]&gt;1),ContinuousStatsTable[[#This Row],[HalfWidth]],ContinuousStatsTable[[#This Row],[BatchMeansHalfWidth]])</f>
        <v>0</v>
      </c>
    </row>
    <row r="214" spans="1:21" x14ac:dyDescent="0.3">
      <c r="A214" t="s">
        <v>66</v>
      </c>
      <c r="B214" t="s">
        <v>68</v>
      </c>
      <c r="C214">
        <v>6</v>
      </c>
      <c r="D214" t="s">
        <v>107</v>
      </c>
      <c r="E214" t="s">
        <v>102</v>
      </c>
      <c r="F214" t="s">
        <v>103</v>
      </c>
      <c r="G214">
        <v>7.7011627741519206E-2</v>
      </c>
      <c r="H214">
        <v>1.27317108225949E-2</v>
      </c>
      <c r="I214">
        <v>0</v>
      </c>
      <c r="J214">
        <v>1</v>
      </c>
      <c r="K214">
        <v>0.5</v>
      </c>
      <c r="L214">
        <v>0</v>
      </c>
      <c r="M214" s="5" t="str">
        <f>ContinuousStatsTable[[#This Row],[ProjectName]]&amp;ContinuousStatsTable[[#This Row],[Name]]&amp;ContinuousStatsTable[[#This Row],[Type]]&amp;ContinuousStatsTable[[#This Row],[Source]]</f>
        <v>Unnamed ProjectOperarios AvionInstantaneous UtilizationResource</v>
      </c>
      <c r="N214" s="5" cm="1">
        <f t="array" ref="N214">MAX(IF((ProjectInfoTable[ProjectName]=ContinuousStatsTable[[#This Row],[ProjectName]]),(ProjectInfoTable[ProjectName]=ContinuousStatsTable[[#This Row],[ProjectName]])*ProjectInfoTable[NumberOfReplications]))</f>
        <v>10</v>
      </c>
      <c r="O214" s="5" cm="1">
        <f t="array" ref="O214">IFERROR(AVERAGE(IF((ContinuousStatsTable[GroupByKey]=ContinuousStatsTable[[#This Row],[GroupByKey]]),(ContinuousStatsTable[GroupByKey]=ContinuousStatsTable[[#This Row],[GroupByKey]])*ContinuousStatsTable[Average])),0)</f>
        <v>7.5958437118625627E-2</v>
      </c>
      <c r="P214" s="5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5.0572810112240948E-3</v>
      </c>
      <c r="Q214" s="5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3.6177608968134627E-3</v>
      </c>
      <c r="S214" s="5" cm="1">
        <f t="array" ref="S214">MIN(IF((ContinuousStatsTable[GroupByKey]=ContinuousStatsTable[[#This Row],[GroupByKey]]),(ContinuousStatsTable[GroupByKey]=ContinuousStatsTable[[#This Row],[GroupByKey]])*ContinuousStatsTable[Average]))</f>
        <v>6.7485948117393404E-2</v>
      </c>
      <c r="T214" s="5" cm="1">
        <f t="array" ref="T214">MAX(IF((ContinuousStatsTable[GroupByKey]=ContinuousStatsTable[[#This Row],[GroupByKey]]),(ContinuousStatsTable[GroupByKey]=ContinuousStatsTable[[#This Row],[GroupByKey]])*ContinuousStatsTable[Average]))</f>
        <v>8.7852447587946303E-2</v>
      </c>
      <c r="U214" s="5">
        <f>IF((ContinuousStatsTable[[#This Row],[RepsRequested]]&gt;1),ContinuousStatsTable[[#This Row],[HalfWidth]],ContinuousStatsTable[[#This Row],[BatchMeansHalfWidth]])</f>
        <v>3.6177608968134627E-3</v>
      </c>
    </row>
    <row r="215" spans="1:21" x14ac:dyDescent="0.3">
      <c r="A215" t="s">
        <v>66</v>
      </c>
      <c r="B215" t="s">
        <v>68</v>
      </c>
      <c r="C215">
        <v>6</v>
      </c>
      <c r="D215" t="s">
        <v>107</v>
      </c>
      <c r="E215" t="s">
        <v>104</v>
      </c>
      <c r="F215" t="s">
        <v>103</v>
      </c>
      <c r="G215">
        <v>0.154023255483038</v>
      </c>
      <c r="H215">
        <v>2.5463421645189901E-2</v>
      </c>
      <c r="I215">
        <v>0</v>
      </c>
      <c r="J215">
        <v>2</v>
      </c>
      <c r="K215">
        <v>1</v>
      </c>
      <c r="L215">
        <v>0</v>
      </c>
      <c r="M215" s="5" t="str">
        <f>ContinuousStatsTable[[#This Row],[ProjectName]]&amp;ContinuousStatsTable[[#This Row],[Name]]&amp;ContinuousStatsTable[[#This Row],[Type]]&amp;ContinuousStatsTable[[#This Row],[Source]]</f>
        <v>Unnamed ProjectOperarios AvionNumber BusyResource</v>
      </c>
      <c r="N215" s="5" cm="1">
        <f t="array" ref="N215">MAX(IF((ProjectInfoTable[ProjectName]=ContinuousStatsTable[[#This Row],[ProjectName]]),(ProjectInfoTable[ProjectName]=ContinuousStatsTable[[#This Row],[ProjectName]])*ProjectInfoTable[NumberOfReplications]))</f>
        <v>10</v>
      </c>
      <c r="O215" s="5" cm="1">
        <f t="array" ref="O215">IFERROR(AVERAGE(IF((ContinuousStatsTable[GroupByKey]=ContinuousStatsTable[[#This Row],[GroupByKey]]),(ContinuousStatsTable[GroupByKey]=ContinuousStatsTable[[#This Row],[GroupByKey]])*ContinuousStatsTable[Average])),0)</f>
        <v>0.1519168742372512</v>
      </c>
      <c r="P215" s="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1.0114562022448264E-2</v>
      </c>
      <c r="Q215" s="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7.2355217936269783E-3</v>
      </c>
      <c r="S215" s="5" cm="1">
        <f t="array" ref="S215">MIN(IF((ContinuousStatsTable[GroupByKey]=ContinuousStatsTable[[#This Row],[GroupByKey]]),(ContinuousStatsTable[GroupByKey]=ContinuousStatsTable[[#This Row],[GroupByKey]])*ContinuousStatsTable[Average]))</f>
        <v>0.134971896234787</v>
      </c>
      <c r="T215" s="5" cm="1">
        <f t="array" ref="T215">MAX(IF((ContinuousStatsTable[GroupByKey]=ContinuousStatsTable[[#This Row],[GroupByKey]]),(ContinuousStatsTable[GroupByKey]=ContinuousStatsTable[[#This Row],[GroupByKey]])*ContinuousStatsTable[Average]))</f>
        <v>0.17570489517589299</v>
      </c>
      <c r="U215" s="5">
        <f>IF((ContinuousStatsTable[[#This Row],[RepsRequested]]&gt;1),ContinuousStatsTable[[#This Row],[HalfWidth]],ContinuousStatsTable[[#This Row],[BatchMeansHalfWidth]])</f>
        <v>7.2355217936269783E-3</v>
      </c>
    </row>
    <row r="216" spans="1:21" x14ac:dyDescent="0.3">
      <c r="A216" t="s">
        <v>66</v>
      </c>
      <c r="B216" t="s">
        <v>68</v>
      </c>
      <c r="C216">
        <v>6</v>
      </c>
      <c r="D216" t="s">
        <v>107</v>
      </c>
      <c r="E216" t="s">
        <v>105</v>
      </c>
      <c r="F216" t="s">
        <v>103</v>
      </c>
      <c r="G216">
        <v>2</v>
      </c>
      <c r="H216">
        <v>2E+20</v>
      </c>
      <c r="I216">
        <v>2</v>
      </c>
      <c r="J216">
        <v>2</v>
      </c>
      <c r="K216">
        <v>2</v>
      </c>
      <c r="L216">
        <v>0</v>
      </c>
      <c r="M216" s="5" t="str">
        <f>ContinuousStatsTable[[#This Row],[ProjectName]]&amp;ContinuousStatsTable[[#This Row],[Name]]&amp;ContinuousStatsTable[[#This Row],[Type]]&amp;ContinuousStatsTable[[#This Row],[Source]]</f>
        <v>Unnamed ProjectOperarios AvionNumber ScheduledResource</v>
      </c>
      <c r="N216" s="5" cm="1">
        <f t="array" ref="N216">MAX(IF((ProjectInfoTable[ProjectName]=ContinuousStatsTable[[#This Row],[ProjectName]]),(ProjectInfoTable[ProjectName]=ContinuousStatsTable[[#This Row],[ProjectName]])*ProjectInfoTable[NumberOfReplications]))</f>
        <v>10</v>
      </c>
      <c r="O216" s="5" cm="1">
        <f t="array" ref="O216">IFERROR(AVERAGE(IF((ContinuousStatsTable[GroupByKey]=ContinuousStatsTable[[#This Row],[GroupByKey]]),(ContinuousStatsTable[GroupByKey]=ContinuousStatsTable[[#This Row],[GroupByKey]])*ContinuousStatsTable[Average])),0)</f>
        <v>2</v>
      </c>
      <c r="P216" s="5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0</v>
      </c>
      <c r="Q216" s="5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6" s="5" cm="1">
        <f t="array" ref="S216">MIN(IF((ContinuousStatsTable[GroupByKey]=ContinuousStatsTable[[#This Row],[GroupByKey]]),(ContinuousStatsTable[GroupByKey]=ContinuousStatsTable[[#This Row],[GroupByKey]])*ContinuousStatsTable[Average]))</f>
        <v>2</v>
      </c>
      <c r="T216" s="5" cm="1">
        <f t="array" ref="T216">MAX(IF((ContinuousStatsTable[GroupByKey]=ContinuousStatsTable[[#This Row],[GroupByKey]]),(ContinuousStatsTable[GroupByKey]=ContinuousStatsTable[[#This Row],[GroupByKey]])*ContinuousStatsTable[Average]))</f>
        <v>2</v>
      </c>
      <c r="U216" s="5">
        <f>IF((ContinuousStatsTable[[#This Row],[RepsRequested]]&gt;1),ContinuousStatsTable[[#This Row],[HalfWidth]],ContinuousStatsTable[[#This Row],[BatchMeansHalfWidth]])</f>
        <v>0</v>
      </c>
    </row>
    <row r="217" spans="1:21" x14ac:dyDescent="0.3">
      <c r="A217" t="s">
        <v>66</v>
      </c>
      <c r="B217" t="s">
        <v>68</v>
      </c>
      <c r="C217">
        <v>6</v>
      </c>
      <c r="D217" t="s">
        <v>108</v>
      </c>
      <c r="E217" t="s">
        <v>102</v>
      </c>
      <c r="F217" t="s">
        <v>103</v>
      </c>
      <c r="G217">
        <v>0.43455744255240097</v>
      </c>
      <c r="H217">
        <v>2E+20</v>
      </c>
      <c r="I217">
        <v>0</v>
      </c>
      <c r="J217">
        <v>1</v>
      </c>
      <c r="K217">
        <v>1</v>
      </c>
      <c r="L217">
        <v>0</v>
      </c>
      <c r="M217" s="5" t="str">
        <f>ContinuousStatsTable[[#This Row],[ProjectName]]&amp;ContinuousStatsTable[[#This Row],[Name]]&amp;ContinuousStatsTable[[#This Row],[Type]]&amp;ContinuousStatsTable[[#This Row],[Source]]</f>
        <v>Unnamed ProjectcajeraInstantaneous UtilizationResource</v>
      </c>
      <c r="N217" s="5" cm="1">
        <f t="array" ref="N217">MAX(IF((ProjectInfoTable[ProjectName]=ContinuousStatsTable[[#This Row],[ProjectName]]),(ProjectInfoTable[ProjectName]=ContinuousStatsTable[[#This Row],[ProjectName]])*ProjectInfoTable[NumberOfReplications]))</f>
        <v>10</v>
      </c>
      <c r="O217" s="5" cm="1">
        <f t="array" ref="O217">IFERROR(AVERAGE(IF((ContinuousStatsTable[GroupByKey]=ContinuousStatsTable[[#This Row],[GroupByKey]]),(ContinuousStatsTable[GroupByKey]=ContinuousStatsTable[[#This Row],[GroupByKey]])*ContinuousStatsTable[Average])),0)</f>
        <v>0.38078385056341441</v>
      </c>
      <c r="P217" s="5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5.6481911326734656E-2</v>
      </c>
      <c r="Q217" s="5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4.040472533000234E-2</v>
      </c>
      <c r="S217" s="5" cm="1">
        <f t="array" ref="S217">MIN(IF((ContinuousStatsTable[GroupByKey]=ContinuousStatsTable[[#This Row],[GroupByKey]]),(ContinuousStatsTable[GroupByKey]=ContinuousStatsTable[[#This Row],[GroupByKey]])*ContinuousStatsTable[Average]))</f>
        <v>0.28913636698845602</v>
      </c>
      <c r="T217" s="5" cm="1">
        <f t="array" ref="T217">MAX(IF((ContinuousStatsTable[GroupByKey]=ContinuousStatsTable[[#This Row],[GroupByKey]]),(ContinuousStatsTable[GroupByKey]=ContinuousStatsTable[[#This Row],[GroupByKey]])*ContinuousStatsTable[Average]))</f>
        <v>0.46134650546047301</v>
      </c>
      <c r="U217" s="5">
        <f>IF((ContinuousStatsTable[[#This Row],[RepsRequested]]&gt;1),ContinuousStatsTable[[#This Row],[HalfWidth]],ContinuousStatsTable[[#This Row],[BatchMeansHalfWidth]])</f>
        <v>4.040472533000234E-2</v>
      </c>
    </row>
    <row r="218" spans="1:21" x14ac:dyDescent="0.3">
      <c r="A218" t="s">
        <v>66</v>
      </c>
      <c r="B218" t="s">
        <v>68</v>
      </c>
      <c r="C218">
        <v>6</v>
      </c>
      <c r="D218" t="s">
        <v>108</v>
      </c>
      <c r="E218" t="s">
        <v>104</v>
      </c>
      <c r="F218" t="s">
        <v>103</v>
      </c>
      <c r="G218">
        <v>0.43455744255240097</v>
      </c>
      <c r="H218">
        <v>2E+20</v>
      </c>
      <c r="I218">
        <v>0</v>
      </c>
      <c r="J218">
        <v>1</v>
      </c>
      <c r="K218">
        <v>1</v>
      </c>
      <c r="L218">
        <v>0</v>
      </c>
      <c r="M218" s="5" t="str">
        <f>ContinuousStatsTable[[#This Row],[ProjectName]]&amp;ContinuousStatsTable[[#This Row],[Name]]&amp;ContinuousStatsTable[[#This Row],[Type]]&amp;ContinuousStatsTable[[#This Row],[Source]]</f>
        <v>Unnamed ProjectcajeraNumber BusyResource</v>
      </c>
      <c r="N218" s="5" cm="1">
        <f t="array" ref="N218">MAX(IF((ProjectInfoTable[ProjectName]=ContinuousStatsTable[[#This Row],[ProjectName]]),(ProjectInfoTable[ProjectName]=ContinuousStatsTable[[#This Row],[ProjectName]])*ProjectInfoTable[NumberOfReplications]))</f>
        <v>10</v>
      </c>
      <c r="O218" s="5" cm="1">
        <f t="array" ref="O218">IFERROR(AVERAGE(IF((ContinuousStatsTable[GroupByKey]=ContinuousStatsTable[[#This Row],[GroupByKey]]),(ContinuousStatsTable[GroupByKey]=ContinuousStatsTable[[#This Row],[GroupByKey]])*ContinuousStatsTable[Average])),0)</f>
        <v>0.38078385056341441</v>
      </c>
      <c r="P218" s="5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5.6481911326734656E-2</v>
      </c>
      <c r="Q218" s="5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4.040472533000234E-2</v>
      </c>
      <c r="S218" s="5" cm="1">
        <f t="array" ref="S218">MIN(IF((ContinuousStatsTable[GroupByKey]=ContinuousStatsTable[[#This Row],[GroupByKey]]),(ContinuousStatsTable[GroupByKey]=ContinuousStatsTable[[#This Row],[GroupByKey]])*ContinuousStatsTable[Average]))</f>
        <v>0.28913636698845602</v>
      </c>
      <c r="T218" s="5" cm="1">
        <f t="array" ref="T218">MAX(IF((ContinuousStatsTable[GroupByKey]=ContinuousStatsTable[[#This Row],[GroupByKey]]),(ContinuousStatsTable[GroupByKey]=ContinuousStatsTable[[#This Row],[GroupByKey]])*ContinuousStatsTable[Average]))</f>
        <v>0.46134650546047301</v>
      </c>
      <c r="U218" s="5">
        <f>IF((ContinuousStatsTable[[#This Row],[RepsRequested]]&gt;1),ContinuousStatsTable[[#This Row],[HalfWidth]],ContinuousStatsTable[[#This Row],[BatchMeansHalfWidth]])</f>
        <v>4.040472533000234E-2</v>
      </c>
    </row>
    <row r="219" spans="1:21" x14ac:dyDescent="0.3">
      <c r="A219" t="s">
        <v>66</v>
      </c>
      <c r="B219" t="s">
        <v>68</v>
      </c>
      <c r="C219">
        <v>6</v>
      </c>
      <c r="D219" t="s">
        <v>108</v>
      </c>
      <c r="E219" t="s">
        <v>105</v>
      </c>
      <c r="F219" t="s">
        <v>103</v>
      </c>
      <c r="G219">
        <v>1</v>
      </c>
      <c r="H219">
        <v>2E+20</v>
      </c>
      <c r="I219">
        <v>1</v>
      </c>
      <c r="J219">
        <v>1</v>
      </c>
      <c r="K219">
        <v>1</v>
      </c>
      <c r="L219">
        <v>0</v>
      </c>
      <c r="M219" s="5" t="str">
        <f>ContinuousStatsTable[[#This Row],[ProjectName]]&amp;ContinuousStatsTable[[#This Row],[Name]]&amp;ContinuousStatsTable[[#This Row],[Type]]&amp;ContinuousStatsTable[[#This Row],[Source]]</f>
        <v>Unnamed ProjectcajeraNumber ScheduledResource</v>
      </c>
      <c r="N219" s="5" cm="1">
        <f t="array" ref="N219">MAX(IF((ProjectInfoTable[ProjectName]=ContinuousStatsTable[[#This Row],[ProjectName]]),(ProjectInfoTable[ProjectName]=ContinuousStatsTable[[#This Row],[ProjectName]])*ProjectInfoTable[NumberOfReplications]))</f>
        <v>10</v>
      </c>
      <c r="O219" s="5" cm="1">
        <f t="array" ref="O219">IFERROR(AVERAGE(IF((ContinuousStatsTable[GroupByKey]=ContinuousStatsTable[[#This Row],[GroupByKey]]),(ContinuousStatsTable[GroupByKey]=ContinuousStatsTable[[#This Row],[GroupByKey]])*ContinuousStatsTable[Average])),0)</f>
        <v>1</v>
      </c>
      <c r="P219" s="5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0</v>
      </c>
      <c r="Q219" s="5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9" s="5" cm="1">
        <f t="array" ref="S219">MIN(IF((ContinuousStatsTable[GroupByKey]=ContinuousStatsTable[[#This Row],[GroupByKey]]),(ContinuousStatsTable[GroupByKey]=ContinuousStatsTable[[#This Row],[GroupByKey]])*ContinuousStatsTable[Average]))</f>
        <v>1</v>
      </c>
      <c r="T219" s="5" cm="1">
        <f t="array" ref="T219">MAX(IF((ContinuousStatsTable[GroupByKey]=ContinuousStatsTable[[#This Row],[GroupByKey]]),(ContinuousStatsTable[GroupByKey]=ContinuousStatsTable[[#This Row],[GroupByKey]])*ContinuousStatsTable[Average]))</f>
        <v>1</v>
      </c>
      <c r="U219" s="5">
        <f>IF((ContinuousStatsTable[[#This Row],[RepsRequested]]&gt;1),ContinuousStatsTable[[#This Row],[HalfWidth]],ContinuousStatsTable[[#This Row],[BatchMeansHalfWidth]])</f>
        <v>0</v>
      </c>
    </row>
    <row r="220" spans="1:21" x14ac:dyDescent="0.3">
      <c r="A220" t="s">
        <v>66</v>
      </c>
      <c r="B220" t="s">
        <v>68</v>
      </c>
      <c r="C220">
        <v>6</v>
      </c>
      <c r="D220" t="s">
        <v>109</v>
      </c>
      <c r="E220" t="s">
        <v>102</v>
      </c>
      <c r="F220" t="s">
        <v>103</v>
      </c>
      <c r="G220">
        <v>0.76508676837623901</v>
      </c>
      <c r="H220">
        <v>2E+20</v>
      </c>
      <c r="I220">
        <v>0</v>
      </c>
      <c r="J220">
        <v>1</v>
      </c>
      <c r="K220">
        <v>1</v>
      </c>
      <c r="L220">
        <v>0</v>
      </c>
      <c r="M220" s="5" t="str">
        <f>ContinuousStatsTable[[#This Row],[ProjectName]]&amp;ContinuousStatsTable[[#This Row],[Name]]&amp;ContinuousStatsTable[[#This Row],[Type]]&amp;ContinuousStatsTable[[#This Row],[Source]]</f>
        <v>Unnamed Projectcajera2Instantaneous UtilizationResource</v>
      </c>
      <c r="N220" s="5" cm="1">
        <f t="array" ref="N220">MAX(IF((ProjectInfoTable[ProjectName]=ContinuousStatsTable[[#This Row],[ProjectName]]),(ProjectInfoTable[ProjectName]=ContinuousStatsTable[[#This Row],[ProjectName]])*ProjectInfoTable[NumberOfReplications]))</f>
        <v>10</v>
      </c>
      <c r="O220" s="5" cm="1">
        <f t="array" ref="O220">IFERROR(AVERAGE(IF((ContinuousStatsTable[GroupByKey]=ContinuousStatsTable[[#This Row],[GroupByKey]]),(ContinuousStatsTable[GroupByKey]=ContinuousStatsTable[[#This Row],[GroupByKey]])*ContinuousStatsTable[Average])),0)</f>
        <v>0.73571117943508912</v>
      </c>
      <c r="P220" s="5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2.3945213257811505E-2</v>
      </c>
      <c r="Q220" s="5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1.7129373668915777E-2</v>
      </c>
      <c r="S220" s="5" cm="1">
        <f t="array" ref="S220">MIN(IF((ContinuousStatsTable[GroupByKey]=ContinuousStatsTable[[#This Row],[GroupByKey]]),(ContinuousStatsTable[GroupByKey]=ContinuousStatsTable[[#This Row],[GroupByKey]])*ContinuousStatsTable[Average]))</f>
        <v>0.69752119636771104</v>
      </c>
      <c r="T220" s="5" cm="1">
        <f t="array" ref="T220">MAX(IF((ContinuousStatsTable[GroupByKey]=ContinuousStatsTable[[#This Row],[GroupByKey]]),(ContinuousStatsTable[GroupByKey]=ContinuousStatsTable[[#This Row],[GroupByKey]])*ContinuousStatsTable[Average]))</f>
        <v>0.77845968782647601</v>
      </c>
      <c r="U220" s="5">
        <f>IF((ContinuousStatsTable[[#This Row],[RepsRequested]]&gt;1),ContinuousStatsTable[[#This Row],[HalfWidth]],ContinuousStatsTable[[#This Row],[BatchMeansHalfWidth]])</f>
        <v>1.7129373668915777E-2</v>
      </c>
    </row>
    <row r="221" spans="1:21" x14ac:dyDescent="0.3">
      <c r="A221" t="s">
        <v>66</v>
      </c>
      <c r="B221" t="s">
        <v>68</v>
      </c>
      <c r="C221">
        <v>6</v>
      </c>
      <c r="D221" t="s">
        <v>109</v>
      </c>
      <c r="E221" t="s">
        <v>104</v>
      </c>
      <c r="F221" t="s">
        <v>103</v>
      </c>
      <c r="G221">
        <v>0.76508676837623901</v>
      </c>
      <c r="H221">
        <v>2E+20</v>
      </c>
      <c r="I221">
        <v>0</v>
      </c>
      <c r="J221">
        <v>1</v>
      </c>
      <c r="K221">
        <v>1</v>
      </c>
      <c r="L221">
        <v>0</v>
      </c>
      <c r="M221" s="5" t="str">
        <f>ContinuousStatsTable[[#This Row],[ProjectName]]&amp;ContinuousStatsTable[[#This Row],[Name]]&amp;ContinuousStatsTable[[#This Row],[Type]]&amp;ContinuousStatsTable[[#This Row],[Source]]</f>
        <v>Unnamed Projectcajera2Number BusyResource</v>
      </c>
      <c r="N221" s="5" cm="1">
        <f t="array" ref="N221">MAX(IF((ProjectInfoTable[ProjectName]=ContinuousStatsTable[[#This Row],[ProjectName]]),(ProjectInfoTable[ProjectName]=ContinuousStatsTable[[#This Row],[ProjectName]])*ProjectInfoTable[NumberOfReplications]))</f>
        <v>10</v>
      </c>
      <c r="O221" s="5" cm="1">
        <f t="array" ref="O221">IFERROR(AVERAGE(IF((ContinuousStatsTable[GroupByKey]=ContinuousStatsTable[[#This Row],[GroupByKey]]),(ContinuousStatsTable[GroupByKey]=ContinuousStatsTable[[#This Row],[GroupByKey]])*ContinuousStatsTable[Average])),0)</f>
        <v>0.73571117943508912</v>
      </c>
      <c r="P221" s="5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2.3945213257811505E-2</v>
      </c>
      <c r="Q221" s="5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1.7129373668915777E-2</v>
      </c>
      <c r="S221" s="5" cm="1">
        <f t="array" ref="S221">MIN(IF((ContinuousStatsTable[GroupByKey]=ContinuousStatsTable[[#This Row],[GroupByKey]]),(ContinuousStatsTable[GroupByKey]=ContinuousStatsTable[[#This Row],[GroupByKey]])*ContinuousStatsTable[Average]))</f>
        <v>0.69752119636771104</v>
      </c>
      <c r="T221" s="5" cm="1">
        <f t="array" ref="T221">MAX(IF((ContinuousStatsTable[GroupByKey]=ContinuousStatsTable[[#This Row],[GroupByKey]]),(ContinuousStatsTable[GroupByKey]=ContinuousStatsTable[[#This Row],[GroupByKey]])*ContinuousStatsTable[Average]))</f>
        <v>0.77845968782647601</v>
      </c>
      <c r="U221" s="5">
        <f>IF((ContinuousStatsTable[[#This Row],[RepsRequested]]&gt;1),ContinuousStatsTable[[#This Row],[HalfWidth]],ContinuousStatsTable[[#This Row],[BatchMeansHalfWidth]])</f>
        <v>1.7129373668915777E-2</v>
      </c>
    </row>
    <row r="222" spans="1:21" x14ac:dyDescent="0.3">
      <c r="A222" t="s">
        <v>66</v>
      </c>
      <c r="B222" t="s">
        <v>68</v>
      </c>
      <c r="C222">
        <v>6</v>
      </c>
      <c r="D222" t="s">
        <v>109</v>
      </c>
      <c r="E222" t="s">
        <v>105</v>
      </c>
      <c r="F222" t="s">
        <v>103</v>
      </c>
      <c r="G222">
        <v>1</v>
      </c>
      <c r="H222">
        <v>2E+20</v>
      </c>
      <c r="I222">
        <v>1</v>
      </c>
      <c r="J222">
        <v>1</v>
      </c>
      <c r="K222">
        <v>1</v>
      </c>
      <c r="L222">
        <v>0</v>
      </c>
      <c r="M222" s="5" t="str">
        <f>ContinuousStatsTable[[#This Row],[ProjectName]]&amp;ContinuousStatsTable[[#This Row],[Name]]&amp;ContinuousStatsTable[[#This Row],[Type]]&amp;ContinuousStatsTable[[#This Row],[Source]]</f>
        <v>Unnamed Projectcajera2Number ScheduledResource</v>
      </c>
      <c r="N222" s="5" cm="1">
        <f t="array" ref="N222">MAX(IF((ProjectInfoTable[ProjectName]=ContinuousStatsTable[[#This Row],[ProjectName]]),(ProjectInfoTable[ProjectName]=ContinuousStatsTable[[#This Row],[ProjectName]])*ProjectInfoTable[NumberOfReplications]))</f>
        <v>10</v>
      </c>
      <c r="O222" s="5" cm="1">
        <f t="array" ref="O222">IFERROR(AVERAGE(IF((ContinuousStatsTable[GroupByKey]=ContinuousStatsTable[[#This Row],[GroupByKey]]),(ContinuousStatsTable[GroupByKey]=ContinuousStatsTable[[#This Row],[GroupByKey]])*ContinuousStatsTable[Average])),0)</f>
        <v>1</v>
      </c>
      <c r="P222" s="5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0</v>
      </c>
      <c r="Q222" s="5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2" s="5" cm="1">
        <f t="array" ref="S222">MIN(IF((ContinuousStatsTable[GroupByKey]=ContinuousStatsTable[[#This Row],[GroupByKey]]),(ContinuousStatsTable[GroupByKey]=ContinuousStatsTable[[#This Row],[GroupByKey]])*ContinuousStatsTable[Average]))</f>
        <v>1</v>
      </c>
      <c r="T222" s="5" cm="1">
        <f t="array" ref="T222">MAX(IF((ContinuousStatsTable[GroupByKey]=ContinuousStatsTable[[#This Row],[GroupByKey]]),(ContinuousStatsTable[GroupByKey]=ContinuousStatsTable[[#This Row],[GroupByKey]])*ContinuousStatsTable[Average]))</f>
        <v>1</v>
      </c>
      <c r="U222" s="5">
        <f>IF((ContinuousStatsTable[[#This Row],[RepsRequested]]&gt;1),ContinuousStatsTable[[#This Row],[HalfWidth]],ContinuousStatsTable[[#This Row],[BatchMeansHalfWidth]])</f>
        <v>0</v>
      </c>
    </row>
    <row r="223" spans="1:21" x14ac:dyDescent="0.3">
      <c r="A223" t="s">
        <v>66</v>
      </c>
      <c r="B223" t="s">
        <v>68</v>
      </c>
      <c r="C223">
        <v>6</v>
      </c>
      <c r="D223" t="s">
        <v>93</v>
      </c>
      <c r="E223" t="s">
        <v>99</v>
      </c>
      <c r="F223" t="s">
        <v>71</v>
      </c>
      <c r="G223">
        <v>4.88437833500961E-2</v>
      </c>
      <c r="H223">
        <v>2E+20</v>
      </c>
      <c r="I223">
        <v>0</v>
      </c>
      <c r="J223">
        <v>1</v>
      </c>
      <c r="K223">
        <v>0</v>
      </c>
      <c r="L223">
        <v>0</v>
      </c>
      <c r="M223" s="5" t="str">
        <f>ContinuousStatsTable[[#This Row],[ProjectName]]&amp;ContinuousStatsTable[[#This Row],[Name]]&amp;ContinuousStatsTable[[#This Row],[Type]]&amp;ContinuousStatsTable[[#This Row],[Source]]</f>
        <v>Unnamed Projectmanualinter.QueueNumber WaitingQueue</v>
      </c>
      <c r="N223" s="5" cm="1">
        <f t="array" ref="N223">MAX(IF((ProjectInfoTable[ProjectName]=ContinuousStatsTable[[#This Row],[ProjectName]]),(ProjectInfoTable[ProjectName]=ContinuousStatsTable[[#This Row],[ProjectName]])*ProjectInfoTable[NumberOfReplications]))</f>
        <v>10</v>
      </c>
      <c r="O223" s="5" cm="1">
        <f t="array" ref="O223">IFERROR(AVERAGE(IF((ContinuousStatsTable[GroupByKey]=ContinuousStatsTable[[#This Row],[GroupByKey]]),(ContinuousStatsTable[GroupByKey]=ContinuousStatsTable[[#This Row],[GroupByKey]])*ContinuousStatsTable[Average])),0)</f>
        <v>0.33257710094571935</v>
      </c>
      <c r="P223" s="5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0.27159595138606457</v>
      </c>
      <c r="Q223" s="5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0.19428803945769421</v>
      </c>
      <c r="S223" s="5" cm="1">
        <f t="array" ref="S223">MIN(IF((ContinuousStatsTable[GroupByKey]=ContinuousStatsTable[[#This Row],[GroupByKey]]),(ContinuousStatsTable[GroupByKey]=ContinuousStatsTable[[#This Row],[GroupByKey]])*ContinuousStatsTable[Average]))</f>
        <v>4.88437833500961E-2</v>
      </c>
      <c r="T223" s="5" cm="1">
        <f t="array" ref="T223">MAX(IF((ContinuousStatsTable[GroupByKey]=ContinuousStatsTable[[#This Row],[GroupByKey]]),(ContinuousStatsTable[GroupByKey]=ContinuousStatsTable[[#This Row],[GroupByKey]])*ContinuousStatsTable[Average]))</f>
        <v>0.95917715937716497</v>
      </c>
      <c r="U223" s="5">
        <f>IF((ContinuousStatsTable[[#This Row],[RepsRequested]]&gt;1),ContinuousStatsTable[[#This Row],[HalfWidth]],ContinuousStatsTable[[#This Row],[BatchMeansHalfWidth]])</f>
        <v>0.19428803945769421</v>
      </c>
    </row>
    <row r="224" spans="1:21" x14ac:dyDescent="0.3">
      <c r="A224" t="s">
        <v>66</v>
      </c>
      <c r="B224" t="s">
        <v>68</v>
      </c>
      <c r="C224">
        <v>6</v>
      </c>
      <c r="D224" t="s">
        <v>94</v>
      </c>
      <c r="E224" t="s">
        <v>99</v>
      </c>
      <c r="F224" t="s">
        <v>71</v>
      </c>
      <c r="G224">
        <v>0</v>
      </c>
      <c r="H224">
        <v>2E+20</v>
      </c>
      <c r="I224">
        <v>0</v>
      </c>
      <c r="J224">
        <v>0</v>
      </c>
      <c r="K224">
        <v>0</v>
      </c>
      <c r="L224">
        <v>0</v>
      </c>
      <c r="M224" s="5" t="str">
        <f>ContinuousStatsTable[[#This Row],[ProjectName]]&amp;ContinuousStatsTable[[#This Row],[Name]]&amp;ContinuousStatsTable[[#This Row],[Type]]&amp;ContinuousStatsTable[[#This Row],[Source]]</f>
        <v>Unnamed Projectmanualnaciona.QueueNumber WaitingQueue</v>
      </c>
      <c r="N224" s="5" cm="1">
        <f t="array" ref="N224">MAX(IF((ProjectInfoTable[ProjectName]=ContinuousStatsTable[[#This Row],[ProjectName]]),(ProjectInfoTable[ProjectName]=ContinuousStatsTable[[#This Row],[ProjectName]])*ProjectInfoTable[NumberOfReplications]))</f>
        <v>10</v>
      </c>
      <c r="O224" s="5" cm="1">
        <f t="array" ref="O224">IFERROR(AVERAGE(IF((ContinuousStatsTable[GroupByKey]=ContinuousStatsTable[[#This Row],[GroupByKey]]),(ContinuousStatsTable[GroupByKey]=ContinuousStatsTable[[#This Row],[GroupByKey]])*ContinuousStatsTable[Average])),0)</f>
        <v>2.2437109622866062E-3</v>
      </c>
      <c r="P224" s="5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6.4095428429067599E-3</v>
      </c>
      <c r="Q224" s="5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4.5851107367881972E-3</v>
      </c>
      <c r="S224" s="5" cm="1">
        <f t="array" ref="S224">MIN(IF((ContinuousStatsTable[GroupByKey]=ContinuousStatsTable[[#This Row],[GroupByKey]]),(ContinuousStatsTable[GroupByKey]=ContinuousStatsTable[[#This Row],[GroupByKey]])*ContinuousStatsTable[Average]))</f>
        <v>0</v>
      </c>
      <c r="T224" s="5" cm="1">
        <f t="array" ref="T224">MAX(IF((ContinuousStatsTable[GroupByKey]=ContinuousStatsTable[[#This Row],[GroupByKey]]),(ContinuousStatsTable[GroupByKey]=ContinuousStatsTable[[#This Row],[GroupByKey]])*ContinuousStatsTable[Average]))</f>
        <v>2.0447096127880302E-2</v>
      </c>
      <c r="U224" s="5">
        <f>IF((ContinuousStatsTable[[#This Row],[RepsRequested]]&gt;1),ContinuousStatsTable[[#This Row],[HalfWidth]],ContinuousStatsTable[[#This Row],[BatchMeansHalfWidth]])</f>
        <v>4.5851107367881972E-3</v>
      </c>
    </row>
    <row r="225" spans="1:21" x14ac:dyDescent="0.3">
      <c r="A225" t="s">
        <v>66</v>
      </c>
      <c r="B225" t="s">
        <v>68</v>
      </c>
      <c r="C225">
        <v>6</v>
      </c>
      <c r="D225" t="s">
        <v>95</v>
      </c>
      <c r="E225" t="s">
        <v>99</v>
      </c>
      <c r="F225" t="s">
        <v>71</v>
      </c>
      <c r="G225">
        <v>5.2621649076821404</v>
      </c>
      <c r="H225">
        <v>3E+20</v>
      </c>
      <c r="I225">
        <v>0</v>
      </c>
      <c r="J225">
        <v>22</v>
      </c>
      <c r="K225">
        <v>2</v>
      </c>
      <c r="L225">
        <v>0</v>
      </c>
      <c r="M225" s="5" t="str">
        <f>ContinuousStatsTable[[#This Row],[ProjectName]]&amp;ContinuousStatsTable[[#This Row],[Name]]&amp;ContinuousStatsTable[[#This Row],[Type]]&amp;ContinuousStatsTable[[#This Row],[Source]]</f>
        <v>Unnamed Projectmaquinainter.QueueNumber WaitingQueue</v>
      </c>
      <c r="N225" s="5" cm="1">
        <f t="array" ref="N225">MAX(IF((ProjectInfoTable[ProjectName]=ContinuousStatsTable[[#This Row],[ProjectName]]),(ProjectInfoTable[ProjectName]=ContinuousStatsTable[[#This Row],[ProjectName]])*ProjectInfoTable[NumberOfReplications]))</f>
        <v>10</v>
      </c>
      <c r="O225" s="5" cm="1">
        <f t="array" ref="O225">IFERROR(AVERAGE(IF((ContinuousStatsTable[GroupByKey]=ContinuousStatsTable[[#This Row],[GroupByKey]]),(ContinuousStatsTable[GroupByKey]=ContinuousStatsTable[[#This Row],[GroupByKey]])*ContinuousStatsTable[Average])),0)</f>
        <v>2.7250893633296323</v>
      </c>
      <c r="P225" s="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1.2704307292922721</v>
      </c>
      <c r="Q225" s="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0.90881139575657477</v>
      </c>
      <c r="S225" s="5" cm="1">
        <f t="array" ref="S225">MIN(IF((ContinuousStatsTable[GroupByKey]=ContinuousStatsTable[[#This Row],[GroupByKey]]),(ContinuousStatsTable[GroupByKey]=ContinuousStatsTable[[#This Row],[GroupByKey]])*ContinuousStatsTable[Average]))</f>
        <v>1.35760259855807</v>
      </c>
      <c r="T225" s="5" cm="1">
        <f t="array" ref="T225">MAX(IF((ContinuousStatsTable[GroupByKey]=ContinuousStatsTable[[#This Row],[GroupByKey]]),(ContinuousStatsTable[GroupByKey]=ContinuousStatsTable[[#This Row],[GroupByKey]])*ContinuousStatsTable[Average]))</f>
        <v>5.2621649076821404</v>
      </c>
      <c r="U225" s="5">
        <f>IF((ContinuousStatsTable[[#This Row],[RepsRequested]]&gt;1),ContinuousStatsTable[[#This Row],[HalfWidth]],ContinuousStatsTable[[#This Row],[BatchMeansHalfWidth]])</f>
        <v>0.90881139575657477</v>
      </c>
    </row>
    <row r="226" spans="1:21" x14ac:dyDescent="0.3">
      <c r="A226" t="s">
        <v>66</v>
      </c>
      <c r="B226" t="s">
        <v>68</v>
      </c>
      <c r="C226">
        <v>6</v>
      </c>
      <c r="D226" t="s">
        <v>96</v>
      </c>
      <c r="E226" t="s">
        <v>99</v>
      </c>
      <c r="F226" t="s">
        <v>71</v>
      </c>
      <c r="G226">
        <v>9.7152989948067606E-2</v>
      </c>
      <c r="H226">
        <v>2E+20</v>
      </c>
      <c r="I226">
        <v>0</v>
      </c>
      <c r="J226">
        <v>3</v>
      </c>
      <c r="K226">
        <v>0</v>
      </c>
      <c r="L226">
        <v>0</v>
      </c>
      <c r="M226" s="5" t="str">
        <f>ContinuousStatsTable[[#This Row],[ProjectName]]&amp;ContinuousStatsTable[[#This Row],[Name]]&amp;ContinuousStatsTable[[#This Row],[Type]]&amp;ContinuousStatsTable[[#This Row],[Source]]</f>
        <v>Unnamed Projectmaquinanacional.QueueNumber WaitingQueue</v>
      </c>
      <c r="N226" s="5" cm="1">
        <f t="array" ref="N226">MAX(IF((ProjectInfoTable[ProjectName]=ContinuousStatsTable[[#This Row],[ProjectName]]),(ProjectInfoTable[ProjectName]=ContinuousStatsTable[[#This Row],[ProjectName]])*ProjectInfoTable[NumberOfReplications]))</f>
        <v>10</v>
      </c>
      <c r="O226" s="5" cm="1">
        <f t="array" ref="O226">IFERROR(AVERAGE(IF((ContinuousStatsTable[GroupByKey]=ContinuousStatsTable[[#This Row],[GroupByKey]]),(ContinuousStatsTable[GroupByKey]=ContinuousStatsTable[[#This Row],[GroupByKey]])*ContinuousStatsTable[Average])),0)</f>
        <v>0.20327393268399513</v>
      </c>
      <c r="P226" s="5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5.4678802003311266E-2</v>
      </c>
      <c r="Q226" s="5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3.9114858623271326E-2</v>
      </c>
      <c r="S226" s="5" cm="1">
        <f t="array" ref="S226">MIN(IF((ContinuousStatsTable[GroupByKey]=ContinuousStatsTable[[#This Row],[GroupByKey]]),(ContinuousStatsTable[GroupByKey]=ContinuousStatsTable[[#This Row],[GroupByKey]])*ContinuousStatsTable[Average]))</f>
        <v>9.7152989948067606E-2</v>
      </c>
      <c r="T226" s="5" cm="1">
        <f t="array" ref="T226">MAX(IF((ContinuousStatsTable[GroupByKey]=ContinuousStatsTable[[#This Row],[GroupByKey]]),(ContinuousStatsTable[GroupByKey]=ContinuousStatsTable[[#This Row],[GroupByKey]])*ContinuousStatsTable[Average]))</f>
        <v>0.28694483715654301</v>
      </c>
      <c r="U226" s="5">
        <f>IF((ContinuousStatsTable[[#This Row],[RepsRequested]]&gt;1),ContinuousStatsTable[[#This Row],[HalfWidth]],ContinuousStatsTable[[#This Row],[BatchMeansHalfWidth]])</f>
        <v>3.9114858623271326E-2</v>
      </c>
    </row>
    <row r="227" spans="1:21" x14ac:dyDescent="0.3">
      <c r="A227" t="s">
        <v>66</v>
      </c>
      <c r="B227" t="s">
        <v>68</v>
      </c>
      <c r="C227">
        <v>6</v>
      </c>
      <c r="D227" t="s">
        <v>97</v>
      </c>
      <c r="E227" t="s">
        <v>99</v>
      </c>
      <c r="F227" t="s">
        <v>71</v>
      </c>
      <c r="G227">
        <v>0.329753951662144</v>
      </c>
      <c r="H227">
        <v>2E+20</v>
      </c>
      <c r="I227">
        <v>0</v>
      </c>
      <c r="J227">
        <v>2</v>
      </c>
      <c r="K227">
        <v>1</v>
      </c>
      <c r="L227">
        <v>0</v>
      </c>
      <c r="M227" s="5" t="str">
        <f>ContinuousStatsTable[[#This Row],[ProjectName]]&amp;ContinuousStatsTable[[#This Row],[Name]]&amp;ContinuousStatsTable[[#This Row],[Type]]&amp;ContinuousStatsTable[[#This Row],[Source]]</f>
        <v>Unnamed Projectmostrador1.QueueNumber WaitingQueue</v>
      </c>
      <c r="N227" s="5" cm="1">
        <f t="array" ref="N227">MAX(IF((ProjectInfoTable[ProjectName]=ContinuousStatsTable[[#This Row],[ProjectName]]),(ProjectInfoTable[ProjectName]=ContinuousStatsTable[[#This Row],[ProjectName]])*ProjectInfoTable[NumberOfReplications]))</f>
        <v>10</v>
      </c>
      <c r="O227" s="5" cm="1">
        <f t="array" ref="O227">IFERROR(AVERAGE(IF((ContinuousStatsTable[GroupByKey]=ContinuousStatsTable[[#This Row],[GroupByKey]]),(ContinuousStatsTable[GroupByKey]=ContinuousStatsTable[[#This Row],[GroupByKey]])*ContinuousStatsTable[Average])),0)</f>
        <v>0.25365601436241814</v>
      </c>
      <c r="P227" s="5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9.7306237195948719E-2</v>
      </c>
      <c r="Q227" s="5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6.9608688772141478E-2</v>
      </c>
      <c r="S227" s="5" cm="1">
        <f t="array" ref="S227">MIN(IF((ContinuousStatsTable[GroupByKey]=ContinuousStatsTable[[#This Row],[GroupByKey]]),(ContinuousStatsTable[GroupByKey]=ContinuousStatsTable[[#This Row],[GroupByKey]])*ContinuousStatsTable[Average]))</f>
        <v>0.124078487063659</v>
      </c>
      <c r="T227" s="5" cm="1">
        <f t="array" ref="T227">MAX(IF((ContinuousStatsTable[GroupByKey]=ContinuousStatsTable[[#This Row],[GroupByKey]]),(ContinuousStatsTable[GroupByKey]=ContinuousStatsTable[[#This Row],[GroupByKey]])*ContinuousStatsTable[Average]))</f>
        <v>0.381680898629085</v>
      </c>
      <c r="U227" s="5">
        <f>IF((ContinuousStatsTable[[#This Row],[RepsRequested]]&gt;1),ContinuousStatsTable[[#This Row],[HalfWidth]],ContinuousStatsTable[[#This Row],[BatchMeansHalfWidth]])</f>
        <v>6.9608688772141478E-2</v>
      </c>
    </row>
    <row r="228" spans="1:21" x14ac:dyDescent="0.3">
      <c r="A228" t="s">
        <v>66</v>
      </c>
      <c r="B228" t="s">
        <v>68</v>
      </c>
      <c r="C228">
        <v>6</v>
      </c>
      <c r="D228" t="s">
        <v>98</v>
      </c>
      <c r="E228" t="s">
        <v>99</v>
      </c>
      <c r="F228" t="s">
        <v>71</v>
      </c>
      <c r="G228">
        <v>0.58934886575231504</v>
      </c>
      <c r="H228">
        <v>2E+20</v>
      </c>
      <c r="I228">
        <v>0</v>
      </c>
      <c r="J228">
        <v>3</v>
      </c>
      <c r="K228">
        <v>2</v>
      </c>
      <c r="L228">
        <v>0</v>
      </c>
      <c r="M228" s="5" t="str">
        <f>ContinuousStatsTable[[#This Row],[ProjectName]]&amp;ContinuousStatsTable[[#This Row],[Name]]&amp;ContinuousStatsTable[[#This Row],[Type]]&amp;ContinuousStatsTable[[#This Row],[Source]]</f>
        <v>Unnamed Projectmostrador2.QueueNumber WaitingQueue</v>
      </c>
      <c r="N228" s="5" cm="1">
        <f t="array" ref="N228">MAX(IF((ProjectInfoTable[ProjectName]=ContinuousStatsTable[[#This Row],[ProjectName]]),(ProjectInfoTable[ProjectName]=ContinuousStatsTable[[#This Row],[ProjectName]])*ProjectInfoTable[NumberOfReplications]))</f>
        <v>10</v>
      </c>
      <c r="O228" s="5" cm="1">
        <f t="array" ref="O228">IFERROR(AVERAGE(IF((ContinuousStatsTable[GroupByKey]=ContinuousStatsTable[[#This Row],[GroupByKey]]),(ContinuousStatsTable[GroupByKey]=ContinuousStatsTable[[#This Row],[GroupByKey]])*ContinuousStatsTable[Average])),0)</f>
        <v>0.56854078919795403</v>
      </c>
      <c r="P228" s="5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9.5876381195630939E-2</v>
      </c>
      <c r="Q228" s="5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6.8585831407770567E-2</v>
      </c>
      <c r="S228" s="5" cm="1">
        <f t="array" ref="S228">MIN(IF((ContinuousStatsTable[GroupByKey]=ContinuousStatsTable[[#This Row],[GroupByKey]]),(ContinuousStatsTable[GroupByKey]=ContinuousStatsTable[[#This Row],[GroupByKey]])*ContinuousStatsTable[Average]))</f>
        <v>0.461258283509344</v>
      </c>
      <c r="T228" s="5" cm="1">
        <f t="array" ref="T228">MAX(IF((ContinuousStatsTable[GroupByKey]=ContinuousStatsTable[[#This Row],[GroupByKey]]),(ContinuousStatsTable[GroupByKey]=ContinuousStatsTable[[#This Row],[GroupByKey]])*ContinuousStatsTable[Average]))</f>
        <v>0.74281217456090598</v>
      </c>
      <c r="U228" s="5">
        <f>IF((ContinuousStatsTable[[#This Row],[RepsRequested]]&gt;1),ContinuousStatsTable[[#This Row],[HalfWidth]],ContinuousStatsTable[[#This Row],[BatchMeansHalfWidth]])</f>
        <v>6.8585831407770567E-2</v>
      </c>
    </row>
    <row r="229" spans="1:21" x14ac:dyDescent="0.3">
      <c r="A229" t="s">
        <v>66</v>
      </c>
      <c r="B229" t="s">
        <v>68</v>
      </c>
      <c r="C229">
        <v>6</v>
      </c>
      <c r="D229" t="s">
        <v>110</v>
      </c>
      <c r="E229" t="s">
        <v>100</v>
      </c>
      <c r="F229" t="s">
        <v>74</v>
      </c>
      <c r="G229">
        <v>0</v>
      </c>
      <c r="H229">
        <v>2E+20</v>
      </c>
      <c r="I229">
        <v>0</v>
      </c>
      <c r="J229">
        <v>0</v>
      </c>
      <c r="K229">
        <v>0</v>
      </c>
      <c r="L229">
        <v>0</v>
      </c>
      <c r="M229" s="5" t="str">
        <f>ContinuousStatsTable[[#This Row],[ProjectName]]&amp;ContinuousStatsTable[[#This Row],[Name]]&amp;ContinuousStatsTable[[#This Row],[Type]]&amp;ContinuousStatsTable[[#This Row],[Source]]</f>
        <v>Unnamed ProjectpersonaWIPEntity</v>
      </c>
      <c r="N229" s="5" cm="1">
        <f t="array" ref="N229">MAX(IF((ProjectInfoTable[ProjectName]=ContinuousStatsTable[[#This Row],[ProjectName]]),(ProjectInfoTable[ProjectName]=ContinuousStatsTable[[#This Row],[ProjectName]])*ProjectInfoTable[NumberOfReplications]))</f>
        <v>10</v>
      </c>
      <c r="O229" s="5" cm="1">
        <f t="array" ref="O229">IFERROR(AVERAGE(IF((ContinuousStatsTable[GroupByKey]=ContinuousStatsTable[[#This Row],[GroupByKey]]),(ContinuousStatsTable[GroupByKey]=ContinuousStatsTable[[#This Row],[GroupByKey]])*ContinuousStatsTable[Average])),0)</f>
        <v>0</v>
      </c>
      <c r="P229" s="5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0</v>
      </c>
      <c r="Q229" s="5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9" s="5" cm="1">
        <f t="array" ref="S229">MIN(IF((ContinuousStatsTable[GroupByKey]=ContinuousStatsTable[[#This Row],[GroupByKey]]),(ContinuousStatsTable[GroupByKey]=ContinuousStatsTable[[#This Row],[GroupByKey]])*ContinuousStatsTable[Average]))</f>
        <v>0</v>
      </c>
      <c r="T229" s="5" cm="1">
        <f t="array" ref="T229">MAX(IF((ContinuousStatsTable[GroupByKey]=ContinuousStatsTable[[#This Row],[GroupByKey]]),(ContinuousStatsTable[GroupByKey]=ContinuousStatsTable[[#This Row],[GroupByKey]])*ContinuousStatsTable[Average]))</f>
        <v>0</v>
      </c>
      <c r="U229" s="5">
        <f>IF((ContinuousStatsTable[[#This Row],[RepsRequested]]&gt;1),ContinuousStatsTable[[#This Row],[HalfWidth]],ContinuousStatsTable[[#This Row],[BatchMeansHalfWidth]])</f>
        <v>0</v>
      </c>
    </row>
    <row r="230" spans="1:21" x14ac:dyDescent="0.3">
      <c r="A230" t="s">
        <v>66</v>
      </c>
      <c r="B230" t="s">
        <v>68</v>
      </c>
      <c r="C230">
        <v>6</v>
      </c>
      <c r="D230" t="s">
        <v>111</v>
      </c>
      <c r="E230" t="s">
        <v>102</v>
      </c>
      <c r="F230" t="s">
        <v>103</v>
      </c>
      <c r="G230">
        <v>3.5816500454340899E-2</v>
      </c>
      <c r="H230">
        <v>2E+20</v>
      </c>
      <c r="I230">
        <v>0</v>
      </c>
      <c r="J230">
        <v>1</v>
      </c>
      <c r="K230">
        <v>0</v>
      </c>
      <c r="L230">
        <v>0</v>
      </c>
      <c r="M230" s="5" t="str">
        <f>ContinuousStatsTable[[#This Row],[ProjectName]]&amp;ContinuousStatsTable[[#This Row],[Name]]&amp;ContinuousStatsTable[[#This Row],[Type]]&amp;ContinuousStatsTable[[#This Row],[Source]]</f>
        <v>Unnamed Projectregistro1Instantaneous UtilizationResource</v>
      </c>
      <c r="N230" s="5" cm="1">
        <f t="array" ref="N230">MAX(IF((ProjectInfoTable[ProjectName]=ContinuousStatsTable[[#This Row],[ProjectName]]),(ProjectInfoTable[ProjectName]=ContinuousStatsTable[[#This Row],[ProjectName]])*ProjectInfoTable[NumberOfReplications]))</f>
        <v>10</v>
      </c>
      <c r="O230" s="5" cm="1">
        <f t="array" ref="O230">IFERROR(AVERAGE(IF((ContinuousStatsTable[GroupByKey]=ContinuousStatsTable[[#This Row],[GroupByKey]]),(ContinuousStatsTable[GroupByKey]=ContinuousStatsTable[[#This Row],[GroupByKey]])*ContinuousStatsTable[Average])),0)</f>
        <v>5.6433247648491516E-2</v>
      </c>
      <c r="P230" s="5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2.4456082934732001E-2</v>
      </c>
      <c r="Q230" s="5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1.7494827820351853E-2</v>
      </c>
      <c r="S230" s="5" cm="1">
        <f t="array" ref="S230">MIN(IF((ContinuousStatsTable[GroupByKey]=ContinuousStatsTable[[#This Row],[GroupByKey]]),(ContinuousStatsTable[GroupByKey]=ContinuousStatsTable[[#This Row],[GroupByKey]])*ContinuousStatsTable[Average]))</f>
        <v>2.1279401430778E-2</v>
      </c>
      <c r="T230" s="5" cm="1">
        <f t="array" ref="T230">MAX(IF((ContinuousStatsTable[GroupByKey]=ContinuousStatsTable[[#This Row],[GroupByKey]]),(ContinuousStatsTable[GroupByKey]=ContinuousStatsTable[[#This Row],[GroupByKey]])*ContinuousStatsTable[Average]))</f>
        <v>8.8472374570180701E-2</v>
      </c>
      <c r="U230" s="5">
        <f>IF((ContinuousStatsTable[[#This Row],[RepsRequested]]&gt;1),ContinuousStatsTable[[#This Row],[HalfWidth]],ContinuousStatsTable[[#This Row],[BatchMeansHalfWidth]])</f>
        <v>1.7494827820351853E-2</v>
      </c>
    </row>
    <row r="231" spans="1:21" x14ac:dyDescent="0.3">
      <c r="A231" t="s">
        <v>66</v>
      </c>
      <c r="B231" t="s">
        <v>68</v>
      </c>
      <c r="C231">
        <v>6</v>
      </c>
      <c r="D231" t="s">
        <v>111</v>
      </c>
      <c r="E231" t="s">
        <v>104</v>
      </c>
      <c r="F231" t="s">
        <v>103</v>
      </c>
      <c r="G231">
        <v>3.5816500454340899E-2</v>
      </c>
      <c r="H231">
        <v>2E+20</v>
      </c>
      <c r="I231">
        <v>0</v>
      </c>
      <c r="J231">
        <v>1</v>
      </c>
      <c r="K231">
        <v>0</v>
      </c>
      <c r="L231">
        <v>0</v>
      </c>
      <c r="M231" s="5" t="str">
        <f>ContinuousStatsTable[[#This Row],[ProjectName]]&amp;ContinuousStatsTable[[#This Row],[Name]]&amp;ContinuousStatsTable[[#This Row],[Type]]&amp;ContinuousStatsTable[[#This Row],[Source]]</f>
        <v>Unnamed Projectregistro1Number BusyResource</v>
      </c>
      <c r="N231" s="5" cm="1">
        <f t="array" ref="N231">MAX(IF((ProjectInfoTable[ProjectName]=ContinuousStatsTable[[#This Row],[ProjectName]]),(ProjectInfoTable[ProjectName]=ContinuousStatsTable[[#This Row],[ProjectName]])*ProjectInfoTable[NumberOfReplications]))</f>
        <v>10</v>
      </c>
      <c r="O231" s="5" cm="1">
        <f t="array" ref="O231">IFERROR(AVERAGE(IF((ContinuousStatsTable[GroupByKey]=ContinuousStatsTable[[#This Row],[GroupByKey]]),(ContinuousStatsTable[GroupByKey]=ContinuousStatsTable[[#This Row],[GroupByKey]])*ContinuousStatsTable[Average])),0)</f>
        <v>5.6433247648491516E-2</v>
      </c>
      <c r="P231" s="5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2.4456082934732001E-2</v>
      </c>
      <c r="Q231" s="5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1.7494827820351853E-2</v>
      </c>
      <c r="S231" s="5" cm="1">
        <f t="array" ref="S231">MIN(IF((ContinuousStatsTable[GroupByKey]=ContinuousStatsTable[[#This Row],[GroupByKey]]),(ContinuousStatsTable[GroupByKey]=ContinuousStatsTable[[#This Row],[GroupByKey]])*ContinuousStatsTable[Average]))</f>
        <v>2.1279401430778E-2</v>
      </c>
      <c r="T231" s="5" cm="1">
        <f t="array" ref="T231">MAX(IF((ContinuousStatsTable[GroupByKey]=ContinuousStatsTable[[#This Row],[GroupByKey]]),(ContinuousStatsTable[GroupByKey]=ContinuousStatsTable[[#This Row],[GroupByKey]])*ContinuousStatsTable[Average]))</f>
        <v>8.8472374570180701E-2</v>
      </c>
      <c r="U231" s="5">
        <f>IF((ContinuousStatsTable[[#This Row],[RepsRequested]]&gt;1),ContinuousStatsTable[[#This Row],[HalfWidth]],ContinuousStatsTable[[#This Row],[BatchMeansHalfWidth]])</f>
        <v>1.7494827820351853E-2</v>
      </c>
    </row>
    <row r="232" spans="1:21" x14ac:dyDescent="0.3">
      <c r="A232" t="s">
        <v>66</v>
      </c>
      <c r="B232" t="s">
        <v>68</v>
      </c>
      <c r="C232">
        <v>6</v>
      </c>
      <c r="D232" t="s">
        <v>111</v>
      </c>
      <c r="E232" t="s">
        <v>105</v>
      </c>
      <c r="F232" t="s">
        <v>103</v>
      </c>
      <c r="G232">
        <v>1</v>
      </c>
      <c r="H232">
        <v>2E+20</v>
      </c>
      <c r="I232">
        <v>1</v>
      </c>
      <c r="J232">
        <v>1</v>
      </c>
      <c r="K232">
        <v>1</v>
      </c>
      <c r="L232">
        <v>0</v>
      </c>
      <c r="M232" s="5" t="str">
        <f>ContinuousStatsTable[[#This Row],[ProjectName]]&amp;ContinuousStatsTable[[#This Row],[Name]]&amp;ContinuousStatsTable[[#This Row],[Type]]&amp;ContinuousStatsTable[[#This Row],[Source]]</f>
        <v>Unnamed Projectregistro1Number ScheduledResource</v>
      </c>
      <c r="N232" s="5" cm="1">
        <f t="array" ref="N232">MAX(IF((ProjectInfoTable[ProjectName]=ContinuousStatsTable[[#This Row],[ProjectName]]),(ProjectInfoTable[ProjectName]=ContinuousStatsTable[[#This Row],[ProjectName]])*ProjectInfoTable[NumberOfReplications]))</f>
        <v>10</v>
      </c>
      <c r="O232" s="5" cm="1">
        <f t="array" ref="O232">IFERROR(AVERAGE(IF((ContinuousStatsTable[GroupByKey]=ContinuousStatsTable[[#This Row],[GroupByKey]]),(ContinuousStatsTable[GroupByKey]=ContinuousStatsTable[[#This Row],[GroupByKey]])*ContinuousStatsTable[Average])),0)</f>
        <v>1</v>
      </c>
      <c r="P232" s="5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0</v>
      </c>
      <c r="Q232" s="5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2" s="5" cm="1">
        <f t="array" ref="S232">MIN(IF((ContinuousStatsTable[GroupByKey]=ContinuousStatsTable[[#This Row],[GroupByKey]]),(ContinuousStatsTable[GroupByKey]=ContinuousStatsTable[[#This Row],[GroupByKey]])*ContinuousStatsTable[Average]))</f>
        <v>1</v>
      </c>
      <c r="T232" s="5" cm="1">
        <f t="array" ref="T232">MAX(IF((ContinuousStatsTable[GroupByKey]=ContinuousStatsTable[[#This Row],[GroupByKey]]),(ContinuousStatsTable[GroupByKey]=ContinuousStatsTable[[#This Row],[GroupByKey]])*ContinuousStatsTable[Average]))</f>
        <v>1</v>
      </c>
      <c r="U232" s="5">
        <f>IF((ContinuousStatsTable[[#This Row],[RepsRequested]]&gt;1),ContinuousStatsTable[[#This Row],[HalfWidth]],ContinuousStatsTable[[#This Row],[BatchMeansHalfWidth]])</f>
        <v>0</v>
      </c>
    </row>
    <row r="233" spans="1:21" x14ac:dyDescent="0.3">
      <c r="A233" t="s">
        <v>66</v>
      </c>
      <c r="B233" t="s">
        <v>68</v>
      </c>
      <c r="C233">
        <v>6</v>
      </c>
      <c r="D233" t="s">
        <v>112</v>
      </c>
      <c r="E233" t="s">
        <v>102</v>
      </c>
      <c r="F233" t="s">
        <v>103</v>
      </c>
      <c r="G233">
        <v>0.38016226178227103</v>
      </c>
      <c r="H233">
        <v>2E+20</v>
      </c>
      <c r="I233">
        <v>0</v>
      </c>
      <c r="J233">
        <v>1</v>
      </c>
      <c r="K233">
        <v>1</v>
      </c>
      <c r="L233">
        <v>0</v>
      </c>
      <c r="M233" s="5" t="str">
        <f>ContinuousStatsTable[[#This Row],[ProjectName]]&amp;ContinuousStatsTable[[#This Row],[Name]]&amp;ContinuousStatsTable[[#This Row],[Type]]&amp;ContinuousStatsTable[[#This Row],[Source]]</f>
        <v>Unnamed Projectregistro2Instantaneous UtilizationResource</v>
      </c>
      <c r="N233" s="5" cm="1">
        <f t="array" ref="N233">MAX(IF((ProjectInfoTable[ProjectName]=ContinuousStatsTable[[#This Row],[ProjectName]]),(ProjectInfoTable[ProjectName]=ContinuousStatsTable[[#This Row],[ProjectName]])*ProjectInfoTable[NumberOfReplications]))</f>
        <v>10</v>
      </c>
      <c r="O233" s="5" cm="1">
        <f t="array" ref="O233">IFERROR(AVERAGE(IF((ContinuousStatsTable[GroupByKey]=ContinuousStatsTable[[#This Row],[GroupByKey]]),(ContinuousStatsTable[GroupByKey]=ContinuousStatsTable[[#This Row],[GroupByKey]])*ContinuousStatsTable[Average])),0)</f>
        <v>0.46274808587050231</v>
      </c>
      <c r="P233" s="5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9.1165192054027525E-2</v>
      </c>
      <c r="Q233" s="5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6.5215649719990554E-2</v>
      </c>
      <c r="S233" s="5" cm="1">
        <f t="array" ref="S233">MIN(IF((ContinuousStatsTable[GroupByKey]=ContinuousStatsTable[[#This Row],[GroupByKey]]),(ContinuousStatsTable[GroupByKey]=ContinuousStatsTable[[#This Row],[GroupByKey]])*ContinuousStatsTable[Average]))</f>
        <v>0.338210899349628</v>
      </c>
      <c r="T233" s="5" cm="1">
        <f t="array" ref="T233">MAX(IF((ContinuousStatsTable[GroupByKey]=ContinuousStatsTable[[#This Row],[GroupByKey]]),(ContinuousStatsTable[GroupByKey]=ContinuousStatsTable[[#This Row],[GroupByKey]])*ContinuousStatsTable[Average]))</f>
        <v>0.66990172486561195</v>
      </c>
      <c r="U233" s="5">
        <f>IF((ContinuousStatsTable[[#This Row],[RepsRequested]]&gt;1),ContinuousStatsTable[[#This Row],[HalfWidth]],ContinuousStatsTable[[#This Row],[BatchMeansHalfWidth]])</f>
        <v>6.5215649719990554E-2</v>
      </c>
    </row>
    <row r="234" spans="1:21" x14ac:dyDescent="0.3">
      <c r="A234" t="s">
        <v>66</v>
      </c>
      <c r="B234" t="s">
        <v>68</v>
      </c>
      <c r="C234">
        <v>6</v>
      </c>
      <c r="D234" t="s">
        <v>112</v>
      </c>
      <c r="E234" t="s">
        <v>104</v>
      </c>
      <c r="F234" t="s">
        <v>103</v>
      </c>
      <c r="G234">
        <v>0.38016226178227103</v>
      </c>
      <c r="H234">
        <v>2E+20</v>
      </c>
      <c r="I234">
        <v>0</v>
      </c>
      <c r="J234">
        <v>1</v>
      </c>
      <c r="K234">
        <v>1</v>
      </c>
      <c r="L234">
        <v>0</v>
      </c>
      <c r="M234" s="5" t="str">
        <f>ContinuousStatsTable[[#This Row],[ProjectName]]&amp;ContinuousStatsTable[[#This Row],[Name]]&amp;ContinuousStatsTable[[#This Row],[Type]]&amp;ContinuousStatsTable[[#This Row],[Source]]</f>
        <v>Unnamed Projectregistro2Number BusyResource</v>
      </c>
      <c r="N234" s="5" cm="1">
        <f t="array" ref="N234">MAX(IF((ProjectInfoTable[ProjectName]=ContinuousStatsTable[[#This Row],[ProjectName]]),(ProjectInfoTable[ProjectName]=ContinuousStatsTable[[#This Row],[ProjectName]])*ProjectInfoTable[NumberOfReplications]))</f>
        <v>10</v>
      </c>
      <c r="O234" s="5" cm="1">
        <f t="array" ref="O234">IFERROR(AVERAGE(IF((ContinuousStatsTable[GroupByKey]=ContinuousStatsTable[[#This Row],[GroupByKey]]),(ContinuousStatsTable[GroupByKey]=ContinuousStatsTable[[#This Row],[GroupByKey]])*ContinuousStatsTable[Average])),0)</f>
        <v>0.46274808587050231</v>
      </c>
      <c r="P234" s="5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9.1165192054027525E-2</v>
      </c>
      <c r="Q234" s="5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6.5215649719990554E-2</v>
      </c>
      <c r="S234" s="5" cm="1">
        <f t="array" ref="S234">MIN(IF((ContinuousStatsTable[GroupByKey]=ContinuousStatsTable[[#This Row],[GroupByKey]]),(ContinuousStatsTable[GroupByKey]=ContinuousStatsTable[[#This Row],[GroupByKey]])*ContinuousStatsTable[Average]))</f>
        <v>0.338210899349628</v>
      </c>
      <c r="T234" s="5" cm="1">
        <f t="array" ref="T234">MAX(IF((ContinuousStatsTable[GroupByKey]=ContinuousStatsTable[[#This Row],[GroupByKey]]),(ContinuousStatsTable[GroupByKey]=ContinuousStatsTable[[#This Row],[GroupByKey]])*ContinuousStatsTable[Average]))</f>
        <v>0.66990172486561195</v>
      </c>
      <c r="U234" s="5">
        <f>IF((ContinuousStatsTable[[#This Row],[RepsRequested]]&gt;1),ContinuousStatsTable[[#This Row],[HalfWidth]],ContinuousStatsTable[[#This Row],[BatchMeansHalfWidth]])</f>
        <v>6.5215649719990554E-2</v>
      </c>
    </row>
    <row r="235" spans="1:21" x14ac:dyDescent="0.3">
      <c r="A235" t="s">
        <v>66</v>
      </c>
      <c r="B235" t="s">
        <v>68</v>
      </c>
      <c r="C235">
        <v>6</v>
      </c>
      <c r="D235" t="s">
        <v>112</v>
      </c>
      <c r="E235" t="s">
        <v>105</v>
      </c>
      <c r="F235" t="s">
        <v>103</v>
      </c>
      <c r="G235">
        <v>1</v>
      </c>
      <c r="H235">
        <v>2E+20</v>
      </c>
      <c r="I235">
        <v>1</v>
      </c>
      <c r="J235">
        <v>1</v>
      </c>
      <c r="K235">
        <v>1</v>
      </c>
      <c r="L235">
        <v>0</v>
      </c>
      <c r="M235" s="5" t="str">
        <f>ContinuousStatsTable[[#This Row],[ProjectName]]&amp;ContinuousStatsTable[[#This Row],[Name]]&amp;ContinuousStatsTable[[#This Row],[Type]]&amp;ContinuousStatsTable[[#This Row],[Source]]</f>
        <v>Unnamed Projectregistro2Number ScheduledResource</v>
      </c>
      <c r="N235" s="5" cm="1">
        <f t="array" ref="N235">MAX(IF((ProjectInfoTable[ProjectName]=ContinuousStatsTable[[#This Row],[ProjectName]]),(ProjectInfoTable[ProjectName]=ContinuousStatsTable[[#This Row],[ProjectName]])*ProjectInfoTable[NumberOfReplications]))</f>
        <v>10</v>
      </c>
      <c r="O235" s="5" cm="1">
        <f t="array" ref="O235">IFERROR(AVERAGE(IF((ContinuousStatsTable[GroupByKey]=ContinuousStatsTable[[#This Row],[GroupByKey]]),(ContinuousStatsTable[GroupByKey]=ContinuousStatsTable[[#This Row],[GroupByKey]])*ContinuousStatsTable[Average])),0)</f>
        <v>1</v>
      </c>
      <c r="P235" s="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0</v>
      </c>
      <c r="Q235" s="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5" s="5" cm="1">
        <f t="array" ref="S235">MIN(IF((ContinuousStatsTable[GroupByKey]=ContinuousStatsTable[[#This Row],[GroupByKey]]),(ContinuousStatsTable[GroupByKey]=ContinuousStatsTable[[#This Row],[GroupByKey]])*ContinuousStatsTable[Average]))</f>
        <v>1</v>
      </c>
      <c r="T235" s="5" cm="1">
        <f t="array" ref="T235">MAX(IF((ContinuousStatsTable[GroupByKey]=ContinuousStatsTable[[#This Row],[GroupByKey]]),(ContinuousStatsTable[GroupByKey]=ContinuousStatsTable[[#This Row],[GroupByKey]])*ContinuousStatsTable[Average]))</f>
        <v>1</v>
      </c>
      <c r="U235" s="5">
        <f>IF((ContinuousStatsTable[[#This Row],[RepsRequested]]&gt;1),ContinuousStatsTable[[#This Row],[HalfWidth]],ContinuousStatsTable[[#This Row],[BatchMeansHalfWidth]])</f>
        <v>0</v>
      </c>
    </row>
    <row r="236" spans="1:21" x14ac:dyDescent="0.3">
      <c r="A236" t="s">
        <v>66</v>
      </c>
      <c r="B236" t="s">
        <v>68</v>
      </c>
      <c r="C236">
        <v>7</v>
      </c>
      <c r="D236" t="s">
        <v>69</v>
      </c>
      <c r="E236" t="s">
        <v>99</v>
      </c>
      <c r="F236" t="s">
        <v>71</v>
      </c>
      <c r="G236">
        <v>0</v>
      </c>
      <c r="H236">
        <v>2E+20</v>
      </c>
      <c r="I236">
        <v>0</v>
      </c>
      <c r="J236">
        <v>0</v>
      </c>
      <c r="K236">
        <v>0</v>
      </c>
      <c r="L236">
        <v>0</v>
      </c>
      <c r="M236" s="5" t="str">
        <f>ContinuousStatsTable[[#This Row],[ProjectName]]&amp;ContinuousStatsTable[[#This Row],[Name]]&amp;ContinuousStatsTable[[#This Row],[Type]]&amp;ContinuousStatsTable[[#This Row],[Source]]</f>
        <v>Unnamed ProjectCargar Avion.QueueNumber WaitingQueue</v>
      </c>
      <c r="N236" s="5" cm="1">
        <f t="array" ref="N236">MAX(IF((ProjectInfoTable[ProjectName]=ContinuousStatsTable[[#This Row],[ProjectName]]),(ProjectInfoTable[ProjectName]=ContinuousStatsTable[[#This Row],[ProjectName]])*ProjectInfoTable[NumberOfReplications]))</f>
        <v>10</v>
      </c>
      <c r="O236" s="5" cm="1">
        <f t="array" ref="O236">IFERROR(AVERAGE(IF((ContinuousStatsTable[GroupByKey]=ContinuousStatsTable[[#This Row],[GroupByKey]]),(ContinuousStatsTable[GroupByKey]=ContinuousStatsTable[[#This Row],[GroupByKey]])*ContinuousStatsTable[Average])),0)</f>
        <v>4.3234278073230802E-4</v>
      </c>
      <c r="P236" s="5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8.6650685478403973E-4</v>
      </c>
      <c r="Q236" s="5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6.1986166264068276E-4</v>
      </c>
      <c r="S236" s="5" cm="1">
        <f t="array" ref="S236">MIN(IF((ContinuousStatsTable[GroupByKey]=ContinuousStatsTable[[#This Row],[GroupByKey]]),(ContinuousStatsTable[GroupByKey]=ContinuousStatsTable[[#This Row],[GroupByKey]])*ContinuousStatsTable[Average]))</f>
        <v>0</v>
      </c>
      <c r="T236" s="5" cm="1">
        <f t="array" ref="T236">MAX(IF((ContinuousStatsTable[GroupByKey]=ContinuousStatsTable[[#This Row],[GroupByKey]]),(ContinuousStatsTable[GroupByKey]=ContinuousStatsTable[[#This Row],[GroupByKey]])*ContinuousStatsTable[Average]))</f>
        <v>2.8294284227636502E-3</v>
      </c>
      <c r="U236" s="5">
        <f>IF((ContinuousStatsTable[[#This Row],[RepsRequested]]&gt;1),ContinuousStatsTable[[#This Row],[HalfWidth]],ContinuousStatsTable[[#This Row],[BatchMeansHalfWidth]])</f>
        <v>6.1986166264068276E-4</v>
      </c>
    </row>
    <row r="237" spans="1:21" x14ac:dyDescent="0.3">
      <c r="A237" t="s">
        <v>66</v>
      </c>
      <c r="B237" t="s">
        <v>68</v>
      </c>
      <c r="C237">
        <v>7</v>
      </c>
      <c r="D237" t="s">
        <v>72</v>
      </c>
      <c r="E237" t="s">
        <v>100</v>
      </c>
      <c r="F237" t="s">
        <v>74</v>
      </c>
      <c r="G237">
        <v>1.7607411036774401</v>
      </c>
      <c r="H237">
        <v>3E+20</v>
      </c>
      <c r="I237">
        <v>0</v>
      </c>
      <c r="J237">
        <v>10</v>
      </c>
      <c r="K237">
        <v>4</v>
      </c>
      <c r="L237">
        <v>0</v>
      </c>
      <c r="M237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37" s="5" cm="1">
        <f t="array" ref="N237">MAX(IF((ProjectInfoTable[ProjectName]=ContinuousStatsTable[[#This Row],[ProjectName]]),(ProjectInfoTable[ProjectName]=ContinuousStatsTable[[#This Row],[ProjectName]])*ProjectInfoTable[NumberOfReplications]))</f>
        <v>10</v>
      </c>
      <c r="O237" s="5" cm="1">
        <f t="array" ref="O237">IFERROR(AVERAGE(IF((ContinuousStatsTable[GroupByKey]=ContinuousStatsTable[[#This Row],[GroupByKey]]),(ContinuousStatsTable[GroupByKey]=ContinuousStatsTable[[#This Row],[GroupByKey]])*ContinuousStatsTable[Average])),0)</f>
        <v>1.938691833558875</v>
      </c>
      <c r="P237" s="5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0.24426972485872975</v>
      </c>
      <c r="Q237" s="5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0.17474003459724646</v>
      </c>
      <c r="S237" s="5" cm="1">
        <f t="array" ref="S237">MIN(IF((ContinuousStatsTable[GroupByKey]=ContinuousStatsTable[[#This Row],[GroupByKey]]),(ContinuousStatsTable[GroupByKey]=ContinuousStatsTable[[#This Row],[GroupByKey]])*ContinuousStatsTable[Average]))</f>
        <v>1.6635577018983201</v>
      </c>
      <c r="T237" s="5" cm="1">
        <f t="array" ref="T237">MAX(IF((ContinuousStatsTable[GroupByKey]=ContinuousStatsTable[[#This Row],[GroupByKey]]),(ContinuousStatsTable[GroupByKey]=ContinuousStatsTable[[#This Row],[GroupByKey]])*ContinuousStatsTable[Average]))</f>
        <v>2.3099874805957801</v>
      </c>
      <c r="U237" s="5">
        <f>IF((ContinuousStatsTable[[#This Row],[RepsRequested]]&gt;1),ContinuousStatsTable[[#This Row],[HalfWidth]],ContinuousStatsTable[[#This Row],[BatchMeansHalfWidth]])</f>
        <v>0.17474003459724646</v>
      </c>
    </row>
    <row r="238" spans="1:21" x14ac:dyDescent="0.3">
      <c r="A238" t="s">
        <v>66</v>
      </c>
      <c r="B238" t="s">
        <v>68</v>
      </c>
      <c r="C238">
        <v>7</v>
      </c>
      <c r="D238" t="s">
        <v>101</v>
      </c>
      <c r="E238" t="s">
        <v>102</v>
      </c>
      <c r="F238" t="s">
        <v>103</v>
      </c>
      <c r="G238">
        <v>0.28134582132828501</v>
      </c>
      <c r="H238">
        <v>2E+20</v>
      </c>
      <c r="I238">
        <v>0</v>
      </c>
      <c r="J238">
        <v>1</v>
      </c>
      <c r="K238">
        <v>0</v>
      </c>
      <c r="L238">
        <v>0</v>
      </c>
      <c r="M238" s="5" t="str">
        <f>ContinuousStatsTable[[#This Row],[ProjectName]]&amp;ContinuousStatsTable[[#This Row],[Name]]&amp;ContinuousStatsTable[[#This Row],[Type]]&amp;ContinuousStatsTable[[#This Row],[Source]]</f>
        <v>Unnamed ProjectInterautoInstantaneous UtilizationResource</v>
      </c>
      <c r="N238" s="5" cm="1">
        <f t="array" ref="N238">MAX(IF((ProjectInfoTable[ProjectName]=ContinuousStatsTable[[#This Row],[ProjectName]]),(ProjectInfoTable[ProjectName]=ContinuousStatsTable[[#This Row],[ProjectName]])*ProjectInfoTable[NumberOfReplications]))</f>
        <v>10</v>
      </c>
      <c r="O238" s="5" cm="1">
        <f t="array" ref="O238">IFERROR(AVERAGE(IF((ContinuousStatsTable[GroupByKey]=ContinuousStatsTable[[#This Row],[GroupByKey]]),(ContinuousStatsTable[GroupByKey]=ContinuousStatsTable[[#This Row],[GroupByKey]])*ContinuousStatsTable[Average])),0)</f>
        <v>0.26535205929836458</v>
      </c>
      <c r="P238" s="5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2.5807993647623796E-2</v>
      </c>
      <c r="Q238" s="5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1.8461926485074727E-2</v>
      </c>
      <c r="S238" s="5" cm="1">
        <f t="array" ref="S238">MIN(IF((ContinuousStatsTable[GroupByKey]=ContinuousStatsTable[[#This Row],[GroupByKey]]),(ContinuousStatsTable[GroupByKey]=ContinuousStatsTable[[#This Row],[GroupByKey]])*ContinuousStatsTable[Average]))</f>
        <v>0.20483176768320299</v>
      </c>
      <c r="T238" s="5" cm="1">
        <f t="array" ref="T238">MAX(IF((ContinuousStatsTable[GroupByKey]=ContinuousStatsTable[[#This Row],[GroupByKey]]),(ContinuousStatsTable[GroupByKey]=ContinuousStatsTable[[#This Row],[GroupByKey]])*ContinuousStatsTable[Average]))</f>
        <v>0.29552077299252399</v>
      </c>
      <c r="U238" s="5">
        <f>IF((ContinuousStatsTable[[#This Row],[RepsRequested]]&gt;1),ContinuousStatsTable[[#This Row],[HalfWidth]],ContinuousStatsTable[[#This Row],[BatchMeansHalfWidth]])</f>
        <v>1.8461926485074727E-2</v>
      </c>
    </row>
    <row r="239" spans="1:21" x14ac:dyDescent="0.3">
      <c r="A239" t="s">
        <v>66</v>
      </c>
      <c r="B239" t="s">
        <v>68</v>
      </c>
      <c r="C239">
        <v>7</v>
      </c>
      <c r="D239" t="s">
        <v>101</v>
      </c>
      <c r="E239" t="s">
        <v>104</v>
      </c>
      <c r="F239" t="s">
        <v>103</v>
      </c>
      <c r="G239">
        <v>0.28134582132828501</v>
      </c>
      <c r="H239">
        <v>2E+20</v>
      </c>
      <c r="I239">
        <v>0</v>
      </c>
      <c r="J239">
        <v>1</v>
      </c>
      <c r="K239">
        <v>0</v>
      </c>
      <c r="L239">
        <v>0</v>
      </c>
      <c r="M239" s="5" t="str">
        <f>ContinuousStatsTable[[#This Row],[ProjectName]]&amp;ContinuousStatsTable[[#This Row],[Name]]&amp;ContinuousStatsTable[[#This Row],[Type]]&amp;ContinuousStatsTable[[#This Row],[Source]]</f>
        <v>Unnamed ProjectInterautoNumber BusyResource</v>
      </c>
      <c r="N239" s="5" cm="1">
        <f t="array" ref="N239">MAX(IF((ProjectInfoTable[ProjectName]=ContinuousStatsTable[[#This Row],[ProjectName]]),(ProjectInfoTable[ProjectName]=ContinuousStatsTable[[#This Row],[ProjectName]])*ProjectInfoTable[NumberOfReplications]))</f>
        <v>10</v>
      </c>
      <c r="O239" s="5" cm="1">
        <f t="array" ref="O239">IFERROR(AVERAGE(IF((ContinuousStatsTable[GroupByKey]=ContinuousStatsTable[[#This Row],[GroupByKey]]),(ContinuousStatsTable[GroupByKey]=ContinuousStatsTable[[#This Row],[GroupByKey]])*ContinuousStatsTable[Average])),0)</f>
        <v>0.26535205929836458</v>
      </c>
      <c r="P239" s="5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2.5807993647623796E-2</v>
      </c>
      <c r="Q239" s="5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1.8461926485074727E-2</v>
      </c>
      <c r="S239" s="5" cm="1">
        <f t="array" ref="S239">MIN(IF((ContinuousStatsTable[GroupByKey]=ContinuousStatsTable[[#This Row],[GroupByKey]]),(ContinuousStatsTable[GroupByKey]=ContinuousStatsTable[[#This Row],[GroupByKey]])*ContinuousStatsTable[Average]))</f>
        <v>0.20483176768320299</v>
      </c>
      <c r="T239" s="5" cm="1">
        <f t="array" ref="T239">MAX(IF((ContinuousStatsTable[GroupByKey]=ContinuousStatsTable[[#This Row],[GroupByKey]]),(ContinuousStatsTable[GroupByKey]=ContinuousStatsTable[[#This Row],[GroupByKey]])*ContinuousStatsTable[Average]))</f>
        <v>0.29552077299252399</v>
      </c>
      <c r="U239" s="5">
        <f>IF((ContinuousStatsTable[[#This Row],[RepsRequested]]&gt;1),ContinuousStatsTable[[#This Row],[HalfWidth]],ContinuousStatsTable[[#This Row],[BatchMeansHalfWidth]])</f>
        <v>1.8461926485074727E-2</v>
      </c>
    </row>
    <row r="240" spans="1:21" x14ac:dyDescent="0.3">
      <c r="A240" t="s">
        <v>66</v>
      </c>
      <c r="B240" t="s">
        <v>68</v>
      </c>
      <c r="C240">
        <v>7</v>
      </c>
      <c r="D240" t="s">
        <v>101</v>
      </c>
      <c r="E240" t="s">
        <v>105</v>
      </c>
      <c r="F240" t="s">
        <v>103</v>
      </c>
      <c r="G240">
        <v>1</v>
      </c>
      <c r="H240">
        <v>2E+20</v>
      </c>
      <c r="I240">
        <v>1</v>
      </c>
      <c r="J240">
        <v>1</v>
      </c>
      <c r="K240">
        <v>1</v>
      </c>
      <c r="L240">
        <v>0</v>
      </c>
      <c r="M240" s="5" t="str">
        <f>ContinuousStatsTable[[#This Row],[ProjectName]]&amp;ContinuousStatsTable[[#This Row],[Name]]&amp;ContinuousStatsTable[[#This Row],[Type]]&amp;ContinuousStatsTable[[#This Row],[Source]]</f>
        <v>Unnamed ProjectInterautoNumber ScheduledResource</v>
      </c>
      <c r="N240" s="5" cm="1">
        <f t="array" ref="N240">MAX(IF((ProjectInfoTable[ProjectName]=ContinuousStatsTable[[#This Row],[ProjectName]]),(ProjectInfoTable[ProjectName]=ContinuousStatsTable[[#This Row],[ProjectName]])*ProjectInfoTable[NumberOfReplications]))</f>
        <v>10</v>
      </c>
      <c r="O240" s="5" cm="1">
        <f t="array" ref="O240">IFERROR(AVERAGE(IF((ContinuousStatsTable[GroupByKey]=ContinuousStatsTable[[#This Row],[GroupByKey]]),(ContinuousStatsTable[GroupByKey]=ContinuousStatsTable[[#This Row],[GroupByKey]])*ContinuousStatsTable[Average])),0)</f>
        <v>1</v>
      </c>
      <c r="P240" s="5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0</v>
      </c>
      <c r="Q240" s="5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0" s="5" cm="1">
        <f t="array" ref="S240">MIN(IF((ContinuousStatsTable[GroupByKey]=ContinuousStatsTable[[#This Row],[GroupByKey]]),(ContinuousStatsTable[GroupByKey]=ContinuousStatsTable[[#This Row],[GroupByKey]])*ContinuousStatsTable[Average]))</f>
        <v>1</v>
      </c>
      <c r="T240" s="5" cm="1">
        <f t="array" ref="T240">MAX(IF((ContinuousStatsTable[GroupByKey]=ContinuousStatsTable[[#This Row],[GroupByKey]]),(ContinuousStatsTable[GroupByKey]=ContinuousStatsTable[[#This Row],[GroupByKey]])*ContinuousStatsTable[Average]))</f>
        <v>1</v>
      </c>
      <c r="U240" s="5">
        <f>IF((ContinuousStatsTable[[#This Row],[RepsRequested]]&gt;1),ContinuousStatsTable[[#This Row],[HalfWidth]],ContinuousStatsTable[[#This Row],[BatchMeansHalfWidth]])</f>
        <v>0</v>
      </c>
    </row>
    <row r="241" spans="1:21" x14ac:dyDescent="0.3">
      <c r="A241" t="s">
        <v>66</v>
      </c>
      <c r="B241" t="s">
        <v>68</v>
      </c>
      <c r="C241">
        <v>7</v>
      </c>
      <c r="D241" t="s">
        <v>80</v>
      </c>
      <c r="E241" t="s">
        <v>99</v>
      </c>
      <c r="F241" t="s">
        <v>71</v>
      </c>
      <c r="G241">
        <v>0.18259746981261701</v>
      </c>
      <c r="H241">
        <v>3E+20</v>
      </c>
      <c r="I241">
        <v>0</v>
      </c>
      <c r="J241">
        <v>6</v>
      </c>
      <c r="K241">
        <v>0</v>
      </c>
      <c r="L241">
        <v>0</v>
      </c>
      <c r="M241" s="5" t="str">
        <f>ContinuousStatsTable[[#This Row],[ProjectName]]&amp;ContinuousStatsTable[[#This Row],[Name]]&amp;ContinuousStatsTable[[#This Row],[Type]]&amp;ContinuousStatsTable[[#This Row],[Source]]</f>
        <v>Unnamed ProjectLeave 1.QueueNumber WaitingQueue</v>
      </c>
      <c r="N241" s="5" cm="1">
        <f t="array" ref="N241">MAX(IF((ProjectInfoTable[ProjectName]=ContinuousStatsTable[[#This Row],[ProjectName]]),(ProjectInfoTable[ProjectName]=ContinuousStatsTable[[#This Row],[ProjectName]])*ProjectInfoTable[NumberOfReplications]))</f>
        <v>10</v>
      </c>
      <c r="O241" s="5" cm="1">
        <f t="array" ref="O241">IFERROR(AVERAGE(IF((ContinuousStatsTable[GroupByKey]=ContinuousStatsTable[[#This Row],[GroupByKey]]),(ContinuousStatsTable[GroupByKey]=ContinuousStatsTable[[#This Row],[GroupByKey]])*ContinuousStatsTable[Average])),0)</f>
        <v>0.20353568461890376</v>
      </c>
      <c r="P241" s="5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2.6549184575613477E-2</v>
      </c>
      <c r="Q241" s="5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1.899214253405495E-2</v>
      </c>
      <c r="S241" s="5" cm="1">
        <f t="array" ref="S241">MIN(IF((ContinuousStatsTable[GroupByKey]=ContinuousStatsTable[[#This Row],[GroupByKey]]),(ContinuousStatsTable[GroupByKey]=ContinuousStatsTable[[#This Row],[GroupByKey]])*ContinuousStatsTable[Average]))</f>
        <v>0.168502364443611</v>
      </c>
      <c r="T241" s="5" cm="1">
        <f t="array" ref="T241">MAX(IF((ContinuousStatsTable[GroupByKey]=ContinuousStatsTable[[#This Row],[GroupByKey]]),(ContinuousStatsTable[GroupByKey]=ContinuousStatsTable[[#This Row],[GroupByKey]])*ContinuousStatsTable[Average]))</f>
        <v>0.24578450490959</v>
      </c>
      <c r="U241" s="5">
        <f>IF((ContinuousStatsTable[[#This Row],[RepsRequested]]&gt;1),ContinuousStatsTable[[#This Row],[HalfWidth]],ContinuousStatsTable[[#This Row],[BatchMeansHalfWidth]])</f>
        <v>1.899214253405495E-2</v>
      </c>
    </row>
    <row r="242" spans="1:21" x14ac:dyDescent="0.3">
      <c r="A242" t="s">
        <v>66</v>
      </c>
      <c r="B242" t="s">
        <v>68</v>
      </c>
      <c r="C242">
        <v>7</v>
      </c>
      <c r="D242" t="s">
        <v>81</v>
      </c>
      <c r="E242" t="s">
        <v>99</v>
      </c>
      <c r="F242" t="s">
        <v>71</v>
      </c>
      <c r="G242">
        <v>5.5669622828688203E-3</v>
      </c>
      <c r="H242">
        <v>2E+20</v>
      </c>
      <c r="I242">
        <v>0</v>
      </c>
      <c r="J242">
        <v>3</v>
      </c>
      <c r="K242">
        <v>0</v>
      </c>
      <c r="L242">
        <v>0</v>
      </c>
      <c r="M242" s="5" t="str">
        <f>ContinuousStatsTable[[#This Row],[ProjectName]]&amp;ContinuousStatsTable[[#This Row],[Name]]&amp;ContinuousStatsTable[[#This Row],[Type]]&amp;ContinuousStatsTable[[#This Row],[Source]]</f>
        <v>Unnamed ProjectLeave 4.QueueNumber WaitingQueue</v>
      </c>
      <c r="N242" s="5" cm="1">
        <f t="array" ref="N242">MAX(IF((ProjectInfoTable[ProjectName]=ContinuousStatsTable[[#This Row],[ProjectName]]),(ProjectInfoTable[ProjectName]=ContinuousStatsTable[[#This Row],[ProjectName]])*ProjectInfoTable[NumberOfReplications]))</f>
        <v>10</v>
      </c>
      <c r="O242" s="5" cm="1">
        <f t="array" ref="O242">IFERROR(AVERAGE(IF((ContinuousStatsTable[GroupByKey]=ContinuousStatsTable[[#This Row],[GroupByKey]]),(ContinuousStatsTable[GroupByKey]=ContinuousStatsTable[[#This Row],[GroupByKey]])*ContinuousStatsTable[Average])),0)</f>
        <v>4.8729672989697272E-3</v>
      </c>
      <c r="P242" s="5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9.2135939256816457E-4</v>
      </c>
      <c r="Q242" s="5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6.5910080435457321E-4</v>
      </c>
      <c r="S242" s="5" cm="1">
        <f t="array" ref="S242">MIN(IF((ContinuousStatsTable[GroupByKey]=ContinuousStatsTable[[#This Row],[GroupByKey]]),(ContinuousStatsTable[GroupByKey]=ContinuousStatsTable[[#This Row],[GroupByKey]])*ContinuousStatsTable[Average]))</f>
        <v>3.2012309459038099E-3</v>
      </c>
      <c r="T242" s="5" cm="1">
        <f t="array" ref="T242">MAX(IF((ContinuousStatsTable[GroupByKey]=ContinuousStatsTable[[#This Row],[GroupByKey]]),(ContinuousStatsTable[GroupByKey]=ContinuousStatsTable[[#This Row],[GroupByKey]])*ContinuousStatsTable[Average]))</f>
        <v>6.0338305270789001E-3</v>
      </c>
      <c r="U242" s="5">
        <f>IF((ContinuousStatsTable[[#This Row],[RepsRequested]]&gt;1),ContinuousStatsTable[[#This Row],[HalfWidth]],ContinuousStatsTable[[#This Row],[BatchMeansHalfWidth]])</f>
        <v>6.5910080435457321E-4</v>
      </c>
    </row>
    <row r="243" spans="1:21" x14ac:dyDescent="0.3">
      <c r="A243" t="s">
        <v>66</v>
      </c>
      <c r="B243" t="s">
        <v>68</v>
      </c>
      <c r="C243">
        <v>7</v>
      </c>
      <c r="D243" t="s">
        <v>82</v>
      </c>
      <c r="E243" t="s">
        <v>99</v>
      </c>
      <c r="F243" t="s">
        <v>71</v>
      </c>
      <c r="G243">
        <v>4.1058101580258903E-2</v>
      </c>
      <c r="H243">
        <v>8.9132083538913994E-3</v>
      </c>
      <c r="I243">
        <v>0</v>
      </c>
      <c r="J243">
        <v>2</v>
      </c>
      <c r="K243">
        <v>0</v>
      </c>
      <c r="L243">
        <v>0</v>
      </c>
      <c r="M243" s="5" t="str">
        <f>ContinuousStatsTable[[#This Row],[ProjectName]]&amp;ContinuousStatsTable[[#This Row],[Name]]&amp;ContinuousStatsTable[[#This Row],[Type]]&amp;ContinuousStatsTable[[#This Row],[Source]]</f>
        <v>Unnamed ProjectLeave 5.QueueNumber WaitingQueue</v>
      </c>
      <c r="N243" s="5" cm="1">
        <f t="array" ref="N243">MAX(IF((ProjectInfoTable[ProjectName]=ContinuousStatsTable[[#This Row],[ProjectName]]),(ProjectInfoTable[ProjectName]=ContinuousStatsTable[[#This Row],[ProjectName]])*ProjectInfoTable[NumberOfReplications]))</f>
        <v>10</v>
      </c>
      <c r="O243" s="5" cm="1">
        <f t="array" ref="O243">IFERROR(AVERAGE(IF((ContinuousStatsTable[GroupByKey]=ContinuousStatsTable[[#This Row],[GroupByKey]]),(ContinuousStatsTable[GroupByKey]=ContinuousStatsTable[[#This Row],[GroupByKey]])*ContinuousStatsTable[Average])),0)</f>
        <v>4.8788152574119628E-2</v>
      </c>
      <c r="P243" s="5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5.3039270336942244E-3</v>
      </c>
      <c r="Q243" s="5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3.7942008323176655E-3</v>
      </c>
      <c r="S243" s="5" cm="1">
        <f t="array" ref="S243">MIN(IF((ContinuousStatsTable[GroupByKey]=ContinuousStatsTable[[#This Row],[GroupByKey]]),(ContinuousStatsTable[GroupByKey]=ContinuousStatsTable[[#This Row],[GroupByKey]])*ContinuousStatsTable[Average]))</f>
        <v>4.1058101580258903E-2</v>
      </c>
      <c r="T243" s="5" cm="1">
        <f t="array" ref="T243">MAX(IF((ContinuousStatsTable[GroupByKey]=ContinuousStatsTable[[#This Row],[GroupByKey]]),(ContinuousStatsTable[GroupByKey]=ContinuousStatsTable[[#This Row],[GroupByKey]])*ContinuousStatsTable[Average]))</f>
        <v>5.6386723112129902E-2</v>
      </c>
      <c r="U243" s="5">
        <f>IF((ContinuousStatsTable[[#This Row],[RepsRequested]]&gt;1),ContinuousStatsTable[[#This Row],[HalfWidth]],ContinuousStatsTable[[#This Row],[BatchMeansHalfWidth]])</f>
        <v>3.7942008323176655E-3</v>
      </c>
    </row>
    <row r="244" spans="1:21" x14ac:dyDescent="0.3">
      <c r="A244" t="s">
        <v>66</v>
      </c>
      <c r="B244" t="s">
        <v>68</v>
      </c>
      <c r="C244">
        <v>7</v>
      </c>
      <c r="D244" t="s">
        <v>83</v>
      </c>
      <c r="E244" t="s">
        <v>99</v>
      </c>
      <c r="F244" t="s">
        <v>71</v>
      </c>
      <c r="G244">
        <v>3.5201273749196601E-3</v>
      </c>
      <c r="H244">
        <v>2E+20</v>
      </c>
      <c r="I244">
        <v>0</v>
      </c>
      <c r="J244">
        <v>1</v>
      </c>
      <c r="K244">
        <v>0</v>
      </c>
      <c r="L244">
        <v>0</v>
      </c>
      <c r="M244" s="5" t="str">
        <f>ContinuousStatsTable[[#This Row],[ProjectName]]&amp;ContinuousStatsTable[[#This Row],[Name]]&amp;ContinuousStatsTable[[#This Row],[Type]]&amp;ContinuousStatsTable[[#This Row],[Source]]</f>
        <v>Unnamed ProjectLeave 6.QueueNumber WaitingQueue</v>
      </c>
      <c r="N244" s="5" cm="1">
        <f t="array" ref="N244">MAX(IF((ProjectInfoTable[ProjectName]=ContinuousStatsTable[[#This Row],[ProjectName]]),(ProjectInfoTable[ProjectName]=ContinuousStatsTable[[#This Row],[ProjectName]])*ProjectInfoTable[NumberOfReplications]))</f>
        <v>10</v>
      </c>
      <c r="O244" s="5" cm="1">
        <f t="array" ref="O244">IFERROR(AVERAGE(IF((ContinuousStatsTable[GroupByKey]=ContinuousStatsTable[[#This Row],[GroupByKey]]),(ContinuousStatsTable[GroupByKey]=ContinuousStatsTable[[#This Row],[GroupByKey]])*ContinuousStatsTable[Average])),0)</f>
        <v>3.227619592382791E-3</v>
      </c>
      <c r="P244" s="5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1.5087685522347895E-3</v>
      </c>
      <c r="Q244" s="5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1.0793080033525183E-3</v>
      </c>
      <c r="S244" s="5" cm="1">
        <f t="array" ref="S244">MIN(IF((ContinuousStatsTable[GroupByKey]=ContinuousStatsTable[[#This Row],[GroupByKey]]),(ContinuousStatsTable[GroupByKey]=ContinuousStatsTable[[#This Row],[GroupByKey]])*ContinuousStatsTable[Average]))</f>
        <v>4.7201486102630699E-4</v>
      </c>
      <c r="T244" s="5" cm="1">
        <f t="array" ref="T244">MAX(IF((ContinuousStatsTable[GroupByKey]=ContinuousStatsTable[[#This Row],[GroupByKey]]),(ContinuousStatsTable[GroupByKey]=ContinuousStatsTable[[#This Row],[GroupByKey]])*ContinuousStatsTable[Average]))</f>
        <v>6.2452549613019898E-3</v>
      </c>
      <c r="U244" s="5">
        <f>IF((ContinuousStatsTable[[#This Row],[RepsRequested]]&gt;1),ContinuousStatsTable[[#This Row],[HalfWidth]],ContinuousStatsTable[[#This Row],[BatchMeansHalfWidth]])</f>
        <v>1.0793080033525183E-3</v>
      </c>
    </row>
    <row r="245" spans="1:21" x14ac:dyDescent="0.3">
      <c r="A245" t="s">
        <v>66</v>
      </c>
      <c r="B245" t="s">
        <v>68</v>
      </c>
      <c r="C245">
        <v>7</v>
      </c>
      <c r="D245" t="s">
        <v>84</v>
      </c>
      <c r="E245" t="s">
        <v>99</v>
      </c>
      <c r="F245" t="s">
        <v>71</v>
      </c>
      <c r="G245">
        <v>4.7432071603363102E-2</v>
      </c>
      <c r="H245">
        <v>2E+20</v>
      </c>
      <c r="I245">
        <v>0</v>
      </c>
      <c r="J245">
        <v>2</v>
      </c>
      <c r="K245">
        <v>0</v>
      </c>
      <c r="L245">
        <v>0</v>
      </c>
      <c r="M245" s="5" t="str">
        <f>ContinuousStatsTable[[#This Row],[ProjectName]]&amp;ContinuousStatsTable[[#This Row],[Name]]&amp;ContinuousStatsTable[[#This Row],[Type]]&amp;ContinuousStatsTable[[#This Row],[Source]]</f>
        <v>Unnamed ProjectLeave 7.QueueNumber WaitingQueue</v>
      </c>
      <c r="N245" s="5" cm="1">
        <f t="array" ref="N245">MAX(IF((ProjectInfoTable[ProjectName]=ContinuousStatsTable[[#This Row],[ProjectName]]),(ProjectInfoTable[ProjectName]=ContinuousStatsTable[[#This Row],[ProjectName]])*ProjectInfoTable[NumberOfReplications]))</f>
        <v>10</v>
      </c>
      <c r="O245" s="5" cm="1">
        <f t="array" ref="O245">IFERROR(AVERAGE(IF((ContinuousStatsTable[GroupByKey]=ContinuousStatsTable[[#This Row],[GroupByKey]]),(ContinuousStatsTable[GroupByKey]=ContinuousStatsTable[[#This Row],[GroupByKey]])*ContinuousStatsTable[Average])),0)</f>
        <v>5.9441954240945373E-2</v>
      </c>
      <c r="P245" s="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1.1519407308393107E-2</v>
      </c>
      <c r="Q245" s="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8.2404875707479553E-3</v>
      </c>
      <c r="S245" s="5" cm="1">
        <f t="array" ref="S245">MIN(IF((ContinuousStatsTable[GroupByKey]=ContinuousStatsTable[[#This Row],[GroupByKey]]),(ContinuousStatsTable[GroupByKey]=ContinuousStatsTable[[#This Row],[GroupByKey]])*ContinuousStatsTable[Average]))</f>
        <v>4.5386728660866099E-2</v>
      </c>
      <c r="T245" s="5" cm="1">
        <f t="array" ref="T245">MAX(IF((ContinuousStatsTable[GroupByKey]=ContinuousStatsTable[[#This Row],[GroupByKey]]),(ContinuousStatsTable[GroupByKey]=ContinuousStatsTable[[#This Row],[GroupByKey]])*ContinuousStatsTable[Average]))</f>
        <v>7.8633362228088005E-2</v>
      </c>
      <c r="U245" s="5">
        <f>IF((ContinuousStatsTable[[#This Row],[RepsRequested]]&gt;1),ContinuousStatsTable[[#This Row],[HalfWidth]],ContinuousStatsTable[[#This Row],[BatchMeansHalfWidth]])</f>
        <v>8.2404875707479553E-3</v>
      </c>
    </row>
    <row r="246" spans="1:21" x14ac:dyDescent="0.3">
      <c r="A246" t="s">
        <v>66</v>
      </c>
      <c r="B246" t="s">
        <v>68</v>
      </c>
      <c r="C246">
        <v>7</v>
      </c>
      <c r="D246" t="s">
        <v>85</v>
      </c>
      <c r="E246" t="s">
        <v>99</v>
      </c>
      <c r="F246" t="s">
        <v>71</v>
      </c>
      <c r="G246">
        <v>2.9445775649399302E-3</v>
      </c>
      <c r="H246">
        <v>2E+20</v>
      </c>
      <c r="I246">
        <v>0</v>
      </c>
      <c r="J246">
        <v>1</v>
      </c>
      <c r="K246">
        <v>0</v>
      </c>
      <c r="L246">
        <v>0</v>
      </c>
      <c r="M246" s="5" t="str">
        <f>ContinuousStatsTable[[#This Row],[ProjectName]]&amp;ContinuousStatsTable[[#This Row],[Name]]&amp;ContinuousStatsTable[[#This Row],[Type]]&amp;ContinuousStatsTable[[#This Row],[Source]]</f>
        <v>Unnamed ProjectLeave 8.QueueNumber WaitingQueue</v>
      </c>
      <c r="N246" s="5" cm="1">
        <f t="array" ref="N246">MAX(IF((ProjectInfoTable[ProjectName]=ContinuousStatsTable[[#This Row],[ProjectName]]),(ProjectInfoTable[ProjectName]=ContinuousStatsTable[[#This Row],[ProjectName]])*ProjectInfoTable[NumberOfReplications]))</f>
        <v>10</v>
      </c>
      <c r="O246" s="5" cm="1">
        <f t="array" ref="O246">IFERROR(AVERAGE(IF((ContinuousStatsTable[GroupByKey]=ContinuousStatsTable[[#This Row],[GroupByKey]]),(ContinuousStatsTable[GroupByKey]=ContinuousStatsTable[[#This Row],[GroupByKey]])*ContinuousStatsTable[Average])),0)</f>
        <v>2.1217771776478596E-3</v>
      </c>
      <c r="P246" s="5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8.0254950645480523E-4</v>
      </c>
      <c r="Q246" s="5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5.7410933182579346E-4</v>
      </c>
      <c r="S246" s="5" cm="1">
        <f t="array" ref="S246">MIN(IF((ContinuousStatsTable[GroupByKey]=ContinuousStatsTable[[#This Row],[GroupByKey]]),(ContinuousStatsTable[GroupByKey]=ContinuousStatsTable[[#This Row],[GroupByKey]])*ContinuousStatsTable[Average]))</f>
        <v>9.0451064743319795E-4</v>
      </c>
      <c r="T246" s="5" cm="1">
        <f t="array" ref="T246">MAX(IF((ContinuousStatsTable[GroupByKey]=ContinuousStatsTable[[#This Row],[GroupByKey]]),(ContinuousStatsTable[GroupByKey]=ContinuousStatsTable[[#This Row],[GroupByKey]])*ContinuousStatsTable[Average]))</f>
        <v>3.5490296241417699E-3</v>
      </c>
      <c r="U246" s="5">
        <f>IF((ContinuousStatsTable[[#This Row],[RepsRequested]]&gt;1),ContinuousStatsTable[[#This Row],[HalfWidth]],ContinuousStatsTable[[#This Row],[BatchMeansHalfWidth]])</f>
        <v>5.7410933182579346E-4</v>
      </c>
    </row>
    <row r="247" spans="1:21" x14ac:dyDescent="0.3">
      <c r="A247" t="s">
        <v>66</v>
      </c>
      <c r="B247" t="s">
        <v>68</v>
      </c>
      <c r="C247">
        <v>7</v>
      </c>
      <c r="D247" t="s">
        <v>86</v>
      </c>
      <c r="E247" t="s">
        <v>99</v>
      </c>
      <c r="F247" t="s">
        <v>71</v>
      </c>
      <c r="G247">
        <v>1.39134281011366E-3</v>
      </c>
      <c r="H247">
        <v>2E+20</v>
      </c>
      <c r="I247">
        <v>0</v>
      </c>
      <c r="J247">
        <v>1</v>
      </c>
      <c r="K247">
        <v>0</v>
      </c>
      <c r="L247">
        <v>0</v>
      </c>
      <c r="M247" s="5" t="str">
        <f>ContinuousStatsTable[[#This Row],[ProjectName]]&amp;ContinuousStatsTable[[#This Row],[Name]]&amp;ContinuousStatsTable[[#This Row],[Type]]&amp;ContinuousStatsTable[[#This Row],[Source]]</f>
        <v>Unnamed ProjectLeave 9.QueueNumber WaitingQueue</v>
      </c>
      <c r="N247" s="5" cm="1">
        <f t="array" ref="N247">MAX(IF((ProjectInfoTable[ProjectName]=ContinuousStatsTable[[#This Row],[ProjectName]]),(ProjectInfoTable[ProjectName]=ContinuousStatsTable[[#This Row],[ProjectName]])*ProjectInfoTable[NumberOfReplications]))</f>
        <v>10</v>
      </c>
      <c r="O247" s="5" cm="1">
        <f t="array" ref="O247">IFERROR(AVERAGE(IF((ContinuousStatsTable[GroupByKey]=ContinuousStatsTable[[#This Row],[GroupByKey]]),(ContinuousStatsTable[GroupByKey]=ContinuousStatsTable[[#This Row],[GroupByKey]])*ContinuousStatsTable[Average])),0)</f>
        <v>1.3877246767065991E-3</v>
      </c>
      <c r="P247" s="5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7.1875981577935533E-4</v>
      </c>
      <c r="Q247" s="5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5.1416979795196457E-4</v>
      </c>
      <c r="S247" s="5" cm="1">
        <f t="array" ref="S247">MIN(IF((ContinuousStatsTable[GroupByKey]=ContinuousStatsTable[[#This Row],[GroupByKey]]),(ContinuousStatsTable[GroupByKey]=ContinuousStatsTable[[#This Row],[GroupByKey]])*ContinuousStatsTable[Average]))</f>
        <v>2.8555279956142001E-4</v>
      </c>
      <c r="T247" s="5" cm="1">
        <f t="array" ref="T247">MAX(IF((ContinuousStatsTable[GroupByKey]=ContinuousStatsTable[[#This Row],[GroupByKey]]),(ContinuousStatsTable[GroupByKey]=ContinuousStatsTable[[#This Row],[GroupByKey]])*ContinuousStatsTable[Average]))</f>
        <v>2.50186012594582E-3</v>
      </c>
      <c r="U247" s="5">
        <f>IF((ContinuousStatsTable[[#This Row],[RepsRequested]]&gt;1),ContinuousStatsTable[[#This Row],[HalfWidth]],ContinuousStatsTable[[#This Row],[BatchMeansHalfWidth]])</f>
        <v>5.1416979795196457E-4</v>
      </c>
    </row>
    <row r="248" spans="1:21" x14ac:dyDescent="0.3">
      <c r="A248" t="s">
        <v>66</v>
      </c>
      <c r="B248" t="s">
        <v>68</v>
      </c>
      <c r="C248">
        <v>7</v>
      </c>
      <c r="D248" t="s">
        <v>87</v>
      </c>
      <c r="E248" t="s">
        <v>100</v>
      </c>
      <c r="F248" t="s">
        <v>74</v>
      </c>
      <c r="G248">
        <v>11.002052891990299</v>
      </c>
      <c r="H248">
        <v>3E+20</v>
      </c>
      <c r="I248">
        <v>0</v>
      </c>
      <c r="J248">
        <v>25</v>
      </c>
      <c r="K248">
        <v>8</v>
      </c>
      <c r="L248">
        <v>0</v>
      </c>
      <c r="M248" s="5" t="str">
        <f>ContinuousStatsTable[[#This Row],[ProjectName]]&amp;ContinuousStatsTable[[#This Row],[Name]]&amp;ContinuousStatsTable[[#This Row],[Type]]&amp;ContinuousStatsTable[[#This Row],[Source]]</f>
        <v>Unnamed ProjectMaleta InternacionalWIPEntity</v>
      </c>
      <c r="N248" s="5" cm="1">
        <f t="array" ref="N248">MAX(IF((ProjectInfoTable[ProjectName]=ContinuousStatsTable[[#This Row],[ProjectName]]),(ProjectInfoTable[ProjectName]=ContinuousStatsTable[[#This Row],[ProjectName]])*ProjectInfoTable[NumberOfReplications]))</f>
        <v>10</v>
      </c>
      <c r="O248" s="5" cm="1">
        <f t="array" ref="O248">IFERROR(AVERAGE(IF((ContinuousStatsTable[GroupByKey]=ContinuousStatsTable[[#This Row],[GroupByKey]]),(ContinuousStatsTable[GroupByKey]=ContinuousStatsTable[[#This Row],[GroupByKey]])*ContinuousStatsTable[Average])),0)</f>
        <v>13.037689788098451</v>
      </c>
      <c r="P248" s="5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1.9631643885071912</v>
      </c>
      <c r="Q248" s="5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1.4043632028742961</v>
      </c>
      <c r="S248" s="5" cm="1">
        <f t="array" ref="S248">MIN(IF((ContinuousStatsTable[GroupByKey]=ContinuousStatsTable[[#This Row],[GroupByKey]]),(ContinuousStatsTable[GroupByKey]=ContinuousStatsTable[[#This Row],[GroupByKey]])*ContinuousStatsTable[Average]))</f>
        <v>10.277307754823401</v>
      </c>
      <c r="T248" s="5" cm="1">
        <f t="array" ref="T248">MAX(IF((ContinuousStatsTable[GroupByKey]=ContinuousStatsTable[[#This Row],[GroupByKey]]),(ContinuousStatsTable[GroupByKey]=ContinuousStatsTable[[#This Row],[GroupByKey]])*ContinuousStatsTable[Average]))</f>
        <v>16.425571484417201</v>
      </c>
      <c r="U248" s="5">
        <f>IF((ContinuousStatsTable[[#This Row],[RepsRequested]]&gt;1),ContinuousStatsTable[[#This Row],[HalfWidth]],ContinuousStatsTable[[#This Row],[BatchMeansHalfWidth]])</f>
        <v>1.4043632028742961</v>
      </c>
    </row>
    <row r="249" spans="1:21" x14ac:dyDescent="0.3">
      <c r="A249" t="s">
        <v>66</v>
      </c>
      <c r="B249" t="s">
        <v>68</v>
      </c>
      <c r="C249">
        <v>7</v>
      </c>
      <c r="D249" t="s">
        <v>88</v>
      </c>
      <c r="E249" t="s">
        <v>100</v>
      </c>
      <c r="F249" t="s">
        <v>74</v>
      </c>
      <c r="G249">
        <v>2.67326565422184</v>
      </c>
      <c r="H249">
        <v>2E+20</v>
      </c>
      <c r="I249">
        <v>0</v>
      </c>
      <c r="J249">
        <v>15</v>
      </c>
      <c r="K249">
        <v>6</v>
      </c>
      <c r="L249">
        <v>0</v>
      </c>
      <c r="M249" s="5" t="str">
        <f>ContinuousStatsTable[[#This Row],[ProjectName]]&amp;ContinuousStatsTable[[#This Row],[Name]]&amp;ContinuousStatsTable[[#This Row],[Type]]&amp;ContinuousStatsTable[[#This Row],[Source]]</f>
        <v>Unnamed ProjectMaleta NacionalWIPEntity</v>
      </c>
      <c r="N249" s="5" cm="1">
        <f t="array" ref="N249">MAX(IF((ProjectInfoTable[ProjectName]=ContinuousStatsTable[[#This Row],[ProjectName]]),(ProjectInfoTable[ProjectName]=ContinuousStatsTable[[#This Row],[ProjectName]])*ProjectInfoTable[NumberOfReplications]))</f>
        <v>10</v>
      </c>
      <c r="O249" s="5" cm="1">
        <f t="array" ref="O249">IFERROR(AVERAGE(IF((ContinuousStatsTable[GroupByKey]=ContinuousStatsTable[[#This Row],[GroupByKey]]),(ContinuousStatsTable[GroupByKey]=ContinuousStatsTable[[#This Row],[GroupByKey]])*ContinuousStatsTable[Average])),0)</f>
        <v>2.7356580954557046</v>
      </c>
      <c r="P249" s="5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0.24675556542769644</v>
      </c>
      <c r="Q249" s="5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0.17651829781539885</v>
      </c>
      <c r="S249" s="5" cm="1">
        <f t="array" ref="S249">MIN(IF((ContinuousStatsTable[GroupByKey]=ContinuousStatsTable[[#This Row],[GroupByKey]]),(ContinuousStatsTable[GroupByKey]=ContinuousStatsTable[[#This Row],[GroupByKey]])*ContinuousStatsTable[Average]))</f>
        <v>2.4605296674942401</v>
      </c>
      <c r="T249" s="5" cm="1">
        <f t="array" ref="T249">MAX(IF((ContinuousStatsTable[GroupByKey]=ContinuousStatsTable[[#This Row],[GroupByKey]]),(ContinuousStatsTable[GroupByKey]=ContinuousStatsTable[[#This Row],[GroupByKey]])*ContinuousStatsTable[Average]))</f>
        <v>3.2916533376655202</v>
      </c>
      <c r="U249" s="5">
        <f>IF((ContinuousStatsTable[[#This Row],[RepsRequested]]&gt;1),ContinuousStatsTable[[#This Row],[HalfWidth]],ContinuousStatsTable[[#This Row],[BatchMeansHalfWidth]])</f>
        <v>0.17651829781539885</v>
      </c>
    </row>
    <row r="250" spans="1:21" x14ac:dyDescent="0.3">
      <c r="A250" t="s">
        <v>66</v>
      </c>
      <c r="B250" t="s">
        <v>68</v>
      </c>
      <c r="C250">
        <v>7</v>
      </c>
      <c r="D250" t="s">
        <v>106</v>
      </c>
      <c r="E250" t="s">
        <v>102</v>
      </c>
      <c r="F250" t="s">
        <v>103</v>
      </c>
      <c r="G250">
        <v>0.652603779419615</v>
      </c>
      <c r="H250">
        <v>2E+20</v>
      </c>
      <c r="I250">
        <v>0</v>
      </c>
      <c r="J250">
        <v>1</v>
      </c>
      <c r="K250">
        <v>1</v>
      </c>
      <c r="L250">
        <v>0</v>
      </c>
      <c r="M250" s="5" t="str">
        <f>ContinuousStatsTable[[#This Row],[ProjectName]]&amp;ContinuousStatsTable[[#This Row],[Name]]&amp;ContinuousStatsTable[[#This Row],[Type]]&amp;ContinuousStatsTable[[#This Row],[Source]]</f>
        <v>Unnamed ProjectNacionalautoInstantaneous UtilizationResource</v>
      </c>
      <c r="N250" s="5" cm="1">
        <f t="array" ref="N250">MAX(IF((ProjectInfoTable[ProjectName]=ContinuousStatsTable[[#This Row],[ProjectName]]),(ProjectInfoTable[ProjectName]=ContinuousStatsTable[[#This Row],[ProjectName]])*ProjectInfoTable[NumberOfReplications]))</f>
        <v>10</v>
      </c>
      <c r="O250" s="5" cm="1">
        <f t="array" ref="O250">IFERROR(AVERAGE(IF((ContinuousStatsTable[GroupByKey]=ContinuousStatsTable[[#This Row],[GroupByKey]]),(ContinuousStatsTable[GroupByKey]=ContinuousStatsTable[[#This Row],[GroupByKey]])*ContinuousStatsTable[Average])),0)</f>
        <v>0.73175058451933661</v>
      </c>
      <c r="P250" s="5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6.0813477412386734E-2</v>
      </c>
      <c r="Q250" s="5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4.3503341043041877E-2</v>
      </c>
      <c r="S250" s="5" cm="1">
        <f t="array" ref="S250">MIN(IF((ContinuousStatsTable[GroupByKey]=ContinuousStatsTable[[#This Row],[GroupByKey]]),(ContinuousStatsTable[GroupByKey]=ContinuousStatsTable[[#This Row],[GroupByKey]])*ContinuousStatsTable[Average]))</f>
        <v>0.64995347349336796</v>
      </c>
      <c r="T250" s="5" cm="1">
        <f t="array" ref="T250">MAX(IF((ContinuousStatsTable[GroupByKey]=ContinuousStatsTable[[#This Row],[GroupByKey]]),(ContinuousStatsTable[GroupByKey]=ContinuousStatsTable[[#This Row],[GroupByKey]])*ContinuousStatsTable[Average]))</f>
        <v>0.82581624655093899</v>
      </c>
      <c r="U250" s="5">
        <f>IF((ContinuousStatsTable[[#This Row],[RepsRequested]]&gt;1),ContinuousStatsTable[[#This Row],[HalfWidth]],ContinuousStatsTable[[#This Row],[BatchMeansHalfWidth]])</f>
        <v>4.3503341043041877E-2</v>
      </c>
    </row>
    <row r="251" spans="1:21" x14ac:dyDescent="0.3">
      <c r="A251" t="s">
        <v>66</v>
      </c>
      <c r="B251" t="s">
        <v>68</v>
      </c>
      <c r="C251">
        <v>7</v>
      </c>
      <c r="D251" t="s">
        <v>106</v>
      </c>
      <c r="E251" t="s">
        <v>104</v>
      </c>
      <c r="F251" t="s">
        <v>103</v>
      </c>
      <c r="G251">
        <v>0.652603779419615</v>
      </c>
      <c r="H251">
        <v>2E+20</v>
      </c>
      <c r="I251">
        <v>0</v>
      </c>
      <c r="J251">
        <v>1</v>
      </c>
      <c r="K251">
        <v>1</v>
      </c>
      <c r="L251">
        <v>0</v>
      </c>
      <c r="M251" s="5" t="str">
        <f>ContinuousStatsTable[[#This Row],[ProjectName]]&amp;ContinuousStatsTable[[#This Row],[Name]]&amp;ContinuousStatsTable[[#This Row],[Type]]&amp;ContinuousStatsTable[[#This Row],[Source]]</f>
        <v>Unnamed ProjectNacionalautoNumber BusyResource</v>
      </c>
      <c r="N251" s="5" cm="1">
        <f t="array" ref="N251">MAX(IF((ProjectInfoTable[ProjectName]=ContinuousStatsTable[[#This Row],[ProjectName]]),(ProjectInfoTable[ProjectName]=ContinuousStatsTable[[#This Row],[ProjectName]])*ProjectInfoTable[NumberOfReplications]))</f>
        <v>10</v>
      </c>
      <c r="O251" s="5" cm="1">
        <f t="array" ref="O251">IFERROR(AVERAGE(IF((ContinuousStatsTable[GroupByKey]=ContinuousStatsTable[[#This Row],[GroupByKey]]),(ContinuousStatsTable[GroupByKey]=ContinuousStatsTable[[#This Row],[GroupByKey]])*ContinuousStatsTable[Average])),0)</f>
        <v>0.73175058451933661</v>
      </c>
      <c r="P251" s="5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6.0813477412386734E-2</v>
      </c>
      <c r="Q251" s="5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4.3503341043041877E-2</v>
      </c>
      <c r="S251" s="5" cm="1">
        <f t="array" ref="S251">MIN(IF((ContinuousStatsTable[GroupByKey]=ContinuousStatsTable[[#This Row],[GroupByKey]]),(ContinuousStatsTable[GroupByKey]=ContinuousStatsTable[[#This Row],[GroupByKey]])*ContinuousStatsTable[Average]))</f>
        <v>0.64995347349336796</v>
      </c>
      <c r="T251" s="5" cm="1">
        <f t="array" ref="T251">MAX(IF((ContinuousStatsTable[GroupByKey]=ContinuousStatsTable[[#This Row],[GroupByKey]]),(ContinuousStatsTable[GroupByKey]=ContinuousStatsTable[[#This Row],[GroupByKey]])*ContinuousStatsTable[Average]))</f>
        <v>0.82581624655093899</v>
      </c>
      <c r="U251" s="5">
        <f>IF((ContinuousStatsTable[[#This Row],[RepsRequested]]&gt;1),ContinuousStatsTable[[#This Row],[HalfWidth]],ContinuousStatsTable[[#This Row],[BatchMeansHalfWidth]])</f>
        <v>4.3503341043041877E-2</v>
      </c>
    </row>
    <row r="252" spans="1:21" x14ac:dyDescent="0.3">
      <c r="A252" t="s">
        <v>66</v>
      </c>
      <c r="B252" t="s">
        <v>68</v>
      </c>
      <c r="C252">
        <v>7</v>
      </c>
      <c r="D252" t="s">
        <v>106</v>
      </c>
      <c r="E252" t="s">
        <v>105</v>
      </c>
      <c r="F252" t="s">
        <v>103</v>
      </c>
      <c r="G252">
        <v>1</v>
      </c>
      <c r="H252">
        <v>2E+20</v>
      </c>
      <c r="I252">
        <v>1</v>
      </c>
      <c r="J252">
        <v>1</v>
      </c>
      <c r="K252">
        <v>1</v>
      </c>
      <c r="L252">
        <v>0</v>
      </c>
      <c r="M252" s="5" t="str">
        <f>ContinuousStatsTable[[#This Row],[ProjectName]]&amp;ContinuousStatsTable[[#This Row],[Name]]&amp;ContinuousStatsTable[[#This Row],[Type]]&amp;ContinuousStatsTable[[#This Row],[Source]]</f>
        <v>Unnamed ProjectNacionalautoNumber ScheduledResource</v>
      </c>
      <c r="N252" s="5" cm="1">
        <f t="array" ref="N252">MAX(IF((ProjectInfoTable[ProjectName]=ContinuousStatsTable[[#This Row],[ProjectName]]),(ProjectInfoTable[ProjectName]=ContinuousStatsTable[[#This Row],[ProjectName]])*ProjectInfoTable[NumberOfReplications]))</f>
        <v>10</v>
      </c>
      <c r="O252" s="5" cm="1">
        <f t="array" ref="O252">IFERROR(AVERAGE(IF((ContinuousStatsTable[GroupByKey]=ContinuousStatsTable[[#This Row],[GroupByKey]]),(ContinuousStatsTable[GroupByKey]=ContinuousStatsTable[[#This Row],[GroupByKey]])*ContinuousStatsTable[Average])),0)</f>
        <v>1</v>
      </c>
      <c r="P252" s="5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0</v>
      </c>
      <c r="Q252" s="5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2" s="5" cm="1">
        <f t="array" ref="S252">MIN(IF((ContinuousStatsTable[GroupByKey]=ContinuousStatsTable[[#This Row],[GroupByKey]]),(ContinuousStatsTable[GroupByKey]=ContinuousStatsTable[[#This Row],[GroupByKey]])*ContinuousStatsTable[Average]))</f>
        <v>1</v>
      </c>
      <c r="T252" s="5" cm="1">
        <f t="array" ref="T252">MAX(IF((ContinuousStatsTable[GroupByKey]=ContinuousStatsTable[[#This Row],[GroupByKey]]),(ContinuousStatsTable[GroupByKey]=ContinuousStatsTable[[#This Row],[GroupByKey]])*ContinuousStatsTable[Average]))</f>
        <v>1</v>
      </c>
      <c r="U252" s="5">
        <f>IF((ContinuousStatsTable[[#This Row],[RepsRequested]]&gt;1),ContinuousStatsTable[[#This Row],[HalfWidth]],ContinuousStatsTable[[#This Row],[BatchMeansHalfWidth]])</f>
        <v>0</v>
      </c>
    </row>
    <row r="253" spans="1:21" x14ac:dyDescent="0.3">
      <c r="A253" t="s">
        <v>66</v>
      </c>
      <c r="B253" t="s">
        <v>68</v>
      </c>
      <c r="C253">
        <v>7</v>
      </c>
      <c r="D253" t="s">
        <v>107</v>
      </c>
      <c r="E253" t="s">
        <v>102</v>
      </c>
      <c r="F253" t="s">
        <v>103</v>
      </c>
      <c r="G253">
        <v>7.2569428850728201E-2</v>
      </c>
      <c r="H253">
        <v>1.2694328114377399E-2</v>
      </c>
      <c r="I253">
        <v>0</v>
      </c>
      <c r="J253">
        <v>1</v>
      </c>
      <c r="K253">
        <v>0</v>
      </c>
      <c r="L253">
        <v>0</v>
      </c>
      <c r="M253" s="5" t="str">
        <f>ContinuousStatsTable[[#This Row],[ProjectName]]&amp;ContinuousStatsTable[[#This Row],[Name]]&amp;ContinuousStatsTable[[#This Row],[Type]]&amp;ContinuousStatsTable[[#This Row],[Source]]</f>
        <v>Unnamed ProjectOperarios AvionInstantaneous UtilizationResource</v>
      </c>
      <c r="N253" s="5" cm="1">
        <f t="array" ref="N253">MAX(IF((ProjectInfoTable[ProjectName]=ContinuousStatsTable[[#This Row],[ProjectName]]),(ProjectInfoTable[ProjectName]=ContinuousStatsTable[[#This Row],[ProjectName]])*ProjectInfoTable[NumberOfReplications]))</f>
        <v>10</v>
      </c>
      <c r="O253" s="5" cm="1">
        <f t="array" ref="O253">IFERROR(AVERAGE(IF((ContinuousStatsTable[GroupByKey]=ContinuousStatsTable[[#This Row],[GroupByKey]]),(ContinuousStatsTable[GroupByKey]=ContinuousStatsTable[[#This Row],[GroupByKey]])*ContinuousStatsTable[Average])),0)</f>
        <v>7.5958437118625627E-2</v>
      </c>
      <c r="P253" s="5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5.0572810112240948E-3</v>
      </c>
      <c r="Q253" s="5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3.6177608968134627E-3</v>
      </c>
      <c r="S253" s="5" cm="1">
        <f t="array" ref="S253">MIN(IF((ContinuousStatsTable[GroupByKey]=ContinuousStatsTable[[#This Row],[GroupByKey]]),(ContinuousStatsTable[GroupByKey]=ContinuousStatsTable[[#This Row],[GroupByKey]])*ContinuousStatsTable[Average]))</f>
        <v>6.7485948117393404E-2</v>
      </c>
      <c r="T253" s="5" cm="1">
        <f t="array" ref="T253">MAX(IF((ContinuousStatsTable[GroupByKey]=ContinuousStatsTable[[#This Row],[GroupByKey]]),(ContinuousStatsTable[GroupByKey]=ContinuousStatsTable[[#This Row],[GroupByKey]])*ContinuousStatsTable[Average]))</f>
        <v>8.7852447587946303E-2</v>
      </c>
      <c r="U253" s="5">
        <f>IF((ContinuousStatsTable[[#This Row],[RepsRequested]]&gt;1),ContinuousStatsTable[[#This Row],[HalfWidth]],ContinuousStatsTable[[#This Row],[BatchMeansHalfWidth]])</f>
        <v>3.6177608968134627E-3</v>
      </c>
    </row>
    <row r="254" spans="1:21" x14ac:dyDescent="0.3">
      <c r="A254" t="s">
        <v>66</v>
      </c>
      <c r="B254" t="s">
        <v>68</v>
      </c>
      <c r="C254">
        <v>7</v>
      </c>
      <c r="D254" t="s">
        <v>107</v>
      </c>
      <c r="E254" t="s">
        <v>104</v>
      </c>
      <c r="F254" t="s">
        <v>103</v>
      </c>
      <c r="G254">
        <v>0.14513885770145599</v>
      </c>
      <c r="H254">
        <v>2.5388656228754899E-2</v>
      </c>
      <c r="I254">
        <v>0</v>
      </c>
      <c r="J254">
        <v>2</v>
      </c>
      <c r="K254">
        <v>0</v>
      </c>
      <c r="L254">
        <v>0</v>
      </c>
      <c r="M254" s="5" t="str">
        <f>ContinuousStatsTable[[#This Row],[ProjectName]]&amp;ContinuousStatsTable[[#This Row],[Name]]&amp;ContinuousStatsTable[[#This Row],[Type]]&amp;ContinuousStatsTable[[#This Row],[Source]]</f>
        <v>Unnamed ProjectOperarios AvionNumber BusyResource</v>
      </c>
      <c r="N254" s="5" cm="1">
        <f t="array" ref="N254">MAX(IF((ProjectInfoTable[ProjectName]=ContinuousStatsTable[[#This Row],[ProjectName]]),(ProjectInfoTable[ProjectName]=ContinuousStatsTable[[#This Row],[ProjectName]])*ProjectInfoTable[NumberOfReplications]))</f>
        <v>10</v>
      </c>
      <c r="O254" s="5" cm="1">
        <f t="array" ref="O254">IFERROR(AVERAGE(IF((ContinuousStatsTable[GroupByKey]=ContinuousStatsTable[[#This Row],[GroupByKey]]),(ContinuousStatsTable[GroupByKey]=ContinuousStatsTable[[#This Row],[GroupByKey]])*ContinuousStatsTable[Average])),0)</f>
        <v>0.1519168742372512</v>
      </c>
      <c r="P254" s="5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1.0114562022448264E-2</v>
      </c>
      <c r="Q254" s="5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7.2355217936269783E-3</v>
      </c>
      <c r="S254" s="5" cm="1">
        <f t="array" ref="S254">MIN(IF((ContinuousStatsTable[GroupByKey]=ContinuousStatsTable[[#This Row],[GroupByKey]]),(ContinuousStatsTable[GroupByKey]=ContinuousStatsTable[[#This Row],[GroupByKey]])*ContinuousStatsTable[Average]))</f>
        <v>0.134971896234787</v>
      </c>
      <c r="T254" s="5" cm="1">
        <f t="array" ref="T254">MAX(IF((ContinuousStatsTable[GroupByKey]=ContinuousStatsTable[[#This Row],[GroupByKey]]),(ContinuousStatsTable[GroupByKey]=ContinuousStatsTable[[#This Row],[GroupByKey]])*ContinuousStatsTable[Average]))</f>
        <v>0.17570489517589299</v>
      </c>
      <c r="U254" s="5">
        <f>IF((ContinuousStatsTable[[#This Row],[RepsRequested]]&gt;1),ContinuousStatsTable[[#This Row],[HalfWidth]],ContinuousStatsTable[[#This Row],[BatchMeansHalfWidth]])</f>
        <v>7.2355217936269783E-3</v>
      </c>
    </row>
    <row r="255" spans="1:21" x14ac:dyDescent="0.3">
      <c r="A255" t="s">
        <v>66</v>
      </c>
      <c r="B255" t="s">
        <v>68</v>
      </c>
      <c r="C255">
        <v>7</v>
      </c>
      <c r="D255" t="s">
        <v>107</v>
      </c>
      <c r="E255" t="s">
        <v>105</v>
      </c>
      <c r="F255" t="s">
        <v>103</v>
      </c>
      <c r="G255">
        <v>2</v>
      </c>
      <c r="H255">
        <v>2E+20</v>
      </c>
      <c r="I255">
        <v>2</v>
      </c>
      <c r="J255">
        <v>2</v>
      </c>
      <c r="K255">
        <v>2</v>
      </c>
      <c r="L255">
        <v>0</v>
      </c>
      <c r="M255" s="5" t="str">
        <f>ContinuousStatsTable[[#This Row],[ProjectName]]&amp;ContinuousStatsTable[[#This Row],[Name]]&amp;ContinuousStatsTable[[#This Row],[Type]]&amp;ContinuousStatsTable[[#This Row],[Source]]</f>
        <v>Unnamed ProjectOperarios AvionNumber ScheduledResource</v>
      </c>
      <c r="N255" s="5" cm="1">
        <f t="array" ref="N255">MAX(IF((ProjectInfoTable[ProjectName]=ContinuousStatsTable[[#This Row],[ProjectName]]),(ProjectInfoTable[ProjectName]=ContinuousStatsTable[[#This Row],[ProjectName]])*ProjectInfoTable[NumberOfReplications]))</f>
        <v>10</v>
      </c>
      <c r="O255" s="5" cm="1">
        <f t="array" ref="O255">IFERROR(AVERAGE(IF((ContinuousStatsTable[GroupByKey]=ContinuousStatsTable[[#This Row],[GroupByKey]]),(ContinuousStatsTable[GroupByKey]=ContinuousStatsTable[[#This Row],[GroupByKey]])*ContinuousStatsTable[Average])),0)</f>
        <v>2</v>
      </c>
      <c r="P255" s="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0</v>
      </c>
      <c r="Q255" s="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5" s="5" cm="1">
        <f t="array" ref="S255">MIN(IF((ContinuousStatsTable[GroupByKey]=ContinuousStatsTable[[#This Row],[GroupByKey]]),(ContinuousStatsTable[GroupByKey]=ContinuousStatsTable[[#This Row],[GroupByKey]])*ContinuousStatsTable[Average]))</f>
        <v>2</v>
      </c>
      <c r="T255" s="5" cm="1">
        <f t="array" ref="T255">MAX(IF((ContinuousStatsTable[GroupByKey]=ContinuousStatsTable[[#This Row],[GroupByKey]]),(ContinuousStatsTable[GroupByKey]=ContinuousStatsTable[[#This Row],[GroupByKey]])*ContinuousStatsTable[Average]))</f>
        <v>2</v>
      </c>
      <c r="U255" s="5">
        <f>IF((ContinuousStatsTable[[#This Row],[RepsRequested]]&gt;1),ContinuousStatsTable[[#This Row],[HalfWidth]],ContinuousStatsTable[[#This Row],[BatchMeansHalfWidth]])</f>
        <v>0</v>
      </c>
    </row>
    <row r="256" spans="1:21" x14ac:dyDescent="0.3">
      <c r="A256" t="s">
        <v>66</v>
      </c>
      <c r="B256" t="s">
        <v>68</v>
      </c>
      <c r="C256">
        <v>7</v>
      </c>
      <c r="D256" t="s">
        <v>108</v>
      </c>
      <c r="E256" t="s">
        <v>102</v>
      </c>
      <c r="F256" t="s">
        <v>103</v>
      </c>
      <c r="G256">
        <v>0.28913636698845602</v>
      </c>
      <c r="H256">
        <v>2E+20</v>
      </c>
      <c r="I256">
        <v>0</v>
      </c>
      <c r="J256">
        <v>1</v>
      </c>
      <c r="K256">
        <v>1</v>
      </c>
      <c r="L256">
        <v>0</v>
      </c>
      <c r="M256" s="5" t="str">
        <f>ContinuousStatsTable[[#This Row],[ProjectName]]&amp;ContinuousStatsTable[[#This Row],[Name]]&amp;ContinuousStatsTable[[#This Row],[Type]]&amp;ContinuousStatsTable[[#This Row],[Source]]</f>
        <v>Unnamed ProjectcajeraInstantaneous UtilizationResource</v>
      </c>
      <c r="N256" s="5" cm="1">
        <f t="array" ref="N256">MAX(IF((ProjectInfoTable[ProjectName]=ContinuousStatsTable[[#This Row],[ProjectName]]),(ProjectInfoTable[ProjectName]=ContinuousStatsTable[[#This Row],[ProjectName]])*ProjectInfoTable[NumberOfReplications]))</f>
        <v>10</v>
      </c>
      <c r="O256" s="5" cm="1">
        <f t="array" ref="O256">IFERROR(AVERAGE(IF((ContinuousStatsTable[GroupByKey]=ContinuousStatsTable[[#This Row],[GroupByKey]]),(ContinuousStatsTable[GroupByKey]=ContinuousStatsTable[[#This Row],[GroupByKey]])*ContinuousStatsTable[Average])),0)</f>
        <v>0.38078385056341441</v>
      </c>
      <c r="P256" s="5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5.6481911326734656E-2</v>
      </c>
      <c r="Q256" s="5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4.040472533000234E-2</v>
      </c>
      <c r="S256" s="5" cm="1">
        <f t="array" ref="S256">MIN(IF((ContinuousStatsTable[GroupByKey]=ContinuousStatsTable[[#This Row],[GroupByKey]]),(ContinuousStatsTable[GroupByKey]=ContinuousStatsTable[[#This Row],[GroupByKey]])*ContinuousStatsTable[Average]))</f>
        <v>0.28913636698845602</v>
      </c>
      <c r="T256" s="5" cm="1">
        <f t="array" ref="T256">MAX(IF((ContinuousStatsTable[GroupByKey]=ContinuousStatsTable[[#This Row],[GroupByKey]]),(ContinuousStatsTable[GroupByKey]=ContinuousStatsTable[[#This Row],[GroupByKey]])*ContinuousStatsTable[Average]))</f>
        <v>0.46134650546047301</v>
      </c>
      <c r="U256" s="5">
        <f>IF((ContinuousStatsTable[[#This Row],[RepsRequested]]&gt;1),ContinuousStatsTable[[#This Row],[HalfWidth]],ContinuousStatsTable[[#This Row],[BatchMeansHalfWidth]])</f>
        <v>4.040472533000234E-2</v>
      </c>
    </row>
    <row r="257" spans="1:21" x14ac:dyDescent="0.3">
      <c r="A257" t="s">
        <v>66</v>
      </c>
      <c r="B257" t="s">
        <v>68</v>
      </c>
      <c r="C257">
        <v>7</v>
      </c>
      <c r="D257" t="s">
        <v>108</v>
      </c>
      <c r="E257" t="s">
        <v>104</v>
      </c>
      <c r="F257" t="s">
        <v>103</v>
      </c>
      <c r="G257">
        <v>0.28913636698845602</v>
      </c>
      <c r="H257">
        <v>2E+20</v>
      </c>
      <c r="I257">
        <v>0</v>
      </c>
      <c r="J257">
        <v>1</v>
      </c>
      <c r="K257">
        <v>1</v>
      </c>
      <c r="L257">
        <v>0</v>
      </c>
      <c r="M257" s="5" t="str">
        <f>ContinuousStatsTable[[#This Row],[ProjectName]]&amp;ContinuousStatsTable[[#This Row],[Name]]&amp;ContinuousStatsTable[[#This Row],[Type]]&amp;ContinuousStatsTable[[#This Row],[Source]]</f>
        <v>Unnamed ProjectcajeraNumber BusyResource</v>
      </c>
      <c r="N257" s="5" cm="1">
        <f t="array" ref="N257">MAX(IF((ProjectInfoTable[ProjectName]=ContinuousStatsTable[[#This Row],[ProjectName]]),(ProjectInfoTable[ProjectName]=ContinuousStatsTable[[#This Row],[ProjectName]])*ProjectInfoTable[NumberOfReplications]))</f>
        <v>10</v>
      </c>
      <c r="O257" s="5" cm="1">
        <f t="array" ref="O257">IFERROR(AVERAGE(IF((ContinuousStatsTable[GroupByKey]=ContinuousStatsTable[[#This Row],[GroupByKey]]),(ContinuousStatsTable[GroupByKey]=ContinuousStatsTable[[#This Row],[GroupByKey]])*ContinuousStatsTable[Average])),0)</f>
        <v>0.38078385056341441</v>
      </c>
      <c r="P257" s="5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5.6481911326734656E-2</v>
      </c>
      <c r="Q257" s="5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4.040472533000234E-2</v>
      </c>
      <c r="S257" s="5" cm="1">
        <f t="array" ref="S257">MIN(IF((ContinuousStatsTable[GroupByKey]=ContinuousStatsTable[[#This Row],[GroupByKey]]),(ContinuousStatsTable[GroupByKey]=ContinuousStatsTable[[#This Row],[GroupByKey]])*ContinuousStatsTable[Average]))</f>
        <v>0.28913636698845602</v>
      </c>
      <c r="T257" s="5" cm="1">
        <f t="array" ref="T257">MAX(IF((ContinuousStatsTable[GroupByKey]=ContinuousStatsTable[[#This Row],[GroupByKey]]),(ContinuousStatsTable[GroupByKey]=ContinuousStatsTable[[#This Row],[GroupByKey]])*ContinuousStatsTable[Average]))</f>
        <v>0.46134650546047301</v>
      </c>
      <c r="U257" s="5">
        <f>IF((ContinuousStatsTable[[#This Row],[RepsRequested]]&gt;1),ContinuousStatsTable[[#This Row],[HalfWidth]],ContinuousStatsTable[[#This Row],[BatchMeansHalfWidth]])</f>
        <v>4.040472533000234E-2</v>
      </c>
    </row>
    <row r="258" spans="1:21" x14ac:dyDescent="0.3">
      <c r="A258" t="s">
        <v>66</v>
      </c>
      <c r="B258" t="s">
        <v>68</v>
      </c>
      <c r="C258">
        <v>7</v>
      </c>
      <c r="D258" t="s">
        <v>108</v>
      </c>
      <c r="E258" t="s">
        <v>105</v>
      </c>
      <c r="F258" t="s">
        <v>103</v>
      </c>
      <c r="G258">
        <v>1</v>
      </c>
      <c r="H258">
        <v>2E+20</v>
      </c>
      <c r="I258">
        <v>1</v>
      </c>
      <c r="J258">
        <v>1</v>
      </c>
      <c r="K258">
        <v>1</v>
      </c>
      <c r="L258">
        <v>0</v>
      </c>
      <c r="M258" s="5" t="str">
        <f>ContinuousStatsTable[[#This Row],[ProjectName]]&amp;ContinuousStatsTable[[#This Row],[Name]]&amp;ContinuousStatsTable[[#This Row],[Type]]&amp;ContinuousStatsTable[[#This Row],[Source]]</f>
        <v>Unnamed ProjectcajeraNumber ScheduledResource</v>
      </c>
      <c r="N258" s="5" cm="1">
        <f t="array" ref="N258">MAX(IF((ProjectInfoTable[ProjectName]=ContinuousStatsTable[[#This Row],[ProjectName]]),(ProjectInfoTable[ProjectName]=ContinuousStatsTable[[#This Row],[ProjectName]])*ProjectInfoTable[NumberOfReplications]))</f>
        <v>10</v>
      </c>
      <c r="O258" s="5" cm="1">
        <f t="array" ref="O258">IFERROR(AVERAGE(IF((ContinuousStatsTable[GroupByKey]=ContinuousStatsTable[[#This Row],[GroupByKey]]),(ContinuousStatsTable[GroupByKey]=ContinuousStatsTable[[#This Row],[GroupByKey]])*ContinuousStatsTable[Average])),0)</f>
        <v>1</v>
      </c>
      <c r="P258" s="5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0</v>
      </c>
      <c r="Q258" s="5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8" s="5" cm="1">
        <f t="array" ref="S258">MIN(IF((ContinuousStatsTable[GroupByKey]=ContinuousStatsTable[[#This Row],[GroupByKey]]),(ContinuousStatsTable[GroupByKey]=ContinuousStatsTable[[#This Row],[GroupByKey]])*ContinuousStatsTable[Average]))</f>
        <v>1</v>
      </c>
      <c r="T258" s="5" cm="1">
        <f t="array" ref="T258">MAX(IF((ContinuousStatsTable[GroupByKey]=ContinuousStatsTable[[#This Row],[GroupByKey]]),(ContinuousStatsTable[GroupByKey]=ContinuousStatsTable[[#This Row],[GroupByKey]])*ContinuousStatsTable[Average]))</f>
        <v>1</v>
      </c>
      <c r="U258" s="5">
        <f>IF((ContinuousStatsTable[[#This Row],[RepsRequested]]&gt;1),ContinuousStatsTable[[#This Row],[HalfWidth]],ContinuousStatsTable[[#This Row],[BatchMeansHalfWidth]])</f>
        <v>0</v>
      </c>
    </row>
    <row r="259" spans="1:21" x14ac:dyDescent="0.3">
      <c r="A259" t="s">
        <v>66</v>
      </c>
      <c r="B259" t="s">
        <v>68</v>
      </c>
      <c r="C259">
        <v>7</v>
      </c>
      <c r="D259" t="s">
        <v>109</v>
      </c>
      <c r="E259" t="s">
        <v>102</v>
      </c>
      <c r="F259" t="s">
        <v>103</v>
      </c>
      <c r="G259">
        <v>0.73344270356277796</v>
      </c>
      <c r="H259">
        <v>2E+20</v>
      </c>
      <c r="I259">
        <v>0</v>
      </c>
      <c r="J259">
        <v>1</v>
      </c>
      <c r="K259">
        <v>1</v>
      </c>
      <c r="L259">
        <v>0</v>
      </c>
      <c r="M259" s="5" t="str">
        <f>ContinuousStatsTable[[#This Row],[ProjectName]]&amp;ContinuousStatsTable[[#This Row],[Name]]&amp;ContinuousStatsTable[[#This Row],[Type]]&amp;ContinuousStatsTable[[#This Row],[Source]]</f>
        <v>Unnamed Projectcajera2Instantaneous UtilizationResource</v>
      </c>
      <c r="N259" s="5" cm="1">
        <f t="array" ref="N259">MAX(IF((ProjectInfoTable[ProjectName]=ContinuousStatsTable[[#This Row],[ProjectName]]),(ProjectInfoTable[ProjectName]=ContinuousStatsTable[[#This Row],[ProjectName]])*ProjectInfoTable[NumberOfReplications]))</f>
        <v>10</v>
      </c>
      <c r="O259" s="5" cm="1">
        <f t="array" ref="O259">IFERROR(AVERAGE(IF((ContinuousStatsTable[GroupByKey]=ContinuousStatsTable[[#This Row],[GroupByKey]]),(ContinuousStatsTable[GroupByKey]=ContinuousStatsTable[[#This Row],[GroupByKey]])*ContinuousStatsTable[Average])),0)</f>
        <v>0.73571117943508912</v>
      </c>
      <c r="P259" s="5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2.3945213257811505E-2</v>
      </c>
      <c r="Q259" s="5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1.7129373668915777E-2</v>
      </c>
      <c r="S259" s="5" cm="1">
        <f t="array" ref="S259">MIN(IF((ContinuousStatsTable[GroupByKey]=ContinuousStatsTable[[#This Row],[GroupByKey]]),(ContinuousStatsTable[GroupByKey]=ContinuousStatsTable[[#This Row],[GroupByKey]])*ContinuousStatsTable[Average]))</f>
        <v>0.69752119636771104</v>
      </c>
      <c r="T259" s="5" cm="1">
        <f t="array" ref="T259">MAX(IF((ContinuousStatsTable[GroupByKey]=ContinuousStatsTable[[#This Row],[GroupByKey]]),(ContinuousStatsTable[GroupByKey]=ContinuousStatsTable[[#This Row],[GroupByKey]])*ContinuousStatsTable[Average]))</f>
        <v>0.77845968782647601</v>
      </c>
      <c r="U259" s="5">
        <f>IF((ContinuousStatsTable[[#This Row],[RepsRequested]]&gt;1),ContinuousStatsTable[[#This Row],[HalfWidth]],ContinuousStatsTable[[#This Row],[BatchMeansHalfWidth]])</f>
        <v>1.7129373668915777E-2</v>
      </c>
    </row>
    <row r="260" spans="1:21" x14ac:dyDescent="0.3">
      <c r="A260" t="s">
        <v>66</v>
      </c>
      <c r="B260" t="s">
        <v>68</v>
      </c>
      <c r="C260">
        <v>7</v>
      </c>
      <c r="D260" t="s">
        <v>109</v>
      </c>
      <c r="E260" t="s">
        <v>104</v>
      </c>
      <c r="F260" t="s">
        <v>103</v>
      </c>
      <c r="G260">
        <v>0.73344270356277796</v>
      </c>
      <c r="H260">
        <v>2E+20</v>
      </c>
      <c r="I260">
        <v>0</v>
      </c>
      <c r="J260">
        <v>1</v>
      </c>
      <c r="K260">
        <v>1</v>
      </c>
      <c r="L260">
        <v>0</v>
      </c>
      <c r="M260" s="5" t="str">
        <f>ContinuousStatsTable[[#This Row],[ProjectName]]&amp;ContinuousStatsTable[[#This Row],[Name]]&amp;ContinuousStatsTable[[#This Row],[Type]]&amp;ContinuousStatsTable[[#This Row],[Source]]</f>
        <v>Unnamed Projectcajera2Number BusyResource</v>
      </c>
      <c r="N260" s="5" cm="1">
        <f t="array" ref="N260">MAX(IF((ProjectInfoTable[ProjectName]=ContinuousStatsTable[[#This Row],[ProjectName]]),(ProjectInfoTable[ProjectName]=ContinuousStatsTable[[#This Row],[ProjectName]])*ProjectInfoTable[NumberOfReplications]))</f>
        <v>10</v>
      </c>
      <c r="O260" s="5" cm="1">
        <f t="array" ref="O260">IFERROR(AVERAGE(IF((ContinuousStatsTable[GroupByKey]=ContinuousStatsTable[[#This Row],[GroupByKey]]),(ContinuousStatsTable[GroupByKey]=ContinuousStatsTable[[#This Row],[GroupByKey]])*ContinuousStatsTable[Average])),0)</f>
        <v>0.73571117943508912</v>
      </c>
      <c r="P260" s="5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2.3945213257811505E-2</v>
      </c>
      <c r="Q260" s="5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1.7129373668915777E-2</v>
      </c>
      <c r="S260" s="5" cm="1">
        <f t="array" ref="S260">MIN(IF((ContinuousStatsTable[GroupByKey]=ContinuousStatsTable[[#This Row],[GroupByKey]]),(ContinuousStatsTable[GroupByKey]=ContinuousStatsTable[[#This Row],[GroupByKey]])*ContinuousStatsTable[Average]))</f>
        <v>0.69752119636771104</v>
      </c>
      <c r="T260" s="5" cm="1">
        <f t="array" ref="T260">MAX(IF((ContinuousStatsTable[GroupByKey]=ContinuousStatsTable[[#This Row],[GroupByKey]]),(ContinuousStatsTable[GroupByKey]=ContinuousStatsTable[[#This Row],[GroupByKey]])*ContinuousStatsTable[Average]))</f>
        <v>0.77845968782647601</v>
      </c>
      <c r="U260" s="5">
        <f>IF((ContinuousStatsTable[[#This Row],[RepsRequested]]&gt;1),ContinuousStatsTable[[#This Row],[HalfWidth]],ContinuousStatsTable[[#This Row],[BatchMeansHalfWidth]])</f>
        <v>1.7129373668915777E-2</v>
      </c>
    </row>
    <row r="261" spans="1:21" x14ac:dyDescent="0.3">
      <c r="A261" t="s">
        <v>66</v>
      </c>
      <c r="B261" t="s">
        <v>68</v>
      </c>
      <c r="C261">
        <v>7</v>
      </c>
      <c r="D261" t="s">
        <v>109</v>
      </c>
      <c r="E261" t="s">
        <v>105</v>
      </c>
      <c r="F261" t="s">
        <v>103</v>
      </c>
      <c r="G261">
        <v>1</v>
      </c>
      <c r="H261">
        <v>2E+20</v>
      </c>
      <c r="I261">
        <v>1</v>
      </c>
      <c r="J261">
        <v>1</v>
      </c>
      <c r="K261">
        <v>1</v>
      </c>
      <c r="L261">
        <v>0</v>
      </c>
      <c r="M261" s="5" t="str">
        <f>ContinuousStatsTable[[#This Row],[ProjectName]]&amp;ContinuousStatsTable[[#This Row],[Name]]&amp;ContinuousStatsTable[[#This Row],[Type]]&amp;ContinuousStatsTable[[#This Row],[Source]]</f>
        <v>Unnamed Projectcajera2Number ScheduledResource</v>
      </c>
      <c r="N261" s="5" cm="1">
        <f t="array" ref="N261">MAX(IF((ProjectInfoTable[ProjectName]=ContinuousStatsTable[[#This Row],[ProjectName]]),(ProjectInfoTable[ProjectName]=ContinuousStatsTable[[#This Row],[ProjectName]])*ProjectInfoTable[NumberOfReplications]))</f>
        <v>10</v>
      </c>
      <c r="O261" s="5" cm="1">
        <f t="array" ref="O261">IFERROR(AVERAGE(IF((ContinuousStatsTable[GroupByKey]=ContinuousStatsTable[[#This Row],[GroupByKey]]),(ContinuousStatsTable[GroupByKey]=ContinuousStatsTable[[#This Row],[GroupByKey]])*ContinuousStatsTable[Average])),0)</f>
        <v>1</v>
      </c>
      <c r="P261" s="5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0</v>
      </c>
      <c r="Q261" s="5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1" s="5" cm="1">
        <f t="array" ref="S261">MIN(IF((ContinuousStatsTable[GroupByKey]=ContinuousStatsTable[[#This Row],[GroupByKey]]),(ContinuousStatsTable[GroupByKey]=ContinuousStatsTable[[#This Row],[GroupByKey]])*ContinuousStatsTable[Average]))</f>
        <v>1</v>
      </c>
      <c r="T261" s="5" cm="1">
        <f t="array" ref="T261">MAX(IF((ContinuousStatsTable[GroupByKey]=ContinuousStatsTable[[#This Row],[GroupByKey]]),(ContinuousStatsTable[GroupByKey]=ContinuousStatsTable[[#This Row],[GroupByKey]])*ContinuousStatsTable[Average]))</f>
        <v>1</v>
      </c>
      <c r="U261" s="5">
        <f>IF((ContinuousStatsTable[[#This Row],[RepsRequested]]&gt;1),ContinuousStatsTable[[#This Row],[HalfWidth]],ContinuousStatsTable[[#This Row],[BatchMeansHalfWidth]])</f>
        <v>0</v>
      </c>
    </row>
    <row r="262" spans="1:21" x14ac:dyDescent="0.3">
      <c r="A262" t="s">
        <v>66</v>
      </c>
      <c r="B262" t="s">
        <v>68</v>
      </c>
      <c r="C262">
        <v>7</v>
      </c>
      <c r="D262" t="s">
        <v>93</v>
      </c>
      <c r="E262" t="s">
        <v>99</v>
      </c>
      <c r="F262" t="s">
        <v>71</v>
      </c>
      <c r="G262">
        <v>0.454471375389287</v>
      </c>
      <c r="H262">
        <v>2E+20</v>
      </c>
      <c r="I262">
        <v>0</v>
      </c>
      <c r="J262">
        <v>4</v>
      </c>
      <c r="K262">
        <v>0</v>
      </c>
      <c r="L262">
        <v>0</v>
      </c>
      <c r="M262" s="5" t="str">
        <f>ContinuousStatsTable[[#This Row],[ProjectName]]&amp;ContinuousStatsTable[[#This Row],[Name]]&amp;ContinuousStatsTable[[#This Row],[Type]]&amp;ContinuousStatsTable[[#This Row],[Source]]</f>
        <v>Unnamed Projectmanualinter.QueueNumber WaitingQueue</v>
      </c>
      <c r="N262" s="5" cm="1">
        <f t="array" ref="N262">MAX(IF((ProjectInfoTable[ProjectName]=ContinuousStatsTable[[#This Row],[ProjectName]]),(ProjectInfoTable[ProjectName]=ContinuousStatsTable[[#This Row],[ProjectName]])*ProjectInfoTable[NumberOfReplications]))</f>
        <v>10</v>
      </c>
      <c r="O262" s="5" cm="1">
        <f t="array" ref="O262">IFERROR(AVERAGE(IF((ContinuousStatsTable[GroupByKey]=ContinuousStatsTable[[#This Row],[GroupByKey]]),(ContinuousStatsTable[GroupByKey]=ContinuousStatsTable[[#This Row],[GroupByKey]])*ContinuousStatsTable[Average])),0)</f>
        <v>0.33257710094571935</v>
      </c>
      <c r="P262" s="5" cm="1">
        <f t="array" ref="P262">IFERROR(_xlfn.STDEV.S(IF((ContinuousStatsTable[GroupByKey]=ContinuousStatsTable[[#This Row],[GroupByKey]]),(ContinuousStatsTable[GroupByKey]=ContinuousStatsTable[[#This Row],[GroupByKey]])*ContinuousStatsTable[Average])),0)</f>
        <v>0.27159595138606457</v>
      </c>
      <c r="Q262" s="5" cm="1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0.19428803945769421</v>
      </c>
      <c r="S262" s="5" cm="1">
        <f t="array" ref="S262">MIN(IF((ContinuousStatsTable[GroupByKey]=ContinuousStatsTable[[#This Row],[GroupByKey]]),(ContinuousStatsTable[GroupByKey]=ContinuousStatsTable[[#This Row],[GroupByKey]])*ContinuousStatsTable[Average]))</f>
        <v>4.88437833500961E-2</v>
      </c>
      <c r="T262" s="5" cm="1">
        <f t="array" ref="T262">MAX(IF((ContinuousStatsTable[GroupByKey]=ContinuousStatsTable[[#This Row],[GroupByKey]]),(ContinuousStatsTable[GroupByKey]=ContinuousStatsTable[[#This Row],[GroupByKey]])*ContinuousStatsTable[Average]))</f>
        <v>0.95917715937716497</v>
      </c>
      <c r="U262" s="5">
        <f>IF((ContinuousStatsTable[[#This Row],[RepsRequested]]&gt;1),ContinuousStatsTable[[#This Row],[HalfWidth]],ContinuousStatsTable[[#This Row],[BatchMeansHalfWidth]])</f>
        <v>0.19428803945769421</v>
      </c>
    </row>
    <row r="263" spans="1:21" x14ac:dyDescent="0.3">
      <c r="A263" t="s">
        <v>66</v>
      </c>
      <c r="B263" t="s">
        <v>68</v>
      </c>
      <c r="C263">
        <v>7</v>
      </c>
      <c r="D263" t="s">
        <v>94</v>
      </c>
      <c r="E263" t="s">
        <v>99</v>
      </c>
      <c r="F263" t="s">
        <v>71</v>
      </c>
      <c r="G263">
        <v>2.0447096127880302E-2</v>
      </c>
      <c r="H263">
        <v>2E+20</v>
      </c>
      <c r="I263">
        <v>0</v>
      </c>
      <c r="J263">
        <v>2</v>
      </c>
      <c r="K263">
        <v>0</v>
      </c>
      <c r="L263">
        <v>0</v>
      </c>
      <c r="M263" s="5" t="str">
        <f>ContinuousStatsTable[[#This Row],[ProjectName]]&amp;ContinuousStatsTable[[#This Row],[Name]]&amp;ContinuousStatsTable[[#This Row],[Type]]&amp;ContinuousStatsTable[[#This Row],[Source]]</f>
        <v>Unnamed Projectmanualnaciona.QueueNumber WaitingQueue</v>
      </c>
      <c r="N263" s="5" cm="1">
        <f t="array" ref="N263">MAX(IF((ProjectInfoTable[ProjectName]=ContinuousStatsTable[[#This Row],[ProjectName]]),(ProjectInfoTable[ProjectName]=ContinuousStatsTable[[#This Row],[ProjectName]])*ProjectInfoTable[NumberOfReplications]))</f>
        <v>10</v>
      </c>
      <c r="O263" s="5" cm="1">
        <f t="array" ref="O263">IFERROR(AVERAGE(IF((ContinuousStatsTable[GroupByKey]=ContinuousStatsTable[[#This Row],[GroupByKey]]),(ContinuousStatsTable[GroupByKey]=ContinuousStatsTable[[#This Row],[GroupByKey]])*ContinuousStatsTable[Average])),0)</f>
        <v>2.2437109622866062E-3</v>
      </c>
      <c r="P263" s="5" cm="1">
        <f t="array" ref="P263">IFERROR(_xlfn.STDEV.S(IF((ContinuousStatsTable[GroupByKey]=ContinuousStatsTable[[#This Row],[GroupByKey]]),(ContinuousStatsTable[GroupByKey]=ContinuousStatsTable[[#This Row],[GroupByKey]])*ContinuousStatsTable[Average])),0)</f>
        <v>6.4095428429067599E-3</v>
      </c>
      <c r="Q263" s="5" cm="1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4.5851107367881972E-3</v>
      </c>
      <c r="S263" s="5" cm="1">
        <f t="array" ref="S263">MIN(IF((ContinuousStatsTable[GroupByKey]=ContinuousStatsTable[[#This Row],[GroupByKey]]),(ContinuousStatsTable[GroupByKey]=ContinuousStatsTable[[#This Row],[GroupByKey]])*ContinuousStatsTable[Average]))</f>
        <v>0</v>
      </c>
      <c r="T263" s="5" cm="1">
        <f t="array" ref="T263">MAX(IF((ContinuousStatsTable[GroupByKey]=ContinuousStatsTable[[#This Row],[GroupByKey]]),(ContinuousStatsTable[GroupByKey]=ContinuousStatsTable[[#This Row],[GroupByKey]])*ContinuousStatsTable[Average]))</f>
        <v>2.0447096127880302E-2</v>
      </c>
      <c r="U263" s="5">
        <f>IF((ContinuousStatsTable[[#This Row],[RepsRequested]]&gt;1),ContinuousStatsTable[[#This Row],[HalfWidth]],ContinuousStatsTable[[#This Row],[BatchMeansHalfWidth]])</f>
        <v>4.5851107367881972E-3</v>
      </c>
    </row>
    <row r="264" spans="1:21" x14ac:dyDescent="0.3">
      <c r="A264" t="s">
        <v>66</v>
      </c>
      <c r="B264" t="s">
        <v>68</v>
      </c>
      <c r="C264">
        <v>7</v>
      </c>
      <c r="D264" t="s">
        <v>95</v>
      </c>
      <c r="E264" t="s">
        <v>99</v>
      </c>
      <c r="F264" t="s">
        <v>71</v>
      </c>
      <c r="G264">
        <v>1.72421883756112</v>
      </c>
      <c r="H264">
        <v>2E+20</v>
      </c>
      <c r="I264">
        <v>0</v>
      </c>
      <c r="J264">
        <v>11</v>
      </c>
      <c r="K264">
        <v>0</v>
      </c>
      <c r="L264">
        <v>0</v>
      </c>
      <c r="M264" s="5" t="str">
        <f>ContinuousStatsTable[[#This Row],[ProjectName]]&amp;ContinuousStatsTable[[#This Row],[Name]]&amp;ContinuousStatsTable[[#This Row],[Type]]&amp;ContinuousStatsTable[[#This Row],[Source]]</f>
        <v>Unnamed Projectmaquinainter.QueueNumber WaitingQueue</v>
      </c>
      <c r="N264" s="5" cm="1">
        <f t="array" ref="N264">MAX(IF((ProjectInfoTable[ProjectName]=ContinuousStatsTable[[#This Row],[ProjectName]]),(ProjectInfoTable[ProjectName]=ContinuousStatsTable[[#This Row],[ProjectName]])*ProjectInfoTable[NumberOfReplications]))</f>
        <v>10</v>
      </c>
      <c r="O264" s="5" cm="1">
        <f t="array" ref="O264">IFERROR(AVERAGE(IF((ContinuousStatsTable[GroupByKey]=ContinuousStatsTable[[#This Row],[GroupByKey]]),(ContinuousStatsTable[GroupByKey]=ContinuousStatsTable[[#This Row],[GroupByKey]])*ContinuousStatsTable[Average])),0)</f>
        <v>2.7250893633296323</v>
      </c>
      <c r="P264" s="5" cm="1">
        <f t="array" ref="P264">IFERROR(_xlfn.STDEV.S(IF((ContinuousStatsTable[GroupByKey]=ContinuousStatsTable[[#This Row],[GroupByKey]]),(ContinuousStatsTable[GroupByKey]=ContinuousStatsTable[[#This Row],[GroupByKey]])*ContinuousStatsTable[Average])),0)</f>
        <v>1.2704307292922721</v>
      </c>
      <c r="Q264" s="5" cm="1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0.90881139575657477</v>
      </c>
      <c r="S264" s="5" cm="1">
        <f t="array" ref="S264">MIN(IF((ContinuousStatsTable[GroupByKey]=ContinuousStatsTable[[#This Row],[GroupByKey]]),(ContinuousStatsTable[GroupByKey]=ContinuousStatsTable[[#This Row],[GroupByKey]])*ContinuousStatsTable[Average]))</f>
        <v>1.35760259855807</v>
      </c>
      <c r="T264" s="5" cm="1">
        <f t="array" ref="T264">MAX(IF((ContinuousStatsTable[GroupByKey]=ContinuousStatsTable[[#This Row],[GroupByKey]]),(ContinuousStatsTable[GroupByKey]=ContinuousStatsTable[[#This Row],[GroupByKey]])*ContinuousStatsTable[Average]))</f>
        <v>5.2621649076821404</v>
      </c>
      <c r="U264" s="5">
        <f>IF((ContinuousStatsTable[[#This Row],[RepsRequested]]&gt;1),ContinuousStatsTable[[#This Row],[HalfWidth]],ContinuousStatsTable[[#This Row],[BatchMeansHalfWidth]])</f>
        <v>0.90881139575657477</v>
      </c>
    </row>
    <row r="265" spans="1:21" x14ac:dyDescent="0.3">
      <c r="A265" t="s">
        <v>66</v>
      </c>
      <c r="B265" t="s">
        <v>68</v>
      </c>
      <c r="C265">
        <v>7</v>
      </c>
      <c r="D265" t="s">
        <v>96</v>
      </c>
      <c r="E265" t="s">
        <v>99</v>
      </c>
      <c r="F265" t="s">
        <v>71</v>
      </c>
      <c r="G265">
        <v>0.21812177731473201</v>
      </c>
      <c r="H265">
        <v>2E+20</v>
      </c>
      <c r="I265">
        <v>0</v>
      </c>
      <c r="J265">
        <v>7</v>
      </c>
      <c r="K265">
        <v>0</v>
      </c>
      <c r="L265">
        <v>0</v>
      </c>
      <c r="M265" s="5" t="str">
        <f>ContinuousStatsTable[[#This Row],[ProjectName]]&amp;ContinuousStatsTable[[#This Row],[Name]]&amp;ContinuousStatsTable[[#This Row],[Type]]&amp;ContinuousStatsTable[[#This Row],[Source]]</f>
        <v>Unnamed Projectmaquinanacional.QueueNumber WaitingQueue</v>
      </c>
      <c r="N265" s="5" cm="1">
        <f t="array" ref="N265">MAX(IF((ProjectInfoTable[ProjectName]=ContinuousStatsTable[[#This Row],[ProjectName]]),(ProjectInfoTable[ProjectName]=ContinuousStatsTable[[#This Row],[ProjectName]])*ProjectInfoTable[NumberOfReplications]))</f>
        <v>10</v>
      </c>
      <c r="O265" s="5" cm="1">
        <f t="array" ref="O265">IFERROR(AVERAGE(IF((ContinuousStatsTable[GroupByKey]=ContinuousStatsTable[[#This Row],[GroupByKey]]),(ContinuousStatsTable[GroupByKey]=ContinuousStatsTable[[#This Row],[GroupByKey]])*ContinuousStatsTable[Average])),0)</f>
        <v>0.20327393268399513</v>
      </c>
      <c r="P265" s="5" cm="1">
        <f t="array" ref="P265">IFERROR(_xlfn.STDEV.S(IF((ContinuousStatsTable[GroupByKey]=ContinuousStatsTable[[#This Row],[GroupByKey]]),(ContinuousStatsTable[GroupByKey]=ContinuousStatsTable[[#This Row],[GroupByKey]])*ContinuousStatsTable[Average])),0)</f>
        <v>5.4678802003311266E-2</v>
      </c>
      <c r="Q265" s="5" cm="1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3.9114858623271326E-2</v>
      </c>
      <c r="S265" s="5" cm="1">
        <f t="array" ref="S265">MIN(IF((ContinuousStatsTable[GroupByKey]=ContinuousStatsTable[[#This Row],[GroupByKey]]),(ContinuousStatsTable[GroupByKey]=ContinuousStatsTable[[#This Row],[GroupByKey]])*ContinuousStatsTable[Average]))</f>
        <v>9.7152989948067606E-2</v>
      </c>
      <c r="T265" s="5" cm="1">
        <f t="array" ref="T265">MAX(IF((ContinuousStatsTable[GroupByKey]=ContinuousStatsTable[[#This Row],[GroupByKey]]),(ContinuousStatsTable[GroupByKey]=ContinuousStatsTable[[#This Row],[GroupByKey]])*ContinuousStatsTable[Average]))</f>
        <v>0.28694483715654301</v>
      </c>
      <c r="U265" s="5">
        <f>IF((ContinuousStatsTable[[#This Row],[RepsRequested]]&gt;1),ContinuousStatsTable[[#This Row],[HalfWidth]],ContinuousStatsTable[[#This Row],[BatchMeansHalfWidth]])</f>
        <v>3.9114858623271326E-2</v>
      </c>
    </row>
    <row r="266" spans="1:21" x14ac:dyDescent="0.3">
      <c r="A266" t="s">
        <v>66</v>
      </c>
      <c r="B266" t="s">
        <v>68</v>
      </c>
      <c r="C266">
        <v>7</v>
      </c>
      <c r="D266" t="s">
        <v>97</v>
      </c>
      <c r="E266" t="s">
        <v>99</v>
      </c>
      <c r="F266" t="s">
        <v>71</v>
      </c>
      <c r="G266">
        <v>0.20510907746109699</v>
      </c>
      <c r="H266">
        <v>2E+20</v>
      </c>
      <c r="I266">
        <v>0</v>
      </c>
      <c r="J266">
        <v>3</v>
      </c>
      <c r="K266">
        <v>1</v>
      </c>
      <c r="L266">
        <v>0</v>
      </c>
      <c r="M266" s="5" t="str">
        <f>ContinuousStatsTable[[#This Row],[ProjectName]]&amp;ContinuousStatsTable[[#This Row],[Name]]&amp;ContinuousStatsTable[[#This Row],[Type]]&amp;ContinuousStatsTable[[#This Row],[Source]]</f>
        <v>Unnamed Projectmostrador1.QueueNumber WaitingQueue</v>
      </c>
      <c r="N266" s="5" cm="1">
        <f t="array" ref="N266">MAX(IF((ProjectInfoTable[ProjectName]=ContinuousStatsTable[[#This Row],[ProjectName]]),(ProjectInfoTable[ProjectName]=ContinuousStatsTable[[#This Row],[ProjectName]])*ProjectInfoTable[NumberOfReplications]))</f>
        <v>10</v>
      </c>
      <c r="O266" s="5" cm="1">
        <f t="array" ref="O266">IFERROR(AVERAGE(IF((ContinuousStatsTable[GroupByKey]=ContinuousStatsTable[[#This Row],[GroupByKey]]),(ContinuousStatsTable[GroupByKey]=ContinuousStatsTable[[#This Row],[GroupByKey]])*ContinuousStatsTable[Average])),0)</f>
        <v>0.25365601436241814</v>
      </c>
      <c r="P266" s="5" cm="1">
        <f t="array" ref="P266">IFERROR(_xlfn.STDEV.S(IF((ContinuousStatsTable[GroupByKey]=ContinuousStatsTable[[#This Row],[GroupByKey]]),(ContinuousStatsTable[GroupByKey]=ContinuousStatsTable[[#This Row],[GroupByKey]])*ContinuousStatsTable[Average])),0)</f>
        <v>9.7306237195948719E-2</v>
      </c>
      <c r="Q266" s="5" cm="1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6.9608688772141478E-2</v>
      </c>
      <c r="S266" s="5" cm="1">
        <f t="array" ref="S266">MIN(IF((ContinuousStatsTable[GroupByKey]=ContinuousStatsTable[[#This Row],[GroupByKey]]),(ContinuousStatsTable[GroupByKey]=ContinuousStatsTable[[#This Row],[GroupByKey]])*ContinuousStatsTable[Average]))</f>
        <v>0.124078487063659</v>
      </c>
      <c r="T266" s="5" cm="1">
        <f t="array" ref="T266">MAX(IF((ContinuousStatsTable[GroupByKey]=ContinuousStatsTable[[#This Row],[GroupByKey]]),(ContinuousStatsTable[GroupByKey]=ContinuousStatsTable[[#This Row],[GroupByKey]])*ContinuousStatsTable[Average]))</f>
        <v>0.381680898629085</v>
      </c>
      <c r="U266" s="5">
        <f>IF((ContinuousStatsTable[[#This Row],[RepsRequested]]&gt;1),ContinuousStatsTable[[#This Row],[HalfWidth]],ContinuousStatsTable[[#This Row],[BatchMeansHalfWidth]])</f>
        <v>6.9608688772141478E-2</v>
      </c>
    </row>
    <row r="267" spans="1:21" x14ac:dyDescent="0.3">
      <c r="A267" t="s">
        <v>66</v>
      </c>
      <c r="B267" t="s">
        <v>68</v>
      </c>
      <c r="C267">
        <v>7</v>
      </c>
      <c r="D267" t="s">
        <v>98</v>
      </c>
      <c r="E267" t="s">
        <v>99</v>
      </c>
      <c r="F267" t="s">
        <v>71</v>
      </c>
      <c r="G267">
        <v>0.53305295566511002</v>
      </c>
      <c r="H267">
        <v>2E+20</v>
      </c>
      <c r="I267">
        <v>0</v>
      </c>
      <c r="J267">
        <v>3</v>
      </c>
      <c r="K267">
        <v>1</v>
      </c>
      <c r="L267">
        <v>0</v>
      </c>
      <c r="M267" s="5" t="str">
        <f>ContinuousStatsTable[[#This Row],[ProjectName]]&amp;ContinuousStatsTable[[#This Row],[Name]]&amp;ContinuousStatsTable[[#This Row],[Type]]&amp;ContinuousStatsTable[[#This Row],[Source]]</f>
        <v>Unnamed Projectmostrador2.QueueNumber WaitingQueue</v>
      </c>
      <c r="N267" s="5" cm="1">
        <f t="array" ref="N267">MAX(IF((ProjectInfoTable[ProjectName]=ContinuousStatsTable[[#This Row],[ProjectName]]),(ProjectInfoTable[ProjectName]=ContinuousStatsTable[[#This Row],[ProjectName]])*ProjectInfoTable[NumberOfReplications]))</f>
        <v>10</v>
      </c>
      <c r="O267" s="5" cm="1">
        <f t="array" ref="O267">IFERROR(AVERAGE(IF((ContinuousStatsTable[GroupByKey]=ContinuousStatsTable[[#This Row],[GroupByKey]]),(ContinuousStatsTable[GroupByKey]=ContinuousStatsTable[[#This Row],[GroupByKey]])*ContinuousStatsTable[Average])),0)</f>
        <v>0.56854078919795403</v>
      </c>
      <c r="P267" s="5" cm="1">
        <f t="array" ref="P267">IFERROR(_xlfn.STDEV.S(IF((ContinuousStatsTable[GroupByKey]=ContinuousStatsTable[[#This Row],[GroupByKey]]),(ContinuousStatsTable[GroupByKey]=ContinuousStatsTable[[#This Row],[GroupByKey]])*ContinuousStatsTable[Average])),0)</f>
        <v>9.5876381195630939E-2</v>
      </c>
      <c r="Q267" s="5" cm="1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6.8585831407770567E-2</v>
      </c>
      <c r="S267" s="5" cm="1">
        <f t="array" ref="S267">MIN(IF((ContinuousStatsTable[GroupByKey]=ContinuousStatsTable[[#This Row],[GroupByKey]]),(ContinuousStatsTable[GroupByKey]=ContinuousStatsTable[[#This Row],[GroupByKey]])*ContinuousStatsTable[Average]))</f>
        <v>0.461258283509344</v>
      </c>
      <c r="T267" s="5" cm="1">
        <f t="array" ref="T267">MAX(IF((ContinuousStatsTable[GroupByKey]=ContinuousStatsTable[[#This Row],[GroupByKey]]),(ContinuousStatsTable[GroupByKey]=ContinuousStatsTable[[#This Row],[GroupByKey]])*ContinuousStatsTable[Average]))</f>
        <v>0.74281217456090598</v>
      </c>
      <c r="U267" s="5">
        <f>IF((ContinuousStatsTable[[#This Row],[RepsRequested]]&gt;1),ContinuousStatsTable[[#This Row],[HalfWidth]],ContinuousStatsTable[[#This Row],[BatchMeansHalfWidth]])</f>
        <v>6.8585831407770567E-2</v>
      </c>
    </row>
    <row r="268" spans="1:21" x14ac:dyDescent="0.3">
      <c r="A268" t="s">
        <v>66</v>
      </c>
      <c r="B268" t="s">
        <v>68</v>
      </c>
      <c r="C268">
        <v>7</v>
      </c>
      <c r="D268" t="s">
        <v>110</v>
      </c>
      <c r="E268" t="s">
        <v>100</v>
      </c>
      <c r="F268" t="s">
        <v>74</v>
      </c>
      <c r="G268">
        <v>0</v>
      </c>
      <c r="H268">
        <v>2E+20</v>
      </c>
      <c r="I268">
        <v>0</v>
      </c>
      <c r="J268">
        <v>0</v>
      </c>
      <c r="K268">
        <v>0</v>
      </c>
      <c r="L268">
        <v>0</v>
      </c>
      <c r="M268" s="5" t="str">
        <f>ContinuousStatsTable[[#This Row],[ProjectName]]&amp;ContinuousStatsTable[[#This Row],[Name]]&amp;ContinuousStatsTable[[#This Row],[Type]]&amp;ContinuousStatsTable[[#This Row],[Source]]</f>
        <v>Unnamed ProjectpersonaWIPEntity</v>
      </c>
      <c r="N268" s="5" cm="1">
        <f t="array" ref="N268">MAX(IF((ProjectInfoTable[ProjectName]=ContinuousStatsTable[[#This Row],[ProjectName]]),(ProjectInfoTable[ProjectName]=ContinuousStatsTable[[#This Row],[ProjectName]])*ProjectInfoTable[NumberOfReplications]))</f>
        <v>10</v>
      </c>
      <c r="O268" s="5" cm="1">
        <f t="array" ref="O268">IFERROR(AVERAGE(IF((ContinuousStatsTable[GroupByKey]=ContinuousStatsTable[[#This Row],[GroupByKey]]),(ContinuousStatsTable[GroupByKey]=ContinuousStatsTable[[#This Row],[GroupByKey]])*ContinuousStatsTable[Average])),0)</f>
        <v>0</v>
      </c>
      <c r="P268" s="5" cm="1">
        <f t="array" ref="P268">IFERROR(_xlfn.STDEV.S(IF((ContinuousStatsTable[GroupByKey]=ContinuousStatsTable[[#This Row],[GroupByKey]]),(ContinuousStatsTable[GroupByKey]=ContinuousStatsTable[[#This Row],[GroupByKey]])*ContinuousStatsTable[Average])),0)</f>
        <v>0</v>
      </c>
      <c r="Q268" s="5" cm="1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8" s="5" cm="1">
        <f t="array" ref="S268">MIN(IF((ContinuousStatsTable[GroupByKey]=ContinuousStatsTable[[#This Row],[GroupByKey]]),(ContinuousStatsTable[GroupByKey]=ContinuousStatsTable[[#This Row],[GroupByKey]])*ContinuousStatsTable[Average]))</f>
        <v>0</v>
      </c>
      <c r="T268" s="5" cm="1">
        <f t="array" ref="T268">MAX(IF((ContinuousStatsTable[GroupByKey]=ContinuousStatsTable[[#This Row],[GroupByKey]]),(ContinuousStatsTable[GroupByKey]=ContinuousStatsTable[[#This Row],[GroupByKey]])*ContinuousStatsTable[Average]))</f>
        <v>0</v>
      </c>
      <c r="U268" s="5">
        <f>IF((ContinuousStatsTable[[#This Row],[RepsRequested]]&gt;1),ContinuousStatsTable[[#This Row],[HalfWidth]],ContinuousStatsTable[[#This Row],[BatchMeansHalfWidth]])</f>
        <v>0</v>
      </c>
    </row>
    <row r="269" spans="1:21" x14ac:dyDescent="0.3">
      <c r="A269" t="s">
        <v>66</v>
      </c>
      <c r="B269" t="s">
        <v>68</v>
      </c>
      <c r="C269">
        <v>7</v>
      </c>
      <c r="D269" t="s">
        <v>111</v>
      </c>
      <c r="E269" t="s">
        <v>102</v>
      </c>
      <c r="F269" t="s">
        <v>103</v>
      </c>
      <c r="G269">
        <v>5.5783625760767001E-2</v>
      </c>
      <c r="H269">
        <v>2E+20</v>
      </c>
      <c r="I269">
        <v>0</v>
      </c>
      <c r="J269">
        <v>1</v>
      </c>
      <c r="K269">
        <v>0</v>
      </c>
      <c r="L269">
        <v>0</v>
      </c>
      <c r="M269" s="5" t="str">
        <f>ContinuousStatsTable[[#This Row],[ProjectName]]&amp;ContinuousStatsTable[[#This Row],[Name]]&amp;ContinuousStatsTable[[#This Row],[Type]]&amp;ContinuousStatsTable[[#This Row],[Source]]</f>
        <v>Unnamed Projectregistro1Instantaneous UtilizationResource</v>
      </c>
      <c r="N269" s="5" cm="1">
        <f t="array" ref="N269">MAX(IF((ProjectInfoTable[ProjectName]=ContinuousStatsTable[[#This Row],[ProjectName]]),(ProjectInfoTable[ProjectName]=ContinuousStatsTable[[#This Row],[ProjectName]])*ProjectInfoTable[NumberOfReplications]))</f>
        <v>10</v>
      </c>
      <c r="O269" s="5" cm="1">
        <f t="array" ref="O269">IFERROR(AVERAGE(IF((ContinuousStatsTable[GroupByKey]=ContinuousStatsTable[[#This Row],[GroupByKey]]),(ContinuousStatsTable[GroupByKey]=ContinuousStatsTable[[#This Row],[GroupByKey]])*ContinuousStatsTable[Average])),0)</f>
        <v>5.6433247648491516E-2</v>
      </c>
      <c r="P269" s="5" cm="1">
        <f t="array" ref="P269">IFERROR(_xlfn.STDEV.S(IF((ContinuousStatsTable[GroupByKey]=ContinuousStatsTable[[#This Row],[GroupByKey]]),(ContinuousStatsTable[GroupByKey]=ContinuousStatsTable[[#This Row],[GroupByKey]])*ContinuousStatsTable[Average])),0)</f>
        <v>2.4456082934732001E-2</v>
      </c>
      <c r="Q269" s="5" cm="1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1.7494827820351853E-2</v>
      </c>
      <c r="S269" s="5" cm="1">
        <f t="array" ref="S269">MIN(IF((ContinuousStatsTable[GroupByKey]=ContinuousStatsTable[[#This Row],[GroupByKey]]),(ContinuousStatsTable[GroupByKey]=ContinuousStatsTable[[#This Row],[GroupByKey]])*ContinuousStatsTable[Average]))</f>
        <v>2.1279401430778E-2</v>
      </c>
      <c r="T269" s="5" cm="1">
        <f t="array" ref="T269">MAX(IF((ContinuousStatsTable[GroupByKey]=ContinuousStatsTable[[#This Row],[GroupByKey]]),(ContinuousStatsTable[GroupByKey]=ContinuousStatsTable[[#This Row],[GroupByKey]])*ContinuousStatsTable[Average]))</f>
        <v>8.8472374570180701E-2</v>
      </c>
      <c r="U269" s="5">
        <f>IF((ContinuousStatsTable[[#This Row],[RepsRequested]]&gt;1),ContinuousStatsTable[[#This Row],[HalfWidth]],ContinuousStatsTable[[#This Row],[BatchMeansHalfWidth]])</f>
        <v>1.7494827820351853E-2</v>
      </c>
    </row>
    <row r="270" spans="1:21" x14ac:dyDescent="0.3">
      <c r="A270" t="s">
        <v>66</v>
      </c>
      <c r="B270" t="s">
        <v>68</v>
      </c>
      <c r="C270">
        <v>7</v>
      </c>
      <c r="D270" t="s">
        <v>111</v>
      </c>
      <c r="E270" t="s">
        <v>104</v>
      </c>
      <c r="F270" t="s">
        <v>103</v>
      </c>
      <c r="G270">
        <v>5.5783625760767001E-2</v>
      </c>
      <c r="H270">
        <v>2E+20</v>
      </c>
      <c r="I270">
        <v>0</v>
      </c>
      <c r="J270">
        <v>1</v>
      </c>
      <c r="K270">
        <v>0</v>
      </c>
      <c r="L270">
        <v>0</v>
      </c>
      <c r="M270" s="5" t="str">
        <f>ContinuousStatsTable[[#This Row],[ProjectName]]&amp;ContinuousStatsTable[[#This Row],[Name]]&amp;ContinuousStatsTable[[#This Row],[Type]]&amp;ContinuousStatsTable[[#This Row],[Source]]</f>
        <v>Unnamed Projectregistro1Number BusyResource</v>
      </c>
      <c r="N270" s="5" cm="1">
        <f t="array" ref="N270">MAX(IF((ProjectInfoTable[ProjectName]=ContinuousStatsTable[[#This Row],[ProjectName]]),(ProjectInfoTable[ProjectName]=ContinuousStatsTable[[#This Row],[ProjectName]])*ProjectInfoTable[NumberOfReplications]))</f>
        <v>10</v>
      </c>
      <c r="O270" s="5" cm="1">
        <f t="array" ref="O270">IFERROR(AVERAGE(IF((ContinuousStatsTable[GroupByKey]=ContinuousStatsTable[[#This Row],[GroupByKey]]),(ContinuousStatsTable[GroupByKey]=ContinuousStatsTable[[#This Row],[GroupByKey]])*ContinuousStatsTable[Average])),0)</f>
        <v>5.6433247648491516E-2</v>
      </c>
      <c r="P270" s="5" cm="1">
        <f t="array" ref="P270">IFERROR(_xlfn.STDEV.S(IF((ContinuousStatsTable[GroupByKey]=ContinuousStatsTable[[#This Row],[GroupByKey]]),(ContinuousStatsTable[GroupByKey]=ContinuousStatsTable[[#This Row],[GroupByKey]])*ContinuousStatsTable[Average])),0)</f>
        <v>2.4456082934732001E-2</v>
      </c>
      <c r="Q270" s="5" cm="1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1.7494827820351853E-2</v>
      </c>
      <c r="S270" s="5" cm="1">
        <f t="array" ref="S270">MIN(IF((ContinuousStatsTable[GroupByKey]=ContinuousStatsTable[[#This Row],[GroupByKey]]),(ContinuousStatsTable[GroupByKey]=ContinuousStatsTable[[#This Row],[GroupByKey]])*ContinuousStatsTable[Average]))</f>
        <v>2.1279401430778E-2</v>
      </c>
      <c r="T270" s="5" cm="1">
        <f t="array" ref="T270">MAX(IF((ContinuousStatsTable[GroupByKey]=ContinuousStatsTable[[#This Row],[GroupByKey]]),(ContinuousStatsTable[GroupByKey]=ContinuousStatsTable[[#This Row],[GroupByKey]])*ContinuousStatsTable[Average]))</f>
        <v>8.8472374570180701E-2</v>
      </c>
      <c r="U270" s="5">
        <f>IF((ContinuousStatsTable[[#This Row],[RepsRequested]]&gt;1),ContinuousStatsTable[[#This Row],[HalfWidth]],ContinuousStatsTable[[#This Row],[BatchMeansHalfWidth]])</f>
        <v>1.7494827820351853E-2</v>
      </c>
    </row>
    <row r="271" spans="1:21" x14ac:dyDescent="0.3">
      <c r="A271" t="s">
        <v>66</v>
      </c>
      <c r="B271" t="s">
        <v>68</v>
      </c>
      <c r="C271">
        <v>7</v>
      </c>
      <c r="D271" t="s">
        <v>111</v>
      </c>
      <c r="E271" t="s">
        <v>105</v>
      </c>
      <c r="F271" t="s">
        <v>103</v>
      </c>
      <c r="G271">
        <v>1</v>
      </c>
      <c r="H271">
        <v>2E+20</v>
      </c>
      <c r="I271">
        <v>1</v>
      </c>
      <c r="J271">
        <v>1</v>
      </c>
      <c r="K271">
        <v>1</v>
      </c>
      <c r="L271">
        <v>0</v>
      </c>
      <c r="M271" s="5" t="str">
        <f>ContinuousStatsTable[[#This Row],[ProjectName]]&amp;ContinuousStatsTable[[#This Row],[Name]]&amp;ContinuousStatsTable[[#This Row],[Type]]&amp;ContinuousStatsTable[[#This Row],[Source]]</f>
        <v>Unnamed Projectregistro1Number ScheduledResource</v>
      </c>
      <c r="N271" s="5" cm="1">
        <f t="array" ref="N271">MAX(IF((ProjectInfoTable[ProjectName]=ContinuousStatsTable[[#This Row],[ProjectName]]),(ProjectInfoTable[ProjectName]=ContinuousStatsTable[[#This Row],[ProjectName]])*ProjectInfoTable[NumberOfReplications]))</f>
        <v>10</v>
      </c>
      <c r="O271" s="5" cm="1">
        <f t="array" ref="O271">IFERROR(AVERAGE(IF((ContinuousStatsTable[GroupByKey]=ContinuousStatsTable[[#This Row],[GroupByKey]]),(ContinuousStatsTable[GroupByKey]=ContinuousStatsTable[[#This Row],[GroupByKey]])*ContinuousStatsTable[Average])),0)</f>
        <v>1</v>
      </c>
      <c r="P271" s="5" cm="1">
        <f t="array" ref="P271">IFERROR(_xlfn.STDEV.S(IF((ContinuousStatsTable[GroupByKey]=ContinuousStatsTable[[#This Row],[GroupByKey]]),(ContinuousStatsTable[GroupByKey]=ContinuousStatsTable[[#This Row],[GroupByKey]])*ContinuousStatsTable[Average])),0)</f>
        <v>0</v>
      </c>
      <c r="Q271" s="5" cm="1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1" s="5" cm="1">
        <f t="array" ref="S271">MIN(IF((ContinuousStatsTable[GroupByKey]=ContinuousStatsTable[[#This Row],[GroupByKey]]),(ContinuousStatsTable[GroupByKey]=ContinuousStatsTable[[#This Row],[GroupByKey]])*ContinuousStatsTable[Average]))</f>
        <v>1</v>
      </c>
      <c r="T271" s="5" cm="1">
        <f t="array" ref="T271">MAX(IF((ContinuousStatsTable[GroupByKey]=ContinuousStatsTable[[#This Row],[GroupByKey]]),(ContinuousStatsTable[GroupByKey]=ContinuousStatsTable[[#This Row],[GroupByKey]])*ContinuousStatsTable[Average]))</f>
        <v>1</v>
      </c>
      <c r="U271" s="5">
        <f>IF((ContinuousStatsTable[[#This Row],[RepsRequested]]&gt;1),ContinuousStatsTable[[#This Row],[HalfWidth]],ContinuousStatsTable[[#This Row],[BatchMeansHalfWidth]])</f>
        <v>0</v>
      </c>
    </row>
    <row r="272" spans="1:21" x14ac:dyDescent="0.3">
      <c r="A272" t="s">
        <v>66</v>
      </c>
      <c r="B272" t="s">
        <v>68</v>
      </c>
      <c r="C272">
        <v>7</v>
      </c>
      <c r="D272" t="s">
        <v>112</v>
      </c>
      <c r="E272" t="s">
        <v>102</v>
      </c>
      <c r="F272" t="s">
        <v>103</v>
      </c>
      <c r="G272">
        <v>0.338210899349628</v>
      </c>
      <c r="H272">
        <v>2E+20</v>
      </c>
      <c r="I272">
        <v>0</v>
      </c>
      <c r="J272">
        <v>1</v>
      </c>
      <c r="K272">
        <v>0</v>
      </c>
      <c r="L272">
        <v>0</v>
      </c>
      <c r="M272" s="5" t="str">
        <f>ContinuousStatsTable[[#This Row],[ProjectName]]&amp;ContinuousStatsTable[[#This Row],[Name]]&amp;ContinuousStatsTable[[#This Row],[Type]]&amp;ContinuousStatsTable[[#This Row],[Source]]</f>
        <v>Unnamed Projectregistro2Instantaneous UtilizationResource</v>
      </c>
      <c r="N272" s="5" cm="1">
        <f t="array" ref="N272">MAX(IF((ProjectInfoTable[ProjectName]=ContinuousStatsTable[[#This Row],[ProjectName]]),(ProjectInfoTable[ProjectName]=ContinuousStatsTable[[#This Row],[ProjectName]])*ProjectInfoTable[NumberOfReplications]))</f>
        <v>10</v>
      </c>
      <c r="O272" s="5" cm="1">
        <f t="array" ref="O272">IFERROR(AVERAGE(IF((ContinuousStatsTable[GroupByKey]=ContinuousStatsTable[[#This Row],[GroupByKey]]),(ContinuousStatsTable[GroupByKey]=ContinuousStatsTable[[#This Row],[GroupByKey]])*ContinuousStatsTable[Average])),0)</f>
        <v>0.46274808587050231</v>
      </c>
      <c r="P272" s="5" cm="1">
        <f t="array" ref="P272">IFERROR(_xlfn.STDEV.S(IF((ContinuousStatsTable[GroupByKey]=ContinuousStatsTable[[#This Row],[GroupByKey]]),(ContinuousStatsTable[GroupByKey]=ContinuousStatsTable[[#This Row],[GroupByKey]])*ContinuousStatsTable[Average])),0)</f>
        <v>9.1165192054027525E-2</v>
      </c>
      <c r="Q272" s="5" cm="1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6.5215649719990554E-2</v>
      </c>
      <c r="S272" s="5" cm="1">
        <f t="array" ref="S272">MIN(IF((ContinuousStatsTable[GroupByKey]=ContinuousStatsTable[[#This Row],[GroupByKey]]),(ContinuousStatsTable[GroupByKey]=ContinuousStatsTable[[#This Row],[GroupByKey]])*ContinuousStatsTable[Average]))</f>
        <v>0.338210899349628</v>
      </c>
      <c r="T272" s="5" cm="1">
        <f t="array" ref="T272">MAX(IF((ContinuousStatsTable[GroupByKey]=ContinuousStatsTable[[#This Row],[GroupByKey]]),(ContinuousStatsTable[GroupByKey]=ContinuousStatsTable[[#This Row],[GroupByKey]])*ContinuousStatsTable[Average]))</f>
        <v>0.66990172486561195</v>
      </c>
      <c r="U272" s="5">
        <f>IF((ContinuousStatsTable[[#This Row],[RepsRequested]]&gt;1),ContinuousStatsTable[[#This Row],[HalfWidth]],ContinuousStatsTable[[#This Row],[BatchMeansHalfWidth]])</f>
        <v>6.5215649719990554E-2</v>
      </c>
    </row>
    <row r="273" spans="1:21" x14ac:dyDescent="0.3">
      <c r="A273" t="s">
        <v>66</v>
      </c>
      <c r="B273" t="s">
        <v>68</v>
      </c>
      <c r="C273">
        <v>7</v>
      </c>
      <c r="D273" t="s">
        <v>112</v>
      </c>
      <c r="E273" t="s">
        <v>104</v>
      </c>
      <c r="F273" t="s">
        <v>103</v>
      </c>
      <c r="G273">
        <v>0.338210899349628</v>
      </c>
      <c r="H273">
        <v>2E+20</v>
      </c>
      <c r="I273">
        <v>0</v>
      </c>
      <c r="J273">
        <v>1</v>
      </c>
      <c r="K273">
        <v>0</v>
      </c>
      <c r="L273">
        <v>0</v>
      </c>
      <c r="M273" s="5" t="str">
        <f>ContinuousStatsTable[[#This Row],[ProjectName]]&amp;ContinuousStatsTable[[#This Row],[Name]]&amp;ContinuousStatsTable[[#This Row],[Type]]&amp;ContinuousStatsTable[[#This Row],[Source]]</f>
        <v>Unnamed Projectregistro2Number BusyResource</v>
      </c>
      <c r="N273" s="5" cm="1">
        <f t="array" ref="N273">MAX(IF((ProjectInfoTable[ProjectName]=ContinuousStatsTable[[#This Row],[ProjectName]]),(ProjectInfoTable[ProjectName]=ContinuousStatsTable[[#This Row],[ProjectName]])*ProjectInfoTable[NumberOfReplications]))</f>
        <v>10</v>
      </c>
      <c r="O273" s="5" cm="1">
        <f t="array" ref="O273">IFERROR(AVERAGE(IF((ContinuousStatsTable[GroupByKey]=ContinuousStatsTable[[#This Row],[GroupByKey]]),(ContinuousStatsTable[GroupByKey]=ContinuousStatsTable[[#This Row],[GroupByKey]])*ContinuousStatsTable[Average])),0)</f>
        <v>0.46274808587050231</v>
      </c>
      <c r="P273" s="5" cm="1">
        <f t="array" ref="P273">IFERROR(_xlfn.STDEV.S(IF((ContinuousStatsTable[GroupByKey]=ContinuousStatsTable[[#This Row],[GroupByKey]]),(ContinuousStatsTable[GroupByKey]=ContinuousStatsTable[[#This Row],[GroupByKey]])*ContinuousStatsTable[Average])),0)</f>
        <v>9.1165192054027525E-2</v>
      </c>
      <c r="Q273" s="5" cm="1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6.5215649719990554E-2</v>
      </c>
      <c r="S273" s="5" cm="1">
        <f t="array" ref="S273">MIN(IF((ContinuousStatsTable[GroupByKey]=ContinuousStatsTable[[#This Row],[GroupByKey]]),(ContinuousStatsTable[GroupByKey]=ContinuousStatsTable[[#This Row],[GroupByKey]])*ContinuousStatsTable[Average]))</f>
        <v>0.338210899349628</v>
      </c>
      <c r="T273" s="5" cm="1">
        <f t="array" ref="T273">MAX(IF((ContinuousStatsTable[GroupByKey]=ContinuousStatsTable[[#This Row],[GroupByKey]]),(ContinuousStatsTable[GroupByKey]=ContinuousStatsTable[[#This Row],[GroupByKey]])*ContinuousStatsTable[Average]))</f>
        <v>0.66990172486561195</v>
      </c>
      <c r="U273" s="5">
        <f>IF((ContinuousStatsTable[[#This Row],[RepsRequested]]&gt;1),ContinuousStatsTable[[#This Row],[HalfWidth]],ContinuousStatsTable[[#This Row],[BatchMeansHalfWidth]])</f>
        <v>6.5215649719990554E-2</v>
      </c>
    </row>
    <row r="274" spans="1:21" x14ac:dyDescent="0.3">
      <c r="A274" t="s">
        <v>66</v>
      </c>
      <c r="B274" t="s">
        <v>68</v>
      </c>
      <c r="C274">
        <v>7</v>
      </c>
      <c r="D274" t="s">
        <v>112</v>
      </c>
      <c r="E274" t="s">
        <v>105</v>
      </c>
      <c r="F274" t="s">
        <v>103</v>
      </c>
      <c r="G274">
        <v>1</v>
      </c>
      <c r="H274">
        <v>2E+20</v>
      </c>
      <c r="I274">
        <v>1</v>
      </c>
      <c r="J274">
        <v>1</v>
      </c>
      <c r="K274">
        <v>1</v>
      </c>
      <c r="L274">
        <v>0</v>
      </c>
      <c r="M274" s="5" t="str">
        <f>ContinuousStatsTable[[#This Row],[ProjectName]]&amp;ContinuousStatsTable[[#This Row],[Name]]&amp;ContinuousStatsTable[[#This Row],[Type]]&amp;ContinuousStatsTable[[#This Row],[Source]]</f>
        <v>Unnamed Projectregistro2Number ScheduledResource</v>
      </c>
      <c r="N274" s="5" cm="1">
        <f t="array" ref="N274">MAX(IF((ProjectInfoTable[ProjectName]=ContinuousStatsTable[[#This Row],[ProjectName]]),(ProjectInfoTable[ProjectName]=ContinuousStatsTable[[#This Row],[ProjectName]])*ProjectInfoTable[NumberOfReplications]))</f>
        <v>10</v>
      </c>
      <c r="O274" s="5" cm="1">
        <f t="array" ref="O274">IFERROR(AVERAGE(IF((ContinuousStatsTable[GroupByKey]=ContinuousStatsTable[[#This Row],[GroupByKey]]),(ContinuousStatsTable[GroupByKey]=ContinuousStatsTable[[#This Row],[GroupByKey]])*ContinuousStatsTable[Average])),0)</f>
        <v>1</v>
      </c>
      <c r="P274" s="5" cm="1">
        <f t="array" ref="P274">IFERROR(_xlfn.STDEV.S(IF((ContinuousStatsTable[GroupByKey]=ContinuousStatsTable[[#This Row],[GroupByKey]]),(ContinuousStatsTable[GroupByKey]=ContinuousStatsTable[[#This Row],[GroupByKey]])*ContinuousStatsTable[Average])),0)</f>
        <v>0</v>
      </c>
      <c r="Q274" s="5" cm="1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4" s="5" cm="1">
        <f t="array" ref="S274">MIN(IF((ContinuousStatsTable[GroupByKey]=ContinuousStatsTable[[#This Row],[GroupByKey]]),(ContinuousStatsTable[GroupByKey]=ContinuousStatsTable[[#This Row],[GroupByKey]])*ContinuousStatsTable[Average]))</f>
        <v>1</v>
      </c>
      <c r="T274" s="5" cm="1">
        <f t="array" ref="T274">MAX(IF((ContinuousStatsTable[GroupByKey]=ContinuousStatsTable[[#This Row],[GroupByKey]]),(ContinuousStatsTable[GroupByKey]=ContinuousStatsTable[[#This Row],[GroupByKey]])*ContinuousStatsTable[Average]))</f>
        <v>1</v>
      </c>
      <c r="U274" s="5">
        <f>IF((ContinuousStatsTable[[#This Row],[RepsRequested]]&gt;1),ContinuousStatsTable[[#This Row],[HalfWidth]],ContinuousStatsTable[[#This Row],[BatchMeansHalfWidth]])</f>
        <v>0</v>
      </c>
    </row>
    <row r="275" spans="1:21" x14ac:dyDescent="0.3">
      <c r="A275" t="s">
        <v>66</v>
      </c>
      <c r="B275" t="s">
        <v>68</v>
      </c>
      <c r="C275">
        <v>8</v>
      </c>
      <c r="D275" t="s">
        <v>69</v>
      </c>
      <c r="E275" t="s">
        <v>99</v>
      </c>
      <c r="F275" t="s">
        <v>71</v>
      </c>
      <c r="G275">
        <v>8.5991728072372096E-5</v>
      </c>
      <c r="H275">
        <v>2E+20</v>
      </c>
      <c r="I275">
        <v>0</v>
      </c>
      <c r="J275">
        <v>1</v>
      </c>
      <c r="K275">
        <v>0</v>
      </c>
      <c r="L275">
        <v>0</v>
      </c>
      <c r="M275" s="5" t="str">
        <f>ContinuousStatsTable[[#This Row],[ProjectName]]&amp;ContinuousStatsTable[[#This Row],[Name]]&amp;ContinuousStatsTable[[#This Row],[Type]]&amp;ContinuousStatsTable[[#This Row],[Source]]</f>
        <v>Unnamed ProjectCargar Avion.QueueNumber WaitingQueue</v>
      </c>
      <c r="N275" s="5" cm="1">
        <f t="array" ref="N275">MAX(IF((ProjectInfoTable[ProjectName]=ContinuousStatsTable[[#This Row],[ProjectName]]),(ProjectInfoTable[ProjectName]=ContinuousStatsTable[[#This Row],[ProjectName]])*ProjectInfoTable[NumberOfReplications]))</f>
        <v>10</v>
      </c>
      <c r="O275" s="5" cm="1">
        <f t="array" ref="O275">IFERROR(AVERAGE(IF((ContinuousStatsTable[GroupByKey]=ContinuousStatsTable[[#This Row],[GroupByKey]]),(ContinuousStatsTable[GroupByKey]=ContinuousStatsTable[[#This Row],[GroupByKey]])*ContinuousStatsTable[Average])),0)</f>
        <v>4.3234278073230802E-4</v>
      </c>
      <c r="P275" s="5" cm="1">
        <f t="array" ref="P275">IFERROR(_xlfn.STDEV.S(IF((ContinuousStatsTable[GroupByKey]=ContinuousStatsTable[[#This Row],[GroupByKey]]),(ContinuousStatsTable[GroupByKey]=ContinuousStatsTable[[#This Row],[GroupByKey]])*ContinuousStatsTable[Average])),0)</f>
        <v>8.6650685478403973E-4</v>
      </c>
      <c r="Q275" s="5" cm="1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6.1986166264068276E-4</v>
      </c>
      <c r="S275" s="5" cm="1">
        <f t="array" ref="S275">MIN(IF((ContinuousStatsTable[GroupByKey]=ContinuousStatsTable[[#This Row],[GroupByKey]]),(ContinuousStatsTable[GroupByKey]=ContinuousStatsTable[[#This Row],[GroupByKey]])*ContinuousStatsTable[Average]))</f>
        <v>0</v>
      </c>
      <c r="T275" s="5" cm="1">
        <f t="array" ref="T275">MAX(IF((ContinuousStatsTable[GroupByKey]=ContinuousStatsTable[[#This Row],[GroupByKey]]),(ContinuousStatsTable[GroupByKey]=ContinuousStatsTable[[#This Row],[GroupByKey]])*ContinuousStatsTable[Average]))</f>
        <v>2.8294284227636502E-3</v>
      </c>
      <c r="U275" s="5">
        <f>IF((ContinuousStatsTable[[#This Row],[RepsRequested]]&gt;1),ContinuousStatsTable[[#This Row],[HalfWidth]],ContinuousStatsTable[[#This Row],[BatchMeansHalfWidth]])</f>
        <v>6.1986166264068276E-4</v>
      </c>
    </row>
    <row r="276" spans="1:21" x14ac:dyDescent="0.3">
      <c r="A276" t="s">
        <v>66</v>
      </c>
      <c r="B276" t="s">
        <v>68</v>
      </c>
      <c r="C276">
        <v>8</v>
      </c>
      <c r="D276" t="s">
        <v>72</v>
      </c>
      <c r="E276" t="s">
        <v>100</v>
      </c>
      <c r="F276" t="s">
        <v>74</v>
      </c>
      <c r="G276">
        <v>1.9193681724168701</v>
      </c>
      <c r="H276">
        <v>0.430466144429482</v>
      </c>
      <c r="I276">
        <v>0</v>
      </c>
      <c r="J276">
        <v>12</v>
      </c>
      <c r="K276">
        <v>11</v>
      </c>
      <c r="L276">
        <v>0</v>
      </c>
      <c r="M276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276" s="5" cm="1">
        <f t="array" ref="N276">MAX(IF((ProjectInfoTable[ProjectName]=ContinuousStatsTable[[#This Row],[ProjectName]]),(ProjectInfoTable[ProjectName]=ContinuousStatsTable[[#This Row],[ProjectName]])*ProjectInfoTable[NumberOfReplications]))</f>
        <v>10</v>
      </c>
      <c r="O276" s="5" cm="1">
        <f t="array" ref="O276">IFERROR(AVERAGE(IF((ContinuousStatsTable[GroupByKey]=ContinuousStatsTable[[#This Row],[GroupByKey]]),(ContinuousStatsTable[GroupByKey]=ContinuousStatsTable[[#This Row],[GroupByKey]])*ContinuousStatsTable[Average])),0)</f>
        <v>1.938691833558875</v>
      </c>
      <c r="P276" s="5" cm="1">
        <f t="array" ref="P276">IFERROR(_xlfn.STDEV.S(IF((ContinuousStatsTable[GroupByKey]=ContinuousStatsTable[[#This Row],[GroupByKey]]),(ContinuousStatsTable[GroupByKey]=ContinuousStatsTable[[#This Row],[GroupByKey]])*ContinuousStatsTable[Average])),0)</f>
        <v>0.24426972485872975</v>
      </c>
      <c r="Q276" s="5" cm="1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0.17474003459724646</v>
      </c>
      <c r="S276" s="5" cm="1">
        <f t="array" ref="S276">MIN(IF((ContinuousStatsTable[GroupByKey]=ContinuousStatsTable[[#This Row],[GroupByKey]]),(ContinuousStatsTable[GroupByKey]=ContinuousStatsTable[[#This Row],[GroupByKey]])*ContinuousStatsTable[Average]))</f>
        <v>1.6635577018983201</v>
      </c>
      <c r="T276" s="5" cm="1">
        <f t="array" ref="T276">MAX(IF((ContinuousStatsTable[GroupByKey]=ContinuousStatsTable[[#This Row],[GroupByKey]]),(ContinuousStatsTable[GroupByKey]=ContinuousStatsTable[[#This Row],[GroupByKey]])*ContinuousStatsTable[Average]))</f>
        <v>2.3099874805957801</v>
      </c>
      <c r="U276" s="5">
        <f>IF((ContinuousStatsTable[[#This Row],[RepsRequested]]&gt;1),ContinuousStatsTable[[#This Row],[HalfWidth]],ContinuousStatsTable[[#This Row],[BatchMeansHalfWidth]])</f>
        <v>0.17474003459724646</v>
      </c>
    </row>
    <row r="277" spans="1:21" x14ac:dyDescent="0.3">
      <c r="A277" t="s">
        <v>66</v>
      </c>
      <c r="B277" t="s">
        <v>68</v>
      </c>
      <c r="C277">
        <v>8</v>
      </c>
      <c r="D277" t="s">
        <v>101</v>
      </c>
      <c r="E277" t="s">
        <v>102</v>
      </c>
      <c r="F277" t="s">
        <v>103</v>
      </c>
      <c r="G277">
        <v>0.25155365284574199</v>
      </c>
      <c r="H277">
        <v>2E+20</v>
      </c>
      <c r="I277">
        <v>0</v>
      </c>
      <c r="J277">
        <v>1</v>
      </c>
      <c r="K277">
        <v>1</v>
      </c>
      <c r="L277">
        <v>0</v>
      </c>
      <c r="M277" s="5" t="str">
        <f>ContinuousStatsTable[[#This Row],[ProjectName]]&amp;ContinuousStatsTable[[#This Row],[Name]]&amp;ContinuousStatsTable[[#This Row],[Type]]&amp;ContinuousStatsTable[[#This Row],[Source]]</f>
        <v>Unnamed ProjectInterautoInstantaneous UtilizationResource</v>
      </c>
      <c r="N277" s="5" cm="1">
        <f t="array" ref="N277">MAX(IF((ProjectInfoTable[ProjectName]=ContinuousStatsTable[[#This Row],[ProjectName]]),(ProjectInfoTable[ProjectName]=ContinuousStatsTable[[#This Row],[ProjectName]])*ProjectInfoTable[NumberOfReplications]))</f>
        <v>10</v>
      </c>
      <c r="O277" s="5" cm="1">
        <f t="array" ref="O277">IFERROR(AVERAGE(IF((ContinuousStatsTable[GroupByKey]=ContinuousStatsTable[[#This Row],[GroupByKey]]),(ContinuousStatsTable[GroupByKey]=ContinuousStatsTable[[#This Row],[GroupByKey]])*ContinuousStatsTable[Average])),0)</f>
        <v>0.26535205929836458</v>
      </c>
      <c r="P277" s="5" cm="1">
        <f t="array" ref="P277">IFERROR(_xlfn.STDEV.S(IF((ContinuousStatsTable[GroupByKey]=ContinuousStatsTable[[#This Row],[GroupByKey]]),(ContinuousStatsTable[GroupByKey]=ContinuousStatsTable[[#This Row],[GroupByKey]])*ContinuousStatsTable[Average])),0)</f>
        <v>2.5807993647623796E-2</v>
      </c>
      <c r="Q277" s="5" cm="1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1.8461926485074727E-2</v>
      </c>
      <c r="S277" s="5" cm="1">
        <f t="array" ref="S277">MIN(IF((ContinuousStatsTable[GroupByKey]=ContinuousStatsTable[[#This Row],[GroupByKey]]),(ContinuousStatsTable[GroupByKey]=ContinuousStatsTable[[#This Row],[GroupByKey]])*ContinuousStatsTable[Average]))</f>
        <v>0.20483176768320299</v>
      </c>
      <c r="T277" s="5" cm="1">
        <f t="array" ref="T277">MAX(IF((ContinuousStatsTable[GroupByKey]=ContinuousStatsTable[[#This Row],[GroupByKey]]),(ContinuousStatsTable[GroupByKey]=ContinuousStatsTable[[#This Row],[GroupByKey]])*ContinuousStatsTable[Average]))</f>
        <v>0.29552077299252399</v>
      </c>
      <c r="U277" s="5">
        <f>IF((ContinuousStatsTable[[#This Row],[RepsRequested]]&gt;1),ContinuousStatsTable[[#This Row],[HalfWidth]],ContinuousStatsTable[[#This Row],[BatchMeansHalfWidth]])</f>
        <v>1.8461926485074727E-2</v>
      </c>
    </row>
    <row r="278" spans="1:21" x14ac:dyDescent="0.3">
      <c r="A278" t="s">
        <v>66</v>
      </c>
      <c r="B278" t="s">
        <v>68</v>
      </c>
      <c r="C278">
        <v>8</v>
      </c>
      <c r="D278" t="s">
        <v>101</v>
      </c>
      <c r="E278" t="s">
        <v>104</v>
      </c>
      <c r="F278" t="s">
        <v>103</v>
      </c>
      <c r="G278">
        <v>0.25155365284574199</v>
      </c>
      <c r="H278">
        <v>2E+20</v>
      </c>
      <c r="I278">
        <v>0</v>
      </c>
      <c r="J278">
        <v>1</v>
      </c>
      <c r="K278">
        <v>1</v>
      </c>
      <c r="L278">
        <v>0</v>
      </c>
      <c r="M278" s="5" t="str">
        <f>ContinuousStatsTable[[#This Row],[ProjectName]]&amp;ContinuousStatsTable[[#This Row],[Name]]&amp;ContinuousStatsTable[[#This Row],[Type]]&amp;ContinuousStatsTable[[#This Row],[Source]]</f>
        <v>Unnamed ProjectInterautoNumber BusyResource</v>
      </c>
      <c r="N278" s="5" cm="1">
        <f t="array" ref="N278">MAX(IF((ProjectInfoTable[ProjectName]=ContinuousStatsTable[[#This Row],[ProjectName]]),(ProjectInfoTable[ProjectName]=ContinuousStatsTable[[#This Row],[ProjectName]])*ProjectInfoTable[NumberOfReplications]))</f>
        <v>10</v>
      </c>
      <c r="O278" s="5" cm="1">
        <f t="array" ref="O278">IFERROR(AVERAGE(IF((ContinuousStatsTable[GroupByKey]=ContinuousStatsTable[[#This Row],[GroupByKey]]),(ContinuousStatsTable[GroupByKey]=ContinuousStatsTable[[#This Row],[GroupByKey]])*ContinuousStatsTable[Average])),0)</f>
        <v>0.26535205929836458</v>
      </c>
      <c r="P278" s="5" cm="1">
        <f t="array" ref="P278">IFERROR(_xlfn.STDEV.S(IF((ContinuousStatsTable[GroupByKey]=ContinuousStatsTable[[#This Row],[GroupByKey]]),(ContinuousStatsTable[GroupByKey]=ContinuousStatsTable[[#This Row],[GroupByKey]])*ContinuousStatsTable[Average])),0)</f>
        <v>2.5807993647623796E-2</v>
      </c>
      <c r="Q278" s="5" cm="1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1.8461926485074727E-2</v>
      </c>
      <c r="S278" s="5" cm="1">
        <f t="array" ref="S278">MIN(IF((ContinuousStatsTable[GroupByKey]=ContinuousStatsTable[[#This Row],[GroupByKey]]),(ContinuousStatsTable[GroupByKey]=ContinuousStatsTable[[#This Row],[GroupByKey]])*ContinuousStatsTable[Average]))</f>
        <v>0.20483176768320299</v>
      </c>
      <c r="T278" s="5" cm="1">
        <f t="array" ref="T278">MAX(IF((ContinuousStatsTable[GroupByKey]=ContinuousStatsTable[[#This Row],[GroupByKey]]),(ContinuousStatsTable[GroupByKey]=ContinuousStatsTable[[#This Row],[GroupByKey]])*ContinuousStatsTable[Average]))</f>
        <v>0.29552077299252399</v>
      </c>
      <c r="U278" s="5">
        <f>IF((ContinuousStatsTable[[#This Row],[RepsRequested]]&gt;1),ContinuousStatsTable[[#This Row],[HalfWidth]],ContinuousStatsTable[[#This Row],[BatchMeansHalfWidth]])</f>
        <v>1.8461926485074727E-2</v>
      </c>
    </row>
    <row r="279" spans="1:21" x14ac:dyDescent="0.3">
      <c r="A279" t="s">
        <v>66</v>
      </c>
      <c r="B279" t="s">
        <v>68</v>
      </c>
      <c r="C279">
        <v>8</v>
      </c>
      <c r="D279" t="s">
        <v>101</v>
      </c>
      <c r="E279" t="s">
        <v>105</v>
      </c>
      <c r="F279" t="s">
        <v>103</v>
      </c>
      <c r="G279">
        <v>1</v>
      </c>
      <c r="H279">
        <v>2E+20</v>
      </c>
      <c r="I279">
        <v>1</v>
      </c>
      <c r="J279">
        <v>1</v>
      </c>
      <c r="K279">
        <v>1</v>
      </c>
      <c r="L279">
        <v>0</v>
      </c>
      <c r="M279" s="5" t="str">
        <f>ContinuousStatsTable[[#This Row],[ProjectName]]&amp;ContinuousStatsTable[[#This Row],[Name]]&amp;ContinuousStatsTable[[#This Row],[Type]]&amp;ContinuousStatsTable[[#This Row],[Source]]</f>
        <v>Unnamed ProjectInterautoNumber ScheduledResource</v>
      </c>
      <c r="N279" s="5" cm="1">
        <f t="array" ref="N279">MAX(IF((ProjectInfoTable[ProjectName]=ContinuousStatsTable[[#This Row],[ProjectName]]),(ProjectInfoTable[ProjectName]=ContinuousStatsTable[[#This Row],[ProjectName]])*ProjectInfoTable[NumberOfReplications]))</f>
        <v>10</v>
      </c>
      <c r="O279" s="5" cm="1">
        <f t="array" ref="O279">IFERROR(AVERAGE(IF((ContinuousStatsTable[GroupByKey]=ContinuousStatsTable[[#This Row],[GroupByKey]]),(ContinuousStatsTable[GroupByKey]=ContinuousStatsTable[[#This Row],[GroupByKey]])*ContinuousStatsTable[Average])),0)</f>
        <v>1</v>
      </c>
      <c r="P279" s="5" cm="1">
        <f t="array" ref="P279">IFERROR(_xlfn.STDEV.S(IF((ContinuousStatsTable[GroupByKey]=ContinuousStatsTable[[#This Row],[GroupByKey]]),(ContinuousStatsTable[GroupByKey]=ContinuousStatsTable[[#This Row],[GroupByKey]])*ContinuousStatsTable[Average])),0)</f>
        <v>0</v>
      </c>
      <c r="Q279" s="5" cm="1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9" s="5" cm="1">
        <f t="array" ref="S279">MIN(IF((ContinuousStatsTable[GroupByKey]=ContinuousStatsTable[[#This Row],[GroupByKey]]),(ContinuousStatsTable[GroupByKey]=ContinuousStatsTable[[#This Row],[GroupByKey]])*ContinuousStatsTable[Average]))</f>
        <v>1</v>
      </c>
      <c r="T279" s="5" cm="1">
        <f t="array" ref="T279">MAX(IF((ContinuousStatsTable[GroupByKey]=ContinuousStatsTable[[#This Row],[GroupByKey]]),(ContinuousStatsTable[GroupByKey]=ContinuousStatsTable[[#This Row],[GroupByKey]])*ContinuousStatsTable[Average]))</f>
        <v>1</v>
      </c>
      <c r="U279" s="5">
        <f>IF((ContinuousStatsTable[[#This Row],[RepsRequested]]&gt;1),ContinuousStatsTable[[#This Row],[HalfWidth]],ContinuousStatsTable[[#This Row],[BatchMeansHalfWidth]])</f>
        <v>0</v>
      </c>
    </row>
    <row r="280" spans="1:21" x14ac:dyDescent="0.3">
      <c r="A280" t="s">
        <v>66</v>
      </c>
      <c r="B280" t="s">
        <v>68</v>
      </c>
      <c r="C280">
        <v>8</v>
      </c>
      <c r="D280" t="s">
        <v>80</v>
      </c>
      <c r="E280" t="s">
        <v>99</v>
      </c>
      <c r="F280" t="s">
        <v>71</v>
      </c>
      <c r="G280">
        <v>0.168502364443611</v>
      </c>
      <c r="H280">
        <v>3.1122054427132399E-2</v>
      </c>
      <c r="I280">
        <v>0</v>
      </c>
      <c r="J280">
        <v>4</v>
      </c>
      <c r="K280">
        <v>0</v>
      </c>
      <c r="L280">
        <v>0</v>
      </c>
      <c r="M280" s="5" t="str">
        <f>ContinuousStatsTable[[#This Row],[ProjectName]]&amp;ContinuousStatsTable[[#This Row],[Name]]&amp;ContinuousStatsTable[[#This Row],[Type]]&amp;ContinuousStatsTable[[#This Row],[Source]]</f>
        <v>Unnamed ProjectLeave 1.QueueNumber WaitingQueue</v>
      </c>
      <c r="N280" s="5" cm="1">
        <f t="array" ref="N280">MAX(IF((ProjectInfoTable[ProjectName]=ContinuousStatsTable[[#This Row],[ProjectName]]),(ProjectInfoTable[ProjectName]=ContinuousStatsTable[[#This Row],[ProjectName]])*ProjectInfoTable[NumberOfReplications]))</f>
        <v>10</v>
      </c>
      <c r="O280" s="5" cm="1">
        <f t="array" ref="O280">IFERROR(AVERAGE(IF((ContinuousStatsTable[GroupByKey]=ContinuousStatsTable[[#This Row],[GroupByKey]]),(ContinuousStatsTable[GroupByKey]=ContinuousStatsTable[[#This Row],[GroupByKey]])*ContinuousStatsTable[Average])),0)</f>
        <v>0.20353568461890376</v>
      </c>
      <c r="P280" s="5" cm="1">
        <f t="array" ref="P280">IFERROR(_xlfn.STDEV.S(IF((ContinuousStatsTable[GroupByKey]=ContinuousStatsTable[[#This Row],[GroupByKey]]),(ContinuousStatsTable[GroupByKey]=ContinuousStatsTable[[#This Row],[GroupByKey]])*ContinuousStatsTable[Average])),0)</f>
        <v>2.6549184575613477E-2</v>
      </c>
      <c r="Q280" s="5" cm="1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1.899214253405495E-2</v>
      </c>
      <c r="S280" s="5" cm="1">
        <f t="array" ref="S280">MIN(IF((ContinuousStatsTable[GroupByKey]=ContinuousStatsTable[[#This Row],[GroupByKey]]),(ContinuousStatsTable[GroupByKey]=ContinuousStatsTable[[#This Row],[GroupByKey]])*ContinuousStatsTable[Average]))</f>
        <v>0.168502364443611</v>
      </c>
      <c r="T280" s="5" cm="1">
        <f t="array" ref="T280">MAX(IF((ContinuousStatsTable[GroupByKey]=ContinuousStatsTable[[#This Row],[GroupByKey]]),(ContinuousStatsTable[GroupByKey]=ContinuousStatsTable[[#This Row],[GroupByKey]])*ContinuousStatsTable[Average]))</f>
        <v>0.24578450490959</v>
      </c>
      <c r="U280" s="5">
        <f>IF((ContinuousStatsTable[[#This Row],[RepsRequested]]&gt;1),ContinuousStatsTable[[#This Row],[HalfWidth]],ContinuousStatsTable[[#This Row],[BatchMeansHalfWidth]])</f>
        <v>1.899214253405495E-2</v>
      </c>
    </row>
    <row r="281" spans="1:21" x14ac:dyDescent="0.3">
      <c r="A281" t="s">
        <v>66</v>
      </c>
      <c r="B281" t="s">
        <v>68</v>
      </c>
      <c r="C281">
        <v>8</v>
      </c>
      <c r="D281" t="s">
        <v>81</v>
      </c>
      <c r="E281" t="s">
        <v>99</v>
      </c>
      <c r="F281" t="s">
        <v>71</v>
      </c>
      <c r="G281">
        <v>3.2012309459038099E-3</v>
      </c>
      <c r="H281">
        <v>2E+20</v>
      </c>
      <c r="I281">
        <v>0</v>
      </c>
      <c r="J281">
        <v>1</v>
      </c>
      <c r="K281">
        <v>0</v>
      </c>
      <c r="L281">
        <v>0</v>
      </c>
      <c r="M281" s="5" t="str">
        <f>ContinuousStatsTable[[#This Row],[ProjectName]]&amp;ContinuousStatsTable[[#This Row],[Name]]&amp;ContinuousStatsTable[[#This Row],[Type]]&amp;ContinuousStatsTable[[#This Row],[Source]]</f>
        <v>Unnamed ProjectLeave 4.QueueNumber WaitingQueue</v>
      </c>
      <c r="N281" s="5" cm="1">
        <f t="array" ref="N281">MAX(IF((ProjectInfoTable[ProjectName]=ContinuousStatsTable[[#This Row],[ProjectName]]),(ProjectInfoTable[ProjectName]=ContinuousStatsTable[[#This Row],[ProjectName]])*ProjectInfoTable[NumberOfReplications]))</f>
        <v>10</v>
      </c>
      <c r="O281" s="5" cm="1">
        <f t="array" ref="O281">IFERROR(AVERAGE(IF((ContinuousStatsTable[GroupByKey]=ContinuousStatsTable[[#This Row],[GroupByKey]]),(ContinuousStatsTable[GroupByKey]=ContinuousStatsTable[[#This Row],[GroupByKey]])*ContinuousStatsTable[Average])),0)</f>
        <v>4.8729672989697272E-3</v>
      </c>
      <c r="P281" s="5" cm="1">
        <f t="array" ref="P281">IFERROR(_xlfn.STDEV.S(IF((ContinuousStatsTable[GroupByKey]=ContinuousStatsTable[[#This Row],[GroupByKey]]),(ContinuousStatsTable[GroupByKey]=ContinuousStatsTable[[#This Row],[GroupByKey]])*ContinuousStatsTable[Average])),0)</f>
        <v>9.2135939256816457E-4</v>
      </c>
      <c r="Q281" s="5" cm="1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6.5910080435457321E-4</v>
      </c>
      <c r="S281" s="5" cm="1">
        <f t="array" ref="S281">MIN(IF((ContinuousStatsTable[GroupByKey]=ContinuousStatsTable[[#This Row],[GroupByKey]]),(ContinuousStatsTable[GroupByKey]=ContinuousStatsTable[[#This Row],[GroupByKey]])*ContinuousStatsTable[Average]))</f>
        <v>3.2012309459038099E-3</v>
      </c>
      <c r="T281" s="5" cm="1">
        <f t="array" ref="T281">MAX(IF((ContinuousStatsTable[GroupByKey]=ContinuousStatsTable[[#This Row],[GroupByKey]]),(ContinuousStatsTable[GroupByKey]=ContinuousStatsTable[[#This Row],[GroupByKey]])*ContinuousStatsTable[Average]))</f>
        <v>6.0338305270789001E-3</v>
      </c>
      <c r="U281" s="5">
        <f>IF((ContinuousStatsTable[[#This Row],[RepsRequested]]&gt;1),ContinuousStatsTable[[#This Row],[HalfWidth]],ContinuousStatsTable[[#This Row],[BatchMeansHalfWidth]])</f>
        <v>6.5910080435457321E-4</v>
      </c>
    </row>
    <row r="282" spans="1:21" x14ac:dyDescent="0.3">
      <c r="A282" t="s">
        <v>66</v>
      </c>
      <c r="B282" t="s">
        <v>68</v>
      </c>
      <c r="C282">
        <v>8</v>
      </c>
      <c r="D282" t="s">
        <v>82</v>
      </c>
      <c r="E282" t="s">
        <v>99</v>
      </c>
      <c r="F282" t="s">
        <v>71</v>
      </c>
      <c r="G282">
        <v>4.7824154579455103E-2</v>
      </c>
      <c r="H282">
        <v>1.2768208672146401E-2</v>
      </c>
      <c r="I282">
        <v>0</v>
      </c>
      <c r="J282">
        <v>3</v>
      </c>
      <c r="K282">
        <v>0</v>
      </c>
      <c r="L282">
        <v>0</v>
      </c>
      <c r="M282" s="5" t="str">
        <f>ContinuousStatsTable[[#This Row],[ProjectName]]&amp;ContinuousStatsTable[[#This Row],[Name]]&amp;ContinuousStatsTable[[#This Row],[Type]]&amp;ContinuousStatsTable[[#This Row],[Source]]</f>
        <v>Unnamed ProjectLeave 5.QueueNumber WaitingQueue</v>
      </c>
      <c r="N282" s="5" cm="1">
        <f t="array" ref="N282">MAX(IF((ProjectInfoTable[ProjectName]=ContinuousStatsTable[[#This Row],[ProjectName]]),(ProjectInfoTable[ProjectName]=ContinuousStatsTable[[#This Row],[ProjectName]])*ProjectInfoTable[NumberOfReplications]))</f>
        <v>10</v>
      </c>
      <c r="O282" s="5" cm="1">
        <f t="array" ref="O282">IFERROR(AVERAGE(IF((ContinuousStatsTable[GroupByKey]=ContinuousStatsTable[[#This Row],[GroupByKey]]),(ContinuousStatsTable[GroupByKey]=ContinuousStatsTable[[#This Row],[GroupByKey]])*ContinuousStatsTable[Average])),0)</f>
        <v>4.8788152574119628E-2</v>
      </c>
      <c r="P282" s="5" cm="1">
        <f t="array" ref="P282">IFERROR(_xlfn.STDEV.S(IF((ContinuousStatsTable[GroupByKey]=ContinuousStatsTable[[#This Row],[GroupByKey]]),(ContinuousStatsTable[GroupByKey]=ContinuousStatsTable[[#This Row],[GroupByKey]])*ContinuousStatsTable[Average])),0)</f>
        <v>5.3039270336942244E-3</v>
      </c>
      <c r="Q282" s="5" cm="1">
        <f t="array" ref="Q282">MAX(IF((ProjectInfoTable[ProjectName]=ContinuousStatsTable[[#This Row],[ProjectName]]),(ProjectInfoTable[ProjectName]=ContinuousStatsTable[[#This Row],[ProjectName]])*ProjectInfoTable[ConfidenceInterval]))</f>
        <v>0.95</v>
      </c>
      <c r="R2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3.7942008323176655E-3</v>
      </c>
      <c r="S282" s="5" cm="1">
        <f t="array" ref="S282">MIN(IF((ContinuousStatsTable[GroupByKey]=ContinuousStatsTable[[#This Row],[GroupByKey]]),(ContinuousStatsTable[GroupByKey]=ContinuousStatsTable[[#This Row],[GroupByKey]])*ContinuousStatsTable[Average]))</f>
        <v>4.1058101580258903E-2</v>
      </c>
      <c r="T282" s="5" cm="1">
        <f t="array" ref="T282">MAX(IF((ContinuousStatsTable[GroupByKey]=ContinuousStatsTable[[#This Row],[GroupByKey]]),(ContinuousStatsTable[GroupByKey]=ContinuousStatsTable[[#This Row],[GroupByKey]])*ContinuousStatsTable[Average]))</f>
        <v>5.6386723112129902E-2</v>
      </c>
      <c r="U282" s="5">
        <f>IF((ContinuousStatsTable[[#This Row],[RepsRequested]]&gt;1),ContinuousStatsTable[[#This Row],[HalfWidth]],ContinuousStatsTable[[#This Row],[BatchMeansHalfWidth]])</f>
        <v>3.7942008323176655E-3</v>
      </c>
    </row>
    <row r="283" spans="1:21" x14ac:dyDescent="0.3">
      <c r="A283" t="s">
        <v>66</v>
      </c>
      <c r="B283" t="s">
        <v>68</v>
      </c>
      <c r="C283">
        <v>8</v>
      </c>
      <c r="D283" t="s">
        <v>83</v>
      </c>
      <c r="E283" t="s">
        <v>99</v>
      </c>
      <c r="F283" t="s">
        <v>71</v>
      </c>
      <c r="G283">
        <v>4.7201486102630699E-4</v>
      </c>
      <c r="H283">
        <v>2E+20</v>
      </c>
      <c r="I283">
        <v>0</v>
      </c>
      <c r="J283">
        <v>1</v>
      </c>
      <c r="K283">
        <v>0</v>
      </c>
      <c r="L283">
        <v>0</v>
      </c>
      <c r="M283" s="5" t="str">
        <f>ContinuousStatsTable[[#This Row],[ProjectName]]&amp;ContinuousStatsTable[[#This Row],[Name]]&amp;ContinuousStatsTable[[#This Row],[Type]]&amp;ContinuousStatsTable[[#This Row],[Source]]</f>
        <v>Unnamed ProjectLeave 6.QueueNumber WaitingQueue</v>
      </c>
      <c r="N283" s="5" cm="1">
        <f t="array" ref="N283">MAX(IF((ProjectInfoTable[ProjectName]=ContinuousStatsTable[[#This Row],[ProjectName]]),(ProjectInfoTable[ProjectName]=ContinuousStatsTable[[#This Row],[ProjectName]])*ProjectInfoTable[NumberOfReplications]))</f>
        <v>10</v>
      </c>
      <c r="O283" s="5" cm="1">
        <f t="array" ref="O283">IFERROR(AVERAGE(IF((ContinuousStatsTable[GroupByKey]=ContinuousStatsTable[[#This Row],[GroupByKey]]),(ContinuousStatsTable[GroupByKey]=ContinuousStatsTable[[#This Row],[GroupByKey]])*ContinuousStatsTable[Average])),0)</f>
        <v>3.227619592382791E-3</v>
      </c>
      <c r="P283" s="5" cm="1">
        <f t="array" ref="P283">IFERROR(_xlfn.STDEV.S(IF((ContinuousStatsTable[GroupByKey]=ContinuousStatsTable[[#This Row],[GroupByKey]]),(ContinuousStatsTable[GroupByKey]=ContinuousStatsTable[[#This Row],[GroupByKey]])*ContinuousStatsTable[Average])),0)</f>
        <v>1.5087685522347895E-3</v>
      </c>
      <c r="Q283" s="5" cm="1">
        <f t="array" ref="Q283">MAX(IF((ProjectInfoTable[ProjectName]=ContinuousStatsTable[[#This Row],[ProjectName]]),(ProjectInfoTable[ProjectName]=ContinuousStatsTable[[#This Row],[ProjectName]])*ProjectInfoTable[ConfidenceInterval]))</f>
        <v>0.95</v>
      </c>
      <c r="R2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1.0793080033525183E-3</v>
      </c>
      <c r="S283" s="5" cm="1">
        <f t="array" ref="S283">MIN(IF((ContinuousStatsTable[GroupByKey]=ContinuousStatsTable[[#This Row],[GroupByKey]]),(ContinuousStatsTable[GroupByKey]=ContinuousStatsTable[[#This Row],[GroupByKey]])*ContinuousStatsTable[Average]))</f>
        <v>4.7201486102630699E-4</v>
      </c>
      <c r="T283" s="5" cm="1">
        <f t="array" ref="T283">MAX(IF((ContinuousStatsTable[GroupByKey]=ContinuousStatsTable[[#This Row],[GroupByKey]]),(ContinuousStatsTable[GroupByKey]=ContinuousStatsTable[[#This Row],[GroupByKey]])*ContinuousStatsTable[Average]))</f>
        <v>6.2452549613019898E-3</v>
      </c>
      <c r="U283" s="5">
        <f>IF((ContinuousStatsTable[[#This Row],[RepsRequested]]&gt;1),ContinuousStatsTable[[#This Row],[HalfWidth]],ContinuousStatsTable[[#This Row],[BatchMeansHalfWidth]])</f>
        <v>1.0793080033525183E-3</v>
      </c>
    </row>
    <row r="284" spans="1:21" x14ac:dyDescent="0.3">
      <c r="A284" t="s">
        <v>66</v>
      </c>
      <c r="B284" t="s">
        <v>68</v>
      </c>
      <c r="C284">
        <v>8</v>
      </c>
      <c r="D284" t="s">
        <v>84</v>
      </c>
      <c r="E284" t="s">
        <v>99</v>
      </c>
      <c r="F284" t="s">
        <v>71</v>
      </c>
      <c r="G284">
        <v>6.0495201669375602E-2</v>
      </c>
      <c r="H284">
        <v>2E+20</v>
      </c>
      <c r="I284">
        <v>0</v>
      </c>
      <c r="J284">
        <v>2</v>
      </c>
      <c r="K284">
        <v>0</v>
      </c>
      <c r="L284">
        <v>0</v>
      </c>
      <c r="M284" s="5" t="str">
        <f>ContinuousStatsTable[[#This Row],[ProjectName]]&amp;ContinuousStatsTable[[#This Row],[Name]]&amp;ContinuousStatsTable[[#This Row],[Type]]&amp;ContinuousStatsTable[[#This Row],[Source]]</f>
        <v>Unnamed ProjectLeave 7.QueueNumber WaitingQueue</v>
      </c>
      <c r="N284" s="5" cm="1">
        <f t="array" ref="N284">MAX(IF((ProjectInfoTable[ProjectName]=ContinuousStatsTable[[#This Row],[ProjectName]]),(ProjectInfoTable[ProjectName]=ContinuousStatsTable[[#This Row],[ProjectName]])*ProjectInfoTable[NumberOfReplications]))</f>
        <v>10</v>
      </c>
      <c r="O284" s="5" cm="1">
        <f t="array" ref="O284">IFERROR(AVERAGE(IF((ContinuousStatsTable[GroupByKey]=ContinuousStatsTable[[#This Row],[GroupByKey]]),(ContinuousStatsTable[GroupByKey]=ContinuousStatsTable[[#This Row],[GroupByKey]])*ContinuousStatsTable[Average])),0)</f>
        <v>5.9441954240945373E-2</v>
      </c>
      <c r="P284" s="5" cm="1">
        <f t="array" ref="P284">IFERROR(_xlfn.STDEV.S(IF((ContinuousStatsTable[GroupByKey]=ContinuousStatsTable[[#This Row],[GroupByKey]]),(ContinuousStatsTable[GroupByKey]=ContinuousStatsTable[[#This Row],[GroupByKey]])*ContinuousStatsTable[Average])),0)</f>
        <v>1.1519407308393107E-2</v>
      </c>
      <c r="Q284" s="5" cm="1">
        <f t="array" ref="Q284">MAX(IF((ProjectInfoTable[ProjectName]=ContinuousStatsTable[[#This Row],[ProjectName]]),(ProjectInfoTable[ProjectName]=ContinuousStatsTable[[#This Row],[ProjectName]])*ProjectInfoTable[ConfidenceInterval]))</f>
        <v>0.95</v>
      </c>
      <c r="R2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8.2404875707479553E-3</v>
      </c>
      <c r="S284" s="5" cm="1">
        <f t="array" ref="S284">MIN(IF((ContinuousStatsTable[GroupByKey]=ContinuousStatsTable[[#This Row],[GroupByKey]]),(ContinuousStatsTable[GroupByKey]=ContinuousStatsTable[[#This Row],[GroupByKey]])*ContinuousStatsTable[Average]))</f>
        <v>4.5386728660866099E-2</v>
      </c>
      <c r="T284" s="5" cm="1">
        <f t="array" ref="T284">MAX(IF((ContinuousStatsTable[GroupByKey]=ContinuousStatsTable[[#This Row],[GroupByKey]]),(ContinuousStatsTable[GroupByKey]=ContinuousStatsTable[[#This Row],[GroupByKey]])*ContinuousStatsTable[Average]))</f>
        <v>7.8633362228088005E-2</v>
      </c>
      <c r="U284" s="5">
        <f>IF((ContinuousStatsTable[[#This Row],[RepsRequested]]&gt;1),ContinuousStatsTable[[#This Row],[HalfWidth]],ContinuousStatsTable[[#This Row],[BatchMeansHalfWidth]])</f>
        <v>8.2404875707479553E-3</v>
      </c>
    </row>
    <row r="285" spans="1:21" x14ac:dyDescent="0.3">
      <c r="A285" t="s">
        <v>66</v>
      </c>
      <c r="B285" t="s">
        <v>68</v>
      </c>
      <c r="C285">
        <v>8</v>
      </c>
      <c r="D285" t="s">
        <v>85</v>
      </c>
      <c r="E285" t="s">
        <v>99</v>
      </c>
      <c r="F285" t="s">
        <v>71</v>
      </c>
      <c r="G285">
        <v>1.1341160077992199E-3</v>
      </c>
      <c r="H285">
        <v>2E+20</v>
      </c>
      <c r="I285">
        <v>0</v>
      </c>
      <c r="J285">
        <v>1</v>
      </c>
      <c r="K285">
        <v>0</v>
      </c>
      <c r="L285">
        <v>0</v>
      </c>
      <c r="M285" s="5" t="str">
        <f>ContinuousStatsTable[[#This Row],[ProjectName]]&amp;ContinuousStatsTable[[#This Row],[Name]]&amp;ContinuousStatsTable[[#This Row],[Type]]&amp;ContinuousStatsTable[[#This Row],[Source]]</f>
        <v>Unnamed ProjectLeave 8.QueueNumber WaitingQueue</v>
      </c>
      <c r="N285" s="5" cm="1">
        <f t="array" ref="N285">MAX(IF((ProjectInfoTable[ProjectName]=ContinuousStatsTable[[#This Row],[ProjectName]]),(ProjectInfoTable[ProjectName]=ContinuousStatsTable[[#This Row],[ProjectName]])*ProjectInfoTable[NumberOfReplications]))</f>
        <v>10</v>
      </c>
      <c r="O285" s="5" cm="1">
        <f t="array" ref="O285">IFERROR(AVERAGE(IF((ContinuousStatsTable[GroupByKey]=ContinuousStatsTable[[#This Row],[GroupByKey]]),(ContinuousStatsTable[GroupByKey]=ContinuousStatsTable[[#This Row],[GroupByKey]])*ContinuousStatsTable[Average])),0)</f>
        <v>2.1217771776478596E-3</v>
      </c>
      <c r="P285" s="5" cm="1">
        <f t="array" ref="P285">IFERROR(_xlfn.STDEV.S(IF((ContinuousStatsTable[GroupByKey]=ContinuousStatsTable[[#This Row],[GroupByKey]]),(ContinuousStatsTable[GroupByKey]=ContinuousStatsTable[[#This Row],[GroupByKey]])*ContinuousStatsTable[Average])),0)</f>
        <v>8.0254950645480523E-4</v>
      </c>
      <c r="Q285" s="5" cm="1">
        <f t="array" ref="Q285">MAX(IF((ProjectInfoTable[ProjectName]=ContinuousStatsTable[[#This Row],[ProjectName]]),(ProjectInfoTable[ProjectName]=ContinuousStatsTable[[#This Row],[ProjectName]])*ProjectInfoTable[ConfidenceInterval]))</f>
        <v>0.95</v>
      </c>
      <c r="R2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5.7410933182579346E-4</v>
      </c>
      <c r="S285" s="5" cm="1">
        <f t="array" ref="S285">MIN(IF((ContinuousStatsTable[GroupByKey]=ContinuousStatsTable[[#This Row],[GroupByKey]]),(ContinuousStatsTable[GroupByKey]=ContinuousStatsTable[[#This Row],[GroupByKey]])*ContinuousStatsTable[Average]))</f>
        <v>9.0451064743319795E-4</v>
      </c>
      <c r="T285" s="5" cm="1">
        <f t="array" ref="T285">MAX(IF((ContinuousStatsTable[GroupByKey]=ContinuousStatsTable[[#This Row],[GroupByKey]]),(ContinuousStatsTable[GroupByKey]=ContinuousStatsTable[[#This Row],[GroupByKey]])*ContinuousStatsTable[Average]))</f>
        <v>3.5490296241417699E-3</v>
      </c>
      <c r="U285" s="5">
        <f>IF((ContinuousStatsTable[[#This Row],[RepsRequested]]&gt;1),ContinuousStatsTable[[#This Row],[HalfWidth]],ContinuousStatsTable[[#This Row],[BatchMeansHalfWidth]])</f>
        <v>5.7410933182579346E-4</v>
      </c>
    </row>
    <row r="286" spans="1:21" x14ac:dyDescent="0.3">
      <c r="A286" t="s">
        <v>66</v>
      </c>
      <c r="B286" t="s">
        <v>68</v>
      </c>
      <c r="C286">
        <v>8</v>
      </c>
      <c r="D286" t="s">
        <v>86</v>
      </c>
      <c r="E286" t="s">
        <v>99</v>
      </c>
      <c r="F286" t="s">
        <v>71</v>
      </c>
      <c r="G286">
        <v>2.1830393813876401E-3</v>
      </c>
      <c r="H286">
        <v>2E+20</v>
      </c>
      <c r="I286">
        <v>0</v>
      </c>
      <c r="J286">
        <v>1</v>
      </c>
      <c r="K286">
        <v>0</v>
      </c>
      <c r="L286">
        <v>0</v>
      </c>
      <c r="M286" s="5" t="str">
        <f>ContinuousStatsTable[[#This Row],[ProjectName]]&amp;ContinuousStatsTable[[#This Row],[Name]]&amp;ContinuousStatsTable[[#This Row],[Type]]&amp;ContinuousStatsTable[[#This Row],[Source]]</f>
        <v>Unnamed ProjectLeave 9.QueueNumber WaitingQueue</v>
      </c>
      <c r="N286" s="5" cm="1">
        <f t="array" ref="N286">MAX(IF((ProjectInfoTable[ProjectName]=ContinuousStatsTable[[#This Row],[ProjectName]]),(ProjectInfoTable[ProjectName]=ContinuousStatsTable[[#This Row],[ProjectName]])*ProjectInfoTable[NumberOfReplications]))</f>
        <v>10</v>
      </c>
      <c r="O286" s="5" cm="1">
        <f t="array" ref="O286">IFERROR(AVERAGE(IF((ContinuousStatsTable[GroupByKey]=ContinuousStatsTable[[#This Row],[GroupByKey]]),(ContinuousStatsTable[GroupByKey]=ContinuousStatsTable[[#This Row],[GroupByKey]])*ContinuousStatsTable[Average])),0)</f>
        <v>1.3877246767065991E-3</v>
      </c>
      <c r="P286" s="5" cm="1">
        <f t="array" ref="P286">IFERROR(_xlfn.STDEV.S(IF((ContinuousStatsTable[GroupByKey]=ContinuousStatsTable[[#This Row],[GroupByKey]]),(ContinuousStatsTable[GroupByKey]=ContinuousStatsTable[[#This Row],[GroupByKey]])*ContinuousStatsTable[Average])),0)</f>
        <v>7.1875981577935533E-4</v>
      </c>
      <c r="Q286" s="5" cm="1">
        <f t="array" ref="Q286">MAX(IF((ProjectInfoTable[ProjectName]=ContinuousStatsTable[[#This Row],[ProjectName]]),(ProjectInfoTable[ProjectName]=ContinuousStatsTable[[#This Row],[ProjectName]])*ProjectInfoTable[ConfidenceInterval]))</f>
        <v>0.95</v>
      </c>
      <c r="R2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5.1416979795196457E-4</v>
      </c>
      <c r="S286" s="5" cm="1">
        <f t="array" ref="S286">MIN(IF((ContinuousStatsTable[GroupByKey]=ContinuousStatsTable[[#This Row],[GroupByKey]]),(ContinuousStatsTable[GroupByKey]=ContinuousStatsTable[[#This Row],[GroupByKey]])*ContinuousStatsTable[Average]))</f>
        <v>2.8555279956142001E-4</v>
      </c>
      <c r="T286" s="5" cm="1">
        <f t="array" ref="T286">MAX(IF((ContinuousStatsTable[GroupByKey]=ContinuousStatsTable[[#This Row],[GroupByKey]]),(ContinuousStatsTable[GroupByKey]=ContinuousStatsTable[[#This Row],[GroupByKey]])*ContinuousStatsTable[Average]))</f>
        <v>2.50186012594582E-3</v>
      </c>
      <c r="U286" s="5">
        <f>IF((ContinuousStatsTable[[#This Row],[RepsRequested]]&gt;1),ContinuousStatsTable[[#This Row],[HalfWidth]],ContinuousStatsTable[[#This Row],[BatchMeansHalfWidth]])</f>
        <v>5.1416979795196457E-4</v>
      </c>
    </row>
    <row r="287" spans="1:21" x14ac:dyDescent="0.3">
      <c r="A287" t="s">
        <v>66</v>
      </c>
      <c r="B287" t="s">
        <v>68</v>
      </c>
      <c r="C287">
        <v>8</v>
      </c>
      <c r="D287" t="s">
        <v>87</v>
      </c>
      <c r="E287" t="s">
        <v>100</v>
      </c>
      <c r="F287" t="s">
        <v>74</v>
      </c>
      <c r="G287">
        <v>12.2579752808515</v>
      </c>
      <c r="H287">
        <v>3E+20</v>
      </c>
      <c r="I287">
        <v>0</v>
      </c>
      <c r="J287">
        <v>25</v>
      </c>
      <c r="K287">
        <v>19</v>
      </c>
      <c r="L287">
        <v>0</v>
      </c>
      <c r="M287" s="5" t="str">
        <f>ContinuousStatsTable[[#This Row],[ProjectName]]&amp;ContinuousStatsTable[[#This Row],[Name]]&amp;ContinuousStatsTable[[#This Row],[Type]]&amp;ContinuousStatsTable[[#This Row],[Source]]</f>
        <v>Unnamed ProjectMaleta InternacionalWIPEntity</v>
      </c>
      <c r="N287" s="5" cm="1">
        <f t="array" ref="N287">MAX(IF((ProjectInfoTable[ProjectName]=ContinuousStatsTable[[#This Row],[ProjectName]]),(ProjectInfoTable[ProjectName]=ContinuousStatsTable[[#This Row],[ProjectName]])*ProjectInfoTable[NumberOfReplications]))</f>
        <v>10</v>
      </c>
      <c r="O287" s="5" cm="1">
        <f t="array" ref="O287">IFERROR(AVERAGE(IF((ContinuousStatsTable[GroupByKey]=ContinuousStatsTable[[#This Row],[GroupByKey]]),(ContinuousStatsTable[GroupByKey]=ContinuousStatsTable[[#This Row],[GroupByKey]])*ContinuousStatsTable[Average])),0)</f>
        <v>13.037689788098451</v>
      </c>
      <c r="P287" s="5" cm="1">
        <f t="array" ref="P287">IFERROR(_xlfn.STDEV.S(IF((ContinuousStatsTable[GroupByKey]=ContinuousStatsTable[[#This Row],[GroupByKey]]),(ContinuousStatsTable[GroupByKey]=ContinuousStatsTable[[#This Row],[GroupByKey]])*ContinuousStatsTable[Average])),0)</f>
        <v>1.9631643885071912</v>
      </c>
      <c r="Q287" s="5" cm="1">
        <f t="array" ref="Q287">MAX(IF((ProjectInfoTable[ProjectName]=ContinuousStatsTable[[#This Row],[ProjectName]]),(ProjectInfoTable[ProjectName]=ContinuousStatsTable[[#This Row],[ProjectName]])*ProjectInfoTable[ConfidenceInterval]))</f>
        <v>0.95</v>
      </c>
      <c r="R2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1.4043632028742961</v>
      </c>
      <c r="S287" s="5" cm="1">
        <f t="array" ref="S287">MIN(IF((ContinuousStatsTable[GroupByKey]=ContinuousStatsTable[[#This Row],[GroupByKey]]),(ContinuousStatsTable[GroupByKey]=ContinuousStatsTable[[#This Row],[GroupByKey]])*ContinuousStatsTable[Average]))</f>
        <v>10.277307754823401</v>
      </c>
      <c r="T287" s="5" cm="1">
        <f t="array" ref="T287">MAX(IF((ContinuousStatsTable[GroupByKey]=ContinuousStatsTable[[#This Row],[GroupByKey]]),(ContinuousStatsTable[GroupByKey]=ContinuousStatsTable[[#This Row],[GroupByKey]])*ContinuousStatsTable[Average]))</f>
        <v>16.425571484417201</v>
      </c>
      <c r="U287" s="5">
        <f>IF((ContinuousStatsTable[[#This Row],[RepsRequested]]&gt;1),ContinuousStatsTable[[#This Row],[HalfWidth]],ContinuousStatsTable[[#This Row],[BatchMeansHalfWidth]])</f>
        <v>1.4043632028742961</v>
      </c>
    </row>
    <row r="288" spans="1:21" x14ac:dyDescent="0.3">
      <c r="A288" t="s">
        <v>66</v>
      </c>
      <c r="B288" t="s">
        <v>68</v>
      </c>
      <c r="C288">
        <v>8</v>
      </c>
      <c r="D288" t="s">
        <v>88</v>
      </c>
      <c r="E288" t="s">
        <v>100</v>
      </c>
      <c r="F288" t="s">
        <v>74</v>
      </c>
      <c r="G288">
        <v>2.5277506168851902</v>
      </c>
      <c r="H288">
        <v>2E+20</v>
      </c>
      <c r="I288">
        <v>0</v>
      </c>
      <c r="J288">
        <v>9</v>
      </c>
      <c r="K288">
        <v>2</v>
      </c>
      <c r="L288">
        <v>0</v>
      </c>
      <c r="M288" s="5" t="str">
        <f>ContinuousStatsTable[[#This Row],[ProjectName]]&amp;ContinuousStatsTable[[#This Row],[Name]]&amp;ContinuousStatsTable[[#This Row],[Type]]&amp;ContinuousStatsTable[[#This Row],[Source]]</f>
        <v>Unnamed ProjectMaleta NacionalWIPEntity</v>
      </c>
      <c r="N288" s="5" cm="1">
        <f t="array" ref="N288">MAX(IF((ProjectInfoTable[ProjectName]=ContinuousStatsTable[[#This Row],[ProjectName]]),(ProjectInfoTable[ProjectName]=ContinuousStatsTable[[#This Row],[ProjectName]])*ProjectInfoTable[NumberOfReplications]))</f>
        <v>10</v>
      </c>
      <c r="O288" s="5" cm="1">
        <f t="array" ref="O288">IFERROR(AVERAGE(IF((ContinuousStatsTable[GroupByKey]=ContinuousStatsTable[[#This Row],[GroupByKey]]),(ContinuousStatsTable[GroupByKey]=ContinuousStatsTable[[#This Row],[GroupByKey]])*ContinuousStatsTable[Average])),0)</f>
        <v>2.7356580954557046</v>
      </c>
      <c r="P288" s="5" cm="1">
        <f t="array" ref="P288">IFERROR(_xlfn.STDEV.S(IF((ContinuousStatsTable[GroupByKey]=ContinuousStatsTable[[#This Row],[GroupByKey]]),(ContinuousStatsTable[GroupByKey]=ContinuousStatsTable[[#This Row],[GroupByKey]])*ContinuousStatsTable[Average])),0)</f>
        <v>0.24675556542769644</v>
      </c>
      <c r="Q288" s="5" cm="1">
        <f t="array" ref="Q288">MAX(IF((ProjectInfoTable[ProjectName]=ContinuousStatsTable[[#This Row],[ProjectName]]),(ProjectInfoTable[ProjectName]=ContinuousStatsTable[[#This Row],[ProjectName]])*ProjectInfoTable[ConfidenceInterval]))</f>
        <v>0.95</v>
      </c>
      <c r="R2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0.17651829781539885</v>
      </c>
      <c r="S288" s="5" cm="1">
        <f t="array" ref="S288">MIN(IF((ContinuousStatsTable[GroupByKey]=ContinuousStatsTable[[#This Row],[GroupByKey]]),(ContinuousStatsTable[GroupByKey]=ContinuousStatsTable[[#This Row],[GroupByKey]])*ContinuousStatsTable[Average]))</f>
        <v>2.4605296674942401</v>
      </c>
      <c r="T288" s="5" cm="1">
        <f t="array" ref="T288">MAX(IF((ContinuousStatsTable[GroupByKey]=ContinuousStatsTable[[#This Row],[GroupByKey]]),(ContinuousStatsTable[GroupByKey]=ContinuousStatsTable[[#This Row],[GroupByKey]])*ContinuousStatsTable[Average]))</f>
        <v>3.2916533376655202</v>
      </c>
      <c r="U288" s="5">
        <f>IF((ContinuousStatsTable[[#This Row],[RepsRequested]]&gt;1),ContinuousStatsTable[[#This Row],[HalfWidth]],ContinuousStatsTable[[#This Row],[BatchMeansHalfWidth]])</f>
        <v>0.17651829781539885</v>
      </c>
    </row>
    <row r="289" spans="1:21" x14ac:dyDescent="0.3">
      <c r="A289" t="s">
        <v>66</v>
      </c>
      <c r="B289" t="s">
        <v>68</v>
      </c>
      <c r="C289">
        <v>8</v>
      </c>
      <c r="D289" t="s">
        <v>106</v>
      </c>
      <c r="E289" t="s">
        <v>102</v>
      </c>
      <c r="F289" t="s">
        <v>103</v>
      </c>
      <c r="G289">
        <v>0.72633432349962601</v>
      </c>
      <c r="H289">
        <v>2E+20</v>
      </c>
      <c r="I289">
        <v>0</v>
      </c>
      <c r="J289">
        <v>1</v>
      </c>
      <c r="K289">
        <v>1</v>
      </c>
      <c r="L289">
        <v>0</v>
      </c>
      <c r="M289" s="5" t="str">
        <f>ContinuousStatsTable[[#This Row],[ProjectName]]&amp;ContinuousStatsTable[[#This Row],[Name]]&amp;ContinuousStatsTable[[#This Row],[Type]]&amp;ContinuousStatsTable[[#This Row],[Source]]</f>
        <v>Unnamed ProjectNacionalautoInstantaneous UtilizationResource</v>
      </c>
      <c r="N289" s="5" cm="1">
        <f t="array" ref="N289">MAX(IF((ProjectInfoTable[ProjectName]=ContinuousStatsTable[[#This Row],[ProjectName]]),(ProjectInfoTable[ProjectName]=ContinuousStatsTable[[#This Row],[ProjectName]])*ProjectInfoTable[NumberOfReplications]))</f>
        <v>10</v>
      </c>
      <c r="O289" s="5" cm="1">
        <f t="array" ref="O289">IFERROR(AVERAGE(IF((ContinuousStatsTable[GroupByKey]=ContinuousStatsTable[[#This Row],[GroupByKey]]),(ContinuousStatsTable[GroupByKey]=ContinuousStatsTable[[#This Row],[GroupByKey]])*ContinuousStatsTable[Average])),0)</f>
        <v>0.73175058451933661</v>
      </c>
      <c r="P289" s="5" cm="1">
        <f t="array" ref="P289">IFERROR(_xlfn.STDEV.S(IF((ContinuousStatsTable[GroupByKey]=ContinuousStatsTable[[#This Row],[GroupByKey]]),(ContinuousStatsTable[GroupByKey]=ContinuousStatsTable[[#This Row],[GroupByKey]])*ContinuousStatsTable[Average])),0)</f>
        <v>6.0813477412386734E-2</v>
      </c>
      <c r="Q289" s="5" cm="1">
        <f t="array" ref="Q289">MAX(IF((ProjectInfoTable[ProjectName]=ContinuousStatsTable[[#This Row],[ProjectName]]),(ProjectInfoTable[ProjectName]=ContinuousStatsTable[[#This Row],[ProjectName]])*ProjectInfoTable[ConfidenceInterval]))</f>
        <v>0.95</v>
      </c>
      <c r="R2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4.3503341043041877E-2</v>
      </c>
      <c r="S289" s="5" cm="1">
        <f t="array" ref="S289">MIN(IF((ContinuousStatsTable[GroupByKey]=ContinuousStatsTable[[#This Row],[GroupByKey]]),(ContinuousStatsTable[GroupByKey]=ContinuousStatsTable[[#This Row],[GroupByKey]])*ContinuousStatsTable[Average]))</f>
        <v>0.64995347349336796</v>
      </c>
      <c r="T289" s="5" cm="1">
        <f t="array" ref="T289">MAX(IF((ContinuousStatsTable[GroupByKey]=ContinuousStatsTable[[#This Row],[GroupByKey]]),(ContinuousStatsTable[GroupByKey]=ContinuousStatsTable[[#This Row],[GroupByKey]])*ContinuousStatsTable[Average]))</f>
        <v>0.82581624655093899</v>
      </c>
      <c r="U289" s="5">
        <f>IF((ContinuousStatsTable[[#This Row],[RepsRequested]]&gt;1),ContinuousStatsTable[[#This Row],[HalfWidth]],ContinuousStatsTable[[#This Row],[BatchMeansHalfWidth]])</f>
        <v>4.3503341043041877E-2</v>
      </c>
    </row>
    <row r="290" spans="1:21" x14ac:dyDescent="0.3">
      <c r="A290" t="s">
        <v>66</v>
      </c>
      <c r="B290" t="s">
        <v>68</v>
      </c>
      <c r="C290">
        <v>8</v>
      </c>
      <c r="D290" t="s">
        <v>106</v>
      </c>
      <c r="E290" t="s">
        <v>104</v>
      </c>
      <c r="F290" t="s">
        <v>103</v>
      </c>
      <c r="G290">
        <v>0.72633432349962601</v>
      </c>
      <c r="H290">
        <v>2E+20</v>
      </c>
      <c r="I290">
        <v>0</v>
      </c>
      <c r="J290">
        <v>1</v>
      </c>
      <c r="K290">
        <v>1</v>
      </c>
      <c r="L290">
        <v>0</v>
      </c>
      <c r="M290" s="5" t="str">
        <f>ContinuousStatsTable[[#This Row],[ProjectName]]&amp;ContinuousStatsTable[[#This Row],[Name]]&amp;ContinuousStatsTable[[#This Row],[Type]]&amp;ContinuousStatsTable[[#This Row],[Source]]</f>
        <v>Unnamed ProjectNacionalautoNumber BusyResource</v>
      </c>
      <c r="N290" s="5" cm="1">
        <f t="array" ref="N290">MAX(IF((ProjectInfoTable[ProjectName]=ContinuousStatsTable[[#This Row],[ProjectName]]),(ProjectInfoTable[ProjectName]=ContinuousStatsTable[[#This Row],[ProjectName]])*ProjectInfoTable[NumberOfReplications]))</f>
        <v>10</v>
      </c>
      <c r="O290" s="5" cm="1">
        <f t="array" ref="O290">IFERROR(AVERAGE(IF((ContinuousStatsTable[GroupByKey]=ContinuousStatsTable[[#This Row],[GroupByKey]]),(ContinuousStatsTable[GroupByKey]=ContinuousStatsTable[[#This Row],[GroupByKey]])*ContinuousStatsTable[Average])),0)</f>
        <v>0.73175058451933661</v>
      </c>
      <c r="P290" s="5" cm="1">
        <f t="array" ref="P290">IFERROR(_xlfn.STDEV.S(IF((ContinuousStatsTable[GroupByKey]=ContinuousStatsTable[[#This Row],[GroupByKey]]),(ContinuousStatsTable[GroupByKey]=ContinuousStatsTable[[#This Row],[GroupByKey]])*ContinuousStatsTable[Average])),0)</f>
        <v>6.0813477412386734E-2</v>
      </c>
      <c r="Q290" s="5" cm="1">
        <f t="array" ref="Q290">MAX(IF((ProjectInfoTable[ProjectName]=ContinuousStatsTable[[#This Row],[ProjectName]]),(ProjectInfoTable[ProjectName]=ContinuousStatsTable[[#This Row],[ProjectName]])*ProjectInfoTable[ConfidenceInterval]))</f>
        <v>0.95</v>
      </c>
      <c r="R2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4.3503341043041877E-2</v>
      </c>
      <c r="S290" s="5" cm="1">
        <f t="array" ref="S290">MIN(IF((ContinuousStatsTable[GroupByKey]=ContinuousStatsTable[[#This Row],[GroupByKey]]),(ContinuousStatsTable[GroupByKey]=ContinuousStatsTable[[#This Row],[GroupByKey]])*ContinuousStatsTable[Average]))</f>
        <v>0.64995347349336796</v>
      </c>
      <c r="T290" s="5" cm="1">
        <f t="array" ref="T290">MAX(IF((ContinuousStatsTable[GroupByKey]=ContinuousStatsTable[[#This Row],[GroupByKey]]),(ContinuousStatsTable[GroupByKey]=ContinuousStatsTable[[#This Row],[GroupByKey]])*ContinuousStatsTable[Average]))</f>
        <v>0.82581624655093899</v>
      </c>
      <c r="U290" s="5">
        <f>IF((ContinuousStatsTable[[#This Row],[RepsRequested]]&gt;1),ContinuousStatsTable[[#This Row],[HalfWidth]],ContinuousStatsTable[[#This Row],[BatchMeansHalfWidth]])</f>
        <v>4.3503341043041877E-2</v>
      </c>
    </row>
    <row r="291" spans="1:21" x14ac:dyDescent="0.3">
      <c r="A291" t="s">
        <v>66</v>
      </c>
      <c r="B291" t="s">
        <v>68</v>
      </c>
      <c r="C291">
        <v>8</v>
      </c>
      <c r="D291" t="s">
        <v>106</v>
      </c>
      <c r="E291" t="s">
        <v>105</v>
      </c>
      <c r="F291" t="s">
        <v>103</v>
      </c>
      <c r="G291">
        <v>1</v>
      </c>
      <c r="H291">
        <v>2E+20</v>
      </c>
      <c r="I291">
        <v>1</v>
      </c>
      <c r="J291">
        <v>1</v>
      </c>
      <c r="K291">
        <v>1</v>
      </c>
      <c r="L291">
        <v>0</v>
      </c>
      <c r="M291" s="5" t="str">
        <f>ContinuousStatsTable[[#This Row],[ProjectName]]&amp;ContinuousStatsTable[[#This Row],[Name]]&amp;ContinuousStatsTable[[#This Row],[Type]]&amp;ContinuousStatsTable[[#This Row],[Source]]</f>
        <v>Unnamed ProjectNacionalautoNumber ScheduledResource</v>
      </c>
      <c r="N291" s="5" cm="1">
        <f t="array" ref="N291">MAX(IF((ProjectInfoTable[ProjectName]=ContinuousStatsTable[[#This Row],[ProjectName]]),(ProjectInfoTable[ProjectName]=ContinuousStatsTable[[#This Row],[ProjectName]])*ProjectInfoTable[NumberOfReplications]))</f>
        <v>10</v>
      </c>
      <c r="O291" s="5" cm="1">
        <f t="array" ref="O291">IFERROR(AVERAGE(IF((ContinuousStatsTable[GroupByKey]=ContinuousStatsTable[[#This Row],[GroupByKey]]),(ContinuousStatsTable[GroupByKey]=ContinuousStatsTable[[#This Row],[GroupByKey]])*ContinuousStatsTable[Average])),0)</f>
        <v>1</v>
      </c>
      <c r="P291" s="5" cm="1">
        <f t="array" ref="P291">IFERROR(_xlfn.STDEV.S(IF((ContinuousStatsTable[GroupByKey]=ContinuousStatsTable[[#This Row],[GroupByKey]]),(ContinuousStatsTable[GroupByKey]=ContinuousStatsTable[[#This Row],[GroupByKey]])*ContinuousStatsTable[Average])),0)</f>
        <v>0</v>
      </c>
      <c r="Q291" s="5" cm="1">
        <f t="array" ref="Q291">MAX(IF((ProjectInfoTable[ProjectName]=ContinuousStatsTable[[#This Row],[ProjectName]]),(ProjectInfoTable[ProjectName]=ContinuousStatsTable[[#This Row],[ProjectName]])*ProjectInfoTable[ConfidenceInterval]))</f>
        <v>0.95</v>
      </c>
      <c r="R2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1" s="5" cm="1">
        <f t="array" ref="S291">MIN(IF((ContinuousStatsTable[GroupByKey]=ContinuousStatsTable[[#This Row],[GroupByKey]]),(ContinuousStatsTable[GroupByKey]=ContinuousStatsTable[[#This Row],[GroupByKey]])*ContinuousStatsTable[Average]))</f>
        <v>1</v>
      </c>
      <c r="T291" s="5" cm="1">
        <f t="array" ref="T291">MAX(IF((ContinuousStatsTable[GroupByKey]=ContinuousStatsTable[[#This Row],[GroupByKey]]),(ContinuousStatsTable[GroupByKey]=ContinuousStatsTable[[#This Row],[GroupByKey]])*ContinuousStatsTable[Average]))</f>
        <v>1</v>
      </c>
      <c r="U291" s="5">
        <f>IF((ContinuousStatsTable[[#This Row],[RepsRequested]]&gt;1),ContinuousStatsTable[[#This Row],[HalfWidth]],ContinuousStatsTable[[#This Row],[BatchMeansHalfWidth]])</f>
        <v>0</v>
      </c>
    </row>
    <row r="292" spans="1:21" x14ac:dyDescent="0.3">
      <c r="A292" t="s">
        <v>66</v>
      </c>
      <c r="B292" t="s">
        <v>68</v>
      </c>
      <c r="C292">
        <v>8</v>
      </c>
      <c r="D292" t="s">
        <v>107</v>
      </c>
      <c r="E292" t="s">
        <v>102</v>
      </c>
      <c r="F292" t="s">
        <v>103</v>
      </c>
      <c r="G292">
        <v>7.5539129966560897E-2</v>
      </c>
      <c r="H292">
        <v>1.0999806333599401E-2</v>
      </c>
      <c r="I292">
        <v>0</v>
      </c>
      <c r="J292">
        <v>1</v>
      </c>
      <c r="K292">
        <v>0</v>
      </c>
      <c r="L292">
        <v>0</v>
      </c>
      <c r="M292" s="5" t="str">
        <f>ContinuousStatsTable[[#This Row],[ProjectName]]&amp;ContinuousStatsTable[[#This Row],[Name]]&amp;ContinuousStatsTable[[#This Row],[Type]]&amp;ContinuousStatsTable[[#This Row],[Source]]</f>
        <v>Unnamed ProjectOperarios AvionInstantaneous UtilizationResource</v>
      </c>
      <c r="N292" s="5" cm="1">
        <f t="array" ref="N292">MAX(IF((ProjectInfoTable[ProjectName]=ContinuousStatsTable[[#This Row],[ProjectName]]),(ProjectInfoTable[ProjectName]=ContinuousStatsTable[[#This Row],[ProjectName]])*ProjectInfoTable[NumberOfReplications]))</f>
        <v>10</v>
      </c>
      <c r="O292" s="5" cm="1">
        <f t="array" ref="O292">IFERROR(AVERAGE(IF((ContinuousStatsTable[GroupByKey]=ContinuousStatsTable[[#This Row],[GroupByKey]]),(ContinuousStatsTable[GroupByKey]=ContinuousStatsTable[[#This Row],[GroupByKey]])*ContinuousStatsTable[Average])),0)</f>
        <v>7.5958437118625627E-2</v>
      </c>
      <c r="P292" s="5" cm="1">
        <f t="array" ref="P292">IFERROR(_xlfn.STDEV.S(IF((ContinuousStatsTable[GroupByKey]=ContinuousStatsTable[[#This Row],[GroupByKey]]),(ContinuousStatsTable[GroupByKey]=ContinuousStatsTable[[#This Row],[GroupByKey]])*ContinuousStatsTable[Average])),0)</f>
        <v>5.0572810112240948E-3</v>
      </c>
      <c r="Q292" s="5" cm="1">
        <f t="array" ref="Q292">MAX(IF((ProjectInfoTable[ProjectName]=ContinuousStatsTable[[#This Row],[ProjectName]]),(ProjectInfoTable[ProjectName]=ContinuousStatsTable[[#This Row],[ProjectName]])*ProjectInfoTable[ConfidenceInterval]))</f>
        <v>0.95</v>
      </c>
      <c r="R2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3.6177608968134627E-3</v>
      </c>
      <c r="S292" s="5" cm="1">
        <f t="array" ref="S292">MIN(IF((ContinuousStatsTable[GroupByKey]=ContinuousStatsTable[[#This Row],[GroupByKey]]),(ContinuousStatsTable[GroupByKey]=ContinuousStatsTable[[#This Row],[GroupByKey]])*ContinuousStatsTable[Average]))</f>
        <v>6.7485948117393404E-2</v>
      </c>
      <c r="T292" s="5" cm="1">
        <f t="array" ref="T292">MAX(IF((ContinuousStatsTable[GroupByKey]=ContinuousStatsTable[[#This Row],[GroupByKey]]),(ContinuousStatsTable[GroupByKey]=ContinuousStatsTable[[#This Row],[GroupByKey]])*ContinuousStatsTable[Average]))</f>
        <v>8.7852447587946303E-2</v>
      </c>
      <c r="U292" s="5">
        <f>IF((ContinuousStatsTable[[#This Row],[RepsRequested]]&gt;1),ContinuousStatsTable[[#This Row],[HalfWidth]],ContinuousStatsTable[[#This Row],[BatchMeansHalfWidth]])</f>
        <v>3.6177608968134627E-3</v>
      </c>
    </row>
    <row r="293" spans="1:21" x14ac:dyDescent="0.3">
      <c r="A293" t="s">
        <v>66</v>
      </c>
      <c r="B293" t="s">
        <v>68</v>
      </c>
      <c r="C293">
        <v>8</v>
      </c>
      <c r="D293" t="s">
        <v>107</v>
      </c>
      <c r="E293" t="s">
        <v>104</v>
      </c>
      <c r="F293" t="s">
        <v>103</v>
      </c>
      <c r="G293">
        <v>0.15107825993312199</v>
      </c>
      <c r="H293">
        <v>2.1999612667198801E-2</v>
      </c>
      <c r="I293">
        <v>0</v>
      </c>
      <c r="J293">
        <v>2</v>
      </c>
      <c r="K293">
        <v>0</v>
      </c>
      <c r="L293">
        <v>0</v>
      </c>
      <c r="M293" s="5" t="str">
        <f>ContinuousStatsTable[[#This Row],[ProjectName]]&amp;ContinuousStatsTable[[#This Row],[Name]]&amp;ContinuousStatsTable[[#This Row],[Type]]&amp;ContinuousStatsTable[[#This Row],[Source]]</f>
        <v>Unnamed ProjectOperarios AvionNumber BusyResource</v>
      </c>
      <c r="N293" s="5" cm="1">
        <f t="array" ref="N293">MAX(IF((ProjectInfoTable[ProjectName]=ContinuousStatsTable[[#This Row],[ProjectName]]),(ProjectInfoTable[ProjectName]=ContinuousStatsTable[[#This Row],[ProjectName]])*ProjectInfoTable[NumberOfReplications]))</f>
        <v>10</v>
      </c>
      <c r="O293" s="5" cm="1">
        <f t="array" ref="O293">IFERROR(AVERAGE(IF((ContinuousStatsTable[GroupByKey]=ContinuousStatsTable[[#This Row],[GroupByKey]]),(ContinuousStatsTable[GroupByKey]=ContinuousStatsTable[[#This Row],[GroupByKey]])*ContinuousStatsTable[Average])),0)</f>
        <v>0.1519168742372512</v>
      </c>
      <c r="P293" s="5" cm="1">
        <f t="array" ref="P293">IFERROR(_xlfn.STDEV.S(IF((ContinuousStatsTable[GroupByKey]=ContinuousStatsTable[[#This Row],[GroupByKey]]),(ContinuousStatsTable[GroupByKey]=ContinuousStatsTable[[#This Row],[GroupByKey]])*ContinuousStatsTable[Average])),0)</f>
        <v>1.0114562022448264E-2</v>
      </c>
      <c r="Q293" s="5" cm="1">
        <f t="array" ref="Q293">MAX(IF((ProjectInfoTable[ProjectName]=ContinuousStatsTable[[#This Row],[ProjectName]]),(ProjectInfoTable[ProjectName]=ContinuousStatsTable[[#This Row],[ProjectName]])*ProjectInfoTable[ConfidenceInterval]))</f>
        <v>0.95</v>
      </c>
      <c r="R2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7.2355217936269783E-3</v>
      </c>
      <c r="S293" s="5" cm="1">
        <f t="array" ref="S293">MIN(IF((ContinuousStatsTable[GroupByKey]=ContinuousStatsTable[[#This Row],[GroupByKey]]),(ContinuousStatsTable[GroupByKey]=ContinuousStatsTable[[#This Row],[GroupByKey]])*ContinuousStatsTable[Average]))</f>
        <v>0.134971896234787</v>
      </c>
      <c r="T293" s="5" cm="1">
        <f t="array" ref="T293">MAX(IF((ContinuousStatsTable[GroupByKey]=ContinuousStatsTable[[#This Row],[GroupByKey]]),(ContinuousStatsTable[GroupByKey]=ContinuousStatsTable[[#This Row],[GroupByKey]])*ContinuousStatsTable[Average]))</f>
        <v>0.17570489517589299</v>
      </c>
      <c r="U293" s="5">
        <f>IF((ContinuousStatsTable[[#This Row],[RepsRequested]]&gt;1),ContinuousStatsTable[[#This Row],[HalfWidth]],ContinuousStatsTable[[#This Row],[BatchMeansHalfWidth]])</f>
        <v>7.2355217936269783E-3</v>
      </c>
    </row>
    <row r="294" spans="1:21" x14ac:dyDescent="0.3">
      <c r="A294" t="s">
        <v>66</v>
      </c>
      <c r="B294" t="s">
        <v>68</v>
      </c>
      <c r="C294">
        <v>8</v>
      </c>
      <c r="D294" t="s">
        <v>107</v>
      </c>
      <c r="E294" t="s">
        <v>105</v>
      </c>
      <c r="F294" t="s">
        <v>103</v>
      </c>
      <c r="G294">
        <v>2</v>
      </c>
      <c r="H294">
        <v>2E+20</v>
      </c>
      <c r="I294">
        <v>2</v>
      </c>
      <c r="J294">
        <v>2</v>
      </c>
      <c r="K294">
        <v>2</v>
      </c>
      <c r="L294">
        <v>0</v>
      </c>
      <c r="M294" s="5" t="str">
        <f>ContinuousStatsTable[[#This Row],[ProjectName]]&amp;ContinuousStatsTable[[#This Row],[Name]]&amp;ContinuousStatsTable[[#This Row],[Type]]&amp;ContinuousStatsTable[[#This Row],[Source]]</f>
        <v>Unnamed ProjectOperarios AvionNumber ScheduledResource</v>
      </c>
      <c r="N294" s="5" cm="1">
        <f t="array" ref="N294">MAX(IF((ProjectInfoTable[ProjectName]=ContinuousStatsTable[[#This Row],[ProjectName]]),(ProjectInfoTable[ProjectName]=ContinuousStatsTable[[#This Row],[ProjectName]])*ProjectInfoTable[NumberOfReplications]))</f>
        <v>10</v>
      </c>
      <c r="O294" s="5" cm="1">
        <f t="array" ref="O294">IFERROR(AVERAGE(IF((ContinuousStatsTable[GroupByKey]=ContinuousStatsTable[[#This Row],[GroupByKey]]),(ContinuousStatsTable[GroupByKey]=ContinuousStatsTable[[#This Row],[GroupByKey]])*ContinuousStatsTable[Average])),0)</f>
        <v>2</v>
      </c>
      <c r="P294" s="5" cm="1">
        <f t="array" ref="P294">IFERROR(_xlfn.STDEV.S(IF((ContinuousStatsTable[GroupByKey]=ContinuousStatsTable[[#This Row],[GroupByKey]]),(ContinuousStatsTable[GroupByKey]=ContinuousStatsTable[[#This Row],[GroupByKey]])*ContinuousStatsTable[Average])),0)</f>
        <v>0</v>
      </c>
      <c r="Q294" s="5" cm="1">
        <f t="array" ref="Q294">MAX(IF((ProjectInfoTable[ProjectName]=ContinuousStatsTable[[#This Row],[ProjectName]]),(ProjectInfoTable[ProjectName]=ContinuousStatsTable[[#This Row],[ProjectName]])*ProjectInfoTable[ConfidenceInterval]))</f>
        <v>0.95</v>
      </c>
      <c r="R2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4" s="5" cm="1">
        <f t="array" ref="S294">MIN(IF((ContinuousStatsTable[GroupByKey]=ContinuousStatsTable[[#This Row],[GroupByKey]]),(ContinuousStatsTable[GroupByKey]=ContinuousStatsTable[[#This Row],[GroupByKey]])*ContinuousStatsTable[Average]))</f>
        <v>2</v>
      </c>
      <c r="T294" s="5" cm="1">
        <f t="array" ref="T294">MAX(IF((ContinuousStatsTable[GroupByKey]=ContinuousStatsTable[[#This Row],[GroupByKey]]),(ContinuousStatsTable[GroupByKey]=ContinuousStatsTable[[#This Row],[GroupByKey]])*ContinuousStatsTable[Average]))</f>
        <v>2</v>
      </c>
      <c r="U294" s="5">
        <f>IF((ContinuousStatsTable[[#This Row],[RepsRequested]]&gt;1),ContinuousStatsTable[[#This Row],[HalfWidth]],ContinuousStatsTable[[#This Row],[BatchMeansHalfWidth]])</f>
        <v>0</v>
      </c>
    </row>
    <row r="295" spans="1:21" x14ac:dyDescent="0.3">
      <c r="A295" t="s">
        <v>66</v>
      </c>
      <c r="B295" t="s">
        <v>68</v>
      </c>
      <c r="C295">
        <v>8</v>
      </c>
      <c r="D295" t="s">
        <v>108</v>
      </c>
      <c r="E295" t="s">
        <v>102</v>
      </c>
      <c r="F295" t="s">
        <v>103</v>
      </c>
      <c r="G295">
        <v>0.35190578860197103</v>
      </c>
      <c r="H295">
        <v>2E+20</v>
      </c>
      <c r="I295">
        <v>0</v>
      </c>
      <c r="J295">
        <v>1</v>
      </c>
      <c r="K295">
        <v>1</v>
      </c>
      <c r="L295">
        <v>0</v>
      </c>
      <c r="M295" s="5" t="str">
        <f>ContinuousStatsTable[[#This Row],[ProjectName]]&amp;ContinuousStatsTable[[#This Row],[Name]]&amp;ContinuousStatsTable[[#This Row],[Type]]&amp;ContinuousStatsTable[[#This Row],[Source]]</f>
        <v>Unnamed ProjectcajeraInstantaneous UtilizationResource</v>
      </c>
      <c r="N295" s="5" cm="1">
        <f t="array" ref="N295">MAX(IF((ProjectInfoTable[ProjectName]=ContinuousStatsTable[[#This Row],[ProjectName]]),(ProjectInfoTable[ProjectName]=ContinuousStatsTable[[#This Row],[ProjectName]])*ProjectInfoTable[NumberOfReplications]))</f>
        <v>10</v>
      </c>
      <c r="O295" s="5" cm="1">
        <f t="array" ref="O295">IFERROR(AVERAGE(IF((ContinuousStatsTable[GroupByKey]=ContinuousStatsTable[[#This Row],[GroupByKey]]),(ContinuousStatsTable[GroupByKey]=ContinuousStatsTable[[#This Row],[GroupByKey]])*ContinuousStatsTable[Average])),0)</f>
        <v>0.38078385056341441</v>
      </c>
      <c r="P295" s="5" cm="1">
        <f t="array" ref="P295">IFERROR(_xlfn.STDEV.S(IF((ContinuousStatsTable[GroupByKey]=ContinuousStatsTable[[#This Row],[GroupByKey]]),(ContinuousStatsTable[GroupByKey]=ContinuousStatsTable[[#This Row],[GroupByKey]])*ContinuousStatsTable[Average])),0)</f>
        <v>5.6481911326734656E-2</v>
      </c>
      <c r="Q295" s="5" cm="1">
        <f t="array" ref="Q295">MAX(IF((ProjectInfoTable[ProjectName]=ContinuousStatsTable[[#This Row],[ProjectName]]),(ProjectInfoTable[ProjectName]=ContinuousStatsTable[[#This Row],[ProjectName]])*ProjectInfoTable[ConfidenceInterval]))</f>
        <v>0.95</v>
      </c>
      <c r="R2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4.040472533000234E-2</v>
      </c>
      <c r="S295" s="5" cm="1">
        <f t="array" ref="S295">MIN(IF((ContinuousStatsTable[GroupByKey]=ContinuousStatsTable[[#This Row],[GroupByKey]]),(ContinuousStatsTable[GroupByKey]=ContinuousStatsTable[[#This Row],[GroupByKey]])*ContinuousStatsTable[Average]))</f>
        <v>0.28913636698845602</v>
      </c>
      <c r="T295" s="5" cm="1">
        <f t="array" ref="T295">MAX(IF((ContinuousStatsTable[GroupByKey]=ContinuousStatsTable[[#This Row],[GroupByKey]]),(ContinuousStatsTable[GroupByKey]=ContinuousStatsTable[[#This Row],[GroupByKey]])*ContinuousStatsTable[Average]))</f>
        <v>0.46134650546047301</v>
      </c>
      <c r="U295" s="5">
        <f>IF((ContinuousStatsTable[[#This Row],[RepsRequested]]&gt;1),ContinuousStatsTable[[#This Row],[HalfWidth]],ContinuousStatsTable[[#This Row],[BatchMeansHalfWidth]])</f>
        <v>4.040472533000234E-2</v>
      </c>
    </row>
    <row r="296" spans="1:21" x14ac:dyDescent="0.3">
      <c r="A296" t="s">
        <v>66</v>
      </c>
      <c r="B296" t="s">
        <v>68</v>
      </c>
      <c r="C296">
        <v>8</v>
      </c>
      <c r="D296" t="s">
        <v>108</v>
      </c>
      <c r="E296" t="s">
        <v>104</v>
      </c>
      <c r="F296" t="s">
        <v>103</v>
      </c>
      <c r="G296">
        <v>0.35190578860197103</v>
      </c>
      <c r="H296">
        <v>2E+20</v>
      </c>
      <c r="I296">
        <v>0</v>
      </c>
      <c r="J296">
        <v>1</v>
      </c>
      <c r="K296">
        <v>1</v>
      </c>
      <c r="L296">
        <v>0</v>
      </c>
      <c r="M296" s="5" t="str">
        <f>ContinuousStatsTable[[#This Row],[ProjectName]]&amp;ContinuousStatsTable[[#This Row],[Name]]&amp;ContinuousStatsTable[[#This Row],[Type]]&amp;ContinuousStatsTable[[#This Row],[Source]]</f>
        <v>Unnamed ProjectcajeraNumber BusyResource</v>
      </c>
      <c r="N296" s="5" cm="1">
        <f t="array" ref="N296">MAX(IF((ProjectInfoTable[ProjectName]=ContinuousStatsTable[[#This Row],[ProjectName]]),(ProjectInfoTable[ProjectName]=ContinuousStatsTable[[#This Row],[ProjectName]])*ProjectInfoTable[NumberOfReplications]))</f>
        <v>10</v>
      </c>
      <c r="O296" s="5" cm="1">
        <f t="array" ref="O296">IFERROR(AVERAGE(IF((ContinuousStatsTable[GroupByKey]=ContinuousStatsTable[[#This Row],[GroupByKey]]),(ContinuousStatsTable[GroupByKey]=ContinuousStatsTable[[#This Row],[GroupByKey]])*ContinuousStatsTable[Average])),0)</f>
        <v>0.38078385056341441</v>
      </c>
      <c r="P296" s="5" cm="1">
        <f t="array" ref="P296">IFERROR(_xlfn.STDEV.S(IF((ContinuousStatsTable[GroupByKey]=ContinuousStatsTable[[#This Row],[GroupByKey]]),(ContinuousStatsTable[GroupByKey]=ContinuousStatsTable[[#This Row],[GroupByKey]])*ContinuousStatsTable[Average])),0)</f>
        <v>5.6481911326734656E-2</v>
      </c>
      <c r="Q296" s="5" cm="1">
        <f t="array" ref="Q296">MAX(IF((ProjectInfoTable[ProjectName]=ContinuousStatsTable[[#This Row],[ProjectName]]),(ProjectInfoTable[ProjectName]=ContinuousStatsTable[[#This Row],[ProjectName]])*ProjectInfoTable[ConfidenceInterval]))</f>
        <v>0.95</v>
      </c>
      <c r="R2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4.040472533000234E-2</v>
      </c>
      <c r="S296" s="5" cm="1">
        <f t="array" ref="S296">MIN(IF((ContinuousStatsTable[GroupByKey]=ContinuousStatsTable[[#This Row],[GroupByKey]]),(ContinuousStatsTable[GroupByKey]=ContinuousStatsTable[[#This Row],[GroupByKey]])*ContinuousStatsTable[Average]))</f>
        <v>0.28913636698845602</v>
      </c>
      <c r="T296" s="5" cm="1">
        <f t="array" ref="T296">MAX(IF((ContinuousStatsTable[GroupByKey]=ContinuousStatsTable[[#This Row],[GroupByKey]]),(ContinuousStatsTable[GroupByKey]=ContinuousStatsTable[[#This Row],[GroupByKey]])*ContinuousStatsTable[Average]))</f>
        <v>0.46134650546047301</v>
      </c>
      <c r="U296" s="5">
        <f>IF((ContinuousStatsTable[[#This Row],[RepsRequested]]&gt;1),ContinuousStatsTable[[#This Row],[HalfWidth]],ContinuousStatsTable[[#This Row],[BatchMeansHalfWidth]])</f>
        <v>4.040472533000234E-2</v>
      </c>
    </row>
    <row r="297" spans="1:21" x14ac:dyDescent="0.3">
      <c r="A297" t="s">
        <v>66</v>
      </c>
      <c r="B297" t="s">
        <v>68</v>
      </c>
      <c r="C297">
        <v>8</v>
      </c>
      <c r="D297" t="s">
        <v>108</v>
      </c>
      <c r="E297" t="s">
        <v>105</v>
      </c>
      <c r="F297" t="s">
        <v>103</v>
      </c>
      <c r="G297">
        <v>1</v>
      </c>
      <c r="H297">
        <v>2E+20</v>
      </c>
      <c r="I297">
        <v>1</v>
      </c>
      <c r="J297">
        <v>1</v>
      </c>
      <c r="K297">
        <v>1</v>
      </c>
      <c r="L297">
        <v>0</v>
      </c>
      <c r="M297" s="5" t="str">
        <f>ContinuousStatsTable[[#This Row],[ProjectName]]&amp;ContinuousStatsTable[[#This Row],[Name]]&amp;ContinuousStatsTable[[#This Row],[Type]]&amp;ContinuousStatsTable[[#This Row],[Source]]</f>
        <v>Unnamed ProjectcajeraNumber ScheduledResource</v>
      </c>
      <c r="N297" s="5" cm="1">
        <f t="array" ref="N297">MAX(IF((ProjectInfoTable[ProjectName]=ContinuousStatsTable[[#This Row],[ProjectName]]),(ProjectInfoTable[ProjectName]=ContinuousStatsTable[[#This Row],[ProjectName]])*ProjectInfoTable[NumberOfReplications]))</f>
        <v>10</v>
      </c>
      <c r="O297" s="5" cm="1">
        <f t="array" ref="O297">IFERROR(AVERAGE(IF((ContinuousStatsTable[GroupByKey]=ContinuousStatsTable[[#This Row],[GroupByKey]]),(ContinuousStatsTable[GroupByKey]=ContinuousStatsTable[[#This Row],[GroupByKey]])*ContinuousStatsTable[Average])),0)</f>
        <v>1</v>
      </c>
      <c r="P297" s="5" cm="1">
        <f t="array" ref="P297">IFERROR(_xlfn.STDEV.S(IF((ContinuousStatsTable[GroupByKey]=ContinuousStatsTable[[#This Row],[GroupByKey]]),(ContinuousStatsTable[GroupByKey]=ContinuousStatsTable[[#This Row],[GroupByKey]])*ContinuousStatsTable[Average])),0)</f>
        <v>0</v>
      </c>
      <c r="Q297" s="5" cm="1">
        <f t="array" ref="Q297">MAX(IF((ProjectInfoTable[ProjectName]=ContinuousStatsTable[[#This Row],[ProjectName]]),(ProjectInfoTable[ProjectName]=ContinuousStatsTable[[#This Row],[ProjectName]])*ProjectInfoTable[ConfidenceInterval]))</f>
        <v>0.95</v>
      </c>
      <c r="R2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7" s="5" cm="1">
        <f t="array" ref="S297">MIN(IF((ContinuousStatsTable[GroupByKey]=ContinuousStatsTable[[#This Row],[GroupByKey]]),(ContinuousStatsTable[GroupByKey]=ContinuousStatsTable[[#This Row],[GroupByKey]])*ContinuousStatsTable[Average]))</f>
        <v>1</v>
      </c>
      <c r="T297" s="5" cm="1">
        <f t="array" ref="T297">MAX(IF((ContinuousStatsTable[GroupByKey]=ContinuousStatsTable[[#This Row],[GroupByKey]]),(ContinuousStatsTable[GroupByKey]=ContinuousStatsTable[[#This Row],[GroupByKey]])*ContinuousStatsTable[Average]))</f>
        <v>1</v>
      </c>
      <c r="U297" s="5">
        <f>IF((ContinuousStatsTable[[#This Row],[RepsRequested]]&gt;1),ContinuousStatsTable[[#This Row],[HalfWidth]],ContinuousStatsTable[[#This Row],[BatchMeansHalfWidth]])</f>
        <v>0</v>
      </c>
    </row>
    <row r="298" spans="1:21" x14ac:dyDescent="0.3">
      <c r="A298" t="s">
        <v>66</v>
      </c>
      <c r="B298" t="s">
        <v>68</v>
      </c>
      <c r="C298">
        <v>8</v>
      </c>
      <c r="D298" t="s">
        <v>109</v>
      </c>
      <c r="E298" t="s">
        <v>102</v>
      </c>
      <c r="F298" t="s">
        <v>103</v>
      </c>
      <c r="G298">
        <v>0.70985400369232299</v>
      </c>
      <c r="H298">
        <v>2E+20</v>
      </c>
      <c r="I298">
        <v>0</v>
      </c>
      <c r="J298">
        <v>1</v>
      </c>
      <c r="K298">
        <v>1</v>
      </c>
      <c r="L298">
        <v>0</v>
      </c>
      <c r="M298" s="5" t="str">
        <f>ContinuousStatsTable[[#This Row],[ProjectName]]&amp;ContinuousStatsTable[[#This Row],[Name]]&amp;ContinuousStatsTable[[#This Row],[Type]]&amp;ContinuousStatsTable[[#This Row],[Source]]</f>
        <v>Unnamed Projectcajera2Instantaneous UtilizationResource</v>
      </c>
      <c r="N298" s="5" cm="1">
        <f t="array" ref="N298">MAX(IF((ProjectInfoTable[ProjectName]=ContinuousStatsTable[[#This Row],[ProjectName]]),(ProjectInfoTable[ProjectName]=ContinuousStatsTable[[#This Row],[ProjectName]])*ProjectInfoTable[NumberOfReplications]))</f>
        <v>10</v>
      </c>
      <c r="O298" s="5" cm="1">
        <f t="array" ref="O298">IFERROR(AVERAGE(IF((ContinuousStatsTable[GroupByKey]=ContinuousStatsTable[[#This Row],[GroupByKey]]),(ContinuousStatsTable[GroupByKey]=ContinuousStatsTable[[#This Row],[GroupByKey]])*ContinuousStatsTable[Average])),0)</f>
        <v>0.73571117943508912</v>
      </c>
      <c r="P298" s="5" cm="1">
        <f t="array" ref="P298">IFERROR(_xlfn.STDEV.S(IF((ContinuousStatsTable[GroupByKey]=ContinuousStatsTable[[#This Row],[GroupByKey]]),(ContinuousStatsTable[GroupByKey]=ContinuousStatsTable[[#This Row],[GroupByKey]])*ContinuousStatsTable[Average])),0)</f>
        <v>2.3945213257811505E-2</v>
      </c>
      <c r="Q298" s="5" cm="1">
        <f t="array" ref="Q298">MAX(IF((ProjectInfoTable[ProjectName]=ContinuousStatsTable[[#This Row],[ProjectName]]),(ProjectInfoTable[ProjectName]=ContinuousStatsTable[[#This Row],[ProjectName]])*ProjectInfoTable[ConfidenceInterval]))</f>
        <v>0.95</v>
      </c>
      <c r="R2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1.7129373668915777E-2</v>
      </c>
      <c r="S298" s="5" cm="1">
        <f t="array" ref="S298">MIN(IF((ContinuousStatsTable[GroupByKey]=ContinuousStatsTable[[#This Row],[GroupByKey]]),(ContinuousStatsTable[GroupByKey]=ContinuousStatsTable[[#This Row],[GroupByKey]])*ContinuousStatsTable[Average]))</f>
        <v>0.69752119636771104</v>
      </c>
      <c r="T298" s="5" cm="1">
        <f t="array" ref="T298">MAX(IF((ContinuousStatsTable[GroupByKey]=ContinuousStatsTable[[#This Row],[GroupByKey]]),(ContinuousStatsTable[GroupByKey]=ContinuousStatsTable[[#This Row],[GroupByKey]])*ContinuousStatsTable[Average]))</f>
        <v>0.77845968782647601</v>
      </c>
      <c r="U298" s="5">
        <f>IF((ContinuousStatsTable[[#This Row],[RepsRequested]]&gt;1),ContinuousStatsTable[[#This Row],[HalfWidth]],ContinuousStatsTable[[#This Row],[BatchMeansHalfWidth]])</f>
        <v>1.7129373668915777E-2</v>
      </c>
    </row>
    <row r="299" spans="1:21" x14ac:dyDescent="0.3">
      <c r="A299" t="s">
        <v>66</v>
      </c>
      <c r="B299" t="s">
        <v>68</v>
      </c>
      <c r="C299">
        <v>8</v>
      </c>
      <c r="D299" t="s">
        <v>109</v>
      </c>
      <c r="E299" t="s">
        <v>104</v>
      </c>
      <c r="F299" t="s">
        <v>103</v>
      </c>
      <c r="G299">
        <v>0.70985400369232299</v>
      </c>
      <c r="H299">
        <v>2E+20</v>
      </c>
      <c r="I299">
        <v>0</v>
      </c>
      <c r="J299">
        <v>1</v>
      </c>
      <c r="K299">
        <v>1</v>
      </c>
      <c r="L299">
        <v>0</v>
      </c>
      <c r="M299" s="5" t="str">
        <f>ContinuousStatsTable[[#This Row],[ProjectName]]&amp;ContinuousStatsTable[[#This Row],[Name]]&amp;ContinuousStatsTable[[#This Row],[Type]]&amp;ContinuousStatsTable[[#This Row],[Source]]</f>
        <v>Unnamed Projectcajera2Number BusyResource</v>
      </c>
      <c r="N299" s="5" cm="1">
        <f t="array" ref="N299">MAX(IF((ProjectInfoTable[ProjectName]=ContinuousStatsTable[[#This Row],[ProjectName]]),(ProjectInfoTable[ProjectName]=ContinuousStatsTable[[#This Row],[ProjectName]])*ProjectInfoTable[NumberOfReplications]))</f>
        <v>10</v>
      </c>
      <c r="O299" s="5" cm="1">
        <f t="array" ref="O299">IFERROR(AVERAGE(IF((ContinuousStatsTable[GroupByKey]=ContinuousStatsTable[[#This Row],[GroupByKey]]),(ContinuousStatsTable[GroupByKey]=ContinuousStatsTable[[#This Row],[GroupByKey]])*ContinuousStatsTable[Average])),0)</f>
        <v>0.73571117943508912</v>
      </c>
      <c r="P299" s="5" cm="1">
        <f t="array" ref="P299">IFERROR(_xlfn.STDEV.S(IF((ContinuousStatsTable[GroupByKey]=ContinuousStatsTable[[#This Row],[GroupByKey]]),(ContinuousStatsTable[GroupByKey]=ContinuousStatsTable[[#This Row],[GroupByKey]])*ContinuousStatsTable[Average])),0)</f>
        <v>2.3945213257811505E-2</v>
      </c>
      <c r="Q299" s="5" cm="1">
        <f t="array" ref="Q299">MAX(IF((ProjectInfoTable[ProjectName]=ContinuousStatsTable[[#This Row],[ProjectName]]),(ProjectInfoTable[ProjectName]=ContinuousStatsTable[[#This Row],[ProjectName]])*ProjectInfoTable[ConfidenceInterval]))</f>
        <v>0.95</v>
      </c>
      <c r="R2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1.7129373668915777E-2</v>
      </c>
      <c r="S299" s="5" cm="1">
        <f t="array" ref="S299">MIN(IF((ContinuousStatsTable[GroupByKey]=ContinuousStatsTable[[#This Row],[GroupByKey]]),(ContinuousStatsTable[GroupByKey]=ContinuousStatsTable[[#This Row],[GroupByKey]])*ContinuousStatsTable[Average]))</f>
        <v>0.69752119636771104</v>
      </c>
      <c r="T299" s="5" cm="1">
        <f t="array" ref="T299">MAX(IF((ContinuousStatsTable[GroupByKey]=ContinuousStatsTable[[#This Row],[GroupByKey]]),(ContinuousStatsTable[GroupByKey]=ContinuousStatsTable[[#This Row],[GroupByKey]])*ContinuousStatsTable[Average]))</f>
        <v>0.77845968782647601</v>
      </c>
      <c r="U299" s="5">
        <f>IF((ContinuousStatsTable[[#This Row],[RepsRequested]]&gt;1),ContinuousStatsTable[[#This Row],[HalfWidth]],ContinuousStatsTable[[#This Row],[BatchMeansHalfWidth]])</f>
        <v>1.7129373668915777E-2</v>
      </c>
    </row>
    <row r="300" spans="1:21" x14ac:dyDescent="0.3">
      <c r="A300" t="s">
        <v>66</v>
      </c>
      <c r="B300" t="s">
        <v>68</v>
      </c>
      <c r="C300">
        <v>8</v>
      </c>
      <c r="D300" t="s">
        <v>109</v>
      </c>
      <c r="E300" t="s">
        <v>105</v>
      </c>
      <c r="F300" t="s">
        <v>103</v>
      </c>
      <c r="G300">
        <v>1</v>
      </c>
      <c r="H300">
        <v>2E+20</v>
      </c>
      <c r="I300">
        <v>1</v>
      </c>
      <c r="J300">
        <v>1</v>
      </c>
      <c r="K300">
        <v>1</v>
      </c>
      <c r="L300">
        <v>0</v>
      </c>
      <c r="M300" s="5" t="str">
        <f>ContinuousStatsTable[[#This Row],[ProjectName]]&amp;ContinuousStatsTable[[#This Row],[Name]]&amp;ContinuousStatsTable[[#This Row],[Type]]&amp;ContinuousStatsTable[[#This Row],[Source]]</f>
        <v>Unnamed Projectcajera2Number ScheduledResource</v>
      </c>
      <c r="N300" s="5" cm="1">
        <f t="array" ref="N300">MAX(IF((ProjectInfoTable[ProjectName]=ContinuousStatsTable[[#This Row],[ProjectName]]),(ProjectInfoTable[ProjectName]=ContinuousStatsTable[[#This Row],[ProjectName]])*ProjectInfoTable[NumberOfReplications]))</f>
        <v>10</v>
      </c>
      <c r="O300" s="5" cm="1">
        <f t="array" ref="O300">IFERROR(AVERAGE(IF((ContinuousStatsTable[GroupByKey]=ContinuousStatsTable[[#This Row],[GroupByKey]]),(ContinuousStatsTable[GroupByKey]=ContinuousStatsTable[[#This Row],[GroupByKey]])*ContinuousStatsTable[Average])),0)</f>
        <v>1</v>
      </c>
      <c r="P300" s="5" cm="1">
        <f t="array" ref="P300">IFERROR(_xlfn.STDEV.S(IF((ContinuousStatsTable[GroupByKey]=ContinuousStatsTable[[#This Row],[GroupByKey]]),(ContinuousStatsTable[GroupByKey]=ContinuousStatsTable[[#This Row],[GroupByKey]])*ContinuousStatsTable[Average])),0)</f>
        <v>0</v>
      </c>
      <c r="Q300" s="5" cm="1">
        <f t="array" ref="Q300">MAX(IF((ProjectInfoTable[ProjectName]=ContinuousStatsTable[[#This Row],[ProjectName]]),(ProjectInfoTable[ProjectName]=ContinuousStatsTable[[#This Row],[ProjectName]])*ProjectInfoTable[ConfidenceInterval]))</f>
        <v>0.95</v>
      </c>
      <c r="R3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0" s="5" cm="1">
        <f t="array" ref="S300">MIN(IF((ContinuousStatsTable[GroupByKey]=ContinuousStatsTable[[#This Row],[GroupByKey]]),(ContinuousStatsTable[GroupByKey]=ContinuousStatsTable[[#This Row],[GroupByKey]])*ContinuousStatsTable[Average]))</f>
        <v>1</v>
      </c>
      <c r="T300" s="5" cm="1">
        <f t="array" ref="T300">MAX(IF((ContinuousStatsTable[GroupByKey]=ContinuousStatsTable[[#This Row],[GroupByKey]]),(ContinuousStatsTable[GroupByKey]=ContinuousStatsTable[[#This Row],[GroupByKey]])*ContinuousStatsTable[Average]))</f>
        <v>1</v>
      </c>
      <c r="U300" s="5">
        <f>IF((ContinuousStatsTable[[#This Row],[RepsRequested]]&gt;1),ContinuousStatsTable[[#This Row],[HalfWidth]],ContinuousStatsTable[[#This Row],[BatchMeansHalfWidth]])</f>
        <v>0</v>
      </c>
    </row>
    <row r="301" spans="1:21" x14ac:dyDescent="0.3">
      <c r="A301" t="s">
        <v>66</v>
      </c>
      <c r="B301" t="s">
        <v>68</v>
      </c>
      <c r="C301">
        <v>8</v>
      </c>
      <c r="D301" t="s">
        <v>93</v>
      </c>
      <c r="E301" t="s">
        <v>99</v>
      </c>
      <c r="F301" t="s">
        <v>71</v>
      </c>
      <c r="G301">
        <v>0.95917715937716497</v>
      </c>
      <c r="H301">
        <v>2E+20</v>
      </c>
      <c r="I301">
        <v>0</v>
      </c>
      <c r="J301">
        <v>6</v>
      </c>
      <c r="K301">
        <v>5</v>
      </c>
      <c r="L301">
        <v>0</v>
      </c>
      <c r="M301" s="5" t="str">
        <f>ContinuousStatsTable[[#This Row],[ProjectName]]&amp;ContinuousStatsTable[[#This Row],[Name]]&amp;ContinuousStatsTable[[#This Row],[Type]]&amp;ContinuousStatsTable[[#This Row],[Source]]</f>
        <v>Unnamed Projectmanualinter.QueueNumber WaitingQueue</v>
      </c>
      <c r="N301" s="5" cm="1">
        <f t="array" ref="N301">MAX(IF((ProjectInfoTable[ProjectName]=ContinuousStatsTable[[#This Row],[ProjectName]]),(ProjectInfoTable[ProjectName]=ContinuousStatsTable[[#This Row],[ProjectName]])*ProjectInfoTable[NumberOfReplications]))</f>
        <v>10</v>
      </c>
      <c r="O301" s="5" cm="1">
        <f t="array" ref="O301">IFERROR(AVERAGE(IF((ContinuousStatsTable[GroupByKey]=ContinuousStatsTable[[#This Row],[GroupByKey]]),(ContinuousStatsTable[GroupByKey]=ContinuousStatsTable[[#This Row],[GroupByKey]])*ContinuousStatsTable[Average])),0)</f>
        <v>0.33257710094571935</v>
      </c>
      <c r="P301" s="5" cm="1">
        <f t="array" ref="P301">IFERROR(_xlfn.STDEV.S(IF((ContinuousStatsTable[GroupByKey]=ContinuousStatsTable[[#This Row],[GroupByKey]]),(ContinuousStatsTable[GroupByKey]=ContinuousStatsTable[[#This Row],[GroupByKey]])*ContinuousStatsTable[Average])),0)</f>
        <v>0.27159595138606457</v>
      </c>
      <c r="Q301" s="5" cm="1">
        <f t="array" ref="Q301">MAX(IF((ProjectInfoTable[ProjectName]=ContinuousStatsTable[[#This Row],[ProjectName]]),(ProjectInfoTable[ProjectName]=ContinuousStatsTable[[#This Row],[ProjectName]])*ProjectInfoTable[ConfidenceInterval]))</f>
        <v>0.95</v>
      </c>
      <c r="R3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0.19428803945769421</v>
      </c>
      <c r="S301" s="5" cm="1">
        <f t="array" ref="S301">MIN(IF((ContinuousStatsTable[GroupByKey]=ContinuousStatsTable[[#This Row],[GroupByKey]]),(ContinuousStatsTable[GroupByKey]=ContinuousStatsTable[[#This Row],[GroupByKey]])*ContinuousStatsTable[Average]))</f>
        <v>4.88437833500961E-2</v>
      </c>
      <c r="T301" s="5" cm="1">
        <f t="array" ref="T301">MAX(IF((ContinuousStatsTable[GroupByKey]=ContinuousStatsTable[[#This Row],[GroupByKey]]),(ContinuousStatsTable[GroupByKey]=ContinuousStatsTable[[#This Row],[GroupByKey]])*ContinuousStatsTable[Average]))</f>
        <v>0.95917715937716497</v>
      </c>
      <c r="U301" s="5">
        <f>IF((ContinuousStatsTable[[#This Row],[RepsRequested]]&gt;1),ContinuousStatsTable[[#This Row],[HalfWidth]],ContinuousStatsTable[[#This Row],[BatchMeansHalfWidth]])</f>
        <v>0.19428803945769421</v>
      </c>
    </row>
    <row r="302" spans="1:21" x14ac:dyDescent="0.3">
      <c r="A302" t="s">
        <v>66</v>
      </c>
      <c r="B302" t="s">
        <v>68</v>
      </c>
      <c r="C302">
        <v>8</v>
      </c>
      <c r="D302" t="s">
        <v>94</v>
      </c>
      <c r="E302" t="s">
        <v>99</v>
      </c>
      <c r="F302" t="s">
        <v>71</v>
      </c>
      <c r="G302">
        <v>0</v>
      </c>
      <c r="H302">
        <v>2E+20</v>
      </c>
      <c r="I302">
        <v>0</v>
      </c>
      <c r="J302">
        <v>0</v>
      </c>
      <c r="K302">
        <v>0</v>
      </c>
      <c r="L302">
        <v>0</v>
      </c>
      <c r="M302" s="5" t="str">
        <f>ContinuousStatsTable[[#This Row],[ProjectName]]&amp;ContinuousStatsTable[[#This Row],[Name]]&amp;ContinuousStatsTable[[#This Row],[Type]]&amp;ContinuousStatsTable[[#This Row],[Source]]</f>
        <v>Unnamed Projectmanualnaciona.QueueNumber WaitingQueue</v>
      </c>
      <c r="N302" s="5" cm="1">
        <f t="array" ref="N302">MAX(IF((ProjectInfoTable[ProjectName]=ContinuousStatsTable[[#This Row],[ProjectName]]),(ProjectInfoTable[ProjectName]=ContinuousStatsTable[[#This Row],[ProjectName]])*ProjectInfoTable[NumberOfReplications]))</f>
        <v>10</v>
      </c>
      <c r="O302" s="5" cm="1">
        <f t="array" ref="O302">IFERROR(AVERAGE(IF((ContinuousStatsTable[GroupByKey]=ContinuousStatsTable[[#This Row],[GroupByKey]]),(ContinuousStatsTable[GroupByKey]=ContinuousStatsTable[[#This Row],[GroupByKey]])*ContinuousStatsTable[Average])),0)</f>
        <v>2.2437109622866062E-3</v>
      </c>
      <c r="P302" s="5" cm="1">
        <f t="array" ref="P302">IFERROR(_xlfn.STDEV.S(IF((ContinuousStatsTable[GroupByKey]=ContinuousStatsTable[[#This Row],[GroupByKey]]),(ContinuousStatsTable[GroupByKey]=ContinuousStatsTable[[#This Row],[GroupByKey]])*ContinuousStatsTable[Average])),0)</f>
        <v>6.4095428429067599E-3</v>
      </c>
      <c r="Q302" s="5" cm="1">
        <f t="array" ref="Q302">MAX(IF((ProjectInfoTable[ProjectName]=ContinuousStatsTable[[#This Row],[ProjectName]]),(ProjectInfoTable[ProjectName]=ContinuousStatsTable[[#This Row],[ProjectName]])*ProjectInfoTable[ConfidenceInterval]))</f>
        <v>0.95</v>
      </c>
      <c r="R3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4.5851107367881972E-3</v>
      </c>
      <c r="S302" s="5" cm="1">
        <f t="array" ref="S302">MIN(IF((ContinuousStatsTable[GroupByKey]=ContinuousStatsTable[[#This Row],[GroupByKey]]),(ContinuousStatsTable[GroupByKey]=ContinuousStatsTable[[#This Row],[GroupByKey]])*ContinuousStatsTable[Average]))</f>
        <v>0</v>
      </c>
      <c r="T302" s="5" cm="1">
        <f t="array" ref="T302">MAX(IF((ContinuousStatsTable[GroupByKey]=ContinuousStatsTable[[#This Row],[GroupByKey]]),(ContinuousStatsTable[GroupByKey]=ContinuousStatsTable[[#This Row],[GroupByKey]])*ContinuousStatsTable[Average]))</f>
        <v>2.0447096127880302E-2</v>
      </c>
      <c r="U302" s="5">
        <f>IF((ContinuousStatsTable[[#This Row],[RepsRequested]]&gt;1),ContinuousStatsTable[[#This Row],[HalfWidth]],ContinuousStatsTable[[#This Row],[BatchMeansHalfWidth]])</f>
        <v>4.5851107367881972E-3</v>
      </c>
    </row>
    <row r="303" spans="1:21" x14ac:dyDescent="0.3">
      <c r="A303" t="s">
        <v>66</v>
      </c>
      <c r="B303" t="s">
        <v>68</v>
      </c>
      <c r="C303">
        <v>8</v>
      </c>
      <c r="D303" t="s">
        <v>95</v>
      </c>
      <c r="E303" t="s">
        <v>99</v>
      </c>
      <c r="F303" t="s">
        <v>71</v>
      </c>
      <c r="G303">
        <v>1.89011305196279</v>
      </c>
      <c r="H303">
        <v>3E+20</v>
      </c>
      <c r="I303">
        <v>0</v>
      </c>
      <c r="J303">
        <v>11</v>
      </c>
      <c r="K303">
        <v>2</v>
      </c>
      <c r="L303">
        <v>0</v>
      </c>
      <c r="M303" s="5" t="str">
        <f>ContinuousStatsTable[[#This Row],[ProjectName]]&amp;ContinuousStatsTable[[#This Row],[Name]]&amp;ContinuousStatsTable[[#This Row],[Type]]&amp;ContinuousStatsTable[[#This Row],[Source]]</f>
        <v>Unnamed Projectmaquinainter.QueueNumber WaitingQueue</v>
      </c>
      <c r="N303" s="5" cm="1">
        <f t="array" ref="N303">MAX(IF((ProjectInfoTable[ProjectName]=ContinuousStatsTable[[#This Row],[ProjectName]]),(ProjectInfoTable[ProjectName]=ContinuousStatsTable[[#This Row],[ProjectName]])*ProjectInfoTable[NumberOfReplications]))</f>
        <v>10</v>
      </c>
      <c r="O303" s="5" cm="1">
        <f t="array" ref="O303">IFERROR(AVERAGE(IF((ContinuousStatsTable[GroupByKey]=ContinuousStatsTable[[#This Row],[GroupByKey]]),(ContinuousStatsTable[GroupByKey]=ContinuousStatsTable[[#This Row],[GroupByKey]])*ContinuousStatsTable[Average])),0)</f>
        <v>2.7250893633296323</v>
      </c>
      <c r="P303" s="5" cm="1">
        <f t="array" ref="P303">IFERROR(_xlfn.STDEV.S(IF((ContinuousStatsTable[GroupByKey]=ContinuousStatsTable[[#This Row],[GroupByKey]]),(ContinuousStatsTable[GroupByKey]=ContinuousStatsTable[[#This Row],[GroupByKey]])*ContinuousStatsTable[Average])),0)</f>
        <v>1.2704307292922721</v>
      </c>
      <c r="Q303" s="5" cm="1">
        <f t="array" ref="Q303">MAX(IF((ProjectInfoTable[ProjectName]=ContinuousStatsTable[[#This Row],[ProjectName]]),(ProjectInfoTable[ProjectName]=ContinuousStatsTable[[#This Row],[ProjectName]])*ProjectInfoTable[ConfidenceInterval]))</f>
        <v>0.95</v>
      </c>
      <c r="R3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0.90881139575657477</v>
      </c>
      <c r="S303" s="5" cm="1">
        <f t="array" ref="S303">MIN(IF((ContinuousStatsTable[GroupByKey]=ContinuousStatsTable[[#This Row],[GroupByKey]]),(ContinuousStatsTable[GroupByKey]=ContinuousStatsTable[[#This Row],[GroupByKey]])*ContinuousStatsTable[Average]))</f>
        <v>1.35760259855807</v>
      </c>
      <c r="T303" s="5" cm="1">
        <f t="array" ref="T303">MAX(IF((ContinuousStatsTable[GroupByKey]=ContinuousStatsTable[[#This Row],[GroupByKey]]),(ContinuousStatsTable[GroupByKey]=ContinuousStatsTable[[#This Row],[GroupByKey]])*ContinuousStatsTable[Average]))</f>
        <v>5.2621649076821404</v>
      </c>
      <c r="U303" s="5">
        <f>IF((ContinuousStatsTable[[#This Row],[RepsRequested]]&gt;1),ContinuousStatsTable[[#This Row],[HalfWidth]],ContinuousStatsTable[[#This Row],[BatchMeansHalfWidth]])</f>
        <v>0.90881139575657477</v>
      </c>
    </row>
    <row r="304" spans="1:21" x14ac:dyDescent="0.3">
      <c r="A304" t="s">
        <v>66</v>
      </c>
      <c r="B304" t="s">
        <v>68</v>
      </c>
      <c r="C304">
        <v>8</v>
      </c>
      <c r="D304" t="s">
        <v>96</v>
      </c>
      <c r="E304" t="s">
        <v>99</v>
      </c>
      <c r="F304" t="s">
        <v>71</v>
      </c>
      <c r="G304">
        <v>0.198703734287902</v>
      </c>
      <c r="H304">
        <v>2E+20</v>
      </c>
      <c r="I304">
        <v>0</v>
      </c>
      <c r="J304">
        <v>4</v>
      </c>
      <c r="K304">
        <v>1</v>
      </c>
      <c r="L304">
        <v>0</v>
      </c>
      <c r="M304" s="5" t="str">
        <f>ContinuousStatsTable[[#This Row],[ProjectName]]&amp;ContinuousStatsTable[[#This Row],[Name]]&amp;ContinuousStatsTable[[#This Row],[Type]]&amp;ContinuousStatsTable[[#This Row],[Source]]</f>
        <v>Unnamed Projectmaquinanacional.QueueNumber WaitingQueue</v>
      </c>
      <c r="N304" s="5" cm="1">
        <f t="array" ref="N304">MAX(IF((ProjectInfoTable[ProjectName]=ContinuousStatsTable[[#This Row],[ProjectName]]),(ProjectInfoTable[ProjectName]=ContinuousStatsTable[[#This Row],[ProjectName]])*ProjectInfoTable[NumberOfReplications]))</f>
        <v>10</v>
      </c>
      <c r="O304" s="5" cm="1">
        <f t="array" ref="O304">IFERROR(AVERAGE(IF((ContinuousStatsTable[GroupByKey]=ContinuousStatsTable[[#This Row],[GroupByKey]]),(ContinuousStatsTable[GroupByKey]=ContinuousStatsTable[[#This Row],[GroupByKey]])*ContinuousStatsTable[Average])),0)</f>
        <v>0.20327393268399513</v>
      </c>
      <c r="P304" s="5" cm="1">
        <f t="array" ref="P304">IFERROR(_xlfn.STDEV.S(IF((ContinuousStatsTable[GroupByKey]=ContinuousStatsTable[[#This Row],[GroupByKey]]),(ContinuousStatsTable[GroupByKey]=ContinuousStatsTable[[#This Row],[GroupByKey]])*ContinuousStatsTable[Average])),0)</f>
        <v>5.4678802003311266E-2</v>
      </c>
      <c r="Q304" s="5" cm="1">
        <f t="array" ref="Q304">MAX(IF((ProjectInfoTable[ProjectName]=ContinuousStatsTable[[#This Row],[ProjectName]]),(ProjectInfoTable[ProjectName]=ContinuousStatsTable[[#This Row],[ProjectName]])*ProjectInfoTable[ConfidenceInterval]))</f>
        <v>0.95</v>
      </c>
      <c r="R3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3.9114858623271326E-2</v>
      </c>
      <c r="S304" s="5" cm="1">
        <f t="array" ref="S304">MIN(IF((ContinuousStatsTable[GroupByKey]=ContinuousStatsTable[[#This Row],[GroupByKey]]),(ContinuousStatsTable[GroupByKey]=ContinuousStatsTable[[#This Row],[GroupByKey]])*ContinuousStatsTable[Average]))</f>
        <v>9.7152989948067606E-2</v>
      </c>
      <c r="T304" s="5" cm="1">
        <f t="array" ref="T304">MAX(IF((ContinuousStatsTable[GroupByKey]=ContinuousStatsTable[[#This Row],[GroupByKey]]),(ContinuousStatsTable[GroupByKey]=ContinuousStatsTable[[#This Row],[GroupByKey]])*ContinuousStatsTable[Average]))</f>
        <v>0.28694483715654301</v>
      </c>
      <c r="U304" s="5">
        <f>IF((ContinuousStatsTable[[#This Row],[RepsRequested]]&gt;1),ContinuousStatsTable[[#This Row],[HalfWidth]],ContinuousStatsTable[[#This Row],[BatchMeansHalfWidth]])</f>
        <v>3.9114858623271326E-2</v>
      </c>
    </row>
    <row r="305" spans="1:21" x14ac:dyDescent="0.3">
      <c r="A305" t="s">
        <v>66</v>
      </c>
      <c r="B305" t="s">
        <v>68</v>
      </c>
      <c r="C305">
        <v>8</v>
      </c>
      <c r="D305" t="s">
        <v>97</v>
      </c>
      <c r="E305" t="s">
        <v>99</v>
      </c>
      <c r="F305" t="s">
        <v>71</v>
      </c>
      <c r="G305">
        <v>0.29183897166178802</v>
      </c>
      <c r="H305">
        <v>2E+20</v>
      </c>
      <c r="I305">
        <v>0</v>
      </c>
      <c r="J305">
        <v>4</v>
      </c>
      <c r="K305">
        <v>4</v>
      </c>
      <c r="L305">
        <v>0</v>
      </c>
      <c r="M305" s="5" t="str">
        <f>ContinuousStatsTable[[#This Row],[ProjectName]]&amp;ContinuousStatsTable[[#This Row],[Name]]&amp;ContinuousStatsTable[[#This Row],[Type]]&amp;ContinuousStatsTable[[#This Row],[Source]]</f>
        <v>Unnamed Projectmostrador1.QueueNumber WaitingQueue</v>
      </c>
      <c r="N305" s="5" cm="1">
        <f t="array" ref="N305">MAX(IF((ProjectInfoTable[ProjectName]=ContinuousStatsTable[[#This Row],[ProjectName]]),(ProjectInfoTable[ProjectName]=ContinuousStatsTable[[#This Row],[ProjectName]])*ProjectInfoTable[NumberOfReplications]))</f>
        <v>10</v>
      </c>
      <c r="O305" s="5" cm="1">
        <f t="array" ref="O305">IFERROR(AVERAGE(IF((ContinuousStatsTable[GroupByKey]=ContinuousStatsTable[[#This Row],[GroupByKey]]),(ContinuousStatsTable[GroupByKey]=ContinuousStatsTable[[#This Row],[GroupByKey]])*ContinuousStatsTable[Average])),0)</f>
        <v>0.25365601436241814</v>
      </c>
      <c r="P305" s="5" cm="1">
        <f t="array" ref="P305">IFERROR(_xlfn.STDEV.S(IF((ContinuousStatsTable[GroupByKey]=ContinuousStatsTable[[#This Row],[GroupByKey]]),(ContinuousStatsTable[GroupByKey]=ContinuousStatsTable[[#This Row],[GroupByKey]])*ContinuousStatsTable[Average])),0)</f>
        <v>9.7306237195948719E-2</v>
      </c>
      <c r="Q305" s="5" cm="1">
        <f t="array" ref="Q305">MAX(IF((ProjectInfoTable[ProjectName]=ContinuousStatsTable[[#This Row],[ProjectName]]),(ProjectInfoTable[ProjectName]=ContinuousStatsTable[[#This Row],[ProjectName]])*ProjectInfoTable[ConfidenceInterval]))</f>
        <v>0.95</v>
      </c>
      <c r="R3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6.9608688772141478E-2</v>
      </c>
      <c r="S305" s="5" cm="1">
        <f t="array" ref="S305">MIN(IF((ContinuousStatsTable[GroupByKey]=ContinuousStatsTable[[#This Row],[GroupByKey]]),(ContinuousStatsTable[GroupByKey]=ContinuousStatsTable[[#This Row],[GroupByKey]])*ContinuousStatsTable[Average]))</f>
        <v>0.124078487063659</v>
      </c>
      <c r="T305" s="5" cm="1">
        <f t="array" ref="T305">MAX(IF((ContinuousStatsTable[GroupByKey]=ContinuousStatsTable[[#This Row],[GroupByKey]]),(ContinuousStatsTable[GroupByKey]=ContinuousStatsTable[[#This Row],[GroupByKey]])*ContinuousStatsTable[Average]))</f>
        <v>0.381680898629085</v>
      </c>
      <c r="U305" s="5">
        <f>IF((ContinuousStatsTable[[#This Row],[RepsRequested]]&gt;1),ContinuousStatsTable[[#This Row],[HalfWidth]],ContinuousStatsTable[[#This Row],[BatchMeansHalfWidth]])</f>
        <v>6.9608688772141478E-2</v>
      </c>
    </row>
    <row r="306" spans="1:21" x14ac:dyDescent="0.3">
      <c r="A306" t="s">
        <v>66</v>
      </c>
      <c r="B306" t="s">
        <v>68</v>
      </c>
      <c r="C306">
        <v>8</v>
      </c>
      <c r="D306" t="s">
        <v>98</v>
      </c>
      <c r="E306" t="s">
        <v>99</v>
      </c>
      <c r="F306" t="s">
        <v>71</v>
      </c>
      <c r="G306">
        <v>0.56576940846078805</v>
      </c>
      <c r="H306">
        <v>2E+20</v>
      </c>
      <c r="I306">
        <v>0</v>
      </c>
      <c r="J306">
        <v>5</v>
      </c>
      <c r="K306">
        <v>5</v>
      </c>
      <c r="L306">
        <v>0</v>
      </c>
      <c r="M306" s="5" t="str">
        <f>ContinuousStatsTable[[#This Row],[ProjectName]]&amp;ContinuousStatsTable[[#This Row],[Name]]&amp;ContinuousStatsTable[[#This Row],[Type]]&amp;ContinuousStatsTable[[#This Row],[Source]]</f>
        <v>Unnamed Projectmostrador2.QueueNumber WaitingQueue</v>
      </c>
      <c r="N306" s="5" cm="1">
        <f t="array" ref="N306">MAX(IF((ProjectInfoTable[ProjectName]=ContinuousStatsTable[[#This Row],[ProjectName]]),(ProjectInfoTable[ProjectName]=ContinuousStatsTable[[#This Row],[ProjectName]])*ProjectInfoTable[NumberOfReplications]))</f>
        <v>10</v>
      </c>
      <c r="O306" s="5" cm="1">
        <f t="array" ref="O306">IFERROR(AVERAGE(IF((ContinuousStatsTable[GroupByKey]=ContinuousStatsTable[[#This Row],[GroupByKey]]),(ContinuousStatsTable[GroupByKey]=ContinuousStatsTable[[#This Row],[GroupByKey]])*ContinuousStatsTable[Average])),0)</f>
        <v>0.56854078919795403</v>
      </c>
      <c r="P306" s="5" cm="1">
        <f t="array" ref="P306">IFERROR(_xlfn.STDEV.S(IF((ContinuousStatsTable[GroupByKey]=ContinuousStatsTable[[#This Row],[GroupByKey]]),(ContinuousStatsTable[GroupByKey]=ContinuousStatsTable[[#This Row],[GroupByKey]])*ContinuousStatsTable[Average])),0)</f>
        <v>9.5876381195630939E-2</v>
      </c>
      <c r="Q306" s="5" cm="1">
        <f t="array" ref="Q306">MAX(IF((ProjectInfoTable[ProjectName]=ContinuousStatsTable[[#This Row],[ProjectName]]),(ProjectInfoTable[ProjectName]=ContinuousStatsTable[[#This Row],[ProjectName]])*ProjectInfoTable[ConfidenceInterval]))</f>
        <v>0.95</v>
      </c>
      <c r="R3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6.8585831407770567E-2</v>
      </c>
      <c r="S306" s="5" cm="1">
        <f t="array" ref="S306">MIN(IF((ContinuousStatsTable[GroupByKey]=ContinuousStatsTable[[#This Row],[GroupByKey]]),(ContinuousStatsTable[GroupByKey]=ContinuousStatsTable[[#This Row],[GroupByKey]])*ContinuousStatsTable[Average]))</f>
        <v>0.461258283509344</v>
      </c>
      <c r="T306" s="5" cm="1">
        <f t="array" ref="T306">MAX(IF((ContinuousStatsTable[GroupByKey]=ContinuousStatsTable[[#This Row],[GroupByKey]]),(ContinuousStatsTable[GroupByKey]=ContinuousStatsTable[[#This Row],[GroupByKey]])*ContinuousStatsTable[Average]))</f>
        <v>0.74281217456090598</v>
      </c>
      <c r="U306" s="5">
        <f>IF((ContinuousStatsTable[[#This Row],[RepsRequested]]&gt;1),ContinuousStatsTable[[#This Row],[HalfWidth]],ContinuousStatsTable[[#This Row],[BatchMeansHalfWidth]])</f>
        <v>6.8585831407770567E-2</v>
      </c>
    </row>
    <row r="307" spans="1:21" x14ac:dyDescent="0.3">
      <c r="A307" t="s">
        <v>66</v>
      </c>
      <c r="B307" t="s">
        <v>68</v>
      </c>
      <c r="C307">
        <v>8</v>
      </c>
      <c r="D307" t="s">
        <v>110</v>
      </c>
      <c r="E307" t="s">
        <v>100</v>
      </c>
      <c r="F307" t="s">
        <v>74</v>
      </c>
      <c r="G307">
        <v>0</v>
      </c>
      <c r="H307">
        <v>2E+20</v>
      </c>
      <c r="I307">
        <v>0</v>
      </c>
      <c r="J307">
        <v>0</v>
      </c>
      <c r="K307">
        <v>0</v>
      </c>
      <c r="L307">
        <v>0</v>
      </c>
      <c r="M307" s="5" t="str">
        <f>ContinuousStatsTable[[#This Row],[ProjectName]]&amp;ContinuousStatsTable[[#This Row],[Name]]&amp;ContinuousStatsTable[[#This Row],[Type]]&amp;ContinuousStatsTable[[#This Row],[Source]]</f>
        <v>Unnamed ProjectpersonaWIPEntity</v>
      </c>
      <c r="N307" s="5" cm="1">
        <f t="array" ref="N307">MAX(IF((ProjectInfoTable[ProjectName]=ContinuousStatsTable[[#This Row],[ProjectName]]),(ProjectInfoTable[ProjectName]=ContinuousStatsTable[[#This Row],[ProjectName]])*ProjectInfoTable[NumberOfReplications]))</f>
        <v>10</v>
      </c>
      <c r="O307" s="5" cm="1">
        <f t="array" ref="O307">IFERROR(AVERAGE(IF((ContinuousStatsTable[GroupByKey]=ContinuousStatsTable[[#This Row],[GroupByKey]]),(ContinuousStatsTable[GroupByKey]=ContinuousStatsTable[[#This Row],[GroupByKey]])*ContinuousStatsTable[Average])),0)</f>
        <v>0</v>
      </c>
      <c r="P307" s="5" cm="1">
        <f t="array" ref="P307">IFERROR(_xlfn.STDEV.S(IF((ContinuousStatsTable[GroupByKey]=ContinuousStatsTable[[#This Row],[GroupByKey]]),(ContinuousStatsTable[GroupByKey]=ContinuousStatsTable[[#This Row],[GroupByKey]])*ContinuousStatsTable[Average])),0)</f>
        <v>0</v>
      </c>
      <c r="Q307" s="5" cm="1">
        <f t="array" ref="Q307">MAX(IF((ProjectInfoTable[ProjectName]=ContinuousStatsTable[[#This Row],[ProjectName]]),(ProjectInfoTable[ProjectName]=ContinuousStatsTable[[#This Row],[ProjectName]])*ProjectInfoTable[ConfidenceInterval]))</f>
        <v>0.95</v>
      </c>
      <c r="R3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7" s="5" cm="1">
        <f t="array" ref="S307">MIN(IF((ContinuousStatsTable[GroupByKey]=ContinuousStatsTable[[#This Row],[GroupByKey]]),(ContinuousStatsTable[GroupByKey]=ContinuousStatsTable[[#This Row],[GroupByKey]])*ContinuousStatsTable[Average]))</f>
        <v>0</v>
      </c>
      <c r="T307" s="5" cm="1">
        <f t="array" ref="T307">MAX(IF((ContinuousStatsTable[GroupByKey]=ContinuousStatsTable[[#This Row],[GroupByKey]]),(ContinuousStatsTable[GroupByKey]=ContinuousStatsTable[[#This Row],[GroupByKey]])*ContinuousStatsTable[Average]))</f>
        <v>0</v>
      </c>
      <c r="U307" s="5">
        <f>IF((ContinuousStatsTable[[#This Row],[RepsRequested]]&gt;1),ContinuousStatsTable[[#This Row],[HalfWidth]],ContinuousStatsTable[[#This Row],[BatchMeansHalfWidth]])</f>
        <v>0</v>
      </c>
    </row>
    <row r="308" spans="1:21" x14ac:dyDescent="0.3">
      <c r="A308" t="s">
        <v>66</v>
      </c>
      <c r="B308" t="s">
        <v>68</v>
      </c>
      <c r="C308">
        <v>8</v>
      </c>
      <c r="D308" t="s">
        <v>111</v>
      </c>
      <c r="E308" t="s">
        <v>102</v>
      </c>
      <c r="F308" t="s">
        <v>103</v>
      </c>
      <c r="G308">
        <v>2.1279401430778E-2</v>
      </c>
      <c r="H308">
        <v>2E+20</v>
      </c>
      <c r="I308">
        <v>0</v>
      </c>
      <c r="J308">
        <v>1</v>
      </c>
      <c r="K308">
        <v>0</v>
      </c>
      <c r="L308">
        <v>0</v>
      </c>
      <c r="M308" s="5" t="str">
        <f>ContinuousStatsTable[[#This Row],[ProjectName]]&amp;ContinuousStatsTable[[#This Row],[Name]]&amp;ContinuousStatsTable[[#This Row],[Type]]&amp;ContinuousStatsTable[[#This Row],[Source]]</f>
        <v>Unnamed Projectregistro1Instantaneous UtilizationResource</v>
      </c>
      <c r="N308" s="5" cm="1">
        <f t="array" ref="N308">MAX(IF((ProjectInfoTable[ProjectName]=ContinuousStatsTable[[#This Row],[ProjectName]]),(ProjectInfoTable[ProjectName]=ContinuousStatsTable[[#This Row],[ProjectName]])*ProjectInfoTable[NumberOfReplications]))</f>
        <v>10</v>
      </c>
      <c r="O308" s="5" cm="1">
        <f t="array" ref="O308">IFERROR(AVERAGE(IF((ContinuousStatsTable[GroupByKey]=ContinuousStatsTable[[#This Row],[GroupByKey]]),(ContinuousStatsTable[GroupByKey]=ContinuousStatsTable[[#This Row],[GroupByKey]])*ContinuousStatsTable[Average])),0)</f>
        <v>5.6433247648491516E-2</v>
      </c>
      <c r="P308" s="5" cm="1">
        <f t="array" ref="P308">IFERROR(_xlfn.STDEV.S(IF((ContinuousStatsTable[GroupByKey]=ContinuousStatsTable[[#This Row],[GroupByKey]]),(ContinuousStatsTable[GroupByKey]=ContinuousStatsTable[[#This Row],[GroupByKey]])*ContinuousStatsTable[Average])),0)</f>
        <v>2.4456082934732001E-2</v>
      </c>
      <c r="Q308" s="5" cm="1">
        <f t="array" ref="Q308">MAX(IF((ProjectInfoTable[ProjectName]=ContinuousStatsTable[[#This Row],[ProjectName]]),(ProjectInfoTable[ProjectName]=ContinuousStatsTable[[#This Row],[ProjectName]])*ProjectInfoTable[ConfidenceInterval]))</f>
        <v>0.95</v>
      </c>
      <c r="R3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1.7494827820351853E-2</v>
      </c>
      <c r="S308" s="5" cm="1">
        <f t="array" ref="S308">MIN(IF((ContinuousStatsTable[GroupByKey]=ContinuousStatsTable[[#This Row],[GroupByKey]]),(ContinuousStatsTable[GroupByKey]=ContinuousStatsTable[[#This Row],[GroupByKey]])*ContinuousStatsTable[Average]))</f>
        <v>2.1279401430778E-2</v>
      </c>
      <c r="T308" s="5" cm="1">
        <f t="array" ref="T308">MAX(IF((ContinuousStatsTable[GroupByKey]=ContinuousStatsTable[[#This Row],[GroupByKey]]),(ContinuousStatsTable[GroupByKey]=ContinuousStatsTable[[#This Row],[GroupByKey]])*ContinuousStatsTable[Average]))</f>
        <v>8.8472374570180701E-2</v>
      </c>
      <c r="U308" s="5">
        <f>IF((ContinuousStatsTable[[#This Row],[RepsRequested]]&gt;1),ContinuousStatsTable[[#This Row],[HalfWidth]],ContinuousStatsTable[[#This Row],[BatchMeansHalfWidth]])</f>
        <v>1.7494827820351853E-2</v>
      </c>
    </row>
    <row r="309" spans="1:21" x14ac:dyDescent="0.3">
      <c r="A309" t="s">
        <v>66</v>
      </c>
      <c r="B309" t="s">
        <v>68</v>
      </c>
      <c r="C309">
        <v>8</v>
      </c>
      <c r="D309" t="s">
        <v>111</v>
      </c>
      <c r="E309" t="s">
        <v>104</v>
      </c>
      <c r="F309" t="s">
        <v>103</v>
      </c>
      <c r="G309">
        <v>2.1279401430778E-2</v>
      </c>
      <c r="H309">
        <v>2E+20</v>
      </c>
      <c r="I309">
        <v>0</v>
      </c>
      <c r="J309">
        <v>1</v>
      </c>
      <c r="K309">
        <v>0</v>
      </c>
      <c r="L309">
        <v>0</v>
      </c>
      <c r="M309" s="5" t="str">
        <f>ContinuousStatsTable[[#This Row],[ProjectName]]&amp;ContinuousStatsTable[[#This Row],[Name]]&amp;ContinuousStatsTable[[#This Row],[Type]]&amp;ContinuousStatsTable[[#This Row],[Source]]</f>
        <v>Unnamed Projectregistro1Number BusyResource</v>
      </c>
      <c r="N309" s="5" cm="1">
        <f t="array" ref="N309">MAX(IF((ProjectInfoTable[ProjectName]=ContinuousStatsTable[[#This Row],[ProjectName]]),(ProjectInfoTable[ProjectName]=ContinuousStatsTable[[#This Row],[ProjectName]])*ProjectInfoTable[NumberOfReplications]))</f>
        <v>10</v>
      </c>
      <c r="O309" s="5" cm="1">
        <f t="array" ref="O309">IFERROR(AVERAGE(IF((ContinuousStatsTable[GroupByKey]=ContinuousStatsTable[[#This Row],[GroupByKey]]),(ContinuousStatsTable[GroupByKey]=ContinuousStatsTable[[#This Row],[GroupByKey]])*ContinuousStatsTable[Average])),0)</f>
        <v>5.6433247648491516E-2</v>
      </c>
      <c r="P309" s="5" cm="1">
        <f t="array" ref="P309">IFERROR(_xlfn.STDEV.S(IF((ContinuousStatsTable[GroupByKey]=ContinuousStatsTable[[#This Row],[GroupByKey]]),(ContinuousStatsTable[GroupByKey]=ContinuousStatsTable[[#This Row],[GroupByKey]])*ContinuousStatsTable[Average])),0)</f>
        <v>2.4456082934732001E-2</v>
      </c>
      <c r="Q309" s="5" cm="1">
        <f t="array" ref="Q309">MAX(IF((ProjectInfoTable[ProjectName]=ContinuousStatsTable[[#This Row],[ProjectName]]),(ProjectInfoTable[ProjectName]=ContinuousStatsTable[[#This Row],[ProjectName]])*ProjectInfoTable[ConfidenceInterval]))</f>
        <v>0.95</v>
      </c>
      <c r="R3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1.7494827820351853E-2</v>
      </c>
      <c r="S309" s="5" cm="1">
        <f t="array" ref="S309">MIN(IF((ContinuousStatsTable[GroupByKey]=ContinuousStatsTable[[#This Row],[GroupByKey]]),(ContinuousStatsTable[GroupByKey]=ContinuousStatsTable[[#This Row],[GroupByKey]])*ContinuousStatsTable[Average]))</f>
        <v>2.1279401430778E-2</v>
      </c>
      <c r="T309" s="5" cm="1">
        <f t="array" ref="T309">MAX(IF((ContinuousStatsTable[GroupByKey]=ContinuousStatsTable[[#This Row],[GroupByKey]]),(ContinuousStatsTable[GroupByKey]=ContinuousStatsTable[[#This Row],[GroupByKey]])*ContinuousStatsTable[Average]))</f>
        <v>8.8472374570180701E-2</v>
      </c>
      <c r="U309" s="5">
        <f>IF((ContinuousStatsTable[[#This Row],[RepsRequested]]&gt;1),ContinuousStatsTable[[#This Row],[HalfWidth]],ContinuousStatsTable[[#This Row],[BatchMeansHalfWidth]])</f>
        <v>1.7494827820351853E-2</v>
      </c>
    </row>
    <row r="310" spans="1:21" x14ac:dyDescent="0.3">
      <c r="A310" t="s">
        <v>66</v>
      </c>
      <c r="B310" t="s">
        <v>68</v>
      </c>
      <c r="C310">
        <v>8</v>
      </c>
      <c r="D310" t="s">
        <v>111</v>
      </c>
      <c r="E310" t="s">
        <v>105</v>
      </c>
      <c r="F310" t="s">
        <v>103</v>
      </c>
      <c r="G310">
        <v>1</v>
      </c>
      <c r="H310">
        <v>2E+20</v>
      </c>
      <c r="I310">
        <v>1</v>
      </c>
      <c r="J310">
        <v>1</v>
      </c>
      <c r="K310">
        <v>1</v>
      </c>
      <c r="L310">
        <v>0</v>
      </c>
      <c r="M310" s="5" t="str">
        <f>ContinuousStatsTable[[#This Row],[ProjectName]]&amp;ContinuousStatsTable[[#This Row],[Name]]&amp;ContinuousStatsTable[[#This Row],[Type]]&amp;ContinuousStatsTable[[#This Row],[Source]]</f>
        <v>Unnamed Projectregistro1Number ScheduledResource</v>
      </c>
      <c r="N310" s="5" cm="1">
        <f t="array" ref="N310">MAX(IF((ProjectInfoTable[ProjectName]=ContinuousStatsTable[[#This Row],[ProjectName]]),(ProjectInfoTable[ProjectName]=ContinuousStatsTable[[#This Row],[ProjectName]])*ProjectInfoTable[NumberOfReplications]))</f>
        <v>10</v>
      </c>
      <c r="O310" s="5" cm="1">
        <f t="array" ref="O310">IFERROR(AVERAGE(IF((ContinuousStatsTable[GroupByKey]=ContinuousStatsTable[[#This Row],[GroupByKey]]),(ContinuousStatsTable[GroupByKey]=ContinuousStatsTable[[#This Row],[GroupByKey]])*ContinuousStatsTable[Average])),0)</f>
        <v>1</v>
      </c>
      <c r="P310" s="5" cm="1">
        <f t="array" ref="P310">IFERROR(_xlfn.STDEV.S(IF((ContinuousStatsTable[GroupByKey]=ContinuousStatsTable[[#This Row],[GroupByKey]]),(ContinuousStatsTable[GroupByKey]=ContinuousStatsTable[[#This Row],[GroupByKey]])*ContinuousStatsTable[Average])),0)</f>
        <v>0</v>
      </c>
      <c r="Q310" s="5" cm="1">
        <f t="array" ref="Q310">MAX(IF((ProjectInfoTable[ProjectName]=ContinuousStatsTable[[#This Row],[ProjectName]]),(ProjectInfoTable[ProjectName]=ContinuousStatsTable[[#This Row],[ProjectName]])*ProjectInfoTable[ConfidenceInterval]))</f>
        <v>0.95</v>
      </c>
      <c r="R3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0" s="5" cm="1">
        <f t="array" ref="S310">MIN(IF((ContinuousStatsTable[GroupByKey]=ContinuousStatsTable[[#This Row],[GroupByKey]]),(ContinuousStatsTable[GroupByKey]=ContinuousStatsTable[[#This Row],[GroupByKey]])*ContinuousStatsTable[Average]))</f>
        <v>1</v>
      </c>
      <c r="T310" s="5" cm="1">
        <f t="array" ref="T310">MAX(IF((ContinuousStatsTable[GroupByKey]=ContinuousStatsTable[[#This Row],[GroupByKey]]),(ContinuousStatsTable[GroupByKey]=ContinuousStatsTable[[#This Row],[GroupByKey]])*ContinuousStatsTable[Average]))</f>
        <v>1</v>
      </c>
      <c r="U310" s="5">
        <f>IF((ContinuousStatsTable[[#This Row],[RepsRequested]]&gt;1),ContinuousStatsTable[[#This Row],[HalfWidth]],ContinuousStatsTable[[#This Row],[BatchMeansHalfWidth]])</f>
        <v>0</v>
      </c>
    </row>
    <row r="311" spans="1:21" x14ac:dyDescent="0.3">
      <c r="A311" t="s">
        <v>66</v>
      </c>
      <c r="B311" t="s">
        <v>68</v>
      </c>
      <c r="C311">
        <v>8</v>
      </c>
      <c r="D311" t="s">
        <v>112</v>
      </c>
      <c r="E311" t="s">
        <v>102</v>
      </c>
      <c r="F311" t="s">
        <v>103</v>
      </c>
      <c r="G311">
        <v>0.44908676783761903</v>
      </c>
      <c r="H311">
        <v>2E+20</v>
      </c>
      <c r="I311">
        <v>0</v>
      </c>
      <c r="J311">
        <v>1</v>
      </c>
      <c r="K311">
        <v>1</v>
      </c>
      <c r="L311">
        <v>0</v>
      </c>
      <c r="M311" s="5" t="str">
        <f>ContinuousStatsTable[[#This Row],[ProjectName]]&amp;ContinuousStatsTable[[#This Row],[Name]]&amp;ContinuousStatsTable[[#This Row],[Type]]&amp;ContinuousStatsTable[[#This Row],[Source]]</f>
        <v>Unnamed Projectregistro2Instantaneous UtilizationResource</v>
      </c>
      <c r="N311" s="5" cm="1">
        <f t="array" ref="N311">MAX(IF((ProjectInfoTable[ProjectName]=ContinuousStatsTable[[#This Row],[ProjectName]]),(ProjectInfoTable[ProjectName]=ContinuousStatsTable[[#This Row],[ProjectName]])*ProjectInfoTable[NumberOfReplications]))</f>
        <v>10</v>
      </c>
      <c r="O311" s="5" cm="1">
        <f t="array" ref="O311">IFERROR(AVERAGE(IF((ContinuousStatsTable[GroupByKey]=ContinuousStatsTable[[#This Row],[GroupByKey]]),(ContinuousStatsTable[GroupByKey]=ContinuousStatsTable[[#This Row],[GroupByKey]])*ContinuousStatsTable[Average])),0)</f>
        <v>0.46274808587050231</v>
      </c>
      <c r="P311" s="5" cm="1">
        <f t="array" ref="P311">IFERROR(_xlfn.STDEV.S(IF((ContinuousStatsTable[GroupByKey]=ContinuousStatsTable[[#This Row],[GroupByKey]]),(ContinuousStatsTable[GroupByKey]=ContinuousStatsTable[[#This Row],[GroupByKey]])*ContinuousStatsTable[Average])),0)</f>
        <v>9.1165192054027525E-2</v>
      </c>
      <c r="Q311" s="5" cm="1">
        <f t="array" ref="Q311">MAX(IF((ProjectInfoTable[ProjectName]=ContinuousStatsTable[[#This Row],[ProjectName]]),(ProjectInfoTable[ProjectName]=ContinuousStatsTable[[#This Row],[ProjectName]])*ProjectInfoTable[ConfidenceInterval]))</f>
        <v>0.95</v>
      </c>
      <c r="R3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6.5215649719990554E-2</v>
      </c>
      <c r="S311" s="5" cm="1">
        <f t="array" ref="S311">MIN(IF((ContinuousStatsTable[GroupByKey]=ContinuousStatsTable[[#This Row],[GroupByKey]]),(ContinuousStatsTable[GroupByKey]=ContinuousStatsTable[[#This Row],[GroupByKey]])*ContinuousStatsTable[Average]))</f>
        <v>0.338210899349628</v>
      </c>
      <c r="T311" s="5" cm="1">
        <f t="array" ref="T311">MAX(IF((ContinuousStatsTable[GroupByKey]=ContinuousStatsTable[[#This Row],[GroupByKey]]),(ContinuousStatsTable[GroupByKey]=ContinuousStatsTable[[#This Row],[GroupByKey]])*ContinuousStatsTable[Average]))</f>
        <v>0.66990172486561195</v>
      </c>
      <c r="U311" s="5">
        <f>IF((ContinuousStatsTable[[#This Row],[RepsRequested]]&gt;1),ContinuousStatsTable[[#This Row],[HalfWidth]],ContinuousStatsTable[[#This Row],[BatchMeansHalfWidth]])</f>
        <v>6.5215649719990554E-2</v>
      </c>
    </row>
    <row r="312" spans="1:21" x14ac:dyDescent="0.3">
      <c r="A312" t="s">
        <v>66</v>
      </c>
      <c r="B312" t="s">
        <v>68</v>
      </c>
      <c r="C312">
        <v>8</v>
      </c>
      <c r="D312" t="s">
        <v>112</v>
      </c>
      <c r="E312" t="s">
        <v>104</v>
      </c>
      <c r="F312" t="s">
        <v>103</v>
      </c>
      <c r="G312">
        <v>0.44908676783761903</v>
      </c>
      <c r="H312">
        <v>2E+20</v>
      </c>
      <c r="I312">
        <v>0</v>
      </c>
      <c r="J312">
        <v>1</v>
      </c>
      <c r="K312">
        <v>1</v>
      </c>
      <c r="L312">
        <v>0</v>
      </c>
      <c r="M312" s="5" t="str">
        <f>ContinuousStatsTable[[#This Row],[ProjectName]]&amp;ContinuousStatsTable[[#This Row],[Name]]&amp;ContinuousStatsTable[[#This Row],[Type]]&amp;ContinuousStatsTable[[#This Row],[Source]]</f>
        <v>Unnamed Projectregistro2Number BusyResource</v>
      </c>
      <c r="N312" s="5" cm="1">
        <f t="array" ref="N312">MAX(IF((ProjectInfoTable[ProjectName]=ContinuousStatsTable[[#This Row],[ProjectName]]),(ProjectInfoTable[ProjectName]=ContinuousStatsTable[[#This Row],[ProjectName]])*ProjectInfoTable[NumberOfReplications]))</f>
        <v>10</v>
      </c>
      <c r="O312" s="5" cm="1">
        <f t="array" ref="O312">IFERROR(AVERAGE(IF((ContinuousStatsTable[GroupByKey]=ContinuousStatsTable[[#This Row],[GroupByKey]]),(ContinuousStatsTable[GroupByKey]=ContinuousStatsTable[[#This Row],[GroupByKey]])*ContinuousStatsTable[Average])),0)</f>
        <v>0.46274808587050231</v>
      </c>
      <c r="P312" s="5" cm="1">
        <f t="array" ref="P312">IFERROR(_xlfn.STDEV.S(IF((ContinuousStatsTable[GroupByKey]=ContinuousStatsTable[[#This Row],[GroupByKey]]),(ContinuousStatsTable[GroupByKey]=ContinuousStatsTable[[#This Row],[GroupByKey]])*ContinuousStatsTable[Average])),0)</f>
        <v>9.1165192054027525E-2</v>
      </c>
      <c r="Q312" s="5" cm="1">
        <f t="array" ref="Q312">MAX(IF((ProjectInfoTable[ProjectName]=ContinuousStatsTable[[#This Row],[ProjectName]]),(ProjectInfoTable[ProjectName]=ContinuousStatsTable[[#This Row],[ProjectName]])*ProjectInfoTable[ConfidenceInterval]))</f>
        <v>0.95</v>
      </c>
      <c r="R3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6.5215649719990554E-2</v>
      </c>
      <c r="S312" s="5" cm="1">
        <f t="array" ref="S312">MIN(IF((ContinuousStatsTable[GroupByKey]=ContinuousStatsTable[[#This Row],[GroupByKey]]),(ContinuousStatsTable[GroupByKey]=ContinuousStatsTable[[#This Row],[GroupByKey]])*ContinuousStatsTable[Average]))</f>
        <v>0.338210899349628</v>
      </c>
      <c r="T312" s="5" cm="1">
        <f t="array" ref="T312">MAX(IF((ContinuousStatsTable[GroupByKey]=ContinuousStatsTable[[#This Row],[GroupByKey]]),(ContinuousStatsTable[GroupByKey]=ContinuousStatsTable[[#This Row],[GroupByKey]])*ContinuousStatsTable[Average]))</f>
        <v>0.66990172486561195</v>
      </c>
      <c r="U312" s="5">
        <f>IF((ContinuousStatsTable[[#This Row],[RepsRequested]]&gt;1),ContinuousStatsTable[[#This Row],[HalfWidth]],ContinuousStatsTable[[#This Row],[BatchMeansHalfWidth]])</f>
        <v>6.5215649719990554E-2</v>
      </c>
    </row>
    <row r="313" spans="1:21" x14ac:dyDescent="0.3">
      <c r="A313" t="s">
        <v>66</v>
      </c>
      <c r="B313" t="s">
        <v>68</v>
      </c>
      <c r="C313">
        <v>8</v>
      </c>
      <c r="D313" t="s">
        <v>112</v>
      </c>
      <c r="E313" t="s">
        <v>105</v>
      </c>
      <c r="F313" t="s">
        <v>103</v>
      </c>
      <c r="G313">
        <v>1</v>
      </c>
      <c r="H313">
        <v>2E+20</v>
      </c>
      <c r="I313">
        <v>1</v>
      </c>
      <c r="J313">
        <v>1</v>
      </c>
      <c r="K313">
        <v>1</v>
      </c>
      <c r="L313">
        <v>0</v>
      </c>
      <c r="M313" s="5" t="str">
        <f>ContinuousStatsTable[[#This Row],[ProjectName]]&amp;ContinuousStatsTable[[#This Row],[Name]]&amp;ContinuousStatsTable[[#This Row],[Type]]&amp;ContinuousStatsTable[[#This Row],[Source]]</f>
        <v>Unnamed Projectregistro2Number ScheduledResource</v>
      </c>
      <c r="N313" s="5" cm="1">
        <f t="array" ref="N313">MAX(IF((ProjectInfoTable[ProjectName]=ContinuousStatsTable[[#This Row],[ProjectName]]),(ProjectInfoTable[ProjectName]=ContinuousStatsTable[[#This Row],[ProjectName]])*ProjectInfoTable[NumberOfReplications]))</f>
        <v>10</v>
      </c>
      <c r="O313" s="5" cm="1">
        <f t="array" ref="O313">IFERROR(AVERAGE(IF((ContinuousStatsTable[GroupByKey]=ContinuousStatsTable[[#This Row],[GroupByKey]]),(ContinuousStatsTable[GroupByKey]=ContinuousStatsTable[[#This Row],[GroupByKey]])*ContinuousStatsTable[Average])),0)</f>
        <v>1</v>
      </c>
      <c r="P313" s="5" cm="1">
        <f t="array" ref="P313">IFERROR(_xlfn.STDEV.S(IF((ContinuousStatsTable[GroupByKey]=ContinuousStatsTable[[#This Row],[GroupByKey]]),(ContinuousStatsTable[GroupByKey]=ContinuousStatsTable[[#This Row],[GroupByKey]])*ContinuousStatsTable[Average])),0)</f>
        <v>0</v>
      </c>
      <c r="Q313" s="5" cm="1">
        <f t="array" ref="Q313">MAX(IF((ProjectInfoTable[ProjectName]=ContinuousStatsTable[[#This Row],[ProjectName]]),(ProjectInfoTable[ProjectName]=ContinuousStatsTable[[#This Row],[ProjectName]])*ProjectInfoTable[ConfidenceInterval]))</f>
        <v>0.95</v>
      </c>
      <c r="R3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3" s="5" cm="1">
        <f t="array" ref="S313">MIN(IF((ContinuousStatsTable[GroupByKey]=ContinuousStatsTable[[#This Row],[GroupByKey]]),(ContinuousStatsTable[GroupByKey]=ContinuousStatsTable[[#This Row],[GroupByKey]])*ContinuousStatsTable[Average]))</f>
        <v>1</v>
      </c>
      <c r="T313" s="5" cm="1">
        <f t="array" ref="T313">MAX(IF((ContinuousStatsTable[GroupByKey]=ContinuousStatsTable[[#This Row],[GroupByKey]]),(ContinuousStatsTable[GroupByKey]=ContinuousStatsTable[[#This Row],[GroupByKey]])*ContinuousStatsTable[Average]))</f>
        <v>1</v>
      </c>
      <c r="U313" s="5">
        <f>IF((ContinuousStatsTable[[#This Row],[RepsRequested]]&gt;1),ContinuousStatsTable[[#This Row],[HalfWidth]],ContinuousStatsTable[[#This Row],[BatchMeansHalfWidth]])</f>
        <v>0</v>
      </c>
    </row>
    <row r="314" spans="1:21" x14ac:dyDescent="0.3">
      <c r="A314" t="s">
        <v>66</v>
      </c>
      <c r="B314" t="s">
        <v>68</v>
      </c>
      <c r="C314">
        <v>9</v>
      </c>
      <c r="D314" t="s">
        <v>69</v>
      </c>
      <c r="E314" t="s">
        <v>99</v>
      </c>
      <c r="F314" t="s">
        <v>71</v>
      </c>
      <c r="G314">
        <v>2.8294284227636502E-3</v>
      </c>
      <c r="H314">
        <v>2E+20</v>
      </c>
      <c r="I314">
        <v>0</v>
      </c>
      <c r="J314">
        <v>3</v>
      </c>
      <c r="K314">
        <v>0</v>
      </c>
      <c r="L314">
        <v>0</v>
      </c>
      <c r="M314" s="5" t="str">
        <f>ContinuousStatsTable[[#This Row],[ProjectName]]&amp;ContinuousStatsTable[[#This Row],[Name]]&amp;ContinuousStatsTable[[#This Row],[Type]]&amp;ContinuousStatsTable[[#This Row],[Source]]</f>
        <v>Unnamed ProjectCargar Avion.QueueNumber WaitingQueue</v>
      </c>
      <c r="N314" s="5" cm="1">
        <f t="array" ref="N314">MAX(IF((ProjectInfoTable[ProjectName]=ContinuousStatsTable[[#This Row],[ProjectName]]),(ProjectInfoTable[ProjectName]=ContinuousStatsTable[[#This Row],[ProjectName]])*ProjectInfoTable[NumberOfReplications]))</f>
        <v>10</v>
      </c>
      <c r="O314" s="5" cm="1">
        <f t="array" ref="O314">IFERROR(AVERAGE(IF((ContinuousStatsTable[GroupByKey]=ContinuousStatsTable[[#This Row],[GroupByKey]]),(ContinuousStatsTable[GroupByKey]=ContinuousStatsTable[[#This Row],[GroupByKey]])*ContinuousStatsTable[Average])),0)</f>
        <v>4.3234278073230802E-4</v>
      </c>
      <c r="P314" s="5" cm="1">
        <f t="array" ref="P314">IFERROR(_xlfn.STDEV.S(IF((ContinuousStatsTable[GroupByKey]=ContinuousStatsTable[[#This Row],[GroupByKey]]),(ContinuousStatsTable[GroupByKey]=ContinuousStatsTable[[#This Row],[GroupByKey]])*ContinuousStatsTable[Average])),0)</f>
        <v>8.6650685478403973E-4</v>
      </c>
      <c r="Q314" s="5" cm="1">
        <f t="array" ref="Q314">MAX(IF((ProjectInfoTable[ProjectName]=ContinuousStatsTable[[#This Row],[ProjectName]]),(ProjectInfoTable[ProjectName]=ContinuousStatsTable[[#This Row],[ProjectName]])*ProjectInfoTable[ConfidenceInterval]))</f>
        <v>0.95</v>
      </c>
      <c r="R3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6.1986166264068276E-4</v>
      </c>
      <c r="S314" s="5" cm="1">
        <f t="array" ref="S314">MIN(IF((ContinuousStatsTable[GroupByKey]=ContinuousStatsTable[[#This Row],[GroupByKey]]),(ContinuousStatsTable[GroupByKey]=ContinuousStatsTable[[#This Row],[GroupByKey]])*ContinuousStatsTable[Average]))</f>
        <v>0</v>
      </c>
      <c r="T314" s="5" cm="1">
        <f t="array" ref="T314">MAX(IF((ContinuousStatsTable[GroupByKey]=ContinuousStatsTable[[#This Row],[GroupByKey]]),(ContinuousStatsTable[GroupByKey]=ContinuousStatsTable[[#This Row],[GroupByKey]])*ContinuousStatsTable[Average]))</f>
        <v>2.8294284227636502E-3</v>
      </c>
      <c r="U314" s="5">
        <f>IF((ContinuousStatsTable[[#This Row],[RepsRequested]]&gt;1),ContinuousStatsTable[[#This Row],[HalfWidth]],ContinuousStatsTable[[#This Row],[BatchMeansHalfWidth]])</f>
        <v>6.1986166264068276E-4</v>
      </c>
    </row>
    <row r="315" spans="1:21" x14ac:dyDescent="0.3">
      <c r="A315" t="s">
        <v>66</v>
      </c>
      <c r="B315" t="s">
        <v>68</v>
      </c>
      <c r="C315">
        <v>9</v>
      </c>
      <c r="D315" t="s">
        <v>72</v>
      </c>
      <c r="E315" t="s">
        <v>100</v>
      </c>
      <c r="F315" t="s">
        <v>74</v>
      </c>
      <c r="G315">
        <v>2.3099874805957801</v>
      </c>
      <c r="H315">
        <v>3E+20</v>
      </c>
      <c r="I315">
        <v>0</v>
      </c>
      <c r="J315">
        <v>12</v>
      </c>
      <c r="K315">
        <v>1</v>
      </c>
      <c r="L315">
        <v>0</v>
      </c>
      <c r="M315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315" s="5" cm="1">
        <f t="array" ref="N315">MAX(IF((ProjectInfoTable[ProjectName]=ContinuousStatsTable[[#This Row],[ProjectName]]),(ProjectInfoTable[ProjectName]=ContinuousStatsTable[[#This Row],[ProjectName]])*ProjectInfoTable[NumberOfReplications]))</f>
        <v>10</v>
      </c>
      <c r="O315" s="5" cm="1">
        <f t="array" ref="O315">IFERROR(AVERAGE(IF((ContinuousStatsTable[GroupByKey]=ContinuousStatsTable[[#This Row],[GroupByKey]]),(ContinuousStatsTable[GroupByKey]=ContinuousStatsTable[[#This Row],[GroupByKey]])*ContinuousStatsTable[Average])),0)</f>
        <v>1.938691833558875</v>
      </c>
      <c r="P315" s="5" cm="1">
        <f t="array" ref="P315">IFERROR(_xlfn.STDEV.S(IF((ContinuousStatsTable[GroupByKey]=ContinuousStatsTable[[#This Row],[GroupByKey]]),(ContinuousStatsTable[GroupByKey]=ContinuousStatsTable[[#This Row],[GroupByKey]])*ContinuousStatsTable[Average])),0)</f>
        <v>0.24426972485872975</v>
      </c>
      <c r="Q315" s="5" cm="1">
        <f t="array" ref="Q315">MAX(IF((ProjectInfoTable[ProjectName]=ContinuousStatsTable[[#This Row],[ProjectName]]),(ProjectInfoTable[ProjectName]=ContinuousStatsTable[[#This Row],[ProjectName]])*ProjectInfoTable[ConfidenceInterval]))</f>
        <v>0.95</v>
      </c>
      <c r="R3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0.17474003459724646</v>
      </c>
      <c r="S315" s="5" cm="1">
        <f t="array" ref="S315">MIN(IF((ContinuousStatsTable[GroupByKey]=ContinuousStatsTable[[#This Row],[GroupByKey]]),(ContinuousStatsTable[GroupByKey]=ContinuousStatsTable[[#This Row],[GroupByKey]])*ContinuousStatsTable[Average]))</f>
        <v>1.6635577018983201</v>
      </c>
      <c r="T315" s="5" cm="1">
        <f t="array" ref="T315">MAX(IF((ContinuousStatsTable[GroupByKey]=ContinuousStatsTable[[#This Row],[GroupByKey]]),(ContinuousStatsTable[GroupByKey]=ContinuousStatsTable[[#This Row],[GroupByKey]])*ContinuousStatsTable[Average]))</f>
        <v>2.3099874805957801</v>
      </c>
      <c r="U315" s="5">
        <f>IF((ContinuousStatsTable[[#This Row],[RepsRequested]]&gt;1),ContinuousStatsTable[[#This Row],[HalfWidth]],ContinuousStatsTable[[#This Row],[BatchMeansHalfWidth]])</f>
        <v>0.17474003459724646</v>
      </c>
    </row>
    <row r="316" spans="1:21" x14ac:dyDescent="0.3">
      <c r="A316" t="s">
        <v>66</v>
      </c>
      <c r="B316" t="s">
        <v>68</v>
      </c>
      <c r="C316">
        <v>9</v>
      </c>
      <c r="D316" t="s">
        <v>101</v>
      </c>
      <c r="E316" t="s">
        <v>102</v>
      </c>
      <c r="F316" t="s">
        <v>103</v>
      </c>
      <c r="G316">
        <v>0.29552077299252399</v>
      </c>
      <c r="H316">
        <v>2E+20</v>
      </c>
      <c r="I316">
        <v>0</v>
      </c>
      <c r="J316">
        <v>1</v>
      </c>
      <c r="K316">
        <v>0</v>
      </c>
      <c r="L316">
        <v>0</v>
      </c>
      <c r="M316" s="5" t="str">
        <f>ContinuousStatsTable[[#This Row],[ProjectName]]&amp;ContinuousStatsTable[[#This Row],[Name]]&amp;ContinuousStatsTable[[#This Row],[Type]]&amp;ContinuousStatsTable[[#This Row],[Source]]</f>
        <v>Unnamed ProjectInterautoInstantaneous UtilizationResource</v>
      </c>
      <c r="N316" s="5" cm="1">
        <f t="array" ref="N316">MAX(IF((ProjectInfoTable[ProjectName]=ContinuousStatsTable[[#This Row],[ProjectName]]),(ProjectInfoTable[ProjectName]=ContinuousStatsTable[[#This Row],[ProjectName]])*ProjectInfoTable[NumberOfReplications]))</f>
        <v>10</v>
      </c>
      <c r="O316" s="5" cm="1">
        <f t="array" ref="O316">IFERROR(AVERAGE(IF((ContinuousStatsTable[GroupByKey]=ContinuousStatsTable[[#This Row],[GroupByKey]]),(ContinuousStatsTable[GroupByKey]=ContinuousStatsTable[[#This Row],[GroupByKey]])*ContinuousStatsTable[Average])),0)</f>
        <v>0.26535205929836458</v>
      </c>
      <c r="P316" s="5" cm="1">
        <f t="array" ref="P316">IFERROR(_xlfn.STDEV.S(IF((ContinuousStatsTable[GroupByKey]=ContinuousStatsTable[[#This Row],[GroupByKey]]),(ContinuousStatsTable[GroupByKey]=ContinuousStatsTable[[#This Row],[GroupByKey]])*ContinuousStatsTable[Average])),0)</f>
        <v>2.5807993647623796E-2</v>
      </c>
      <c r="Q316" s="5" cm="1">
        <f t="array" ref="Q316">MAX(IF((ProjectInfoTable[ProjectName]=ContinuousStatsTable[[#This Row],[ProjectName]]),(ProjectInfoTable[ProjectName]=ContinuousStatsTable[[#This Row],[ProjectName]])*ProjectInfoTable[ConfidenceInterval]))</f>
        <v>0.95</v>
      </c>
      <c r="R3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1.8461926485074727E-2</v>
      </c>
      <c r="S316" s="5" cm="1">
        <f t="array" ref="S316">MIN(IF((ContinuousStatsTable[GroupByKey]=ContinuousStatsTable[[#This Row],[GroupByKey]]),(ContinuousStatsTable[GroupByKey]=ContinuousStatsTable[[#This Row],[GroupByKey]])*ContinuousStatsTable[Average]))</f>
        <v>0.20483176768320299</v>
      </c>
      <c r="T316" s="5" cm="1">
        <f t="array" ref="T316">MAX(IF((ContinuousStatsTable[GroupByKey]=ContinuousStatsTable[[#This Row],[GroupByKey]]),(ContinuousStatsTable[GroupByKey]=ContinuousStatsTable[[#This Row],[GroupByKey]])*ContinuousStatsTable[Average]))</f>
        <v>0.29552077299252399</v>
      </c>
      <c r="U316" s="5">
        <f>IF((ContinuousStatsTable[[#This Row],[RepsRequested]]&gt;1),ContinuousStatsTable[[#This Row],[HalfWidth]],ContinuousStatsTable[[#This Row],[BatchMeansHalfWidth]])</f>
        <v>1.8461926485074727E-2</v>
      </c>
    </row>
    <row r="317" spans="1:21" x14ac:dyDescent="0.3">
      <c r="A317" t="s">
        <v>66</v>
      </c>
      <c r="B317" t="s">
        <v>68</v>
      </c>
      <c r="C317">
        <v>9</v>
      </c>
      <c r="D317" t="s">
        <v>101</v>
      </c>
      <c r="E317" t="s">
        <v>104</v>
      </c>
      <c r="F317" t="s">
        <v>103</v>
      </c>
      <c r="G317">
        <v>0.29552077299252399</v>
      </c>
      <c r="H317">
        <v>2E+20</v>
      </c>
      <c r="I317">
        <v>0</v>
      </c>
      <c r="J317">
        <v>1</v>
      </c>
      <c r="K317">
        <v>0</v>
      </c>
      <c r="L317">
        <v>0</v>
      </c>
      <c r="M317" s="5" t="str">
        <f>ContinuousStatsTable[[#This Row],[ProjectName]]&amp;ContinuousStatsTable[[#This Row],[Name]]&amp;ContinuousStatsTable[[#This Row],[Type]]&amp;ContinuousStatsTable[[#This Row],[Source]]</f>
        <v>Unnamed ProjectInterautoNumber BusyResource</v>
      </c>
      <c r="N317" s="5" cm="1">
        <f t="array" ref="N317">MAX(IF((ProjectInfoTable[ProjectName]=ContinuousStatsTable[[#This Row],[ProjectName]]),(ProjectInfoTable[ProjectName]=ContinuousStatsTable[[#This Row],[ProjectName]])*ProjectInfoTable[NumberOfReplications]))</f>
        <v>10</v>
      </c>
      <c r="O317" s="5" cm="1">
        <f t="array" ref="O317">IFERROR(AVERAGE(IF((ContinuousStatsTable[GroupByKey]=ContinuousStatsTable[[#This Row],[GroupByKey]]),(ContinuousStatsTable[GroupByKey]=ContinuousStatsTable[[#This Row],[GroupByKey]])*ContinuousStatsTable[Average])),0)</f>
        <v>0.26535205929836458</v>
      </c>
      <c r="P317" s="5" cm="1">
        <f t="array" ref="P317">IFERROR(_xlfn.STDEV.S(IF((ContinuousStatsTable[GroupByKey]=ContinuousStatsTable[[#This Row],[GroupByKey]]),(ContinuousStatsTable[GroupByKey]=ContinuousStatsTable[[#This Row],[GroupByKey]])*ContinuousStatsTable[Average])),0)</f>
        <v>2.5807993647623796E-2</v>
      </c>
      <c r="Q317" s="5" cm="1">
        <f t="array" ref="Q317">MAX(IF((ProjectInfoTable[ProjectName]=ContinuousStatsTable[[#This Row],[ProjectName]]),(ProjectInfoTable[ProjectName]=ContinuousStatsTable[[#This Row],[ProjectName]])*ProjectInfoTable[ConfidenceInterval]))</f>
        <v>0.95</v>
      </c>
      <c r="R3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1.8461926485074727E-2</v>
      </c>
      <c r="S317" s="5" cm="1">
        <f t="array" ref="S317">MIN(IF((ContinuousStatsTable[GroupByKey]=ContinuousStatsTable[[#This Row],[GroupByKey]]),(ContinuousStatsTable[GroupByKey]=ContinuousStatsTable[[#This Row],[GroupByKey]])*ContinuousStatsTable[Average]))</f>
        <v>0.20483176768320299</v>
      </c>
      <c r="T317" s="5" cm="1">
        <f t="array" ref="T317">MAX(IF((ContinuousStatsTable[GroupByKey]=ContinuousStatsTable[[#This Row],[GroupByKey]]),(ContinuousStatsTable[GroupByKey]=ContinuousStatsTable[[#This Row],[GroupByKey]])*ContinuousStatsTable[Average]))</f>
        <v>0.29552077299252399</v>
      </c>
      <c r="U317" s="5">
        <f>IF((ContinuousStatsTable[[#This Row],[RepsRequested]]&gt;1),ContinuousStatsTable[[#This Row],[HalfWidth]],ContinuousStatsTable[[#This Row],[BatchMeansHalfWidth]])</f>
        <v>1.8461926485074727E-2</v>
      </c>
    </row>
    <row r="318" spans="1:21" x14ac:dyDescent="0.3">
      <c r="A318" t="s">
        <v>66</v>
      </c>
      <c r="B318" t="s">
        <v>68</v>
      </c>
      <c r="C318">
        <v>9</v>
      </c>
      <c r="D318" t="s">
        <v>101</v>
      </c>
      <c r="E318" t="s">
        <v>105</v>
      </c>
      <c r="F318" t="s">
        <v>103</v>
      </c>
      <c r="G318">
        <v>1</v>
      </c>
      <c r="H318">
        <v>2E+20</v>
      </c>
      <c r="I318">
        <v>1</v>
      </c>
      <c r="J318">
        <v>1</v>
      </c>
      <c r="K318">
        <v>1</v>
      </c>
      <c r="L318">
        <v>0</v>
      </c>
      <c r="M318" s="5" t="str">
        <f>ContinuousStatsTable[[#This Row],[ProjectName]]&amp;ContinuousStatsTable[[#This Row],[Name]]&amp;ContinuousStatsTable[[#This Row],[Type]]&amp;ContinuousStatsTable[[#This Row],[Source]]</f>
        <v>Unnamed ProjectInterautoNumber ScheduledResource</v>
      </c>
      <c r="N318" s="5" cm="1">
        <f t="array" ref="N318">MAX(IF((ProjectInfoTable[ProjectName]=ContinuousStatsTable[[#This Row],[ProjectName]]),(ProjectInfoTable[ProjectName]=ContinuousStatsTable[[#This Row],[ProjectName]])*ProjectInfoTable[NumberOfReplications]))</f>
        <v>10</v>
      </c>
      <c r="O318" s="5" cm="1">
        <f t="array" ref="O318">IFERROR(AVERAGE(IF((ContinuousStatsTable[GroupByKey]=ContinuousStatsTable[[#This Row],[GroupByKey]]),(ContinuousStatsTable[GroupByKey]=ContinuousStatsTable[[#This Row],[GroupByKey]])*ContinuousStatsTable[Average])),0)</f>
        <v>1</v>
      </c>
      <c r="P318" s="5" cm="1">
        <f t="array" ref="P318">IFERROR(_xlfn.STDEV.S(IF((ContinuousStatsTable[GroupByKey]=ContinuousStatsTable[[#This Row],[GroupByKey]]),(ContinuousStatsTable[GroupByKey]=ContinuousStatsTable[[#This Row],[GroupByKey]])*ContinuousStatsTable[Average])),0)</f>
        <v>0</v>
      </c>
      <c r="Q318" s="5" cm="1">
        <f t="array" ref="Q318">MAX(IF((ProjectInfoTable[ProjectName]=ContinuousStatsTable[[#This Row],[ProjectName]]),(ProjectInfoTable[ProjectName]=ContinuousStatsTable[[#This Row],[ProjectName]])*ProjectInfoTable[ConfidenceInterval]))</f>
        <v>0.95</v>
      </c>
      <c r="R3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8" s="5" cm="1">
        <f t="array" ref="S318">MIN(IF((ContinuousStatsTable[GroupByKey]=ContinuousStatsTable[[#This Row],[GroupByKey]]),(ContinuousStatsTable[GroupByKey]=ContinuousStatsTable[[#This Row],[GroupByKey]])*ContinuousStatsTable[Average]))</f>
        <v>1</v>
      </c>
      <c r="T318" s="5" cm="1">
        <f t="array" ref="T318">MAX(IF((ContinuousStatsTable[GroupByKey]=ContinuousStatsTable[[#This Row],[GroupByKey]]),(ContinuousStatsTable[GroupByKey]=ContinuousStatsTable[[#This Row],[GroupByKey]])*ContinuousStatsTable[Average]))</f>
        <v>1</v>
      </c>
      <c r="U318" s="5">
        <f>IF((ContinuousStatsTable[[#This Row],[RepsRequested]]&gt;1),ContinuousStatsTable[[#This Row],[HalfWidth]],ContinuousStatsTable[[#This Row],[BatchMeansHalfWidth]])</f>
        <v>0</v>
      </c>
    </row>
    <row r="319" spans="1:21" x14ac:dyDescent="0.3">
      <c r="A319" t="s">
        <v>66</v>
      </c>
      <c r="B319" t="s">
        <v>68</v>
      </c>
      <c r="C319">
        <v>9</v>
      </c>
      <c r="D319" t="s">
        <v>80</v>
      </c>
      <c r="E319" t="s">
        <v>99</v>
      </c>
      <c r="F319" t="s">
        <v>71</v>
      </c>
      <c r="G319">
        <v>0.24578450490959</v>
      </c>
      <c r="H319">
        <v>5.05820711639079E-2</v>
      </c>
      <c r="I319">
        <v>0</v>
      </c>
      <c r="J319">
        <v>4</v>
      </c>
      <c r="K319">
        <v>0</v>
      </c>
      <c r="L319">
        <v>0</v>
      </c>
      <c r="M319" s="5" t="str">
        <f>ContinuousStatsTable[[#This Row],[ProjectName]]&amp;ContinuousStatsTable[[#This Row],[Name]]&amp;ContinuousStatsTable[[#This Row],[Type]]&amp;ContinuousStatsTable[[#This Row],[Source]]</f>
        <v>Unnamed ProjectLeave 1.QueueNumber WaitingQueue</v>
      </c>
      <c r="N319" s="5" cm="1">
        <f t="array" ref="N319">MAX(IF((ProjectInfoTable[ProjectName]=ContinuousStatsTable[[#This Row],[ProjectName]]),(ProjectInfoTable[ProjectName]=ContinuousStatsTable[[#This Row],[ProjectName]])*ProjectInfoTable[NumberOfReplications]))</f>
        <v>10</v>
      </c>
      <c r="O319" s="5" cm="1">
        <f t="array" ref="O319">IFERROR(AVERAGE(IF((ContinuousStatsTable[GroupByKey]=ContinuousStatsTable[[#This Row],[GroupByKey]]),(ContinuousStatsTable[GroupByKey]=ContinuousStatsTable[[#This Row],[GroupByKey]])*ContinuousStatsTable[Average])),0)</f>
        <v>0.20353568461890376</v>
      </c>
      <c r="P319" s="5" cm="1">
        <f t="array" ref="P319">IFERROR(_xlfn.STDEV.S(IF((ContinuousStatsTable[GroupByKey]=ContinuousStatsTable[[#This Row],[GroupByKey]]),(ContinuousStatsTable[GroupByKey]=ContinuousStatsTable[[#This Row],[GroupByKey]])*ContinuousStatsTable[Average])),0)</f>
        <v>2.6549184575613477E-2</v>
      </c>
      <c r="Q319" s="5" cm="1">
        <f t="array" ref="Q319">MAX(IF((ProjectInfoTable[ProjectName]=ContinuousStatsTable[[#This Row],[ProjectName]]),(ProjectInfoTable[ProjectName]=ContinuousStatsTable[[#This Row],[ProjectName]])*ProjectInfoTable[ConfidenceInterval]))</f>
        <v>0.95</v>
      </c>
      <c r="R3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1.899214253405495E-2</v>
      </c>
      <c r="S319" s="5" cm="1">
        <f t="array" ref="S319">MIN(IF((ContinuousStatsTable[GroupByKey]=ContinuousStatsTable[[#This Row],[GroupByKey]]),(ContinuousStatsTable[GroupByKey]=ContinuousStatsTable[[#This Row],[GroupByKey]])*ContinuousStatsTable[Average]))</f>
        <v>0.168502364443611</v>
      </c>
      <c r="T319" s="5" cm="1">
        <f t="array" ref="T319">MAX(IF((ContinuousStatsTable[GroupByKey]=ContinuousStatsTable[[#This Row],[GroupByKey]]),(ContinuousStatsTable[GroupByKey]=ContinuousStatsTable[[#This Row],[GroupByKey]])*ContinuousStatsTable[Average]))</f>
        <v>0.24578450490959</v>
      </c>
      <c r="U319" s="5">
        <f>IF((ContinuousStatsTable[[#This Row],[RepsRequested]]&gt;1),ContinuousStatsTable[[#This Row],[HalfWidth]],ContinuousStatsTable[[#This Row],[BatchMeansHalfWidth]])</f>
        <v>1.899214253405495E-2</v>
      </c>
    </row>
    <row r="320" spans="1:21" x14ac:dyDescent="0.3">
      <c r="A320" t="s">
        <v>66</v>
      </c>
      <c r="B320" t="s">
        <v>68</v>
      </c>
      <c r="C320">
        <v>9</v>
      </c>
      <c r="D320" t="s">
        <v>81</v>
      </c>
      <c r="E320" t="s">
        <v>99</v>
      </c>
      <c r="F320" t="s">
        <v>71</v>
      </c>
      <c r="G320">
        <v>4.5294649267591898E-3</v>
      </c>
      <c r="H320">
        <v>2E+20</v>
      </c>
      <c r="I320">
        <v>0</v>
      </c>
      <c r="J320">
        <v>1</v>
      </c>
      <c r="K320">
        <v>0</v>
      </c>
      <c r="L320">
        <v>0</v>
      </c>
      <c r="M320" s="5" t="str">
        <f>ContinuousStatsTable[[#This Row],[ProjectName]]&amp;ContinuousStatsTable[[#This Row],[Name]]&amp;ContinuousStatsTable[[#This Row],[Type]]&amp;ContinuousStatsTable[[#This Row],[Source]]</f>
        <v>Unnamed ProjectLeave 4.QueueNumber WaitingQueue</v>
      </c>
      <c r="N320" s="5" cm="1">
        <f t="array" ref="N320">MAX(IF((ProjectInfoTable[ProjectName]=ContinuousStatsTable[[#This Row],[ProjectName]]),(ProjectInfoTable[ProjectName]=ContinuousStatsTable[[#This Row],[ProjectName]])*ProjectInfoTable[NumberOfReplications]))</f>
        <v>10</v>
      </c>
      <c r="O320" s="5" cm="1">
        <f t="array" ref="O320">IFERROR(AVERAGE(IF((ContinuousStatsTable[GroupByKey]=ContinuousStatsTable[[#This Row],[GroupByKey]]),(ContinuousStatsTable[GroupByKey]=ContinuousStatsTable[[#This Row],[GroupByKey]])*ContinuousStatsTable[Average])),0)</f>
        <v>4.8729672989697272E-3</v>
      </c>
      <c r="P320" s="5" cm="1">
        <f t="array" ref="P320">IFERROR(_xlfn.STDEV.S(IF((ContinuousStatsTable[GroupByKey]=ContinuousStatsTable[[#This Row],[GroupByKey]]),(ContinuousStatsTable[GroupByKey]=ContinuousStatsTable[[#This Row],[GroupByKey]])*ContinuousStatsTable[Average])),0)</f>
        <v>9.2135939256816457E-4</v>
      </c>
      <c r="Q320" s="5" cm="1">
        <f t="array" ref="Q320">MAX(IF((ProjectInfoTable[ProjectName]=ContinuousStatsTable[[#This Row],[ProjectName]]),(ProjectInfoTable[ProjectName]=ContinuousStatsTable[[#This Row],[ProjectName]])*ProjectInfoTable[ConfidenceInterval]))</f>
        <v>0.95</v>
      </c>
      <c r="R3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6.5910080435457321E-4</v>
      </c>
      <c r="S320" s="5" cm="1">
        <f t="array" ref="S320">MIN(IF((ContinuousStatsTable[GroupByKey]=ContinuousStatsTable[[#This Row],[GroupByKey]]),(ContinuousStatsTable[GroupByKey]=ContinuousStatsTable[[#This Row],[GroupByKey]])*ContinuousStatsTable[Average]))</f>
        <v>3.2012309459038099E-3</v>
      </c>
      <c r="T320" s="5" cm="1">
        <f t="array" ref="T320">MAX(IF((ContinuousStatsTable[GroupByKey]=ContinuousStatsTable[[#This Row],[GroupByKey]]),(ContinuousStatsTable[GroupByKey]=ContinuousStatsTable[[#This Row],[GroupByKey]])*ContinuousStatsTable[Average]))</f>
        <v>6.0338305270789001E-3</v>
      </c>
      <c r="U320" s="5">
        <f>IF((ContinuousStatsTable[[#This Row],[RepsRequested]]&gt;1),ContinuousStatsTable[[#This Row],[HalfWidth]],ContinuousStatsTable[[#This Row],[BatchMeansHalfWidth]])</f>
        <v>6.5910080435457321E-4</v>
      </c>
    </row>
    <row r="321" spans="1:21" x14ac:dyDescent="0.3">
      <c r="A321" t="s">
        <v>66</v>
      </c>
      <c r="B321" t="s">
        <v>68</v>
      </c>
      <c r="C321">
        <v>9</v>
      </c>
      <c r="D321" t="s">
        <v>82</v>
      </c>
      <c r="E321" t="s">
        <v>99</v>
      </c>
      <c r="F321" t="s">
        <v>71</v>
      </c>
      <c r="G321">
        <v>5.3862475954830902E-2</v>
      </c>
      <c r="H321">
        <v>1.08824399653177E-2</v>
      </c>
      <c r="I321">
        <v>0</v>
      </c>
      <c r="J321">
        <v>3</v>
      </c>
      <c r="K321">
        <v>0</v>
      </c>
      <c r="L321">
        <v>0</v>
      </c>
      <c r="M321" s="5" t="str">
        <f>ContinuousStatsTable[[#This Row],[ProjectName]]&amp;ContinuousStatsTable[[#This Row],[Name]]&amp;ContinuousStatsTable[[#This Row],[Type]]&amp;ContinuousStatsTable[[#This Row],[Source]]</f>
        <v>Unnamed ProjectLeave 5.QueueNumber WaitingQueue</v>
      </c>
      <c r="N321" s="5" cm="1">
        <f t="array" ref="N321">MAX(IF((ProjectInfoTable[ProjectName]=ContinuousStatsTable[[#This Row],[ProjectName]]),(ProjectInfoTable[ProjectName]=ContinuousStatsTable[[#This Row],[ProjectName]])*ProjectInfoTable[NumberOfReplications]))</f>
        <v>10</v>
      </c>
      <c r="O321" s="5" cm="1">
        <f t="array" ref="O321">IFERROR(AVERAGE(IF((ContinuousStatsTable[GroupByKey]=ContinuousStatsTable[[#This Row],[GroupByKey]]),(ContinuousStatsTable[GroupByKey]=ContinuousStatsTable[[#This Row],[GroupByKey]])*ContinuousStatsTable[Average])),0)</f>
        <v>4.8788152574119628E-2</v>
      </c>
      <c r="P321" s="5" cm="1">
        <f t="array" ref="P321">IFERROR(_xlfn.STDEV.S(IF((ContinuousStatsTable[GroupByKey]=ContinuousStatsTable[[#This Row],[GroupByKey]]),(ContinuousStatsTable[GroupByKey]=ContinuousStatsTable[[#This Row],[GroupByKey]])*ContinuousStatsTable[Average])),0)</f>
        <v>5.3039270336942244E-3</v>
      </c>
      <c r="Q321" s="5" cm="1">
        <f t="array" ref="Q321">MAX(IF((ProjectInfoTable[ProjectName]=ContinuousStatsTable[[#This Row],[ProjectName]]),(ProjectInfoTable[ProjectName]=ContinuousStatsTable[[#This Row],[ProjectName]])*ProjectInfoTable[ConfidenceInterval]))</f>
        <v>0.95</v>
      </c>
      <c r="R3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3.7942008323176655E-3</v>
      </c>
      <c r="S321" s="5" cm="1">
        <f t="array" ref="S321">MIN(IF((ContinuousStatsTable[GroupByKey]=ContinuousStatsTable[[#This Row],[GroupByKey]]),(ContinuousStatsTable[GroupByKey]=ContinuousStatsTable[[#This Row],[GroupByKey]])*ContinuousStatsTable[Average]))</f>
        <v>4.1058101580258903E-2</v>
      </c>
      <c r="T321" s="5" cm="1">
        <f t="array" ref="T321">MAX(IF((ContinuousStatsTable[GroupByKey]=ContinuousStatsTable[[#This Row],[GroupByKey]]),(ContinuousStatsTable[GroupByKey]=ContinuousStatsTable[[#This Row],[GroupByKey]])*ContinuousStatsTable[Average]))</f>
        <v>5.6386723112129902E-2</v>
      </c>
      <c r="U321" s="5">
        <f>IF((ContinuousStatsTable[[#This Row],[RepsRequested]]&gt;1),ContinuousStatsTable[[#This Row],[HalfWidth]],ContinuousStatsTable[[#This Row],[BatchMeansHalfWidth]])</f>
        <v>3.7942008323176655E-3</v>
      </c>
    </row>
    <row r="322" spans="1:21" x14ac:dyDescent="0.3">
      <c r="A322" t="s">
        <v>66</v>
      </c>
      <c r="B322" t="s">
        <v>68</v>
      </c>
      <c r="C322">
        <v>9</v>
      </c>
      <c r="D322" t="s">
        <v>83</v>
      </c>
      <c r="E322" t="s">
        <v>99</v>
      </c>
      <c r="F322" t="s">
        <v>71</v>
      </c>
      <c r="G322">
        <v>4.4638415068851498E-3</v>
      </c>
      <c r="H322">
        <v>2E+20</v>
      </c>
      <c r="I322">
        <v>0</v>
      </c>
      <c r="J322">
        <v>1</v>
      </c>
      <c r="K322">
        <v>0</v>
      </c>
      <c r="L322">
        <v>0</v>
      </c>
      <c r="M322" s="5" t="str">
        <f>ContinuousStatsTable[[#This Row],[ProjectName]]&amp;ContinuousStatsTable[[#This Row],[Name]]&amp;ContinuousStatsTable[[#This Row],[Type]]&amp;ContinuousStatsTable[[#This Row],[Source]]</f>
        <v>Unnamed ProjectLeave 6.QueueNumber WaitingQueue</v>
      </c>
      <c r="N322" s="5" cm="1">
        <f t="array" ref="N322">MAX(IF((ProjectInfoTable[ProjectName]=ContinuousStatsTable[[#This Row],[ProjectName]]),(ProjectInfoTable[ProjectName]=ContinuousStatsTable[[#This Row],[ProjectName]])*ProjectInfoTable[NumberOfReplications]))</f>
        <v>10</v>
      </c>
      <c r="O322" s="5" cm="1">
        <f t="array" ref="O322">IFERROR(AVERAGE(IF((ContinuousStatsTable[GroupByKey]=ContinuousStatsTable[[#This Row],[GroupByKey]]),(ContinuousStatsTable[GroupByKey]=ContinuousStatsTable[[#This Row],[GroupByKey]])*ContinuousStatsTable[Average])),0)</f>
        <v>3.227619592382791E-3</v>
      </c>
      <c r="P322" s="5" cm="1">
        <f t="array" ref="P322">IFERROR(_xlfn.STDEV.S(IF((ContinuousStatsTable[GroupByKey]=ContinuousStatsTable[[#This Row],[GroupByKey]]),(ContinuousStatsTable[GroupByKey]=ContinuousStatsTable[[#This Row],[GroupByKey]])*ContinuousStatsTable[Average])),0)</f>
        <v>1.5087685522347895E-3</v>
      </c>
      <c r="Q322" s="5" cm="1">
        <f t="array" ref="Q322">MAX(IF((ProjectInfoTable[ProjectName]=ContinuousStatsTable[[#This Row],[ProjectName]]),(ProjectInfoTable[ProjectName]=ContinuousStatsTable[[#This Row],[ProjectName]])*ProjectInfoTable[ConfidenceInterval]))</f>
        <v>0.95</v>
      </c>
      <c r="R3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1.0793080033525183E-3</v>
      </c>
      <c r="S322" s="5" cm="1">
        <f t="array" ref="S322">MIN(IF((ContinuousStatsTable[GroupByKey]=ContinuousStatsTable[[#This Row],[GroupByKey]]),(ContinuousStatsTable[GroupByKey]=ContinuousStatsTable[[#This Row],[GroupByKey]])*ContinuousStatsTable[Average]))</f>
        <v>4.7201486102630699E-4</v>
      </c>
      <c r="T322" s="5" cm="1">
        <f t="array" ref="T322">MAX(IF((ContinuousStatsTable[GroupByKey]=ContinuousStatsTable[[#This Row],[GroupByKey]]),(ContinuousStatsTable[GroupByKey]=ContinuousStatsTable[[#This Row],[GroupByKey]])*ContinuousStatsTable[Average]))</f>
        <v>6.2452549613019898E-3</v>
      </c>
      <c r="U322" s="5">
        <f>IF((ContinuousStatsTable[[#This Row],[RepsRequested]]&gt;1),ContinuousStatsTable[[#This Row],[HalfWidth]],ContinuousStatsTable[[#This Row],[BatchMeansHalfWidth]])</f>
        <v>1.0793080033525183E-3</v>
      </c>
    </row>
    <row r="323" spans="1:21" x14ac:dyDescent="0.3">
      <c r="A323" t="s">
        <v>66</v>
      </c>
      <c r="B323" t="s">
        <v>68</v>
      </c>
      <c r="C323">
        <v>9</v>
      </c>
      <c r="D323" t="s">
        <v>84</v>
      </c>
      <c r="E323" t="s">
        <v>99</v>
      </c>
      <c r="F323" t="s">
        <v>71</v>
      </c>
      <c r="G323">
        <v>6.3455627491741495E-2</v>
      </c>
      <c r="H323">
        <v>2.1327566648836602E-2</v>
      </c>
      <c r="I323">
        <v>0</v>
      </c>
      <c r="J323">
        <v>2</v>
      </c>
      <c r="K323">
        <v>0</v>
      </c>
      <c r="L323">
        <v>0</v>
      </c>
      <c r="M323" s="5" t="str">
        <f>ContinuousStatsTable[[#This Row],[ProjectName]]&amp;ContinuousStatsTable[[#This Row],[Name]]&amp;ContinuousStatsTable[[#This Row],[Type]]&amp;ContinuousStatsTable[[#This Row],[Source]]</f>
        <v>Unnamed ProjectLeave 7.QueueNumber WaitingQueue</v>
      </c>
      <c r="N323" s="5" cm="1">
        <f t="array" ref="N323">MAX(IF((ProjectInfoTable[ProjectName]=ContinuousStatsTable[[#This Row],[ProjectName]]),(ProjectInfoTable[ProjectName]=ContinuousStatsTable[[#This Row],[ProjectName]])*ProjectInfoTable[NumberOfReplications]))</f>
        <v>10</v>
      </c>
      <c r="O323" s="5" cm="1">
        <f t="array" ref="O323">IFERROR(AVERAGE(IF((ContinuousStatsTable[GroupByKey]=ContinuousStatsTable[[#This Row],[GroupByKey]]),(ContinuousStatsTable[GroupByKey]=ContinuousStatsTable[[#This Row],[GroupByKey]])*ContinuousStatsTable[Average])),0)</f>
        <v>5.9441954240945373E-2</v>
      </c>
      <c r="P323" s="5" cm="1">
        <f t="array" ref="P323">IFERROR(_xlfn.STDEV.S(IF((ContinuousStatsTable[GroupByKey]=ContinuousStatsTable[[#This Row],[GroupByKey]]),(ContinuousStatsTable[GroupByKey]=ContinuousStatsTable[[#This Row],[GroupByKey]])*ContinuousStatsTable[Average])),0)</f>
        <v>1.1519407308393107E-2</v>
      </c>
      <c r="Q323" s="5" cm="1">
        <f t="array" ref="Q323">MAX(IF((ProjectInfoTable[ProjectName]=ContinuousStatsTable[[#This Row],[ProjectName]]),(ProjectInfoTable[ProjectName]=ContinuousStatsTable[[#This Row],[ProjectName]])*ProjectInfoTable[ConfidenceInterval]))</f>
        <v>0.95</v>
      </c>
      <c r="R3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8.2404875707479553E-3</v>
      </c>
      <c r="S323" s="5" cm="1">
        <f t="array" ref="S323">MIN(IF((ContinuousStatsTable[GroupByKey]=ContinuousStatsTable[[#This Row],[GroupByKey]]),(ContinuousStatsTable[GroupByKey]=ContinuousStatsTable[[#This Row],[GroupByKey]])*ContinuousStatsTable[Average]))</f>
        <v>4.5386728660866099E-2</v>
      </c>
      <c r="T323" s="5" cm="1">
        <f t="array" ref="T323">MAX(IF((ContinuousStatsTable[GroupByKey]=ContinuousStatsTable[[#This Row],[GroupByKey]]),(ContinuousStatsTable[GroupByKey]=ContinuousStatsTable[[#This Row],[GroupByKey]])*ContinuousStatsTable[Average]))</f>
        <v>7.8633362228088005E-2</v>
      </c>
      <c r="U323" s="5">
        <f>IF((ContinuousStatsTable[[#This Row],[RepsRequested]]&gt;1),ContinuousStatsTable[[#This Row],[HalfWidth]],ContinuousStatsTable[[#This Row],[BatchMeansHalfWidth]])</f>
        <v>8.2404875707479553E-3</v>
      </c>
    </row>
    <row r="324" spans="1:21" x14ac:dyDescent="0.3">
      <c r="A324" t="s">
        <v>66</v>
      </c>
      <c r="B324" t="s">
        <v>68</v>
      </c>
      <c r="C324">
        <v>9</v>
      </c>
      <c r="D324" t="s">
        <v>85</v>
      </c>
      <c r="E324" t="s">
        <v>99</v>
      </c>
      <c r="F324" t="s">
        <v>71</v>
      </c>
      <c r="G324">
        <v>2.3660238745968798E-3</v>
      </c>
      <c r="H324">
        <v>2E+20</v>
      </c>
      <c r="I324">
        <v>0</v>
      </c>
      <c r="J324">
        <v>1</v>
      </c>
      <c r="K324">
        <v>0</v>
      </c>
      <c r="L324">
        <v>0</v>
      </c>
      <c r="M324" s="5" t="str">
        <f>ContinuousStatsTable[[#This Row],[ProjectName]]&amp;ContinuousStatsTable[[#This Row],[Name]]&amp;ContinuousStatsTable[[#This Row],[Type]]&amp;ContinuousStatsTable[[#This Row],[Source]]</f>
        <v>Unnamed ProjectLeave 8.QueueNumber WaitingQueue</v>
      </c>
      <c r="N324" s="5" cm="1">
        <f t="array" ref="N324">MAX(IF((ProjectInfoTable[ProjectName]=ContinuousStatsTable[[#This Row],[ProjectName]]),(ProjectInfoTable[ProjectName]=ContinuousStatsTable[[#This Row],[ProjectName]])*ProjectInfoTable[NumberOfReplications]))</f>
        <v>10</v>
      </c>
      <c r="O324" s="5" cm="1">
        <f t="array" ref="O324">IFERROR(AVERAGE(IF((ContinuousStatsTable[GroupByKey]=ContinuousStatsTable[[#This Row],[GroupByKey]]),(ContinuousStatsTable[GroupByKey]=ContinuousStatsTable[[#This Row],[GroupByKey]])*ContinuousStatsTable[Average])),0)</f>
        <v>2.1217771776478596E-3</v>
      </c>
      <c r="P324" s="5" cm="1">
        <f t="array" ref="P324">IFERROR(_xlfn.STDEV.S(IF((ContinuousStatsTable[GroupByKey]=ContinuousStatsTable[[#This Row],[GroupByKey]]),(ContinuousStatsTable[GroupByKey]=ContinuousStatsTable[[#This Row],[GroupByKey]])*ContinuousStatsTable[Average])),0)</f>
        <v>8.0254950645480523E-4</v>
      </c>
      <c r="Q324" s="5" cm="1">
        <f t="array" ref="Q324">MAX(IF((ProjectInfoTable[ProjectName]=ContinuousStatsTable[[#This Row],[ProjectName]]),(ProjectInfoTable[ProjectName]=ContinuousStatsTable[[#This Row],[ProjectName]])*ProjectInfoTable[ConfidenceInterval]))</f>
        <v>0.95</v>
      </c>
      <c r="R3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5.7410933182579346E-4</v>
      </c>
      <c r="S324" s="5" cm="1">
        <f t="array" ref="S324">MIN(IF((ContinuousStatsTable[GroupByKey]=ContinuousStatsTable[[#This Row],[GroupByKey]]),(ContinuousStatsTable[GroupByKey]=ContinuousStatsTable[[#This Row],[GroupByKey]])*ContinuousStatsTable[Average]))</f>
        <v>9.0451064743319795E-4</v>
      </c>
      <c r="T324" s="5" cm="1">
        <f t="array" ref="T324">MAX(IF((ContinuousStatsTable[GroupByKey]=ContinuousStatsTable[[#This Row],[GroupByKey]]),(ContinuousStatsTable[GroupByKey]=ContinuousStatsTable[[#This Row],[GroupByKey]])*ContinuousStatsTable[Average]))</f>
        <v>3.5490296241417699E-3</v>
      </c>
      <c r="U324" s="5">
        <f>IF((ContinuousStatsTable[[#This Row],[RepsRequested]]&gt;1),ContinuousStatsTable[[#This Row],[HalfWidth]],ContinuousStatsTable[[#This Row],[BatchMeansHalfWidth]])</f>
        <v>5.7410933182579346E-4</v>
      </c>
    </row>
    <row r="325" spans="1:21" x14ac:dyDescent="0.3">
      <c r="A325" t="s">
        <v>66</v>
      </c>
      <c r="B325" t="s">
        <v>68</v>
      </c>
      <c r="C325">
        <v>9</v>
      </c>
      <c r="D325" t="s">
        <v>86</v>
      </c>
      <c r="E325" t="s">
        <v>99</v>
      </c>
      <c r="F325" t="s">
        <v>71</v>
      </c>
      <c r="G325">
        <v>2.50186012594582E-3</v>
      </c>
      <c r="H325">
        <v>2E+20</v>
      </c>
      <c r="I325">
        <v>0</v>
      </c>
      <c r="J325">
        <v>1</v>
      </c>
      <c r="K325">
        <v>0</v>
      </c>
      <c r="L325">
        <v>0</v>
      </c>
      <c r="M325" s="5" t="str">
        <f>ContinuousStatsTable[[#This Row],[ProjectName]]&amp;ContinuousStatsTable[[#This Row],[Name]]&amp;ContinuousStatsTable[[#This Row],[Type]]&amp;ContinuousStatsTable[[#This Row],[Source]]</f>
        <v>Unnamed ProjectLeave 9.QueueNumber WaitingQueue</v>
      </c>
      <c r="N325" s="5" cm="1">
        <f t="array" ref="N325">MAX(IF((ProjectInfoTable[ProjectName]=ContinuousStatsTable[[#This Row],[ProjectName]]),(ProjectInfoTable[ProjectName]=ContinuousStatsTable[[#This Row],[ProjectName]])*ProjectInfoTable[NumberOfReplications]))</f>
        <v>10</v>
      </c>
      <c r="O325" s="5" cm="1">
        <f t="array" ref="O325">IFERROR(AVERAGE(IF((ContinuousStatsTable[GroupByKey]=ContinuousStatsTable[[#This Row],[GroupByKey]]),(ContinuousStatsTable[GroupByKey]=ContinuousStatsTable[[#This Row],[GroupByKey]])*ContinuousStatsTable[Average])),0)</f>
        <v>1.3877246767065991E-3</v>
      </c>
      <c r="P325" s="5" cm="1">
        <f t="array" ref="P325">IFERROR(_xlfn.STDEV.S(IF((ContinuousStatsTable[GroupByKey]=ContinuousStatsTable[[#This Row],[GroupByKey]]),(ContinuousStatsTable[GroupByKey]=ContinuousStatsTable[[#This Row],[GroupByKey]])*ContinuousStatsTable[Average])),0)</f>
        <v>7.1875981577935533E-4</v>
      </c>
      <c r="Q325" s="5" cm="1">
        <f t="array" ref="Q325">MAX(IF((ProjectInfoTable[ProjectName]=ContinuousStatsTable[[#This Row],[ProjectName]]),(ProjectInfoTable[ProjectName]=ContinuousStatsTable[[#This Row],[ProjectName]])*ProjectInfoTable[ConfidenceInterval]))</f>
        <v>0.95</v>
      </c>
      <c r="R3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5.1416979795196457E-4</v>
      </c>
      <c r="S325" s="5" cm="1">
        <f t="array" ref="S325">MIN(IF((ContinuousStatsTable[GroupByKey]=ContinuousStatsTable[[#This Row],[GroupByKey]]),(ContinuousStatsTable[GroupByKey]=ContinuousStatsTable[[#This Row],[GroupByKey]])*ContinuousStatsTable[Average]))</f>
        <v>2.8555279956142001E-4</v>
      </c>
      <c r="T325" s="5" cm="1">
        <f t="array" ref="T325">MAX(IF((ContinuousStatsTable[GroupByKey]=ContinuousStatsTable[[#This Row],[GroupByKey]]),(ContinuousStatsTable[GroupByKey]=ContinuousStatsTable[[#This Row],[GroupByKey]])*ContinuousStatsTable[Average]))</f>
        <v>2.50186012594582E-3</v>
      </c>
      <c r="U325" s="5">
        <f>IF((ContinuousStatsTable[[#This Row],[RepsRequested]]&gt;1),ContinuousStatsTable[[#This Row],[HalfWidth]],ContinuousStatsTable[[#This Row],[BatchMeansHalfWidth]])</f>
        <v>5.1416979795196457E-4</v>
      </c>
    </row>
    <row r="326" spans="1:21" x14ac:dyDescent="0.3">
      <c r="A326" t="s">
        <v>66</v>
      </c>
      <c r="B326" t="s">
        <v>68</v>
      </c>
      <c r="C326">
        <v>9</v>
      </c>
      <c r="D326" t="s">
        <v>87</v>
      </c>
      <c r="E326" t="s">
        <v>100</v>
      </c>
      <c r="F326" t="s">
        <v>74</v>
      </c>
      <c r="G326">
        <v>13.1872542264855</v>
      </c>
      <c r="H326">
        <v>3E+20</v>
      </c>
      <c r="I326">
        <v>0</v>
      </c>
      <c r="J326">
        <v>31</v>
      </c>
      <c r="K326">
        <v>7</v>
      </c>
      <c r="L326">
        <v>0</v>
      </c>
      <c r="M326" s="5" t="str">
        <f>ContinuousStatsTable[[#This Row],[ProjectName]]&amp;ContinuousStatsTable[[#This Row],[Name]]&amp;ContinuousStatsTable[[#This Row],[Type]]&amp;ContinuousStatsTable[[#This Row],[Source]]</f>
        <v>Unnamed ProjectMaleta InternacionalWIPEntity</v>
      </c>
      <c r="N326" s="5" cm="1">
        <f t="array" ref="N326">MAX(IF((ProjectInfoTable[ProjectName]=ContinuousStatsTable[[#This Row],[ProjectName]]),(ProjectInfoTable[ProjectName]=ContinuousStatsTable[[#This Row],[ProjectName]])*ProjectInfoTable[NumberOfReplications]))</f>
        <v>10</v>
      </c>
      <c r="O326" s="5" cm="1">
        <f t="array" ref="O326">IFERROR(AVERAGE(IF((ContinuousStatsTable[GroupByKey]=ContinuousStatsTable[[#This Row],[GroupByKey]]),(ContinuousStatsTable[GroupByKey]=ContinuousStatsTable[[#This Row],[GroupByKey]])*ContinuousStatsTable[Average])),0)</f>
        <v>13.037689788098451</v>
      </c>
      <c r="P326" s="5" cm="1">
        <f t="array" ref="P326">IFERROR(_xlfn.STDEV.S(IF((ContinuousStatsTable[GroupByKey]=ContinuousStatsTable[[#This Row],[GroupByKey]]),(ContinuousStatsTable[GroupByKey]=ContinuousStatsTable[[#This Row],[GroupByKey]])*ContinuousStatsTable[Average])),0)</f>
        <v>1.9631643885071912</v>
      </c>
      <c r="Q326" s="5" cm="1">
        <f t="array" ref="Q326">MAX(IF((ProjectInfoTable[ProjectName]=ContinuousStatsTable[[#This Row],[ProjectName]]),(ProjectInfoTable[ProjectName]=ContinuousStatsTable[[#This Row],[ProjectName]])*ProjectInfoTable[ConfidenceInterval]))</f>
        <v>0.95</v>
      </c>
      <c r="R3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1.4043632028742961</v>
      </c>
      <c r="S326" s="5" cm="1">
        <f t="array" ref="S326">MIN(IF((ContinuousStatsTable[GroupByKey]=ContinuousStatsTable[[#This Row],[GroupByKey]]),(ContinuousStatsTable[GroupByKey]=ContinuousStatsTable[[#This Row],[GroupByKey]])*ContinuousStatsTable[Average]))</f>
        <v>10.277307754823401</v>
      </c>
      <c r="T326" s="5" cm="1">
        <f t="array" ref="T326">MAX(IF((ContinuousStatsTable[GroupByKey]=ContinuousStatsTable[[#This Row],[GroupByKey]]),(ContinuousStatsTable[GroupByKey]=ContinuousStatsTable[[#This Row],[GroupByKey]])*ContinuousStatsTable[Average]))</f>
        <v>16.425571484417201</v>
      </c>
      <c r="U326" s="5">
        <f>IF((ContinuousStatsTable[[#This Row],[RepsRequested]]&gt;1),ContinuousStatsTable[[#This Row],[HalfWidth]],ContinuousStatsTable[[#This Row],[BatchMeansHalfWidth]])</f>
        <v>1.4043632028742961</v>
      </c>
    </row>
    <row r="327" spans="1:21" x14ac:dyDescent="0.3">
      <c r="A327" t="s">
        <v>66</v>
      </c>
      <c r="B327" t="s">
        <v>68</v>
      </c>
      <c r="C327">
        <v>9</v>
      </c>
      <c r="D327" t="s">
        <v>88</v>
      </c>
      <c r="E327" t="s">
        <v>100</v>
      </c>
      <c r="F327" t="s">
        <v>74</v>
      </c>
      <c r="G327">
        <v>3.2916533376655202</v>
      </c>
      <c r="H327">
        <v>2E+20</v>
      </c>
      <c r="I327">
        <v>0</v>
      </c>
      <c r="J327">
        <v>15</v>
      </c>
      <c r="K327">
        <v>2</v>
      </c>
      <c r="L327">
        <v>0</v>
      </c>
      <c r="M327" s="5" t="str">
        <f>ContinuousStatsTable[[#This Row],[ProjectName]]&amp;ContinuousStatsTable[[#This Row],[Name]]&amp;ContinuousStatsTable[[#This Row],[Type]]&amp;ContinuousStatsTable[[#This Row],[Source]]</f>
        <v>Unnamed ProjectMaleta NacionalWIPEntity</v>
      </c>
      <c r="N327" s="5" cm="1">
        <f t="array" ref="N327">MAX(IF((ProjectInfoTable[ProjectName]=ContinuousStatsTable[[#This Row],[ProjectName]]),(ProjectInfoTable[ProjectName]=ContinuousStatsTable[[#This Row],[ProjectName]])*ProjectInfoTable[NumberOfReplications]))</f>
        <v>10</v>
      </c>
      <c r="O327" s="5" cm="1">
        <f t="array" ref="O327">IFERROR(AVERAGE(IF((ContinuousStatsTable[GroupByKey]=ContinuousStatsTable[[#This Row],[GroupByKey]]),(ContinuousStatsTable[GroupByKey]=ContinuousStatsTable[[#This Row],[GroupByKey]])*ContinuousStatsTable[Average])),0)</f>
        <v>2.7356580954557046</v>
      </c>
      <c r="P327" s="5" cm="1">
        <f t="array" ref="P327">IFERROR(_xlfn.STDEV.S(IF((ContinuousStatsTable[GroupByKey]=ContinuousStatsTable[[#This Row],[GroupByKey]]),(ContinuousStatsTable[GroupByKey]=ContinuousStatsTable[[#This Row],[GroupByKey]])*ContinuousStatsTable[Average])),0)</f>
        <v>0.24675556542769644</v>
      </c>
      <c r="Q327" s="5" cm="1">
        <f t="array" ref="Q327">MAX(IF((ProjectInfoTable[ProjectName]=ContinuousStatsTable[[#This Row],[ProjectName]]),(ProjectInfoTable[ProjectName]=ContinuousStatsTable[[#This Row],[ProjectName]])*ProjectInfoTable[ConfidenceInterval]))</f>
        <v>0.95</v>
      </c>
      <c r="R3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0.17651829781539885</v>
      </c>
      <c r="S327" s="5" cm="1">
        <f t="array" ref="S327">MIN(IF((ContinuousStatsTable[GroupByKey]=ContinuousStatsTable[[#This Row],[GroupByKey]]),(ContinuousStatsTable[GroupByKey]=ContinuousStatsTable[[#This Row],[GroupByKey]])*ContinuousStatsTable[Average]))</f>
        <v>2.4605296674942401</v>
      </c>
      <c r="T327" s="5" cm="1">
        <f t="array" ref="T327">MAX(IF((ContinuousStatsTable[GroupByKey]=ContinuousStatsTable[[#This Row],[GroupByKey]]),(ContinuousStatsTable[GroupByKey]=ContinuousStatsTable[[#This Row],[GroupByKey]])*ContinuousStatsTable[Average]))</f>
        <v>3.2916533376655202</v>
      </c>
      <c r="U327" s="5">
        <f>IF((ContinuousStatsTable[[#This Row],[RepsRequested]]&gt;1),ContinuousStatsTable[[#This Row],[HalfWidth]],ContinuousStatsTable[[#This Row],[BatchMeansHalfWidth]])</f>
        <v>0.17651829781539885</v>
      </c>
    </row>
    <row r="328" spans="1:21" x14ac:dyDescent="0.3">
      <c r="A328" t="s">
        <v>66</v>
      </c>
      <c r="B328" t="s">
        <v>68</v>
      </c>
      <c r="C328">
        <v>9</v>
      </c>
      <c r="D328" t="s">
        <v>106</v>
      </c>
      <c r="E328" t="s">
        <v>102</v>
      </c>
      <c r="F328" t="s">
        <v>103</v>
      </c>
      <c r="G328">
        <v>0.73198562185363703</v>
      </c>
      <c r="H328">
        <v>2E+20</v>
      </c>
      <c r="I328">
        <v>0</v>
      </c>
      <c r="J328">
        <v>1</v>
      </c>
      <c r="K328">
        <v>0</v>
      </c>
      <c r="L328">
        <v>0</v>
      </c>
      <c r="M328" s="5" t="str">
        <f>ContinuousStatsTable[[#This Row],[ProjectName]]&amp;ContinuousStatsTable[[#This Row],[Name]]&amp;ContinuousStatsTable[[#This Row],[Type]]&amp;ContinuousStatsTable[[#This Row],[Source]]</f>
        <v>Unnamed ProjectNacionalautoInstantaneous UtilizationResource</v>
      </c>
      <c r="N328" s="5" cm="1">
        <f t="array" ref="N328">MAX(IF((ProjectInfoTable[ProjectName]=ContinuousStatsTable[[#This Row],[ProjectName]]),(ProjectInfoTable[ProjectName]=ContinuousStatsTable[[#This Row],[ProjectName]])*ProjectInfoTable[NumberOfReplications]))</f>
        <v>10</v>
      </c>
      <c r="O328" s="5" cm="1">
        <f t="array" ref="O328">IFERROR(AVERAGE(IF((ContinuousStatsTable[GroupByKey]=ContinuousStatsTable[[#This Row],[GroupByKey]]),(ContinuousStatsTable[GroupByKey]=ContinuousStatsTable[[#This Row],[GroupByKey]])*ContinuousStatsTable[Average])),0)</f>
        <v>0.73175058451933661</v>
      </c>
      <c r="P328" s="5" cm="1">
        <f t="array" ref="P328">IFERROR(_xlfn.STDEV.S(IF((ContinuousStatsTable[GroupByKey]=ContinuousStatsTable[[#This Row],[GroupByKey]]),(ContinuousStatsTable[GroupByKey]=ContinuousStatsTable[[#This Row],[GroupByKey]])*ContinuousStatsTable[Average])),0)</f>
        <v>6.0813477412386734E-2</v>
      </c>
      <c r="Q328" s="5" cm="1">
        <f t="array" ref="Q328">MAX(IF((ProjectInfoTable[ProjectName]=ContinuousStatsTable[[#This Row],[ProjectName]]),(ProjectInfoTable[ProjectName]=ContinuousStatsTable[[#This Row],[ProjectName]])*ProjectInfoTable[ConfidenceInterval]))</f>
        <v>0.95</v>
      </c>
      <c r="R3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4.3503341043041877E-2</v>
      </c>
      <c r="S328" s="5" cm="1">
        <f t="array" ref="S328">MIN(IF((ContinuousStatsTable[GroupByKey]=ContinuousStatsTable[[#This Row],[GroupByKey]]),(ContinuousStatsTable[GroupByKey]=ContinuousStatsTable[[#This Row],[GroupByKey]])*ContinuousStatsTable[Average]))</f>
        <v>0.64995347349336796</v>
      </c>
      <c r="T328" s="5" cm="1">
        <f t="array" ref="T328">MAX(IF((ContinuousStatsTable[GroupByKey]=ContinuousStatsTable[[#This Row],[GroupByKey]]),(ContinuousStatsTable[GroupByKey]=ContinuousStatsTable[[#This Row],[GroupByKey]])*ContinuousStatsTable[Average]))</f>
        <v>0.82581624655093899</v>
      </c>
      <c r="U328" s="5">
        <f>IF((ContinuousStatsTable[[#This Row],[RepsRequested]]&gt;1),ContinuousStatsTable[[#This Row],[HalfWidth]],ContinuousStatsTable[[#This Row],[BatchMeansHalfWidth]])</f>
        <v>4.3503341043041877E-2</v>
      </c>
    </row>
    <row r="329" spans="1:21" x14ac:dyDescent="0.3">
      <c r="A329" t="s">
        <v>66</v>
      </c>
      <c r="B329" t="s">
        <v>68</v>
      </c>
      <c r="C329">
        <v>9</v>
      </c>
      <c r="D329" t="s">
        <v>106</v>
      </c>
      <c r="E329" t="s">
        <v>104</v>
      </c>
      <c r="F329" t="s">
        <v>103</v>
      </c>
      <c r="G329">
        <v>0.73198562185363703</v>
      </c>
      <c r="H329">
        <v>2E+20</v>
      </c>
      <c r="I329">
        <v>0</v>
      </c>
      <c r="J329">
        <v>1</v>
      </c>
      <c r="K329">
        <v>0</v>
      </c>
      <c r="L329">
        <v>0</v>
      </c>
      <c r="M329" s="5" t="str">
        <f>ContinuousStatsTable[[#This Row],[ProjectName]]&amp;ContinuousStatsTable[[#This Row],[Name]]&amp;ContinuousStatsTable[[#This Row],[Type]]&amp;ContinuousStatsTable[[#This Row],[Source]]</f>
        <v>Unnamed ProjectNacionalautoNumber BusyResource</v>
      </c>
      <c r="N329" s="5" cm="1">
        <f t="array" ref="N329">MAX(IF((ProjectInfoTable[ProjectName]=ContinuousStatsTable[[#This Row],[ProjectName]]),(ProjectInfoTable[ProjectName]=ContinuousStatsTable[[#This Row],[ProjectName]])*ProjectInfoTable[NumberOfReplications]))</f>
        <v>10</v>
      </c>
      <c r="O329" s="5" cm="1">
        <f t="array" ref="O329">IFERROR(AVERAGE(IF((ContinuousStatsTable[GroupByKey]=ContinuousStatsTable[[#This Row],[GroupByKey]]),(ContinuousStatsTable[GroupByKey]=ContinuousStatsTable[[#This Row],[GroupByKey]])*ContinuousStatsTable[Average])),0)</f>
        <v>0.73175058451933661</v>
      </c>
      <c r="P329" s="5" cm="1">
        <f t="array" ref="P329">IFERROR(_xlfn.STDEV.S(IF((ContinuousStatsTable[GroupByKey]=ContinuousStatsTable[[#This Row],[GroupByKey]]),(ContinuousStatsTable[GroupByKey]=ContinuousStatsTable[[#This Row],[GroupByKey]])*ContinuousStatsTable[Average])),0)</f>
        <v>6.0813477412386734E-2</v>
      </c>
      <c r="Q329" s="5" cm="1">
        <f t="array" ref="Q329">MAX(IF((ProjectInfoTable[ProjectName]=ContinuousStatsTable[[#This Row],[ProjectName]]),(ProjectInfoTable[ProjectName]=ContinuousStatsTable[[#This Row],[ProjectName]])*ProjectInfoTable[ConfidenceInterval]))</f>
        <v>0.95</v>
      </c>
      <c r="R3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4.3503341043041877E-2</v>
      </c>
      <c r="S329" s="5" cm="1">
        <f t="array" ref="S329">MIN(IF((ContinuousStatsTable[GroupByKey]=ContinuousStatsTable[[#This Row],[GroupByKey]]),(ContinuousStatsTable[GroupByKey]=ContinuousStatsTable[[#This Row],[GroupByKey]])*ContinuousStatsTable[Average]))</f>
        <v>0.64995347349336796</v>
      </c>
      <c r="T329" s="5" cm="1">
        <f t="array" ref="T329">MAX(IF((ContinuousStatsTable[GroupByKey]=ContinuousStatsTable[[#This Row],[GroupByKey]]),(ContinuousStatsTable[GroupByKey]=ContinuousStatsTable[[#This Row],[GroupByKey]])*ContinuousStatsTable[Average]))</f>
        <v>0.82581624655093899</v>
      </c>
      <c r="U329" s="5">
        <f>IF((ContinuousStatsTable[[#This Row],[RepsRequested]]&gt;1),ContinuousStatsTable[[#This Row],[HalfWidth]],ContinuousStatsTable[[#This Row],[BatchMeansHalfWidth]])</f>
        <v>4.3503341043041877E-2</v>
      </c>
    </row>
    <row r="330" spans="1:21" x14ac:dyDescent="0.3">
      <c r="A330" t="s">
        <v>66</v>
      </c>
      <c r="B330" t="s">
        <v>68</v>
      </c>
      <c r="C330">
        <v>9</v>
      </c>
      <c r="D330" t="s">
        <v>106</v>
      </c>
      <c r="E330" t="s">
        <v>105</v>
      </c>
      <c r="F330" t="s">
        <v>103</v>
      </c>
      <c r="G330">
        <v>1</v>
      </c>
      <c r="H330">
        <v>2E+20</v>
      </c>
      <c r="I330">
        <v>1</v>
      </c>
      <c r="J330">
        <v>1</v>
      </c>
      <c r="K330">
        <v>1</v>
      </c>
      <c r="L330">
        <v>0</v>
      </c>
      <c r="M330" s="5" t="str">
        <f>ContinuousStatsTable[[#This Row],[ProjectName]]&amp;ContinuousStatsTable[[#This Row],[Name]]&amp;ContinuousStatsTable[[#This Row],[Type]]&amp;ContinuousStatsTable[[#This Row],[Source]]</f>
        <v>Unnamed ProjectNacionalautoNumber ScheduledResource</v>
      </c>
      <c r="N330" s="5" cm="1">
        <f t="array" ref="N330">MAX(IF((ProjectInfoTable[ProjectName]=ContinuousStatsTable[[#This Row],[ProjectName]]),(ProjectInfoTable[ProjectName]=ContinuousStatsTable[[#This Row],[ProjectName]])*ProjectInfoTable[NumberOfReplications]))</f>
        <v>10</v>
      </c>
      <c r="O330" s="5" cm="1">
        <f t="array" ref="O330">IFERROR(AVERAGE(IF((ContinuousStatsTable[GroupByKey]=ContinuousStatsTable[[#This Row],[GroupByKey]]),(ContinuousStatsTable[GroupByKey]=ContinuousStatsTable[[#This Row],[GroupByKey]])*ContinuousStatsTable[Average])),0)</f>
        <v>1</v>
      </c>
      <c r="P330" s="5" cm="1">
        <f t="array" ref="P330">IFERROR(_xlfn.STDEV.S(IF((ContinuousStatsTable[GroupByKey]=ContinuousStatsTable[[#This Row],[GroupByKey]]),(ContinuousStatsTable[GroupByKey]=ContinuousStatsTable[[#This Row],[GroupByKey]])*ContinuousStatsTable[Average])),0)</f>
        <v>0</v>
      </c>
      <c r="Q330" s="5" cm="1">
        <f t="array" ref="Q330">MAX(IF((ProjectInfoTable[ProjectName]=ContinuousStatsTable[[#This Row],[ProjectName]]),(ProjectInfoTable[ProjectName]=ContinuousStatsTable[[#This Row],[ProjectName]])*ProjectInfoTable[ConfidenceInterval]))</f>
        <v>0.95</v>
      </c>
      <c r="R3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0" s="5" cm="1">
        <f t="array" ref="S330">MIN(IF((ContinuousStatsTable[GroupByKey]=ContinuousStatsTable[[#This Row],[GroupByKey]]),(ContinuousStatsTable[GroupByKey]=ContinuousStatsTable[[#This Row],[GroupByKey]])*ContinuousStatsTable[Average]))</f>
        <v>1</v>
      </c>
      <c r="T330" s="5" cm="1">
        <f t="array" ref="T330">MAX(IF((ContinuousStatsTable[GroupByKey]=ContinuousStatsTable[[#This Row],[GroupByKey]]),(ContinuousStatsTable[GroupByKey]=ContinuousStatsTable[[#This Row],[GroupByKey]])*ContinuousStatsTable[Average]))</f>
        <v>1</v>
      </c>
      <c r="U330" s="5">
        <f>IF((ContinuousStatsTable[[#This Row],[RepsRequested]]&gt;1),ContinuousStatsTable[[#This Row],[HalfWidth]],ContinuousStatsTable[[#This Row],[BatchMeansHalfWidth]])</f>
        <v>0</v>
      </c>
    </row>
    <row r="331" spans="1:21" x14ac:dyDescent="0.3">
      <c r="A331" t="s">
        <v>66</v>
      </c>
      <c r="B331" t="s">
        <v>68</v>
      </c>
      <c r="C331">
        <v>9</v>
      </c>
      <c r="D331" t="s">
        <v>107</v>
      </c>
      <c r="E331" t="s">
        <v>102</v>
      </c>
      <c r="F331" t="s">
        <v>103</v>
      </c>
      <c r="G331">
        <v>8.7852447587946303E-2</v>
      </c>
      <c r="H331">
        <v>1.8660622695075599E-2</v>
      </c>
      <c r="I331">
        <v>0</v>
      </c>
      <c r="J331">
        <v>1</v>
      </c>
      <c r="K331">
        <v>0</v>
      </c>
      <c r="L331">
        <v>0</v>
      </c>
      <c r="M331" s="5" t="str">
        <f>ContinuousStatsTable[[#This Row],[ProjectName]]&amp;ContinuousStatsTable[[#This Row],[Name]]&amp;ContinuousStatsTable[[#This Row],[Type]]&amp;ContinuousStatsTable[[#This Row],[Source]]</f>
        <v>Unnamed ProjectOperarios AvionInstantaneous UtilizationResource</v>
      </c>
      <c r="N331" s="5" cm="1">
        <f t="array" ref="N331">MAX(IF((ProjectInfoTable[ProjectName]=ContinuousStatsTable[[#This Row],[ProjectName]]),(ProjectInfoTable[ProjectName]=ContinuousStatsTable[[#This Row],[ProjectName]])*ProjectInfoTable[NumberOfReplications]))</f>
        <v>10</v>
      </c>
      <c r="O331" s="5" cm="1">
        <f t="array" ref="O331">IFERROR(AVERAGE(IF((ContinuousStatsTable[GroupByKey]=ContinuousStatsTable[[#This Row],[GroupByKey]]),(ContinuousStatsTable[GroupByKey]=ContinuousStatsTable[[#This Row],[GroupByKey]])*ContinuousStatsTable[Average])),0)</f>
        <v>7.5958437118625627E-2</v>
      </c>
      <c r="P331" s="5" cm="1">
        <f t="array" ref="P331">IFERROR(_xlfn.STDEV.S(IF((ContinuousStatsTable[GroupByKey]=ContinuousStatsTable[[#This Row],[GroupByKey]]),(ContinuousStatsTable[GroupByKey]=ContinuousStatsTable[[#This Row],[GroupByKey]])*ContinuousStatsTable[Average])),0)</f>
        <v>5.0572810112240948E-3</v>
      </c>
      <c r="Q331" s="5" cm="1">
        <f t="array" ref="Q331">MAX(IF((ProjectInfoTable[ProjectName]=ContinuousStatsTable[[#This Row],[ProjectName]]),(ProjectInfoTable[ProjectName]=ContinuousStatsTable[[#This Row],[ProjectName]])*ProjectInfoTable[ConfidenceInterval]))</f>
        <v>0.95</v>
      </c>
      <c r="R3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3.6177608968134627E-3</v>
      </c>
      <c r="S331" s="5" cm="1">
        <f t="array" ref="S331">MIN(IF((ContinuousStatsTable[GroupByKey]=ContinuousStatsTable[[#This Row],[GroupByKey]]),(ContinuousStatsTable[GroupByKey]=ContinuousStatsTable[[#This Row],[GroupByKey]])*ContinuousStatsTable[Average]))</f>
        <v>6.7485948117393404E-2</v>
      </c>
      <c r="T331" s="5" cm="1">
        <f t="array" ref="T331">MAX(IF((ContinuousStatsTable[GroupByKey]=ContinuousStatsTable[[#This Row],[GroupByKey]]),(ContinuousStatsTable[GroupByKey]=ContinuousStatsTable[[#This Row],[GroupByKey]])*ContinuousStatsTable[Average]))</f>
        <v>8.7852447587946303E-2</v>
      </c>
      <c r="U331" s="5">
        <f>IF((ContinuousStatsTable[[#This Row],[RepsRequested]]&gt;1),ContinuousStatsTable[[#This Row],[HalfWidth]],ContinuousStatsTable[[#This Row],[BatchMeansHalfWidth]])</f>
        <v>3.6177608968134627E-3</v>
      </c>
    </row>
    <row r="332" spans="1:21" x14ac:dyDescent="0.3">
      <c r="A332" t="s">
        <v>66</v>
      </c>
      <c r="B332" t="s">
        <v>68</v>
      </c>
      <c r="C332">
        <v>9</v>
      </c>
      <c r="D332" t="s">
        <v>107</v>
      </c>
      <c r="E332" t="s">
        <v>104</v>
      </c>
      <c r="F332" t="s">
        <v>103</v>
      </c>
      <c r="G332">
        <v>0.17570489517589299</v>
      </c>
      <c r="H332">
        <v>3.7321245390151199E-2</v>
      </c>
      <c r="I332">
        <v>0</v>
      </c>
      <c r="J332">
        <v>2</v>
      </c>
      <c r="K332">
        <v>0</v>
      </c>
      <c r="L332">
        <v>0</v>
      </c>
      <c r="M332" s="5" t="str">
        <f>ContinuousStatsTable[[#This Row],[ProjectName]]&amp;ContinuousStatsTable[[#This Row],[Name]]&amp;ContinuousStatsTable[[#This Row],[Type]]&amp;ContinuousStatsTable[[#This Row],[Source]]</f>
        <v>Unnamed ProjectOperarios AvionNumber BusyResource</v>
      </c>
      <c r="N332" s="5" cm="1">
        <f t="array" ref="N332">MAX(IF((ProjectInfoTable[ProjectName]=ContinuousStatsTable[[#This Row],[ProjectName]]),(ProjectInfoTable[ProjectName]=ContinuousStatsTable[[#This Row],[ProjectName]])*ProjectInfoTable[NumberOfReplications]))</f>
        <v>10</v>
      </c>
      <c r="O332" s="5" cm="1">
        <f t="array" ref="O332">IFERROR(AVERAGE(IF((ContinuousStatsTable[GroupByKey]=ContinuousStatsTable[[#This Row],[GroupByKey]]),(ContinuousStatsTable[GroupByKey]=ContinuousStatsTable[[#This Row],[GroupByKey]])*ContinuousStatsTable[Average])),0)</f>
        <v>0.1519168742372512</v>
      </c>
      <c r="P332" s="5" cm="1">
        <f t="array" ref="P332">IFERROR(_xlfn.STDEV.S(IF((ContinuousStatsTable[GroupByKey]=ContinuousStatsTable[[#This Row],[GroupByKey]]),(ContinuousStatsTable[GroupByKey]=ContinuousStatsTable[[#This Row],[GroupByKey]])*ContinuousStatsTable[Average])),0)</f>
        <v>1.0114562022448264E-2</v>
      </c>
      <c r="Q332" s="5" cm="1">
        <f t="array" ref="Q332">MAX(IF((ProjectInfoTable[ProjectName]=ContinuousStatsTable[[#This Row],[ProjectName]]),(ProjectInfoTable[ProjectName]=ContinuousStatsTable[[#This Row],[ProjectName]])*ProjectInfoTable[ConfidenceInterval]))</f>
        <v>0.95</v>
      </c>
      <c r="R3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7.2355217936269783E-3</v>
      </c>
      <c r="S332" s="5" cm="1">
        <f t="array" ref="S332">MIN(IF((ContinuousStatsTable[GroupByKey]=ContinuousStatsTable[[#This Row],[GroupByKey]]),(ContinuousStatsTable[GroupByKey]=ContinuousStatsTable[[#This Row],[GroupByKey]])*ContinuousStatsTable[Average]))</f>
        <v>0.134971896234787</v>
      </c>
      <c r="T332" s="5" cm="1">
        <f t="array" ref="T332">MAX(IF((ContinuousStatsTable[GroupByKey]=ContinuousStatsTable[[#This Row],[GroupByKey]]),(ContinuousStatsTable[GroupByKey]=ContinuousStatsTable[[#This Row],[GroupByKey]])*ContinuousStatsTable[Average]))</f>
        <v>0.17570489517589299</v>
      </c>
      <c r="U332" s="5">
        <f>IF((ContinuousStatsTable[[#This Row],[RepsRequested]]&gt;1),ContinuousStatsTable[[#This Row],[HalfWidth]],ContinuousStatsTable[[#This Row],[BatchMeansHalfWidth]])</f>
        <v>7.2355217936269783E-3</v>
      </c>
    </row>
    <row r="333" spans="1:21" x14ac:dyDescent="0.3">
      <c r="A333" t="s">
        <v>66</v>
      </c>
      <c r="B333" t="s">
        <v>68</v>
      </c>
      <c r="C333">
        <v>9</v>
      </c>
      <c r="D333" t="s">
        <v>107</v>
      </c>
      <c r="E333" t="s">
        <v>105</v>
      </c>
      <c r="F333" t="s">
        <v>103</v>
      </c>
      <c r="G333">
        <v>2</v>
      </c>
      <c r="H333">
        <v>2E+20</v>
      </c>
      <c r="I333">
        <v>2</v>
      </c>
      <c r="J333">
        <v>2</v>
      </c>
      <c r="K333">
        <v>2</v>
      </c>
      <c r="L333">
        <v>0</v>
      </c>
      <c r="M333" s="5" t="str">
        <f>ContinuousStatsTable[[#This Row],[ProjectName]]&amp;ContinuousStatsTable[[#This Row],[Name]]&amp;ContinuousStatsTable[[#This Row],[Type]]&amp;ContinuousStatsTable[[#This Row],[Source]]</f>
        <v>Unnamed ProjectOperarios AvionNumber ScheduledResource</v>
      </c>
      <c r="N333" s="5" cm="1">
        <f t="array" ref="N333">MAX(IF((ProjectInfoTable[ProjectName]=ContinuousStatsTable[[#This Row],[ProjectName]]),(ProjectInfoTable[ProjectName]=ContinuousStatsTable[[#This Row],[ProjectName]])*ProjectInfoTable[NumberOfReplications]))</f>
        <v>10</v>
      </c>
      <c r="O333" s="5" cm="1">
        <f t="array" ref="O333">IFERROR(AVERAGE(IF((ContinuousStatsTable[GroupByKey]=ContinuousStatsTable[[#This Row],[GroupByKey]]),(ContinuousStatsTable[GroupByKey]=ContinuousStatsTable[[#This Row],[GroupByKey]])*ContinuousStatsTable[Average])),0)</f>
        <v>2</v>
      </c>
      <c r="P333" s="5" cm="1">
        <f t="array" ref="P333">IFERROR(_xlfn.STDEV.S(IF((ContinuousStatsTable[GroupByKey]=ContinuousStatsTable[[#This Row],[GroupByKey]]),(ContinuousStatsTable[GroupByKey]=ContinuousStatsTable[[#This Row],[GroupByKey]])*ContinuousStatsTable[Average])),0)</f>
        <v>0</v>
      </c>
      <c r="Q333" s="5" cm="1">
        <f t="array" ref="Q333">MAX(IF((ProjectInfoTable[ProjectName]=ContinuousStatsTable[[#This Row],[ProjectName]]),(ProjectInfoTable[ProjectName]=ContinuousStatsTable[[#This Row],[ProjectName]])*ProjectInfoTable[ConfidenceInterval]))</f>
        <v>0.95</v>
      </c>
      <c r="R3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3" s="5" cm="1">
        <f t="array" ref="S333">MIN(IF((ContinuousStatsTable[GroupByKey]=ContinuousStatsTable[[#This Row],[GroupByKey]]),(ContinuousStatsTable[GroupByKey]=ContinuousStatsTable[[#This Row],[GroupByKey]])*ContinuousStatsTable[Average]))</f>
        <v>2</v>
      </c>
      <c r="T333" s="5" cm="1">
        <f t="array" ref="T333">MAX(IF((ContinuousStatsTable[GroupByKey]=ContinuousStatsTable[[#This Row],[GroupByKey]]),(ContinuousStatsTable[GroupByKey]=ContinuousStatsTable[[#This Row],[GroupByKey]])*ContinuousStatsTable[Average]))</f>
        <v>2</v>
      </c>
      <c r="U333" s="5">
        <f>IF((ContinuousStatsTable[[#This Row],[RepsRequested]]&gt;1),ContinuousStatsTable[[#This Row],[HalfWidth]],ContinuousStatsTable[[#This Row],[BatchMeansHalfWidth]])</f>
        <v>0</v>
      </c>
    </row>
    <row r="334" spans="1:21" x14ac:dyDescent="0.3">
      <c r="A334" t="s">
        <v>66</v>
      </c>
      <c r="B334" t="s">
        <v>68</v>
      </c>
      <c r="C334">
        <v>9</v>
      </c>
      <c r="D334" t="s">
        <v>108</v>
      </c>
      <c r="E334" t="s">
        <v>102</v>
      </c>
      <c r="F334" t="s">
        <v>103</v>
      </c>
      <c r="G334">
        <v>0.44970563756005799</v>
      </c>
      <c r="H334">
        <v>2E+20</v>
      </c>
      <c r="I334">
        <v>0</v>
      </c>
      <c r="J334">
        <v>1</v>
      </c>
      <c r="K334">
        <v>0</v>
      </c>
      <c r="L334">
        <v>0</v>
      </c>
      <c r="M334" s="5" t="str">
        <f>ContinuousStatsTable[[#This Row],[ProjectName]]&amp;ContinuousStatsTable[[#This Row],[Name]]&amp;ContinuousStatsTable[[#This Row],[Type]]&amp;ContinuousStatsTable[[#This Row],[Source]]</f>
        <v>Unnamed ProjectcajeraInstantaneous UtilizationResource</v>
      </c>
      <c r="N334" s="5" cm="1">
        <f t="array" ref="N334">MAX(IF((ProjectInfoTable[ProjectName]=ContinuousStatsTable[[#This Row],[ProjectName]]),(ProjectInfoTable[ProjectName]=ContinuousStatsTable[[#This Row],[ProjectName]])*ProjectInfoTable[NumberOfReplications]))</f>
        <v>10</v>
      </c>
      <c r="O334" s="5" cm="1">
        <f t="array" ref="O334">IFERROR(AVERAGE(IF((ContinuousStatsTable[GroupByKey]=ContinuousStatsTable[[#This Row],[GroupByKey]]),(ContinuousStatsTable[GroupByKey]=ContinuousStatsTable[[#This Row],[GroupByKey]])*ContinuousStatsTable[Average])),0)</f>
        <v>0.38078385056341441</v>
      </c>
      <c r="P334" s="5" cm="1">
        <f t="array" ref="P334">IFERROR(_xlfn.STDEV.S(IF((ContinuousStatsTable[GroupByKey]=ContinuousStatsTable[[#This Row],[GroupByKey]]),(ContinuousStatsTable[GroupByKey]=ContinuousStatsTable[[#This Row],[GroupByKey]])*ContinuousStatsTable[Average])),0)</f>
        <v>5.6481911326734656E-2</v>
      </c>
      <c r="Q334" s="5" cm="1">
        <f t="array" ref="Q334">MAX(IF((ProjectInfoTable[ProjectName]=ContinuousStatsTable[[#This Row],[ProjectName]]),(ProjectInfoTable[ProjectName]=ContinuousStatsTable[[#This Row],[ProjectName]])*ProjectInfoTable[ConfidenceInterval]))</f>
        <v>0.95</v>
      </c>
      <c r="R3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4.040472533000234E-2</v>
      </c>
      <c r="S334" s="5" cm="1">
        <f t="array" ref="S334">MIN(IF((ContinuousStatsTable[GroupByKey]=ContinuousStatsTable[[#This Row],[GroupByKey]]),(ContinuousStatsTable[GroupByKey]=ContinuousStatsTable[[#This Row],[GroupByKey]])*ContinuousStatsTable[Average]))</f>
        <v>0.28913636698845602</v>
      </c>
      <c r="T334" s="5" cm="1">
        <f t="array" ref="T334">MAX(IF((ContinuousStatsTable[GroupByKey]=ContinuousStatsTable[[#This Row],[GroupByKey]]),(ContinuousStatsTable[GroupByKey]=ContinuousStatsTable[[#This Row],[GroupByKey]])*ContinuousStatsTable[Average]))</f>
        <v>0.46134650546047301</v>
      </c>
      <c r="U334" s="5">
        <f>IF((ContinuousStatsTable[[#This Row],[RepsRequested]]&gt;1),ContinuousStatsTable[[#This Row],[HalfWidth]],ContinuousStatsTable[[#This Row],[BatchMeansHalfWidth]])</f>
        <v>4.040472533000234E-2</v>
      </c>
    </row>
    <row r="335" spans="1:21" x14ac:dyDescent="0.3">
      <c r="A335" t="s">
        <v>66</v>
      </c>
      <c r="B335" t="s">
        <v>68</v>
      </c>
      <c r="C335">
        <v>9</v>
      </c>
      <c r="D335" t="s">
        <v>108</v>
      </c>
      <c r="E335" t="s">
        <v>104</v>
      </c>
      <c r="F335" t="s">
        <v>103</v>
      </c>
      <c r="G335">
        <v>0.44970563756005799</v>
      </c>
      <c r="H335">
        <v>2E+20</v>
      </c>
      <c r="I335">
        <v>0</v>
      </c>
      <c r="J335">
        <v>1</v>
      </c>
      <c r="K335">
        <v>0</v>
      </c>
      <c r="L335">
        <v>0</v>
      </c>
      <c r="M335" s="5" t="str">
        <f>ContinuousStatsTable[[#This Row],[ProjectName]]&amp;ContinuousStatsTable[[#This Row],[Name]]&amp;ContinuousStatsTable[[#This Row],[Type]]&amp;ContinuousStatsTable[[#This Row],[Source]]</f>
        <v>Unnamed ProjectcajeraNumber BusyResource</v>
      </c>
      <c r="N335" s="5" cm="1">
        <f t="array" ref="N335">MAX(IF((ProjectInfoTable[ProjectName]=ContinuousStatsTable[[#This Row],[ProjectName]]),(ProjectInfoTable[ProjectName]=ContinuousStatsTable[[#This Row],[ProjectName]])*ProjectInfoTable[NumberOfReplications]))</f>
        <v>10</v>
      </c>
      <c r="O335" s="5" cm="1">
        <f t="array" ref="O335">IFERROR(AVERAGE(IF((ContinuousStatsTable[GroupByKey]=ContinuousStatsTable[[#This Row],[GroupByKey]]),(ContinuousStatsTable[GroupByKey]=ContinuousStatsTable[[#This Row],[GroupByKey]])*ContinuousStatsTable[Average])),0)</f>
        <v>0.38078385056341441</v>
      </c>
      <c r="P335" s="5" cm="1">
        <f t="array" ref="P335">IFERROR(_xlfn.STDEV.S(IF((ContinuousStatsTable[GroupByKey]=ContinuousStatsTable[[#This Row],[GroupByKey]]),(ContinuousStatsTable[GroupByKey]=ContinuousStatsTable[[#This Row],[GroupByKey]])*ContinuousStatsTable[Average])),0)</f>
        <v>5.6481911326734656E-2</v>
      </c>
      <c r="Q335" s="5" cm="1">
        <f t="array" ref="Q335">MAX(IF((ProjectInfoTable[ProjectName]=ContinuousStatsTable[[#This Row],[ProjectName]]),(ProjectInfoTable[ProjectName]=ContinuousStatsTable[[#This Row],[ProjectName]])*ProjectInfoTable[ConfidenceInterval]))</f>
        <v>0.95</v>
      </c>
      <c r="R3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4.040472533000234E-2</v>
      </c>
      <c r="S335" s="5" cm="1">
        <f t="array" ref="S335">MIN(IF((ContinuousStatsTable[GroupByKey]=ContinuousStatsTable[[#This Row],[GroupByKey]]),(ContinuousStatsTable[GroupByKey]=ContinuousStatsTable[[#This Row],[GroupByKey]])*ContinuousStatsTable[Average]))</f>
        <v>0.28913636698845602</v>
      </c>
      <c r="T335" s="5" cm="1">
        <f t="array" ref="T335">MAX(IF((ContinuousStatsTable[GroupByKey]=ContinuousStatsTable[[#This Row],[GroupByKey]]),(ContinuousStatsTable[GroupByKey]=ContinuousStatsTable[[#This Row],[GroupByKey]])*ContinuousStatsTable[Average]))</f>
        <v>0.46134650546047301</v>
      </c>
      <c r="U335" s="5">
        <f>IF((ContinuousStatsTable[[#This Row],[RepsRequested]]&gt;1),ContinuousStatsTable[[#This Row],[HalfWidth]],ContinuousStatsTable[[#This Row],[BatchMeansHalfWidth]])</f>
        <v>4.040472533000234E-2</v>
      </c>
    </row>
    <row r="336" spans="1:21" x14ac:dyDescent="0.3">
      <c r="A336" t="s">
        <v>66</v>
      </c>
      <c r="B336" t="s">
        <v>68</v>
      </c>
      <c r="C336">
        <v>9</v>
      </c>
      <c r="D336" t="s">
        <v>108</v>
      </c>
      <c r="E336" t="s">
        <v>105</v>
      </c>
      <c r="F336" t="s">
        <v>103</v>
      </c>
      <c r="G336">
        <v>1</v>
      </c>
      <c r="H336">
        <v>2E+20</v>
      </c>
      <c r="I336">
        <v>1</v>
      </c>
      <c r="J336">
        <v>1</v>
      </c>
      <c r="K336">
        <v>1</v>
      </c>
      <c r="L336">
        <v>0</v>
      </c>
      <c r="M336" s="5" t="str">
        <f>ContinuousStatsTable[[#This Row],[ProjectName]]&amp;ContinuousStatsTable[[#This Row],[Name]]&amp;ContinuousStatsTable[[#This Row],[Type]]&amp;ContinuousStatsTable[[#This Row],[Source]]</f>
        <v>Unnamed ProjectcajeraNumber ScheduledResource</v>
      </c>
      <c r="N336" s="5" cm="1">
        <f t="array" ref="N336">MAX(IF((ProjectInfoTable[ProjectName]=ContinuousStatsTable[[#This Row],[ProjectName]]),(ProjectInfoTable[ProjectName]=ContinuousStatsTable[[#This Row],[ProjectName]])*ProjectInfoTable[NumberOfReplications]))</f>
        <v>10</v>
      </c>
      <c r="O336" s="5" cm="1">
        <f t="array" ref="O336">IFERROR(AVERAGE(IF((ContinuousStatsTable[GroupByKey]=ContinuousStatsTable[[#This Row],[GroupByKey]]),(ContinuousStatsTable[GroupByKey]=ContinuousStatsTable[[#This Row],[GroupByKey]])*ContinuousStatsTable[Average])),0)</f>
        <v>1</v>
      </c>
      <c r="P336" s="5" cm="1">
        <f t="array" ref="P336">IFERROR(_xlfn.STDEV.S(IF((ContinuousStatsTable[GroupByKey]=ContinuousStatsTable[[#This Row],[GroupByKey]]),(ContinuousStatsTable[GroupByKey]=ContinuousStatsTable[[#This Row],[GroupByKey]])*ContinuousStatsTable[Average])),0)</f>
        <v>0</v>
      </c>
      <c r="Q336" s="5" cm="1">
        <f t="array" ref="Q336">MAX(IF((ProjectInfoTable[ProjectName]=ContinuousStatsTable[[#This Row],[ProjectName]]),(ProjectInfoTable[ProjectName]=ContinuousStatsTable[[#This Row],[ProjectName]])*ProjectInfoTable[ConfidenceInterval]))</f>
        <v>0.95</v>
      </c>
      <c r="R3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6" s="5" cm="1">
        <f t="array" ref="S336">MIN(IF((ContinuousStatsTable[GroupByKey]=ContinuousStatsTable[[#This Row],[GroupByKey]]),(ContinuousStatsTable[GroupByKey]=ContinuousStatsTable[[#This Row],[GroupByKey]])*ContinuousStatsTable[Average]))</f>
        <v>1</v>
      </c>
      <c r="T336" s="5" cm="1">
        <f t="array" ref="T336">MAX(IF((ContinuousStatsTable[GroupByKey]=ContinuousStatsTable[[#This Row],[GroupByKey]]),(ContinuousStatsTable[GroupByKey]=ContinuousStatsTable[[#This Row],[GroupByKey]])*ContinuousStatsTable[Average]))</f>
        <v>1</v>
      </c>
      <c r="U336" s="5">
        <f>IF((ContinuousStatsTable[[#This Row],[RepsRequested]]&gt;1),ContinuousStatsTable[[#This Row],[HalfWidth]],ContinuousStatsTable[[#This Row],[BatchMeansHalfWidth]])</f>
        <v>0</v>
      </c>
    </row>
    <row r="337" spans="1:21" x14ac:dyDescent="0.3">
      <c r="A337" t="s">
        <v>66</v>
      </c>
      <c r="B337" t="s">
        <v>68</v>
      </c>
      <c r="C337">
        <v>9</v>
      </c>
      <c r="D337" t="s">
        <v>109</v>
      </c>
      <c r="E337" t="s">
        <v>102</v>
      </c>
      <c r="F337" t="s">
        <v>103</v>
      </c>
      <c r="G337">
        <v>0.73578876984573405</v>
      </c>
      <c r="H337">
        <v>2E+20</v>
      </c>
      <c r="I337">
        <v>0</v>
      </c>
      <c r="J337">
        <v>1</v>
      </c>
      <c r="K337">
        <v>1</v>
      </c>
      <c r="L337">
        <v>0</v>
      </c>
      <c r="M337" s="5" t="str">
        <f>ContinuousStatsTable[[#This Row],[ProjectName]]&amp;ContinuousStatsTable[[#This Row],[Name]]&amp;ContinuousStatsTable[[#This Row],[Type]]&amp;ContinuousStatsTable[[#This Row],[Source]]</f>
        <v>Unnamed Projectcajera2Instantaneous UtilizationResource</v>
      </c>
      <c r="N337" s="5" cm="1">
        <f t="array" ref="N337">MAX(IF((ProjectInfoTable[ProjectName]=ContinuousStatsTable[[#This Row],[ProjectName]]),(ProjectInfoTable[ProjectName]=ContinuousStatsTable[[#This Row],[ProjectName]])*ProjectInfoTable[NumberOfReplications]))</f>
        <v>10</v>
      </c>
      <c r="O337" s="5" cm="1">
        <f t="array" ref="O337">IFERROR(AVERAGE(IF((ContinuousStatsTable[GroupByKey]=ContinuousStatsTable[[#This Row],[GroupByKey]]),(ContinuousStatsTable[GroupByKey]=ContinuousStatsTable[[#This Row],[GroupByKey]])*ContinuousStatsTable[Average])),0)</f>
        <v>0.73571117943508912</v>
      </c>
      <c r="P337" s="5" cm="1">
        <f t="array" ref="P337">IFERROR(_xlfn.STDEV.S(IF((ContinuousStatsTable[GroupByKey]=ContinuousStatsTable[[#This Row],[GroupByKey]]),(ContinuousStatsTable[GroupByKey]=ContinuousStatsTable[[#This Row],[GroupByKey]])*ContinuousStatsTable[Average])),0)</f>
        <v>2.3945213257811505E-2</v>
      </c>
      <c r="Q337" s="5" cm="1">
        <f t="array" ref="Q337">MAX(IF((ProjectInfoTable[ProjectName]=ContinuousStatsTable[[#This Row],[ProjectName]]),(ProjectInfoTable[ProjectName]=ContinuousStatsTable[[#This Row],[ProjectName]])*ProjectInfoTable[ConfidenceInterval]))</f>
        <v>0.95</v>
      </c>
      <c r="R3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1.7129373668915777E-2</v>
      </c>
      <c r="S337" s="5" cm="1">
        <f t="array" ref="S337">MIN(IF((ContinuousStatsTable[GroupByKey]=ContinuousStatsTable[[#This Row],[GroupByKey]]),(ContinuousStatsTable[GroupByKey]=ContinuousStatsTable[[#This Row],[GroupByKey]])*ContinuousStatsTable[Average]))</f>
        <v>0.69752119636771104</v>
      </c>
      <c r="T337" s="5" cm="1">
        <f t="array" ref="T337">MAX(IF((ContinuousStatsTable[GroupByKey]=ContinuousStatsTable[[#This Row],[GroupByKey]]),(ContinuousStatsTable[GroupByKey]=ContinuousStatsTable[[#This Row],[GroupByKey]])*ContinuousStatsTable[Average]))</f>
        <v>0.77845968782647601</v>
      </c>
      <c r="U337" s="5">
        <f>IF((ContinuousStatsTable[[#This Row],[RepsRequested]]&gt;1),ContinuousStatsTable[[#This Row],[HalfWidth]],ContinuousStatsTable[[#This Row],[BatchMeansHalfWidth]])</f>
        <v>1.7129373668915777E-2</v>
      </c>
    </row>
    <row r="338" spans="1:21" x14ac:dyDescent="0.3">
      <c r="A338" t="s">
        <v>66</v>
      </c>
      <c r="B338" t="s">
        <v>68</v>
      </c>
      <c r="C338">
        <v>9</v>
      </c>
      <c r="D338" t="s">
        <v>109</v>
      </c>
      <c r="E338" t="s">
        <v>104</v>
      </c>
      <c r="F338" t="s">
        <v>103</v>
      </c>
      <c r="G338">
        <v>0.73578876984573405</v>
      </c>
      <c r="H338">
        <v>2E+20</v>
      </c>
      <c r="I338">
        <v>0</v>
      </c>
      <c r="J338">
        <v>1</v>
      </c>
      <c r="K338">
        <v>1</v>
      </c>
      <c r="L338">
        <v>0</v>
      </c>
      <c r="M338" s="5" t="str">
        <f>ContinuousStatsTable[[#This Row],[ProjectName]]&amp;ContinuousStatsTable[[#This Row],[Name]]&amp;ContinuousStatsTable[[#This Row],[Type]]&amp;ContinuousStatsTable[[#This Row],[Source]]</f>
        <v>Unnamed Projectcajera2Number BusyResource</v>
      </c>
      <c r="N338" s="5" cm="1">
        <f t="array" ref="N338">MAX(IF((ProjectInfoTable[ProjectName]=ContinuousStatsTable[[#This Row],[ProjectName]]),(ProjectInfoTable[ProjectName]=ContinuousStatsTable[[#This Row],[ProjectName]])*ProjectInfoTable[NumberOfReplications]))</f>
        <v>10</v>
      </c>
      <c r="O338" s="5" cm="1">
        <f t="array" ref="O338">IFERROR(AVERAGE(IF((ContinuousStatsTable[GroupByKey]=ContinuousStatsTable[[#This Row],[GroupByKey]]),(ContinuousStatsTable[GroupByKey]=ContinuousStatsTable[[#This Row],[GroupByKey]])*ContinuousStatsTable[Average])),0)</f>
        <v>0.73571117943508912</v>
      </c>
      <c r="P338" s="5" cm="1">
        <f t="array" ref="P338">IFERROR(_xlfn.STDEV.S(IF((ContinuousStatsTable[GroupByKey]=ContinuousStatsTable[[#This Row],[GroupByKey]]),(ContinuousStatsTable[GroupByKey]=ContinuousStatsTable[[#This Row],[GroupByKey]])*ContinuousStatsTable[Average])),0)</f>
        <v>2.3945213257811505E-2</v>
      </c>
      <c r="Q338" s="5" cm="1">
        <f t="array" ref="Q338">MAX(IF((ProjectInfoTable[ProjectName]=ContinuousStatsTable[[#This Row],[ProjectName]]),(ProjectInfoTable[ProjectName]=ContinuousStatsTable[[#This Row],[ProjectName]])*ProjectInfoTable[ConfidenceInterval]))</f>
        <v>0.95</v>
      </c>
      <c r="R3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1.7129373668915777E-2</v>
      </c>
      <c r="S338" s="5" cm="1">
        <f t="array" ref="S338">MIN(IF((ContinuousStatsTable[GroupByKey]=ContinuousStatsTable[[#This Row],[GroupByKey]]),(ContinuousStatsTable[GroupByKey]=ContinuousStatsTable[[#This Row],[GroupByKey]])*ContinuousStatsTable[Average]))</f>
        <v>0.69752119636771104</v>
      </c>
      <c r="T338" s="5" cm="1">
        <f t="array" ref="T338">MAX(IF((ContinuousStatsTable[GroupByKey]=ContinuousStatsTable[[#This Row],[GroupByKey]]),(ContinuousStatsTable[GroupByKey]=ContinuousStatsTable[[#This Row],[GroupByKey]])*ContinuousStatsTable[Average]))</f>
        <v>0.77845968782647601</v>
      </c>
      <c r="U338" s="5">
        <f>IF((ContinuousStatsTable[[#This Row],[RepsRequested]]&gt;1),ContinuousStatsTable[[#This Row],[HalfWidth]],ContinuousStatsTable[[#This Row],[BatchMeansHalfWidth]])</f>
        <v>1.7129373668915777E-2</v>
      </c>
    </row>
    <row r="339" spans="1:21" x14ac:dyDescent="0.3">
      <c r="A339" t="s">
        <v>66</v>
      </c>
      <c r="B339" t="s">
        <v>68</v>
      </c>
      <c r="C339">
        <v>9</v>
      </c>
      <c r="D339" t="s">
        <v>109</v>
      </c>
      <c r="E339" t="s">
        <v>105</v>
      </c>
      <c r="F339" t="s">
        <v>103</v>
      </c>
      <c r="G339">
        <v>1</v>
      </c>
      <c r="H339">
        <v>2E+20</v>
      </c>
      <c r="I339">
        <v>1</v>
      </c>
      <c r="J339">
        <v>1</v>
      </c>
      <c r="K339">
        <v>1</v>
      </c>
      <c r="L339">
        <v>0</v>
      </c>
      <c r="M339" s="5" t="str">
        <f>ContinuousStatsTable[[#This Row],[ProjectName]]&amp;ContinuousStatsTable[[#This Row],[Name]]&amp;ContinuousStatsTable[[#This Row],[Type]]&amp;ContinuousStatsTable[[#This Row],[Source]]</f>
        <v>Unnamed Projectcajera2Number ScheduledResource</v>
      </c>
      <c r="N339" s="5" cm="1">
        <f t="array" ref="N339">MAX(IF((ProjectInfoTable[ProjectName]=ContinuousStatsTable[[#This Row],[ProjectName]]),(ProjectInfoTable[ProjectName]=ContinuousStatsTable[[#This Row],[ProjectName]])*ProjectInfoTable[NumberOfReplications]))</f>
        <v>10</v>
      </c>
      <c r="O339" s="5" cm="1">
        <f t="array" ref="O339">IFERROR(AVERAGE(IF((ContinuousStatsTable[GroupByKey]=ContinuousStatsTable[[#This Row],[GroupByKey]]),(ContinuousStatsTable[GroupByKey]=ContinuousStatsTable[[#This Row],[GroupByKey]])*ContinuousStatsTable[Average])),0)</f>
        <v>1</v>
      </c>
      <c r="P339" s="5" cm="1">
        <f t="array" ref="P339">IFERROR(_xlfn.STDEV.S(IF((ContinuousStatsTable[GroupByKey]=ContinuousStatsTable[[#This Row],[GroupByKey]]),(ContinuousStatsTable[GroupByKey]=ContinuousStatsTable[[#This Row],[GroupByKey]])*ContinuousStatsTable[Average])),0)</f>
        <v>0</v>
      </c>
      <c r="Q339" s="5" cm="1">
        <f t="array" ref="Q339">MAX(IF((ProjectInfoTable[ProjectName]=ContinuousStatsTable[[#This Row],[ProjectName]]),(ProjectInfoTable[ProjectName]=ContinuousStatsTable[[#This Row],[ProjectName]])*ProjectInfoTable[ConfidenceInterval]))</f>
        <v>0.95</v>
      </c>
      <c r="R3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9" s="5" cm="1">
        <f t="array" ref="S339">MIN(IF((ContinuousStatsTable[GroupByKey]=ContinuousStatsTable[[#This Row],[GroupByKey]]),(ContinuousStatsTable[GroupByKey]=ContinuousStatsTable[[#This Row],[GroupByKey]])*ContinuousStatsTable[Average]))</f>
        <v>1</v>
      </c>
      <c r="T339" s="5" cm="1">
        <f t="array" ref="T339">MAX(IF((ContinuousStatsTable[GroupByKey]=ContinuousStatsTable[[#This Row],[GroupByKey]]),(ContinuousStatsTable[GroupByKey]=ContinuousStatsTable[[#This Row],[GroupByKey]])*ContinuousStatsTable[Average]))</f>
        <v>1</v>
      </c>
      <c r="U339" s="5">
        <f>IF((ContinuousStatsTable[[#This Row],[RepsRequested]]&gt;1),ContinuousStatsTable[[#This Row],[HalfWidth]],ContinuousStatsTable[[#This Row],[BatchMeansHalfWidth]])</f>
        <v>0</v>
      </c>
    </row>
    <row r="340" spans="1:21" x14ac:dyDescent="0.3">
      <c r="A340" t="s">
        <v>66</v>
      </c>
      <c r="B340" t="s">
        <v>68</v>
      </c>
      <c r="C340">
        <v>9</v>
      </c>
      <c r="D340" t="s">
        <v>93</v>
      </c>
      <c r="E340" t="s">
        <v>99</v>
      </c>
      <c r="F340" t="s">
        <v>71</v>
      </c>
      <c r="G340">
        <v>0.41607401804003402</v>
      </c>
      <c r="H340">
        <v>2E+20</v>
      </c>
      <c r="I340">
        <v>0</v>
      </c>
      <c r="J340">
        <v>3</v>
      </c>
      <c r="K340">
        <v>0</v>
      </c>
      <c r="L340">
        <v>0</v>
      </c>
      <c r="M340" s="5" t="str">
        <f>ContinuousStatsTable[[#This Row],[ProjectName]]&amp;ContinuousStatsTable[[#This Row],[Name]]&amp;ContinuousStatsTable[[#This Row],[Type]]&amp;ContinuousStatsTable[[#This Row],[Source]]</f>
        <v>Unnamed Projectmanualinter.QueueNumber WaitingQueue</v>
      </c>
      <c r="N340" s="5" cm="1">
        <f t="array" ref="N340">MAX(IF((ProjectInfoTable[ProjectName]=ContinuousStatsTable[[#This Row],[ProjectName]]),(ProjectInfoTable[ProjectName]=ContinuousStatsTable[[#This Row],[ProjectName]])*ProjectInfoTable[NumberOfReplications]))</f>
        <v>10</v>
      </c>
      <c r="O340" s="5" cm="1">
        <f t="array" ref="O340">IFERROR(AVERAGE(IF((ContinuousStatsTable[GroupByKey]=ContinuousStatsTable[[#This Row],[GroupByKey]]),(ContinuousStatsTable[GroupByKey]=ContinuousStatsTable[[#This Row],[GroupByKey]])*ContinuousStatsTable[Average])),0)</f>
        <v>0.33257710094571935</v>
      </c>
      <c r="P340" s="5" cm="1">
        <f t="array" ref="P340">IFERROR(_xlfn.STDEV.S(IF((ContinuousStatsTable[GroupByKey]=ContinuousStatsTable[[#This Row],[GroupByKey]]),(ContinuousStatsTable[GroupByKey]=ContinuousStatsTable[[#This Row],[GroupByKey]])*ContinuousStatsTable[Average])),0)</f>
        <v>0.27159595138606457</v>
      </c>
      <c r="Q340" s="5" cm="1">
        <f t="array" ref="Q340">MAX(IF((ProjectInfoTable[ProjectName]=ContinuousStatsTable[[#This Row],[ProjectName]]),(ProjectInfoTable[ProjectName]=ContinuousStatsTable[[#This Row],[ProjectName]])*ProjectInfoTable[ConfidenceInterval]))</f>
        <v>0.95</v>
      </c>
      <c r="R3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0.19428803945769421</v>
      </c>
      <c r="S340" s="5" cm="1">
        <f t="array" ref="S340">MIN(IF((ContinuousStatsTable[GroupByKey]=ContinuousStatsTable[[#This Row],[GroupByKey]]),(ContinuousStatsTable[GroupByKey]=ContinuousStatsTable[[#This Row],[GroupByKey]])*ContinuousStatsTable[Average]))</f>
        <v>4.88437833500961E-2</v>
      </c>
      <c r="T340" s="5" cm="1">
        <f t="array" ref="T340">MAX(IF((ContinuousStatsTable[GroupByKey]=ContinuousStatsTable[[#This Row],[GroupByKey]]),(ContinuousStatsTable[GroupByKey]=ContinuousStatsTable[[#This Row],[GroupByKey]])*ContinuousStatsTable[Average]))</f>
        <v>0.95917715937716497</v>
      </c>
      <c r="U340" s="5">
        <f>IF((ContinuousStatsTable[[#This Row],[RepsRequested]]&gt;1),ContinuousStatsTable[[#This Row],[HalfWidth]],ContinuousStatsTable[[#This Row],[BatchMeansHalfWidth]])</f>
        <v>0.19428803945769421</v>
      </c>
    </row>
    <row r="341" spans="1:21" x14ac:dyDescent="0.3">
      <c r="A341" t="s">
        <v>66</v>
      </c>
      <c r="B341" t="s">
        <v>68</v>
      </c>
      <c r="C341">
        <v>9</v>
      </c>
      <c r="D341" t="s">
        <v>94</v>
      </c>
      <c r="E341" t="s">
        <v>99</v>
      </c>
      <c r="F341" t="s">
        <v>71</v>
      </c>
      <c r="G341">
        <v>1.0917719284103599E-3</v>
      </c>
      <c r="H341">
        <v>2E+20</v>
      </c>
      <c r="I341">
        <v>0</v>
      </c>
      <c r="J341">
        <v>1</v>
      </c>
      <c r="K341">
        <v>0</v>
      </c>
      <c r="L341">
        <v>0</v>
      </c>
      <c r="M341" s="5" t="str">
        <f>ContinuousStatsTable[[#This Row],[ProjectName]]&amp;ContinuousStatsTable[[#This Row],[Name]]&amp;ContinuousStatsTable[[#This Row],[Type]]&amp;ContinuousStatsTable[[#This Row],[Source]]</f>
        <v>Unnamed Projectmanualnaciona.QueueNumber WaitingQueue</v>
      </c>
      <c r="N341" s="5" cm="1">
        <f t="array" ref="N341">MAX(IF((ProjectInfoTable[ProjectName]=ContinuousStatsTable[[#This Row],[ProjectName]]),(ProjectInfoTable[ProjectName]=ContinuousStatsTable[[#This Row],[ProjectName]])*ProjectInfoTable[NumberOfReplications]))</f>
        <v>10</v>
      </c>
      <c r="O341" s="5" cm="1">
        <f t="array" ref="O341">IFERROR(AVERAGE(IF((ContinuousStatsTable[GroupByKey]=ContinuousStatsTable[[#This Row],[GroupByKey]]),(ContinuousStatsTable[GroupByKey]=ContinuousStatsTable[[#This Row],[GroupByKey]])*ContinuousStatsTable[Average])),0)</f>
        <v>2.2437109622866062E-3</v>
      </c>
      <c r="P341" s="5" cm="1">
        <f t="array" ref="P341">IFERROR(_xlfn.STDEV.S(IF((ContinuousStatsTable[GroupByKey]=ContinuousStatsTable[[#This Row],[GroupByKey]]),(ContinuousStatsTable[GroupByKey]=ContinuousStatsTable[[#This Row],[GroupByKey]])*ContinuousStatsTable[Average])),0)</f>
        <v>6.4095428429067599E-3</v>
      </c>
      <c r="Q341" s="5" cm="1">
        <f t="array" ref="Q341">MAX(IF((ProjectInfoTable[ProjectName]=ContinuousStatsTable[[#This Row],[ProjectName]]),(ProjectInfoTable[ProjectName]=ContinuousStatsTable[[#This Row],[ProjectName]])*ProjectInfoTable[ConfidenceInterval]))</f>
        <v>0.95</v>
      </c>
      <c r="R3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4.5851107367881972E-3</v>
      </c>
      <c r="S341" s="5" cm="1">
        <f t="array" ref="S341">MIN(IF((ContinuousStatsTable[GroupByKey]=ContinuousStatsTable[[#This Row],[GroupByKey]]),(ContinuousStatsTable[GroupByKey]=ContinuousStatsTable[[#This Row],[GroupByKey]])*ContinuousStatsTable[Average]))</f>
        <v>0</v>
      </c>
      <c r="T341" s="5" cm="1">
        <f t="array" ref="T341">MAX(IF((ContinuousStatsTable[GroupByKey]=ContinuousStatsTable[[#This Row],[GroupByKey]]),(ContinuousStatsTable[GroupByKey]=ContinuousStatsTable[[#This Row],[GroupByKey]])*ContinuousStatsTable[Average]))</f>
        <v>2.0447096127880302E-2</v>
      </c>
      <c r="U341" s="5">
        <f>IF((ContinuousStatsTable[[#This Row],[RepsRequested]]&gt;1),ContinuousStatsTable[[#This Row],[HalfWidth]],ContinuousStatsTable[[#This Row],[BatchMeansHalfWidth]])</f>
        <v>4.5851107367881972E-3</v>
      </c>
    </row>
    <row r="342" spans="1:21" x14ac:dyDescent="0.3">
      <c r="A342" t="s">
        <v>66</v>
      </c>
      <c r="B342" t="s">
        <v>68</v>
      </c>
      <c r="C342">
        <v>9</v>
      </c>
      <c r="D342" t="s">
        <v>95</v>
      </c>
      <c r="E342" t="s">
        <v>99</v>
      </c>
      <c r="F342" t="s">
        <v>71</v>
      </c>
      <c r="G342">
        <v>2.3196832034569499</v>
      </c>
      <c r="H342">
        <v>3E+20</v>
      </c>
      <c r="I342">
        <v>0</v>
      </c>
      <c r="J342">
        <v>18</v>
      </c>
      <c r="K342">
        <v>0</v>
      </c>
      <c r="L342">
        <v>0</v>
      </c>
      <c r="M342" s="5" t="str">
        <f>ContinuousStatsTable[[#This Row],[ProjectName]]&amp;ContinuousStatsTable[[#This Row],[Name]]&amp;ContinuousStatsTable[[#This Row],[Type]]&amp;ContinuousStatsTable[[#This Row],[Source]]</f>
        <v>Unnamed Projectmaquinainter.QueueNumber WaitingQueue</v>
      </c>
      <c r="N342" s="5" cm="1">
        <f t="array" ref="N342">MAX(IF((ProjectInfoTable[ProjectName]=ContinuousStatsTable[[#This Row],[ProjectName]]),(ProjectInfoTable[ProjectName]=ContinuousStatsTable[[#This Row],[ProjectName]])*ProjectInfoTable[NumberOfReplications]))</f>
        <v>10</v>
      </c>
      <c r="O342" s="5" cm="1">
        <f t="array" ref="O342">IFERROR(AVERAGE(IF((ContinuousStatsTable[GroupByKey]=ContinuousStatsTable[[#This Row],[GroupByKey]]),(ContinuousStatsTable[GroupByKey]=ContinuousStatsTable[[#This Row],[GroupByKey]])*ContinuousStatsTable[Average])),0)</f>
        <v>2.7250893633296323</v>
      </c>
      <c r="P342" s="5" cm="1">
        <f t="array" ref="P342">IFERROR(_xlfn.STDEV.S(IF((ContinuousStatsTable[GroupByKey]=ContinuousStatsTable[[#This Row],[GroupByKey]]),(ContinuousStatsTable[GroupByKey]=ContinuousStatsTable[[#This Row],[GroupByKey]])*ContinuousStatsTable[Average])),0)</f>
        <v>1.2704307292922721</v>
      </c>
      <c r="Q342" s="5" cm="1">
        <f t="array" ref="Q342">MAX(IF((ProjectInfoTable[ProjectName]=ContinuousStatsTable[[#This Row],[ProjectName]]),(ProjectInfoTable[ProjectName]=ContinuousStatsTable[[#This Row],[ProjectName]])*ProjectInfoTable[ConfidenceInterval]))</f>
        <v>0.95</v>
      </c>
      <c r="R3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0.90881139575657477</v>
      </c>
      <c r="S342" s="5" cm="1">
        <f t="array" ref="S342">MIN(IF((ContinuousStatsTable[GroupByKey]=ContinuousStatsTable[[#This Row],[GroupByKey]]),(ContinuousStatsTable[GroupByKey]=ContinuousStatsTable[[#This Row],[GroupByKey]])*ContinuousStatsTable[Average]))</f>
        <v>1.35760259855807</v>
      </c>
      <c r="T342" s="5" cm="1">
        <f t="array" ref="T342">MAX(IF((ContinuousStatsTable[GroupByKey]=ContinuousStatsTable[[#This Row],[GroupByKey]]),(ContinuousStatsTable[GroupByKey]=ContinuousStatsTable[[#This Row],[GroupByKey]])*ContinuousStatsTable[Average]))</f>
        <v>5.2621649076821404</v>
      </c>
      <c r="U342" s="5">
        <f>IF((ContinuousStatsTable[[#This Row],[RepsRequested]]&gt;1),ContinuousStatsTable[[#This Row],[HalfWidth]],ContinuousStatsTable[[#This Row],[BatchMeansHalfWidth]])</f>
        <v>0.90881139575657477</v>
      </c>
    </row>
    <row r="343" spans="1:21" x14ac:dyDescent="0.3">
      <c r="A343" t="s">
        <v>66</v>
      </c>
      <c r="B343" t="s">
        <v>68</v>
      </c>
      <c r="C343">
        <v>9</v>
      </c>
      <c r="D343" t="s">
        <v>96</v>
      </c>
      <c r="E343" t="s">
        <v>99</v>
      </c>
      <c r="F343" t="s">
        <v>71</v>
      </c>
      <c r="G343">
        <v>0.28694483715654301</v>
      </c>
      <c r="H343">
        <v>2E+20</v>
      </c>
      <c r="I343">
        <v>0</v>
      </c>
      <c r="J343">
        <v>8</v>
      </c>
      <c r="K343">
        <v>0</v>
      </c>
      <c r="L343">
        <v>0</v>
      </c>
      <c r="M343" s="5" t="str">
        <f>ContinuousStatsTable[[#This Row],[ProjectName]]&amp;ContinuousStatsTable[[#This Row],[Name]]&amp;ContinuousStatsTable[[#This Row],[Type]]&amp;ContinuousStatsTable[[#This Row],[Source]]</f>
        <v>Unnamed Projectmaquinanacional.QueueNumber WaitingQueue</v>
      </c>
      <c r="N343" s="5" cm="1">
        <f t="array" ref="N343">MAX(IF((ProjectInfoTable[ProjectName]=ContinuousStatsTable[[#This Row],[ProjectName]]),(ProjectInfoTable[ProjectName]=ContinuousStatsTable[[#This Row],[ProjectName]])*ProjectInfoTable[NumberOfReplications]))</f>
        <v>10</v>
      </c>
      <c r="O343" s="5" cm="1">
        <f t="array" ref="O343">IFERROR(AVERAGE(IF((ContinuousStatsTable[GroupByKey]=ContinuousStatsTable[[#This Row],[GroupByKey]]),(ContinuousStatsTable[GroupByKey]=ContinuousStatsTable[[#This Row],[GroupByKey]])*ContinuousStatsTable[Average])),0)</f>
        <v>0.20327393268399513</v>
      </c>
      <c r="P343" s="5" cm="1">
        <f t="array" ref="P343">IFERROR(_xlfn.STDEV.S(IF((ContinuousStatsTable[GroupByKey]=ContinuousStatsTable[[#This Row],[GroupByKey]]),(ContinuousStatsTable[GroupByKey]=ContinuousStatsTable[[#This Row],[GroupByKey]])*ContinuousStatsTable[Average])),0)</f>
        <v>5.4678802003311266E-2</v>
      </c>
      <c r="Q343" s="5" cm="1">
        <f t="array" ref="Q343">MAX(IF((ProjectInfoTable[ProjectName]=ContinuousStatsTable[[#This Row],[ProjectName]]),(ProjectInfoTable[ProjectName]=ContinuousStatsTable[[#This Row],[ProjectName]])*ProjectInfoTable[ConfidenceInterval]))</f>
        <v>0.95</v>
      </c>
      <c r="R3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3.9114858623271326E-2</v>
      </c>
      <c r="S343" s="5" cm="1">
        <f t="array" ref="S343">MIN(IF((ContinuousStatsTable[GroupByKey]=ContinuousStatsTable[[#This Row],[GroupByKey]]),(ContinuousStatsTable[GroupByKey]=ContinuousStatsTable[[#This Row],[GroupByKey]])*ContinuousStatsTable[Average]))</f>
        <v>9.7152989948067606E-2</v>
      </c>
      <c r="T343" s="5" cm="1">
        <f t="array" ref="T343">MAX(IF((ContinuousStatsTable[GroupByKey]=ContinuousStatsTable[[#This Row],[GroupByKey]]),(ContinuousStatsTable[GroupByKey]=ContinuousStatsTable[[#This Row],[GroupByKey]])*ContinuousStatsTable[Average]))</f>
        <v>0.28694483715654301</v>
      </c>
      <c r="U343" s="5">
        <f>IF((ContinuousStatsTable[[#This Row],[RepsRequested]]&gt;1),ContinuousStatsTable[[#This Row],[HalfWidth]],ContinuousStatsTable[[#This Row],[BatchMeansHalfWidth]])</f>
        <v>3.9114858623271326E-2</v>
      </c>
    </row>
    <row r="344" spans="1:21" x14ac:dyDescent="0.3">
      <c r="A344" t="s">
        <v>66</v>
      </c>
      <c r="B344" t="s">
        <v>68</v>
      </c>
      <c r="C344">
        <v>9</v>
      </c>
      <c r="D344" t="s">
        <v>97</v>
      </c>
      <c r="E344" t="s">
        <v>99</v>
      </c>
      <c r="F344" t="s">
        <v>71</v>
      </c>
      <c r="G344">
        <v>0.381680898629085</v>
      </c>
      <c r="H344">
        <v>2E+20</v>
      </c>
      <c r="I344">
        <v>0</v>
      </c>
      <c r="J344">
        <v>4</v>
      </c>
      <c r="K344">
        <v>0</v>
      </c>
      <c r="L344">
        <v>0</v>
      </c>
      <c r="M344" s="5" t="str">
        <f>ContinuousStatsTable[[#This Row],[ProjectName]]&amp;ContinuousStatsTable[[#This Row],[Name]]&amp;ContinuousStatsTable[[#This Row],[Type]]&amp;ContinuousStatsTable[[#This Row],[Source]]</f>
        <v>Unnamed Projectmostrador1.QueueNumber WaitingQueue</v>
      </c>
      <c r="N344" s="5" cm="1">
        <f t="array" ref="N344">MAX(IF((ProjectInfoTable[ProjectName]=ContinuousStatsTable[[#This Row],[ProjectName]]),(ProjectInfoTable[ProjectName]=ContinuousStatsTable[[#This Row],[ProjectName]])*ProjectInfoTable[NumberOfReplications]))</f>
        <v>10</v>
      </c>
      <c r="O344" s="5" cm="1">
        <f t="array" ref="O344">IFERROR(AVERAGE(IF((ContinuousStatsTable[GroupByKey]=ContinuousStatsTable[[#This Row],[GroupByKey]]),(ContinuousStatsTable[GroupByKey]=ContinuousStatsTable[[#This Row],[GroupByKey]])*ContinuousStatsTable[Average])),0)</f>
        <v>0.25365601436241814</v>
      </c>
      <c r="P344" s="5" cm="1">
        <f t="array" ref="P344">IFERROR(_xlfn.STDEV.S(IF((ContinuousStatsTable[GroupByKey]=ContinuousStatsTable[[#This Row],[GroupByKey]]),(ContinuousStatsTable[GroupByKey]=ContinuousStatsTable[[#This Row],[GroupByKey]])*ContinuousStatsTable[Average])),0)</f>
        <v>9.7306237195948719E-2</v>
      </c>
      <c r="Q344" s="5" cm="1">
        <f t="array" ref="Q344">MAX(IF((ProjectInfoTable[ProjectName]=ContinuousStatsTable[[#This Row],[ProjectName]]),(ProjectInfoTable[ProjectName]=ContinuousStatsTable[[#This Row],[ProjectName]])*ProjectInfoTable[ConfidenceInterval]))</f>
        <v>0.95</v>
      </c>
      <c r="R3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6.9608688772141478E-2</v>
      </c>
      <c r="S344" s="5" cm="1">
        <f t="array" ref="S344">MIN(IF((ContinuousStatsTable[GroupByKey]=ContinuousStatsTable[[#This Row],[GroupByKey]]),(ContinuousStatsTable[GroupByKey]=ContinuousStatsTable[[#This Row],[GroupByKey]])*ContinuousStatsTable[Average]))</f>
        <v>0.124078487063659</v>
      </c>
      <c r="T344" s="5" cm="1">
        <f t="array" ref="T344">MAX(IF((ContinuousStatsTable[GroupByKey]=ContinuousStatsTable[[#This Row],[GroupByKey]]),(ContinuousStatsTable[GroupByKey]=ContinuousStatsTable[[#This Row],[GroupByKey]])*ContinuousStatsTable[Average]))</f>
        <v>0.381680898629085</v>
      </c>
      <c r="U344" s="5">
        <f>IF((ContinuousStatsTable[[#This Row],[RepsRequested]]&gt;1),ContinuousStatsTable[[#This Row],[HalfWidth]],ContinuousStatsTable[[#This Row],[BatchMeansHalfWidth]])</f>
        <v>6.9608688772141478E-2</v>
      </c>
    </row>
    <row r="345" spans="1:21" x14ac:dyDescent="0.3">
      <c r="A345" t="s">
        <v>66</v>
      </c>
      <c r="B345" t="s">
        <v>68</v>
      </c>
      <c r="C345">
        <v>9</v>
      </c>
      <c r="D345" t="s">
        <v>98</v>
      </c>
      <c r="E345" t="s">
        <v>99</v>
      </c>
      <c r="F345" t="s">
        <v>71</v>
      </c>
      <c r="G345">
        <v>0.74281217456090598</v>
      </c>
      <c r="H345">
        <v>2E+20</v>
      </c>
      <c r="I345">
        <v>0</v>
      </c>
      <c r="J345">
        <v>4</v>
      </c>
      <c r="K345">
        <v>0</v>
      </c>
      <c r="L345">
        <v>0</v>
      </c>
      <c r="M345" s="5" t="str">
        <f>ContinuousStatsTable[[#This Row],[ProjectName]]&amp;ContinuousStatsTable[[#This Row],[Name]]&amp;ContinuousStatsTable[[#This Row],[Type]]&amp;ContinuousStatsTable[[#This Row],[Source]]</f>
        <v>Unnamed Projectmostrador2.QueueNumber WaitingQueue</v>
      </c>
      <c r="N345" s="5" cm="1">
        <f t="array" ref="N345">MAX(IF((ProjectInfoTable[ProjectName]=ContinuousStatsTable[[#This Row],[ProjectName]]),(ProjectInfoTable[ProjectName]=ContinuousStatsTable[[#This Row],[ProjectName]])*ProjectInfoTable[NumberOfReplications]))</f>
        <v>10</v>
      </c>
      <c r="O345" s="5" cm="1">
        <f t="array" ref="O345">IFERROR(AVERAGE(IF((ContinuousStatsTable[GroupByKey]=ContinuousStatsTable[[#This Row],[GroupByKey]]),(ContinuousStatsTable[GroupByKey]=ContinuousStatsTable[[#This Row],[GroupByKey]])*ContinuousStatsTable[Average])),0)</f>
        <v>0.56854078919795403</v>
      </c>
      <c r="P345" s="5" cm="1">
        <f t="array" ref="P345">IFERROR(_xlfn.STDEV.S(IF((ContinuousStatsTable[GroupByKey]=ContinuousStatsTable[[#This Row],[GroupByKey]]),(ContinuousStatsTable[GroupByKey]=ContinuousStatsTable[[#This Row],[GroupByKey]])*ContinuousStatsTable[Average])),0)</f>
        <v>9.5876381195630939E-2</v>
      </c>
      <c r="Q345" s="5" cm="1">
        <f t="array" ref="Q345">MAX(IF((ProjectInfoTable[ProjectName]=ContinuousStatsTable[[#This Row],[ProjectName]]),(ProjectInfoTable[ProjectName]=ContinuousStatsTable[[#This Row],[ProjectName]])*ProjectInfoTable[ConfidenceInterval]))</f>
        <v>0.95</v>
      </c>
      <c r="R3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6.8585831407770567E-2</v>
      </c>
      <c r="S345" s="5" cm="1">
        <f t="array" ref="S345">MIN(IF((ContinuousStatsTable[GroupByKey]=ContinuousStatsTable[[#This Row],[GroupByKey]]),(ContinuousStatsTable[GroupByKey]=ContinuousStatsTable[[#This Row],[GroupByKey]])*ContinuousStatsTable[Average]))</f>
        <v>0.461258283509344</v>
      </c>
      <c r="T345" s="5" cm="1">
        <f t="array" ref="T345">MAX(IF((ContinuousStatsTable[GroupByKey]=ContinuousStatsTable[[#This Row],[GroupByKey]]),(ContinuousStatsTable[GroupByKey]=ContinuousStatsTable[[#This Row],[GroupByKey]])*ContinuousStatsTable[Average]))</f>
        <v>0.74281217456090598</v>
      </c>
      <c r="U345" s="5">
        <f>IF((ContinuousStatsTable[[#This Row],[RepsRequested]]&gt;1),ContinuousStatsTable[[#This Row],[HalfWidth]],ContinuousStatsTable[[#This Row],[BatchMeansHalfWidth]])</f>
        <v>6.8585831407770567E-2</v>
      </c>
    </row>
    <row r="346" spans="1:21" x14ac:dyDescent="0.3">
      <c r="A346" t="s">
        <v>66</v>
      </c>
      <c r="B346" t="s">
        <v>68</v>
      </c>
      <c r="C346">
        <v>9</v>
      </c>
      <c r="D346" t="s">
        <v>110</v>
      </c>
      <c r="E346" t="s">
        <v>100</v>
      </c>
      <c r="F346" t="s">
        <v>74</v>
      </c>
      <c r="G346">
        <v>0</v>
      </c>
      <c r="H346">
        <v>2E+20</v>
      </c>
      <c r="I346">
        <v>0</v>
      </c>
      <c r="J346">
        <v>0</v>
      </c>
      <c r="K346">
        <v>0</v>
      </c>
      <c r="L346">
        <v>0</v>
      </c>
      <c r="M346" s="5" t="str">
        <f>ContinuousStatsTable[[#This Row],[ProjectName]]&amp;ContinuousStatsTable[[#This Row],[Name]]&amp;ContinuousStatsTable[[#This Row],[Type]]&amp;ContinuousStatsTable[[#This Row],[Source]]</f>
        <v>Unnamed ProjectpersonaWIPEntity</v>
      </c>
      <c r="N346" s="5" cm="1">
        <f t="array" ref="N346">MAX(IF((ProjectInfoTable[ProjectName]=ContinuousStatsTable[[#This Row],[ProjectName]]),(ProjectInfoTable[ProjectName]=ContinuousStatsTable[[#This Row],[ProjectName]])*ProjectInfoTable[NumberOfReplications]))</f>
        <v>10</v>
      </c>
      <c r="O346" s="5" cm="1">
        <f t="array" ref="O346">IFERROR(AVERAGE(IF((ContinuousStatsTable[GroupByKey]=ContinuousStatsTable[[#This Row],[GroupByKey]]),(ContinuousStatsTable[GroupByKey]=ContinuousStatsTable[[#This Row],[GroupByKey]])*ContinuousStatsTable[Average])),0)</f>
        <v>0</v>
      </c>
      <c r="P346" s="5" cm="1">
        <f t="array" ref="P346">IFERROR(_xlfn.STDEV.S(IF((ContinuousStatsTable[GroupByKey]=ContinuousStatsTable[[#This Row],[GroupByKey]]),(ContinuousStatsTable[GroupByKey]=ContinuousStatsTable[[#This Row],[GroupByKey]])*ContinuousStatsTable[Average])),0)</f>
        <v>0</v>
      </c>
      <c r="Q346" s="5" cm="1">
        <f t="array" ref="Q346">MAX(IF((ProjectInfoTable[ProjectName]=ContinuousStatsTable[[#This Row],[ProjectName]]),(ProjectInfoTable[ProjectName]=ContinuousStatsTable[[#This Row],[ProjectName]])*ProjectInfoTable[ConfidenceInterval]))</f>
        <v>0.95</v>
      </c>
      <c r="R3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6" s="5" cm="1">
        <f t="array" ref="S346">MIN(IF((ContinuousStatsTable[GroupByKey]=ContinuousStatsTable[[#This Row],[GroupByKey]]),(ContinuousStatsTable[GroupByKey]=ContinuousStatsTable[[#This Row],[GroupByKey]])*ContinuousStatsTable[Average]))</f>
        <v>0</v>
      </c>
      <c r="T346" s="5" cm="1">
        <f t="array" ref="T346">MAX(IF((ContinuousStatsTable[GroupByKey]=ContinuousStatsTable[[#This Row],[GroupByKey]]),(ContinuousStatsTable[GroupByKey]=ContinuousStatsTable[[#This Row],[GroupByKey]])*ContinuousStatsTable[Average]))</f>
        <v>0</v>
      </c>
      <c r="U346" s="5">
        <f>IF((ContinuousStatsTable[[#This Row],[RepsRequested]]&gt;1),ContinuousStatsTable[[#This Row],[HalfWidth]],ContinuousStatsTable[[#This Row],[BatchMeansHalfWidth]])</f>
        <v>0</v>
      </c>
    </row>
    <row r="347" spans="1:21" x14ac:dyDescent="0.3">
      <c r="A347" t="s">
        <v>66</v>
      </c>
      <c r="B347" t="s">
        <v>68</v>
      </c>
      <c r="C347">
        <v>9</v>
      </c>
      <c r="D347" t="s">
        <v>111</v>
      </c>
      <c r="E347" t="s">
        <v>102</v>
      </c>
      <c r="F347" t="s">
        <v>103</v>
      </c>
      <c r="G347">
        <v>7.8075040205248206E-2</v>
      </c>
      <c r="H347">
        <v>2E+20</v>
      </c>
      <c r="I347">
        <v>0</v>
      </c>
      <c r="J347">
        <v>1</v>
      </c>
      <c r="K347">
        <v>0</v>
      </c>
      <c r="L347">
        <v>0</v>
      </c>
      <c r="M347" s="5" t="str">
        <f>ContinuousStatsTable[[#This Row],[ProjectName]]&amp;ContinuousStatsTable[[#This Row],[Name]]&amp;ContinuousStatsTable[[#This Row],[Type]]&amp;ContinuousStatsTable[[#This Row],[Source]]</f>
        <v>Unnamed Projectregistro1Instantaneous UtilizationResource</v>
      </c>
      <c r="N347" s="5" cm="1">
        <f t="array" ref="N347">MAX(IF((ProjectInfoTable[ProjectName]=ContinuousStatsTable[[#This Row],[ProjectName]]),(ProjectInfoTable[ProjectName]=ContinuousStatsTable[[#This Row],[ProjectName]])*ProjectInfoTable[NumberOfReplications]))</f>
        <v>10</v>
      </c>
      <c r="O347" s="5" cm="1">
        <f t="array" ref="O347">IFERROR(AVERAGE(IF((ContinuousStatsTable[GroupByKey]=ContinuousStatsTable[[#This Row],[GroupByKey]]),(ContinuousStatsTable[GroupByKey]=ContinuousStatsTable[[#This Row],[GroupByKey]])*ContinuousStatsTable[Average])),0)</f>
        <v>5.6433247648491516E-2</v>
      </c>
      <c r="P347" s="5" cm="1">
        <f t="array" ref="P347">IFERROR(_xlfn.STDEV.S(IF((ContinuousStatsTable[GroupByKey]=ContinuousStatsTable[[#This Row],[GroupByKey]]),(ContinuousStatsTable[GroupByKey]=ContinuousStatsTable[[#This Row],[GroupByKey]])*ContinuousStatsTable[Average])),0)</f>
        <v>2.4456082934732001E-2</v>
      </c>
      <c r="Q347" s="5" cm="1">
        <f t="array" ref="Q347">MAX(IF((ProjectInfoTable[ProjectName]=ContinuousStatsTable[[#This Row],[ProjectName]]),(ProjectInfoTable[ProjectName]=ContinuousStatsTable[[#This Row],[ProjectName]])*ProjectInfoTable[ConfidenceInterval]))</f>
        <v>0.95</v>
      </c>
      <c r="R3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1.7494827820351853E-2</v>
      </c>
      <c r="S347" s="5" cm="1">
        <f t="array" ref="S347">MIN(IF((ContinuousStatsTable[GroupByKey]=ContinuousStatsTable[[#This Row],[GroupByKey]]),(ContinuousStatsTable[GroupByKey]=ContinuousStatsTable[[#This Row],[GroupByKey]])*ContinuousStatsTable[Average]))</f>
        <v>2.1279401430778E-2</v>
      </c>
      <c r="T347" s="5" cm="1">
        <f t="array" ref="T347">MAX(IF((ContinuousStatsTable[GroupByKey]=ContinuousStatsTable[[#This Row],[GroupByKey]]),(ContinuousStatsTable[GroupByKey]=ContinuousStatsTable[[#This Row],[GroupByKey]])*ContinuousStatsTable[Average]))</f>
        <v>8.8472374570180701E-2</v>
      </c>
      <c r="U347" s="5">
        <f>IF((ContinuousStatsTable[[#This Row],[RepsRequested]]&gt;1),ContinuousStatsTable[[#This Row],[HalfWidth]],ContinuousStatsTable[[#This Row],[BatchMeansHalfWidth]])</f>
        <v>1.7494827820351853E-2</v>
      </c>
    </row>
    <row r="348" spans="1:21" x14ac:dyDescent="0.3">
      <c r="A348" t="s">
        <v>66</v>
      </c>
      <c r="B348" t="s">
        <v>68</v>
      </c>
      <c r="C348">
        <v>9</v>
      </c>
      <c r="D348" t="s">
        <v>111</v>
      </c>
      <c r="E348" t="s">
        <v>104</v>
      </c>
      <c r="F348" t="s">
        <v>103</v>
      </c>
      <c r="G348">
        <v>7.8075040205248206E-2</v>
      </c>
      <c r="H348">
        <v>2E+20</v>
      </c>
      <c r="I348">
        <v>0</v>
      </c>
      <c r="J348">
        <v>1</v>
      </c>
      <c r="K348">
        <v>0</v>
      </c>
      <c r="L348">
        <v>0</v>
      </c>
      <c r="M348" s="5" t="str">
        <f>ContinuousStatsTable[[#This Row],[ProjectName]]&amp;ContinuousStatsTable[[#This Row],[Name]]&amp;ContinuousStatsTable[[#This Row],[Type]]&amp;ContinuousStatsTable[[#This Row],[Source]]</f>
        <v>Unnamed Projectregistro1Number BusyResource</v>
      </c>
      <c r="N348" s="5" cm="1">
        <f t="array" ref="N348">MAX(IF((ProjectInfoTable[ProjectName]=ContinuousStatsTable[[#This Row],[ProjectName]]),(ProjectInfoTable[ProjectName]=ContinuousStatsTable[[#This Row],[ProjectName]])*ProjectInfoTable[NumberOfReplications]))</f>
        <v>10</v>
      </c>
      <c r="O348" s="5" cm="1">
        <f t="array" ref="O348">IFERROR(AVERAGE(IF((ContinuousStatsTable[GroupByKey]=ContinuousStatsTable[[#This Row],[GroupByKey]]),(ContinuousStatsTable[GroupByKey]=ContinuousStatsTable[[#This Row],[GroupByKey]])*ContinuousStatsTable[Average])),0)</f>
        <v>5.6433247648491516E-2</v>
      </c>
      <c r="P348" s="5" cm="1">
        <f t="array" ref="P348">IFERROR(_xlfn.STDEV.S(IF((ContinuousStatsTable[GroupByKey]=ContinuousStatsTable[[#This Row],[GroupByKey]]),(ContinuousStatsTable[GroupByKey]=ContinuousStatsTable[[#This Row],[GroupByKey]])*ContinuousStatsTable[Average])),0)</f>
        <v>2.4456082934732001E-2</v>
      </c>
      <c r="Q348" s="5" cm="1">
        <f t="array" ref="Q348">MAX(IF((ProjectInfoTable[ProjectName]=ContinuousStatsTable[[#This Row],[ProjectName]]),(ProjectInfoTable[ProjectName]=ContinuousStatsTable[[#This Row],[ProjectName]])*ProjectInfoTable[ConfidenceInterval]))</f>
        <v>0.95</v>
      </c>
      <c r="R3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1.7494827820351853E-2</v>
      </c>
      <c r="S348" s="5" cm="1">
        <f t="array" ref="S348">MIN(IF((ContinuousStatsTable[GroupByKey]=ContinuousStatsTable[[#This Row],[GroupByKey]]),(ContinuousStatsTable[GroupByKey]=ContinuousStatsTable[[#This Row],[GroupByKey]])*ContinuousStatsTable[Average]))</f>
        <v>2.1279401430778E-2</v>
      </c>
      <c r="T348" s="5" cm="1">
        <f t="array" ref="T348">MAX(IF((ContinuousStatsTable[GroupByKey]=ContinuousStatsTable[[#This Row],[GroupByKey]]),(ContinuousStatsTable[GroupByKey]=ContinuousStatsTable[[#This Row],[GroupByKey]])*ContinuousStatsTable[Average]))</f>
        <v>8.8472374570180701E-2</v>
      </c>
      <c r="U348" s="5">
        <f>IF((ContinuousStatsTable[[#This Row],[RepsRequested]]&gt;1),ContinuousStatsTable[[#This Row],[HalfWidth]],ContinuousStatsTable[[#This Row],[BatchMeansHalfWidth]])</f>
        <v>1.7494827820351853E-2</v>
      </c>
    </row>
    <row r="349" spans="1:21" x14ac:dyDescent="0.3">
      <c r="A349" t="s">
        <v>66</v>
      </c>
      <c r="B349" t="s">
        <v>68</v>
      </c>
      <c r="C349">
        <v>9</v>
      </c>
      <c r="D349" t="s">
        <v>111</v>
      </c>
      <c r="E349" t="s">
        <v>105</v>
      </c>
      <c r="F349" t="s">
        <v>103</v>
      </c>
      <c r="G349">
        <v>1</v>
      </c>
      <c r="H349">
        <v>2E+20</v>
      </c>
      <c r="I349">
        <v>1</v>
      </c>
      <c r="J349">
        <v>1</v>
      </c>
      <c r="K349">
        <v>1</v>
      </c>
      <c r="L349">
        <v>0</v>
      </c>
      <c r="M349" s="5" t="str">
        <f>ContinuousStatsTable[[#This Row],[ProjectName]]&amp;ContinuousStatsTable[[#This Row],[Name]]&amp;ContinuousStatsTable[[#This Row],[Type]]&amp;ContinuousStatsTable[[#This Row],[Source]]</f>
        <v>Unnamed Projectregistro1Number ScheduledResource</v>
      </c>
      <c r="N349" s="5" cm="1">
        <f t="array" ref="N349">MAX(IF((ProjectInfoTable[ProjectName]=ContinuousStatsTable[[#This Row],[ProjectName]]),(ProjectInfoTable[ProjectName]=ContinuousStatsTable[[#This Row],[ProjectName]])*ProjectInfoTable[NumberOfReplications]))</f>
        <v>10</v>
      </c>
      <c r="O349" s="5" cm="1">
        <f t="array" ref="O349">IFERROR(AVERAGE(IF((ContinuousStatsTable[GroupByKey]=ContinuousStatsTable[[#This Row],[GroupByKey]]),(ContinuousStatsTable[GroupByKey]=ContinuousStatsTable[[#This Row],[GroupByKey]])*ContinuousStatsTable[Average])),0)</f>
        <v>1</v>
      </c>
      <c r="P349" s="5" cm="1">
        <f t="array" ref="P349">IFERROR(_xlfn.STDEV.S(IF((ContinuousStatsTable[GroupByKey]=ContinuousStatsTable[[#This Row],[GroupByKey]]),(ContinuousStatsTable[GroupByKey]=ContinuousStatsTable[[#This Row],[GroupByKey]])*ContinuousStatsTable[Average])),0)</f>
        <v>0</v>
      </c>
      <c r="Q349" s="5" cm="1">
        <f t="array" ref="Q349">MAX(IF((ProjectInfoTable[ProjectName]=ContinuousStatsTable[[#This Row],[ProjectName]]),(ProjectInfoTable[ProjectName]=ContinuousStatsTable[[#This Row],[ProjectName]])*ProjectInfoTable[ConfidenceInterval]))</f>
        <v>0.95</v>
      </c>
      <c r="R3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9" s="5" cm="1">
        <f t="array" ref="S349">MIN(IF((ContinuousStatsTable[GroupByKey]=ContinuousStatsTable[[#This Row],[GroupByKey]]),(ContinuousStatsTable[GroupByKey]=ContinuousStatsTable[[#This Row],[GroupByKey]])*ContinuousStatsTable[Average]))</f>
        <v>1</v>
      </c>
      <c r="T349" s="5" cm="1">
        <f t="array" ref="T349">MAX(IF((ContinuousStatsTable[GroupByKey]=ContinuousStatsTable[[#This Row],[GroupByKey]]),(ContinuousStatsTable[GroupByKey]=ContinuousStatsTable[[#This Row],[GroupByKey]])*ContinuousStatsTable[Average]))</f>
        <v>1</v>
      </c>
      <c r="U349" s="5">
        <f>IF((ContinuousStatsTable[[#This Row],[RepsRequested]]&gt;1),ContinuousStatsTable[[#This Row],[HalfWidth]],ContinuousStatsTable[[#This Row],[BatchMeansHalfWidth]])</f>
        <v>0</v>
      </c>
    </row>
    <row r="350" spans="1:21" x14ac:dyDescent="0.3">
      <c r="A350" t="s">
        <v>66</v>
      </c>
      <c r="B350" t="s">
        <v>68</v>
      </c>
      <c r="C350">
        <v>9</v>
      </c>
      <c r="D350" t="s">
        <v>112</v>
      </c>
      <c r="E350" t="s">
        <v>102</v>
      </c>
      <c r="F350" t="s">
        <v>103</v>
      </c>
      <c r="G350">
        <v>0.41357084506186798</v>
      </c>
      <c r="H350">
        <v>2E+20</v>
      </c>
      <c r="I350">
        <v>0</v>
      </c>
      <c r="J350">
        <v>1</v>
      </c>
      <c r="K350">
        <v>0</v>
      </c>
      <c r="L350">
        <v>0</v>
      </c>
      <c r="M350" s="5" t="str">
        <f>ContinuousStatsTable[[#This Row],[ProjectName]]&amp;ContinuousStatsTable[[#This Row],[Name]]&amp;ContinuousStatsTable[[#This Row],[Type]]&amp;ContinuousStatsTable[[#This Row],[Source]]</f>
        <v>Unnamed Projectregistro2Instantaneous UtilizationResource</v>
      </c>
      <c r="N350" s="5" cm="1">
        <f t="array" ref="N350">MAX(IF((ProjectInfoTable[ProjectName]=ContinuousStatsTable[[#This Row],[ProjectName]]),(ProjectInfoTable[ProjectName]=ContinuousStatsTable[[#This Row],[ProjectName]])*ProjectInfoTable[NumberOfReplications]))</f>
        <v>10</v>
      </c>
      <c r="O350" s="5" cm="1">
        <f t="array" ref="O350">IFERROR(AVERAGE(IF((ContinuousStatsTable[GroupByKey]=ContinuousStatsTable[[#This Row],[GroupByKey]]),(ContinuousStatsTable[GroupByKey]=ContinuousStatsTable[[#This Row],[GroupByKey]])*ContinuousStatsTable[Average])),0)</f>
        <v>0.46274808587050231</v>
      </c>
      <c r="P350" s="5" cm="1">
        <f t="array" ref="P350">IFERROR(_xlfn.STDEV.S(IF((ContinuousStatsTable[GroupByKey]=ContinuousStatsTable[[#This Row],[GroupByKey]]),(ContinuousStatsTable[GroupByKey]=ContinuousStatsTable[[#This Row],[GroupByKey]])*ContinuousStatsTable[Average])),0)</f>
        <v>9.1165192054027525E-2</v>
      </c>
      <c r="Q350" s="5" cm="1">
        <f t="array" ref="Q350">MAX(IF((ProjectInfoTable[ProjectName]=ContinuousStatsTable[[#This Row],[ProjectName]]),(ProjectInfoTable[ProjectName]=ContinuousStatsTable[[#This Row],[ProjectName]])*ProjectInfoTable[ConfidenceInterval]))</f>
        <v>0.95</v>
      </c>
      <c r="R3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6.5215649719990554E-2</v>
      </c>
      <c r="S350" s="5" cm="1">
        <f t="array" ref="S350">MIN(IF((ContinuousStatsTable[GroupByKey]=ContinuousStatsTable[[#This Row],[GroupByKey]]),(ContinuousStatsTable[GroupByKey]=ContinuousStatsTable[[#This Row],[GroupByKey]])*ContinuousStatsTable[Average]))</f>
        <v>0.338210899349628</v>
      </c>
      <c r="T350" s="5" cm="1">
        <f t="array" ref="T350">MAX(IF((ContinuousStatsTable[GroupByKey]=ContinuousStatsTable[[#This Row],[GroupByKey]]),(ContinuousStatsTable[GroupByKey]=ContinuousStatsTable[[#This Row],[GroupByKey]])*ContinuousStatsTable[Average]))</f>
        <v>0.66990172486561195</v>
      </c>
      <c r="U350" s="5">
        <f>IF((ContinuousStatsTable[[#This Row],[RepsRequested]]&gt;1),ContinuousStatsTable[[#This Row],[HalfWidth]],ContinuousStatsTable[[#This Row],[BatchMeansHalfWidth]])</f>
        <v>6.5215649719990554E-2</v>
      </c>
    </row>
    <row r="351" spans="1:21" x14ac:dyDescent="0.3">
      <c r="A351" t="s">
        <v>66</v>
      </c>
      <c r="B351" t="s">
        <v>68</v>
      </c>
      <c r="C351">
        <v>9</v>
      </c>
      <c r="D351" t="s">
        <v>112</v>
      </c>
      <c r="E351" t="s">
        <v>104</v>
      </c>
      <c r="F351" t="s">
        <v>103</v>
      </c>
      <c r="G351">
        <v>0.41357084506186798</v>
      </c>
      <c r="H351">
        <v>2E+20</v>
      </c>
      <c r="I351">
        <v>0</v>
      </c>
      <c r="J351">
        <v>1</v>
      </c>
      <c r="K351">
        <v>0</v>
      </c>
      <c r="L351">
        <v>0</v>
      </c>
      <c r="M351" s="5" t="str">
        <f>ContinuousStatsTable[[#This Row],[ProjectName]]&amp;ContinuousStatsTable[[#This Row],[Name]]&amp;ContinuousStatsTable[[#This Row],[Type]]&amp;ContinuousStatsTable[[#This Row],[Source]]</f>
        <v>Unnamed Projectregistro2Number BusyResource</v>
      </c>
      <c r="N351" s="5" cm="1">
        <f t="array" ref="N351">MAX(IF((ProjectInfoTable[ProjectName]=ContinuousStatsTable[[#This Row],[ProjectName]]),(ProjectInfoTable[ProjectName]=ContinuousStatsTable[[#This Row],[ProjectName]])*ProjectInfoTable[NumberOfReplications]))</f>
        <v>10</v>
      </c>
      <c r="O351" s="5" cm="1">
        <f t="array" ref="O351">IFERROR(AVERAGE(IF((ContinuousStatsTable[GroupByKey]=ContinuousStatsTable[[#This Row],[GroupByKey]]),(ContinuousStatsTable[GroupByKey]=ContinuousStatsTable[[#This Row],[GroupByKey]])*ContinuousStatsTable[Average])),0)</f>
        <v>0.46274808587050231</v>
      </c>
      <c r="P351" s="5" cm="1">
        <f t="array" ref="P351">IFERROR(_xlfn.STDEV.S(IF((ContinuousStatsTable[GroupByKey]=ContinuousStatsTable[[#This Row],[GroupByKey]]),(ContinuousStatsTable[GroupByKey]=ContinuousStatsTable[[#This Row],[GroupByKey]])*ContinuousStatsTable[Average])),0)</f>
        <v>9.1165192054027525E-2</v>
      </c>
      <c r="Q351" s="5" cm="1">
        <f t="array" ref="Q351">MAX(IF((ProjectInfoTable[ProjectName]=ContinuousStatsTable[[#This Row],[ProjectName]]),(ProjectInfoTable[ProjectName]=ContinuousStatsTable[[#This Row],[ProjectName]])*ProjectInfoTable[ConfidenceInterval]))</f>
        <v>0.95</v>
      </c>
      <c r="R3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6.5215649719990554E-2</v>
      </c>
      <c r="S351" s="5" cm="1">
        <f t="array" ref="S351">MIN(IF((ContinuousStatsTable[GroupByKey]=ContinuousStatsTable[[#This Row],[GroupByKey]]),(ContinuousStatsTable[GroupByKey]=ContinuousStatsTable[[#This Row],[GroupByKey]])*ContinuousStatsTable[Average]))</f>
        <v>0.338210899349628</v>
      </c>
      <c r="T351" s="5" cm="1">
        <f t="array" ref="T351">MAX(IF((ContinuousStatsTable[GroupByKey]=ContinuousStatsTable[[#This Row],[GroupByKey]]),(ContinuousStatsTable[GroupByKey]=ContinuousStatsTable[[#This Row],[GroupByKey]])*ContinuousStatsTable[Average]))</f>
        <v>0.66990172486561195</v>
      </c>
      <c r="U351" s="5">
        <f>IF((ContinuousStatsTable[[#This Row],[RepsRequested]]&gt;1),ContinuousStatsTable[[#This Row],[HalfWidth]],ContinuousStatsTable[[#This Row],[BatchMeansHalfWidth]])</f>
        <v>6.5215649719990554E-2</v>
      </c>
    </row>
    <row r="352" spans="1:21" x14ac:dyDescent="0.3">
      <c r="A352" t="s">
        <v>66</v>
      </c>
      <c r="B352" t="s">
        <v>68</v>
      </c>
      <c r="C352">
        <v>9</v>
      </c>
      <c r="D352" t="s">
        <v>112</v>
      </c>
      <c r="E352" t="s">
        <v>105</v>
      </c>
      <c r="F352" t="s">
        <v>103</v>
      </c>
      <c r="G352">
        <v>1</v>
      </c>
      <c r="H352">
        <v>2E+20</v>
      </c>
      <c r="I352">
        <v>1</v>
      </c>
      <c r="J352">
        <v>1</v>
      </c>
      <c r="K352">
        <v>1</v>
      </c>
      <c r="L352">
        <v>0</v>
      </c>
      <c r="M352" s="5" t="str">
        <f>ContinuousStatsTable[[#This Row],[ProjectName]]&amp;ContinuousStatsTable[[#This Row],[Name]]&amp;ContinuousStatsTable[[#This Row],[Type]]&amp;ContinuousStatsTable[[#This Row],[Source]]</f>
        <v>Unnamed Projectregistro2Number ScheduledResource</v>
      </c>
      <c r="N352" s="5" cm="1">
        <f t="array" ref="N352">MAX(IF((ProjectInfoTable[ProjectName]=ContinuousStatsTable[[#This Row],[ProjectName]]),(ProjectInfoTable[ProjectName]=ContinuousStatsTable[[#This Row],[ProjectName]])*ProjectInfoTable[NumberOfReplications]))</f>
        <v>10</v>
      </c>
      <c r="O352" s="5" cm="1">
        <f t="array" ref="O352">IFERROR(AVERAGE(IF((ContinuousStatsTable[GroupByKey]=ContinuousStatsTable[[#This Row],[GroupByKey]]),(ContinuousStatsTable[GroupByKey]=ContinuousStatsTable[[#This Row],[GroupByKey]])*ContinuousStatsTable[Average])),0)</f>
        <v>1</v>
      </c>
      <c r="P352" s="5" cm="1">
        <f t="array" ref="P352">IFERROR(_xlfn.STDEV.S(IF((ContinuousStatsTable[GroupByKey]=ContinuousStatsTable[[#This Row],[GroupByKey]]),(ContinuousStatsTable[GroupByKey]=ContinuousStatsTable[[#This Row],[GroupByKey]])*ContinuousStatsTable[Average])),0)</f>
        <v>0</v>
      </c>
      <c r="Q352" s="5" cm="1">
        <f t="array" ref="Q352">MAX(IF((ProjectInfoTable[ProjectName]=ContinuousStatsTable[[#This Row],[ProjectName]]),(ProjectInfoTable[ProjectName]=ContinuousStatsTable[[#This Row],[ProjectName]])*ProjectInfoTable[ConfidenceInterval]))</f>
        <v>0.95</v>
      </c>
      <c r="R3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2" s="5" cm="1">
        <f t="array" ref="S352">MIN(IF((ContinuousStatsTable[GroupByKey]=ContinuousStatsTable[[#This Row],[GroupByKey]]),(ContinuousStatsTable[GroupByKey]=ContinuousStatsTable[[#This Row],[GroupByKey]])*ContinuousStatsTable[Average]))</f>
        <v>1</v>
      </c>
      <c r="T352" s="5" cm="1">
        <f t="array" ref="T352">MAX(IF((ContinuousStatsTable[GroupByKey]=ContinuousStatsTable[[#This Row],[GroupByKey]]),(ContinuousStatsTable[GroupByKey]=ContinuousStatsTable[[#This Row],[GroupByKey]])*ContinuousStatsTable[Average]))</f>
        <v>1</v>
      </c>
      <c r="U352" s="5">
        <f>IF((ContinuousStatsTable[[#This Row],[RepsRequested]]&gt;1),ContinuousStatsTable[[#This Row],[HalfWidth]],ContinuousStatsTable[[#This Row],[BatchMeansHalfWidth]])</f>
        <v>0</v>
      </c>
    </row>
    <row r="353" spans="1:21" x14ac:dyDescent="0.3">
      <c r="A353" t="s">
        <v>66</v>
      </c>
      <c r="B353" t="s">
        <v>68</v>
      </c>
      <c r="C353">
        <v>10</v>
      </c>
      <c r="D353" t="s">
        <v>69</v>
      </c>
      <c r="E353" t="s">
        <v>99</v>
      </c>
      <c r="F353" t="s">
        <v>71</v>
      </c>
      <c r="G353">
        <v>6.7958865134916803E-4</v>
      </c>
      <c r="H353">
        <v>2E+20</v>
      </c>
      <c r="I353">
        <v>0</v>
      </c>
      <c r="J353">
        <v>1</v>
      </c>
      <c r="K353">
        <v>0</v>
      </c>
      <c r="L353">
        <v>0</v>
      </c>
      <c r="M353" s="5" t="str">
        <f>ContinuousStatsTable[[#This Row],[ProjectName]]&amp;ContinuousStatsTable[[#This Row],[Name]]&amp;ContinuousStatsTable[[#This Row],[Type]]&amp;ContinuousStatsTable[[#This Row],[Source]]</f>
        <v>Unnamed ProjectCargar Avion.QueueNumber WaitingQueue</v>
      </c>
      <c r="N353" s="5" cm="1">
        <f t="array" ref="N353">MAX(IF((ProjectInfoTable[ProjectName]=ContinuousStatsTable[[#This Row],[ProjectName]]),(ProjectInfoTable[ProjectName]=ContinuousStatsTable[[#This Row],[ProjectName]])*ProjectInfoTable[NumberOfReplications]))</f>
        <v>10</v>
      </c>
      <c r="O353" s="5" cm="1">
        <f t="array" ref="O353">IFERROR(AVERAGE(IF((ContinuousStatsTable[GroupByKey]=ContinuousStatsTable[[#This Row],[GroupByKey]]),(ContinuousStatsTable[GroupByKey]=ContinuousStatsTable[[#This Row],[GroupByKey]])*ContinuousStatsTable[Average])),0)</f>
        <v>4.3234278073230802E-4</v>
      </c>
      <c r="P353" s="5" cm="1">
        <f t="array" ref="P353">IFERROR(_xlfn.STDEV.S(IF((ContinuousStatsTable[GroupByKey]=ContinuousStatsTable[[#This Row],[GroupByKey]]),(ContinuousStatsTable[GroupByKey]=ContinuousStatsTable[[#This Row],[GroupByKey]])*ContinuousStatsTable[Average])),0)</f>
        <v>8.6650685478403973E-4</v>
      </c>
      <c r="Q353" s="5" cm="1">
        <f t="array" ref="Q353">MAX(IF((ProjectInfoTable[ProjectName]=ContinuousStatsTable[[#This Row],[ProjectName]]),(ProjectInfoTable[ProjectName]=ContinuousStatsTable[[#This Row],[ProjectName]])*ProjectInfoTable[ConfidenceInterval]))</f>
        <v>0.95</v>
      </c>
      <c r="R3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6.1986166264068276E-4</v>
      </c>
      <c r="S353" s="5" cm="1">
        <f t="array" ref="S353">MIN(IF((ContinuousStatsTable[GroupByKey]=ContinuousStatsTable[[#This Row],[GroupByKey]]),(ContinuousStatsTable[GroupByKey]=ContinuousStatsTable[[#This Row],[GroupByKey]])*ContinuousStatsTable[Average]))</f>
        <v>0</v>
      </c>
      <c r="T353" s="5" cm="1">
        <f t="array" ref="T353">MAX(IF((ContinuousStatsTable[GroupByKey]=ContinuousStatsTable[[#This Row],[GroupByKey]]),(ContinuousStatsTable[GroupByKey]=ContinuousStatsTable[[#This Row],[GroupByKey]])*ContinuousStatsTable[Average]))</f>
        <v>2.8294284227636502E-3</v>
      </c>
      <c r="U353" s="5">
        <f>IF((ContinuousStatsTable[[#This Row],[RepsRequested]]&gt;1),ContinuousStatsTable[[#This Row],[HalfWidth]],ContinuousStatsTable[[#This Row],[BatchMeansHalfWidth]])</f>
        <v>6.1986166264068276E-4</v>
      </c>
    </row>
    <row r="354" spans="1:21" x14ac:dyDescent="0.3">
      <c r="A354" t="s">
        <v>66</v>
      </c>
      <c r="B354" t="s">
        <v>68</v>
      </c>
      <c r="C354">
        <v>10</v>
      </c>
      <c r="D354" t="s">
        <v>72</v>
      </c>
      <c r="E354" t="s">
        <v>100</v>
      </c>
      <c r="F354" t="s">
        <v>74</v>
      </c>
      <c r="G354">
        <v>1.6635577018983201</v>
      </c>
      <c r="H354">
        <v>0.28789529178081003</v>
      </c>
      <c r="I354">
        <v>0</v>
      </c>
      <c r="J354">
        <v>10</v>
      </c>
      <c r="K354">
        <v>1</v>
      </c>
      <c r="L354">
        <v>0</v>
      </c>
      <c r="M354" s="5" t="str">
        <f>ContinuousStatsTable[[#This Row],[ProjectName]]&amp;ContinuousStatsTable[[#This Row],[Name]]&amp;ContinuousStatsTable[[#This Row],[Type]]&amp;ContinuousStatsTable[[#This Row],[Source]]</f>
        <v>Unnamed ProjectEntity 1WIPEntity</v>
      </c>
      <c r="N354" s="5" cm="1">
        <f t="array" ref="N354">MAX(IF((ProjectInfoTable[ProjectName]=ContinuousStatsTable[[#This Row],[ProjectName]]),(ProjectInfoTable[ProjectName]=ContinuousStatsTable[[#This Row],[ProjectName]])*ProjectInfoTable[NumberOfReplications]))</f>
        <v>10</v>
      </c>
      <c r="O354" s="5" cm="1">
        <f t="array" ref="O354">IFERROR(AVERAGE(IF((ContinuousStatsTable[GroupByKey]=ContinuousStatsTable[[#This Row],[GroupByKey]]),(ContinuousStatsTable[GroupByKey]=ContinuousStatsTable[[#This Row],[GroupByKey]])*ContinuousStatsTable[Average])),0)</f>
        <v>1.938691833558875</v>
      </c>
      <c r="P354" s="5" cm="1">
        <f t="array" ref="P354">IFERROR(_xlfn.STDEV.S(IF((ContinuousStatsTable[GroupByKey]=ContinuousStatsTable[[#This Row],[GroupByKey]]),(ContinuousStatsTable[GroupByKey]=ContinuousStatsTable[[#This Row],[GroupByKey]])*ContinuousStatsTable[Average])),0)</f>
        <v>0.24426972485872975</v>
      </c>
      <c r="Q354" s="5" cm="1">
        <f t="array" ref="Q354">MAX(IF((ProjectInfoTable[ProjectName]=ContinuousStatsTable[[#This Row],[ProjectName]]),(ProjectInfoTable[ProjectName]=ContinuousStatsTable[[#This Row],[ProjectName]])*ProjectInfoTable[ConfidenceInterval]))</f>
        <v>0.95</v>
      </c>
      <c r="R3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0.17474003459724646</v>
      </c>
      <c r="S354" s="5" cm="1">
        <f t="array" ref="S354">MIN(IF((ContinuousStatsTable[GroupByKey]=ContinuousStatsTable[[#This Row],[GroupByKey]]),(ContinuousStatsTable[GroupByKey]=ContinuousStatsTable[[#This Row],[GroupByKey]])*ContinuousStatsTable[Average]))</f>
        <v>1.6635577018983201</v>
      </c>
      <c r="T354" s="5" cm="1">
        <f t="array" ref="T354">MAX(IF((ContinuousStatsTable[GroupByKey]=ContinuousStatsTable[[#This Row],[GroupByKey]]),(ContinuousStatsTable[GroupByKey]=ContinuousStatsTable[[#This Row],[GroupByKey]])*ContinuousStatsTable[Average]))</f>
        <v>2.3099874805957801</v>
      </c>
      <c r="U354" s="5">
        <f>IF((ContinuousStatsTable[[#This Row],[RepsRequested]]&gt;1),ContinuousStatsTable[[#This Row],[HalfWidth]],ContinuousStatsTable[[#This Row],[BatchMeansHalfWidth]])</f>
        <v>0.17474003459724646</v>
      </c>
    </row>
    <row r="355" spans="1:21" x14ac:dyDescent="0.3">
      <c r="A355" t="s">
        <v>66</v>
      </c>
      <c r="B355" t="s">
        <v>68</v>
      </c>
      <c r="C355">
        <v>10</v>
      </c>
      <c r="D355" t="s">
        <v>101</v>
      </c>
      <c r="E355" t="s">
        <v>102</v>
      </c>
      <c r="F355" t="s">
        <v>103</v>
      </c>
      <c r="G355">
        <v>0.26104277592172598</v>
      </c>
      <c r="H355">
        <v>2E+20</v>
      </c>
      <c r="I355">
        <v>0</v>
      </c>
      <c r="J355">
        <v>1</v>
      </c>
      <c r="K355">
        <v>1</v>
      </c>
      <c r="L355">
        <v>0</v>
      </c>
      <c r="M355" s="5" t="str">
        <f>ContinuousStatsTable[[#This Row],[ProjectName]]&amp;ContinuousStatsTable[[#This Row],[Name]]&amp;ContinuousStatsTable[[#This Row],[Type]]&amp;ContinuousStatsTable[[#This Row],[Source]]</f>
        <v>Unnamed ProjectInterautoInstantaneous UtilizationResource</v>
      </c>
      <c r="N355" s="5" cm="1">
        <f t="array" ref="N355">MAX(IF((ProjectInfoTable[ProjectName]=ContinuousStatsTable[[#This Row],[ProjectName]]),(ProjectInfoTable[ProjectName]=ContinuousStatsTable[[#This Row],[ProjectName]])*ProjectInfoTable[NumberOfReplications]))</f>
        <v>10</v>
      </c>
      <c r="O355" s="5" cm="1">
        <f t="array" ref="O355">IFERROR(AVERAGE(IF((ContinuousStatsTable[GroupByKey]=ContinuousStatsTable[[#This Row],[GroupByKey]]),(ContinuousStatsTable[GroupByKey]=ContinuousStatsTable[[#This Row],[GroupByKey]])*ContinuousStatsTable[Average])),0)</f>
        <v>0.26535205929836458</v>
      </c>
      <c r="P355" s="5" cm="1">
        <f t="array" ref="P355">IFERROR(_xlfn.STDEV.S(IF((ContinuousStatsTable[GroupByKey]=ContinuousStatsTable[[#This Row],[GroupByKey]]),(ContinuousStatsTable[GroupByKey]=ContinuousStatsTable[[#This Row],[GroupByKey]])*ContinuousStatsTable[Average])),0)</f>
        <v>2.5807993647623796E-2</v>
      </c>
      <c r="Q355" s="5" cm="1">
        <f t="array" ref="Q355">MAX(IF((ProjectInfoTable[ProjectName]=ContinuousStatsTable[[#This Row],[ProjectName]]),(ProjectInfoTable[ProjectName]=ContinuousStatsTable[[#This Row],[ProjectName]])*ProjectInfoTable[ConfidenceInterval]))</f>
        <v>0.95</v>
      </c>
      <c r="R3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1.8461926485074727E-2</v>
      </c>
      <c r="S355" s="5" cm="1">
        <f t="array" ref="S355">MIN(IF((ContinuousStatsTable[GroupByKey]=ContinuousStatsTable[[#This Row],[GroupByKey]]),(ContinuousStatsTable[GroupByKey]=ContinuousStatsTable[[#This Row],[GroupByKey]])*ContinuousStatsTable[Average]))</f>
        <v>0.20483176768320299</v>
      </c>
      <c r="T355" s="5" cm="1">
        <f t="array" ref="T355">MAX(IF((ContinuousStatsTable[GroupByKey]=ContinuousStatsTable[[#This Row],[GroupByKey]]),(ContinuousStatsTable[GroupByKey]=ContinuousStatsTable[[#This Row],[GroupByKey]])*ContinuousStatsTable[Average]))</f>
        <v>0.29552077299252399</v>
      </c>
      <c r="U355" s="5">
        <f>IF((ContinuousStatsTable[[#This Row],[RepsRequested]]&gt;1),ContinuousStatsTable[[#This Row],[HalfWidth]],ContinuousStatsTable[[#This Row],[BatchMeansHalfWidth]])</f>
        <v>1.8461926485074727E-2</v>
      </c>
    </row>
    <row r="356" spans="1:21" x14ac:dyDescent="0.3">
      <c r="A356" t="s">
        <v>66</v>
      </c>
      <c r="B356" t="s">
        <v>68</v>
      </c>
      <c r="C356">
        <v>10</v>
      </c>
      <c r="D356" t="s">
        <v>101</v>
      </c>
      <c r="E356" t="s">
        <v>104</v>
      </c>
      <c r="F356" t="s">
        <v>103</v>
      </c>
      <c r="G356">
        <v>0.26104277592172598</v>
      </c>
      <c r="H356">
        <v>2E+20</v>
      </c>
      <c r="I356">
        <v>0</v>
      </c>
      <c r="J356">
        <v>1</v>
      </c>
      <c r="K356">
        <v>1</v>
      </c>
      <c r="L356">
        <v>0</v>
      </c>
      <c r="M356" s="5" t="str">
        <f>ContinuousStatsTable[[#This Row],[ProjectName]]&amp;ContinuousStatsTable[[#This Row],[Name]]&amp;ContinuousStatsTable[[#This Row],[Type]]&amp;ContinuousStatsTable[[#This Row],[Source]]</f>
        <v>Unnamed ProjectInterautoNumber BusyResource</v>
      </c>
      <c r="N356" s="5" cm="1">
        <f t="array" ref="N356">MAX(IF((ProjectInfoTable[ProjectName]=ContinuousStatsTable[[#This Row],[ProjectName]]),(ProjectInfoTable[ProjectName]=ContinuousStatsTable[[#This Row],[ProjectName]])*ProjectInfoTable[NumberOfReplications]))</f>
        <v>10</v>
      </c>
      <c r="O356" s="5" cm="1">
        <f t="array" ref="O356">IFERROR(AVERAGE(IF((ContinuousStatsTable[GroupByKey]=ContinuousStatsTable[[#This Row],[GroupByKey]]),(ContinuousStatsTable[GroupByKey]=ContinuousStatsTable[[#This Row],[GroupByKey]])*ContinuousStatsTable[Average])),0)</f>
        <v>0.26535205929836458</v>
      </c>
      <c r="P356" s="5" cm="1">
        <f t="array" ref="P356">IFERROR(_xlfn.STDEV.S(IF((ContinuousStatsTable[GroupByKey]=ContinuousStatsTable[[#This Row],[GroupByKey]]),(ContinuousStatsTable[GroupByKey]=ContinuousStatsTable[[#This Row],[GroupByKey]])*ContinuousStatsTable[Average])),0)</f>
        <v>2.5807993647623796E-2</v>
      </c>
      <c r="Q356" s="5" cm="1">
        <f t="array" ref="Q356">MAX(IF((ProjectInfoTable[ProjectName]=ContinuousStatsTable[[#This Row],[ProjectName]]),(ProjectInfoTable[ProjectName]=ContinuousStatsTable[[#This Row],[ProjectName]])*ProjectInfoTable[ConfidenceInterval]))</f>
        <v>0.95</v>
      </c>
      <c r="R3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1.8461926485074727E-2</v>
      </c>
      <c r="S356" s="5" cm="1">
        <f t="array" ref="S356">MIN(IF((ContinuousStatsTable[GroupByKey]=ContinuousStatsTable[[#This Row],[GroupByKey]]),(ContinuousStatsTable[GroupByKey]=ContinuousStatsTable[[#This Row],[GroupByKey]])*ContinuousStatsTable[Average]))</f>
        <v>0.20483176768320299</v>
      </c>
      <c r="T356" s="5" cm="1">
        <f t="array" ref="T356">MAX(IF((ContinuousStatsTable[GroupByKey]=ContinuousStatsTable[[#This Row],[GroupByKey]]),(ContinuousStatsTable[GroupByKey]=ContinuousStatsTable[[#This Row],[GroupByKey]])*ContinuousStatsTable[Average]))</f>
        <v>0.29552077299252399</v>
      </c>
      <c r="U356" s="5">
        <f>IF((ContinuousStatsTable[[#This Row],[RepsRequested]]&gt;1),ContinuousStatsTable[[#This Row],[HalfWidth]],ContinuousStatsTable[[#This Row],[BatchMeansHalfWidth]])</f>
        <v>1.8461926485074727E-2</v>
      </c>
    </row>
    <row r="357" spans="1:21" x14ac:dyDescent="0.3">
      <c r="A357" t="s">
        <v>66</v>
      </c>
      <c r="B357" t="s">
        <v>68</v>
      </c>
      <c r="C357">
        <v>10</v>
      </c>
      <c r="D357" t="s">
        <v>101</v>
      </c>
      <c r="E357" t="s">
        <v>105</v>
      </c>
      <c r="F357" t="s">
        <v>103</v>
      </c>
      <c r="G357">
        <v>1</v>
      </c>
      <c r="H357">
        <v>2E+20</v>
      </c>
      <c r="I357">
        <v>1</v>
      </c>
      <c r="J357">
        <v>1</v>
      </c>
      <c r="K357">
        <v>1</v>
      </c>
      <c r="L357">
        <v>0</v>
      </c>
      <c r="M357" s="5" t="str">
        <f>ContinuousStatsTable[[#This Row],[ProjectName]]&amp;ContinuousStatsTable[[#This Row],[Name]]&amp;ContinuousStatsTable[[#This Row],[Type]]&amp;ContinuousStatsTable[[#This Row],[Source]]</f>
        <v>Unnamed ProjectInterautoNumber ScheduledResource</v>
      </c>
      <c r="N357" s="5" cm="1">
        <f t="array" ref="N357">MAX(IF((ProjectInfoTable[ProjectName]=ContinuousStatsTable[[#This Row],[ProjectName]]),(ProjectInfoTable[ProjectName]=ContinuousStatsTable[[#This Row],[ProjectName]])*ProjectInfoTable[NumberOfReplications]))</f>
        <v>10</v>
      </c>
      <c r="O357" s="5" cm="1">
        <f t="array" ref="O357">IFERROR(AVERAGE(IF((ContinuousStatsTable[GroupByKey]=ContinuousStatsTable[[#This Row],[GroupByKey]]),(ContinuousStatsTable[GroupByKey]=ContinuousStatsTable[[#This Row],[GroupByKey]])*ContinuousStatsTable[Average])),0)</f>
        <v>1</v>
      </c>
      <c r="P357" s="5" cm="1">
        <f t="array" ref="P357">IFERROR(_xlfn.STDEV.S(IF((ContinuousStatsTable[GroupByKey]=ContinuousStatsTable[[#This Row],[GroupByKey]]),(ContinuousStatsTable[GroupByKey]=ContinuousStatsTable[[#This Row],[GroupByKey]])*ContinuousStatsTable[Average])),0)</f>
        <v>0</v>
      </c>
      <c r="Q357" s="5" cm="1">
        <f t="array" ref="Q357">MAX(IF((ProjectInfoTable[ProjectName]=ContinuousStatsTable[[#This Row],[ProjectName]]),(ProjectInfoTable[ProjectName]=ContinuousStatsTable[[#This Row],[ProjectName]])*ProjectInfoTable[ConfidenceInterval]))</f>
        <v>0.95</v>
      </c>
      <c r="R3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7" s="5" cm="1">
        <f t="array" ref="S357">MIN(IF((ContinuousStatsTable[GroupByKey]=ContinuousStatsTable[[#This Row],[GroupByKey]]),(ContinuousStatsTable[GroupByKey]=ContinuousStatsTable[[#This Row],[GroupByKey]])*ContinuousStatsTable[Average]))</f>
        <v>1</v>
      </c>
      <c r="T357" s="5" cm="1">
        <f t="array" ref="T357">MAX(IF((ContinuousStatsTable[GroupByKey]=ContinuousStatsTable[[#This Row],[GroupByKey]]),(ContinuousStatsTable[GroupByKey]=ContinuousStatsTable[[#This Row],[GroupByKey]])*ContinuousStatsTable[Average]))</f>
        <v>1</v>
      </c>
      <c r="U357" s="5">
        <f>IF((ContinuousStatsTable[[#This Row],[RepsRequested]]&gt;1),ContinuousStatsTable[[#This Row],[HalfWidth]],ContinuousStatsTable[[#This Row],[BatchMeansHalfWidth]])</f>
        <v>0</v>
      </c>
    </row>
    <row r="358" spans="1:21" x14ac:dyDescent="0.3">
      <c r="A358" t="s">
        <v>66</v>
      </c>
      <c r="B358" t="s">
        <v>68</v>
      </c>
      <c r="C358">
        <v>10</v>
      </c>
      <c r="D358" t="s">
        <v>80</v>
      </c>
      <c r="E358" t="s">
        <v>99</v>
      </c>
      <c r="F358" t="s">
        <v>71</v>
      </c>
      <c r="G358">
        <v>0.185264900654593</v>
      </c>
      <c r="H358">
        <v>4.6611758568934299E-2</v>
      </c>
      <c r="I358">
        <v>0</v>
      </c>
      <c r="J358">
        <v>6</v>
      </c>
      <c r="K358">
        <v>0</v>
      </c>
      <c r="L358">
        <v>0</v>
      </c>
      <c r="M358" s="5" t="str">
        <f>ContinuousStatsTable[[#This Row],[ProjectName]]&amp;ContinuousStatsTable[[#This Row],[Name]]&amp;ContinuousStatsTable[[#This Row],[Type]]&amp;ContinuousStatsTable[[#This Row],[Source]]</f>
        <v>Unnamed ProjectLeave 1.QueueNumber WaitingQueue</v>
      </c>
      <c r="N358" s="5" cm="1">
        <f t="array" ref="N358">MAX(IF((ProjectInfoTable[ProjectName]=ContinuousStatsTable[[#This Row],[ProjectName]]),(ProjectInfoTable[ProjectName]=ContinuousStatsTable[[#This Row],[ProjectName]])*ProjectInfoTable[NumberOfReplications]))</f>
        <v>10</v>
      </c>
      <c r="O358" s="5" cm="1">
        <f t="array" ref="O358">IFERROR(AVERAGE(IF((ContinuousStatsTable[GroupByKey]=ContinuousStatsTable[[#This Row],[GroupByKey]]),(ContinuousStatsTable[GroupByKey]=ContinuousStatsTable[[#This Row],[GroupByKey]])*ContinuousStatsTable[Average])),0)</f>
        <v>0.20353568461890376</v>
      </c>
      <c r="P358" s="5" cm="1">
        <f t="array" ref="P358">IFERROR(_xlfn.STDEV.S(IF((ContinuousStatsTable[GroupByKey]=ContinuousStatsTable[[#This Row],[GroupByKey]]),(ContinuousStatsTable[GroupByKey]=ContinuousStatsTable[[#This Row],[GroupByKey]])*ContinuousStatsTable[Average])),0)</f>
        <v>2.6549184575613477E-2</v>
      </c>
      <c r="Q358" s="5" cm="1">
        <f t="array" ref="Q358">MAX(IF((ProjectInfoTable[ProjectName]=ContinuousStatsTable[[#This Row],[ProjectName]]),(ProjectInfoTable[ProjectName]=ContinuousStatsTable[[#This Row],[ProjectName]])*ProjectInfoTable[ConfidenceInterval]))</f>
        <v>0.95</v>
      </c>
      <c r="R3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1.899214253405495E-2</v>
      </c>
      <c r="S358" s="5" cm="1">
        <f t="array" ref="S358">MIN(IF((ContinuousStatsTable[GroupByKey]=ContinuousStatsTable[[#This Row],[GroupByKey]]),(ContinuousStatsTable[GroupByKey]=ContinuousStatsTable[[#This Row],[GroupByKey]])*ContinuousStatsTable[Average]))</f>
        <v>0.168502364443611</v>
      </c>
      <c r="T358" s="5" cm="1">
        <f t="array" ref="T358">MAX(IF((ContinuousStatsTable[GroupByKey]=ContinuousStatsTable[[#This Row],[GroupByKey]]),(ContinuousStatsTable[GroupByKey]=ContinuousStatsTable[[#This Row],[GroupByKey]])*ContinuousStatsTable[Average]))</f>
        <v>0.24578450490959</v>
      </c>
      <c r="U358" s="5">
        <f>IF((ContinuousStatsTable[[#This Row],[RepsRequested]]&gt;1),ContinuousStatsTable[[#This Row],[HalfWidth]],ContinuousStatsTable[[#This Row],[BatchMeansHalfWidth]])</f>
        <v>1.899214253405495E-2</v>
      </c>
    </row>
    <row r="359" spans="1:21" x14ac:dyDescent="0.3">
      <c r="A359" t="s">
        <v>66</v>
      </c>
      <c r="B359" t="s">
        <v>68</v>
      </c>
      <c r="C359">
        <v>10</v>
      </c>
      <c r="D359" t="s">
        <v>81</v>
      </c>
      <c r="E359" t="s">
        <v>99</v>
      </c>
      <c r="F359" t="s">
        <v>71</v>
      </c>
      <c r="G359">
        <v>4.2658410491484399E-3</v>
      </c>
      <c r="H359">
        <v>2E+20</v>
      </c>
      <c r="I359">
        <v>0</v>
      </c>
      <c r="J359">
        <v>1</v>
      </c>
      <c r="K359">
        <v>0</v>
      </c>
      <c r="L359">
        <v>0</v>
      </c>
      <c r="M359" s="5" t="str">
        <f>ContinuousStatsTable[[#This Row],[ProjectName]]&amp;ContinuousStatsTable[[#This Row],[Name]]&amp;ContinuousStatsTable[[#This Row],[Type]]&amp;ContinuousStatsTable[[#This Row],[Source]]</f>
        <v>Unnamed ProjectLeave 4.QueueNumber WaitingQueue</v>
      </c>
      <c r="N359" s="5" cm="1">
        <f t="array" ref="N359">MAX(IF((ProjectInfoTable[ProjectName]=ContinuousStatsTable[[#This Row],[ProjectName]]),(ProjectInfoTable[ProjectName]=ContinuousStatsTable[[#This Row],[ProjectName]])*ProjectInfoTable[NumberOfReplications]))</f>
        <v>10</v>
      </c>
      <c r="O359" s="5" cm="1">
        <f t="array" ref="O359">IFERROR(AVERAGE(IF((ContinuousStatsTable[GroupByKey]=ContinuousStatsTable[[#This Row],[GroupByKey]]),(ContinuousStatsTable[GroupByKey]=ContinuousStatsTable[[#This Row],[GroupByKey]])*ContinuousStatsTable[Average])),0)</f>
        <v>4.8729672989697272E-3</v>
      </c>
      <c r="P359" s="5" cm="1">
        <f t="array" ref="P359">IFERROR(_xlfn.STDEV.S(IF((ContinuousStatsTable[GroupByKey]=ContinuousStatsTable[[#This Row],[GroupByKey]]),(ContinuousStatsTable[GroupByKey]=ContinuousStatsTable[[#This Row],[GroupByKey]])*ContinuousStatsTable[Average])),0)</f>
        <v>9.2135939256816457E-4</v>
      </c>
      <c r="Q359" s="5" cm="1">
        <f t="array" ref="Q359">MAX(IF((ProjectInfoTable[ProjectName]=ContinuousStatsTable[[#This Row],[ProjectName]]),(ProjectInfoTable[ProjectName]=ContinuousStatsTable[[#This Row],[ProjectName]])*ProjectInfoTable[ConfidenceInterval]))</f>
        <v>0.95</v>
      </c>
      <c r="R3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6.5910080435457321E-4</v>
      </c>
      <c r="S359" s="5" cm="1">
        <f t="array" ref="S359">MIN(IF((ContinuousStatsTable[GroupByKey]=ContinuousStatsTable[[#This Row],[GroupByKey]]),(ContinuousStatsTable[GroupByKey]=ContinuousStatsTable[[#This Row],[GroupByKey]])*ContinuousStatsTable[Average]))</f>
        <v>3.2012309459038099E-3</v>
      </c>
      <c r="T359" s="5" cm="1">
        <f t="array" ref="T359">MAX(IF((ContinuousStatsTable[GroupByKey]=ContinuousStatsTable[[#This Row],[GroupByKey]]),(ContinuousStatsTable[GroupByKey]=ContinuousStatsTable[[#This Row],[GroupByKey]])*ContinuousStatsTable[Average]))</f>
        <v>6.0338305270789001E-3</v>
      </c>
      <c r="U359" s="5">
        <f>IF((ContinuousStatsTable[[#This Row],[RepsRequested]]&gt;1),ContinuousStatsTable[[#This Row],[HalfWidth]],ContinuousStatsTable[[#This Row],[BatchMeansHalfWidth]])</f>
        <v>6.5910080435457321E-4</v>
      </c>
    </row>
    <row r="360" spans="1:21" x14ac:dyDescent="0.3">
      <c r="A360" t="s">
        <v>66</v>
      </c>
      <c r="B360" t="s">
        <v>68</v>
      </c>
      <c r="C360">
        <v>10</v>
      </c>
      <c r="D360" t="s">
        <v>82</v>
      </c>
      <c r="E360" t="s">
        <v>99</v>
      </c>
      <c r="F360" t="s">
        <v>71</v>
      </c>
      <c r="G360">
        <v>4.2174465354453398E-2</v>
      </c>
      <c r="H360">
        <v>1.07200397945139E-2</v>
      </c>
      <c r="I360">
        <v>0</v>
      </c>
      <c r="J360">
        <v>3</v>
      </c>
      <c r="K360">
        <v>0</v>
      </c>
      <c r="L360">
        <v>0</v>
      </c>
      <c r="M360" s="5" t="str">
        <f>ContinuousStatsTable[[#This Row],[ProjectName]]&amp;ContinuousStatsTable[[#This Row],[Name]]&amp;ContinuousStatsTable[[#This Row],[Type]]&amp;ContinuousStatsTable[[#This Row],[Source]]</f>
        <v>Unnamed ProjectLeave 5.QueueNumber WaitingQueue</v>
      </c>
      <c r="N360" s="5" cm="1">
        <f t="array" ref="N360">MAX(IF((ProjectInfoTable[ProjectName]=ContinuousStatsTable[[#This Row],[ProjectName]]),(ProjectInfoTable[ProjectName]=ContinuousStatsTable[[#This Row],[ProjectName]])*ProjectInfoTable[NumberOfReplications]))</f>
        <v>10</v>
      </c>
      <c r="O360" s="5" cm="1">
        <f t="array" ref="O360">IFERROR(AVERAGE(IF((ContinuousStatsTable[GroupByKey]=ContinuousStatsTable[[#This Row],[GroupByKey]]),(ContinuousStatsTable[GroupByKey]=ContinuousStatsTable[[#This Row],[GroupByKey]])*ContinuousStatsTable[Average])),0)</f>
        <v>4.8788152574119628E-2</v>
      </c>
      <c r="P360" s="5" cm="1">
        <f t="array" ref="P360">IFERROR(_xlfn.STDEV.S(IF((ContinuousStatsTable[GroupByKey]=ContinuousStatsTable[[#This Row],[GroupByKey]]),(ContinuousStatsTable[GroupByKey]=ContinuousStatsTable[[#This Row],[GroupByKey]])*ContinuousStatsTable[Average])),0)</f>
        <v>5.3039270336942244E-3</v>
      </c>
      <c r="Q360" s="5" cm="1">
        <f t="array" ref="Q360">MAX(IF((ProjectInfoTable[ProjectName]=ContinuousStatsTable[[#This Row],[ProjectName]]),(ProjectInfoTable[ProjectName]=ContinuousStatsTable[[#This Row],[ProjectName]])*ProjectInfoTable[ConfidenceInterval]))</f>
        <v>0.95</v>
      </c>
      <c r="R3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3.7942008323176655E-3</v>
      </c>
      <c r="S360" s="5" cm="1">
        <f t="array" ref="S360">MIN(IF((ContinuousStatsTable[GroupByKey]=ContinuousStatsTable[[#This Row],[GroupByKey]]),(ContinuousStatsTable[GroupByKey]=ContinuousStatsTable[[#This Row],[GroupByKey]])*ContinuousStatsTable[Average]))</f>
        <v>4.1058101580258903E-2</v>
      </c>
      <c r="T360" s="5" cm="1">
        <f t="array" ref="T360">MAX(IF((ContinuousStatsTable[GroupByKey]=ContinuousStatsTable[[#This Row],[GroupByKey]]),(ContinuousStatsTable[GroupByKey]=ContinuousStatsTable[[#This Row],[GroupByKey]])*ContinuousStatsTable[Average]))</f>
        <v>5.6386723112129902E-2</v>
      </c>
      <c r="U360" s="5">
        <f>IF((ContinuousStatsTable[[#This Row],[RepsRequested]]&gt;1),ContinuousStatsTable[[#This Row],[HalfWidth]],ContinuousStatsTable[[#This Row],[BatchMeansHalfWidth]])</f>
        <v>3.7942008323176655E-3</v>
      </c>
    </row>
    <row r="361" spans="1:21" x14ac:dyDescent="0.3">
      <c r="A361" t="s">
        <v>66</v>
      </c>
      <c r="B361" t="s">
        <v>68</v>
      </c>
      <c r="C361">
        <v>10</v>
      </c>
      <c r="D361" t="s">
        <v>83</v>
      </c>
      <c r="E361" t="s">
        <v>99</v>
      </c>
      <c r="F361" t="s">
        <v>71</v>
      </c>
      <c r="G361">
        <v>3.4790185004423598E-3</v>
      </c>
      <c r="H361">
        <v>2E+20</v>
      </c>
      <c r="I361">
        <v>0</v>
      </c>
      <c r="J361">
        <v>1</v>
      </c>
      <c r="K361">
        <v>0</v>
      </c>
      <c r="L361">
        <v>0</v>
      </c>
      <c r="M361" s="5" t="str">
        <f>ContinuousStatsTable[[#This Row],[ProjectName]]&amp;ContinuousStatsTable[[#This Row],[Name]]&amp;ContinuousStatsTable[[#This Row],[Type]]&amp;ContinuousStatsTable[[#This Row],[Source]]</f>
        <v>Unnamed ProjectLeave 6.QueueNumber WaitingQueue</v>
      </c>
      <c r="N361" s="5" cm="1">
        <f t="array" ref="N361">MAX(IF((ProjectInfoTable[ProjectName]=ContinuousStatsTable[[#This Row],[ProjectName]]),(ProjectInfoTable[ProjectName]=ContinuousStatsTable[[#This Row],[ProjectName]])*ProjectInfoTable[NumberOfReplications]))</f>
        <v>10</v>
      </c>
      <c r="O361" s="5" cm="1">
        <f t="array" ref="O361">IFERROR(AVERAGE(IF((ContinuousStatsTable[GroupByKey]=ContinuousStatsTable[[#This Row],[GroupByKey]]),(ContinuousStatsTable[GroupByKey]=ContinuousStatsTable[[#This Row],[GroupByKey]])*ContinuousStatsTable[Average])),0)</f>
        <v>3.227619592382791E-3</v>
      </c>
      <c r="P361" s="5" cm="1">
        <f t="array" ref="P361">IFERROR(_xlfn.STDEV.S(IF((ContinuousStatsTable[GroupByKey]=ContinuousStatsTable[[#This Row],[GroupByKey]]),(ContinuousStatsTable[GroupByKey]=ContinuousStatsTable[[#This Row],[GroupByKey]])*ContinuousStatsTable[Average])),0)</f>
        <v>1.5087685522347895E-3</v>
      </c>
      <c r="Q361" s="5" cm="1">
        <f t="array" ref="Q361">MAX(IF((ProjectInfoTable[ProjectName]=ContinuousStatsTable[[#This Row],[ProjectName]]),(ProjectInfoTable[ProjectName]=ContinuousStatsTable[[#This Row],[ProjectName]])*ProjectInfoTable[ConfidenceInterval]))</f>
        <v>0.95</v>
      </c>
      <c r="R3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1.0793080033525183E-3</v>
      </c>
      <c r="S361" s="5" cm="1">
        <f t="array" ref="S361">MIN(IF((ContinuousStatsTable[GroupByKey]=ContinuousStatsTable[[#This Row],[GroupByKey]]),(ContinuousStatsTable[GroupByKey]=ContinuousStatsTable[[#This Row],[GroupByKey]])*ContinuousStatsTable[Average]))</f>
        <v>4.7201486102630699E-4</v>
      </c>
      <c r="T361" s="5" cm="1">
        <f t="array" ref="T361">MAX(IF((ContinuousStatsTable[GroupByKey]=ContinuousStatsTable[[#This Row],[GroupByKey]]),(ContinuousStatsTable[GroupByKey]=ContinuousStatsTable[[#This Row],[GroupByKey]])*ContinuousStatsTable[Average]))</f>
        <v>6.2452549613019898E-3</v>
      </c>
      <c r="U361" s="5">
        <f>IF((ContinuousStatsTable[[#This Row],[RepsRequested]]&gt;1),ContinuousStatsTable[[#This Row],[HalfWidth]],ContinuousStatsTable[[#This Row],[BatchMeansHalfWidth]])</f>
        <v>1.0793080033525183E-3</v>
      </c>
    </row>
    <row r="362" spans="1:21" x14ac:dyDescent="0.3">
      <c r="A362" t="s">
        <v>66</v>
      </c>
      <c r="B362" t="s">
        <v>68</v>
      </c>
      <c r="C362">
        <v>10</v>
      </c>
      <c r="D362" t="s">
        <v>84</v>
      </c>
      <c r="E362" t="s">
        <v>99</v>
      </c>
      <c r="F362" t="s">
        <v>71</v>
      </c>
      <c r="G362">
        <v>4.5386728660866099E-2</v>
      </c>
      <c r="H362">
        <v>2E+20</v>
      </c>
      <c r="I362">
        <v>0</v>
      </c>
      <c r="J362">
        <v>2</v>
      </c>
      <c r="K362">
        <v>0</v>
      </c>
      <c r="L362">
        <v>0</v>
      </c>
      <c r="M362" s="5" t="str">
        <f>ContinuousStatsTable[[#This Row],[ProjectName]]&amp;ContinuousStatsTable[[#This Row],[Name]]&amp;ContinuousStatsTable[[#This Row],[Type]]&amp;ContinuousStatsTable[[#This Row],[Source]]</f>
        <v>Unnamed ProjectLeave 7.QueueNumber WaitingQueue</v>
      </c>
      <c r="N362" s="5" cm="1">
        <f t="array" ref="N362">MAX(IF((ProjectInfoTable[ProjectName]=ContinuousStatsTable[[#This Row],[ProjectName]]),(ProjectInfoTable[ProjectName]=ContinuousStatsTable[[#This Row],[ProjectName]])*ProjectInfoTable[NumberOfReplications]))</f>
        <v>10</v>
      </c>
      <c r="O362" s="5" cm="1">
        <f t="array" ref="O362">IFERROR(AVERAGE(IF((ContinuousStatsTable[GroupByKey]=ContinuousStatsTable[[#This Row],[GroupByKey]]),(ContinuousStatsTable[GroupByKey]=ContinuousStatsTable[[#This Row],[GroupByKey]])*ContinuousStatsTable[Average])),0)</f>
        <v>5.9441954240945373E-2</v>
      </c>
      <c r="P362" s="5" cm="1">
        <f t="array" ref="P362">IFERROR(_xlfn.STDEV.S(IF((ContinuousStatsTable[GroupByKey]=ContinuousStatsTable[[#This Row],[GroupByKey]]),(ContinuousStatsTable[GroupByKey]=ContinuousStatsTable[[#This Row],[GroupByKey]])*ContinuousStatsTable[Average])),0)</f>
        <v>1.1519407308393107E-2</v>
      </c>
      <c r="Q362" s="5" cm="1">
        <f t="array" ref="Q362">MAX(IF((ProjectInfoTable[ProjectName]=ContinuousStatsTable[[#This Row],[ProjectName]]),(ProjectInfoTable[ProjectName]=ContinuousStatsTable[[#This Row],[ProjectName]])*ProjectInfoTable[ConfidenceInterval]))</f>
        <v>0.95</v>
      </c>
      <c r="R3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8.2404875707479553E-3</v>
      </c>
      <c r="S362" s="5" cm="1">
        <f t="array" ref="S362">MIN(IF((ContinuousStatsTable[GroupByKey]=ContinuousStatsTable[[#This Row],[GroupByKey]]),(ContinuousStatsTable[GroupByKey]=ContinuousStatsTable[[#This Row],[GroupByKey]])*ContinuousStatsTable[Average]))</f>
        <v>4.5386728660866099E-2</v>
      </c>
      <c r="T362" s="5" cm="1">
        <f t="array" ref="T362">MAX(IF((ContinuousStatsTable[GroupByKey]=ContinuousStatsTable[[#This Row],[GroupByKey]]),(ContinuousStatsTable[GroupByKey]=ContinuousStatsTable[[#This Row],[GroupByKey]])*ContinuousStatsTable[Average]))</f>
        <v>7.8633362228088005E-2</v>
      </c>
      <c r="U362" s="5">
        <f>IF((ContinuousStatsTable[[#This Row],[RepsRequested]]&gt;1),ContinuousStatsTable[[#This Row],[HalfWidth]],ContinuousStatsTable[[#This Row],[BatchMeansHalfWidth]])</f>
        <v>8.2404875707479553E-3</v>
      </c>
    </row>
    <row r="363" spans="1:21" x14ac:dyDescent="0.3">
      <c r="A363" t="s">
        <v>66</v>
      </c>
      <c r="B363" t="s">
        <v>68</v>
      </c>
      <c r="C363">
        <v>10</v>
      </c>
      <c r="D363" t="s">
        <v>85</v>
      </c>
      <c r="E363" t="s">
        <v>99</v>
      </c>
      <c r="F363" t="s">
        <v>71</v>
      </c>
      <c r="G363">
        <v>2.04686124595464E-3</v>
      </c>
      <c r="H363">
        <v>2E+20</v>
      </c>
      <c r="I363">
        <v>0</v>
      </c>
      <c r="J363">
        <v>1</v>
      </c>
      <c r="K363">
        <v>0</v>
      </c>
      <c r="L363">
        <v>0</v>
      </c>
      <c r="M363" s="5" t="str">
        <f>ContinuousStatsTable[[#This Row],[ProjectName]]&amp;ContinuousStatsTable[[#This Row],[Name]]&amp;ContinuousStatsTable[[#This Row],[Type]]&amp;ContinuousStatsTable[[#This Row],[Source]]</f>
        <v>Unnamed ProjectLeave 8.QueueNumber WaitingQueue</v>
      </c>
      <c r="N363" s="5" cm="1">
        <f t="array" ref="N363">MAX(IF((ProjectInfoTable[ProjectName]=ContinuousStatsTable[[#This Row],[ProjectName]]),(ProjectInfoTable[ProjectName]=ContinuousStatsTable[[#This Row],[ProjectName]])*ProjectInfoTable[NumberOfReplications]))</f>
        <v>10</v>
      </c>
      <c r="O363" s="5" cm="1">
        <f t="array" ref="O363">IFERROR(AVERAGE(IF((ContinuousStatsTable[GroupByKey]=ContinuousStatsTable[[#This Row],[GroupByKey]]),(ContinuousStatsTable[GroupByKey]=ContinuousStatsTable[[#This Row],[GroupByKey]])*ContinuousStatsTable[Average])),0)</f>
        <v>2.1217771776478596E-3</v>
      </c>
      <c r="P363" s="5" cm="1">
        <f t="array" ref="P363">IFERROR(_xlfn.STDEV.S(IF((ContinuousStatsTable[GroupByKey]=ContinuousStatsTable[[#This Row],[GroupByKey]]),(ContinuousStatsTable[GroupByKey]=ContinuousStatsTable[[#This Row],[GroupByKey]])*ContinuousStatsTable[Average])),0)</f>
        <v>8.0254950645480523E-4</v>
      </c>
      <c r="Q363" s="5" cm="1">
        <f t="array" ref="Q363">MAX(IF((ProjectInfoTable[ProjectName]=ContinuousStatsTable[[#This Row],[ProjectName]]),(ProjectInfoTable[ProjectName]=ContinuousStatsTable[[#This Row],[ProjectName]])*ProjectInfoTable[ConfidenceInterval]))</f>
        <v>0.95</v>
      </c>
      <c r="R3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5.7410933182579346E-4</v>
      </c>
      <c r="S363" s="5" cm="1">
        <f t="array" ref="S363">MIN(IF((ContinuousStatsTable[GroupByKey]=ContinuousStatsTable[[#This Row],[GroupByKey]]),(ContinuousStatsTable[GroupByKey]=ContinuousStatsTable[[#This Row],[GroupByKey]])*ContinuousStatsTable[Average]))</f>
        <v>9.0451064743319795E-4</v>
      </c>
      <c r="T363" s="5" cm="1">
        <f t="array" ref="T363">MAX(IF((ContinuousStatsTable[GroupByKey]=ContinuousStatsTable[[#This Row],[GroupByKey]]),(ContinuousStatsTable[GroupByKey]=ContinuousStatsTable[[#This Row],[GroupByKey]])*ContinuousStatsTable[Average]))</f>
        <v>3.5490296241417699E-3</v>
      </c>
      <c r="U363" s="5">
        <f>IF((ContinuousStatsTable[[#This Row],[RepsRequested]]&gt;1),ContinuousStatsTable[[#This Row],[HalfWidth]],ContinuousStatsTable[[#This Row],[BatchMeansHalfWidth]])</f>
        <v>5.7410933182579346E-4</v>
      </c>
    </row>
    <row r="364" spans="1:21" x14ac:dyDescent="0.3">
      <c r="A364" t="s">
        <v>66</v>
      </c>
      <c r="B364" t="s">
        <v>68</v>
      </c>
      <c r="C364">
        <v>10</v>
      </c>
      <c r="D364" t="s">
        <v>86</v>
      </c>
      <c r="E364" t="s">
        <v>99</v>
      </c>
      <c r="F364" t="s">
        <v>71</v>
      </c>
      <c r="G364">
        <v>1.17887270618562E-3</v>
      </c>
      <c r="H364">
        <v>2E+20</v>
      </c>
      <c r="I364">
        <v>0</v>
      </c>
      <c r="J364">
        <v>1</v>
      </c>
      <c r="K364">
        <v>0</v>
      </c>
      <c r="L364">
        <v>0</v>
      </c>
      <c r="M364" s="5" t="str">
        <f>ContinuousStatsTable[[#This Row],[ProjectName]]&amp;ContinuousStatsTable[[#This Row],[Name]]&amp;ContinuousStatsTable[[#This Row],[Type]]&amp;ContinuousStatsTable[[#This Row],[Source]]</f>
        <v>Unnamed ProjectLeave 9.QueueNumber WaitingQueue</v>
      </c>
      <c r="N364" s="5" cm="1">
        <f t="array" ref="N364">MAX(IF((ProjectInfoTable[ProjectName]=ContinuousStatsTable[[#This Row],[ProjectName]]),(ProjectInfoTable[ProjectName]=ContinuousStatsTable[[#This Row],[ProjectName]])*ProjectInfoTable[NumberOfReplications]))</f>
        <v>10</v>
      </c>
      <c r="O364" s="5" cm="1">
        <f t="array" ref="O364">IFERROR(AVERAGE(IF((ContinuousStatsTable[GroupByKey]=ContinuousStatsTable[[#This Row],[GroupByKey]]),(ContinuousStatsTable[GroupByKey]=ContinuousStatsTable[[#This Row],[GroupByKey]])*ContinuousStatsTable[Average])),0)</f>
        <v>1.3877246767065991E-3</v>
      </c>
      <c r="P364" s="5" cm="1">
        <f t="array" ref="P364">IFERROR(_xlfn.STDEV.S(IF((ContinuousStatsTable[GroupByKey]=ContinuousStatsTable[[#This Row],[GroupByKey]]),(ContinuousStatsTable[GroupByKey]=ContinuousStatsTable[[#This Row],[GroupByKey]])*ContinuousStatsTable[Average])),0)</f>
        <v>7.1875981577935533E-4</v>
      </c>
      <c r="Q364" s="5" cm="1">
        <f t="array" ref="Q364">MAX(IF((ProjectInfoTable[ProjectName]=ContinuousStatsTable[[#This Row],[ProjectName]]),(ProjectInfoTable[ProjectName]=ContinuousStatsTable[[#This Row],[ProjectName]])*ProjectInfoTable[ConfidenceInterval]))</f>
        <v>0.95</v>
      </c>
      <c r="R3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5.1416979795196457E-4</v>
      </c>
      <c r="S364" s="5" cm="1">
        <f t="array" ref="S364">MIN(IF((ContinuousStatsTable[GroupByKey]=ContinuousStatsTable[[#This Row],[GroupByKey]]),(ContinuousStatsTable[GroupByKey]=ContinuousStatsTable[[#This Row],[GroupByKey]])*ContinuousStatsTable[Average]))</f>
        <v>2.8555279956142001E-4</v>
      </c>
      <c r="T364" s="5" cm="1">
        <f t="array" ref="T364">MAX(IF((ContinuousStatsTable[GroupByKey]=ContinuousStatsTable[[#This Row],[GroupByKey]]),(ContinuousStatsTable[GroupByKey]=ContinuousStatsTable[[#This Row],[GroupByKey]])*ContinuousStatsTable[Average]))</f>
        <v>2.50186012594582E-3</v>
      </c>
      <c r="U364" s="5">
        <f>IF((ContinuousStatsTable[[#This Row],[RepsRequested]]&gt;1),ContinuousStatsTable[[#This Row],[HalfWidth]],ContinuousStatsTable[[#This Row],[BatchMeansHalfWidth]])</f>
        <v>5.1416979795196457E-4</v>
      </c>
    </row>
    <row r="365" spans="1:21" x14ac:dyDescent="0.3">
      <c r="A365" t="s">
        <v>66</v>
      </c>
      <c r="B365" t="s">
        <v>68</v>
      </c>
      <c r="C365">
        <v>10</v>
      </c>
      <c r="D365" t="s">
        <v>87</v>
      </c>
      <c r="E365" t="s">
        <v>100</v>
      </c>
      <c r="F365" t="s">
        <v>74</v>
      </c>
      <c r="G365">
        <v>10.277307754823401</v>
      </c>
      <c r="H365">
        <v>3E+20</v>
      </c>
      <c r="I365">
        <v>0</v>
      </c>
      <c r="J365">
        <v>22</v>
      </c>
      <c r="K365">
        <v>8</v>
      </c>
      <c r="L365">
        <v>0</v>
      </c>
      <c r="M365" s="5" t="str">
        <f>ContinuousStatsTable[[#This Row],[ProjectName]]&amp;ContinuousStatsTable[[#This Row],[Name]]&amp;ContinuousStatsTable[[#This Row],[Type]]&amp;ContinuousStatsTable[[#This Row],[Source]]</f>
        <v>Unnamed ProjectMaleta InternacionalWIPEntity</v>
      </c>
      <c r="N365" s="5" cm="1">
        <f t="array" ref="N365">MAX(IF((ProjectInfoTable[ProjectName]=ContinuousStatsTable[[#This Row],[ProjectName]]),(ProjectInfoTable[ProjectName]=ContinuousStatsTable[[#This Row],[ProjectName]])*ProjectInfoTable[NumberOfReplications]))</f>
        <v>10</v>
      </c>
      <c r="O365" s="5" cm="1">
        <f t="array" ref="O365">IFERROR(AVERAGE(IF((ContinuousStatsTable[GroupByKey]=ContinuousStatsTable[[#This Row],[GroupByKey]]),(ContinuousStatsTable[GroupByKey]=ContinuousStatsTable[[#This Row],[GroupByKey]])*ContinuousStatsTable[Average])),0)</f>
        <v>13.037689788098451</v>
      </c>
      <c r="P365" s="5" cm="1">
        <f t="array" ref="P365">IFERROR(_xlfn.STDEV.S(IF((ContinuousStatsTable[GroupByKey]=ContinuousStatsTable[[#This Row],[GroupByKey]]),(ContinuousStatsTable[GroupByKey]=ContinuousStatsTable[[#This Row],[GroupByKey]])*ContinuousStatsTable[Average])),0)</f>
        <v>1.9631643885071912</v>
      </c>
      <c r="Q365" s="5" cm="1">
        <f t="array" ref="Q365">MAX(IF((ProjectInfoTable[ProjectName]=ContinuousStatsTable[[#This Row],[ProjectName]]),(ProjectInfoTable[ProjectName]=ContinuousStatsTable[[#This Row],[ProjectName]])*ProjectInfoTable[ConfidenceInterval]))</f>
        <v>0.95</v>
      </c>
      <c r="R3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1.4043632028742961</v>
      </c>
      <c r="S365" s="5" cm="1">
        <f t="array" ref="S365">MIN(IF((ContinuousStatsTable[GroupByKey]=ContinuousStatsTable[[#This Row],[GroupByKey]]),(ContinuousStatsTable[GroupByKey]=ContinuousStatsTable[[#This Row],[GroupByKey]])*ContinuousStatsTable[Average]))</f>
        <v>10.277307754823401</v>
      </c>
      <c r="T365" s="5" cm="1">
        <f t="array" ref="T365">MAX(IF((ContinuousStatsTable[GroupByKey]=ContinuousStatsTable[[#This Row],[GroupByKey]]),(ContinuousStatsTable[GroupByKey]=ContinuousStatsTable[[#This Row],[GroupByKey]])*ContinuousStatsTable[Average]))</f>
        <v>16.425571484417201</v>
      </c>
      <c r="U365" s="5">
        <f>IF((ContinuousStatsTable[[#This Row],[RepsRequested]]&gt;1),ContinuousStatsTable[[#This Row],[HalfWidth]],ContinuousStatsTable[[#This Row],[BatchMeansHalfWidth]])</f>
        <v>1.4043632028742961</v>
      </c>
    </row>
    <row r="366" spans="1:21" x14ac:dyDescent="0.3">
      <c r="A366" t="s">
        <v>66</v>
      </c>
      <c r="B366" t="s">
        <v>68</v>
      </c>
      <c r="C366">
        <v>10</v>
      </c>
      <c r="D366" t="s">
        <v>88</v>
      </c>
      <c r="E366" t="s">
        <v>100</v>
      </c>
      <c r="F366" t="s">
        <v>74</v>
      </c>
      <c r="G366">
        <v>2.6980519689464901</v>
      </c>
      <c r="H366">
        <v>2E+20</v>
      </c>
      <c r="I366">
        <v>0</v>
      </c>
      <c r="J366">
        <v>16</v>
      </c>
      <c r="K366">
        <v>14</v>
      </c>
      <c r="L366">
        <v>0</v>
      </c>
      <c r="M366" s="5" t="str">
        <f>ContinuousStatsTable[[#This Row],[ProjectName]]&amp;ContinuousStatsTable[[#This Row],[Name]]&amp;ContinuousStatsTable[[#This Row],[Type]]&amp;ContinuousStatsTable[[#This Row],[Source]]</f>
        <v>Unnamed ProjectMaleta NacionalWIPEntity</v>
      </c>
      <c r="N366" s="5" cm="1">
        <f t="array" ref="N366">MAX(IF((ProjectInfoTable[ProjectName]=ContinuousStatsTable[[#This Row],[ProjectName]]),(ProjectInfoTable[ProjectName]=ContinuousStatsTable[[#This Row],[ProjectName]])*ProjectInfoTable[NumberOfReplications]))</f>
        <v>10</v>
      </c>
      <c r="O366" s="5" cm="1">
        <f t="array" ref="O366">IFERROR(AVERAGE(IF((ContinuousStatsTable[GroupByKey]=ContinuousStatsTable[[#This Row],[GroupByKey]]),(ContinuousStatsTable[GroupByKey]=ContinuousStatsTable[[#This Row],[GroupByKey]])*ContinuousStatsTable[Average])),0)</f>
        <v>2.7356580954557046</v>
      </c>
      <c r="P366" s="5" cm="1">
        <f t="array" ref="P366">IFERROR(_xlfn.STDEV.S(IF((ContinuousStatsTable[GroupByKey]=ContinuousStatsTable[[#This Row],[GroupByKey]]),(ContinuousStatsTable[GroupByKey]=ContinuousStatsTable[[#This Row],[GroupByKey]])*ContinuousStatsTable[Average])),0)</f>
        <v>0.24675556542769644</v>
      </c>
      <c r="Q366" s="5" cm="1">
        <f t="array" ref="Q366">MAX(IF((ProjectInfoTable[ProjectName]=ContinuousStatsTable[[#This Row],[ProjectName]]),(ProjectInfoTable[ProjectName]=ContinuousStatsTable[[#This Row],[ProjectName]])*ProjectInfoTable[ConfidenceInterval]))</f>
        <v>0.95</v>
      </c>
      <c r="R3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0.17651829781539885</v>
      </c>
      <c r="S366" s="5" cm="1">
        <f t="array" ref="S366">MIN(IF((ContinuousStatsTable[GroupByKey]=ContinuousStatsTable[[#This Row],[GroupByKey]]),(ContinuousStatsTable[GroupByKey]=ContinuousStatsTable[[#This Row],[GroupByKey]])*ContinuousStatsTable[Average]))</f>
        <v>2.4605296674942401</v>
      </c>
      <c r="T366" s="5" cm="1">
        <f t="array" ref="T366">MAX(IF((ContinuousStatsTable[GroupByKey]=ContinuousStatsTable[[#This Row],[GroupByKey]]),(ContinuousStatsTable[GroupByKey]=ContinuousStatsTable[[#This Row],[GroupByKey]])*ContinuousStatsTable[Average]))</f>
        <v>3.2916533376655202</v>
      </c>
      <c r="U366" s="5">
        <f>IF((ContinuousStatsTable[[#This Row],[RepsRequested]]&gt;1),ContinuousStatsTable[[#This Row],[HalfWidth]],ContinuousStatsTable[[#This Row],[BatchMeansHalfWidth]])</f>
        <v>0.17651829781539885</v>
      </c>
    </row>
    <row r="367" spans="1:21" x14ac:dyDescent="0.3">
      <c r="A367" t="s">
        <v>66</v>
      </c>
      <c r="B367" t="s">
        <v>68</v>
      </c>
      <c r="C367">
        <v>10</v>
      </c>
      <c r="D367" t="s">
        <v>106</v>
      </c>
      <c r="E367" t="s">
        <v>102</v>
      </c>
      <c r="F367" t="s">
        <v>103</v>
      </c>
      <c r="G367">
        <v>0.64995347349336796</v>
      </c>
      <c r="H367">
        <v>2E+20</v>
      </c>
      <c r="I367">
        <v>0</v>
      </c>
      <c r="J367">
        <v>1</v>
      </c>
      <c r="K367">
        <v>1</v>
      </c>
      <c r="L367">
        <v>0</v>
      </c>
      <c r="M367" s="5" t="str">
        <f>ContinuousStatsTable[[#This Row],[ProjectName]]&amp;ContinuousStatsTable[[#This Row],[Name]]&amp;ContinuousStatsTable[[#This Row],[Type]]&amp;ContinuousStatsTable[[#This Row],[Source]]</f>
        <v>Unnamed ProjectNacionalautoInstantaneous UtilizationResource</v>
      </c>
      <c r="N367" s="5" cm="1">
        <f t="array" ref="N367">MAX(IF((ProjectInfoTable[ProjectName]=ContinuousStatsTable[[#This Row],[ProjectName]]),(ProjectInfoTable[ProjectName]=ContinuousStatsTable[[#This Row],[ProjectName]])*ProjectInfoTable[NumberOfReplications]))</f>
        <v>10</v>
      </c>
      <c r="O367" s="5" cm="1">
        <f t="array" ref="O367">IFERROR(AVERAGE(IF((ContinuousStatsTable[GroupByKey]=ContinuousStatsTable[[#This Row],[GroupByKey]]),(ContinuousStatsTable[GroupByKey]=ContinuousStatsTable[[#This Row],[GroupByKey]])*ContinuousStatsTable[Average])),0)</f>
        <v>0.73175058451933661</v>
      </c>
      <c r="P367" s="5" cm="1">
        <f t="array" ref="P367">IFERROR(_xlfn.STDEV.S(IF((ContinuousStatsTable[GroupByKey]=ContinuousStatsTable[[#This Row],[GroupByKey]]),(ContinuousStatsTable[GroupByKey]=ContinuousStatsTable[[#This Row],[GroupByKey]])*ContinuousStatsTable[Average])),0)</f>
        <v>6.0813477412386734E-2</v>
      </c>
      <c r="Q367" s="5" cm="1">
        <f t="array" ref="Q367">MAX(IF((ProjectInfoTable[ProjectName]=ContinuousStatsTable[[#This Row],[ProjectName]]),(ProjectInfoTable[ProjectName]=ContinuousStatsTable[[#This Row],[ProjectName]])*ProjectInfoTable[ConfidenceInterval]))</f>
        <v>0.95</v>
      </c>
      <c r="R3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4.3503341043041877E-2</v>
      </c>
      <c r="S367" s="5" cm="1">
        <f t="array" ref="S367">MIN(IF((ContinuousStatsTable[GroupByKey]=ContinuousStatsTable[[#This Row],[GroupByKey]]),(ContinuousStatsTable[GroupByKey]=ContinuousStatsTable[[#This Row],[GroupByKey]])*ContinuousStatsTable[Average]))</f>
        <v>0.64995347349336796</v>
      </c>
      <c r="T367" s="5" cm="1">
        <f t="array" ref="T367">MAX(IF((ContinuousStatsTable[GroupByKey]=ContinuousStatsTable[[#This Row],[GroupByKey]]),(ContinuousStatsTable[GroupByKey]=ContinuousStatsTable[[#This Row],[GroupByKey]])*ContinuousStatsTable[Average]))</f>
        <v>0.82581624655093899</v>
      </c>
      <c r="U367" s="5">
        <f>IF((ContinuousStatsTable[[#This Row],[RepsRequested]]&gt;1),ContinuousStatsTable[[#This Row],[HalfWidth]],ContinuousStatsTable[[#This Row],[BatchMeansHalfWidth]])</f>
        <v>4.3503341043041877E-2</v>
      </c>
    </row>
    <row r="368" spans="1:21" x14ac:dyDescent="0.3">
      <c r="A368" t="s">
        <v>66</v>
      </c>
      <c r="B368" t="s">
        <v>68</v>
      </c>
      <c r="C368">
        <v>10</v>
      </c>
      <c r="D368" t="s">
        <v>106</v>
      </c>
      <c r="E368" t="s">
        <v>104</v>
      </c>
      <c r="F368" t="s">
        <v>103</v>
      </c>
      <c r="G368">
        <v>0.64995347349336796</v>
      </c>
      <c r="H368">
        <v>2E+20</v>
      </c>
      <c r="I368">
        <v>0</v>
      </c>
      <c r="J368">
        <v>1</v>
      </c>
      <c r="K368">
        <v>1</v>
      </c>
      <c r="L368">
        <v>0</v>
      </c>
      <c r="M368" s="5" t="str">
        <f>ContinuousStatsTable[[#This Row],[ProjectName]]&amp;ContinuousStatsTable[[#This Row],[Name]]&amp;ContinuousStatsTable[[#This Row],[Type]]&amp;ContinuousStatsTable[[#This Row],[Source]]</f>
        <v>Unnamed ProjectNacionalautoNumber BusyResource</v>
      </c>
      <c r="N368" s="5" cm="1">
        <f t="array" ref="N368">MAX(IF((ProjectInfoTable[ProjectName]=ContinuousStatsTable[[#This Row],[ProjectName]]),(ProjectInfoTable[ProjectName]=ContinuousStatsTable[[#This Row],[ProjectName]])*ProjectInfoTable[NumberOfReplications]))</f>
        <v>10</v>
      </c>
      <c r="O368" s="5" cm="1">
        <f t="array" ref="O368">IFERROR(AVERAGE(IF((ContinuousStatsTable[GroupByKey]=ContinuousStatsTable[[#This Row],[GroupByKey]]),(ContinuousStatsTable[GroupByKey]=ContinuousStatsTable[[#This Row],[GroupByKey]])*ContinuousStatsTable[Average])),0)</f>
        <v>0.73175058451933661</v>
      </c>
      <c r="P368" s="5" cm="1">
        <f t="array" ref="P368">IFERROR(_xlfn.STDEV.S(IF((ContinuousStatsTable[GroupByKey]=ContinuousStatsTable[[#This Row],[GroupByKey]]),(ContinuousStatsTable[GroupByKey]=ContinuousStatsTable[[#This Row],[GroupByKey]])*ContinuousStatsTable[Average])),0)</f>
        <v>6.0813477412386734E-2</v>
      </c>
      <c r="Q368" s="5" cm="1">
        <f t="array" ref="Q368">MAX(IF((ProjectInfoTable[ProjectName]=ContinuousStatsTable[[#This Row],[ProjectName]]),(ProjectInfoTable[ProjectName]=ContinuousStatsTable[[#This Row],[ProjectName]])*ProjectInfoTable[ConfidenceInterval]))</f>
        <v>0.95</v>
      </c>
      <c r="R3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4.3503341043041877E-2</v>
      </c>
      <c r="S368" s="5" cm="1">
        <f t="array" ref="S368">MIN(IF((ContinuousStatsTable[GroupByKey]=ContinuousStatsTable[[#This Row],[GroupByKey]]),(ContinuousStatsTable[GroupByKey]=ContinuousStatsTable[[#This Row],[GroupByKey]])*ContinuousStatsTable[Average]))</f>
        <v>0.64995347349336796</v>
      </c>
      <c r="T368" s="5" cm="1">
        <f t="array" ref="T368">MAX(IF((ContinuousStatsTable[GroupByKey]=ContinuousStatsTable[[#This Row],[GroupByKey]]),(ContinuousStatsTable[GroupByKey]=ContinuousStatsTable[[#This Row],[GroupByKey]])*ContinuousStatsTable[Average]))</f>
        <v>0.82581624655093899</v>
      </c>
      <c r="U368" s="5">
        <f>IF((ContinuousStatsTable[[#This Row],[RepsRequested]]&gt;1),ContinuousStatsTable[[#This Row],[HalfWidth]],ContinuousStatsTable[[#This Row],[BatchMeansHalfWidth]])</f>
        <v>4.3503341043041877E-2</v>
      </c>
    </row>
    <row r="369" spans="1:21" x14ac:dyDescent="0.3">
      <c r="A369" t="s">
        <v>66</v>
      </c>
      <c r="B369" t="s">
        <v>68</v>
      </c>
      <c r="C369">
        <v>10</v>
      </c>
      <c r="D369" t="s">
        <v>106</v>
      </c>
      <c r="E369" t="s">
        <v>105</v>
      </c>
      <c r="F369" t="s">
        <v>103</v>
      </c>
      <c r="G369">
        <v>1</v>
      </c>
      <c r="H369">
        <v>2E+20</v>
      </c>
      <c r="I369">
        <v>1</v>
      </c>
      <c r="J369">
        <v>1</v>
      </c>
      <c r="K369">
        <v>1</v>
      </c>
      <c r="L369">
        <v>0</v>
      </c>
      <c r="M369" s="5" t="str">
        <f>ContinuousStatsTable[[#This Row],[ProjectName]]&amp;ContinuousStatsTable[[#This Row],[Name]]&amp;ContinuousStatsTable[[#This Row],[Type]]&amp;ContinuousStatsTable[[#This Row],[Source]]</f>
        <v>Unnamed ProjectNacionalautoNumber ScheduledResource</v>
      </c>
      <c r="N369" s="5" cm="1">
        <f t="array" ref="N369">MAX(IF((ProjectInfoTable[ProjectName]=ContinuousStatsTable[[#This Row],[ProjectName]]),(ProjectInfoTable[ProjectName]=ContinuousStatsTable[[#This Row],[ProjectName]])*ProjectInfoTable[NumberOfReplications]))</f>
        <v>10</v>
      </c>
      <c r="O369" s="5" cm="1">
        <f t="array" ref="O369">IFERROR(AVERAGE(IF((ContinuousStatsTable[GroupByKey]=ContinuousStatsTable[[#This Row],[GroupByKey]]),(ContinuousStatsTable[GroupByKey]=ContinuousStatsTable[[#This Row],[GroupByKey]])*ContinuousStatsTable[Average])),0)</f>
        <v>1</v>
      </c>
      <c r="P369" s="5" cm="1">
        <f t="array" ref="P369">IFERROR(_xlfn.STDEV.S(IF((ContinuousStatsTable[GroupByKey]=ContinuousStatsTable[[#This Row],[GroupByKey]]),(ContinuousStatsTable[GroupByKey]=ContinuousStatsTable[[#This Row],[GroupByKey]])*ContinuousStatsTable[Average])),0)</f>
        <v>0</v>
      </c>
      <c r="Q369" s="5" cm="1">
        <f t="array" ref="Q369">MAX(IF((ProjectInfoTable[ProjectName]=ContinuousStatsTable[[#This Row],[ProjectName]]),(ProjectInfoTable[ProjectName]=ContinuousStatsTable[[#This Row],[ProjectName]])*ProjectInfoTable[ConfidenceInterval]))</f>
        <v>0.95</v>
      </c>
      <c r="R3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9" s="5" cm="1">
        <f t="array" ref="S369">MIN(IF((ContinuousStatsTable[GroupByKey]=ContinuousStatsTable[[#This Row],[GroupByKey]]),(ContinuousStatsTable[GroupByKey]=ContinuousStatsTable[[#This Row],[GroupByKey]])*ContinuousStatsTable[Average]))</f>
        <v>1</v>
      </c>
      <c r="T369" s="5" cm="1">
        <f t="array" ref="T369">MAX(IF((ContinuousStatsTable[GroupByKey]=ContinuousStatsTable[[#This Row],[GroupByKey]]),(ContinuousStatsTable[GroupByKey]=ContinuousStatsTable[[#This Row],[GroupByKey]])*ContinuousStatsTable[Average]))</f>
        <v>1</v>
      </c>
      <c r="U369" s="5">
        <f>IF((ContinuousStatsTable[[#This Row],[RepsRequested]]&gt;1),ContinuousStatsTable[[#This Row],[HalfWidth]],ContinuousStatsTable[[#This Row],[BatchMeansHalfWidth]])</f>
        <v>0</v>
      </c>
    </row>
    <row r="370" spans="1:21" x14ac:dyDescent="0.3">
      <c r="A370" t="s">
        <v>66</v>
      </c>
      <c r="B370" t="s">
        <v>68</v>
      </c>
      <c r="C370">
        <v>10</v>
      </c>
      <c r="D370" t="s">
        <v>107</v>
      </c>
      <c r="E370" t="s">
        <v>102</v>
      </c>
      <c r="F370" t="s">
        <v>103</v>
      </c>
      <c r="G370">
        <v>7.5971292652192102E-2</v>
      </c>
      <c r="H370">
        <v>1.4124100274325001E-2</v>
      </c>
      <c r="I370">
        <v>0</v>
      </c>
      <c r="J370">
        <v>1</v>
      </c>
      <c r="K370">
        <v>0</v>
      </c>
      <c r="L370">
        <v>0</v>
      </c>
      <c r="M370" s="5" t="str">
        <f>ContinuousStatsTable[[#This Row],[ProjectName]]&amp;ContinuousStatsTable[[#This Row],[Name]]&amp;ContinuousStatsTable[[#This Row],[Type]]&amp;ContinuousStatsTable[[#This Row],[Source]]</f>
        <v>Unnamed ProjectOperarios AvionInstantaneous UtilizationResource</v>
      </c>
      <c r="N370" s="5" cm="1">
        <f t="array" ref="N370">MAX(IF((ProjectInfoTable[ProjectName]=ContinuousStatsTable[[#This Row],[ProjectName]]),(ProjectInfoTable[ProjectName]=ContinuousStatsTable[[#This Row],[ProjectName]])*ProjectInfoTable[NumberOfReplications]))</f>
        <v>10</v>
      </c>
      <c r="O370" s="5" cm="1">
        <f t="array" ref="O370">IFERROR(AVERAGE(IF((ContinuousStatsTable[GroupByKey]=ContinuousStatsTable[[#This Row],[GroupByKey]]),(ContinuousStatsTable[GroupByKey]=ContinuousStatsTable[[#This Row],[GroupByKey]])*ContinuousStatsTable[Average])),0)</f>
        <v>7.5958437118625627E-2</v>
      </c>
      <c r="P370" s="5" cm="1">
        <f t="array" ref="P370">IFERROR(_xlfn.STDEV.S(IF((ContinuousStatsTable[GroupByKey]=ContinuousStatsTable[[#This Row],[GroupByKey]]),(ContinuousStatsTable[GroupByKey]=ContinuousStatsTable[[#This Row],[GroupByKey]])*ContinuousStatsTable[Average])),0)</f>
        <v>5.0572810112240948E-3</v>
      </c>
      <c r="Q370" s="5" cm="1">
        <f t="array" ref="Q370">MAX(IF((ProjectInfoTable[ProjectName]=ContinuousStatsTable[[#This Row],[ProjectName]]),(ProjectInfoTable[ProjectName]=ContinuousStatsTable[[#This Row],[ProjectName]])*ProjectInfoTable[ConfidenceInterval]))</f>
        <v>0.95</v>
      </c>
      <c r="R3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3.6177608968134627E-3</v>
      </c>
      <c r="S370" s="5" cm="1">
        <f t="array" ref="S370">MIN(IF((ContinuousStatsTable[GroupByKey]=ContinuousStatsTable[[#This Row],[GroupByKey]]),(ContinuousStatsTable[GroupByKey]=ContinuousStatsTable[[#This Row],[GroupByKey]])*ContinuousStatsTable[Average]))</f>
        <v>6.7485948117393404E-2</v>
      </c>
      <c r="T370" s="5" cm="1">
        <f t="array" ref="T370">MAX(IF((ContinuousStatsTable[GroupByKey]=ContinuousStatsTable[[#This Row],[GroupByKey]]),(ContinuousStatsTable[GroupByKey]=ContinuousStatsTable[[#This Row],[GroupByKey]])*ContinuousStatsTable[Average]))</f>
        <v>8.7852447587946303E-2</v>
      </c>
      <c r="U370" s="5">
        <f>IF((ContinuousStatsTable[[#This Row],[RepsRequested]]&gt;1),ContinuousStatsTable[[#This Row],[HalfWidth]],ContinuousStatsTable[[#This Row],[BatchMeansHalfWidth]])</f>
        <v>3.6177608968134627E-3</v>
      </c>
    </row>
    <row r="371" spans="1:21" x14ac:dyDescent="0.3">
      <c r="A371" t="s">
        <v>66</v>
      </c>
      <c r="B371" t="s">
        <v>68</v>
      </c>
      <c r="C371">
        <v>10</v>
      </c>
      <c r="D371" t="s">
        <v>107</v>
      </c>
      <c r="E371" t="s">
        <v>104</v>
      </c>
      <c r="F371" t="s">
        <v>103</v>
      </c>
      <c r="G371">
        <v>0.15194258530438401</v>
      </c>
      <c r="H371">
        <v>2.8248200548650002E-2</v>
      </c>
      <c r="I371">
        <v>0</v>
      </c>
      <c r="J371">
        <v>2</v>
      </c>
      <c r="K371">
        <v>0</v>
      </c>
      <c r="L371">
        <v>0</v>
      </c>
      <c r="M371" s="5" t="str">
        <f>ContinuousStatsTable[[#This Row],[ProjectName]]&amp;ContinuousStatsTable[[#This Row],[Name]]&amp;ContinuousStatsTable[[#This Row],[Type]]&amp;ContinuousStatsTable[[#This Row],[Source]]</f>
        <v>Unnamed ProjectOperarios AvionNumber BusyResource</v>
      </c>
      <c r="N371" s="5" cm="1">
        <f t="array" ref="N371">MAX(IF((ProjectInfoTable[ProjectName]=ContinuousStatsTable[[#This Row],[ProjectName]]),(ProjectInfoTable[ProjectName]=ContinuousStatsTable[[#This Row],[ProjectName]])*ProjectInfoTable[NumberOfReplications]))</f>
        <v>10</v>
      </c>
      <c r="O371" s="5" cm="1">
        <f t="array" ref="O371">IFERROR(AVERAGE(IF((ContinuousStatsTable[GroupByKey]=ContinuousStatsTable[[#This Row],[GroupByKey]]),(ContinuousStatsTable[GroupByKey]=ContinuousStatsTable[[#This Row],[GroupByKey]])*ContinuousStatsTable[Average])),0)</f>
        <v>0.1519168742372512</v>
      </c>
      <c r="P371" s="5" cm="1">
        <f t="array" ref="P371">IFERROR(_xlfn.STDEV.S(IF((ContinuousStatsTable[GroupByKey]=ContinuousStatsTable[[#This Row],[GroupByKey]]),(ContinuousStatsTable[GroupByKey]=ContinuousStatsTable[[#This Row],[GroupByKey]])*ContinuousStatsTable[Average])),0)</f>
        <v>1.0114562022448264E-2</v>
      </c>
      <c r="Q371" s="5" cm="1">
        <f t="array" ref="Q371">MAX(IF((ProjectInfoTable[ProjectName]=ContinuousStatsTable[[#This Row],[ProjectName]]),(ProjectInfoTable[ProjectName]=ContinuousStatsTable[[#This Row],[ProjectName]])*ProjectInfoTable[ConfidenceInterval]))</f>
        <v>0.95</v>
      </c>
      <c r="R3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7.2355217936269783E-3</v>
      </c>
      <c r="S371" s="5" cm="1">
        <f t="array" ref="S371">MIN(IF((ContinuousStatsTable[GroupByKey]=ContinuousStatsTable[[#This Row],[GroupByKey]]),(ContinuousStatsTable[GroupByKey]=ContinuousStatsTable[[#This Row],[GroupByKey]])*ContinuousStatsTable[Average]))</f>
        <v>0.134971896234787</v>
      </c>
      <c r="T371" s="5" cm="1">
        <f t="array" ref="T371">MAX(IF((ContinuousStatsTable[GroupByKey]=ContinuousStatsTable[[#This Row],[GroupByKey]]),(ContinuousStatsTable[GroupByKey]=ContinuousStatsTable[[#This Row],[GroupByKey]])*ContinuousStatsTable[Average]))</f>
        <v>0.17570489517589299</v>
      </c>
      <c r="U371" s="5">
        <f>IF((ContinuousStatsTable[[#This Row],[RepsRequested]]&gt;1),ContinuousStatsTable[[#This Row],[HalfWidth]],ContinuousStatsTable[[#This Row],[BatchMeansHalfWidth]])</f>
        <v>7.2355217936269783E-3</v>
      </c>
    </row>
    <row r="372" spans="1:21" x14ac:dyDescent="0.3">
      <c r="A372" t="s">
        <v>66</v>
      </c>
      <c r="B372" t="s">
        <v>68</v>
      </c>
      <c r="C372">
        <v>10</v>
      </c>
      <c r="D372" t="s">
        <v>107</v>
      </c>
      <c r="E372" t="s">
        <v>105</v>
      </c>
      <c r="F372" t="s">
        <v>103</v>
      </c>
      <c r="G372">
        <v>2</v>
      </c>
      <c r="H372">
        <v>2E+20</v>
      </c>
      <c r="I372">
        <v>2</v>
      </c>
      <c r="J372">
        <v>2</v>
      </c>
      <c r="K372">
        <v>2</v>
      </c>
      <c r="L372">
        <v>0</v>
      </c>
      <c r="M372" s="5" t="str">
        <f>ContinuousStatsTable[[#This Row],[ProjectName]]&amp;ContinuousStatsTable[[#This Row],[Name]]&amp;ContinuousStatsTable[[#This Row],[Type]]&amp;ContinuousStatsTable[[#This Row],[Source]]</f>
        <v>Unnamed ProjectOperarios AvionNumber ScheduledResource</v>
      </c>
      <c r="N372" s="5" cm="1">
        <f t="array" ref="N372">MAX(IF((ProjectInfoTable[ProjectName]=ContinuousStatsTable[[#This Row],[ProjectName]]),(ProjectInfoTable[ProjectName]=ContinuousStatsTable[[#This Row],[ProjectName]])*ProjectInfoTable[NumberOfReplications]))</f>
        <v>10</v>
      </c>
      <c r="O372" s="5" cm="1">
        <f t="array" ref="O372">IFERROR(AVERAGE(IF((ContinuousStatsTable[GroupByKey]=ContinuousStatsTable[[#This Row],[GroupByKey]]),(ContinuousStatsTable[GroupByKey]=ContinuousStatsTable[[#This Row],[GroupByKey]])*ContinuousStatsTable[Average])),0)</f>
        <v>2</v>
      </c>
      <c r="P372" s="5" cm="1">
        <f t="array" ref="P372">IFERROR(_xlfn.STDEV.S(IF((ContinuousStatsTable[GroupByKey]=ContinuousStatsTable[[#This Row],[GroupByKey]]),(ContinuousStatsTable[GroupByKey]=ContinuousStatsTable[[#This Row],[GroupByKey]])*ContinuousStatsTable[Average])),0)</f>
        <v>0</v>
      </c>
      <c r="Q372" s="5" cm="1">
        <f t="array" ref="Q372">MAX(IF((ProjectInfoTable[ProjectName]=ContinuousStatsTable[[#This Row],[ProjectName]]),(ProjectInfoTable[ProjectName]=ContinuousStatsTable[[#This Row],[ProjectName]])*ProjectInfoTable[ConfidenceInterval]))</f>
        <v>0.95</v>
      </c>
      <c r="R3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2" s="5" cm="1">
        <f t="array" ref="S372">MIN(IF((ContinuousStatsTable[GroupByKey]=ContinuousStatsTable[[#This Row],[GroupByKey]]),(ContinuousStatsTable[GroupByKey]=ContinuousStatsTable[[#This Row],[GroupByKey]])*ContinuousStatsTable[Average]))</f>
        <v>2</v>
      </c>
      <c r="T372" s="5" cm="1">
        <f t="array" ref="T372">MAX(IF((ContinuousStatsTable[GroupByKey]=ContinuousStatsTable[[#This Row],[GroupByKey]]),(ContinuousStatsTable[GroupByKey]=ContinuousStatsTable[[#This Row],[GroupByKey]])*ContinuousStatsTable[Average]))</f>
        <v>2</v>
      </c>
      <c r="U372" s="5">
        <f>IF((ContinuousStatsTable[[#This Row],[RepsRequested]]&gt;1),ContinuousStatsTable[[#This Row],[HalfWidth]],ContinuousStatsTable[[#This Row],[BatchMeansHalfWidth]])</f>
        <v>0</v>
      </c>
    </row>
    <row r="373" spans="1:21" x14ac:dyDescent="0.3">
      <c r="A373" t="s">
        <v>66</v>
      </c>
      <c r="B373" t="s">
        <v>68</v>
      </c>
      <c r="C373">
        <v>10</v>
      </c>
      <c r="D373" t="s">
        <v>108</v>
      </c>
      <c r="E373" t="s">
        <v>102</v>
      </c>
      <c r="F373" t="s">
        <v>103</v>
      </c>
      <c r="G373">
        <v>0.32138199738834899</v>
      </c>
      <c r="H373">
        <v>2E+20</v>
      </c>
      <c r="I373">
        <v>0</v>
      </c>
      <c r="J373">
        <v>1</v>
      </c>
      <c r="K373">
        <v>0</v>
      </c>
      <c r="L373">
        <v>0</v>
      </c>
      <c r="M373" s="5" t="str">
        <f>ContinuousStatsTable[[#This Row],[ProjectName]]&amp;ContinuousStatsTable[[#This Row],[Name]]&amp;ContinuousStatsTable[[#This Row],[Type]]&amp;ContinuousStatsTable[[#This Row],[Source]]</f>
        <v>Unnamed ProjectcajeraInstantaneous UtilizationResource</v>
      </c>
      <c r="N373" s="5" cm="1">
        <f t="array" ref="N373">MAX(IF((ProjectInfoTable[ProjectName]=ContinuousStatsTable[[#This Row],[ProjectName]]),(ProjectInfoTable[ProjectName]=ContinuousStatsTable[[#This Row],[ProjectName]])*ProjectInfoTable[NumberOfReplications]))</f>
        <v>10</v>
      </c>
      <c r="O373" s="5" cm="1">
        <f t="array" ref="O373">IFERROR(AVERAGE(IF((ContinuousStatsTable[GroupByKey]=ContinuousStatsTable[[#This Row],[GroupByKey]]),(ContinuousStatsTable[GroupByKey]=ContinuousStatsTable[[#This Row],[GroupByKey]])*ContinuousStatsTable[Average])),0)</f>
        <v>0.38078385056341441</v>
      </c>
      <c r="P373" s="5" cm="1">
        <f t="array" ref="P373">IFERROR(_xlfn.STDEV.S(IF((ContinuousStatsTable[GroupByKey]=ContinuousStatsTable[[#This Row],[GroupByKey]]),(ContinuousStatsTable[GroupByKey]=ContinuousStatsTable[[#This Row],[GroupByKey]])*ContinuousStatsTable[Average])),0)</f>
        <v>5.6481911326734656E-2</v>
      </c>
      <c r="Q373" s="5" cm="1">
        <f t="array" ref="Q373">MAX(IF((ProjectInfoTable[ProjectName]=ContinuousStatsTable[[#This Row],[ProjectName]]),(ProjectInfoTable[ProjectName]=ContinuousStatsTable[[#This Row],[ProjectName]])*ProjectInfoTable[ConfidenceInterval]))</f>
        <v>0.95</v>
      </c>
      <c r="R3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4.040472533000234E-2</v>
      </c>
      <c r="S373" s="5" cm="1">
        <f t="array" ref="S373">MIN(IF((ContinuousStatsTable[GroupByKey]=ContinuousStatsTable[[#This Row],[GroupByKey]]),(ContinuousStatsTable[GroupByKey]=ContinuousStatsTable[[#This Row],[GroupByKey]])*ContinuousStatsTable[Average]))</f>
        <v>0.28913636698845602</v>
      </c>
      <c r="T373" s="5" cm="1">
        <f t="array" ref="T373">MAX(IF((ContinuousStatsTable[GroupByKey]=ContinuousStatsTable[[#This Row],[GroupByKey]]),(ContinuousStatsTable[GroupByKey]=ContinuousStatsTable[[#This Row],[GroupByKey]])*ContinuousStatsTable[Average]))</f>
        <v>0.46134650546047301</v>
      </c>
      <c r="U373" s="5">
        <f>IF((ContinuousStatsTable[[#This Row],[RepsRequested]]&gt;1),ContinuousStatsTable[[#This Row],[HalfWidth]],ContinuousStatsTable[[#This Row],[BatchMeansHalfWidth]])</f>
        <v>4.040472533000234E-2</v>
      </c>
    </row>
    <row r="374" spans="1:21" x14ac:dyDescent="0.3">
      <c r="A374" t="s">
        <v>66</v>
      </c>
      <c r="B374" t="s">
        <v>68</v>
      </c>
      <c r="C374">
        <v>10</v>
      </c>
      <c r="D374" t="s">
        <v>108</v>
      </c>
      <c r="E374" t="s">
        <v>104</v>
      </c>
      <c r="F374" t="s">
        <v>103</v>
      </c>
      <c r="G374">
        <v>0.32138199738834899</v>
      </c>
      <c r="H374">
        <v>2E+20</v>
      </c>
      <c r="I374">
        <v>0</v>
      </c>
      <c r="J374">
        <v>1</v>
      </c>
      <c r="K374">
        <v>0</v>
      </c>
      <c r="L374">
        <v>0</v>
      </c>
      <c r="M374" s="5" t="str">
        <f>ContinuousStatsTable[[#This Row],[ProjectName]]&amp;ContinuousStatsTable[[#This Row],[Name]]&amp;ContinuousStatsTable[[#This Row],[Type]]&amp;ContinuousStatsTable[[#This Row],[Source]]</f>
        <v>Unnamed ProjectcajeraNumber BusyResource</v>
      </c>
      <c r="N374" s="5" cm="1">
        <f t="array" ref="N374">MAX(IF((ProjectInfoTable[ProjectName]=ContinuousStatsTable[[#This Row],[ProjectName]]),(ProjectInfoTable[ProjectName]=ContinuousStatsTable[[#This Row],[ProjectName]])*ProjectInfoTable[NumberOfReplications]))</f>
        <v>10</v>
      </c>
      <c r="O374" s="5" cm="1">
        <f t="array" ref="O374">IFERROR(AVERAGE(IF((ContinuousStatsTable[GroupByKey]=ContinuousStatsTable[[#This Row],[GroupByKey]]),(ContinuousStatsTable[GroupByKey]=ContinuousStatsTable[[#This Row],[GroupByKey]])*ContinuousStatsTable[Average])),0)</f>
        <v>0.38078385056341441</v>
      </c>
      <c r="P374" s="5" cm="1">
        <f t="array" ref="P374">IFERROR(_xlfn.STDEV.S(IF((ContinuousStatsTable[GroupByKey]=ContinuousStatsTable[[#This Row],[GroupByKey]]),(ContinuousStatsTable[GroupByKey]=ContinuousStatsTable[[#This Row],[GroupByKey]])*ContinuousStatsTable[Average])),0)</f>
        <v>5.6481911326734656E-2</v>
      </c>
      <c r="Q374" s="5" cm="1">
        <f t="array" ref="Q374">MAX(IF((ProjectInfoTable[ProjectName]=ContinuousStatsTable[[#This Row],[ProjectName]]),(ProjectInfoTable[ProjectName]=ContinuousStatsTable[[#This Row],[ProjectName]])*ProjectInfoTable[ConfidenceInterval]))</f>
        <v>0.95</v>
      </c>
      <c r="R3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4.040472533000234E-2</v>
      </c>
      <c r="S374" s="5" cm="1">
        <f t="array" ref="S374">MIN(IF((ContinuousStatsTable[GroupByKey]=ContinuousStatsTable[[#This Row],[GroupByKey]]),(ContinuousStatsTable[GroupByKey]=ContinuousStatsTable[[#This Row],[GroupByKey]])*ContinuousStatsTable[Average]))</f>
        <v>0.28913636698845602</v>
      </c>
      <c r="T374" s="5" cm="1">
        <f t="array" ref="T374">MAX(IF((ContinuousStatsTable[GroupByKey]=ContinuousStatsTable[[#This Row],[GroupByKey]]),(ContinuousStatsTable[GroupByKey]=ContinuousStatsTable[[#This Row],[GroupByKey]])*ContinuousStatsTable[Average]))</f>
        <v>0.46134650546047301</v>
      </c>
      <c r="U374" s="5">
        <f>IF((ContinuousStatsTable[[#This Row],[RepsRequested]]&gt;1),ContinuousStatsTable[[#This Row],[HalfWidth]],ContinuousStatsTable[[#This Row],[BatchMeansHalfWidth]])</f>
        <v>4.040472533000234E-2</v>
      </c>
    </row>
    <row r="375" spans="1:21" x14ac:dyDescent="0.3">
      <c r="A375" t="s">
        <v>66</v>
      </c>
      <c r="B375" t="s">
        <v>68</v>
      </c>
      <c r="C375">
        <v>10</v>
      </c>
      <c r="D375" t="s">
        <v>108</v>
      </c>
      <c r="E375" t="s">
        <v>105</v>
      </c>
      <c r="F375" t="s">
        <v>103</v>
      </c>
      <c r="G375">
        <v>1</v>
      </c>
      <c r="H375">
        <v>2E+20</v>
      </c>
      <c r="I375">
        <v>1</v>
      </c>
      <c r="J375">
        <v>1</v>
      </c>
      <c r="K375">
        <v>1</v>
      </c>
      <c r="L375">
        <v>0</v>
      </c>
      <c r="M375" s="5" t="str">
        <f>ContinuousStatsTable[[#This Row],[ProjectName]]&amp;ContinuousStatsTable[[#This Row],[Name]]&amp;ContinuousStatsTable[[#This Row],[Type]]&amp;ContinuousStatsTable[[#This Row],[Source]]</f>
        <v>Unnamed ProjectcajeraNumber ScheduledResource</v>
      </c>
      <c r="N375" s="5" cm="1">
        <f t="array" ref="N375">MAX(IF((ProjectInfoTable[ProjectName]=ContinuousStatsTable[[#This Row],[ProjectName]]),(ProjectInfoTable[ProjectName]=ContinuousStatsTable[[#This Row],[ProjectName]])*ProjectInfoTable[NumberOfReplications]))</f>
        <v>10</v>
      </c>
      <c r="O375" s="5" cm="1">
        <f t="array" ref="O375">IFERROR(AVERAGE(IF((ContinuousStatsTable[GroupByKey]=ContinuousStatsTable[[#This Row],[GroupByKey]]),(ContinuousStatsTable[GroupByKey]=ContinuousStatsTable[[#This Row],[GroupByKey]])*ContinuousStatsTable[Average])),0)</f>
        <v>1</v>
      </c>
      <c r="P375" s="5" cm="1">
        <f t="array" ref="P375">IFERROR(_xlfn.STDEV.S(IF((ContinuousStatsTable[GroupByKey]=ContinuousStatsTable[[#This Row],[GroupByKey]]),(ContinuousStatsTable[GroupByKey]=ContinuousStatsTable[[#This Row],[GroupByKey]])*ContinuousStatsTable[Average])),0)</f>
        <v>0</v>
      </c>
      <c r="Q375" s="5" cm="1">
        <f t="array" ref="Q375">MAX(IF((ProjectInfoTable[ProjectName]=ContinuousStatsTable[[#This Row],[ProjectName]]),(ProjectInfoTable[ProjectName]=ContinuousStatsTable[[#This Row],[ProjectName]])*ProjectInfoTable[ConfidenceInterval]))</f>
        <v>0.95</v>
      </c>
      <c r="R3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5" s="5" cm="1">
        <f t="array" ref="S375">MIN(IF((ContinuousStatsTable[GroupByKey]=ContinuousStatsTable[[#This Row],[GroupByKey]]),(ContinuousStatsTable[GroupByKey]=ContinuousStatsTable[[#This Row],[GroupByKey]])*ContinuousStatsTable[Average]))</f>
        <v>1</v>
      </c>
      <c r="T375" s="5" cm="1">
        <f t="array" ref="T375">MAX(IF((ContinuousStatsTable[GroupByKey]=ContinuousStatsTable[[#This Row],[GroupByKey]]),(ContinuousStatsTable[GroupByKey]=ContinuousStatsTable[[#This Row],[GroupByKey]])*ContinuousStatsTable[Average]))</f>
        <v>1</v>
      </c>
      <c r="U375" s="5">
        <f>IF((ContinuousStatsTable[[#This Row],[RepsRequested]]&gt;1),ContinuousStatsTable[[#This Row],[HalfWidth]],ContinuousStatsTable[[#This Row],[BatchMeansHalfWidth]])</f>
        <v>0</v>
      </c>
    </row>
    <row r="376" spans="1:21" x14ac:dyDescent="0.3">
      <c r="A376" t="s">
        <v>66</v>
      </c>
      <c r="B376" t="s">
        <v>68</v>
      </c>
      <c r="C376">
        <v>10</v>
      </c>
      <c r="D376" t="s">
        <v>109</v>
      </c>
      <c r="E376" t="s">
        <v>102</v>
      </c>
      <c r="F376" t="s">
        <v>103</v>
      </c>
      <c r="G376">
        <v>0.72883194271818097</v>
      </c>
      <c r="H376">
        <v>2E+20</v>
      </c>
      <c r="I376">
        <v>0</v>
      </c>
      <c r="J376">
        <v>1</v>
      </c>
      <c r="K376">
        <v>1</v>
      </c>
      <c r="L376">
        <v>0</v>
      </c>
      <c r="M376" s="5" t="str">
        <f>ContinuousStatsTable[[#This Row],[ProjectName]]&amp;ContinuousStatsTable[[#This Row],[Name]]&amp;ContinuousStatsTable[[#This Row],[Type]]&amp;ContinuousStatsTable[[#This Row],[Source]]</f>
        <v>Unnamed Projectcajera2Instantaneous UtilizationResource</v>
      </c>
      <c r="N376" s="5" cm="1">
        <f t="array" ref="N376">MAX(IF((ProjectInfoTable[ProjectName]=ContinuousStatsTable[[#This Row],[ProjectName]]),(ProjectInfoTable[ProjectName]=ContinuousStatsTable[[#This Row],[ProjectName]])*ProjectInfoTable[NumberOfReplications]))</f>
        <v>10</v>
      </c>
      <c r="O376" s="5" cm="1">
        <f t="array" ref="O376">IFERROR(AVERAGE(IF((ContinuousStatsTable[GroupByKey]=ContinuousStatsTable[[#This Row],[GroupByKey]]),(ContinuousStatsTable[GroupByKey]=ContinuousStatsTable[[#This Row],[GroupByKey]])*ContinuousStatsTable[Average])),0)</f>
        <v>0.73571117943508912</v>
      </c>
      <c r="P376" s="5" cm="1">
        <f t="array" ref="P376">IFERROR(_xlfn.STDEV.S(IF((ContinuousStatsTable[GroupByKey]=ContinuousStatsTable[[#This Row],[GroupByKey]]),(ContinuousStatsTable[GroupByKey]=ContinuousStatsTable[[#This Row],[GroupByKey]])*ContinuousStatsTable[Average])),0)</f>
        <v>2.3945213257811505E-2</v>
      </c>
      <c r="Q376" s="5" cm="1">
        <f t="array" ref="Q376">MAX(IF((ProjectInfoTable[ProjectName]=ContinuousStatsTable[[#This Row],[ProjectName]]),(ProjectInfoTable[ProjectName]=ContinuousStatsTable[[#This Row],[ProjectName]])*ProjectInfoTable[ConfidenceInterval]))</f>
        <v>0.95</v>
      </c>
      <c r="R3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1.7129373668915777E-2</v>
      </c>
      <c r="S376" s="5" cm="1">
        <f t="array" ref="S376">MIN(IF((ContinuousStatsTable[GroupByKey]=ContinuousStatsTable[[#This Row],[GroupByKey]]),(ContinuousStatsTable[GroupByKey]=ContinuousStatsTable[[#This Row],[GroupByKey]])*ContinuousStatsTable[Average]))</f>
        <v>0.69752119636771104</v>
      </c>
      <c r="T376" s="5" cm="1">
        <f t="array" ref="T376">MAX(IF((ContinuousStatsTable[GroupByKey]=ContinuousStatsTable[[#This Row],[GroupByKey]]),(ContinuousStatsTable[GroupByKey]=ContinuousStatsTable[[#This Row],[GroupByKey]])*ContinuousStatsTable[Average]))</f>
        <v>0.77845968782647601</v>
      </c>
      <c r="U376" s="5">
        <f>IF((ContinuousStatsTable[[#This Row],[RepsRequested]]&gt;1),ContinuousStatsTable[[#This Row],[HalfWidth]],ContinuousStatsTable[[#This Row],[BatchMeansHalfWidth]])</f>
        <v>1.7129373668915777E-2</v>
      </c>
    </row>
    <row r="377" spans="1:21" x14ac:dyDescent="0.3">
      <c r="A377" t="s">
        <v>66</v>
      </c>
      <c r="B377" t="s">
        <v>68</v>
      </c>
      <c r="C377">
        <v>10</v>
      </c>
      <c r="D377" t="s">
        <v>109</v>
      </c>
      <c r="E377" t="s">
        <v>104</v>
      </c>
      <c r="F377" t="s">
        <v>103</v>
      </c>
      <c r="G377">
        <v>0.72883194271818097</v>
      </c>
      <c r="H377">
        <v>2E+20</v>
      </c>
      <c r="I377">
        <v>0</v>
      </c>
      <c r="J377">
        <v>1</v>
      </c>
      <c r="K377">
        <v>1</v>
      </c>
      <c r="L377">
        <v>0</v>
      </c>
      <c r="M377" s="5" t="str">
        <f>ContinuousStatsTable[[#This Row],[ProjectName]]&amp;ContinuousStatsTable[[#This Row],[Name]]&amp;ContinuousStatsTable[[#This Row],[Type]]&amp;ContinuousStatsTable[[#This Row],[Source]]</f>
        <v>Unnamed Projectcajera2Number BusyResource</v>
      </c>
      <c r="N377" s="5" cm="1">
        <f t="array" ref="N377">MAX(IF((ProjectInfoTable[ProjectName]=ContinuousStatsTable[[#This Row],[ProjectName]]),(ProjectInfoTable[ProjectName]=ContinuousStatsTable[[#This Row],[ProjectName]])*ProjectInfoTable[NumberOfReplications]))</f>
        <v>10</v>
      </c>
      <c r="O377" s="5" cm="1">
        <f t="array" ref="O377">IFERROR(AVERAGE(IF((ContinuousStatsTable[GroupByKey]=ContinuousStatsTable[[#This Row],[GroupByKey]]),(ContinuousStatsTable[GroupByKey]=ContinuousStatsTable[[#This Row],[GroupByKey]])*ContinuousStatsTable[Average])),0)</f>
        <v>0.73571117943508912</v>
      </c>
      <c r="P377" s="5" cm="1">
        <f t="array" ref="P377">IFERROR(_xlfn.STDEV.S(IF((ContinuousStatsTable[GroupByKey]=ContinuousStatsTable[[#This Row],[GroupByKey]]),(ContinuousStatsTable[GroupByKey]=ContinuousStatsTable[[#This Row],[GroupByKey]])*ContinuousStatsTable[Average])),0)</f>
        <v>2.3945213257811505E-2</v>
      </c>
      <c r="Q377" s="5" cm="1">
        <f t="array" ref="Q377">MAX(IF((ProjectInfoTable[ProjectName]=ContinuousStatsTable[[#This Row],[ProjectName]]),(ProjectInfoTable[ProjectName]=ContinuousStatsTable[[#This Row],[ProjectName]])*ProjectInfoTable[ConfidenceInterval]))</f>
        <v>0.95</v>
      </c>
      <c r="R3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1.7129373668915777E-2</v>
      </c>
      <c r="S377" s="5" cm="1">
        <f t="array" ref="S377">MIN(IF((ContinuousStatsTable[GroupByKey]=ContinuousStatsTable[[#This Row],[GroupByKey]]),(ContinuousStatsTable[GroupByKey]=ContinuousStatsTable[[#This Row],[GroupByKey]])*ContinuousStatsTable[Average]))</f>
        <v>0.69752119636771104</v>
      </c>
      <c r="T377" s="5" cm="1">
        <f t="array" ref="T377">MAX(IF((ContinuousStatsTable[GroupByKey]=ContinuousStatsTable[[#This Row],[GroupByKey]]),(ContinuousStatsTable[GroupByKey]=ContinuousStatsTable[[#This Row],[GroupByKey]])*ContinuousStatsTable[Average]))</f>
        <v>0.77845968782647601</v>
      </c>
      <c r="U377" s="5">
        <f>IF((ContinuousStatsTable[[#This Row],[RepsRequested]]&gt;1),ContinuousStatsTable[[#This Row],[HalfWidth]],ContinuousStatsTable[[#This Row],[BatchMeansHalfWidth]])</f>
        <v>1.7129373668915777E-2</v>
      </c>
    </row>
    <row r="378" spans="1:21" x14ac:dyDescent="0.3">
      <c r="A378" t="s">
        <v>66</v>
      </c>
      <c r="B378" t="s">
        <v>68</v>
      </c>
      <c r="C378">
        <v>10</v>
      </c>
      <c r="D378" t="s">
        <v>109</v>
      </c>
      <c r="E378" t="s">
        <v>105</v>
      </c>
      <c r="F378" t="s">
        <v>103</v>
      </c>
      <c r="G378">
        <v>1</v>
      </c>
      <c r="H378">
        <v>2E+20</v>
      </c>
      <c r="I378">
        <v>1</v>
      </c>
      <c r="J378">
        <v>1</v>
      </c>
      <c r="K378">
        <v>1</v>
      </c>
      <c r="L378">
        <v>0</v>
      </c>
      <c r="M378" s="5" t="str">
        <f>ContinuousStatsTable[[#This Row],[ProjectName]]&amp;ContinuousStatsTable[[#This Row],[Name]]&amp;ContinuousStatsTable[[#This Row],[Type]]&amp;ContinuousStatsTable[[#This Row],[Source]]</f>
        <v>Unnamed Projectcajera2Number ScheduledResource</v>
      </c>
      <c r="N378" s="5" cm="1">
        <f t="array" ref="N378">MAX(IF((ProjectInfoTable[ProjectName]=ContinuousStatsTable[[#This Row],[ProjectName]]),(ProjectInfoTable[ProjectName]=ContinuousStatsTable[[#This Row],[ProjectName]])*ProjectInfoTable[NumberOfReplications]))</f>
        <v>10</v>
      </c>
      <c r="O378" s="5" cm="1">
        <f t="array" ref="O378">IFERROR(AVERAGE(IF((ContinuousStatsTable[GroupByKey]=ContinuousStatsTable[[#This Row],[GroupByKey]]),(ContinuousStatsTable[GroupByKey]=ContinuousStatsTable[[#This Row],[GroupByKey]])*ContinuousStatsTable[Average])),0)</f>
        <v>1</v>
      </c>
      <c r="P378" s="5" cm="1">
        <f t="array" ref="P378">IFERROR(_xlfn.STDEV.S(IF((ContinuousStatsTable[GroupByKey]=ContinuousStatsTable[[#This Row],[GroupByKey]]),(ContinuousStatsTable[GroupByKey]=ContinuousStatsTable[[#This Row],[GroupByKey]])*ContinuousStatsTable[Average])),0)</f>
        <v>0</v>
      </c>
      <c r="Q378" s="5" cm="1">
        <f t="array" ref="Q378">MAX(IF((ProjectInfoTable[ProjectName]=ContinuousStatsTable[[#This Row],[ProjectName]]),(ProjectInfoTable[ProjectName]=ContinuousStatsTable[[#This Row],[ProjectName]])*ProjectInfoTable[ConfidenceInterval]))</f>
        <v>0.95</v>
      </c>
      <c r="R3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8" s="5" cm="1">
        <f t="array" ref="S378">MIN(IF((ContinuousStatsTable[GroupByKey]=ContinuousStatsTable[[#This Row],[GroupByKey]]),(ContinuousStatsTable[GroupByKey]=ContinuousStatsTable[[#This Row],[GroupByKey]])*ContinuousStatsTable[Average]))</f>
        <v>1</v>
      </c>
      <c r="T378" s="5" cm="1">
        <f t="array" ref="T378">MAX(IF((ContinuousStatsTable[GroupByKey]=ContinuousStatsTable[[#This Row],[GroupByKey]]),(ContinuousStatsTable[GroupByKey]=ContinuousStatsTable[[#This Row],[GroupByKey]])*ContinuousStatsTable[Average]))</f>
        <v>1</v>
      </c>
      <c r="U378" s="5">
        <f>IF((ContinuousStatsTable[[#This Row],[RepsRequested]]&gt;1),ContinuousStatsTable[[#This Row],[HalfWidth]],ContinuousStatsTable[[#This Row],[BatchMeansHalfWidth]])</f>
        <v>0</v>
      </c>
    </row>
    <row r="379" spans="1:21" x14ac:dyDescent="0.3">
      <c r="A379" t="s">
        <v>66</v>
      </c>
      <c r="B379" t="s">
        <v>68</v>
      </c>
      <c r="C379">
        <v>10</v>
      </c>
      <c r="D379" t="s">
        <v>93</v>
      </c>
      <c r="E379" t="s">
        <v>99</v>
      </c>
      <c r="F379" t="s">
        <v>71</v>
      </c>
      <c r="G379">
        <v>0.16683101973501499</v>
      </c>
      <c r="H379">
        <v>2E+20</v>
      </c>
      <c r="I379">
        <v>0</v>
      </c>
      <c r="J379">
        <v>2</v>
      </c>
      <c r="K379">
        <v>0</v>
      </c>
      <c r="L379">
        <v>0</v>
      </c>
      <c r="M379" s="5" t="str">
        <f>ContinuousStatsTable[[#This Row],[ProjectName]]&amp;ContinuousStatsTable[[#This Row],[Name]]&amp;ContinuousStatsTable[[#This Row],[Type]]&amp;ContinuousStatsTable[[#This Row],[Source]]</f>
        <v>Unnamed Projectmanualinter.QueueNumber WaitingQueue</v>
      </c>
      <c r="N379" s="5" cm="1">
        <f t="array" ref="N379">MAX(IF((ProjectInfoTable[ProjectName]=ContinuousStatsTable[[#This Row],[ProjectName]]),(ProjectInfoTable[ProjectName]=ContinuousStatsTable[[#This Row],[ProjectName]])*ProjectInfoTable[NumberOfReplications]))</f>
        <v>10</v>
      </c>
      <c r="O379" s="5" cm="1">
        <f t="array" ref="O379">IFERROR(AVERAGE(IF((ContinuousStatsTable[GroupByKey]=ContinuousStatsTable[[#This Row],[GroupByKey]]),(ContinuousStatsTable[GroupByKey]=ContinuousStatsTable[[#This Row],[GroupByKey]])*ContinuousStatsTable[Average])),0)</f>
        <v>0.33257710094571935</v>
      </c>
      <c r="P379" s="5" cm="1">
        <f t="array" ref="P379">IFERROR(_xlfn.STDEV.S(IF((ContinuousStatsTable[GroupByKey]=ContinuousStatsTable[[#This Row],[GroupByKey]]),(ContinuousStatsTable[GroupByKey]=ContinuousStatsTable[[#This Row],[GroupByKey]])*ContinuousStatsTable[Average])),0)</f>
        <v>0.27159595138606457</v>
      </c>
      <c r="Q379" s="5" cm="1">
        <f t="array" ref="Q379">MAX(IF((ProjectInfoTable[ProjectName]=ContinuousStatsTable[[#This Row],[ProjectName]]),(ProjectInfoTable[ProjectName]=ContinuousStatsTable[[#This Row],[ProjectName]])*ProjectInfoTable[ConfidenceInterval]))</f>
        <v>0.95</v>
      </c>
      <c r="R3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0.19428803945769421</v>
      </c>
      <c r="S379" s="5" cm="1">
        <f t="array" ref="S379">MIN(IF((ContinuousStatsTable[GroupByKey]=ContinuousStatsTable[[#This Row],[GroupByKey]]),(ContinuousStatsTable[GroupByKey]=ContinuousStatsTable[[#This Row],[GroupByKey]])*ContinuousStatsTable[Average]))</f>
        <v>4.88437833500961E-2</v>
      </c>
      <c r="T379" s="5" cm="1">
        <f t="array" ref="T379">MAX(IF((ContinuousStatsTable[GroupByKey]=ContinuousStatsTable[[#This Row],[GroupByKey]]),(ContinuousStatsTable[GroupByKey]=ContinuousStatsTable[[#This Row],[GroupByKey]])*ContinuousStatsTable[Average]))</f>
        <v>0.95917715937716497</v>
      </c>
      <c r="U379" s="5">
        <f>IF((ContinuousStatsTable[[#This Row],[RepsRequested]]&gt;1),ContinuousStatsTable[[#This Row],[HalfWidth]],ContinuousStatsTable[[#This Row],[BatchMeansHalfWidth]])</f>
        <v>0.19428803945769421</v>
      </c>
    </row>
    <row r="380" spans="1:21" x14ac:dyDescent="0.3">
      <c r="A380" t="s">
        <v>66</v>
      </c>
      <c r="B380" t="s">
        <v>68</v>
      </c>
      <c r="C380">
        <v>10</v>
      </c>
      <c r="D380" t="s">
        <v>94</v>
      </c>
      <c r="E380" t="s">
        <v>99</v>
      </c>
      <c r="F380" t="s">
        <v>71</v>
      </c>
      <c r="G380">
        <v>0</v>
      </c>
      <c r="H380">
        <v>2E+20</v>
      </c>
      <c r="I380">
        <v>0</v>
      </c>
      <c r="J380">
        <v>0</v>
      </c>
      <c r="K380">
        <v>0</v>
      </c>
      <c r="L380">
        <v>0</v>
      </c>
      <c r="M380" s="5" t="str">
        <f>ContinuousStatsTable[[#This Row],[ProjectName]]&amp;ContinuousStatsTable[[#This Row],[Name]]&amp;ContinuousStatsTable[[#This Row],[Type]]&amp;ContinuousStatsTable[[#This Row],[Source]]</f>
        <v>Unnamed Projectmanualnaciona.QueueNumber WaitingQueue</v>
      </c>
      <c r="N380" s="5" cm="1">
        <f t="array" ref="N380">MAX(IF((ProjectInfoTable[ProjectName]=ContinuousStatsTable[[#This Row],[ProjectName]]),(ProjectInfoTable[ProjectName]=ContinuousStatsTable[[#This Row],[ProjectName]])*ProjectInfoTable[NumberOfReplications]))</f>
        <v>10</v>
      </c>
      <c r="O380" s="5" cm="1">
        <f t="array" ref="O380">IFERROR(AVERAGE(IF((ContinuousStatsTable[GroupByKey]=ContinuousStatsTable[[#This Row],[GroupByKey]]),(ContinuousStatsTable[GroupByKey]=ContinuousStatsTable[[#This Row],[GroupByKey]])*ContinuousStatsTable[Average])),0)</f>
        <v>2.2437109622866062E-3</v>
      </c>
      <c r="P380" s="5" cm="1">
        <f t="array" ref="P380">IFERROR(_xlfn.STDEV.S(IF((ContinuousStatsTable[GroupByKey]=ContinuousStatsTable[[#This Row],[GroupByKey]]),(ContinuousStatsTable[GroupByKey]=ContinuousStatsTable[[#This Row],[GroupByKey]])*ContinuousStatsTable[Average])),0)</f>
        <v>6.4095428429067599E-3</v>
      </c>
      <c r="Q380" s="5" cm="1">
        <f t="array" ref="Q380">MAX(IF((ProjectInfoTable[ProjectName]=ContinuousStatsTable[[#This Row],[ProjectName]]),(ProjectInfoTable[ProjectName]=ContinuousStatsTable[[#This Row],[ProjectName]])*ProjectInfoTable[ConfidenceInterval]))</f>
        <v>0.95</v>
      </c>
      <c r="R3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4.5851107367881972E-3</v>
      </c>
      <c r="S380" s="5" cm="1">
        <f t="array" ref="S380">MIN(IF((ContinuousStatsTable[GroupByKey]=ContinuousStatsTable[[#This Row],[GroupByKey]]),(ContinuousStatsTable[GroupByKey]=ContinuousStatsTable[[#This Row],[GroupByKey]])*ContinuousStatsTable[Average]))</f>
        <v>0</v>
      </c>
      <c r="T380" s="5" cm="1">
        <f t="array" ref="T380">MAX(IF((ContinuousStatsTable[GroupByKey]=ContinuousStatsTable[[#This Row],[GroupByKey]]),(ContinuousStatsTable[GroupByKey]=ContinuousStatsTable[[#This Row],[GroupByKey]])*ContinuousStatsTable[Average]))</f>
        <v>2.0447096127880302E-2</v>
      </c>
      <c r="U380" s="5">
        <f>IF((ContinuousStatsTable[[#This Row],[RepsRequested]]&gt;1),ContinuousStatsTable[[#This Row],[HalfWidth]],ContinuousStatsTable[[#This Row],[BatchMeansHalfWidth]])</f>
        <v>4.5851107367881972E-3</v>
      </c>
    </row>
    <row r="381" spans="1:21" x14ac:dyDescent="0.3">
      <c r="A381" t="s">
        <v>66</v>
      </c>
      <c r="B381" t="s">
        <v>68</v>
      </c>
      <c r="C381">
        <v>10</v>
      </c>
      <c r="D381" t="s">
        <v>95</v>
      </c>
      <c r="E381" t="s">
        <v>99</v>
      </c>
      <c r="F381" t="s">
        <v>71</v>
      </c>
      <c r="G381">
        <v>1.35760259855807</v>
      </c>
      <c r="H381">
        <v>2E+20</v>
      </c>
      <c r="I381">
        <v>0</v>
      </c>
      <c r="J381">
        <v>9</v>
      </c>
      <c r="K381">
        <v>5</v>
      </c>
      <c r="L381">
        <v>0</v>
      </c>
      <c r="M381" s="5" t="str">
        <f>ContinuousStatsTable[[#This Row],[ProjectName]]&amp;ContinuousStatsTable[[#This Row],[Name]]&amp;ContinuousStatsTable[[#This Row],[Type]]&amp;ContinuousStatsTable[[#This Row],[Source]]</f>
        <v>Unnamed Projectmaquinainter.QueueNumber WaitingQueue</v>
      </c>
      <c r="N381" s="5" cm="1">
        <f t="array" ref="N381">MAX(IF((ProjectInfoTable[ProjectName]=ContinuousStatsTable[[#This Row],[ProjectName]]),(ProjectInfoTable[ProjectName]=ContinuousStatsTable[[#This Row],[ProjectName]])*ProjectInfoTable[NumberOfReplications]))</f>
        <v>10</v>
      </c>
      <c r="O381" s="5" cm="1">
        <f t="array" ref="O381">IFERROR(AVERAGE(IF((ContinuousStatsTable[GroupByKey]=ContinuousStatsTable[[#This Row],[GroupByKey]]),(ContinuousStatsTable[GroupByKey]=ContinuousStatsTable[[#This Row],[GroupByKey]])*ContinuousStatsTable[Average])),0)</f>
        <v>2.7250893633296323</v>
      </c>
      <c r="P381" s="5" cm="1">
        <f t="array" ref="P381">IFERROR(_xlfn.STDEV.S(IF((ContinuousStatsTable[GroupByKey]=ContinuousStatsTable[[#This Row],[GroupByKey]]),(ContinuousStatsTable[GroupByKey]=ContinuousStatsTable[[#This Row],[GroupByKey]])*ContinuousStatsTable[Average])),0)</f>
        <v>1.2704307292922721</v>
      </c>
      <c r="Q381" s="5" cm="1">
        <f t="array" ref="Q381">MAX(IF((ProjectInfoTable[ProjectName]=ContinuousStatsTable[[#This Row],[ProjectName]]),(ProjectInfoTable[ProjectName]=ContinuousStatsTable[[#This Row],[ProjectName]])*ProjectInfoTable[ConfidenceInterval]))</f>
        <v>0.95</v>
      </c>
      <c r="R3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0.90881139575657477</v>
      </c>
      <c r="S381" s="5" cm="1">
        <f t="array" ref="S381">MIN(IF((ContinuousStatsTable[GroupByKey]=ContinuousStatsTable[[#This Row],[GroupByKey]]),(ContinuousStatsTable[GroupByKey]=ContinuousStatsTable[[#This Row],[GroupByKey]])*ContinuousStatsTable[Average]))</f>
        <v>1.35760259855807</v>
      </c>
      <c r="T381" s="5" cm="1">
        <f t="array" ref="T381">MAX(IF((ContinuousStatsTable[GroupByKey]=ContinuousStatsTable[[#This Row],[GroupByKey]]),(ContinuousStatsTable[GroupByKey]=ContinuousStatsTable[[#This Row],[GroupByKey]])*ContinuousStatsTable[Average]))</f>
        <v>5.2621649076821404</v>
      </c>
      <c r="U381" s="5">
        <f>IF((ContinuousStatsTable[[#This Row],[RepsRequested]]&gt;1),ContinuousStatsTable[[#This Row],[HalfWidth]],ContinuousStatsTable[[#This Row],[BatchMeansHalfWidth]])</f>
        <v>0.90881139575657477</v>
      </c>
    </row>
    <row r="382" spans="1:21" x14ac:dyDescent="0.3">
      <c r="A382" t="s">
        <v>66</v>
      </c>
      <c r="B382" t="s">
        <v>68</v>
      </c>
      <c r="C382">
        <v>10</v>
      </c>
      <c r="D382" t="s">
        <v>96</v>
      </c>
      <c r="E382" t="s">
        <v>99</v>
      </c>
      <c r="F382" t="s">
        <v>71</v>
      </c>
      <c r="G382">
        <v>0.23611949664423401</v>
      </c>
      <c r="H382">
        <v>2E+20</v>
      </c>
      <c r="I382">
        <v>0</v>
      </c>
      <c r="J382">
        <v>7</v>
      </c>
      <c r="K382">
        <v>6</v>
      </c>
      <c r="L382">
        <v>0</v>
      </c>
      <c r="M382" s="5" t="str">
        <f>ContinuousStatsTable[[#This Row],[ProjectName]]&amp;ContinuousStatsTable[[#This Row],[Name]]&amp;ContinuousStatsTable[[#This Row],[Type]]&amp;ContinuousStatsTable[[#This Row],[Source]]</f>
        <v>Unnamed Projectmaquinanacional.QueueNumber WaitingQueue</v>
      </c>
      <c r="N382" s="5" cm="1">
        <f t="array" ref="N382">MAX(IF((ProjectInfoTable[ProjectName]=ContinuousStatsTable[[#This Row],[ProjectName]]),(ProjectInfoTable[ProjectName]=ContinuousStatsTable[[#This Row],[ProjectName]])*ProjectInfoTable[NumberOfReplications]))</f>
        <v>10</v>
      </c>
      <c r="O382" s="5" cm="1">
        <f t="array" ref="O382">IFERROR(AVERAGE(IF((ContinuousStatsTable[GroupByKey]=ContinuousStatsTable[[#This Row],[GroupByKey]]),(ContinuousStatsTable[GroupByKey]=ContinuousStatsTable[[#This Row],[GroupByKey]])*ContinuousStatsTable[Average])),0)</f>
        <v>0.20327393268399513</v>
      </c>
      <c r="P382" s="5" cm="1">
        <f t="array" ref="P382">IFERROR(_xlfn.STDEV.S(IF((ContinuousStatsTable[GroupByKey]=ContinuousStatsTable[[#This Row],[GroupByKey]]),(ContinuousStatsTable[GroupByKey]=ContinuousStatsTable[[#This Row],[GroupByKey]])*ContinuousStatsTable[Average])),0)</f>
        <v>5.4678802003311266E-2</v>
      </c>
      <c r="Q382" s="5" cm="1">
        <f t="array" ref="Q382">MAX(IF((ProjectInfoTable[ProjectName]=ContinuousStatsTable[[#This Row],[ProjectName]]),(ProjectInfoTable[ProjectName]=ContinuousStatsTable[[#This Row],[ProjectName]])*ProjectInfoTable[ConfidenceInterval]))</f>
        <v>0.95</v>
      </c>
      <c r="R3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3.9114858623271326E-2</v>
      </c>
      <c r="S382" s="5" cm="1">
        <f t="array" ref="S382">MIN(IF((ContinuousStatsTable[GroupByKey]=ContinuousStatsTable[[#This Row],[GroupByKey]]),(ContinuousStatsTable[GroupByKey]=ContinuousStatsTable[[#This Row],[GroupByKey]])*ContinuousStatsTable[Average]))</f>
        <v>9.7152989948067606E-2</v>
      </c>
      <c r="T382" s="5" cm="1">
        <f t="array" ref="T382">MAX(IF((ContinuousStatsTable[GroupByKey]=ContinuousStatsTable[[#This Row],[GroupByKey]]),(ContinuousStatsTable[GroupByKey]=ContinuousStatsTable[[#This Row],[GroupByKey]])*ContinuousStatsTable[Average]))</f>
        <v>0.28694483715654301</v>
      </c>
      <c r="U382" s="5">
        <f>IF((ContinuousStatsTable[[#This Row],[RepsRequested]]&gt;1),ContinuousStatsTable[[#This Row],[HalfWidth]],ContinuousStatsTable[[#This Row],[BatchMeansHalfWidth]])</f>
        <v>3.9114858623271326E-2</v>
      </c>
    </row>
    <row r="383" spans="1:21" x14ac:dyDescent="0.3">
      <c r="A383" t="s">
        <v>66</v>
      </c>
      <c r="B383" t="s">
        <v>68</v>
      </c>
      <c r="C383">
        <v>10</v>
      </c>
      <c r="D383" t="s">
        <v>97</v>
      </c>
      <c r="E383" t="s">
        <v>99</v>
      </c>
      <c r="F383" t="s">
        <v>71</v>
      </c>
      <c r="G383">
        <v>0.15208547828244101</v>
      </c>
      <c r="H383">
        <v>2E+20</v>
      </c>
      <c r="I383">
        <v>0</v>
      </c>
      <c r="J383">
        <v>3</v>
      </c>
      <c r="K383">
        <v>0</v>
      </c>
      <c r="L383">
        <v>0</v>
      </c>
      <c r="M383" s="5" t="str">
        <f>ContinuousStatsTable[[#This Row],[ProjectName]]&amp;ContinuousStatsTable[[#This Row],[Name]]&amp;ContinuousStatsTable[[#This Row],[Type]]&amp;ContinuousStatsTable[[#This Row],[Source]]</f>
        <v>Unnamed Projectmostrador1.QueueNumber WaitingQueue</v>
      </c>
      <c r="N383" s="5" cm="1">
        <f t="array" ref="N383">MAX(IF((ProjectInfoTable[ProjectName]=ContinuousStatsTable[[#This Row],[ProjectName]]),(ProjectInfoTable[ProjectName]=ContinuousStatsTable[[#This Row],[ProjectName]])*ProjectInfoTable[NumberOfReplications]))</f>
        <v>10</v>
      </c>
      <c r="O383" s="5" cm="1">
        <f t="array" ref="O383">IFERROR(AVERAGE(IF((ContinuousStatsTable[GroupByKey]=ContinuousStatsTable[[#This Row],[GroupByKey]]),(ContinuousStatsTable[GroupByKey]=ContinuousStatsTable[[#This Row],[GroupByKey]])*ContinuousStatsTable[Average])),0)</f>
        <v>0.25365601436241814</v>
      </c>
      <c r="P383" s="5" cm="1">
        <f t="array" ref="P383">IFERROR(_xlfn.STDEV.S(IF((ContinuousStatsTable[GroupByKey]=ContinuousStatsTable[[#This Row],[GroupByKey]]),(ContinuousStatsTable[GroupByKey]=ContinuousStatsTable[[#This Row],[GroupByKey]])*ContinuousStatsTable[Average])),0)</f>
        <v>9.7306237195948719E-2</v>
      </c>
      <c r="Q383" s="5" cm="1">
        <f t="array" ref="Q383">MAX(IF((ProjectInfoTable[ProjectName]=ContinuousStatsTable[[#This Row],[ProjectName]]),(ProjectInfoTable[ProjectName]=ContinuousStatsTable[[#This Row],[ProjectName]])*ProjectInfoTable[ConfidenceInterval]))</f>
        <v>0.95</v>
      </c>
      <c r="R3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6.9608688772141478E-2</v>
      </c>
      <c r="S383" s="5" cm="1">
        <f t="array" ref="S383">MIN(IF((ContinuousStatsTable[GroupByKey]=ContinuousStatsTable[[#This Row],[GroupByKey]]),(ContinuousStatsTable[GroupByKey]=ContinuousStatsTable[[#This Row],[GroupByKey]])*ContinuousStatsTable[Average]))</f>
        <v>0.124078487063659</v>
      </c>
      <c r="T383" s="5" cm="1">
        <f t="array" ref="T383">MAX(IF((ContinuousStatsTable[GroupByKey]=ContinuousStatsTable[[#This Row],[GroupByKey]]),(ContinuousStatsTable[GroupByKey]=ContinuousStatsTable[[#This Row],[GroupByKey]])*ContinuousStatsTable[Average]))</f>
        <v>0.381680898629085</v>
      </c>
      <c r="U383" s="5">
        <f>IF((ContinuousStatsTable[[#This Row],[RepsRequested]]&gt;1),ContinuousStatsTable[[#This Row],[HalfWidth]],ContinuousStatsTable[[#This Row],[BatchMeansHalfWidth]])</f>
        <v>6.9608688772141478E-2</v>
      </c>
    </row>
    <row r="384" spans="1:21" x14ac:dyDescent="0.3">
      <c r="A384" t="s">
        <v>66</v>
      </c>
      <c r="B384" t="s">
        <v>68</v>
      </c>
      <c r="C384">
        <v>10</v>
      </c>
      <c r="D384" t="s">
        <v>98</v>
      </c>
      <c r="E384" t="s">
        <v>99</v>
      </c>
      <c r="F384" t="s">
        <v>71</v>
      </c>
      <c r="G384">
        <v>0.461258283509344</v>
      </c>
      <c r="H384">
        <v>2E+20</v>
      </c>
      <c r="I384">
        <v>0</v>
      </c>
      <c r="J384">
        <v>4</v>
      </c>
      <c r="K384">
        <v>0</v>
      </c>
      <c r="L384">
        <v>0</v>
      </c>
      <c r="M384" s="5" t="str">
        <f>ContinuousStatsTable[[#This Row],[ProjectName]]&amp;ContinuousStatsTable[[#This Row],[Name]]&amp;ContinuousStatsTable[[#This Row],[Type]]&amp;ContinuousStatsTable[[#This Row],[Source]]</f>
        <v>Unnamed Projectmostrador2.QueueNumber WaitingQueue</v>
      </c>
      <c r="N384" s="5" cm="1">
        <f t="array" ref="N384">MAX(IF((ProjectInfoTable[ProjectName]=ContinuousStatsTable[[#This Row],[ProjectName]]),(ProjectInfoTable[ProjectName]=ContinuousStatsTable[[#This Row],[ProjectName]])*ProjectInfoTable[NumberOfReplications]))</f>
        <v>10</v>
      </c>
      <c r="O384" s="5" cm="1">
        <f t="array" ref="O384">IFERROR(AVERAGE(IF((ContinuousStatsTable[GroupByKey]=ContinuousStatsTable[[#This Row],[GroupByKey]]),(ContinuousStatsTable[GroupByKey]=ContinuousStatsTable[[#This Row],[GroupByKey]])*ContinuousStatsTable[Average])),0)</f>
        <v>0.56854078919795403</v>
      </c>
      <c r="P384" s="5" cm="1">
        <f t="array" ref="P384">IFERROR(_xlfn.STDEV.S(IF((ContinuousStatsTable[GroupByKey]=ContinuousStatsTable[[#This Row],[GroupByKey]]),(ContinuousStatsTable[GroupByKey]=ContinuousStatsTable[[#This Row],[GroupByKey]])*ContinuousStatsTable[Average])),0)</f>
        <v>9.5876381195630939E-2</v>
      </c>
      <c r="Q384" s="5" cm="1">
        <f t="array" ref="Q384">MAX(IF((ProjectInfoTable[ProjectName]=ContinuousStatsTable[[#This Row],[ProjectName]]),(ProjectInfoTable[ProjectName]=ContinuousStatsTable[[#This Row],[ProjectName]])*ProjectInfoTable[ConfidenceInterval]))</f>
        <v>0.95</v>
      </c>
      <c r="R3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6.8585831407770567E-2</v>
      </c>
      <c r="S384" s="5" cm="1">
        <f t="array" ref="S384">MIN(IF((ContinuousStatsTable[GroupByKey]=ContinuousStatsTable[[#This Row],[GroupByKey]]),(ContinuousStatsTable[GroupByKey]=ContinuousStatsTable[[#This Row],[GroupByKey]])*ContinuousStatsTable[Average]))</f>
        <v>0.461258283509344</v>
      </c>
      <c r="T384" s="5" cm="1">
        <f t="array" ref="T384">MAX(IF((ContinuousStatsTable[GroupByKey]=ContinuousStatsTable[[#This Row],[GroupByKey]]),(ContinuousStatsTable[GroupByKey]=ContinuousStatsTable[[#This Row],[GroupByKey]])*ContinuousStatsTable[Average]))</f>
        <v>0.74281217456090598</v>
      </c>
      <c r="U384" s="5">
        <f>IF((ContinuousStatsTable[[#This Row],[RepsRequested]]&gt;1),ContinuousStatsTable[[#This Row],[HalfWidth]],ContinuousStatsTable[[#This Row],[BatchMeansHalfWidth]])</f>
        <v>6.8585831407770567E-2</v>
      </c>
    </row>
    <row r="385" spans="1:21" x14ac:dyDescent="0.3">
      <c r="A385" t="s">
        <v>66</v>
      </c>
      <c r="B385" t="s">
        <v>68</v>
      </c>
      <c r="C385">
        <v>10</v>
      </c>
      <c r="D385" t="s">
        <v>110</v>
      </c>
      <c r="E385" t="s">
        <v>100</v>
      </c>
      <c r="F385" t="s">
        <v>74</v>
      </c>
      <c r="G385">
        <v>0</v>
      </c>
      <c r="H385">
        <v>2E+20</v>
      </c>
      <c r="I385">
        <v>0</v>
      </c>
      <c r="J385">
        <v>0</v>
      </c>
      <c r="K385">
        <v>0</v>
      </c>
      <c r="L385">
        <v>0</v>
      </c>
      <c r="M385" s="5" t="str">
        <f>ContinuousStatsTable[[#This Row],[ProjectName]]&amp;ContinuousStatsTable[[#This Row],[Name]]&amp;ContinuousStatsTable[[#This Row],[Type]]&amp;ContinuousStatsTable[[#This Row],[Source]]</f>
        <v>Unnamed ProjectpersonaWIPEntity</v>
      </c>
      <c r="N385" s="5" cm="1">
        <f t="array" ref="N385">MAX(IF((ProjectInfoTable[ProjectName]=ContinuousStatsTable[[#This Row],[ProjectName]]),(ProjectInfoTable[ProjectName]=ContinuousStatsTable[[#This Row],[ProjectName]])*ProjectInfoTable[NumberOfReplications]))</f>
        <v>10</v>
      </c>
      <c r="O385" s="5" cm="1">
        <f t="array" ref="O385">IFERROR(AVERAGE(IF((ContinuousStatsTable[GroupByKey]=ContinuousStatsTable[[#This Row],[GroupByKey]]),(ContinuousStatsTable[GroupByKey]=ContinuousStatsTable[[#This Row],[GroupByKey]])*ContinuousStatsTable[Average])),0)</f>
        <v>0</v>
      </c>
      <c r="P385" s="5" cm="1">
        <f t="array" ref="P385">IFERROR(_xlfn.STDEV.S(IF((ContinuousStatsTable[GroupByKey]=ContinuousStatsTable[[#This Row],[GroupByKey]]),(ContinuousStatsTable[GroupByKey]=ContinuousStatsTable[[#This Row],[GroupByKey]])*ContinuousStatsTable[Average])),0)</f>
        <v>0</v>
      </c>
      <c r="Q385" s="5" cm="1">
        <f t="array" ref="Q385">MAX(IF((ProjectInfoTable[ProjectName]=ContinuousStatsTable[[#This Row],[ProjectName]]),(ProjectInfoTable[ProjectName]=ContinuousStatsTable[[#This Row],[ProjectName]])*ProjectInfoTable[ConfidenceInterval]))</f>
        <v>0.95</v>
      </c>
      <c r="R3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5" s="5" cm="1">
        <f t="array" ref="S385">MIN(IF((ContinuousStatsTable[GroupByKey]=ContinuousStatsTable[[#This Row],[GroupByKey]]),(ContinuousStatsTable[GroupByKey]=ContinuousStatsTable[[#This Row],[GroupByKey]])*ContinuousStatsTable[Average]))</f>
        <v>0</v>
      </c>
      <c r="T385" s="5" cm="1">
        <f t="array" ref="T385">MAX(IF((ContinuousStatsTable[GroupByKey]=ContinuousStatsTable[[#This Row],[GroupByKey]]),(ContinuousStatsTable[GroupByKey]=ContinuousStatsTable[[#This Row],[GroupByKey]])*ContinuousStatsTable[Average]))</f>
        <v>0</v>
      </c>
      <c r="U385" s="5">
        <f>IF((ContinuousStatsTable[[#This Row],[RepsRequested]]&gt;1),ContinuousStatsTable[[#This Row],[HalfWidth]],ContinuousStatsTable[[#This Row],[BatchMeansHalfWidth]])</f>
        <v>0</v>
      </c>
    </row>
    <row r="386" spans="1:21" x14ac:dyDescent="0.3">
      <c r="A386" t="s">
        <v>66</v>
      </c>
      <c r="B386" t="s">
        <v>68</v>
      </c>
      <c r="C386">
        <v>10</v>
      </c>
      <c r="D386" t="s">
        <v>111</v>
      </c>
      <c r="E386" t="s">
        <v>102</v>
      </c>
      <c r="F386" t="s">
        <v>103</v>
      </c>
      <c r="G386">
        <v>3.4559803197651798E-2</v>
      </c>
      <c r="H386">
        <v>2E+20</v>
      </c>
      <c r="I386">
        <v>0</v>
      </c>
      <c r="J386">
        <v>1</v>
      </c>
      <c r="K386">
        <v>1</v>
      </c>
      <c r="L386">
        <v>0</v>
      </c>
      <c r="M386" s="5" t="str">
        <f>ContinuousStatsTable[[#This Row],[ProjectName]]&amp;ContinuousStatsTable[[#This Row],[Name]]&amp;ContinuousStatsTable[[#This Row],[Type]]&amp;ContinuousStatsTable[[#This Row],[Source]]</f>
        <v>Unnamed Projectregistro1Instantaneous UtilizationResource</v>
      </c>
      <c r="N386" s="5" cm="1">
        <f t="array" ref="N386">MAX(IF((ProjectInfoTable[ProjectName]=ContinuousStatsTable[[#This Row],[ProjectName]]),(ProjectInfoTable[ProjectName]=ContinuousStatsTable[[#This Row],[ProjectName]])*ProjectInfoTable[NumberOfReplications]))</f>
        <v>10</v>
      </c>
      <c r="O386" s="5" cm="1">
        <f t="array" ref="O386">IFERROR(AVERAGE(IF((ContinuousStatsTable[GroupByKey]=ContinuousStatsTable[[#This Row],[GroupByKey]]),(ContinuousStatsTable[GroupByKey]=ContinuousStatsTable[[#This Row],[GroupByKey]])*ContinuousStatsTable[Average])),0)</f>
        <v>5.6433247648491516E-2</v>
      </c>
      <c r="P386" s="5" cm="1">
        <f t="array" ref="P386">IFERROR(_xlfn.STDEV.S(IF((ContinuousStatsTable[GroupByKey]=ContinuousStatsTable[[#This Row],[GroupByKey]]),(ContinuousStatsTable[GroupByKey]=ContinuousStatsTable[[#This Row],[GroupByKey]])*ContinuousStatsTable[Average])),0)</f>
        <v>2.4456082934732001E-2</v>
      </c>
      <c r="Q386" s="5" cm="1">
        <f t="array" ref="Q386">MAX(IF((ProjectInfoTable[ProjectName]=ContinuousStatsTable[[#This Row],[ProjectName]]),(ProjectInfoTable[ProjectName]=ContinuousStatsTable[[#This Row],[ProjectName]])*ProjectInfoTable[ConfidenceInterval]))</f>
        <v>0.95</v>
      </c>
      <c r="R3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1.7494827820351853E-2</v>
      </c>
      <c r="S386" s="5" cm="1">
        <f t="array" ref="S386">MIN(IF((ContinuousStatsTable[GroupByKey]=ContinuousStatsTable[[#This Row],[GroupByKey]]),(ContinuousStatsTable[GroupByKey]=ContinuousStatsTable[[#This Row],[GroupByKey]])*ContinuousStatsTable[Average]))</f>
        <v>2.1279401430778E-2</v>
      </c>
      <c r="T386" s="5" cm="1">
        <f t="array" ref="T386">MAX(IF((ContinuousStatsTable[GroupByKey]=ContinuousStatsTable[[#This Row],[GroupByKey]]),(ContinuousStatsTable[GroupByKey]=ContinuousStatsTable[[#This Row],[GroupByKey]])*ContinuousStatsTable[Average]))</f>
        <v>8.8472374570180701E-2</v>
      </c>
      <c r="U386" s="5">
        <f>IF((ContinuousStatsTable[[#This Row],[RepsRequested]]&gt;1),ContinuousStatsTable[[#This Row],[HalfWidth]],ContinuousStatsTable[[#This Row],[BatchMeansHalfWidth]])</f>
        <v>1.7494827820351853E-2</v>
      </c>
    </row>
    <row r="387" spans="1:21" x14ac:dyDescent="0.3">
      <c r="A387" t="s">
        <v>66</v>
      </c>
      <c r="B387" t="s">
        <v>68</v>
      </c>
      <c r="C387">
        <v>10</v>
      </c>
      <c r="D387" t="s">
        <v>111</v>
      </c>
      <c r="E387" t="s">
        <v>104</v>
      </c>
      <c r="F387" t="s">
        <v>103</v>
      </c>
      <c r="G387">
        <v>3.4559803197651798E-2</v>
      </c>
      <c r="H387">
        <v>2E+20</v>
      </c>
      <c r="I387">
        <v>0</v>
      </c>
      <c r="J387">
        <v>1</v>
      </c>
      <c r="K387">
        <v>1</v>
      </c>
      <c r="L387">
        <v>0</v>
      </c>
      <c r="M387" s="5" t="str">
        <f>ContinuousStatsTable[[#This Row],[ProjectName]]&amp;ContinuousStatsTable[[#This Row],[Name]]&amp;ContinuousStatsTable[[#This Row],[Type]]&amp;ContinuousStatsTable[[#This Row],[Source]]</f>
        <v>Unnamed Projectregistro1Number BusyResource</v>
      </c>
      <c r="N387" s="5" cm="1">
        <f t="array" ref="N387">MAX(IF((ProjectInfoTable[ProjectName]=ContinuousStatsTable[[#This Row],[ProjectName]]),(ProjectInfoTable[ProjectName]=ContinuousStatsTable[[#This Row],[ProjectName]])*ProjectInfoTable[NumberOfReplications]))</f>
        <v>10</v>
      </c>
      <c r="O387" s="5" cm="1">
        <f t="array" ref="O387">IFERROR(AVERAGE(IF((ContinuousStatsTable[GroupByKey]=ContinuousStatsTable[[#This Row],[GroupByKey]]),(ContinuousStatsTable[GroupByKey]=ContinuousStatsTable[[#This Row],[GroupByKey]])*ContinuousStatsTable[Average])),0)</f>
        <v>5.6433247648491516E-2</v>
      </c>
      <c r="P387" s="5" cm="1">
        <f t="array" ref="P387">IFERROR(_xlfn.STDEV.S(IF((ContinuousStatsTable[GroupByKey]=ContinuousStatsTable[[#This Row],[GroupByKey]]),(ContinuousStatsTable[GroupByKey]=ContinuousStatsTable[[#This Row],[GroupByKey]])*ContinuousStatsTable[Average])),0)</f>
        <v>2.4456082934732001E-2</v>
      </c>
      <c r="Q387" s="5" cm="1">
        <f t="array" ref="Q387">MAX(IF((ProjectInfoTable[ProjectName]=ContinuousStatsTable[[#This Row],[ProjectName]]),(ProjectInfoTable[ProjectName]=ContinuousStatsTable[[#This Row],[ProjectName]])*ProjectInfoTable[ConfidenceInterval]))</f>
        <v>0.95</v>
      </c>
      <c r="R3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1.7494827820351853E-2</v>
      </c>
      <c r="S387" s="5" cm="1">
        <f t="array" ref="S387">MIN(IF((ContinuousStatsTable[GroupByKey]=ContinuousStatsTable[[#This Row],[GroupByKey]]),(ContinuousStatsTable[GroupByKey]=ContinuousStatsTable[[#This Row],[GroupByKey]])*ContinuousStatsTable[Average]))</f>
        <v>2.1279401430778E-2</v>
      </c>
      <c r="T387" s="5" cm="1">
        <f t="array" ref="T387">MAX(IF((ContinuousStatsTable[GroupByKey]=ContinuousStatsTable[[#This Row],[GroupByKey]]),(ContinuousStatsTable[GroupByKey]=ContinuousStatsTable[[#This Row],[GroupByKey]])*ContinuousStatsTable[Average]))</f>
        <v>8.8472374570180701E-2</v>
      </c>
      <c r="U387" s="5">
        <f>IF((ContinuousStatsTable[[#This Row],[RepsRequested]]&gt;1),ContinuousStatsTable[[#This Row],[HalfWidth]],ContinuousStatsTable[[#This Row],[BatchMeansHalfWidth]])</f>
        <v>1.7494827820351853E-2</v>
      </c>
    </row>
    <row r="388" spans="1:21" x14ac:dyDescent="0.3">
      <c r="A388" t="s">
        <v>66</v>
      </c>
      <c r="B388" t="s">
        <v>68</v>
      </c>
      <c r="C388">
        <v>10</v>
      </c>
      <c r="D388" t="s">
        <v>111</v>
      </c>
      <c r="E388" t="s">
        <v>105</v>
      </c>
      <c r="F388" t="s">
        <v>103</v>
      </c>
      <c r="G388">
        <v>1</v>
      </c>
      <c r="H388">
        <v>2E+20</v>
      </c>
      <c r="I388">
        <v>1</v>
      </c>
      <c r="J388">
        <v>1</v>
      </c>
      <c r="K388">
        <v>1</v>
      </c>
      <c r="L388">
        <v>0</v>
      </c>
      <c r="M388" s="5" t="str">
        <f>ContinuousStatsTable[[#This Row],[ProjectName]]&amp;ContinuousStatsTable[[#This Row],[Name]]&amp;ContinuousStatsTable[[#This Row],[Type]]&amp;ContinuousStatsTable[[#This Row],[Source]]</f>
        <v>Unnamed Projectregistro1Number ScheduledResource</v>
      </c>
      <c r="N388" s="5" cm="1">
        <f t="array" ref="N388">MAX(IF((ProjectInfoTable[ProjectName]=ContinuousStatsTable[[#This Row],[ProjectName]]),(ProjectInfoTable[ProjectName]=ContinuousStatsTable[[#This Row],[ProjectName]])*ProjectInfoTable[NumberOfReplications]))</f>
        <v>10</v>
      </c>
      <c r="O388" s="5" cm="1">
        <f t="array" ref="O388">IFERROR(AVERAGE(IF((ContinuousStatsTable[GroupByKey]=ContinuousStatsTable[[#This Row],[GroupByKey]]),(ContinuousStatsTable[GroupByKey]=ContinuousStatsTable[[#This Row],[GroupByKey]])*ContinuousStatsTable[Average])),0)</f>
        <v>1</v>
      </c>
      <c r="P388" s="5" cm="1">
        <f t="array" ref="P388">IFERROR(_xlfn.STDEV.S(IF((ContinuousStatsTable[GroupByKey]=ContinuousStatsTable[[#This Row],[GroupByKey]]),(ContinuousStatsTable[GroupByKey]=ContinuousStatsTable[[#This Row],[GroupByKey]])*ContinuousStatsTable[Average])),0)</f>
        <v>0</v>
      </c>
      <c r="Q388" s="5" cm="1">
        <f t="array" ref="Q388">MAX(IF((ProjectInfoTable[ProjectName]=ContinuousStatsTable[[#This Row],[ProjectName]]),(ProjectInfoTable[ProjectName]=ContinuousStatsTable[[#This Row],[ProjectName]])*ProjectInfoTable[ConfidenceInterval]))</f>
        <v>0.95</v>
      </c>
      <c r="R3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8" s="5" cm="1">
        <f t="array" ref="S388">MIN(IF((ContinuousStatsTable[GroupByKey]=ContinuousStatsTable[[#This Row],[GroupByKey]]),(ContinuousStatsTable[GroupByKey]=ContinuousStatsTable[[#This Row],[GroupByKey]])*ContinuousStatsTable[Average]))</f>
        <v>1</v>
      </c>
      <c r="T388" s="5" cm="1">
        <f t="array" ref="T388">MAX(IF((ContinuousStatsTable[GroupByKey]=ContinuousStatsTable[[#This Row],[GroupByKey]]),(ContinuousStatsTable[GroupByKey]=ContinuousStatsTable[[#This Row],[GroupByKey]])*ContinuousStatsTable[Average]))</f>
        <v>1</v>
      </c>
      <c r="U388" s="5">
        <f>IF((ContinuousStatsTable[[#This Row],[RepsRequested]]&gt;1),ContinuousStatsTable[[#This Row],[HalfWidth]],ContinuousStatsTable[[#This Row],[BatchMeansHalfWidth]])</f>
        <v>0</v>
      </c>
    </row>
    <row r="389" spans="1:21" x14ac:dyDescent="0.3">
      <c r="A389" t="s">
        <v>66</v>
      </c>
      <c r="B389" t="s">
        <v>68</v>
      </c>
      <c r="C389">
        <v>10</v>
      </c>
      <c r="D389" t="s">
        <v>112</v>
      </c>
      <c r="E389" t="s">
        <v>102</v>
      </c>
      <c r="F389" t="s">
        <v>103</v>
      </c>
      <c r="G389">
        <v>0.44616177968798199</v>
      </c>
      <c r="H389">
        <v>2E+20</v>
      </c>
      <c r="I389">
        <v>0</v>
      </c>
      <c r="J389">
        <v>1</v>
      </c>
      <c r="K389">
        <v>0</v>
      </c>
      <c r="L389">
        <v>0</v>
      </c>
      <c r="M389" s="5" t="str">
        <f>ContinuousStatsTable[[#This Row],[ProjectName]]&amp;ContinuousStatsTable[[#This Row],[Name]]&amp;ContinuousStatsTable[[#This Row],[Type]]&amp;ContinuousStatsTable[[#This Row],[Source]]</f>
        <v>Unnamed Projectregistro2Instantaneous UtilizationResource</v>
      </c>
      <c r="N389" s="5" cm="1">
        <f t="array" ref="N389">MAX(IF((ProjectInfoTable[ProjectName]=ContinuousStatsTable[[#This Row],[ProjectName]]),(ProjectInfoTable[ProjectName]=ContinuousStatsTable[[#This Row],[ProjectName]])*ProjectInfoTable[NumberOfReplications]))</f>
        <v>10</v>
      </c>
      <c r="O389" s="5" cm="1">
        <f t="array" ref="O389">IFERROR(AVERAGE(IF((ContinuousStatsTable[GroupByKey]=ContinuousStatsTable[[#This Row],[GroupByKey]]),(ContinuousStatsTable[GroupByKey]=ContinuousStatsTable[[#This Row],[GroupByKey]])*ContinuousStatsTable[Average])),0)</f>
        <v>0.46274808587050231</v>
      </c>
      <c r="P389" s="5" cm="1">
        <f t="array" ref="P389">IFERROR(_xlfn.STDEV.S(IF((ContinuousStatsTable[GroupByKey]=ContinuousStatsTable[[#This Row],[GroupByKey]]),(ContinuousStatsTable[GroupByKey]=ContinuousStatsTable[[#This Row],[GroupByKey]])*ContinuousStatsTable[Average])),0)</f>
        <v>9.1165192054027525E-2</v>
      </c>
      <c r="Q389" s="5" cm="1">
        <f t="array" ref="Q389">MAX(IF((ProjectInfoTable[ProjectName]=ContinuousStatsTable[[#This Row],[ProjectName]]),(ProjectInfoTable[ProjectName]=ContinuousStatsTable[[#This Row],[ProjectName]])*ProjectInfoTable[ConfidenceInterval]))</f>
        <v>0.95</v>
      </c>
      <c r="R3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6.5215649719990554E-2</v>
      </c>
      <c r="S389" s="5" cm="1">
        <f t="array" ref="S389">MIN(IF((ContinuousStatsTable[GroupByKey]=ContinuousStatsTable[[#This Row],[GroupByKey]]),(ContinuousStatsTable[GroupByKey]=ContinuousStatsTable[[#This Row],[GroupByKey]])*ContinuousStatsTable[Average]))</f>
        <v>0.338210899349628</v>
      </c>
      <c r="T389" s="5" cm="1">
        <f t="array" ref="T389">MAX(IF((ContinuousStatsTable[GroupByKey]=ContinuousStatsTable[[#This Row],[GroupByKey]]),(ContinuousStatsTable[GroupByKey]=ContinuousStatsTable[[#This Row],[GroupByKey]])*ContinuousStatsTable[Average]))</f>
        <v>0.66990172486561195</v>
      </c>
      <c r="U389" s="5">
        <f>IF((ContinuousStatsTable[[#This Row],[RepsRequested]]&gt;1),ContinuousStatsTable[[#This Row],[HalfWidth]],ContinuousStatsTable[[#This Row],[BatchMeansHalfWidth]])</f>
        <v>6.5215649719990554E-2</v>
      </c>
    </row>
    <row r="390" spans="1:21" x14ac:dyDescent="0.3">
      <c r="A390" t="s">
        <v>66</v>
      </c>
      <c r="B390" t="s">
        <v>68</v>
      </c>
      <c r="C390">
        <v>10</v>
      </c>
      <c r="D390" t="s">
        <v>112</v>
      </c>
      <c r="E390" t="s">
        <v>104</v>
      </c>
      <c r="F390" t="s">
        <v>103</v>
      </c>
      <c r="G390">
        <v>0.44616177968798199</v>
      </c>
      <c r="H390">
        <v>2E+20</v>
      </c>
      <c r="I390">
        <v>0</v>
      </c>
      <c r="J390">
        <v>1</v>
      </c>
      <c r="K390">
        <v>0</v>
      </c>
      <c r="L390">
        <v>0</v>
      </c>
      <c r="M390" s="5" t="str">
        <f>ContinuousStatsTable[[#This Row],[ProjectName]]&amp;ContinuousStatsTable[[#This Row],[Name]]&amp;ContinuousStatsTable[[#This Row],[Type]]&amp;ContinuousStatsTable[[#This Row],[Source]]</f>
        <v>Unnamed Projectregistro2Number BusyResource</v>
      </c>
      <c r="N390" s="5" cm="1">
        <f t="array" ref="N390">MAX(IF((ProjectInfoTable[ProjectName]=ContinuousStatsTable[[#This Row],[ProjectName]]),(ProjectInfoTable[ProjectName]=ContinuousStatsTable[[#This Row],[ProjectName]])*ProjectInfoTable[NumberOfReplications]))</f>
        <v>10</v>
      </c>
      <c r="O390" s="5" cm="1">
        <f t="array" ref="O390">IFERROR(AVERAGE(IF((ContinuousStatsTable[GroupByKey]=ContinuousStatsTable[[#This Row],[GroupByKey]]),(ContinuousStatsTable[GroupByKey]=ContinuousStatsTable[[#This Row],[GroupByKey]])*ContinuousStatsTable[Average])),0)</f>
        <v>0.46274808587050231</v>
      </c>
      <c r="P390" s="5" cm="1">
        <f t="array" ref="P390">IFERROR(_xlfn.STDEV.S(IF((ContinuousStatsTable[GroupByKey]=ContinuousStatsTable[[#This Row],[GroupByKey]]),(ContinuousStatsTable[GroupByKey]=ContinuousStatsTable[[#This Row],[GroupByKey]])*ContinuousStatsTable[Average])),0)</f>
        <v>9.1165192054027525E-2</v>
      </c>
      <c r="Q390" s="5" cm="1">
        <f t="array" ref="Q390">MAX(IF((ProjectInfoTable[ProjectName]=ContinuousStatsTable[[#This Row],[ProjectName]]),(ProjectInfoTable[ProjectName]=ContinuousStatsTable[[#This Row],[ProjectName]])*ProjectInfoTable[ConfidenceInterval]))</f>
        <v>0.95</v>
      </c>
      <c r="R3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6.5215649719990554E-2</v>
      </c>
      <c r="S390" s="5" cm="1">
        <f t="array" ref="S390">MIN(IF((ContinuousStatsTable[GroupByKey]=ContinuousStatsTable[[#This Row],[GroupByKey]]),(ContinuousStatsTable[GroupByKey]=ContinuousStatsTable[[#This Row],[GroupByKey]])*ContinuousStatsTable[Average]))</f>
        <v>0.338210899349628</v>
      </c>
      <c r="T390" s="5" cm="1">
        <f t="array" ref="T390">MAX(IF((ContinuousStatsTable[GroupByKey]=ContinuousStatsTable[[#This Row],[GroupByKey]]),(ContinuousStatsTable[GroupByKey]=ContinuousStatsTable[[#This Row],[GroupByKey]])*ContinuousStatsTable[Average]))</f>
        <v>0.66990172486561195</v>
      </c>
      <c r="U390" s="5">
        <f>IF((ContinuousStatsTable[[#This Row],[RepsRequested]]&gt;1),ContinuousStatsTable[[#This Row],[HalfWidth]],ContinuousStatsTable[[#This Row],[BatchMeansHalfWidth]])</f>
        <v>6.5215649719990554E-2</v>
      </c>
    </row>
    <row r="391" spans="1:21" x14ac:dyDescent="0.3">
      <c r="A391" t="s">
        <v>66</v>
      </c>
      <c r="B391" t="s">
        <v>68</v>
      </c>
      <c r="C391">
        <v>10</v>
      </c>
      <c r="D391" t="s">
        <v>112</v>
      </c>
      <c r="E391" t="s">
        <v>105</v>
      </c>
      <c r="F391" t="s">
        <v>103</v>
      </c>
      <c r="G391">
        <v>1</v>
      </c>
      <c r="H391">
        <v>2E+20</v>
      </c>
      <c r="I391">
        <v>1</v>
      </c>
      <c r="J391">
        <v>1</v>
      </c>
      <c r="K391">
        <v>1</v>
      </c>
      <c r="L391">
        <v>0</v>
      </c>
      <c r="M391" s="5" t="str">
        <f>ContinuousStatsTable[[#This Row],[ProjectName]]&amp;ContinuousStatsTable[[#This Row],[Name]]&amp;ContinuousStatsTable[[#This Row],[Type]]&amp;ContinuousStatsTable[[#This Row],[Source]]</f>
        <v>Unnamed Projectregistro2Number ScheduledResource</v>
      </c>
      <c r="N391" s="5" cm="1">
        <f t="array" ref="N391">MAX(IF((ProjectInfoTable[ProjectName]=ContinuousStatsTable[[#This Row],[ProjectName]]),(ProjectInfoTable[ProjectName]=ContinuousStatsTable[[#This Row],[ProjectName]])*ProjectInfoTable[NumberOfReplications]))</f>
        <v>10</v>
      </c>
      <c r="O391" s="5" cm="1">
        <f t="array" ref="O391">IFERROR(AVERAGE(IF((ContinuousStatsTable[GroupByKey]=ContinuousStatsTable[[#This Row],[GroupByKey]]),(ContinuousStatsTable[GroupByKey]=ContinuousStatsTable[[#This Row],[GroupByKey]])*ContinuousStatsTable[Average])),0)</f>
        <v>1</v>
      </c>
      <c r="P391" s="5" cm="1">
        <f t="array" ref="P391">IFERROR(_xlfn.STDEV.S(IF((ContinuousStatsTable[GroupByKey]=ContinuousStatsTable[[#This Row],[GroupByKey]]),(ContinuousStatsTable[GroupByKey]=ContinuousStatsTable[[#This Row],[GroupByKey]])*ContinuousStatsTable[Average])),0)</f>
        <v>0</v>
      </c>
      <c r="Q391" s="5" cm="1">
        <f t="array" ref="Q391">MAX(IF((ProjectInfoTable[ProjectName]=ContinuousStatsTable[[#This Row],[ProjectName]]),(ProjectInfoTable[ProjectName]=ContinuousStatsTable[[#This Row],[ProjectName]])*ProjectInfoTable[ConfidenceInterval]))</f>
        <v>0.95</v>
      </c>
      <c r="R3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1" s="5" cm="1">
        <f t="array" ref="S391">MIN(IF((ContinuousStatsTable[GroupByKey]=ContinuousStatsTable[[#This Row],[GroupByKey]]),(ContinuousStatsTable[GroupByKey]=ContinuousStatsTable[[#This Row],[GroupByKey]])*ContinuousStatsTable[Average]))</f>
        <v>1</v>
      </c>
      <c r="T391" s="5" cm="1">
        <f t="array" ref="T391">MAX(IF((ContinuousStatsTable[GroupByKey]=ContinuousStatsTable[[#This Row],[GroupByKey]]),(ContinuousStatsTable[GroupByKey]=ContinuousStatsTable[[#This Row],[GroupByKey]])*ContinuousStatsTable[Average]))</f>
        <v>1</v>
      </c>
      <c r="U391" s="5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391">
    <cfRule type="expression" dxfId="18" priority="9">
      <formula>H2=200000000000000000000</formula>
    </cfRule>
  </conditionalFormatting>
  <conditionalFormatting sqref="H2:H391">
    <cfRule type="expression" dxfId="17" priority="7">
      <formula>H2=300000000000000000000</formula>
    </cfRule>
  </conditionalFormatting>
  <conditionalFormatting sqref="M2:U391">
    <cfRule type="expression" dxfId="16" priority="5">
      <formula>MOD(ROW(),2)=0</formula>
    </cfRule>
  </conditionalFormatting>
  <conditionalFormatting sqref="U2:U391">
    <cfRule type="expression" dxfId="15" priority="3">
      <formula>U2=200000000000000000000</formula>
    </cfRule>
    <cfRule type="expression" dxfId="14" priority="4">
      <formula>U2=300000000000000000000</formula>
    </cfRule>
  </conditionalFormatting>
  <conditionalFormatting sqref="R2:R391 U2:U391">
    <cfRule type="expression" dxfId="1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21"/>
  <sheetViews>
    <sheetView workbookViewId="0">
      <selection activeCell="G2" sqref="G2"/>
    </sheetView>
  </sheetViews>
  <sheetFormatPr baseColWidth="10" defaultColWidth="8.88671875" defaultRowHeight="14.4" x14ac:dyDescent="0.3"/>
  <cols>
    <col min="1" max="1" width="15.109375" bestFit="1" customWidth="1"/>
    <col min="2" max="2" width="21.109375" bestFit="1" customWidth="1"/>
    <col min="3" max="3" width="12.5546875" bestFit="1" customWidth="1"/>
    <col min="4" max="4" width="13.44140625" bestFit="1" customWidth="1"/>
    <col min="5" max="5" width="7.33203125" bestFit="1" customWidth="1"/>
    <col min="6" max="6" width="12.5546875" bestFit="1" customWidth="1"/>
    <col min="7" max="7" width="16" bestFit="1" customWidth="1"/>
    <col min="8" max="8" width="44.6640625" bestFit="1" customWidth="1"/>
    <col min="9" max="9" width="16.109375" bestFit="1" customWidth="1"/>
    <col min="10" max="10" width="10.109375" bestFit="1" customWidth="1"/>
    <col min="11" max="11" width="19" bestFit="1" customWidth="1"/>
    <col min="12" max="12" width="19.33203125" bestFit="1" customWidth="1"/>
    <col min="13" max="13" width="12" bestFit="1" customWidth="1"/>
    <col min="14" max="14" width="11.44140625" bestFit="1" customWidth="1"/>
    <col min="15" max="15" width="11.7773437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">
      <c r="A2" t="s">
        <v>66</v>
      </c>
      <c r="B2" t="s">
        <v>68</v>
      </c>
      <c r="C2">
        <v>1</v>
      </c>
      <c r="D2" t="s">
        <v>113</v>
      </c>
      <c r="E2" t="s">
        <v>114</v>
      </c>
      <c r="F2" t="s">
        <v>91</v>
      </c>
      <c r="G2">
        <v>14</v>
      </c>
      <c r="H2" t="str">
        <f>CountersTable[[#This Row],[ProjectName]]&amp;CountersTable[[#This Row],[Name]]&amp;CountersTable[[#This Row],[Type]]&amp;CountersTable[[#This Row],[Source]]</f>
        <v>Unnamed ProjectD.internacionalCountUser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10</v>
      </c>
      <c r="J2" cm="1">
        <f t="array" ref="J2">IFERROR(AVERAGE(IF((CountersTable[GroupByKey]=CountersTable[[#This Row],[GroupByKey]]),(CountersTable[GroupByKey]=CountersTable[[#This Row],[GroupByKey]])*CountersTable[RecordedValue])),0)</f>
        <v>11.2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2.4404006956964146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1.7457574910020446</v>
      </c>
      <c r="N2" cm="1">
        <f t="array" ref="N2">MIN(IF((CountersTable[GroupByKey]=CountersTable[[#This Row],[GroupByKey]]),(CountersTable[GroupByKey]=CountersTable[[#This Row],[GroupByKey]])*CountersTable[RecordedValue]))</f>
        <v>8</v>
      </c>
      <c r="O2" cm="1">
        <f t="array" ref="O2">MAX(IF((CountersTable[GroupByKey]=CountersTable[[#This Row],[GroupByKey]]),(CountersTable[GroupByKey]=CountersTable[[#This Row],[GroupByKey]])*CountersTable[RecordedValue]))</f>
        <v>14</v>
      </c>
    </row>
    <row r="3" spans="1:15" x14ac:dyDescent="0.3">
      <c r="A3" t="s">
        <v>66</v>
      </c>
      <c r="B3" t="s">
        <v>68</v>
      </c>
      <c r="C3">
        <v>1</v>
      </c>
      <c r="D3" t="s">
        <v>115</v>
      </c>
      <c r="E3" t="s">
        <v>114</v>
      </c>
      <c r="F3" t="s">
        <v>91</v>
      </c>
      <c r="G3">
        <v>0</v>
      </c>
      <c r="H3" t="str">
        <f>CountersTable[[#This Row],[ProjectName]]&amp;CountersTable[[#This Row],[Name]]&amp;CountersTable[[#This Row],[Type]]&amp;CountersTable[[#This Row],[Source]]</f>
        <v>Unnamed ProjectD.nacionalCountUser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10</v>
      </c>
      <c r="J3" cm="1">
        <f t="array" ref="J3">IFERROR(AVERAGE(IF((CountersTable[GroupByKey]=CountersTable[[#This Row],[GroupByKey]]),(CountersTable[GroupByKey]=CountersTable[[#This Row],[GroupByKey]])*CountersTable[RecordedValue])),0)</f>
        <v>3.9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2.2335820757001272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1.5978083629043778</v>
      </c>
      <c r="N3" cm="1">
        <f t="array" ref="N3">MIN(IF((CountersTable[GroupByKey]=CountersTable[[#This Row],[GroupByKey]]),(CountersTable[GroupByKey]=CountersTable[[#This Row],[GroupByKey]])*CountersTable[RecordedValue]))</f>
        <v>0</v>
      </c>
      <c r="O3" cm="1">
        <f t="array" ref="O3">MAX(IF((CountersTable[GroupByKey]=CountersTable[[#This Row],[GroupByKey]]),(CountersTable[GroupByKey]=CountersTable[[#This Row],[GroupByKey]])*CountersTable[RecordedValue]))</f>
        <v>6</v>
      </c>
    </row>
    <row r="4" spans="1:15" x14ac:dyDescent="0.3">
      <c r="A4" t="s">
        <v>66</v>
      </c>
      <c r="B4" t="s">
        <v>68</v>
      </c>
      <c r="C4">
        <v>2</v>
      </c>
      <c r="D4" t="s">
        <v>113</v>
      </c>
      <c r="E4" t="s">
        <v>114</v>
      </c>
      <c r="F4" t="s">
        <v>91</v>
      </c>
      <c r="G4">
        <v>14</v>
      </c>
      <c r="H4" t="str">
        <f>CountersTable[[#This Row],[ProjectName]]&amp;CountersTable[[#This Row],[Name]]&amp;CountersTable[[#This Row],[Type]]&amp;CountersTable[[#This Row],[Source]]</f>
        <v>Unnamed ProjectD.internacionalCountUser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10</v>
      </c>
      <c r="J4" cm="1">
        <f t="array" ref="J4">IFERROR(AVERAGE(IF((CountersTable[GroupByKey]=CountersTable[[#This Row],[GroupByKey]]),(CountersTable[GroupByKey]=CountersTable[[#This Row],[GroupByKey]])*CountersTable[RecordedValue])),0)</f>
        <v>11.2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2.4404006956964146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1.7457574910020446</v>
      </c>
      <c r="N4" cm="1">
        <f t="array" ref="N4">MIN(IF((CountersTable[GroupByKey]=CountersTable[[#This Row],[GroupByKey]]),(CountersTable[GroupByKey]=CountersTable[[#This Row],[GroupByKey]])*CountersTable[RecordedValue]))</f>
        <v>8</v>
      </c>
      <c r="O4" cm="1">
        <f t="array" ref="O4">MAX(IF((CountersTable[GroupByKey]=CountersTable[[#This Row],[GroupByKey]]),(CountersTable[GroupByKey]=CountersTable[[#This Row],[GroupByKey]])*CountersTable[RecordedValue]))</f>
        <v>14</v>
      </c>
    </row>
    <row r="5" spans="1:15" x14ac:dyDescent="0.3">
      <c r="A5" t="s">
        <v>66</v>
      </c>
      <c r="B5" t="s">
        <v>68</v>
      </c>
      <c r="C5">
        <v>2</v>
      </c>
      <c r="D5" t="s">
        <v>115</v>
      </c>
      <c r="E5" t="s">
        <v>114</v>
      </c>
      <c r="F5" t="s">
        <v>91</v>
      </c>
      <c r="G5">
        <v>4</v>
      </c>
      <c r="H5" t="str">
        <f>CountersTable[[#This Row],[ProjectName]]&amp;CountersTable[[#This Row],[Name]]&amp;CountersTable[[#This Row],[Type]]&amp;CountersTable[[#This Row],[Source]]</f>
        <v>Unnamed ProjectD.nacionalCountUser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10</v>
      </c>
      <c r="J5" cm="1">
        <f t="array" ref="J5">IFERROR(AVERAGE(IF((CountersTable[GroupByKey]=CountersTable[[#This Row],[GroupByKey]]),(CountersTable[GroupByKey]=CountersTable[[#This Row],[GroupByKey]])*CountersTable[RecordedValue])),0)</f>
        <v>3.9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2.2335820757001272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1.5978083629043778</v>
      </c>
      <c r="N5" cm="1">
        <f t="array" ref="N5">MIN(IF((CountersTable[GroupByKey]=CountersTable[[#This Row],[GroupByKey]]),(CountersTable[GroupByKey]=CountersTable[[#This Row],[GroupByKey]])*CountersTable[RecordedValue]))</f>
        <v>0</v>
      </c>
      <c r="O5" cm="1">
        <f t="array" ref="O5">MAX(IF((CountersTable[GroupByKey]=CountersTable[[#This Row],[GroupByKey]]),(CountersTable[GroupByKey]=CountersTable[[#This Row],[GroupByKey]])*CountersTable[RecordedValue]))</f>
        <v>6</v>
      </c>
    </row>
    <row r="6" spans="1:15" x14ac:dyDescent="0.3">
      <c r="A6" t="s">
        <v>66</v>
      </c>
      <c r="B6" t="s">
        <v>68</v>
      </c>
      <c r="C6">
        <v>3</v>
      </c>
      <c r="D6" t="s">
        <v>113</v>
      </c>
      <c r="E6" t="s">
        <v>114</v>
      </c>
      <c r="F6" t="s">
        <v>91</v>
      </c>
      <c r="G6">
        <v>13</v>
      </c>
      <c r="H6" t="str">
        <f>CountersTable[[#This Row],[ProjectName]]&amp;CountersTable[[#This Row],[Name]]&amp;CountersTable[[#This Row],[Type]]&amp;CountersTable[[#This Row],[Source]]</f>
        <v>Unnamed ProjectD.internacionalCountUser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10</v>
      </c>
      <c r="J6" cm="1">
        <f t="array" ref="J6">IFERROR(AVERAGE(IF((CountersTable[GroupByKey]=CountersTable[[#This Row],[GroupByKey]]),(CountersTable[GroupByKey]=CountersTable[[#This Row],[GroupByKey]])*CountersTable[RecordedValue])),0)</f>
        <v>11.2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2.4404006956964146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1.7457574910020446</v>
      </c>
      <c r="N6" cm="1">
        <f t="array" ref="N6">MIN(IF((CountersTable[GroupByKey]=CountersTable[[#This Row],[GroupByKey]]),(CountersTable[GroupByKey]=CountersTable[[#This Row],[GroupByKey]])*CountersTable[RecordedValue]))</f>
        <v>8</v>
      </c>
      <c r="O6" cm="1">
        <f t="array" ref="O6">MAX(IF((CountersTable[GroupByKey]=CountersTable[[#This Row],[GroupByKey]]),(CountersTable[GroupByKey]=CountersTable[[#This Row],[GroupByKey]])*CountersTable[RecordedValue]))</f>
        <v>14</v>
      </c>
    </row>
    <row r="7" spans="1:15" x14ac:dyDescent="0.3">
      <c r="A7" t="s">
        <v>66</v>
      </c>
      <c r="B7" t="s">
        <v>68</v>
      </c>
      <c r="C7">
        <v>3</v>
      </c>
      <c r="D7" t="s">
        <v>115</v>
      </c>
      <c r="E7" t="s">
        <v>114</v>
      </c>
      <c r="F7" t="s">
        <v>91</v>
      </c>
      <c r="G7">
        <v>4</v>
      </c>
      <c r="H7" t="str">
        <f>CountersTable[[#This Row],[ProjectName]]&amp;CountersTable[[#This Row],[Name]]&amp;CountersTable[[#This Row],[Type]]&amp;CountersTable[[#This Row],[Source]]</f>
        <v>Unnamed ProjectD.nacionalCountUser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10</v>
      </c>
      <c r="J7" cm="1">
        <f t="array" ref="J7">IFERROR(AVERAGE(IF((CountersTable[GroupByKey]=CountersTable[[#This Row],[GroupByKey]]),(CountersTable[GroupByKey]=CountersTable[[#This Row],[GroupByKey]])*CountersTable[RecordedValue])),0)</f>
        <v>3.9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2.2335820757001272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1.5978083629043778</v>
      </c>
      <c r="N7" cm="1">
        <f t="array" ref="N7">MIN(IF((CountersTable[GroupByKey]=CountersTable[[#This Row],[GroupByKey]]),(CountersTable[GroupByKey]=CountersTable[[#This Row],[GroupByKey]])*CountersTable[RecordedValue]))</f>
        <v>0</v>
      </c>
      <c r="O7" cm="1">
        <f t="array" ref="O7">MAX(IF((CountersTable[GroupByKey]=CountersTable[[#This Row],[GroupByKey]]),(CountersTable[GroupByKey]=CountersTable[[#This Row],[GroupByKey]])*CountersTable[RecordedValue]))</f>
        <v>6</v>
      </c>
    </row>
    <row r="8" spans="1:15" x14ac:dyDescent="0.3">
      <c r="A8" t="s">
        <v>66</v>
      </c>
      <c r="B8" t="s">
        <v>68</v>
      </c>
      <c r="C8">
        <v>4</v>
      </c>
      <c r="D8" t="s">
        <v>113</v>
      </c>
      <c r="E8" t="s">
        <v>114</v>
      </c>
      <c r="F8" t="s">
        <v>91</v>
      </c>
      <c r="G8">
        <v>14</v>
      </c>
      <c r="H8" t="str">
        <f>CountersTable[[#This Row],[ProjectName]]&amp;CountersTable[[#This Row],[Name]]&amp;CountersTable[[#This Row],[Type]]&amp;CountersTable[[#This Row],[Source]]</f>
        <v>Unnamed ProjectD.internacionalCountUser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10</v>
      </c>
      <c r="J8" cm="1">
        <f t="array" ref="J8">IFERROR(AVERAGE(IF((CountersTable[GroupByKey]=CountersTable[[#This Row],[GroupByKey]]),(CountersTable[GroupByKey]=CountersTable[[#This Row],[GroupByKey]])*CountersTable[RecordedValue])),0)</f>
        <v>11.2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2.4404006956964146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1.7457574910020446</v>
      </c>
      <c r="N8" cm="1">
        <f t="array" ref="N8">MIN(IF((CountersTable[GroupByKey]=CountersTable[[#This Row],[GroupByKey]]),(CountersTable[GroupByKey]=CountersTable[[#This Row],[GroupByKey]])*CountersTable[RecordedValue]))</f>
        <v>8</v>
      </c>
      <c r="O8" cm="1">
        <f t="array" ref="O8">MAX(IF((CountersTable[GroupByKey]=CountersTable[[#This Row],[GroupByKey]]),(CountersTable[GroupByKey]=CountersTable[[#This Row],[GroupByKey]])*CountersTable[RecordedValue]))</f>
        <v>14</v>
      </c>
    </row>
    <row r="9" spans="1:15" x14ac:dyDescent="0.3">
      <c r="A9" t="s">
        <v>66</v>
      </c>
      <c r="B9" t="s">
        <v>68</v>
      </c>
      <c r="C9">
        <v>4</v>
      </c>
      <c r="D9" t="s">
        <v>115</v>
      </c>
      <c r="E9" t="s">
        <v>114</v>
      </c>
      <c r="F9" t="s">
        <v>91</v>
      </c>
      <c r="G9">
        <v>6</v>
      </c>
      <c r="H9" t="str">
        <f>CountersTable[[#This Row],[ProjectName]]&amp;CountersTable[[#This Row],[Name]]&amp;CountersTable[[#This Row],[Type]]&amp;CountersTable[[#This Row],[Source]]</f>
        <v>Unnamed ProjectD.nacionalCountUser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10</v>
      </c>
      <c r="J9" cm="1">
        <f t="array" ref="J9">IFERROR(AVERAGE(IF((CountersTable[GroupByKey]=CountersTable[[#This Row],[GroupByKey]]),(CountersTable[GroupByKey]=CountersTable[[#This Row],[GroupByKey]])*CountersTable[RecordedValue])),0)</f>
        <v>3.9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2.2335820757001272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1.5978083629043778</v>
      </c>
      <c r="N9" cm="1">
        <f t="array" ref="N9">MIN(IF((CountersTable[GroupByKey]=CountersTable[[#This Row],[GroupByKey]]),(CountersTable[GroupByKey]=CountersTable[[#This Row],[GroupByKey]])*CountersTable[RecordedValue]))</f>
        <v>0</v>
      </c>
      <c r="O9" cm="1">
        <f t="array" ref="O9">MAX(IF((CountersTable[GroupByKey]=CountersTable[[#This Row],[GroupByKey]]),(CountersTable[GroupByKey]=CountersTable[[#This Row],[GroupByKey]])*CountersTable[RecordedValue]))</f>
        <v>6</v>
      </c>
    </row>
    <row r="10" spans="1:15" x14ac:dyDescent="0.3">
      <c r="A10" t="s">
        <v>66</v>
      </c>
      <c r="B10" t="s">
        <v>68</v>
      </c>
      <c r="C10">
        <v>5</v>
      </c>
      <c r="D10" t="s">
        <v>113</v>
      </c>
      <c r="E10" t="s">
        <v>114</v>
      </c>
      <c r="F10" t="s">
        <v>91</v>
      </c>
      <c r="G10">
        <v>9</v>
      </c>
      <c r="H10" t="str">
        <f>CountersTable[[#This Row],[ProjectName]]&amp;CountersTable[[#This Row],[Name]]&amp;CountersTable[[#This Row],[Type]]&amp;CountersTable[[#This Row],[Source]]</f>
        <v>Unnamed ProjectD.internacionalCountUser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10</v>
      </c>
      <c r="J10" cm="1">
        <f t="array" ref="J10">IFERROR(AVERAGE(IF((CountersTable[GroupByKey]=CountersTable[[#This Row],[GroupByKey]]),(CountersTable[GroupByKey]=CountersTable[[#This Row],[GroupByKey]])*CountersTable[RecordedValue])),0)</f>
        <v>11.2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2.4404006956964146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1.7457574910020446</v>
      </c>
      <c r="N10" cm="1">
        <f t="array" ref="N10">MIN(IF((CountersTable[GroupByKey]=CountersTable[[#This Row],[GroupByKey]]),(CountersTable[GroupByKey]=CountersTable[[#This Row],[GroupByKey]])*CountersTable[RecordedValue]))</f>
        <v>8</v>
      </c>
      <c r="O10" cm="1">
        <f t="array" ref="O10">MAX(IF((CountersTable[GroupByKey]=CountersTable[[#This Row],[GroupByKey]]),(CountersTable[GroupByKey]=CountersTable[[#This Row],[GroupByKey]])*CountersTable[RecordedValue]))</f>
        <v>14</v>
      </c>
    </row>
    <row r="11" spans="1:15" x14ac:dyDescent="0.3">
      <c r="A11" t="s">
        <v>66</v>
      </c>
      <c r="B11" t="s">
        <v>68</v>
      </c>
      <c r="C11">
        <v>5</v>
      </c>
      <c r="D11" t="s">
        <v>115</v>
      </c>
      <c r="E11" t="s">
        <v>114</v>
      </c>
      <c r="F11" t="s">
        <v>91</v>
      </c>
      <c r="G11">
        <v>6</v>
      </c>
      <c r="H11" t="str">
        <f>CountersTable[[#This Row],[ProjectName]]&amp;CountersTable[[#This Row],[Name]]&amp;CountersTable[[#This Row],[Type]]&amp;CountersTable[[#This Row],[Source]]</f>
        <v>Unnamed ProjectD.nacionalCountUser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10</v>
      </c>
      <c r="J11" cm="1">
        <f t="array" ref="J11">IFERROR(AVERAGE(IF((CountersTable[GroupByKey]=CountersTable[[#This Row],[GroupByKey]]),(CountersTable[GroupByKey]=CountersTable[[#This Row],[GroupByKey]])*CountersTable[RecordedValue])),0)</f>
        <v>3.9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2.2335820757001272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1.5978083629043778</v>
      </c>
      <c r="N11" cm="1">
        <f t="array" ref="N11">MIN(IF((CountersTable[GroupByKey]=CountersTable[[#This Row],[GroupByKey]]),(CountersTable[GroupByKey]=CountersTable[[#This Row],[GroupByKey]])*CountersTable[RecordedValue]))</f>
        <v>0</v>
      </c>
      <c r="O11" cm="1">
        <f t="array" ref="O11">MAX(IF((CountersTable[GroupByKey]=CountersTable[[#This Row],[GroupByKey]]),(CountersTable[GroupByKey]=CountersTable[[#This Row],[GroupByKey]])*CountersTable[RecordedValue]))</f>
        <v>6</v>
      </c>
    </row>
    <row r="12" spans="1:15" x14ac:dyDescent="0.3">
      <c r="A12" t="s">
        <v>66</v>
      </c>
      <c r="B12" t="s">
        <v>68</v>
      </c>
      <c r="C12">
        <v>6</v>
      </c>
      <c r="D12" t="s">
        <v>113</v>
      </c>
      <c r="E12" t="s">
        <v>114</v>
      </c>
      <c r="F12" t="s">
        <v>91</v>
      </c>
      <c r="G12">
        <v>10</v>
      </c>
      <c r="H12" t="str">
        <f>CountersTable[[#This Row],[ProjectName]]&amp;CountersTable[[#This Row],[Name]]&amp;CountersTable[[#This Row],[Type]]&amp;CountersTable[[#This Row],[Source]]</f>
        <v>Unnamed ProjectD.internacionalCountUser Specified</v>
      </c>
      <c r="I12" s="5" cm="1">
        <f t="array" ref="I12">MAX(IF((ProjectInfoTable[ProjectName]=CountersTable[[#This Row],[ProjectName]]),(ProjectInfoTable[ProjectName]=CountersTable[[#This Row],[ProjectName]])*ProjectInfoTable[NumberOfReplications]))</f>
        <v>10</v>
      </c>
      <c r="J12" cm="1">
        <f t="array" ref="J12">IFERROR(AVERAGE(IF((CountersTable[GroupByKey]=CountersTable[[#This Row],[GroupByKey]]),(CountersTable[GroupByKey]=CountersTable[[#This Row],[GroupByKey]])*CountersTable[RecordedValue])),0)</f>
        <v>11.2</v>
      </c>
      <c r="K12" s="5" cm="1">
        <f t="array" ref="K12">IFERROR(_xlfn.STDEV.S(IF((CountersTable[GroupByKey]=CountersTable[[#This Row],[GroupByKey]]),(CountersTable[GroupByKey]=CountersTable[[#This Row],[GroupByKey]])*CountersTable[RecordedValue])),0)</f>
        <v>2.4404006956964146</v>
      </c>
      <c r="L12" s="5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 s="5">
        <f>IFERROR(_xlfn.T.INV.2T(1 - CountersTable[[#This Row],[ConfidenceInterval]],(CountersTable[[#This Row],[RepsRequested]]-1))*CountersTable[[#This Row],[StandardDeviation]]/SQRT(CountersTable[[#This Row],[RepsRequested]]),400000000000000000000)</f>
        <v>1.7457574910020446</v>
      </c>
      <c r="N12" s="5" cm="1">
        <f t="array" ref="N12">MIN(IF((CountersTable[GroupByKey]=CountersTable[[#This Row],[GroupByKey]]),(CountersTable[GroupByKey]=CountersTable[[#This Row],[GroupByKey]])*CountersTable[RecordedValue]))</f>
        <v>8</v>
      </c>
      <c r="O12" s="5" cm="1">
        <f t="array" ref="O12">MAX(IF((CountersTable[GroupByKey]=CountersTable[[#This Row],[GroupByKey]]),(CountersTable[GroupByKey]=CountersTable[[#This Row],[GroupByKey]])*CountersTable[RecordedValue]))</f>
        <v>14</v>
      </c>
    </row>
    <row r="13" spans="1:15" x14ac:dyDescent="0.3">
      <c r="A13" t="s">
        <v>66</v>
      </c>
      <c r="B13" t="s">
        <v>68</v>
      </c>
      <c r="C13">
        <v>6</v>
      </c>
      <c r="D13" t="s">
        <v>115</v>
      </c>
      <c r="E13" t="s">
        <v>114</v>
      </c>
      <c r="F13" t="s">
        <v>91</v>
      </c>
      <c r="G13">
        <v>4</v>
      </c>
      <c r="H13" t="str">
        <f>CountersTable[[#This Row],[ProjectName]]&amp;CountersTable[[#This Row],[Name]]&amp;CountersTable[[#This Row],[Type]]&amp;CountersTable[[#This Row],[Source]]</f>
        <v>Unnamed ProjectD.nacionalCountUser Specified</v>
      </c>
      <c r="I13" s="5" cm="1">
        <f t="array" ref="I13">MAX(IF((ProjectInfoTable[ProjectName]=CountersTable[[#This Row],[ProjectName]]),(ProjectInfoTable[ProjectName]=CountersTable[[#This Row],[ProjectName]])*ProjectInfoTable[NumberOfReplications]))</f>
        <v>10</v>
      </c>
      <c r="J13" cm="1">
        <f t="array" ref="J13">IFERROR(AVERAGE(IF((CountersTable[GroupByKey]=CountersTable[[#This Row],[GroupByKey]]),(CountersTable[GroupByKey]=CountersTable[[#This Row],[GroupByKey]])*CountersTable[RecordedValue])),0)</f>
        <v>3.9</v>
      </c>
      <c r="K13" s="5" cm="1">
        <f t="array" ref="K13">IFERROR(_xlfn.STDEV.S(IF((CountersTable[GroupByKey]=CountersTable[[#This Row],[GroupByKey]]),(CountersTable[GroupByKey]=CountersTable[[#This Row],[GroupByKey]])*CountersTable[RecordedValue])),0)</f>
        <v>2.2335820757001272</v>
      </c>
      <c r="L13" s="5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 s="5">
        <f>IFERROR(_xlfn.T.INV.2T(1 - CountersTable[[#This Row],[ConfidenceInterval]],(CountersTable[[#This Row],[RepsRequested]]-1))*CountersTable[[#This Row],[StandardDeviation]]/SQRT(CountersTable[[#This Row],[RepsRequested]]),400000000000000000000)</f>
        <v>1.5978083629043778</v>
      </c>
      <c r="N13" s="5" cm="1">
        <f t="array" ref="N13">MIN(IF((CountersTable[GroupByKey]=CountersTable[[#This Row],[GroupByKey]]),(CountersTable[GroupByKey]=CountersTable[[#This Row],[GroupByKey]])*CountersTable[RecordedValue]))</f>
        <v>0</v>
      </c>
      <c r="O13" s="5" cm="1">
        <f t="array" ref="O13">MAX(IF((CountersTable[GroupByKey]=CountersTable[[#This Row],[GroupByKey]]),(CountersTable[GroupByKey]=CountersTable[[#This Row],[GroupByKey]])*CountersTable[RecordedValue]))</f>
        <v>6</v>
      </c>
    </row>
    <row r="14" spans="1:15" x14ac:dyDescent="0.3">
      <c r="A14" t="s">
        <v>66</v>
      </c>
      <c r="B14" t="s">
        <v>68</v>
      </c>
      <c r="C14">
        <v>7</v>
      </c>
      <c r="D14" t="s">
        <v>113</v>
      </c>
      <c r="E14" t="s">
        <v>114</v>
      </c>
      <c r="F14" t="s">
        <v>91</v>
      </c>
      <c r="G14">
        <v>8</v>
      </c>
      <c r="H14" t="str">
        <f>CountersTable[[#This Row],[ProjectName]]&amp;CountersTable[[#This Row],[Name]]&amp;CountersTable[[#This Row],[Type]]&amp;CountersTable[[#This Row],[Source]]</f>
        <v>Unnamed ProjectD.internacionalCountUser Specified</v>
      </c>
      <c r="I14" s="5" cm="1">
        <f t="array" ref="I14">MAX(IF((ProjectInfoTable[ProjectName]=CountersTable[[#This Row],[ProjectName]]),(ProjectInfoTable[ProjectName]=CountersTable[[#This Row],[ProjectName]])*ProjectInfoTable[NumberOfReplications]))</f>
        <v>10</v>
      </c>
      <c r="J14" cm="1">
        <f t="array" ref="J14">IFERROR(AVERAGE(IF((CountersTable[GroupByKey]=CountersTable[[#This Row],[GroupByKey]]),(CountersTable[GroupByKey]=CountersTable[[#This Row],[GroupByKey]])*CountersTable[RecordedValue])),0)</f>
        <v>11.2</v>
      </c>
      <c r="K14" s="5" cm="1">
        <f t="array" ref="K14">IFERROR(_xlfn.STDEV.S(IF((CountersTable[GroupByKey]=CountersTable[[#This Row],[GroupByKey]]),(CountersTable[GroupByKey]=CountersTable[[#This Row],[GroupByKey]])*CountersTable[RecordedValue])),0)</f>
        <v>2.4404006956964146</v>
      </c>
      <c r="L14" s="5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 s="5">
        <f>IFERROR(_xlfn.T.INV.2T(1 - CountersTable[[#This Row],[ConfidenceInterval]],(CountersTable[[#This Row],[RepsRequested]]-1))*CountersTable[[#This Row],[StandardDeviation]]/SQRT(CountersTable[[#This Row],[RepsRequested]]),400000000000000000000)</f>
        <v>1.7457574910020446</v>
      </c>
      <c r="N14" s="5" cm="1">
        <f t="array" ref="N14">MIN(IF((CountersTable[GroupByKey]=CountersTable[[#This Row],[GroupByKey]]),(CountersTable[GroupByKey]=CountersTable[[#This Row],[GroupByKey]])*CountersTable[RecordedValue]))</f>
        <v>8</v>
      </c>
      <c r="O14" s="5" cm="1">
        <f t="array" ref="O14">MAX(IF((CountersTable[GroupByKey]=CountersTable[[#This Row],[GroupByKey]]),(CountersTable[GroupByKey]=CountersTable[[#This Row],[GroupByKey]])*CountersTable[RecordedValue]))</f>
        <v>14</v>
      </c>
    </row>
    <row r="15" spans="1:15" x14ac:dyDescent="0.3">
      <c r="A15" t="s">
        <v>66</v>
      </c>
      <c r="B15" t="s">
        <v>68</v>
      </c>
      <c r="C15">
        <v>7</v>
      </c>
      <c r="D15" t="s">
        <v>115</v>
      </c>
      <c r="E15" t="s">
        <v>114</v>
      </c>
      <c r="F15" t="s">
        <v>91</v>
      </c>
      <c r="G15">
        <v>6</v>
      </c>
      <c r="H15" t="str">
        <f>CountersTable[[#This Row],[ProjectName]]&amp;CountersTable[[#This Row],[Name]]&amp;CountersTable[[#This Row],[Type]]&amp;CountersTable[[#This Row],[Source]]</f>
        <v>Unnamed ProjectD.nacionalCountUser Specified</v>
      </c>
      <c r="I15" s="5" cm="1">
        <f t="array" ref="I15">MAX(IF((ProjectInfoTable[ProjectName]=CountersTable[[#This Row],[ProjectName]]),(ProjectInfoTable[ProjectName]=CountersTable[[#This Row],[ProjectName]])*ProjectInfoTable[NumberOfReplications]))</f>
        <v>10</v>
      </c>
      <c r="J15" cm="1">
        <f t="array" ref="J15">IFERROR(AVERAGE(IF((CountersTable[GroupByKey]=CountersTable[[#This Row],[GroupByKey]]),(CountersTable[GroupByKey]=CountersTable[[#This Row],[GroupByKey]])*CountersTable[RecordedValue])),0)</f>
        <v>3.9</v>
      </c>
      <c r="K15" s="5" cm="1">
        <f t="array" ref="K15">IFERROR(_xlfn.STDEV.S(IF((CountersTable[GroupByKey]=CountersTable[[#This Row],[GroupByKey]]),(CountersTable[GroupByKey]=CountersTable[[#This Row],[GroupByKey]])*CountersTable[RecordedValue])),0)</f>
        <v>2.2335820757001272</v>
      </c>
      <c r="L15" s="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 s="5">
        <f>IFERROR(_xlfn.T.INV.2T(1 - CountersTable[[#This Row],[ConfidenceInterval]],(CountersTable[[#This Row],[RepsRequested]]-1))*CountersTable[[#This Row],[StandardDeviation]]/SQRT(CountersTable[[#This Row],[RepsRequested]]),400000000000000000000)</f>
        <v>1.5978083629043778</v>
      </c>
      <c r="N15" s="5" cm="1">
        <f t="array" ref="N15">MIN(IF((CountersTable[GroupByKey]=CountersTable[[#This Row],[GroupByKey]]),(CountersTable[GroupByKey]=CountersTable[[#This Row],[GroupByKey]])*CountersTable[RecordedValue]))</f>
        <v>0</v>
      </c>
      <c r="O15" s="5" cm="1">
        <f t="array" ref="O15">MAX(IF((CountersTable[GroupByKey]=CountersTable[[#This Row],[GroupByKey]]),(CountersTable[GroupByKey]=CountersTable[[#This Row],[GroupByKey]])*CountersTable[RecordedValue]))</f>
        <v>6</v>
      </c>
    </row>
    <row r="16" spans="1:15" x14ac:dyDescent="0.3">
      <c r="A16" t="s">
        <v>66</v>
      </c>
      <c r="B16" t="s">
        <v>68</v>
      </c>
      <c r="C16">
        <v>8</v>
      </c>
      <c r="D16" t="s">
        <v>113</v>
      </c>
      <c r="E16" t="s">
        <v>114</v>
      </c>
      <c r="F16" t="s">
        <v>91</v>
      </c>
      <c r="G16">
        <v>8</v>
      </c>
      <c r="H16" t="str">
        <f>CountersTable[[#This Row],[ProjectName]]&amp;CountersTable[[#This Row],[Name]]&amp;CountersTable[[#This Row],[Type]]&amp;CountersTable[[#This Row],[Source]]</f>
        <v>Unnamed ProjectD.internacionalCountUser Specified</v>
      </c>
      <c r="I16" s="5" cm="1">
        <f t="array" ref="I16">MAX(IF((ProjectInfoTable[ProjectName]=CountersTable[[#This Row],[ProjectName]]),(ProjectInfoTable[ProjectName]=CountersTable[[#This Row],[ProjectName]])*ProjectInfoTable[NumberOfReplications]))</f>
        <v>10</v>
      </c>
      <c r="J16" cm="1">
        <f t="array" ref="J16">IFERROR(AVERAGE(IF((CountersTable[GroupByKey]=CountersTable[[#This Row],[GroupByKey]]),(CountersTable[GroupByKey]=CountersTable[[#This Row],[GroupByKey]])*CountersTable[RecordedValue])),0)</f>
        <v>11.2</v>
      </c>
      <c r="K16" s="5" cm="1">
        <f t="array" ref="K16">IFERROR(_xlfn.STDEV.S(IF((CountersTable[GroupByKey]=CountersTable[[#This Row],[GroupByKey]]),(CountersTable[GroupByKey]=CountersTable[[#This Row],[GroupByKey]])*CountersTable[RecordedValue])),0)</f>
        <v>2.4404006956964146</v>
      </c>
      <c r="L16" s="5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 s="5">
        <f>IFERROR(_xlfn.T.INV.2T(1 - CountersTable[[#This Row],[ConfidenceInterval]],(CountersTable[[#This Row],[RepsRequested]]-1))*CountersTable[[#This Row],[StandardDeviation]]/SQRT(CountersTable[[#This Row],[RepsRequested]]),400000000000000000000)</f>
        <v>1.7457574910020446</v>
      </c>
      <c r="N16" s="5" cm="1">
        <f t="array" ref="N16">MIN(IF((CountersTable[GroupByKey]=CountersTable[[#This Row],[GroupByKey]]),(CountersTable[GroupByKey]=CountersTable[[#This Row],[GroupByKey]])*CountersTable[RecordedValue]))</f>
        <v>8</v>
      </c>
      <c r="O16" s="5" cm="1">
        <f t="array" ref="O16">MAX(IF((CountersTable[GroupByKey]=CountersTable[[#This Row],[GroupByKey]]),(CountersTable[GroupByKey]=CountersTable[[#This Row],[GroupByKey]])*CountersTable[RecordedValue]))</f>
        <v>14</v>
      </c>
    </row>
    <row r="17" spans="1:15" x14ac:dyDescent="0.3">
      <c r="A17" t="s">
        <v>66</v>
      </c>
      <c r="B17" t="s">
        <v>68</v>
      </c>
      <c r="C17">
        <v>8</v>
      </c>
      <c r="D17" t="s">
        <v>115</v>
      </c>
      <c r="E17" t="s">
        <v>114</v>
      </c>
      <c r="F17" t="s">
        <v>91</v>
      </c>
      <c r="G17">
        <v>2</v>
      </c>
      <c r="H17" t="str">
        <f>CountersTable[[#This Row],[ProjectName]]&amp;CountersTable[[#This Row],[Name]]&amp;CountersTable[[#This Row],[Type]]&amp;CountersTable[[#This Row],[Source]]</f>
        <v>Unnamed ProjectD.nacionalCountUser Specified</v>
      </c>
      <c r="I17" s="5" cm="1">
        <f t="array" ref="I17">MAX(IF((ProjectInfoTable[ProjectName]=CountersTable[[#This Row],[ProjectName]]),(ProjectInfoTable[ProjectName]=CountersTable[[#This Row],[ProjectName]])*ProjectInfoTable[NumberOfReplications]))</f>
        <v>10</v>
      </c>
      <c r="J17" cm="1">
        <f t="array" ref="J17">IFERROR(AVERAGE(IF((CountersTable[GroupByKey]=CountersTable[[#This Row],[GroupByKey]]),(CountersTable[GroupByKey]=CountersTable[[#This Row],[GroupByKey]])*CountersTable[RecordedValue])),0)</f>
        <v>3.9</v>
      </c>
      <c r="K17" s="5" cm="1">
        <f t="array" ref="K17">IFERROR(_xlfn.STDEV.S(IF((CountersTable[GroupByKey]=CountersTable[[#This Row],[GroupByKey]]),(CountersTable[GroupByKey]=CountersTable[[#This Row],[GroupByKey]])*CountersTable[RecordedValue])),0)</f>
        <v>2.2335820757001272</v>
      </c>
      <c r="L17" s="5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 s="5">
        <f>IFERROR(_xlfn.T.INV.2T(1 - CountersTable[[#This Row],[ConfidenceInterval]],(CountersTable[[#This Row],[RepsRequested]]-1))*CountersTable[[#This Row],[StandardDeviation]]/SQRT(CountersTable[[#This Row],[RepsRequested]]),400000000000000000000)</f>
        <v>1.5978083629043778</v>
      </c>
      <c r="N17" s="5" cm="1">
        <f t="array" ref="N17">MIN(IF((CountersTable[GroupByKey]=CountersTable[[#This Row],[GroupByKey]]),(CountersTable[GroupByKey]=CountersTable[[#This Row],[GroupByKey]])*CountersTable[RecordedValue]))</f>
        <v>0</v>
      </c>
      <c r="O17" s="5" cm="1">
        <f t="array" ref="O17">MAX(IF((CountersTable[GroupByKey]=CountersTable[[#This Row],[GroupByKey]]),(CountersTable[GroupByKey]=CountersTable[[#This Row],[GroupByKey]])*CountersTable[RecordedValue]))</f>
        <v>6</v>
      </c>
    </row>
    <row r="18" spans="1:15" x14ac:dyDescent="0.3">
      <c r="A18" t="s">
        <v>66</v>
      </c>
      <c r="B18" t="s">
        <v>68</v>
      </c>
      <c r="C18">
        <v>9</v>
      </c>
      <c r="D18" t="s">
        <v>113</v>
      </c>
      <c r="E18" t="s">
        <v>114</v>
      </c>
      <c r="F18" t="s">
        <v>91</v>
      </c>
      <c r="G18">
        <v>11</v>
      </c>
      <c r="H18" t="str">
        <f>CountersTable[[#This Row],[ProjectName]]&amp;CountersTable[[#This Row],[Name]]&amp;CountersTable[[#This Row],[Type]]&amp;CountersTable[[#This Row],[Source]]</f>
        <v>Unnamed ProjectD.internacionalCountUser Specified</v>
      </c>
      <c r="I18" s="5" cm="1">
        <f t="array" ref="I18">MAX(IF((ProjectInfoTable[ProjectName]=CountersTable[[#This Row],[ProjectName]]),(ProjectInfoTable[ProjectName]=CountersTable[[#This Row],[ProjectName]])*ProjectInfoTable[NumberOfReplications]))</f>
        <v>10</v>
      </c>
      <c r="J18" cm="1">
        <f t="array" ref="J18">IFERROR(AVERAGE(IF((CountersTable[GroupByKey]=CountersTable[[#This Row],[GroupByKey]]),(CountersTable[GroupByKey]=CountersTable[[#This Row],[GroupByKey]])*CountersTable[RecordedValue])),0)</f>
        <v>11.2</v>
      </c>
      <c r="K18" s="5" cm="1">
        <f t="array" ref="K18">IFERROR(_xlfn.STDEV.S(IF((CountersTable[GroupByKey]=CountersTable[[#This Row],[GroupByKey]]),(CountersTable[GroupByKey]=CountersTable[[#This Row],[GroupByKey]])*CountersTable[RecordedValue])),0)</f>
        <v>2.4404006956964146</v>
      </c>
      <c r="L18" s="5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 s="5">
        <f>IFERROR(_xlfn.T.INV.2T(1 - CountersTable[[#This Row],[ConfidenceInterval]],(CountersTable[[#This Row],[RepsRequested]]-1))*CountersTable[[#This Row],[StandardDeviation]]/SQRT(CountersTable[[#This Row],[RepsRequested]]),400000000000000000000)</f>
        <v>1.7457574910020446</v>
      </c>
      <c r="N18" s="5" cm="1">
        <f t="array" ref="N18">MIN(IF((CountersTable[GroupByKey]=CountersTable[[#This Row],[GroupByKey]]),(CountersTable[GroupByKey]=CountersTable[[#This Row],[GroupByKey]])*CountersTable[RecordedValue]))</f>
        <v>8</v>
      </c>
      <c r="O18" s="5" cm="1">
        <f t="array" ref="O18">MAX(IF((CountersTable[GroupByKey]=CountersTable[[#This Row],[GroupByKey]]),(CountersTable[GroupByKey]=CountersTable[[#This Row],[GroupByKey]])*CountersTable[RecordedValue]))</f>
        <v>14</v>
      </c>
    </row>
    <row r="19" spans="1:15" x14ac:dyDescent="0.3">
      <c r="A19" t="s">
        <v>66</v>
      </c>
      <c r="B19" t="s">
        <v>68</v>
      </c>
      <c r="C19">
        <v>9</v>
      </c>
      <c r="D19" t="s">
        <v>115</v>
      </c>
      <c r="E19" t="s">
        <v>114</v>
      </c>
      <c r="F19" t="s">
        <v>91</v>
      </c>
      <c r="G19">
        <v>6</v>
      </c>
      <c r="H19" t="str">
        <f>CountersTable[[#This Row],[ProjectName]]&amp;CountersTable[[#This Row],[Name]]&amp;CountersTable[[#This Row],[Type]]&amp;CountersTable[[#This Row],[Source]]</f>
        <v>Unnamed ProjectD.nacionalCountUser Specified</v>
      </c>
      <c r="I19" s="5" cm="1">
        <f t="array" ref="I19">MAX(IF((ProjectInfoTable[ProjectName]=CountersTable[[#This Row],[ProjectName]]),(ProjectInfoTable[ProjectName]=CountersTable[[#This Row],[ProjectName]])*ProjectInfoTable[NumberOfReplications]))</f>
        <v>10</v>
      </c>
      <c r="J19" cm="1">
        <f t="array" ref="J19">IFERROR(AVERAGE(IF((CountersTable[GroupByKey]=CountersTable[[#This Row],[GroupByKey]]),(CountersTable[GroupByKey]=CountersTable[[#This Row],[GroupByKey]])*CountersTable[RecordedValue])),0)</f>
        <v>3.9</v>
      </c>
      <c r="K19" s="5" cm="1">
        <f t="array" ref="K19">IFERROR(_xlfn.STDEV.S(IF((CountersTable[GroupByKey]=CountersTable[[#This Row],[GroupByKey]]),(CountersTable[GroupByKey]=CountersTable[[#This Row],[GroupByKey]])*CountersTable[RecordedValue])),0)</f>
        <v>2.2335820757001272</v>
      </c>
      <c r="L19" s="5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 s="5">
        <f>IFERROR(_xlfn.T.INV.2T(1 - CountersTable[[#This Row],[ConfidenceInterval]],(CountersTable[[#This Row],[RepsRequested]]-1))*CountersTable[[#This Row],[StandardDeviation]]/SQRT(CountersTable[[#This Row],[RepsRequested]]),400000000000000000000)</f>
        <v>1.5978083629043778</v>
      </c>
      <c r="N19" s="5" cm="1">
        <f t="array" ref="N19">MIN(IF((CountersTable[GroupByKey]=CountersTable[[#This Row],[GroupByKey]]),(CountersTable[GroupByKey]=CountersTable[[#This Row],[GroupByKey]])*CountersTable[RecordedValue]))</f>
        <v>0</v>
      </c>
      <c r="O19" s="5" cm="1">
        <f t="array" ref="O19">MAX(IF((CountersTable[GroupByKey]=CountersTable[[#This Row],[GroupByKey]]),(CountersTable[GroupByKey]=CountersTable[[#This Row],[GroupByKey]])*CountersTable[RecordedValue]))</f>
        <v>6</v>
      </c>
    </row>
    <row r="20" spans="1:15" x14ac:dyDescent="0.3">
      <c r="A20" t="s">
        <v>66</v>
      </c>
      <c r="B20" t="s">
        <v>68</v>
      </c>
      <c r="C20">
        <v>10</v>
      </c>
      <c r="D20" t="s">
        <v>113</v>
      </c>
      <c r="E20" t="s">
        <v>114</v>
      </c>
      <c r="F20" t="s">
        <v>91</v>
      </c>
      <c r="G20">
        <v>11</v>
      </c>
      <c r="H20" t="str">
        <f>CountersTable[[#This Row],[ProjectName]]&amp;CountersTable[[#This Row],[Name]]&amp;CountersTable[[#This Row],[Type]]&amp;CountersTable[[#This Row],[Source]]</f>
        <v>Unnamed ProjectD.internacionalCountUser Specified</v>
      </c>
      <c r="I20" s="5" cm="1">
        <f t="array" ref="I20">MAX(IF((ProjectInfoTable[ProjectName]=CountersTable[[#This Row],[ProjectName]]),(ProjectInfoTable[ProjectName]=CountersTable[[#This Row],[ProjectName]])*ProjectInfoTable[NumberOfReplications]))</f>
        <v>10</v>
      </c>
      <c r="J20" cm="1">
        <f t="array" ref="J20">IFERROR(AVERAGE(IF((CountersTable[GroupByKey]=CountersTable[[#This Row],[GroupByKey]]),(CountersTable[GroupByKey]=CountersTable[[#This Row],[GroupByKey]])*CountersTable[RecordedValue])),0)</f>
        <v>11.2</v>
      </c>
      <c r="K20" s="5" cm="1">
        <f t="array" ref="K20">IFERROR(_xlfn.STDEV.S(IF((CountersTable[GroupByKey]=CountersTable[[#This Row],[GroupByKey]]),(CountersTable[GroupByKey]=CountersTable[[#This Row],[GroupByKey]])*CountersTable[RecordedValue])),0)</f>
        <v>2.4404006956964146</v>
      </c>
      <c r="L20" s="5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 s="5">
        <f>IFERROR(_xlfn.T.INV.2T(1 - CountersTable[[#This Row],[ConfidenceInterval]],(CountersTable[[#This Row],[RepsRequested]]-1))*CountersTable[[#This Row],[StandardDeviation]]/SQRT(CountersTable[[#This Row],[RepsRequested]]),400000000000000000000)</f>
        <v>1.7457574910020446</v>
      </c>
      <c r="N20" s="5" cm="1">
        <f t="array" ref="N20">MIN(IF((CountersTable[GroupByKey]=CountersTable[[#This Row],[GroupByKey]]),(CountersTable[GroupByKey]=CountersTable[[#This Row],[GroupByKey]])*CountersTable[RecordedValue]))</f>
        <v>8</v>
      </c>
      <c r="O20" s="5" cm="1">
        <f t="array" ref="O20">MAX(IF((CountersTable[GroupByKey]=CountersTable[[#This Row],[GroupByKey]]),(CountersTable[GroupByKey]=CountersTable[[#This Row],[GroupByKey]])*CountersTable[RecordedValue]))</f>
        <v>14</v>
      </c>
    </row>
    <row r="21" spans="1:15" x14ac:dyDescent="0.3">
      <c r="A21" t="s">
        <v>66</v>
      </c>
      <c r="B21" t="s">
        <v>68</v>
      </c>
      <c r="C21">
        <v>10</v>
      </c>
      <c r="D21" t="s">
        <v>115</v>
      </c>
      <c r="E21" t="s">
        <v>114</v>
      </c>
      <c r="F21" t="s">
        <v>91</v>
      </c>
      <c r="G21">
        <v>1</v>
      </c>
      <c r="H21" t="str">
        <f>CountersTable[[#This Row],[ProjectName]]&amp;CountersTable[[#This Row],[Name]]&amp;CountersTable[[#This Row],[Type]]&amp;CountersTable[[#This Row],[Source]]</f>
        <v>Unnamed ProjectD.nacionalCountUser Specified</v>
      </c>
      <c r="I21" s="5" cm="1">
        <f t="array" ref="I21">MAX(IF((ProjectInfoTable[ProjectName]=CountersTable[[#This Row],[ProjectName]]),(ProjectInfoTable[ProjectName]=CountersTable[[#This Row],[ProjectName]])*ProjectInfoTable[NumberOfReplications]))</f>
        <v>10</v>
      </c>
      <c r="J21" cm="1">
        <f t="array" ref="J21">IFERROR(AVERAGE(IF((CountersTable[GroupByKey]=CountersTable[[#This Row],[GroupByKey]]),(CountersTable[GroupByKey]=CountersTable[[#This Row],[GroupByKey]])*CountersTable[RecordedValue])),0)</f>
        <v>3.9</v>
      </c>
      <c r="K21" s="5" cm="1">
        <f t="array" ref="K21">IFERROR(_xlfn.STDEV.S(IF((CountersTable[GroupByKey]=CountersTable[[#This Row],[GroupByKey]]),(CountersTable[GroupByKey]=CountersTable[[#This Row],[GroupByKey]])*CountersTable[RecordedValue])),0)</f>
        <v>2.2335820757001272</v>
      </c>
      <c r="L21" s="5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 s="5">
        <f>IFERROR(_xlfn.T.INV.2T(1 - CountersTable[[#This Row],[ConfidenceInterval]],(CountersTable[[#This Row],[RepsRequested]]-1))*CountersTable[[#This Row],[StandardDeviation]]/SQRT(CountersTable[[#This Row],[RepsRequested]]),400000000000000000000)</f>
        <v>1.5978083629043778</v>
      </c>
      <c r="N21" s="5" cm="1">
        <f t="array" ref="N21">MIN(IF((CountersTable[GroupByKey]=CountersTable[[#This Row],[GroupByKey]]),(CountersTable[GroupByKey]=CountersTable[[#This Row],[GroupByKey]])*CountersTable[RecordedValue]))</f>
        <v>0</v>
      </c>
      <c r="O21" s="5" cm="1">
        <f t="array" ref="O21">MAX(IF((CountersTable[GroupByKey]=CountersTable[[#This Row],[GroupByKey]]),(CountersTable[GroupByKey]=CountersTable[[#This Row],[GroupByKey]])*CountersTable[RecordedValue]))</f>
        <v>6</v>
      </c>
    </row>
  </sheetData>
  <phoneticPr fontId="2" type="noConversion"/>
  <conditionalFormatting sqref="H2:O21">
    <cfRule type="expression" dxfId="12" priority="2">
      <formula>MOD(ROW(),2)=0</formula>
    </cfRule>
  </conditionalFormatting>
  <conditionalFormatting sqref="M2:M21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31"/>
  <sheetViews>
    <sheetView workbookViewId="0">
      <selection activeCell="H2" sqref="H2"/>
    </sheetView>
  </sheetViews>
  <sheetFormatPr baseColWidth="10" defaultColWidth="8.88671875" defaultRowHeight="14.4" x14ac:dyDescent="0.3"/>
  <cols>
    <col min="1" max="1" width="15.109375" bestFit="1" customWidth="1"/>
    <col min="2" max="2" width="21.109375" bestFit="1" customWidth="1"/>
    <col min="3" max="3" width="12.5546875" bestFit="1" customWidth="1"/>
    <col min="4" max="4" width="31.5546875" bestFit="1" customWidth="1"/>
    <col min="5" max="5" width="18.109375" bestFit="1" customWidth="1"/>
    <col min="6" max="6" width="9" bestFit="1" customWidth="1"/>
    <col min="7" max="7" width="16" bestFit="1" customWidth="1"/>
    <col min="8" max="8" width="11.33203125" bestFit="1" customWidth="1"/>
    <col min="9" max="9" width="71" bestFit="1" customWidth="1"/>
    <col min="10" max="10" width="16.109375" bestFit="1" customWidth="1"/>
    <col min="11" max="11" width="12" customWidth="1"/>
    <col min="12" max="12" width="19" bestFit="1" customWidth="1"/>
    <col min="13" max="13" width="19.33203125" bestFit="1" customWidth="1"/>
    <col min="14" max="16" width="12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116</v>
      </c>
      <c r="E2" t="s">
        <v>117</v>
      </c>
      <c r="F2" t="s">
        <v>74</v>
      </c>
      <c r="G2">
        <v>679</v>
      </c>
      <c r="H2">
        <v>0</v>
      </c>
      <c r="I2" t="str">
        <f>OutputTable[[#This Row],[ProjectName]]&amp;OutputTable[[#This Row],[Name]]&amp;OutputTable[[#This Row],[Type]]&amp;OutputTable[[#This Row],[Source]]</f>
        <v>Unnamed ProjectEntity 1.NumberInNumber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10</v>
      </c>
      <c r="K2" cm="1">
        <f t="array" ref="K2">IFERROR(AVERAGE(IF((OutputTable[GroupByKey]=OutputTable[[#This Row],[GroupByKey]]),(OutputTable[GroupByKey]=OutputTable[[#This Row],[GroupByKey]])*OutputTable[RecordedValue])),0)</f>
        <v>677.4</v>
      </c>
      <c r="L2" cm="1">
        <f t="array" ref="L2">IFERROR(_xlfn.STDEV.S(IF((OutputTable[GroupByKey]=OutputTable[[#This Row],[GroupByKey]]),(OutputTable[GroupByKey]=OutputTable[[#This Row],[GroupByKey]])*OutputTable[RecordedValue])),0)</f>
        <v>50.383418789209699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36.042126577273301</v>
      </c>
      <c r="O2" cm="1">
        <f t="array" ref="O2">MIN(IF((OutputTable[GroupByKey]=OutputTable[[#This Row],[GroupByKey]]),(OutputTable[GroupByKey]=OutputTable[[#This Row],[GroupByKey]])*OutputTable[RecordedValue]))</f>
        <v>612</v>
      </c>
      <c r="P2" cm="1">
        <f t="array" ref="P2">MAX(IF((OutputTable[GroupByKey]=OutputTable[[#This Row],[GroupByKey]]),(OutputTable[GroupByKey]=OutputTable[[#This Row],[GroupByKey]])*OutputTable[RecordedValue]))</f>
        <v>757</v>
      </c>
    </row>
    <row r="3" spans="1:16" x14ac:dyDescent="0.3">
      <c r="A3" t="s">
        <v>66</v>
      </c>
      <c r="B3" t="s">
        <v>68</v>
      </c>
      <c r="C3">
        <v>1</v>
      </c>
      <c r="D3" t="s">
        <v>118</v>
      </c>
      <c r="E3" t="s">
        <v>119</v>
      </c>
      <c r="F3" t="s">
        <v>74</v>
      </c>
      <c r="G3">
        <v>673</v>
      </c>
      <c r="H3">
        <v>0</v>
      </c>
      <c r="I3" t="str">
        <f>OutputTable[[#This Row],[ProjectName]]&amp;OutputTable[[#This Row],[Name]]&amp;OutputTable[[#This Row],[Type]]&amp;OutputTable[[#This Row],[Source]]</f>
        <v>Unnamed ProjectEntity 1.NumberOutNumber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10</v>
      </c>
      <c r="K3" cm="1">
        <f t="array" ref="K3">IFERROR(AVERAGE(IF((OutputTable[GroupByKey]=OutputTable[[#This Row],[GroupByKey]]),(OutputTable[GroupByKey]=OutputTable[[#This Row],[GroupByKey]])*OutputTable[RecordedValue])),0)</f>
        <v>673.8</v>
      </c>
      <c r="L3" cm="1">
        <f t="array" ref="L3">IFERROR(_xlfn.STDEV.S(IF((OutputTable[GroupByKey]=OutputTable[[#This Row],[GroupByKey]]),(OutputTable[GroupByKey]=OutputTable[[#This Row],[GroupByKey]])*OutputTable[RecordedValue])),0)</f>
        <v>51.503613681199326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36.843465729291147</v>
      </c>
      <c r="O3" cm="1">
        <f t="array" ref="O3">MIN(IF((OutputTable[GroupByKey]=OutputTable[[#This Row],[GroupByKey]]),(OutputTable[GroupByKey]=OutputTable[[#This Row],[GroupByKey]])*OutputTable[RecordedValue]))</f>
        <v>608</v>
      </c>
      <c r="P3" cm="1">
        <f t="array" ref="P3">MAX(IF((OutputTable[GroupByKey]=OutputTable[[#This Row],[GroupByKey]]),(OutputTable[GroupByKey]=OutputTable[[#This Row],[GroupByKey]])*OutputTable[RecordedValue]))</f>
        <v>755</v>
      </c>
    </row>
    <row r="4" spans="1:16" x14ac:dyDescent="0.3">
      <c r="A4" t="s">
        <v>66</v>
      </c>
      <c r="B4" t="s">
        <v>68</v>
      </c>
      <c r="C4">
        <v>1</v>
      </c>
      <c r="D4" t="s">
        <v>120</v>
      </c>
      <c r="E4" t="s">
        <v>121</v>
      </c>
      <c r="F4" t="s">
        <v>103</v>
      </c>
      <c r="G4">
        <v>163</v>
      </c>
      <c r="H4">
        <v>0</v>
      </c>
      <c r="I4" t="str">
        <f>OutputTable[[#This Row],[ProjectName]]&amp;OutputTable[[#This Row],[Name]]&amp;OutputTable[[#This Row],[Type]]&amp;OutputTable[[#This Row],[Source]]</f>
        <v>Unnamed ProjectInterauto.NumberSeizedTotal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10</v>
      </c>
      <c r="K4" cm="1">
        <f t="array" ref="K4">IFERROR(AVERAGE(IF((OutputTable[GroupByKey]=OutputTable[[#This Row],[GroupByKey]]),(OutputTable[GroupByKey]=OutputTable[[#This Row],[GroupByKey]])*OutputTable[RecordedValue])),0)</f>
        <v>161.5</v>
      </c>
      <c r="L4" cm="1">
        <f t="array" ref="L4">IFERROR(_xlfn.STDEV.S(IF((OutputTable[GroupByKey]=OutputTable[[#This Row],[GroupByKey]]),(OutputTable[GroupByKey]=OutputTable[[#This Row],[GroupByKey]])*OutputTable[RecordedValue])),0)</f>
        <v>13.778001790293589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9.8561887311626997</v>
      </c>
      <c r="O4" cm="1">
        <f t="array" ref="O4">MIN(IF((OutputTable[GroupByKey]=OutputTable[[#This Row],[GroupByKey]]),(OutputTable[GroupByKey]=OutputTable[[#This Row],[GroupByKey]])*OutputTable[RecordedValue]))</f>
        <v>147</v>
      </c>
      <c r="P4" cm="1">
        <f t="array" ref="P4">MAX(IF((OutputTable[GroupByKey]=OutputTable[[#This Row],[GroupByKey]]),(OutputTable[GroupByKey]=OutputTable[[#This Row],[GroupByKey]])*OutputTable[RecordedValue]))</f>
        <v>191</v>
      </c>
    </row>
    <row r="5" spans="1:16" x14ac:dyDescent="0.3">
      <c r="A5" t="s">
        <v>66</v>
      </c>
      <c r="B5" t="s">
        <v>68</v>
      </c>
      <c r="C5">
        <v>1</v>
      </c>
      <c r="D5" t="s">
        <v>122</v>
      </c>
      <c r="E5" t="s">
        <v>123</v>
      </c>
      <c r="F5" t="s">
        <v>103</v>
      </c>
      <c r="G5">
        <v>0.26574304531041898</v>
      </c>
      <c r="H5">
        <v>0</v>
      </c>
      <c r="I5" t="str">
        <f>OutputTable[[#This Row],[ProjectName]]&amp;OutputTable[[#This Row],[Name]]&amp;OutputTable[[#This Row],[Type]]&amp;OutputTable[[#This Row],[Source]]</f>
        <v>Unnamed ProjectInterauto.ScheduledUtilizationScheduled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10</v>
      </c>
      <c r="K5" cm="1">
        <f t="array" ref="K5">IFERROR(AVERAGE(IF((OutputTable[GroupByKey]=OutputTable[[#This Row],[GroupByKey]]),(OutputTable[GroupByKey]=OutputTable[[#This Row],[GroupByKey]])*OutputTable[RecordedValue])),0)</f>
        <v>0.26535205929836458</v>
      </c>
      <c r="L5" cm="1">
        <f t="array" ref="L5">IFERROR(_xlfn.STDEV.S(IF((OutputTable[GroupByKey]=OutputTable[[#This Row],[GroupByKey]]),(OutputTable[GroupByKey]=OutputTable[[#This Row],[GroupByKey]])*OutputTable[RecordedValue])),0)</f>
        <v>2.5807993647623796E-2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1.8461926485074727E-2</v>
      </c>
      <c r="O5" cm="1">
        <f t="array" ref="O5">MIN(IF((OutputTable[GroupByKey]=OutputTable[[#This Row],[GroupByKey]]),(OutputTable[GroupByKey]=OutputTable[[#This Row],[GroupByKey]])*OutputTable[RecordedValue]))</f>
        <v>0.20483176768320299</v>
      </c>
      <c r="P5" cm="1">
        <f t="array" ref="P5">MAX(IF((OutputTable[GroupByKey]=OutputTable[[#This Row],[GroupByKey]]),(OutputTable[GroupByKey]=OutputTable[[#This Row],[GroupByKey]])*OutputTable[RecordedValue]))</f>
        <v>0.29552077299252399</v>
      </c>
    </row>
    <row r="6" spans="1:16" x14ac:dyDescent="0.3">
      <c r="A6" t="s">
        <v>66</v>
      </c>
      <c r="B6" t="s">
        <v>68</v>
      </c>
      <c r="C6">
        <v>1</v>
      </c>
      <c r="D6" t="s">
        <v>124</v>
      </c>
      <c r="E6" t="s">
        <v>117</v>
      </c>
      <c r="F6" t="s">
        <v>74</v>
      </c>
      <c r="G6">
        <v>239</v>
      </c>
      <c r="H6">
        <v>0</v>
      </c>
      <c r="I6" t="str">
        <f>OutputTable[[#This Row],[ProjectName]]&amp;OutputTable[[#This Row],[Name]]&amp;OutputTable[[#This Row],[Type]]&amp;OutputTable[[#This Row],[Source]]</f>
        <v>Unnamed ProjectMaleta Internacional.NumberInNumber InEntity</v>
      </c>
      <c r="J6" cm="1">
        <f t="array" ref="J6">MAX(IF((ProjectInfoTable[ProjectName]=OutputTable[[#This Row],[ProjectName]]),(ProjectInfoTable[ProjectName]=OutputTable[[#This Row],[ProjectName]])*ProjectInfoTable[NumberOfReplications]))</f>
        <v>10</v>
      </c>
      <c r="K6" cm="1">
        <f t="array" ref="K6">IFERROR(AVERAGE(IF((OutputTable[GroupByKey]=OutputTable[[#This Row],[GroupByKey]]),(OutputTable[GroupByKey]=OutputTable[[#This Row],[GroupByKey]])*OutputTable[RecordedValue])),0)</f>
        <v>241.3</v>
      </c>
      <c r="L6" cm="1">
        <f t="array" ref="L6">IFERROR(_xlfn.STDEV.S(IF((OutputTable[GroupByKey]=OutputTable[[#This Row],[GroupByKey]]),(OutputTable[GroupByKey]=OutputTable[[#This Row],[GroupByKey]])*OutputTable[RecordedValue])),0)</f>
        <v>25.59101404790356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18.306708629960106</v>
      </c>
      <c r="O6" cm="1">
        <f t="array" ref="O6">MIN(IF((OutputTable[GroupByKey]=OutputTable[[#This Row],[GroupByKey]]),(OutputTable[GroupByKey]=OutputTable[[#This Row],[GroupByKey]])*OutputTable[RecordedValue]))</f>
        <v>207</v>
      </c>
      <c r="P6" cm="1">
        <f t="array" ref="P6">MAX(IF((OutputTable[GroupByKey]=OutputTable[[#This Row],[GroupByKey]]),(OutputTable[GroupByKey]=OutputTable[[#This Row],[GroupByKey]])*OutputTable[RecordedValue]))</f>
        <v>287</v>
      </c>
    </row>
    <row r="7" spans="1:16" x14ac:dyDescent="0.3">
      <c r="A7" t="s">
        <v>66</v>
      </c>
      <c r="B7" t="s">
        <v>68</v>
      </c>
      <c r="C7">
        <v>1</v>
      </c>
      <c r="D7" t="s">
        <v>125</v>
      </c>
      <c r="E7" t="s">
        <v>119</v>
      </c>
      <c r="F7" t="s">
        <v>74</v>
      </c>
      <c r="G7">
        <v>224</v>
      </c>
      <c r="H7">
        <v>0</v>
      </c>
      <c r="I7" t="str">
        <f>OutputTable[[#This Row],[ProjectName]]&amp;OutputTable[[#This Row],[Name]]&amp;OutputTable[[#This Row],[Type]]&amp;OutputTable[[#This Row],[Source]]</f>
        <v>Unnamed ProjectMaleta Internacional.NumberOutNumber OutEntity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10</v>
      </c>
      <c r="K7" cm="1">
        <f t="array" ref="K7">IFERROR(AVERAGE(IF((OutputTable[GroupByKey]=OutputTable[[#This Row],[GroupByKey]]),(OutputTable[GroupByKey]=OutputTable[[#This Row],[GroupByKey]])*OutputTable[RecordedValue])),0)</f>
        <v>224.5</v>
      </c>
      <c r="L7" cm="1">
        <f t="array" ref="L7">IFERROR(_xlfn.STDEV.S(IF((OutputTable[GroupByKey]=OutputTable[[#This Row],[GroupByKey]]),(OutputTable[GroupByKey]=OutputTable[[#This Row],[GroupByKey]])*OutputTable[RecordedValue])),0)</f>
        <v>20.812656405818711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14.888477491497007</v>
      </c>
      <c r="O7" cm="1">
        <f t="array" ref="O7">MIN(IF((OutputTable[GroupByKey]=OutputTable[[#This Row],[GroupByKey]]),(OutputTable[GroupByKey]=OutputTable[[#This Row],[GroupByKey]])*OutputTable[RecordedValue]))</f>
        <v>199</v>
      </c>
      <c r="P7" cm="1">
        <f t="array" ref="P7">MAX(IF((OutputTable[GroupByKey]=OutputTable[[#This Row],[GroupByKey]]),(OutputTable[GroupByKey]=OutputTable[[#This Row],[GroupByKey]])*OutputTable[RecordedValue]))</f>
        <v>256</v>
      </c>
    </row>
    <row r="8" spans="1:16" x14ac:dyDescent="0.3">
      <c r="A8" t="s">
        <v>66</v>
      </c>
      <c r="B8" t="s">
        <v>68</v>
      </c>
      <c r="C8">
        <v>1</v>
      </c>
      <c r="D8" t="s">
        <v>126</v>
      </c>
      <c r="E8" t="s">
        <v>117</v>
      </c>
      <c r="F8" t="s">
        <v>74</v>
      </c>
      <c r="G8">
        <v>163</v>
      </c>
      <c r="H8">
        <v>0</v>
      </c>
      <c r="I8" t="str">
        <f>OutputTable[[#This Row],[ProjectName]]&amp;OutputTable[[#This Row],[Name]]&amp;OutputTable[[#This Row],[Type]]&amp;OutputTable[[#This Row],[Source]]</f>
        <v>Unnamed ProjectMaleta Nacional.NumberInNumber InEntity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10</v>
      </c>
      <c r="K8" cm="1">
        <f t="array" ref="K8">IFERROR(AVERAGE(IF((OutputTable[GroupByKey]=OutputTable[[#This Row],[GroupByKey]]),(OutputTable[GroupByKey]=OutputTable[[#This Row],[GroupByKey]])*OutputTable[RecordedValue])),0)</f>
        <v>163.1</v>
      </c>
      <c r="L8" cm="1">
        <f t="array" ref="L8">IFERROR(_xlfn.STDEV.S(IF((OutputTable[GroupByKey]=OutputTable[[#This Row],[GroupByKey]]),(OutputTable[GroupByKey]=OutputTable[[#This Row],[GroupByKey]])*OutputTable[RecordedValue])),0)</f>
        <v>14.371654200002325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10.280862082193972</v>
      </c>
      <c r="O8" cm="1">
        <f t="array" ref="O8">MIN(IF((OutputTable[GroupByKey]=OutputTable[[#This Row],[GroupByKey]]),(OutputTable[GroupByKey]=OutputTable[[#This Row],[GroupByKey]])*OutputTable[RecordedValue]))</f>
        <v>149</v>
      </c>
      <c r="P8" cm="1">
        <f t="array" ref="P8">MAX(IF((OutputTable[GroupByKey]=OutputTable[[#This Row],[GroupByKey]]),(OutputTable[GroupByKey]=OutputTable[[#This Row],[GroupByKey]])*OutputTable[RecordedValue]))</f>
        <v>191</v>
      </c>
    </row>
    <row r="9" spans="1:16" x14ac:dyDescent="0.3">
      <c r="A9" t="s">
        <v>66</v>
      </c>
      <c r="B9" t="s">
        <v>68</v>
      </c>
      <c r="C9">
        <v>1</v>
      </c>
      <c r="D9" t="s">
        <v>127</v>
      </c>
      <c r="E9" t="s">
        <v>119</v>
      </c>
      <c r="F9" t="s">
        <v>74</v>
      </c>
      <c r="G9">
        <v>162</v>
      </c>
      <c r="H9">
        <v>0</v>
      </c>
      <c r="I9" t="str">
        <f>OutputTable[[#This Row],[ProjectName]]&amp;OutputTable[[#This Row],[Name]]&amp;OutputTable[[#This Row],[Type]]&amp;OutputTable[[#This Row],[Source]]</f>
        <v>Unnamed ProjectMaleta Nacional.NumberOutNumber OutEntity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10</v>
      </c>
      <c r="K9" cm="1">
        <f t="array" ref="K9">IFERROR(AVERAGE(IF((OutputTable[GroupByKey]=OutputTable[[#This Row],[GroupByKey]]),(OutputTable[GroupByKey]=OutputTable[[#This Row],[GroupByKey]])*OutputTable[RecordedValue])),0)</f>
        <v>159.1</v>
      </c>
      <c r="L9" cm="1">
        <f t="array" ref="L9">IFERROR(_xlfn.STDEV.S(IF((OutputTable[GroupByKey]=OutputTable[[#This Row],[GroupByKey]]),(OutputTable[GroupByKey]=OutputTable[[#This Row],[GroupByKey]])*OutputTable[RecordedValue])),0)</f>
        <v>14.153523314787106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10.12482064704977</v>
      </c>
      <c r="O9" cm="1">
        <f t="array" ref="O9">MIN(IF((OutputTable[GroupByKey]=OutputTable[[#This Row],[GroupByKey]]),(OutputTable[GroupByKey]=OutputTable[[#This Row],[GroupByKey]])*OutputTable[RecordedValue]))</f>
        <v>145</v>
      </c>
      <c r="P9" cm="1">
        <f t="array" ref="P9">MAX(IF((OutputTable[GroupByKey]=OutputTable[[#This Row],[GroupByKey]]),(OutputTable[GroupByKey]=OutputTable[[#This Row],[GroupByKey]])*OutputTable[RecordedValue]))</f>
        <v>189</v>
      </c>
    </row>
    <row r="10" spans="1:16" x14ac:dyDescent="0.3">
      <c r="A10" t="s">
        <v>66</v>
      </c>
      <c r="B10" t="s">
        <v>68</v>
      </c>
      <c r="C10">
        <v>1</v>
      </c>
      <c r="D10" t="s">
        <v>128</v>
      </c>
      <c r="E10" t="s">
        <v>121</v>
      </c>
      <c r="F10" t="s">
        <v>103</v>
      </c>
      <c r="G10">
        <v>230</v>
      </c>
      <c r="H10">
        <v>0</v>
      </c>
      <c r="I10" t="str">
        <f>OutputTable[[#This Row],[ProjectName]]&amp;OutputTable[[#This Row],[Name]]&amp;OutputTable[[#This Row],[Type]]&amp;OutputTable[[#This Row],[Source]]</f>
        <v>Unnamed ProjectNacionalauto.NumberSeizedTotal Number SeizedResource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10</v>
      </c>
      <c r="K10" cm="1">
        <f t="array" ref="K10">IFERROR(AVERAGE(IF((OutputTable[GroupByKey]=OutputTable[[#This Row],[GroupByKey]]),(OutputTable[GroupByKey]=OutputTable[[#This Row],[GroupByKey]])*OutputTable[RecordedValue])),0)</f>
        <v>231.5</v>
      </c>
      <c r="L10" cm="1">
        <f t="array" ref="L10">IFERROR(_xlfn.STDEV.S(IF((OutputTable[GroupByKey]=OutputTable[[#This Row],[GroupByKey]]),(OutputTable[GroupByKey]=OutputTable[[#This Row],[GroupByKey]])*OutputTable[RecordedValue])),0)</f>
        <v>20.817994353176505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14.892296029003113</v>
      </c>
      <c r="O10" cm="1">
        <f t="array" ref="O10">MIN(IF((OutputTable[GroupByKey]=OutputTable[[#This Row],[GroupByKey]]),(OutputTable[GroupByKey]=OutputTable[[#This Row],[GroupByKey]])*OutputTable[RecordedValue]))</f>
        <v>202</v>
      </c>
      <c r="P10" cm="1">
        <f t="array" ref="P10">MAX(IF((OutputTable[GroupByKey]=OutputTable[[#This Row],[GroupByKey]]),(OutputTable[GroupByKey]=OutputTable[[#This Row],[GroupByKey]])*OutputTable[RecordedValue]))</f>
        <v>264</v>
      </c>
    </row>
    <row r="11" spans="1:16" x14ac:dyDescent="0.3">
      <c r="A11" t="s">
        <v>66</v>
      </c>
      <c r="B11" t="s">
        <v>68</v>
      </c>
      <c r="C11">
        <v>1</v>
      </c>
      <c r="D11" t="s">
        <v>129</v>
      </c>
      <c r="E11" t="s">
        <v>123</v>
      </c>
      <c r="F11" t="s">
        <v>103</v>
      </c>
      <c r="G11">
        <v>0.72909322032718105</v>
      </c>
      <c r="H11">
        <v>0</v>
      </c>
      <c r="I11" t="str">
        <f>OutputTable[[#This Row],[ProjectName]]&amp;OutputTable[[#This Row],[Name]]&amp;OutputTable[[#This Row],[Type]]&amp;OutputTable[[#This Row],[Source]]</f>
        <v>Unnamed ProjectNacionalauto.ScheduledUtilizationScheduled UtilizationResource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10</v>
      </c>
      <c r="K11" cm="1">
        <f t="array" ref="K11">IFERROR(AVERAGE(IF((OutputTable[GroupByKey]=OutputTable[[#This Row],[GroupByKey]]),(OutputTable[GroupByKey]=OutputTable[[#This Row],[GroupByKey]])*OutputTable[RecordedValue])),0)</f>
        <v>0.73175058451933661</v>
      </c>
      <c r="L11" cm="1">
        <f t="array" ref="L11">IFERROR(_xlfn.STDEV.S(IF((OutputTable[GroupByKey]=OutputTable[[#This Row],[GroupByKey]]),(OutputTable[GroupByKey]=OutputTable[[#This Row],[GroupByKey]])*OutputTable[RecordedValue])),0)</f>
        <v>6.0813477412386734E-2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4.3503341043041877E-2</v>
      </c>
      <c r="O11" cm="1">
        <f t="array" ref="O11">MIN(IF((OutputTable[GroupByKey]=OutputTable[[#This Row],[GroupByKey]]),(OutputTable[GroupByKey]=OutputTable[[#This Row],[GroupByKey]])*OutputTable[RecordedValue]))</f>
        <v>0.64995347349336796</v>
      </c>
      <c r="P11" cm="1">
        <f t="array" ref="P11">MAX(IF((OutputTable[GroupByKey]=OutputTable[[#This Row],[GroupByKey]]),(OutputTable[GroupByKey]=OutputTable[[#This Row],[GroupByKey]])*OutputTable[RecordedValue]))</f>
        <v>0.82581624655093899</v>
      </c>
    </row>
    <row r="12" spans="1:16" x14ac:dyDescent="0.3">
      <c r="A12" t="s">
        <v>66</v>
      </c>
      <c r="B12" t="s">
        <v>68</v>
      </c>
      <c r="C12">
        <v>1</v>
      </c>
      <c r="D12" t="s">
        <v>130</v>
      </c>
      <c r="E12" t="s">
        <v>121</v>
      </c>
      <c r="F12" t="s">
        <v>103</v>
      </c>
      <c r="G12">
        <v>372</v>
      </c>
      <c r="H12">
        <v>0</v>
      </c>
      <c r="I12" t="str">
        <f>OutputTable[[#This Row],[ProjectName]]&amp;OutputTable[[#This Row],[Name]]&amp;OutputTable[[#This Row],[Type]]&amp;OutputTable[[#This Row],[Source]]</f>
        <v>Unnamed ProjectOperarios Avion.NumberSeizedTotal Number SeizedResource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10</v>
      </c>
      <c r="K12" cm="1">
        <f t="array" ref="K12">IFERROR(AVERAGE(IF((OutputTable[GroupByKey]=OutputTable[[#This Row],[GroupByKey]]),(OutputTable[GroupByKey]=OutputTable[[#This Row],[GroupByKey]])*OutputTable[RecordedValue])),0)</f>
        <v>368.6</v>
      </c>
      <c r="L12" cm="1">
        <f t="array" ref="L12">IFERROR(_xlfn.STDEV.S(IF((OutputTable[GroupByKey]=OutputTable[[#This Row],[GroupByKey]]),(OutputTable[GroupByKey]=OutputTable[[#This Row],[GroupByKey]])*OutputTable[RecordedValue])),0)</f>
        <v>29.243042857328572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20.919212659586112</v>
      </c>
      <c r="O12" cm="1">
        <f t="array" ref="O12">MIN(IF((OutputTable[GroupByKey]=OutputTable[[#This Row],[GroupByKey]]),(OutputTable[GroupByKey]=OutputTable[[#This Row],[GroupByKey]])*OutputTable[RecordedValue]))</f>
        <v>338</v>
      </c>
      <c r="P12" cm="1">
        <f t="array" ref="P12">MAX(IF((OutputTable[GroupByKey]=OutputTable[[#This Row],[GroupByKey]]),(OutputTable[GroupByKey]=OutputTable[[#This Row],[GroupByKey]])*OutputTable[RecordedValue]))</f>
        <v>416</v>
      </c>
    </row>
    <row r="13" spans="1:16" x14ac:dyDescent="0.3">
      <c r="A13" t="s">
        <v>66</v>
      </c>
      <c r="B13" t="s">
        <v>68</v>
      </c>
      <c r="C13">
        <v>1</v>
      </c>
      <c r="D13" t="s">
        <v>131</v>
      </c>
      <c r="E13" t="s">
        <v>123</v>
      </c>
      <c r="F13" t="s">
        <v>103</v>
      </c>
      <c r="G13">
        <v>6.7485948117393404E-2</v>
      </c>
      <c r="H13">
        <v>0</v>
      </c>
      <c r="I13" t="str">
        <f>OutputTable[[#This Row],[ProjectName]]&amp;OutputTable[[#This Row],[Name]]&amp;OutputTable[[#This Row],[Type]]&amp;OutputTable[[#This Row],[Source]]</f>
        <v>Unnamed ProjectOperarios Avion.ScheduledUtilizationScheduled UtilizationResource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10</v>
      </c>
      <c r="K13" cm="1">
        <f t="array" ref="K13">IFERROR(AVERAGE(IF((OutputTable[GroupByKey]=OutputTable[[#This Row],[GroupByKey]]),(OutputTable[GroupByKey]=OutputTable[[#This Row],[GroupByKey]])*OutputTable[RecordedValue])),0)</f>
        <v>7.5958437118625627E-2</v>
      </c>
      <c r="L13" cm="1">
        <f t="array" ref="L13">IFERROR(_xlfn.STDEV.S(IF((OutputTable[GroupByKey]=OutputTable[[#This Row],[GroupByKey]]),(OutputTable[GroupByKey]=OutputTable[[#This Row],[GroupByKey]])*OutputTable[RecordedValue])),0)</f>
        <v>5.0572810112240948E-3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3.6177608968134627E-3</v>
      </c>
      <c r="O13" cm="1">
        <f t="array" ref="O13">MIN(IF((OutputTable[GroupByKey]=OutputTable[[#This Row],[GroupByKey]]),(OutputTable[GroupByKey]=OutputTable[[#This Row],[GroupByKey]])*OutputTable[RecordedValue]))</f>
        <v>6.7485948117393404E-2</v>
      </c>
      <c r="P13" cm="1">
        <f t="array" ref="P13">MAX(IF((OutputTable[GroupByKey]=OutputTable[[#This Row],[GroupByKey]]),(OutputTable[GroupByKey]=OutputTable[[#This Row],[GroupByKey]])*OutputTable[RecordedValue]))</f>
        <v>8.7852447587946303E-2</v>
      </c>
    </row>
    <row r="14" spans="1:16" x14ac:dyDescent="0.3">
      <c r="A14" t="s">
        <v>66</v>
      </c>
      <c r="B14" t="s">
        <v>68</v>
      </c>
      <c r="C14">
        <v>1</v>
      </c>
      <c r="D14" t="s">
        <v>132</v>
      </c>
      <c r="E14" t="s">
        <v>119</v>
      </c>
      <c r="F14" t="s">
        <v>133</v>
      </c>
      <c r="G14">
        <v>657</v>
      </c>
      <c r="H14">
        <v>0</v>
      </c>
      <c r="I14" t="str">
        <f>OutputTable[[#This Row],[ProjectName]]&amp;OutputTable[[#This Row],[Name]]&amp;OutputTable[[#This Row],[Type]]&amp;OutputTable[[#This Row],[Source]]</f>
        <v>Unnamed ProjectSystem.NumberOutNumber OutSystem</v>
      </c>
      <c r="J14" cm="1">
        <f t="array" ref="J14">MAX(IF((ProjectInfoTable[ProjectName]=OutputTable[[#This Row],[ProjectName]]),(ProjectInfoTable[ProjectName]=OutputTable[[#This Row],[ProjectName]])*ProjectInfoTable[NumberOfReplications]))</f>
        <v>10</v>
      </c>
      <c r="K14" cm="1">
        <f t="array" ref="K14">IFERROR(AVERAGE(IF((OutputTable[GroupByKey]=OutputTable[[#This Row],[GroupByKey]]),(OutputTable[GroupByKey]=OutputTable[[#This Row],[GroupByKey]])*OutputTable[RecordedValue])),0)</f>
        <v>653</v>
      </c>
      <c r="L14" cm="1">
        <f t="array" ref="L14">IFERROR(_xlfn.STDEV.S(IF((OutputTable[GroupByKey]=OutputTable[[#This Row],[GroupByKey]]),(OutputTable[GroupByKey]=OutputTable[[#This Row],[GroupByKey]])*OutputTable[RecordedValue])),0)</f>
        <v>50.066622281382898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35.815504007612013</v>
      </c>
      <c r="O14" cm="1">
        <f t="array" ref="O14">MIN(IF((OutputTable[GroupByKey]=OutputTable[[#This Row],[GroupByKey]]),(OutputTable[GroupByKey]=OutputTable[[#This Row],[GroupByKey]])*OutputTable[RecordedValue]))</f>
        <v>594</v>
      </c>
      <c r="P14" cm="1">
        <f t="array" ref="P14">MAX(IF((OutputTable[GroupByKey]=OutputTable[[#This Row],[GroupByKey]]),(OutputTable[GroupByKey]=OutputTable[[#This Row],[GroupByKey]])*OutputTable[RecordedValue]))</f>
        <v>722</v>
      </c>
    </row>
    <row r="15" spans="1:16" x14ac:dyDescent="0.3">
      <c r="A15" t="s">
        <v>66</v>
      </c>
      <c r="B15" t="s">
        <v>68</v>
      </c>
      <c r="C15">
        <v>1</v>
      </c>
      <c r="D15" t="s">
        <v>134</v>
      </c>
      <c r="E15" t="s">
        <v>121</v>
      </c>
      <c r="F15" t="s">
        <v>103</v>
      </c>
      <c r="G15">
        <v>82</v>
      </c>
      <c r="H15">
        <v>0</v>
      </c>
      <c r="I15" t="str">
        <f>OutputTable[[#This Row],[ProjectName]]&amp;OutputTable[[#This Row],[Name]]&amp;OutputTable[[#This Row],[Type]]&amp;OutputTable[[#This Row],[Source]]</f>
        <v>Unnamed Projectcajera.NumberSeizedTotal Number SeizedResource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10</v>
      </c>
      <c r="K15" cm="1">
        <f t="array" ref="K15">IFERROR(AVERAGE(IF((OutputTable[GroupByKey]=OutputTable[[#This Row],[GroupByKey]]),(OutputTable[GroupByKey]=OutputTable[[#This Row],[GroupByKey]])*OutputTable[RecordedValue])),0)</f>
        <v>89.7</v>
      </c>
      <c r="L15" cm="1">
        <f t="array" ref="L15">IFERROR(_xlfn.STDEV.S(IF((OutputTable[GroupByKey]=OutputTable[[#This Row],[GroupByKey]]),(OutputTable[GroupByKey]=OutputTable[[#This Row],[GroupByKey]])*OutputTable[RecordedValue])),0)</f>
        <v>15.3554188770248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10.984604937751998</v>
      </c>
      <c r="O15" cm="1">
        <f t="array" ref="O15">MIN(IF((OutputTable[GroupByKey]=OutputTable[[#This Row],[GroupByKey]]),(OutputTable[GroupByKey]=OutputTable[[#This Row],[GroupByKey]])*OutputTable[RecordedValue]))</f>
        <v>72</v>
      </c>
      <c r="P15" cm="1">
        <f t="array" ref="P15">MAX(IF((OutputTable[GroupByKey]=OutputTable[[#This Row],[GroupByKey]]),(OutputTable[GroupByKey]=OutputTable[[#This Row],[GroupByKey]])*OutputTable[RecordedValue]))</f>
        <v>119</v>
      </c>
    </row>
    <row r="16" spans="1:16" x14ac:dyDescent="0.3">
      <c r="A16" t="s">
        <v>66</v>
      </c>
      <c r="B16" t="s">
        <v>68</v>
      </c>
      <c r="C16">
        <v>1</v>
      </c>
      <c r="D16" t="s">
        <v>135</v>
      </c>
      <c r="E16" t="s">
        <v>123</v>
      </c>
      <c r="F16" t="s">
        <v>103</v>
      </c>
      <c r="G16">
        <v>0.35968491066771402</v>
      </c>
      <c r="H16">
        <v>0</v>
      </c>
      <c r="I16" t="str">
        <f>OutputTable[[#This Row],[ProjectName]]&amp;OutputTable[[#This Row],[Name]]&amp;OutputTable[[#This Row],[Type]]&amp;OutputTable[[#This Row],[Source]]</f>
        <v>Unnamed Projectcajera.ScheduledUtilizationScheduled UtilizationResource</v>
      </c>
      <c r="J16" cm="1">
        <f t="array" ref="J16">MAX(IF((ProjectInfoTable[ProjectName]=OutputTable[[#This Row],[ProjectName]]),(ProjectInfoTable[ProjectName]=OutputTable[[#This Row],[ProjectName]])*ProjectInfoTable[NumberOfReplications]))</f>
        <v>10</v>
      </c>
      <c r="K16" cm="1">
        <f t="array" ref="K16">IFERROR(AVERAGE(IF((OutputTable[GroupByKey]=OutputTable[[#This Row],[GroupByKey]]),(OutputTable[GroupByKey]=OutputTable[[#This Row],[GroupByKey]])*OutputTable[RecordedValue])),0)</f>
        <v>0.38078385056341441</v>
      </c>
      <c r="L16" cm="1">
        <f t="array" ref="L16">IFERROR(_xlfn.STDEV.S(IF((OutputTable[GroupByKey]=OutputTable[[#This Row],[GroupByKey]]),(OutputTable[GroupByKey]=OutputTable[[#This Row],[GroupByKey]])*OutputTable[RecordedValue])),0)</f>
        <v>5.6481911326734656E-2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4.040472533000234E-2</v>
      </c>
      <c r="O16" cm="1">
        <f t="array" ref="O16">MIN(IF((OutputTable[GroupByKey]=OutputTable[[#This Row],[GroupByKey]]),(OutputTable[GroupByKey]=OutputTable[[#This Row],[GroupByKey]])*OutputTable[RecordedValue]))</f>
        <v>0.28913636698845602</v>
      </c>
      <c r="P16" cm="1">
        <f t="array" ref="P16">MAX(IF((OutputTable[GroupByKey]=OutputTable[[#This Row],[GroupByKey]]),(OutputTable[GroupByKey]=OutputTable[[#This Row],[GroupByKey]])*OutputTable[RecordedValue]))</f>
        <v>0.46134650546047301</v>
      </c>
    </row>
    <row r="17" spans="1:16" x14ac:dyDescent="0.3">
      <c r="A17" t="s">
        <v>66</v>
      </c>
      <c r="B17" t="s">
        <v>68</v>
      </c>
      <c r="C17">
        <v>1</v>
      </c>
      <c r="D17" t="s">
        <v>136</v>
      </c>
      <c r="E17" t="s">
        <v>121</v>
      </c>
      <c r="F17" t="s">
        <v>103</v>
      </c>
      <c r="G17">
        <v>191</v>
      </c>
      <c r="H17">
        <v>0</v>
      </c>
      <c r="I17" t="str">
        <f>OutputTable[[#This Row],[ProjectName]]&amp;OutputTable[[#This Row],[Name]]&amp;OutputTable[[#This Row],[Type]]&amp;OutputTable[[#This Row],[Source]]</f>
        <v>Unnamed Projectcajera2.NumberSeizedTotal Number SeizedResource</v>
      </c>
      <c r="J17" cm="1">
        <f t="array" ref="J17">MAX(IF((ProjectInfoTable[ProjectName]=OutputTable[[#This Row],[ProjectName]]),(ProjectInfoTable[ProjectName]=OutputTable[[#This Row],[ProjectName]])*ProjectInfoTable[NumberOfReplications]))</f>
        <v>10</v>
      </c>
      <c r="K17" cm="1">
        <f t="array" ref="K17">IFERROR(AVERAGE(IF((OutputTable[GroupByKey]=OutputTable[[#This Row],[GroupByKey]]),(OutputTable[GroupByKey]=OutputTable[[#This Row],[GroupByKey]])*OutputTable[RecordedValue])),0)</f>
        <v>181.1</v>
      </c>
      <c r="L17" cm="1">
        <f t="array" ref="L17">IFERROR(_xlfn.STDEV.S(IF((OutputTable[GroupByKey]=OutputTable[[#This Row],[GroupByKey]]),(OutputTable[GroupByKey]=OutputTable[[#This Row],[GroupByKey]])*OutputTable[RecordedValue])),0)</f>
        <v>9.7348172384830463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6.9638687399111214</v>
      </c>
      <c r="O17" cm="1">
        <f t="array" ref="O17">MIN(IF((OutputTable[GroupByKey]=OutputTable[[#This Row],[GroupByKey]]),(OutputTable[GroupByKey]=OutputTable[[#This Row],[GroupByKey]])*OutputTable[RecordedValue]))</f>
        <v>169</v>
      </c>
      <c r="P17" cm="1">
        <f t="array" ref="P17">MAX(IF((OutputTable[GroupByKey]=OutputTable[[#This Row],[GroupByKey]]),(OutputTable[GroupByKey]=OutputTable[[#This Row],[GroupByKey]])*OutputTable[RecordedValue]))</f>
        <v>194</v>
      </c>
    </row>
    <row r="18" spans="1:16" x14ac:dyDescent="0.3">
      <c r="A18" t="s">
        <v>66</v>
      </c>
      <c r="B18" t="s">
        <v>68</v>
      </c>
      <c r="C18">
        <v>1</v>
      </c>
      <c r="D18" t="s">
        <v>137</v>
      </c>
      <c r="E18" t="s">
        <v>123</v>
      </c>
      <c r="F18" t="s">
        <v>103</v>
      </c>
      <c r="G18">
        <v>0.69752119636771104</v>
      </c>
      <c r="H18">
        <v>0</v>
      </c>
      <c r="I18" t="str">
        <f>OutputTable[[#This Row],[ProjectName]]&amp;OutputTable[[#This Row],[Name]]&amp;OutputTable[[#This Row],[Type]]&amp;OutputTable[[#This Row],[Source]]</f>
        <v>Unnamed Projectcajera2.ScheduledUtilizationScheduled UtilizationResource</v>
      </c>
      <c r="J18" cm="1">
        <f t="array" ref="J18">MAX(IF((ProjectInfoTable[ProjectName]=OutputTable[[#This Row],[ProjectName]]),(ProjectInfoTable[ProjectName]=OutputTable[[#This Row],[ProjectName]])*ProjectInfoTable[NumberOfReplications]))</f>
        <v>10</v>
      </c>
      <c r="K18" cm="1">
        <f t="array" ref="K18">IFERROR(AVERAGE(IF((OutputTable[GroupByKey]=OutputTable[[#This Row],[GroupByKey]]),(OutputTable[GroupByKey]=OutputTable[[#This Row],[GroupByKey]])*OutputTable[RecordedValue])),0)</f>
        <v>0.73571117943508912</v>
      </c>
      <c r="L18" cm="1">
        <f t="array" ref="L18">IFERROR(_xlfn.STDEV.S(IF((OutputTable[GroupByKey]=OutputTable[[#This Row],[GroupByKey]]),(OutputTable[GroupByKey]=OutputTable[[#This Row],[GroupByKey]])*OutputTable[RecordedValue])),0)</f>
        <v>2.3945213257811505E-2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1.7129373668915777E-2</v>
      </c>
      <c r="O18" cm="1">
        <f t="array" ref="O18">MIN(IF((OutputTable[GroupByKey]=OutputTable[[#This Row],[GroupByKey]]),(OutputTable[GroupByKey]=OutputTable[[#This Row],[GroupByKey]])*OutputTable[RecordedValue]))</f>
        <v>0.69752119636771104</v>
      </c>
      <c r="P18" cm="1">
        <f t="array" ref="P18">MAX(IF((OutputTable[GroupByKey]=OutputTable[[#This Row],[GroupByKey]]),(OutputTable[GroupByKey]=OutputTable[[#This Row],[GroupByKey]])*OutputTable[RecordedValue]))</f>
        <v>0.77845968782647601</v>
      </c>
    </row>
    <row r="19" spans="1:16" x14ac:dyDescent="0.3">
      <c r="A19" t="s">
        <v>66</v>
      </c>
      <c r="B19" t="s">
        <v>68</v>
      </c>
      <c r="C19">
        <v>1</v>
      </c>
      <c r="D19" t="s">
        <v>138</v>
      </c>
      <c r="E19" t="s">
        <v>117</v>
      </c>
      <c r="F19" t="s">
        <v>74</v>
      </c>
      <c r="G19">
        <v>0</v>
      </c>
      <c r="H19">
        <v>0</v>
      </c>
      <c r="I19" t="str">
        <f>OutputTable[[#This Row],[ProjectName]]&amp;OutputTable[[#This Row],[Name]]&amp;OutputTable[[#This Row],[Type]]&amp;OutputTable[[#This Row],[Source]]</f>
        <v>Unnamed Projectpersona.NumberInNumber InEntity</v>
      </c>
      <c r="J19" cm="1">
        <f t="array" ref="J19">MAX(IF((ProjectInfoTable[ProjectName]=OutputTable[[#This Row],[ProjectName]]),(ProjectInfoTable[ProjectName]=OutputTable[[#This Row],[ProjectName]])*ProjectInfoTable[NumberOfReplications]))</f>
        <v>10</v>
      </c>
      <c r="K19" cm="1">
        <f t="array" ref="K19">IFERROR(AVERAGE(IF((OutputTable[GroupByKey]=OutputTable[[#This Row],[GroupByKey]]),(OutputTable[GroupByKey]=OutputTable[[#This Row],[GroupByKey]])*OutputTable[RecordedValue])),0)</f>
        <v>0</v>
      </c>
      <c r="L19" cm="1">
        <f t="array" ref="L19">IFERROR(_xlfn.STDEV.S(IF((OutputTable[GroupByKey]=OutputTable[[#This Row],[GroupByKey]]),(OutputTable[GroupByKey]=OutputTable[[#This Row],[GroupByKey]])*OutputTable[RecordedValue])),0)</f>
        <v>0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9" cm="1">
        <f t="array" ref="O19">MIN(IF((OutputTable[GroupByKey]=OutputTable[[#This Row],[GroupByKey]]),(OutputTable[GroupByKey]=OutputTable[[#This Row],[GroupByKey]])*OutputTable[RecordedValue]))</f>
        <v>0</v>
      </c>
      <c r="P19" cm="1">
        <f t="array" ref="P19">MAX(IF((OutputTable[GroupByKey]=OutputTable[[#This Row],[GroupByKey]]),(OutputTable[GroupByKey]=OutputTable[[#This Row],[GroupByKey]])*OutputTable[RecordedValue]))</f>
        <v>0</v>
      </c>
    </row>
    <row r="20" spans="1:16" x14ac:dyDescent="0.3">
      <c r="A20" t="s">
        <v>66</v>
      </c>
      <c r="B20" t="s">
        <v>68</v>
      </c>
      <c r="C20">
        <v>1</v>
      </c>
      <c r="D20" t="s">
        <v>139</v>
      </c>
      <c r="E20" t="s">
        <v>119</v>
      </c>
      <c r="F20" t="s">
        <v>74</v>
      </c>
      <c r="G20">
        <v>0</v>
      </c>
      <c r="H20">
        <v>0</v>
      </c>
      <c r="I20" t="str">
        <f>OutputTable[[#This Row],[ProjectName]]&amp;OutputTable[[#This Row],[Name]]&amp;OutputTable[[#This Row],[Type]]&amp;OutputTable[[#This Row],[Source]]</f>
        <v>Unnamed Projectpersona.NumberOutNumber OutEntity</v>
      </c>
      <c r="J20" cm="1">
        <f t="array" ref="J20">MAX(IF((ProjectInfoTable[ProjectName]=OutputTable[[#This Row],[ProjectName]]),(ProjectInfoTable[ProjectName]=OutputTable[[#This Row],[ProjectName]])*ProjectInfoTable[NumberOfReplications]))</f>
        <v>10</v>
      </c>
      <c r="K20" cm="1">
        <f t="array" ref="K20">IFERROR(AVERAGE(IF((OutputTable[GroupByKey]=OutputTable[[#This Row],[GroupByKey]]),(OutputTable[GroupByKey]=OutputTable[[#This Row],[GroupByKey]])*OutputTable[RecordedValue])),0)</f>
        <v>0</v>
      </c>
      <c r="L20" cm="1">
        <f t="array" ref="L20">IFERROR(_xlfn.STDEV.S(IF((OutputTable[GroupByKey]=OutputTable[[#This Row],[GroupByKey]]),(OutputTable[GroupByKey]=OutputTable[[#This Row],[GroupByKey]])*OutputTable[RecordedValue])),0)</f>
        <v>0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" cm="1">
        <f t="array" ref="O20">MIN(IF((OutputTable[GroupByKey]=OutputTable[[#This Row],[GroupByKey]]),(OutputTable[GroupByKey]=OutputTable[[#This Row],[GroupByKey]])*OutputTable[RecordedValue]))</f>
        <v>0</v>
      </c>
      <c r="P20" cm="1">
        <f t="array" ref="P20">MAX(IF((OutputTable[GroupByKey]=OutputTable[[#This Row],[GroupByKey]]),(OutputTable[GroupByKey]=OutputTable[[#This Row],[GroupByKey]])*OutputTable[RecordedValue]))</f>
        <v>0</v>
      </c>
    </row>
    <row r="21" spans="1:16" x14ac:dyDescent="0.3">
      <c r="A21" t="s">
        <v>66</v>
      </c>
      <c r="B21" t="s">
        <v>68</v>
      </c>
      <c r="C21">
        <v>1</v>
      </c>
      <c r="D21" t="s">
        <v>140</v>
      </c>
      <c r="E21" t="s">
        <v>121</v>
      </c>
      <c r="F21" t="s">
        <v>103</v>
      </c>
      <c r="G21">
        <v>4</v>
      </c>
      <c r="H21">
        <v>0</v>
      </c>
      <c r="I21" t="str">
        <f>OutputTable[[#This Row],[ProjectName]]&amp;OutputTable[[#This Row],[Name]]&amp;OutputTable[[#This Row],[Type]]&amp;OutputTable[[#This Row],[Source]]</f>
        <v>Unnamed Projectregistro1.NumberSeizedTotal Number SeizedResource</v>
      </c>
      <c r="J21" cm="1">
        <f t="array" ref="J21">MAX(IF((ProjectInfoTable[ProjectName]=OutputTable[[#This Row],[ProjectName]]),(ProjectInfoTable[ProjectName]=OutputTable[[#This Row],[ProjectName]])*ProjectInfoTable[NumberOfReplications]))</f>
        <v>10</v>
      </c>
      <c r="K21" cm="1">
        <f t="array" ref="K21">IFERROR(AVERAGE(IF((OutputTable[GroupByKey]=OutputTable[[#This Row],[GroupByKey]]),(OutputTable[GroupByKey]=OutputTable[[#This Row],[GroupByKey]])*OutputTable[RecordedValue])),0)</f>
        <v>7.6</v>
      </c>
      <c r="L21" cm="1">
        <f t="array" ref="L21">IFERROR(_xlfn.STDEV.S(IF((OutputTable[GroupByKey]=OutputTable[[#This Row],[GroupByKey]]),(OutputTable[GroupByKey]=OutputTable[[#This Row],[GroupByKey]])*OutputTable[RecordedValue])),0)</f>
        <v>2.9135697844549542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2.0842422663373124</v>
      </c>
      <c r="O21" cm="1">
        <f t="array" ref="O21">MIN(IF((OutputTable[GroupByKey]=OutputTable[[#This Row],[GroupByKey]]),(OutputTable[GroupByKey]=OutputTable[[#This Row],[GroupByKey]])*OutputTable[RecordedValue]))</f>
        <v>4</v>
      </c>
      <c r="P21" cm="1">
        <f t="array" ref="P21">MAX(IF((OutputTable[GroupByKey]=OutputTable[[#This Row],[GroupByKey]]),(OutputTable[GroupByKey]=OutputTable[[#This Row],[GroupByKey]])*OutputTable[RecordedValue]))</f>
        <v>12</v>
      </c>
    </row>
    <row r="22" spans="1:16" x14ac:dyDescent="0.3">
      <c r="A22" t="s">
        <v>66</v>
      </c>
      <c r="B22" t="s">
        <v>68</v>
      </c>
      <c r="C22">
        <v>1</v>
      </c>
      <c r="D22" t="s">
        <v>141</v>
      </c>
      <c r="E22" t="s">
        <v>123</v>
      </c>
      <c r="F22" t="s">
        <v>103</v>
      </c>
      <c r="G22">
        <v>3.1325407242192502E-2</v>
      </c>
      <c r="H22">
        <v>0</v>
      </c>
      <c r="I22" t="str">
        <f>OutputTable[[#This Row],[ProjectName]]&amp;OutputTable[[#This Row],[Name]]&amp;OutputTable[[#This Row],[Type]]&amp;OutputTable[[#This Row],[Source]]</f>
        <v>Unnamed Projectregistro1.ScheduledUtilizationScheduled UtilizationResource</v>
      </c>
      <c r="J22" cm="1">
        <f t="array" ref="J22">MAX(IF((ProjectInfoTable[ProjectName]=OutputTable[[#This Row],[ProjectName]]),(ProjectInfoTable[ProjectName]=OutputTable[[#This Row],[ProjectName]])*ProjectInfoTable[NumberOfReplications]))</f>
        <v>10</v>
      </c>
      <c r="K22" cm="1">
        <f t="array" ref="K22">IFERROR(AVERAGE(IF((OutputTable[GroupByKey]=OutputTable[[#This Row],[GroupByKey]]),(OutputTable[GroupByKey]=OutputTable[[#This Row],[GroupByKey]])*OutputTable[RecordedValue])),0)</f>
        <v>5.6433247648491516E-2</v>
      </c>
      <c r="L22" cm="1">
        <f t="array" ref="L22">IFERROR(_xlfn.STDEV.S(IF((OutputTable[GroupByKey]=OutputTable[[#This Row],[GroupByKey]]),(OutputTable[GroupByKey]=OutputTable[[#This Row],[GroupByKey]])*OutputTable[RecordedValue])),0)</f>
        <v>2.4456082934732001E-2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1.7494827820351853E-2</v>
      </c>
      <c r="O22" cm="1">
        <f t="array" ref="O22">MIN(IF((OutputTable[GroupByKey]=OutputTable[[#This Row],[GroupByKey]]),(OutputTable[GroupByKey]=OutputTable[[#This Row],[GroupByKey]])*OutputTable[RecordedValue]))</f>
        <v>2.1279401430778E-2</v>
      </c>
      <c r="P22" cm="1">
        <f t="array" ref="P22">MAX(IF((OutputTable[GroupByKey]=OutputTable[[#This Row],[GroupByKey]]),(OutputTable[GroupByKey]=OutputTable[[#This Row],[GroupByKey]])*OutputTable[RecordedValue]))</f>
        <v>8.8472374570180701E-2</v>
      </c>
    </row>
    <row r="23" spans="1:16" x14ac:dyDescent="0.3">
      <c r="A23" t="s">
        <v>66</v>
      </c>
      <c r="B23" t="s">
        <v>68</v>
      </c>
      <c r="C23">
        <v>1</v>
      </c>
      <c r="D23" t="s">
        <v>142</v>
      </c>
      <c r="E23" t="s">
        <v>121</v>
      </c>
      <c r="F23" t="s">
        <v>103</v>
      </c>
      <c r="G23">
        <v>20</v>
      </c>
      <c r="H23">
        <v>0</v>
      </c>
      <c r="I23" t="str">
        <f>OutputTable[[#This Row],[ProjectName]]&amp;OutputTable[[#This Row],[Name]]&amp;OutputTable[[#This Row],[Type]]&amp;OutputTable[[#This Row],[Source]]</f>
        <v>Unnamed Projectregistro2.NumberSeizedTotal Number SeizedResource</v>
      </c>
      <c r="J23" cm="1">
        <f t="array" ref="J23">MAX(IF((ProjectInfoTable[ProjectName]=OutputTable[[#This Row],[ProjectName]]),(ProjectInfoTable[ProjectName]=OutputTable[[#This Row],[ProjectName]])*ProjectInfoTable[NumberOfReplications]))</f>
        <v>10</v>
      </c>
      <c r="K23" cm="1">
        <f t="array" ref="K23">IFERROR(AVERAGE(IF((OutputTable[GroupByKey]=OutputTable[[#This Row],[GroupByKey]]),(OutputTable[GroupByKey]=OutputTable[[#This Row],[GroupByKey]])*OutputTable[RecordedValue])),0)</f>
        <v>18.8</v>
      </c>
      <c r="L23" cm="1">
        <f t="array" ref="L23">IFERROR(_xlfn.STDEV.S(IF((OutputTable[GroupByKey]=OutputTable[[#This Row],[GroupByKey]]),(OutputTable[GroupByKey]=OutputTable[[#This Row],[GroupByKey]])*OutputTable[RecordedValue])),0)</f>
        <v>2.8205594401741556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2.0177066742293341</v>
      </c>
      <c r="O23" cm="1">
        <f t="array" ref="O23">MIN(IF((OutputTable[GroupByKey]=OutputTable[[#This Row],[GroupByKey]]),(OutputTable[GroupByKey]=OutputTable[[#This Row],[GroupByKey]])*OutputTable[RecordedValue]))</f>
        <v>14</v>
      </c>
      <c r="P23" cm="1">
        <f t="array" ref="P23">MAX(IF((OutputTable[GroupByKey]=OutputTable[[#This Row],[GroupByKey]]),(OutputTable[GroupByKey]=OutputTable[[#This Row],[GroupByKey]])*OutputTable[RecordedValue]))</f>
        <v>24</v>
      </c>
    </row>
    <row r="24" spans="1:16" x14ac:dyDescent="0.3">
      <c r="A24" t="s">
        <v>66</v>
      </c>
      <c r="B24" t="s">
        <v>68</v>
      </c>
      <c r="C24">
        <v>1</v>
      </c>
      <c r="D24" t="s">
        <v>143</v>
      </c>
      <c r="E24" t="s">
        <v>123</v>
      </c>
      <c r="F24" t="s">
        <v>103</v>
      </c>
      <c r="G24">
        <v>0.66990172486561195</v>
      </c>
      <c r="H24">
        <v>0</v>
      </c>
      <c r="I24" t="str">
        <f>OutputTable[[#This Row],[ProjectName]]&amp;OutputTable[[#This Row],[Name]]&amp;OutputTable[[#This Row],[Type]]&amp;OutputTable[[#This Row],[Source]]</f>
        <v>Unnamed Projectregistro2.ScheduledUtilizationScheduled UtilizationResource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10</v>
      </c>
      <c r="K24" cm="1">
        <f t="array" ref="K24">IFERROR(AVERAGE(IF((OutputTable[GroupByKey]=OutputTable[[#This Row],[GroupByKey]]),(OutputTable[GroupByKey]=OutputTable[[#This Row],[GroupByKey]])*OutputTable[RecordedValue])),0)</f>
        <v>0.46274808587050231</v>
      </c>
      <c r="L24" cm="1">
        <f t="array" ref="L24">IFERROR(_xlfn.STDEV.S(IF((OutputTable[GroupByKey]=OutputTable[[#This Row],[GroupByKey]]),(OutputTable[GroupByKey]=OutputTable[[#This Row],[GroupByKey]])*OutputTable[RecordedValue])),0)</f>
        <v>9.1165192054027525E-2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6.5215649719990554E-2</v>
      </c>
      <c r="O24" cm="1">
        <f t="array" ref="O24">MIN(IF((OutputTable[GroupByKey]=OutputTable[[#This Row],[GroupByKey]]),(OutputTable[GroupByKey]=OutputTable[[#This Row],[GroupByKey]])*OutputTable[RecordedValue]))</f>
        <v>0.338210899349628</v>
      </c>
      <c r="P24" cm="1">
        <f t="array" ref="P24">MAX(IF((OutputTable[GroupByKey]=OutputTable[[#This Row],[GroupByKey]]),(OutputTable[GroupByKey]=OutputTable[[#This Row],[GroupByKey]])*OutputTable[RecordedValue]))</f>
        <v>0.66990172486561195</v>
      </c>
    </row>
    <row r="25" spans="1:16" x14ac:dyDescent="0.3">
      <c r="A25" t="s">
        <v>66</v>
      </c>
      <c r="B25" t="s">
        <v>68</v>
      </c>
      <c r="C25">
        <v>2</v>
      </c>
      <c r="D25" t="s">
        <v>116</v>
      </c>
      <c r="E25" t="s">
        <v>117</v>
      </c>
      <c r="F25" t="s">
        <v>74</v>
      </c>
      <c r="G25">
        <v>632</v>
      </c>
      <c r="H25">
        <v>0</v>
      </c>
      <c r="I25" t="str">
        <f>OutputTable[[#This Row],[ProjectName]]&amp;OutputTable[[#This Row],[Name]]&amp;OutputTable[[#This Row],[Type]]&amp;OutputTable[[#This Row],[Source]]</f>
        <v>Unnamed ProjectEntity 1.NumberInNumber InEntity</v>
      </c>
      <c r="J25" cm="1">
        <f t="array" ref="J25">MAX(IF((ProjectInfoTable[ProjectName]=OutputTable[[#This Row],[ProjectName]]),(ProjectInfoTable[ProjectName]=OutputTable[[#This Row],[ProjectName]])*ProjectInfoTable[NumberOfReplications]))</f>
        <v>10</v>
      </c>
      <c r="K25" cm="1">
        <f t="array" ref="K25">IFERROR(AVERAGE(IF((OutputTable[GroupByKey]=OutputTable[[#This Row],[GroupByKey]]),(OutputTable[GroupByKey]=OutputTable[[#This Row],[GroupByKey]])*OutputTable[RecordedValue])),0)</f>
        <v>677.4</v>
      </c>
      <c r="L25" cm="1">
        <f t="array" ref="L25">IFERROR(_xlfn.STDEV.S(IF((OutputTable[GroupByKey]=OutputTable[[#This Row],[GroupByKey]]),(OutputTable[GroupByKey]=OutputTable[[#This Row],[GroupByKey]])*OutputTable[RecordedValue])),0)</f>
        <v>50.383418789209699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36.042126577273301</v>
      </c>
      <c r="O25" cm="1">
        <f t="array" ref="O25">MIN(IF((OutputTable[GroupByKey]=OutputTable[[#This Row],[GroupByKey]]),(OutputTable[GroupByKey]=OutputTable[[#This Row],[GroupByKey]])*OutputTable[RecordedValue]))</f>
        <v>612</v>
      </c>
      <c r="P25" cm="1">
        <f t="array" ref="P25">MAX(IF((OutputTable[GroupByKey]=OutputTable[[#This Row],[GroupByKey]]),(OutputTable[GroupByKey]=OutputTable[[#This Row],[GroupByKey]])*OutputTable[RecordedValue]))</f>
        <v>757</v>
      </c>
    </row>
    <row r="26" spans="1:16" x14ac:dyDescent="0.3">
      <c r="A26" t="s">
        <v>66</v>
      </c>
      <c r="B26" t="s">
        <v>68</v>
      </c>
      <c r="C26">
        <v>2</v>
      </c>
      <c r="D26" t="s">
        <v>118</v>
      </c>
      <c r="E26" t="s">
        <v>119</v>
      </c>
      <c r="F26" t="s">
        <v>74</v>
      </c>
      <c r="G26">
        <v>628</v>
      </c>
      <c r="H26">
        <v>0</v>
      </c>
      <c r="I26" t="str">
        <f>OutputTable[[#This Row],[ProjectName]]&amp;OutputTable[[#This Row],[Name]]&amp;OutputTable[[#This Row],[Type]]&amp;OutputTable[[#This Row],[Source]]</f>
        <v>Unnamed ProjectEntity 1.NumberOutNumber OutEntity</v>
      </c>
      <c r="J26" cm="1">
        <f t="array" ref="J26">MAX(IF((ProjectInfoTable[ProjectName]=OutputTable[[#This Row],[ProjectName]]),(ProjectInfoTable[ProjectName]=OutputTable[[#This Row],[ProjectName]])*ProjectInfoTable[NumberOfReplications]))</f>
        <v>10</v>
      </c>
      <c r="K26" cm="1">
        <f t="array" ref="K26">IFERROR(AVERAGE(IF((OutputTable[GroupByKey]=OutputTable[[#This Row],[GroupByKey]]),(OutputTable[GroupByKey]=OutputTable[[#This Row],[GroupByKey]])*OutputTable[RecordedValue])),0)</f>
        <v>673.8</v>
      </c>
      <c r="L26" cm="1">
        <f t="array" ref="L26">IFERROR(_xlfn.STDEV.S(IF((OutputTable[GroupByKey]=OutputTable[[#This Row],[GroupByKey]]),(OutputTable[GroupByKey]=OutputTable[[#This Row],[GroupByKey]])*OutputTable[RecordedValue])),0)</f>
        <v>51.503613681199326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36.843465729291147</v>
      </c>
      <c r="O26" cm="1">
        <f t="array" ref="O26">MIN(IF((OutputTable[GroupByKey]=OutputTable[[#This Row],[GroupByKey]]),(OutputTable[GroupByKey]=OutputTable[[#This Row],[GroupByKey]])*OutputTable[RecordedValue]))</f>
        <v>608</v>
      </c>
      <c r="P26" cm="1">
        <f t="array" ref="P26">MAX(IF((OutputTable[GroupByKey]=OutputTable[[#This Row],[GroupByKey]]),(OutputTable[GroupByKey]=OutputTable[[#This Row],[GroupByKey]])*OutputTable[RecordedValue]))</f>
        <v>755</v>
      </c>
    </row>
    <row r="27" spans="1:16" x14ac:dyDescent="0.3">
      <c r="A27" t="s">
        <v>66</v>
      </c>
      <c r="B27" t="s">
        <v>68</v>
      </c>
      <c r="C27">
        <v>2</v>
      </c>
      <c r="D27" t="s">
        <v>120</v>
      </c>
      <c r="E27" t="s">
        <v>121</v>
      </c>
      <c r="F27" t="s">
        <v>103</v>
      </c>
      <c r="G27">
        <v>147</v>
      </c>
      <c r="H27">
        <v>0</v>
      </c>
      <c r="I27" t="str">
        <f>OutputTable[[#This Row],[ProjectName]]&amp;OutputTable[[#This Row],[Name]]&amp;OutputTable[[#This Row],[Type]]&amp;OutputTable[[#This Row],[Source]]</f>
        <v>Unnamed ProjectInterauto.NumberSeizedTotal Number SeizedResource</v>
      </c>
      <c r="J27" cm="1">
        <f t="array" ref="J27">MAX(IF((ProjectInfoTable[ProjectName]=OutputTable[[#This Row],[ProjectName]]),(ProjectInfoTable[ProjectName]=OutputTable[[#This Row],[ProjectName]])*ProjectInfoTable[NumberOfReplications]))</f>
        <v>10</v>
      </c>
      <c r="K27" cm="1">
        <f t="array" ref="K27">IFERROR(AVERAGE(IF((OutputTable[GroupByKey]=OutputTable[[#This Row],[GroupByKey]]),(OutputTable[GroupByKey]=OutputTable[[#This Row],[GroupByKey]])*OutputTable[RecordedValue])),0)</f>
        <v>161.5</v>
      </c>
      <c r="L27" cm="1">
        <f t="array" ref="L27">IFERROR(_xlfn.STDEV.S(IF((OutputTable[GroupByKey]=OutputTable[[#This Row],[GroupByKey]]),(OutputTable[GroupByKey]=OutputTable[[#This Row],[GroupByKey]])*OutputTable[RecordedValue])),0)</f>
        <v>13.778001790293589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9.8561887311626997</v>
      </c>
      <c r="O27" cm="1">
        <f t="array" ref="O27">MIN(IF((OutputTable[GroupByKey]=OutputTable[[#This Row],[GroupByKey]]),(OutputTable[GroupByKey]=OutputTable[[#This Row],[GroupByKey]])*OutputTable[RecordedValue]))</f>
        <v>147</v>
      </c>
      <c r="P27" cm="1">
        <f t="array" ref="P27">MAX(IF((OutputTable[GroupByKey]=OutputTable[[#This Row],[GroupByKey]]),(OutputTable[GroupByKey]=OutputTable[[#This Row],[GroupByKey]])*OutputTable[RecordedValue]))</f>
        <v>191</v>
      </c>
    </row>
    <row r="28" spans="1:16" x14ac:dyDescent="0.3">
      <c r="A28" t="s">
        <v>66</v>
      </c>
      <c r="B28" t="s">
        <v>68</v>
      </c>
      <c r="C28">
        <v>2</v>
      </c>
      <c r="D28" t="s">
        <v>122</v>
      </c>
      <c r="E28" t="s">
        <v>123</v>
      </c>
      <c r="F28" t="s">
        <v>103</v>
      </c>
      <c r="G28">
        <v>0.25945894132650299</v>
      </c>
      <c r="H28">
        <v>0</v>
      </c>
      <c r="I28" t="str">
        <f>OutputTable[[#This Row],[ProjectName]]&amp;OutputTable[[#This Row],[Name]]&amp;OutputTable[[#This Row],[Type]]&amp;OutputTable[[#This Row],[Source]]</f>
        <v>Unnamed ProjectInterauto.ScheduledUtilizationScheduled UtilizationResource</v>
      </c>
      <c r="J28" cm="1">
        <f t="array" ref="J28">MAX(IF((ProjectInfoTable[ProjectName]=OutputTable[[#This Row],[ProjectName]]),(ProjectInfoTable[ProjectName]=OutputTable[[#This Row],[ProjectName]])*ProjectInfoTable[NumberOfReplications]))</f>
        <v>10</v>
      </c>
      <c r="K28" cm="1">
        <f t="array" ref="K28">IFERROR(AVERAGE(IF((OutputTable[GroupByKey]=OutputTable[[#This Row],[GroupByKey]]),(OutputTable[GroupByKey]=OutputTable[[#This Row],[GroupByKey]])*OutputTable[RecordedValue])),0)</f>
        <v>0.26535205929836458</v>
      </c>
      <c r="L28" cm="1">
        <f t="array" ref="L28">IFERROR(_xlfn.STDEV.S(IF((OutputTable[GroupByKey]=OutputTable[[#This Row],[GroupByKey]]),(OutputTable[GroupByKey]=OutputTable[[#This Row],[GroupByKey]])*OutputTable[RecordedValue])),0)</f>
        <v>2.5807993647623796E-2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1.8461926485074727E-2</v>
      </c>
      <c r="O28" cm="1">
        <f t="array" ref="O28">MIN(IF((OutputTable[GroupByKey]=OutputTable[[#This Row],[GroupByKey]]),(OutputTable[GroupByKey]=OutputTable[[#This Row],[GroupByKey]])*OutputTable[RecordedValue]))</f>
        <v>0.20483176768320299</v>
      </c>
      <c r="P28" cm="1">
        <f t="array" ref="P28">MAX(IF((OutputTable[GroupByKey]=OutputTable[[#This Row],[GroupByKey]]),(OutputTable[GroupByKey]=OutputTable[[#This Row],[GroupByKey]])*OutputTable[RecordedValue]))</f>
        <v>0.29552077299252399</v>
      </c>
    </row>
    <row r="29" spans="1:16" x14ac:dyDescent="0.3">
      <c r="A29" t="s">
        <v>66</v>
      </c>
      <c r="B29" t="s">
        <v>68</v>
      </c>
      <c r="C29">
        <v>2</v>
      </c>
      <c r="D29" t="s">
        <v>124</v>
      </c>
      <c r="E29" t="s">
        <v>117</v>
      </c>
      <c r="F29" t="s">
        <v>74</v>
      </c>
      <c r="G29">
        <v>226</v>
      </c>
      <c r="H29">
        <v>0</v>
      </c>
      <c r="I29" t="str">
        <f>OutputTable[[#This Row],[ProjectName]]&amp;OutputTable[[#This Row],[Name]]&amp;OutputTable[[#This Row],[Type]]&amp;OutputTable[[#This Row],[Source]]</f>
        <v>Unnamed ProjectMaleta Internacional.NumberInNumber InEntity</v>
      </c>
      <c r="J29" cm="1">
        <f t="array" ref="J29">MAX(IF((ProjectInfoTable[ProjectName]=OutputTable[[#This Row],[ProjectName]]),(ProjectInfoTable[ProjectName]=OutputTable[[#This Row],[ProjectName]])*ProjectInfoTable[NumberOfReplications]))</f>
        <v>10</v>
      </c>
      <c r="K29" cm="1">
        <f t="array" ref="K29">IFERROR(AVERAGE(IF((OutputTable[GroupByKey]=OutputTable[[#This Row],[GroupByKey]]),(OutputTable[GroupByKey]=OutputTable[[#This Row],[GroupByKey]])*OutputTable[RecordedValue])),0)</f>
        <v>241.3</v>
      </c>
      <c r="L29" cm="1">
        <f t="array" ref="L29">IFERROR(_xlfn.STDEV.S(IF((OutputTable[GroupByKey]=OutputTable[[#This Row],[GroupByKey]]),(OutputTable[GroupByKey]=OutputTable[[#This Row],[GroupByKey]])*OutputTable[RecordedValue])),0)</f>
        <v>25.59101404790356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18.306708629960106</v>
      </c>
      <c r="O29" cm="1">
        <f t="array" ref="O29">MIN(IF((OutputTable[GroupByKey]=OutputTable[[#This Row],[GroupByKey]]),(OutputTable[GroupByKey]=OutputTable[[#This Row],[GroupByKey]])*OutputTable[RecordedValue]))</f>
        <v>207</v>
      </c>
      <c r="P29" cm="1">
        <f t="array" ref="P29">MAX(IF((OutputTable[GroupByKey]=OutputTable[[#This Row],[GroupByKey]]),(OutputTable[GroupByKey]=OutputTable[[#This Row],[GroupByKey]])*OutputTable[RecordedValue]))</f>
        <v>287</v>
      </c>
    </row>
    <row r="30" spans="1:16" x14ac:dyDescent="0.3">
      <c r="A30" t="s">
        <v>66</v>
      </c>
      <c r="B30" t="s">
        <v>68</v>
      </c>
      <c r="C30">
        <v>2</v>
      </c>
      <c r="D30" t="s">
        <v>125</v>
      </c>
      <c r="E30" t="s">
        <v>119</v>
      </c>
      <c r="F30" t="s">
        <v>74</v>
      </c>
      <c r="G30">
        <v>211</v>
      </c>
      <c r="H30">
        <v>0</v>
      </c>
      <c r="I30" t="str">
        <f>OutputTable[[#This Row],[ProjectName]]&amp;OutputTable[[#This Row],[Name]]&amp;OutputTable[[#This Row],[Type]]&amp;OutputTable[[#This Row],[Source]]</f>
        <v>Unnamed ProjectMaleta Internacional.NumberOutNumber OutEntity</v>
      </c>
      <c r="J30" cm="1">
        <f t="array" ref="J30">MAX(IF((ProjectInfoTable[ProjectName]=OutputTable[[#This Row],[ProjectName]]),(ProjectInfoTable[ProjectName]=OutputTable[[#This Row],[ProjectName]])*ProjectInfoTable[NumberOfReplications]))</f>
        <v>10</v>
      </c>
      <c r="K30" cm="1">
        <f t="array" ref="K30">IFERROR(AVERAGE(IF((OutputTable[GroupByKey]=OutputTable[[#This Row],[GroupByKey]]),(OutputTable[GroupByKey]=OutputTable[[#This Row],[GroupByKey]])*OutputTable[RecordedValue])),0)</f>
        <v>224.5</v>
      </c>
      <c r="L30" cm="1">
        <f t="array" ref="L30">IFERROR(_xlfn.STDEV.S(IF((OutputTable[GroupByKey]=OutputTable[[#This Row],[GroupByKey]]),(OutputTable[GroupByKey]=OutputTable[[#This Row],[GroupByKey]])*OutputTable[RecordedValue])),0)</f>
        <v>20.812656405818711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14.888477491497007</v>
      </c>
      <c r="O30" cm="1">
        <f t="array" ref="O30">MIN(IF((OutputTable[GroupByKey]=OutputTable[[#This Row],[GroupByKey]]),(OutputTable[GroupByKey]=OutputTable[[#This Row],[GroupByKey]])*OutputTable[RecordedValue]))</f>
        <v>199</v>
      </c>
      <c r="P30" cm="1">
        <f t="array" ref="P30">MAX(IF((OutputTable[GroupByKey]=OutputTable[[#This Row],[GroupByKey]]),(OutputTable[GroupByKey]=OutputTable[[#This Row],[GroupByKey]])*OutputTable[RecordedValue]))</f>
        <v>256</v>
      </c>
    </row>
    <row r="31" spans="1:16" x14ac:dyDescent="0.3">
      <c r="A31" t="s">
        <v>66</v>
      </c>
      <c r="B31" t="s">
        <v>68</v>
      </c>
      <c r="C31">
        <v>2</v>
      </c>
      <c r="D31" t="s">
        <v>126</v>
      </c>
      <c r="E31" t="s">
        <v>117</v>
      </c>
      <c r="F31" t="s">
        <v>74</v>
      </c>
      <c r="G31">
        <v>149</v>
      </c>
      <c r="H31">
        <v>0</v>
      </c>
      <c r="I31" t="str">
        <f>OutputTable[[#This Row],[ProjectName]]&amp;OutputTable[[#This Row],[Name]]&amp;OutputTable[[#This Row],[Type]]&amp;OutputTable[[#This Row],[Source]]</f>
        <v>Unnamed ProjectMaleta Nacional.NumberInNumber InEntity</v>
      </c>
      <c r="J31" cm="1">
        <f t="array" ref="J31">MAX(IF((ProjectInfoTable[ProjectName]=OutputTable[[#This Row],[ProjectName]]),(ProjectInfoTable[ProjectName]=OutputTable[[#This Row],[ProjectName]])*ProjectInfoTable[NumberOfReplications]))</f>
        <v>10</v>
      </c>
      <c r="K31" cm="1">
        <f t="array" ref="K31">IFERROR(AVERAGE(IF((OutputTable[GroupByKey]=OutputTable[[#This Row],[GroupByKey]]),(OutputTable[GroupByKey]=OutputTable[[#This Row],[GroupByKey]])*OutputTable[RecordedValue])),0)</f>
        <v>163.1</v>
      </c>
      <c r="L31" cm="1">
        <f t="array" ref="L31">IFERROR(_xlfn.STDEV.S(IF((OutputTable[GroupByKey]=OutputTable[[#This Row],[GroupByKey]]),(OutputTable[GroupByKey]=OutputTable[[#This Row],[GroupByKey]])*OutputTable[RecordedValue])),0)</f>
        <v>14.371654200002325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10.280862082193972</v>
      </c>
      <c r="O31" cm="1">
        <f t="array" ref="O31">MIN(IF((OutputTable[GroupByKey]=OutputTable[[#This Row],[GroupByKey]]),(OutputTable[GroupByKey]=OutputTable[[#This Row],[GroupByKey]])*OutputTable[RecordedValue]))</f>
        <v>149</v>
      </c>
      <c r="P31" cm="1">
        <f t="array" ref="P31">MAX(IF((OutputTable[GroupByKey]=OutputTable[[#This Row],[GroupByKey]]),(OutputTable[GroupByKey]=OutputTable[[#This Row],[GroupByKey]])*OutputTable[RecordedValue]))</f>
        <v>191</v>
      </c>
    </row>
    <row r="32" spans="1:16" x14ac:dyDescent="0.3">
      <c r="A32" t="s">
        <v>66</v>
      </c>
      <c r="B32" t="s">
        <v>68</v>
      </c>
      <c r="C32">
        <v>2</v>
      </c>
      <c r="D32" t="s">
        <v>127</v>
      </c>
      <c r="E32" t="s">
        <v>119</v>
      </c>
      <c r="F32" t="s">
        <v>74</v>
      </c>
      <c r="G32">
        <v>145</v>
      </c>
      <c r="H32">
        <v>0</v>
      </c>
      <c r="I32" t="str">
        <f>OutputTable[[#This Row],[ProjectName]]&amp;OutputTable[[#This Row],[Name]]&amp;OutputTable[[#This Row],[Type]]&amp;OutputTable[[#This Row],[Source]]</f>
        <v>Unnamed ProjectMaleta Nacional.NumberOutNumber OutEntity</v>
      </c>
      <c r="J32" cm="1">
        <f t="array" ref="J32">MAX(IF((ProjectInfoTable[ProjectName]=OutputTable[[#This Row],[ProjectName]]),(ProjectInfoTable[ProjectName]=OutputTable[[#This Row],[ProjectName]])*ProjectInfoTable[NumberOfReplications]))</f>
        <v>10</v>
      </c>
      <c r="K32" cm="1">
        <f t="array" ref="K32">IFERROR(AVERAGE(IF((OutputTable[GroupByKey]=OutputTable[[#This Row],[GroupByKey]]),(OutputTable[GroupByKey]=OutputTable[[#This Row],[GroupByKey]])*OutputTable[RecordedValue])),0)</f>
        <v>159.1</v>
      </c>
      <c r="L32" cm="1">
        <f t="array" ref="L32">IFERROR(_xlfn.STDEV.S(IF((OutputTable[GroupByKey]=OutputTable[[#This Row],[GroupByKey]]),(OutputTable[GroupByKey]=OutputTable[[#This Row],[GroupByKey]])*OutputTable[RecordedValue])),0)</f>
        <v>14.153523314787106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10.12482064704977</v>
      </c>
      <c r="O32" cm="1">
        <f t="array" ref="O32">MIN(IF((OutputTable[GroupByKey]=OutputTable[[#This Row],[GroupByKey]]),(OutputTable[GroupByKey]=OutputTable[[#This Row],[GroupByKey]])*OutputTable[RecordedValue]))</f>
        <v>145</v>
      </c>
      <c r="P32" cm="1">
        <f t="array" ref="P32">MAX(IF((OutputTable[GroupByKey]=OutputTable[[#This Row],[GroupByKey]]),(OutputTable[GroupByKey]=OutputTable[[#This Row],[GroupByKey]])*OutputTable[RecordedValue]))</f>
        <v>189</v>
      </c>
    </row>
    <row r="33" spans="1:16" x14ac:dyDescent="0.3">
      <c r="A33" t="s">
        <v>66</v>
      </c>
      <c r="B33" t="s">
        <v>68</v>
      </c>
      <c r="C33">
        <v>2</v>
      </c>
      <c r="D33" t="s">
        <v>128</v>
      </c>
      <c r="E33" t="s">
        <v>121</v>
      </c>
      <c r="F33" t="s">
        <v>103</v>
      </c>
      <c r="G33">
        <v>219</v>
      </c>
      <c r="H33">
        <v>0</v>
      </c>
      <c r="I33" t="str">
        <f>OutputTable[[#This Row],[ProjectName]]&amp;OutputTable[[#This Row],[Name]]&amp;OutputTable[[#This Row],[Type]]&amp;OutputTable[[#This Row],[Source]]</f>
        <v>Unnamed ProjectNacionalauto.NumberSeizedTotal Number SeizedResource</v>
      </c>
      <c r="J33" cm="1">
        <f t="array" ref="J33">MAX(IF((ProjectInfoTable[ProjectName]=OutputTable[[#This Row],[ProjectName]]),(ProjectInfoTable[ProjectName]=OutputTable[[#This Row],[ProjectName]])*ProjectInfoTable[NumberOfReplications]))</f>
        <v>10</v>
      </c>
      <c r="K33" cm="1">
        <f t="array" ref="K33">IFERROR(AVERAGE(IF((OutputTable[GroupByKey]=OutputTable[[#This Row],[GroupByKey]]),(OutputTable[GroupByKey]=OutputTable[[#This Row],[GroupByKey]])*OutputTable[RecordedValue])),0)</f>
        <v>231.5</v>
      </c>
      <c r="L33" cm="1">
        <f t="array" ref="L33">IFERROR(_xlfn.STDEV.S(IF((OutputTable[GroupByKey]=OutputTable[[#This Row],[GroupByKey]]),(OutputTable[GroupByKey]=OutputTable[[#This Row],[GroupByKey]])*OutputTable[RecordedValue])),0)</f>
        <v>20.817994353176505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14.892296029003113</v>
      </c>
      <c r="O33" cm="1">
        <f t="array" ref="O33">MIN(IF((OutputTable[GroupByKey]=OutputTable[[#This Row],[GroupByKey]]),(OutputTable[GroupByKey]=OutputTable[[#This Row],[GroupByKey]])*OutputTable[RecordedValue]))</f>
        <v>202</v>
      </c>
      <c r="P33" cm="1">
        <f t="array" ref="P33">MAX(IF((OutputTable[GroupByKey]=OutputTable[[#This Row],[GroupByKey]]),(OutputTable[GroupByKey]=OutputTable[[#This Row],[GroupByKey]])*OutputTable[RecordedValue]))</f>
        <v>264</v>
      </c>
    </row>
    <row r="34" spans="1:16" x14ac:dyDescent="0.3">
      <c r="A34" t="s">
        <v>66</v>
      </c>
      <c r="B34" t="s">
        <v>68</v>
      </c>
      <c r="C34">
        <v>2</v>
      </c>
      <c r="D34" t="s">
        <v>129</v>
      </c>
      <c r="E34" t="s">
        <v>123</v>
      </c>
      <c r="F34" t="s">
        <v>103</v>
      </c>
      <c r="G34">
        <v>0.68944986969492195</v>
      </c>
      <c r="H34">
        <v>0</v>
      </c>
      <c r="I34" t="str">
        <f>OutputTable[[#This Row],[ProjectName]]&amp;OutputTable[[#This Row],[Name]]&amp;OutputTable[[#This Row],[Type]]&amp;OutputTable[[#This Row],[Source]]</f>
        <v>Unnamed ProjectNacionalauto.ScheduledUtilizationScheduled UtilizationResource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10</v>
      </c>
      <c r="K34" cm="1">
        <f t="array" ref="K34">IFERROR(AVERAGE(IF((OutputTable[GroupByKey]=OutputTable[[#This Row],[GroupByKey]]),(OutputTable[GroupByKey]=OutputTable[[#This Row],[GroupByKey]])*OutputTable[RecordedValue])),0)</f>
        <v>0.73175058451933661</v>
      </c>
      <c r="L34" cm="1">
        <f t="array" ref="L34">IFERROR(_xlfn.STDEV.S(IF((OutputTable[GroupByKey]=OutputTable[[#This Row],[GroupByKey]]),(OutputTable[GroupByKey]=OutputTable[[#This Row],[GroupByKey]])*OutputTable[RecordedValue])),0)</f>
        <v>6.0813477412386734E-2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4.3503341043041877E-2</v>
      </c>
      <c r="O34" cm="1">
        <f t="array" ref="O34">MIN(IF((OutputTable[GroupByKey]=OutputTable[[#This Row],[GroupByKey]]),(OutputTable[GroupByKey]=OutputTable[[#This Row],[GroupByKey]])*OutputTable[RecordedValue]))</f>
        <v>0.64995347349336796</v>
      </c>
      <c r="P34" cm="1">
        <f t="array" ref="P34">MAX(IF((OutputTable[GroupByKey]=OutputTable[[#This Row],[GroupByKey]]),(OutputTable[GroupByKey]=OutputTable[[#This Row],[GroupByKey]])*OutputTable[RecordedValue]))</f>
        <v>0.82581624655093899</v>
      </c>
    </row>
    <row r="35" spans="1:16" x14ac:dyDescent="0.3">
      <c r="A35" t="s">
        <v>66</v>
      </c>
      <c r="B35" t="s">
        <v>68</v>
      </c>
      <c r="C35">
        <v>2</v>
      </c>
      <c r="D35" t="s">
        <v>130</v>
      </c>
      <c r="E35" t="s">
        <v>121</v>
      </c>
      <c r="F35" t="s">
        <v>103</v>
      </c>
      <c r="G35">
        <v>338</v>
      </c>
      <c r="H35">
        <v>0</v>
      </c>
      <c r="I35" t="str">
        <f>OutputTable[[#This Row],[ProjectName]]&amp;OutputTable[[#This Row],[Name]]&amp;OutputTable[[#This Row],[Type]]&amp;OutputTable[[#This Row],[Source]]</f>
        <v>Unnamed ProjectOperarios Avion.NumberSeizedTotal Number SeizedResource</v>
      </c>
      <c r="J35" cm="1">
        <f t="array" ref="J35">MAX(IF((ProjectInfoTable[ProjectName]=OutputTable[[#This Row],[ProjectName]]),(ProjectInfoTable[ProjectName]=OutputTable[[#This Row],[ProjectName]])*ProjectInfoTable[NumberOfReplications]))</f>
        <v>10</v>
      </c>
      <c r="K35" cm="1">
        <f t="array" ref="K35">IFERROR(AVERAGE(IF((OutputTable[GroupByKey]=OutputTable[[#This Row],[GroupByKey]]),(OutputTable[GroupByKey]=OutputTable[[#This Row],[GroupByKey]])*OutputTable[RecordedValue])),0)</f>
        <v>368.6</v>
      </c>
      <c r="L35" cm="1">
        <f t="array" ref="L35">IFERROR(_xlfn.STDEV.S(IF((OutputTable[GroupByKey]=OutputTable[[#This Row],[GroupByKey]]),(OutputTable[GroupByKey]=OutputTable[[#This Row],[GroupByKey]])*OutputTable[RecordedValue])),0)</f>
        <v>29.243042857328572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20.919212659586112</v>
      </c>
      <c r="O35" cm="1">
        <f t="array" ref="O35">MIN(IF((OutputTable[GroupByKey]=OutputTable[[#This Row],[GroupByKey]]),(OutputTable[GroupByKey]=OutputTable[[#This Row],[GroupByKey]])*OutputTable[RecordedValue]))</f>
        <v>338</v>
      </c>
      <c r="P35" cm="1">
        <f t="array" ref="P35">MAX(IF((OutputTable[GroupByKey]=OutputTable[[#This Row],[GroupByKey]]),(OutputTable[GroupByKey]=OutputTable[[#This Row],[GroupByKey]])*OutputTable[RecordedValue]))</f>
        <v>416</v>
      </c>
    </row>
    <row r="36" spans="1:16" x14ac:dyDescent="0.3">
      <c r="A36" t="s">
        <v>66</v>
      </c>
      <c r="B36" t="s">
        <v>68</v>
      </c>
      <c r="C36">
        <v>2</v>
      </c>
      <c r="D36" t="s">
        <v>131</v>
      </c>
      <c r="E36" t="s">
        <v>123</v>
      </c>
      <c r="F36" t="s">
        <v>103</v>
      </c>
      <c r="G36">
        <v>7.5522136747554799E-2</v>
      </c>
      <c r="H36">
        <v>0</v>
      </c>
      <c r="I36" t="str">
        <f>OutputTable[[#This Row],[ProjectName]]&amp;OutputTable[[#This Row],[Name]]&amp;OutputTable[[#This Row],[Type]]&amp;OutputTable[[#This Row],[Source]]</f>
        <v>Unnamed ProjectOperarios Avion.ScheduledUtilizationScheduled UtilizationResource</v>
      </c>
      <c r="J36" cm="1">
        <f t="array" ref="J36">MAX(IF((ProjectInfoTable[ProjectName]=OutputTable[[#This Row],[ProjectName]]),(ProjectInfoTable[ProjectName]=OutputTable[[#This Row],[ProjectName]])*ProjectInfoTable[NumberOfReplications]))</f>
        <v>10</v>
      </c>
      <c r="K36" cm="1">
        <f t="array" ref="K36">IFERROR(AVERAGE(IF((OutputTable[GroupByKey]=OutputTable[[#This Row],[GroupByKey]]),(OutputTable[GroupByKey]=OutputTable[[#This Row],[GroupByKey]])*OutputTable[RecordedValue])),0)</f>
        <v>7.5958437118625627E-2</v>
      </c>
      <c r="L36" cm="1">
        <f t="array" ref="L36">IFERROR(_xlfn.STDEV.S(IF((OutputTable[GroupByKey]=OutputTable[[#This Row],[GroupByKey]]),(OutputTable[GroupByKey]=OutputTable[[#This Row],[GroupByKey]])*OutputTable[RecordedValue])),0)</f>
        <v>5.0572810112240948E-3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3.6177608968134627E-3</v>
      </c>
      <c r="O36" cm="1">
        <f t="array" ref="O36">MIN(IF((OutputTable[GroupByKey]=OutputTable[[#This Row],[GroupByKey]]),(OutputTable[GroupByKey]=OutputTable[[#This Row],[GroupByKey]])*OutputTable[RecordedValue]))</f>
        <v>6.7485948117393404E-2</v>
      </c>
      <c r="P36" cm="1">
        <f t="array" ref="P36">MAX(IF((OutputTable[GroupByKey]=OutputTable[[#This Row],[GroupByKey]]),(OutputTable[GroupByKey]=OutputTable[[#This Row],[GroupByKey]])*OutputTable[RecordedValue]))</f>
        <v>8.7852447587946303E-2</v>
      </c>
    </row>
    <row r="37" spans="1:16" x14ac:dyDescent="0.3">
      <c r="A37" t="s">
        <v>66</v>
      </c>
      <c r="B37" t="s">
        <v>68</v>
      </c>
      <c r="C37">
        <v>2</v>
      </c>
      <c r="D37" t="s">
        <v>132</v>
      </c>
      <c r="E37" t="s">
        <v>119</v>
      </c>
      <c r="F37" t="s">
        <v>133</v>
      </c>
      <c r="G37">
        <v>609</v>
      </c>
      <c r="H37">
        <v>0</v>
      </c>
      <c r="I37" t="str">
        <f>OutputTable[[#This Row],[ProjectName]]&amp;OutputTable[[#This Row],[Name]]&amp;OutputTable[[#This Row],[Type]]&amp;OutputTable[[#This Row],[Source]]</f>
        <v>Unnamed ProjectSystem.NumberOutNumber OutSystem</v>
      </c>
      <c r="J37" cm="1">
        <f t="array" ref="J37">MAX(IF((ProjectInfoTable[ProjectName]=OutputTable[[#This Row],[ProjectName]]),(ProjectInfoTable[ProjectName]=OutputTable[[#This Row],[ProjectName]])*ProjectInfoTable[NumberOfReplications]))</f>
        <v>10</v>
      </c>
      <c r="K37" cm="1">
        <f t="array" ref="K37">IFERROR(AVERAGE(IF((OutputTable[GroupByKey]=OutputTable[[#This Row],[GroupByKey]]),(OutputTable[GroupByKey]=OutputTable[[#This Row],[GroupByKey]])*OutputTable[RecordedValue])),0)</f>
        <v>653</v>
      </c>
      <c r="L37" cm="1">
        <f t="array" ref="L37">IFERROR(_xlfn.STDEV.S(IF((OutputTable[GroupByKey]=OutputTable[[#This Row],[GroupByKey]]),(OutputTable[GroupByKey]=OutputTable[[#This Row],[GroupByKey]])*OutputTable[RecordedValue])),0)</f>
        <v>50.066622281382898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35.815504007612013</v>
      </c>
      <c r="O37" cm="1">
        <f t="array" ref="O37">MIN(IF((OutputTable[GroupByKey]=OutputTable[[#This Row],[GroupByKey]]),(OutputTable[GroupByKey]=OutputTable[[#This Row],[GroupByKey]])*OutputTable[RecordedValue]))</f>
        <v>594</v>
      </c>
      <c r="P37" cm="1">
        <f t="array" ref="P37">MAX(IF((OutputTable[GroupByKey]=OutputTable[[#This Row],[GroupByKey]]),(OutputTable[GroupByKey]=OutputTable[[#This Row],[GroupByKey]])*OutputTable[RecordedValue]))</f>
        <v>722</v>
      </c>
    </row>
    <row r="38" spans="1:16" x14ac:dyDescent="0.3">
      <c r="A38" t="s">
        <v>66</v>
      </c>
      <c r="B38" t="s">
        <v>68</v>
      </c>
      <c r="C38">
        <v>2</v>
      </c>
      <c r="D38" t="s">
        <v>134</v>
      </c>
      <c r="E38" t="s">
        <v>121</v>
      </c>
      <c r="F38" t="s">
        <v>103</v>
      </c>
      <c r="G38">
        <v>85</v>
      </c>
      <c r="H38">
        <v>0</v>
      </c>
      <c r="I38" t="str">
        <f>OutputTable[[#This Row],[ProjectName]]&amp;OutputTable[[#This Row],[Name]]&amp;OutputTable[[#This Row],[Type]]&amp;OutputTable[[#This Row],[Source]]</f>
        <v>Unnamed Projectcajera.NumberSeizedTotal Number SeizedResource</v>
      </c>
      <c r="J38" cm="1">
        <f t="array" ref="J38">MAX(IF((ProjectInfoTable[ProjectName]=OutputTable[[#This Row],[ProjectName]]),(ProjectInfoTable[ProjectName]=OutputTable[[#This Row],[ProjectName]])*ProjectInfoTable[NumberOfReplications]))</f>
        <v>10</v>
      </c>
      <c r="K38" cm="1">
        <f t="array" ref="K38">IFERROR(AVERAGE(IF((OutputTable[GroupByKey]=OutputTable[[#This Row],[GroupByKey]]),(OutputTable[GroupByKey]=OutputTable[[#This Row],[GroupByKey]])*OutputTable[RecordedValue])),0)</f>
        <v>89.7</v>
      </c>
      <c r="L38" cm="1">
        <f t="array" ref="L38">IFERROR(_xlfn.STDEV.S(IF((OutputTable[GroupByKey]=OutputTable[[#This Row],[GroupByKey]]),(OutputTable[GroupByKey]=OutputTable[[#This Row],[GroupByKey]])*OutputTable[RecordedValue])),0)</f>
        <v>15.3554188770248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10.984604937751998</v>
      </c>
      <c r="O38" cm="1">
        <f t="array" ref="O38">MIN(IF((OutputTable[GroupByKey]=OutputTable[[#This Row],[GroupByKey]]),(OutputTable[GroupByKey]=OutputTable[[#This Row],[GroupByKey]])*OutputTable[RecordedValue]))</f>
        <v>72</v>
      </c>
      <c r="P38" cm="1">
        <f t="array" ref="P38">MAX(IF((OutputTable[GroupByKey]=OutputTable[[#This Row],[GroupByKey]]),(OutputTable[GroupByKey]=OutputTable[[#This Row],[GroupByKey]])*OutputTable[RecordedValue]))</f>
        <v>119</v>
      </c>
    </row>
    <row r="39" spans="1:16" x14ac:dyDescent="0.3">
      <c r="A39" t="s">
        <v>66</v>
      </c>
      <c r="B39" t="s">
        <v>68</v>
      </c>
      <c r="C39">
        <v>2</v>
      </c>
      <c r="D39" t="s">
        <v>135</v>
      </c>
      <c r="E39" t="s">
        <v>123</v>
      </c>
      <c r="F39" t="s">
        <v>103</v>
      </c>
      <c r="G39">
        <v>0.35108547037536902</v>
      </c>
      <c r="H39">
        <v>0</v>
      </c>
      <c r="I39" t="str">
        <f>OutputTable[[#This Row],[ProjectName]]&amp;OutputTable[[#This Row],[Name]]&amp;OutputTable[[#This Row],[Type]]&amp;OutputTable[[#This Row],[Source]]</f>
        <v>Unnamed Projectcajera.ScheduledUtilizationScheduled UtilizationResource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10</v>
      </c>
      <c r="K39" cm="1">
        <f t="array" ref="K39">IFERROR(AVERAGE(IF((OutputTable[GroupByKey]=OutputTable[[#This Row],[GroupByKey]]),(OutputTable[GroupByKey]=OutputTable[[#This Row],[GroupByKey]])*OutputTable[RecordedValue])),0)</f>
        <v>0.38078385056341441</v>
      </c>
      <c r="L39" cm="1">
        <f t="array" ref="L39">IFERROR(_xlfn.STDEV.S(IF((OutputTable[GroupByKey]=OutputTable[[#This Row],[GroupByKey]]),(OutputTable[GroupByKey]=OutputTable[[#This Row],[GroupByKey]])*OutputTable[RecordedValue])),0)</f>
        <v>5.6481911326734656E-2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4.040472533000234E-2</v>
      </c>
      <c r="O39" cm="1">
        <f t="array" ref="O39">MIN(IF((OutputTable[GroupByKey]=OutputTable[[#This Row],[GroupByKey]]),(OutputTable[GroupByKey]=OutputTable[[#This Row],[GroupByKey]])*OutputTable[RecordedValue]))</f>
        <v>0.28913636698845602</v>
      </c>
      <c r="P39" cm="1">
        <f t="array" ref="P39">MAX(IF((OutputTable[GroupByKey]=OutputTable[[#This Row],[GroupByKey]]),(OutputTable[GroupByKey]=OutputTable[[#This Row],[GroupByKey]])*OutputTable[RecordedValue]))</f>
        <v>0.46134650546047301</v>
      </c>
    </row>
    <row r="40" spans="1:16" x14ac:dyDescent="0.3">
      <c r="A40" t="s">
        <v>66</v>
      </c>
      <c r="B40" t="s">
        <v>68</v>
      </c>
      <c r="C40">
        <v>2</v>
      </c>
      <c r="D40" t="s">
        <v>136</v>
      </c>
      <c r="E40" t="s">
        <v>121</v>
      </c>
      <c r="F40" t="s">
        <v>103</v>
      </c>
      <c r="G40">
        <v>169</v>
      </c>
      <c r="H40">
        <v>0</v>
      </c>
      <c r="I40" t="str">
        <f>OutputTable[[#This Row],[ProjectName]]&amp;OutputTable[[#This Row],[Name]]&amp;OutputTable[[#This Row],[Type]]&amp;OutputTable[[#This Row],[Source]]</f>
        <v>Unnamed Projectcajera2.NumberSeizedTotal Number SeizedResource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10</v>
      </c>
      <c r="K40" cm="1">
        <f t="array" ref="K40">IFERROR(AVERAGE(IF((OutputTable[GroupByKey]=OutputTable[[#This Row],[GroupByKey]]),(OutputTable[GroupByKey]=OutputTable[[#This Row],[GroupByKey]])*OutputTable[RecordedValue])),0)</f>
        <v>181.1</v>
      </c>
      <c r="L40" cm="1">
        <f t="array" ref="L40">IFERROR(_xlfn.STDEV.S(IF((OutputTable[GroupByKey]=OutputTable[[#This Row],[GroupByKey]]),(OutputTable[GroupByKey]=OutputTable[[#This Row],[GroupByKey]])*OutputTable[RecordedValue])),0)</f>
        <v>9.7348172384830463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6.9638687399111214</v>
      </c>
      <c r="O40" cm="1">
        <f t="array" ref="O40">MIN(IF((OutputTable[GroupByKey]=OutputTable[[#This Row],[GroupByKey]]),(OutputTable[GroupByKey]=OutputTable[[#This Row],[GroupByKey]])*OutputTable[RecordedValue]))</f>
        <v>169</v>
      </c>
      <c r="P40" cm="1">
        <f t="array" ref="P40">MAX(IF((OutputTable[GroupByKey]=OutputTable[[#This Row],[GroupByKey]]),(OutputTable[GroupByKey]=OutputTable[[#This Row],[GroupByKey]])*OutputTable[RecordedValue]))</f>
        <v>194</v>
      </c>
    </row>
    <row r="41" spans="1:16" x14ac:dyDescent="0.3">
      <c r="A41" t="s">
        <v>66</v>
      </c>
      <c r="B41" t="s">
        <v>68</v>
      </c>
      <c r="C41">
        <v>2</v>
      </c>
      <c r="D41" t="s">
        <v>137</v>
      </c>
      <c r="E41" t="s">
        <v>123</v>
      </c>
      <c r="F41" t="s">
        <v>103</v>
      </c>
      <c r="G41">
        <v>0.74845428172863504</v>
      </c>
      <c r="H41">
        <v>0</v>
      </c>
      <c r="I41" t="str">
        <f>OutputTable[[#This Row],[ProjectName]]&amp;OutputTable[[#This Row],[Name]]&amp;OutputTable[[#This Row],[Type]]&amp;OutputTable[[#This Row],[Source]]</f>
        <v>Unnamed Projectcajera2.ScheduledUtilizationScheduled UtilizationResource</v>
      </c>
      <c r="J41" cm="1">
        <f t="array" ref="J41">MAX(IF((ProjectInfoTable[ProjectName]=OutputTable[[#This Row],[ProjectName]]),(ProjectInfoTable[ProjectName]=OutputTable[[#This Row],[ProjectName]])*ProjectInfoTable[NumberOfReplications]))</f>
        <v>10</v>
      </c>
      <c r="K41" cm="1">
        <f t="array" ref="K41">IFERROR(AVERAGE(IF((OutputTable[GroupByKey]=OutputTable[[#This Row],[GroupByKey]]),(OutputTable[GroupByKey]=OutputTable[[#This Row],[GroupByKey]])*OutputTable[RecordedValue])),0)</f>
        <v>0.73571117943508912</v>
      </c>
      <c r="L41" cm="1">
        <f t="array" ref="L41">IFERROR(_xlfn.STDEV.S(IF((OutputTable[GroupByKey]=OutputTable[[#This Row],[GroupByKey]]),(OutputTable[GroupByKey]=OutputTable[[#This Row],[GroupByKey]])*OutputTable[RecordedValue])),0)</f>
        <v>2.3945213257811505E-2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1.7129373668915777E-2</v>
      </c>
      <c r="O41" cm="1">
        <f t="array" ref="O41">MIN(IF((OutputTable[GroupByKey]=OutputTable[[#This Row],[GroupByKey]]),(OutputTable[GroupByKey]=OutputTable[[#This Row],[GroupByKey]])*OutputTable[RecordedValue]))</f>
        <v>0.69752119636771104</v>
      </c>
      <c r="P41" cm="1">
        <f t="array" ref="P41">MAX(IF((OutputTable[GroupByKey]=OutputTable[[#This Row],[GroupByKey]]),(OutputTable[GroupByKey]=OutputTable[[#This Row],[GroupByKey]])*OutputTable[RecordedValue]))</f>
        <v>0.77845968782647601</v>
      </c>
    </row>
    <row r="42" spans="1:16" x14ac:dyDescent="0.3">
      <c r="A42" t="s">
        <v>66</v>
      </c>
      <c r="B42" t="s">
        <v>68</v>
      </c>
      <c r="C42">
        <v>2</v>
      </c>
      <c r="D42" t="s">
        <v>138</v>
      </c>
      <c r="E42" t="s">
        <v>117</v>
      </c>
      <c r="F42" t="s">
        <v>74</v>
      </c>
      <c r="G42">
        <v>0</v>
      </c>
      <c r="H42">
        <v>0</v>
      </c>
      <c r="I42" t="str">
        <f>OutputTable[[#This Row],[ProjectName]]&amp;OutputTable[[#This Row],[Name]]&amp;OutputTable[[#This Row],[Type]]&amp;OutputTable[[#This Row],[Source]]</f>
        <v>Unnamed Projectpersona.NumberInNumber InEntity</v>
      </c>
      <c r="J42" cm="1">
        <f t="array" ref="J42">MAX(IF((ProjectInfoTable[ProjectName]=OutputTable[[#This Row],[ProjectName]]),(ProjectInfoTable[ProjectName]=OutputTable[[#This Row],[ProjectName]])*ProjectInfoTable[NumberOfReplications]))</f>
        <v>10</v>
      </c>
      <c r="K42" cm="1">
        <f t="array" ref="K42">IFERROR(AVERAGE(IF((OutputTable[GroupByKey]=OutputTable[[#This Row],[GroupByKey]]),(OutputTable[GroupByKey]=OutputTable[[#This Row],[GroupByKey]])*OutputTable[RecordedValue])),0)</f>
        <v>0</v>
      </c>
      <c r="L42" cm="1">
        <f t="array" ref="L42">IFERROR(_xlfn.STDEV.S(IF((OutputTable[GroupByKey]=OutputTable[[#This Row],[GroupByKey]]),(OutputTable[GroupByKey]=OutputTable[[#This Row],[GroupByKey]])*OutputTable[RecordedValue])),0)</f>
        <v>0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2" cm="1">
        <f t="array" ref="O42">MIN(IF((OutputTable[GroupByKey]=OutputTable[[#This Row],[GroupByKey]]),(OutputTable[GroupByKey]=OutputTable[[#This Row],[GroupByKey]])*OutputTable[RecordedValue]))</f>
        <v>0</v>
      </c>
      <c r="P42" cm="1">
        <f t="array" ref="P42">MAX(IF((OutputTable[GroupByKey]=OutputTable[[#This Row],[GroupByKey]]),(OutputTable[GroupByKey]=OutputTable[[#This Row],[GroupByKey]])*OutputTable[RecordedValue]))</f>
        <v>0</v>
      </c>
    </row>
    <row r="43" spans="1:16" x14ac:dyDescent="0.3">
      <c r="A43" t="s">
        <v>66</v>
      </c>
      <c r="B43" t="s">
        <v>68</v>
      </c>
      <c r="C43">
        <v>2</v>
      </c>
      <c r="D43" t="s">
        <v>139</v>
      </c>
      <c r="E43" t="s">
        <v>119</v>
      </c>
      <c r="F43" t="s">
        <v>74</v>
      </c>
      <c r="G43">
        <v>0</v>
      </c>
      <c r="H43">
        <v>0</v>
      </c>
      <c r="I43" t="str">
        <f>OutputTable[[#This Row],[ProjectName]]&amp;OutputTable[[#This Row],[Name]]&amp;OutputTable[[#This Row],[Type]]&amp;OutputTable[[#This Row],[Source]]</f>
        <v>Unnamed Projectpersona.NumberOutNumber OutEntity</v>
      </c>
      <c r="J43" cm="1">
        <f t="array" ref="J43">MAX(IF((ProjectInfoTable[ProjectName]=OutputTable[[#This Row],[ProjectName]]),(ProjectInfoTable[ProjectName]=OutputTable[[#This Row],[ProjectName]])*ProjectInfoTable[NumberOfReplications]))</f>
        <v>10</v>
      </c>
      <c r="K43" cm="1">
        <f t="array" ref="K43">IFERROR(AVERAGE(IF((OutputTable[GroupByKey]=OutputTable[[#This Row],[GroupByKey]]),(OutputTable[GroupByKey]=OutputTable[[#This Row],[GroupByKey]])*OutputTable[RecordedValue])),0)</f>
        <v>0</v>
      </c>
      <c r="L43" cm="1">
        <f t="array" ref="L43">IFERROR(_xlfn.STDEV.S(IF((OutputTable[GroupByKey]=OutputTable[[#This Row],[GroupByKey]]),(OutputTable[GroupByKey]=OutputTable[[#This Row],[GroupByKey]])*OutputTable[RecordedValue])),0)</f>
        <v>0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3" cm="1">
        <f t="array" ref="O43">MIN(IF((OutputTable[GroupByKey]=OutputTable[[#This Row],[GroupByKey]]),(OutputTable[GroupByKey]=OutputTable[[#This Row],[GroupByKey]])*OutputTable[RecordedValue]))</f>
        <v>0</v>
      </c>
      <c r="P43" cm="1">
        <f t="array" ref="P43">MAX(IF((OutputTable[GroupByKey]=OutputTable[[#This Row],[GroupByKey]]),(OutputTable[GroupByKey]=OutputTable[[#This Row],[GroupByKey]])*OutputTable[RecordedValue]))</f>
        <v>0</v>
      </c>
    </row>
    <row r="44" spans="1:16" x14ac:dyDescent="0.3">
      <c r="A44" t="s">
        <v>66</v>
      </c>
      <c r="B44" t="s">
        <v>68</v>
      </c>
      <c r="C44">
        <v>2</v>
      </c>
      <c r="D44" t="s">
        <v>140</v>
      </c>
      <c r="E44" t="s">
        <v>121</v>
      </c>
      <c r="F44" t="s">
        <v>103</v>
      </c>
      <c r="G44">
        <v>9</v>
      </c>
      <c r="H44">
        <v>0</v>
      </c>
      <c r="I44" t="str">
        <f>OutputTable[[#This Row],[ProjectName]]&amp;OutputTable[[#This Row],[Name]]&amp;OutputTable[[#This Row],[Type]]&amp;OutputTable[[#This Row],[Source]]</f>
        <v>Unnamed Projectregistro1.NumberSeizedTotal Number SeizedResource</v>
      </c>
      <c r="J44" cm="1">
        <f t="array" ref="J44">MAX(IF((ProjectInfoTable[ProjectName]=OutputTable[[#This Row],[ProjectName]]),(ProjectInfoTable[ProjectName]=OutputTable[[#This Row],[ProjectName]])*ProjectInfoTable[NumberOfReplications]))</f>
        <v>10</v>
      </c>
      <c r="K44" cm="1">
        <f t="array" ref="K44">IFERROR(AVERAGE(IF((OutputTable[GroupByKey]=OutputTable[[#This Row],[GroupByKey]]),(OutputTable[GroupByKey]=OutputTable[[#This Row],[GroupByKey]])*OutputTable[RecordedValue])),0)</f>
        <v>7.6</v>
      </c>
      <c r="L44" cm="1">
        <f t="array" ref="L44">IFERROR(_xlfn.STDEV.S(IF((OutputTable[GroupByKey]=OutputTable[[#This Row],[GroupByKey]]),(OutputTable[GroupByKey]=OutputTable[[#This Row],[GroupByKey]])*OutputTable[RecordedValue])),0)</f>
        <v>2.9135697844549542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2.0842422663373124</v>
      </c>
      <c r="O44" cm="1">
        <f t="array" ref="O44">MIN(IF((OutputTable[GroupByKey]=OutputTable[[#This Row],[GroupByKey]]),(OutputTable[GroupByKey]=OutputTable[[#This Row],[GroupByKey]])*OutputTable[RecordedValue]))</f>
        <v>4</v>
      </c>
      <c r="P44" cm="1">
        <f t="array" ref="P44">MAX(IF((OutputTable[GroupByKey]=OutputTable[[#This Row],[GroupByKey]]),(OutputTable[GroupByKey]=OutputTable[[#This Row],[GroupByKey]])*OutputTable[RecordedValue]))</f>
        <v>12</v>
      </c>
    </row>
    <row r="45" spans="1:16" x14ac:dyDescent="0.3">
      <c r="A45" t="s">
        <v>66</v>
      </c>
      <c r="B45" t="s">
        <v>68</v>
      </c>
      <c r="C45">
        <v>2</v>
      </c>
      <c r="D45" t="s">
        <v>141</v>
      </c>
      <c r="E45" t="s">
        <v>123</v>
      </c>
      <c r="F45" t="s">
        <v>103</v>
      </c>
      <c r="G45">
        <v>8.8472374570180701E-2</v>
      </c>
      <c r="H45">
        <v>0</v>
      </c>
      <c r="I45" t="str">
        <f>OutputTable[[#This Row],[ProjectName]]&amp;OutputTable[[#This Row],[Name]]&amp;OutputTable[[#This Row],[Type]]&amp;OutputTable[[#This Row],[Source]]</f>
        <v>Unnamed Projectregistro1.ScheduledUtilizationScheduled UtilizationResource</v>
      </c>
      <c r="J45" cm="1">
        <f t="array" ref="J45">MAX(IF((ProjectInfoTable[ProjectName]=OutputTable[[#This Row],[ProjectName]]),(ProjectInfoTable[ProjectName]=OutputTable[[#This Row],[ProjectName]])*ProjectInfoTable[NumberOfReplications]))</f>
        <v>10</v>
      </c>
      <c r="K45" cm="1">
        <f t="array" ref="K45">IFERROR(AVERAGE(IF((OutputTable[GroupByKey]=OutputTable[[#This Row],[GroupByKey]]),(OutputTable[GroupByKey]=OutputTable[[#This Row],[GroupByKey]])*OutputTable[RecordedValue])),0)</f>
        <v>5.6433247648491516E-2</v>
      </c>
      <c r="L45" cm="1">
        <f t="array" ref="L45">IFERROR(_xlfn.STDEV.S(IF((OutputTable[GroupByKey]=OutputTable[[#This Row],[GroupByKey]]),(OutputTable[GroupByKey]=OutputTable[[#This Row],[GroupByKey]])*OutputTable[RecordedValue])),0)</f>
        <v>2.4456082934732001E-2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1.7494827820351853E-2</v>
      </c>
      <c r="O45" cm="1">
        <f t="array" ref="O45">MIN(IF((OutputTable[GroupByKey]=OutputTable[[#This Row],[GroupByKey]]),(OutputTable[GroupByKey]=OutputTable[[#This Row],[GroupByKey]])*OutputTable[RecordedValue]))</f>
        <v>2.1279401430778E-2</v>
      </c>
      <c r="P45" cm="1">
        <f t="array" ref="P45">MAX(IF((OutputTable[GroupByKey]=OutputTable[[#This Row],[GroupByKey]]),(OutputTable[GroupByKey]=OutputTable[[#This Row],[GroupByKey]])*OutputTable[RecordedValue]))</f>
        <v>8.8472374570180701E-2</v>
      </c>
    </row>
    <row r="46" spans="1:16" x14ac:dyDescent="0.3">
      <c r="A46" t="s">
        <v>66</v>
      </c>
      <c r="B46" t="s">
        <v>68</v>
      </c>
      <c r="C46">
        <v>2</v>
      </c>
      <c r="D46" t="s">
        <v>142</v>
      </c>
      <c r="E46" t="s">
        <v>121</v>
      </c>
      <c r="F46" t="s">
        <v>103</v>
      </c>
      <c r="G46">
        <v>20</v>
      </c>
      <c r="H46">
        <v>0</v>
      </c>
      <c r="I46" t="str">
        <f>OutputTable[[#This Row],[ProjectName]]&amp;OutputTable[[#This Row],[Name]]&amp;OutputTable[[#This Row],[Type]]&amp;OutputTable[[#This Row],[Source]]</f>
        <v>Unnamed Projectregistro2.NumberSeizedTotal Number SeizedResource</v>
      </c>
      <c r="J46" cm="1">
        <f t="array" ref="J46">MAX(IF((ProjectInfoTable[ProjectName]=OutputTable[[#This Row],[ProjectName]]),(ProjectInfoTable[ProjectName]=OutputTable[[#This Row],[ProjectName]])*ProjectInfoTable[NumberOfReplications]))</f>
        <v>10</v>
      </c>
      <c r="K46" cm="1">
        <f t="array" ref="K46">IFERROR(AVERAGE(IF((OutputTable[GroupByKey]=OutputTable[[#This Row],[GroupByKey]]),(OutputTable[GroupByKey]=OutputTable[[#This Row],[GroupByKey]])*OutputTable[RecordedValue])),0)</f>
        <v>18.8</v>
      </c>
      <c r="L46" cm="1">
        <f t="array" ref="L46">IFERROR(_xlfn.STDEV.S(IF((OutputTable[GroupByKey]=OutputTable[[#This Row],[GroupByKey]]),(OutputTable[GroupByKey]=OutputTable[[#This Row],[GroupByKey]])*OutputTable[RecordedValue])),0)</f>
        <v>2.8205594401741556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2.0177066742293341</v>
      </c>
      <c r="O46" cm="1">
        <f t="array" ref="O46">MIN(IF((OutputTable[GroupByKey]=OutputTable[[#This Row],[GroupByKey]]),(OutputTable[GroupByKey]=OutputTable[[#This Row],[GroupByKey]])*OutputTable[RecordedValue]))</f>
        <v>14</v>
      </c>
      <c r="P46" cm="1">
        <f t="array" ref="P46">MAX(IF((OutputTable[GroupByKey]=OutputTable[[#This Row],[GroupByKey]]),(OutputTable[GroupByKey]=OutputTable[[#This Row],[GroupByKey]])*OutputTable[RecordedValue]))</f>
        <v>24</v>
      </c>
    </row>
    <row r="47" spans="1:16" x14ac:dyDescent="0.3">
      <c r="A47" t="s">
        <v>66</v>
      </c>
      <c r="B47" t="s">
        <v>68</v>
      </c>
      <c r="C47">
        <v>2</v>
      </c>
      <c r="D47" t="s">
        <v>143</v>
      </c>
      <c r="E47" t="s">
        <v>123</v>
      </c>
      <c r="F47" t="s">
        <v>103</v>
      </c>
      <c r="G47">
        <v>0.49654893419644103</v>
      </c>
      <c r="H47">
        <v>0</v>
      </c>
      <c r="I47" t="str">
        <f>OutputTable[[#This Row],[ProjectName]]&amp;OutputTable[[#This Row],[Name]]&amp;OutputTable[[#This Row],[Type]]&amp;OutputTable[[#This Row],[Source]]</f>
        <v>Unnamed Projectregistro2.ScheduledUtilizationScheduled UtilizationResource</v>
      </c>
      <c r="J47" cm="1">
        <f t="array" ref="J47">MAX(IF((ProjectInfoTable[ProjectName]=OutputTable[[#This Row],[ProjectName]]),(ProjectInfoTable[ProjectName]=OutputTable[[#This Row],[ProjectName]])*ProjectInfoTable[NumberOfReplications]))</f>
        <v>10</v>
      </c>
      <c r="K47" cm="1">
        <f t="array" ref="K47">IFERROR(AVERAGE(IF((OutputTable[GroupByKey]=OutputTable[[#This Row],[GroupByKey]]),(OutputTable[GroupByKey]=OutputTable[[#This Row],[GroupByKey]])*OutputTable[RecordedValue])),0)</f>
        <v>0.46274808587050231</v>
      </c>
      <c r="L47" cm="1">
        <f t="array" ref="L47">IFERROR(_xlfn.STDEV.S(IF((OutputTable[GroupByKey]=OutputTable[[#This Row],[GroupByKey]]),(OutputTable[GroupByKey]=OutputTable[[#This Row],[GroupByKey]])*OutputTable[RecordedValue])),0)</f>
        <v>9.1165192054027525E-2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6.5215649719990554E-2</v>
      </c>
      <c r="O47" cm="1">
        <f t="array" ref="O47">MIN(IF((OutputTable[GroupByKey]=OutputTable[[#This Row],[GroupByKey]]),(OutputTable[GroupByKey]=OutputTable[[#This Row],[GroupByKey]])*OutputTable[RecordedValue]))</f>
        <v>0.338210899349628</v>
      </c>
      <c r="P47" cm="1">
        <f t="array" ref="P47">MAX(IF((OutputTable[GroupByKey]=OutputTable[[#This Row],[GroupByKey]]),(OutputTable[GroupByKey]=OutputTable[[#This Row],[GroupByKey]])*OutputTable[RecordedValue]))</f>
        <v>0.66990172486561195</v>
      </c>
    </row>
    <row r="48" spans="1:16" x14ac:dyDescent="0.3">
      <c r="A48" t="s">
        <v>66</v>
      </c>
      <c r="B48" t="s">
        <v>68</v>
      </c>
      <c r="C48">
        <v>3</v>
      </c>
      <c r="D48" t="s">
        <v>116</v>
      </c>
      <c r="E48" t="s">
        <v>117</v>
      </c>
      <c r="F48" t="s">
        <v>74</v>
      </c>
      <c r="G48">
        <v>673</v>
      </c>
      <c r="H48">
        <v>0</v>
      </c>
      <c r="I48" t="str">
        <f>OutputTable[[#This Row],[ProjectName]]&amp;OutputTable[[#This Row],[Name]]&amp;OutputTable[[#This Row],[Type]]&amp;OutputTable[[#This Row],[Source]]</f>
        <v>Unnamed ProjectEntity 1.NumberInNumber InEntity</v>
      </c>
      <c r="J48" cm="1">
        <f t="array" ref="J48">MAX(IF((ProjectInfoTable[ProjectName]=OutputTable[[#This Row],[ProjectName]]),(ProjectInfoTable[ProjectName]=OutputTable[[#This Row],[ProjectName]])*ProjectInfoTable[NumberOfReplications]))</f>
        <v>10</v>
      </c>
      <c r="K48" cm="1">
        <f t="array" ref="K48">IFERROR(AVERAGE(IF((OutputTable[GroupByKey]=OutputTable[[#This Row],[GroupByKey]]),(OutputTable[GroupByKey]=OutputTable[[#This Row],[GroupByKey]])*OutputTable[RecordedValue])),0)</f>
        <v>677.4</v>
      </c>
      <c r="L48" cm="1">
        <f t="array" ref="L48">IFERROR(_xlfn.STDEV.S(IF((OutputTable[GroupByKey]=OutputTable[[#This Row],[GroupByKey]]),(OutputTable[GroupByKey]=OutputTable[[#This Row],[GroupByKey]])*OutputTable[RecordedValue])),0)</f>
        <v>50.383418789209699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36.042126577273301</v>
      </c>
      <c r="O48" cm="1">
        <f t="array" ref="O48">MIN(IF((OutputTable[GroupByKey]=OutputTable[[#This Row],[GroupByKey]]),(OutputTable[GroupByKey]=OutputTable[[#This Row],[GroupByKey]])*OutputTable[RecordedValue]))</f>
        <v>612</v>
      </c>
      <c r="P48" cm="1">
        <f t="array" ref="P48">MAX(IF((OutputTable[GroupByKey]=OutputTable[[#This Row],[GroupByKey]]),(OutputTable[GroupByKey]=OutputTable[[#This Row],[GroupByKey]])*OutputTable[RecordedValue]))</f>
        <v>757</v>
      </c>
    </row>
    <row r="49" spans="1:16" x14ac:dyDescent="0.3">
      <c r="A49" t="s">
        <v>66</v>
      </c>
      <c r="B49" t="s">
        <v>68</v>
      </c>
      <c r="C49">
        <v>3</v>
      </c>
      <c r="D49" t="s">
        <v>118</v>
      </c>
      <c r="E49" t="s">
        <v>119</v>
      </c>
      <c r="F49" t="s">
        <v>74</v>
      </c>
      <c r="G49">
        <v>673</v>
      </c>
      <c r="H49">
        <v>0</v>
      </c>
      <c r="I49" t="str">
        <f>OutputTable[[#This Row],[ProjectName]]&amp;OutputTable[[#This Row],[Name]]&amp;OutputTable[[#This Row],[Type]]&amp;OutputTable[[#This Row],[Source]]</f>
        <v>Unnamed ProjectEntity 1.NumberOutNumber OutEntity</v>
      </c>
      <c r="J49" cm="1">
        <f t="array" ref="J49">MAX(IF((ProjectInfoTable[ProjectName]=OutputTable[[#This Row],[ProjectName]]),(ProjectInfoTable[ProjectName]=OutputTable[[#This Row],[ProjectName]])*ProjectInfoTable[NumberOfReplications]))</f>
        <v>10</v>
      </c>
      <c r="K49" cm="1">
        <f t="array" ref="K49">IFERROR(AVERAGE(IF((OutputTable[GroupByKey]=OutputTable[[#This Row],[GroupByKey]]),(OutputTable[GroupByKey]=OutputTable[[#This Row],[GroupByKey]])*OutputTable[RecordedValue])),0)</f>
        <v>673.8</v>
      </c>
      <c r="L49" cm="1">
        <f t="array" ref="L49">IFERROR(_xlfn.STDEV.S(IF((OutputTable[GroupByKey]=OutputTable[[#This Row],[GroupByKey]]),(OutputTable[GroupByKey]=OutputTable[[#This Row],[GroupByKey]])*OutputTable[RecordedValue])),0)</f>
        <v>51.503613681199326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36.843465729291147</v>
      </c>
      <c r="O49" cm="1">
        <f t="array" ref="O49">MIN(IF((OutputTable[GroupByKey]=OutputTable[[#This Row],[GroupByKey]]),(OutputTable[GroupByKey]=OutputTable[[#This Row],[GroupByKey]])*OutputTable[RecordedValue]))</f>
        <v>608</v>
      </c>
      <c r="P49" cm="1">
        <f t="array" ref="P49">MAX(IF((OutputTable[GroupByKey]=OutputTable[[#This Row],[GroupByKey]]),(OutputTable[GroupByKey]=OutputTable[[#This Row],[GroupByKey]])*OutputTable[RecordedValue]))</f>
        <v>755</v>
      </c>
    </row>
    <row r="50" spans="1:16" x14ac:dyDescent="0.3">
      <c r="A50" t="s">
        <v>66</v>
      </c>
      <c r="B50" t="s">
        <v>68</v>
      </c>
      <c r="C50">
        <v>3</v>
      </c>
      <c r="D50" t="s">
        <v>120</v>
      </c>
      <c r="E50" t="s">
        <v>121</v>
      </c>
      <c r="F50" t="s">
        <v>103</v>
      </c>
      <c r="G50">
        <v>153</v>
      </c>
      <c r="H50">
        <v>0</v>
      </c>
      <c r="I50" t="str">
        <f>OutputTable[[#This Row],[ProjectName]]&amp;OutputTable[[#This Row],[Name]]&amp;OutputTable[[#This Row],[Type]]&amp;OutputTable[[#This Row],[Source]]</f>
        <v>Unnamed ProjectInterauto.NumberSeizedTotal Number SeizedResource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10</v>
      </c>
      <c r="K50" cm="1">
        <f t="array" ref="K50">IFERROR(AVERAGE(IF((OutputTable[GroupByKey]=OutputTable[[#This Row],[GroupByKey]]),(OutputTable[GroupByKey]=OutputTable[[#This Row],[GroupByKey]])*OutputTable[RecordedValue])),0)</f>
        <v>161.5</v>
      </c>
      <c r="L50" cm="1">
        <f t="array" ref="L50">IFERROR(_xlfn.STDEV.S(IF((OutputTable[GroupByKey]=OutputTable[[#This Row],[GroupByKey]]),(OutputTable[GroupByKey]=OutputTable[[#This Row],[GroupByKey]])*OutputTable[RecordedValue])),0)</f>
        <v>13.778001790293589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9.8561887311626997</v>
      </c>
      <c r="O50" cm="1">
        <f t="array" ref="O50">MIN(IF((OutputTable[GroupByKey]=OutputTable[[#This Row],[GroupByKey]]),(OutputTable[GroupByKey]=OutputTable[[#This Row],[GroupByKey]])*OutputTable[RecordedValue]))</f>
        <v>147</v>
      </c>
      <c r="P50" cm="1">
        <f t="array" ref="P50">MAX(IF((OutputTable[GroupByKey]=OutputTable[[#This Row],[GroupByKey]]),(OutputTable[GroupByKey]=OutputTable[[#This Row],[GroupByKey]])*OutputTable[RecordedValue]))</f>
        <v>191</v>
      </c>
    </row>
    <row r="51" spans="1:16" x14ac:dyDescent="0.3">
      <c r="A51" t="s">
        <v>66</v>
      </c>
      <c r="B51" t="s">
        <v>68</v>
      </c>
      <c r="C51">
        <v>3</v>
      </c>
      <c r="D51" t="s">
        <v>122</v>
      </c>
      <c r="E51" t="s">
        <v>123</v>
      </c>
      <c r="F51" t="s">
        <v>103</v>
      </c>
      <c r="G51">
        <v>0.26503388045743098</v>
      </c>
      <c r="H51">
        <v>0</v>
      </c>
      <c r="I51" t="str">
        <f>OutputTable[[#This Row],[ProjectName]]&amp;OutputTable[[#This Row],[Name]]&amp;OutputTable[[#This Row],[Type]]&amp;OutputTable[[#This Row],[Source]]</f>
        <v>Unnamed ProjectInterauto.ScheduledUtilizationScheduled UtilizationResource</v>
      </c>
      <c r="J51" cm="1">
        <f t="array" ref="J51">MAX(IF((ProjectInfoTable[ProjectName]=OutputTable[[#This Row],[ProjectName]]),(ProjectInfoTable[ProjectName]=OutputTable[[#This Row],[ProjectName]])*ProjectInfoTable[NumberOfReplications]))</f>
        <v>10</v>
      </c>
      <c r="K51" cm="1">
        <f t="array" ref="K51">IFERROR(AVERAGE(IF((OutputTable[GroupByKey]=OutputTable[[#This Row],[GroupByKey]]),(OutputTable[GroupByKey]=OutputTable[[#This Row],[GroupByKey]])*OutputTable[RecordedValue])),0)</f>
        <v>0.26535205929836458</v>
      </c>
      <c r="L51" cm="1">
        <f t="array" ref="L51">IFERROR(_xlfn.STDEV.S(IF((OutputTable[GroupByKey]=OutputTable[[#This Row],[GroupByKey]]),(OutputTable[GroupByKey]=OutputTable[[#This Row],[GroupByKey]])*OutputTable[RecordedValue])),0)</f>
        <v>2.5807993647623796E-2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1.8461926485074727E-2</v>
      </c>
      <c r="O51" cm="1">
        <f t="array" ref="O51">MIN(IF((OutputTable[GroupByKey]=OutputTable[[#This Row],[GroupByKey]]),(OutputTable[GroupByKey]=OutputTable[[#This Row],[GroupByKey]])*OutputTable[RecordedValue]))</f>
        <v>0.20483176768320299</v>
      </c>
      <c r="P51" cm="1">
        <f t="array" ref="P51">MAX(IF((OutputTable[GroupByKey]=OutputTable[[#This Row],[GroupByKey]]),(OutputTable[GroupByKey]=OutputTable[[#This Row],[GroupByKey]])*OutputTable[RecordedValue]))</f>
        <v>0.29552077299252399</v>
      </c>
    </row>
    <row r="52" spans="1:16" x14ac:dyDescent="0.3">
      <c r="A52" t="s">
        <v>66</v>
      </c>
      <c r="B52" t="s">
        <v>68</v>
      </c>
      <c r="C52">
        <v>3</v>
      </c>
      <c r="D52" t="s">
        <v>124</v>
      </c>
      <c r="E52" t="s">
        <v>117</v>
      </c>
      <c r="F52" t="s">
        <v>74</v>
      </c>
      <c r="G52">
        <v>251</v>
      </c>
      <c r="H52">
        <v>0</v>
      </c>
      <c r="I52" t="str">
        <f>OutputTable[[#This Row],[ProjectName]]&amp;OutputTable[[#This Row],[Name]]&amp;OutputTable[[#This Row],[Type]]&amp;OutputTable[[#This Row],[Source]]</f>
        <v>Unnamed ProjectMaleta Internacional.NumberInNumber InEntity</v>
      </c>
      <c r="J52" cm="1">
        <f t="array" ref="J52">MAX(IF((ProjectInfoTable[ProjectName]=OutputTable[[#This Row],[ProjectName]]),(ProjectInfoTable[ProjectName]=OutputTable[[#This Row],[ProjectName]])*ProjectInfoTable[NumberOfReplications]))</f>
        <v>10</v>
      </c>
      <c r="K52" cm="1">
        <f t="array" ref="K52">IFERROR(AVERAGE(IF((OutputTable[GroupByKey]=OutputTable[[#This Row],[GroupByKey]]),(OutputTable[GroupByKey]=OutputTable[[#This Row],[GroupByKey]])*OutputTable[RecordedValue])),0)</f>
        <v>241.3</v>
      </c>
      <c r="L52" cm="1">
        <f t="array" ref="L52">IFERROR(_xlfn.STDEV.S(IF((OutputTable[GroupByKey]=OutputTable[[#This Row],[GroupByKey]]),(OutputTable[GroupByKey]=OutputTable[[#This Row],[GroupByKey]])*OutputTable[RecordedValue])),0)</f>
        <v>25.59101404790356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18.306708629960106</v>
      </c>
      <c r="O52" cm="1">
        <f t="array" ref="O52">MIN(IF((OutputTable[GroupByKey]=OutputTable[[#This Row],[GroupByKey]]),(OutputTable[GroupByKey]=OutputTable[[#This Row],[GroupByKey]])*OutputTable[RecordedValue]))</f>
        <v>207</v>
      </c>
      <c r="P52" cm="1">
        <f t="array" ref="P52">MAX(IF((OutputTable[GroupByKey]=OutputTable[[#This Row],[GroupByKey]]),(OutputTable[GroupByKey]=OutputTable[[#This Row],[GroupByKey]])*OutputTable[RecordedValue]))</f>
        <v>287</v>
      </c>
    </row>
    <row r="53" spans="1:16" x14ac:dyDescent="0.3">
      <c r="A53" t="s">
        <v>66</v>
      </c>
      <c r="B53" t="s">
        <v>68</v>
      </c>
      <c r="C53">
        <v>3</v>
      </c>
      <c r="D53" t="s">
        <v>125</v>
      </c>
      <c r="E53" t="s">
        <v>119</v>
      </c>
      <c r="F53" t="s">
        <v>74</v>
      </c>
      <c r="G53">
        <v>221</v>
      </c>
      <c r="H53">
        <v>0</v>
      </c>
      <c r="I53" t="str">
        <f>OutputTable[[#This Row],[ProjectName]]&amp;OutputTable[[#This Row],[Name]]&amp;OutputTable[[#This Row],[Type]]&amp;OutputTable[[#This Row],[Source]]</f>
        <v>Unnamed ProjectMaleta Internacional.NumberOutNumber OutEntity</v>
      </c>
      <c r="J53" cm="1">
        <f t="array" ref="J53">MAX(IF((ProjectInfoTable[ProjectName]=OutputTable[[#This Row],[ProjectName]]),(ProjectInfoTable[ProjectName]=OutputTable[[#This Row],[ProjectName]])*ProjectInfoTable[NumberOfReplications]))</f>
        <v>10</v>
      </c>
      <c r="K53" cm="1">
        <f t="array" ref="K53">IFERROR(AVERAGE(IF((OutputTable[GroupByKey]=OutputTable[[#This Row],[GroupByKey]]),(OutputTable[GroupByKey]=OutputTable[[#This Row],[GroupByKey]])*OutputTable[RecordedValue])),0)</f>
        <v>224.5</v>
      </c>
      <c r="L53" cm="1">
        <f t="array" ref="L53">IFERROR(_xlfn.STDEV.S(IF((OutputTable[GroupByKey]=OutputTable[[#This Row],[GroupByKey]]),(OutputTable[GroupByKey]=OutputTable[[#This Row],[GroupByKey]])*OutputTable[RecordedValue])),0)</f>
        <v>20.812656405818711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14.888477491497007</v>
      </c>
      <c r="O53" cm="1">
        <f t="array" ref="O53">MIN(IF((OutputTable[GroupByKey]=OutputTable[[#This Row],[GroupByKey]]),(OutputTable[GroupByKey]=OutputTable[[#This Row],[GroupByKey]])*OutputTable[RecordedValue]))</f>
        <v>199</v>
      </c>
      <c r="P53" cm="1">
        <f t="array" ref="P53">MAX(IF((OutputTable[GroupByKey]=OutputTable[[#This Row],[GroupByKey]]),(OutputTable[GroupByKey]=OutputTable[[#This Row],[GroupByKey]])*OutputTable[RecordedValue]))</f>
        <v>256</v>
      </c>
    </row>
    <row r="54" spans="1:16" x14ac:dyDescent="0.3">
      <c r="A54" t="s">
        <v>66</v>
      </c>
      <c r="B54" t="s">
        <v>68</v>
      </c>
      <c r="C54">
        <v>3</v>
      </c>
      <c r="D54" t="s">
        <v>126</v>
      </c>
      <c r="E54" t="s">
        <v>117</v>
      </c>
      <c r="F54" t="s">
        <v>74</v>
      </c>
      <c r="G54">
        <v>153</v>
      </c>
      <c r="H54">
        <v>0</v>
      </c>
      <c r="I54" t="str">
        <f>OutputTable[[#This Row],[ProjectName]]&amp;OutputTable[[#This Row],[Name]]&amp;OutputTable[[#This Row],[Type]]&amp;OutputTable[[#This Row],[Source]]</f>
        <v>Unnamed ProjectMaleta Nacional.NumberInNumber InEntity</v>
      </c>
      <c r="J54" cm="1">
        <f t="array" ref="J54">MAX(IF((ProjectInfoTable[ProjectName]=OutputTable[[#This Row],[ProjectName]]),(ProjectInfoTable[ProjectName]=OutputTable[[#This Row],[ProjectName]])*ProjectInfoTable[NumberOfReplications]))</f>
        <v>10</v>
      </c>
      <c r="K54" cm="1">
        <f t="array" ref="K54">IFERROR(AVERAGE(IF((OutputTable[GroupByKey]=OutputTable[[#This Row],[GroupByKey]]),(OutputTable[GroupByKey]=OutputTable[[#This Row],[GroupByKey]])*OutputTable[RecordedValue])),0)</f>
        <v>163.1</v>
      </c>
      <c r="L54" cm="1">
        <f t="array" ref="L54">IFERROR(_xlfn.STDEV.S(IF((OutputTable[GroupByKey]=OutputTable[[#This Row],[GroupByKey]]),(OutputTable[GroupByKey]=OutputTable[[#This Row],[GroupByKey]])*OutputTable[RecordedValue])),0)</f>
        <v>14.371654200002325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10.280862082193972</v>
      </c>
      <c r="O54" cm="1">
        <f t="array" ref="O54">MIN(IF((OutputTable[GroupByKey]=OutputTable[[#This Row],[GroupByKey]]),(OutputTable[GroupByKey]=OutputTable[[#This Row],[GroupByKey]])*OutputTable[RecordedValue]))</f>
        <v>149</v>
      </c>
      <c r="P54" cm="1">
        <f t="array" ref="P54">MAX(IF((OutputTable[GroupByKey]=OutputTable[[#This Row],[GroupByKey]]),(OutputTable[GroupByKey]=OutputTable[[#This Row],[GroupByKey]])*OutputTable[RecordedValue]))</f>
        <v>191</v>
      </c>
    </row>
    <row r="55" spans="1:16" x14ac:dyDescent="0.3">
      <c r="A55" t="s">
        <v>66</v>
      </c>
      <c r="B55" t="s">
        <v>68</v>
      </c>
      <c r="C55">
        <v>3</v>
      </c>
      <c r="D55" t="s">
        <v>127</v>
      </c>
      <c r="E55" t="s">
        <v>119</v>
      </c>
      <c r="F55" t="s">
        <v>74</v>
      </c>
      <c r="G55">
        <v>153</v>
      </c>
      <c r="H55">
        <v>0</v>
      </c>
      <c r="I55" t="str">
        <f>OutputTable[[#This Row],[ProjectName]]&amp;OutputTable[[#This Row],[Name]]&amp;OutputTable[[#This Row],[Type]]&amp;OutputTable[[#This Row],[Source]]</f>
        <v>Unnamed ProjectMaleta Nacional.NumberOutNumber OutEntity</v>
      </c>
      <c r="J55" cm="1">
        <f t="array" ref="J55">MAX(IF((ProjectInfoTable[ProjectName]=OutputTable[[#This Row],[ProjectName]]),(ProjectInfoTable[ProjectName]=OutputTable[[#This Row],[ProjectName]])*ProjectInfoTable[NumberOfReplications]))</f>
        <v>10</v>
      </c>
      <c r="K55" cm="1">
        <f t="array" ref="K55">IFERROR(AVERAGE(IF((OutputTable[GroupByKey]=OutputTable[[#This Row],[GroupByKey]]),(OutputTable[GroupByKey]=OutputTable[[#This Row],[GroupByKey]])*OutputTable[RecordedValue])),0)</f>
        <v>159.1</v>
      </c>
      <c r="L55" cm="1">
        <f t="array" ref="L55">IFERROR(_xlfn.STDEV.S(IF((OutputTable[GroupByKey]=OutputTable[[#This Row],[GroupByKey]]),(OutputTable[GroupByKey]=OutputTable[[#This Row],[GroupByKey]])*OutputTable[RecordedValue])),0)</f>
        <v>14.153523314787106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10.12482064704977</v>
      </c>
      <c r="O55" cm="1">
        <f t="array" ref="O55">MIN(IF((OutputTable[GroupByKey]=OutputTable[[#This Row],[GroupByKey]]),(OutputTable[GroupByKey]=OutputTable[[#This Row],[GroupByKey]])*OutputTable[RecordedValue]))</f>
        <v>145</v>
      </c>
      <c r="P55" cm="1">
        <f t="array" ref="P55">MAX(IF((OutputTable[GroupByKey]=OutputTable[[#This Row],[GroupByKey]]),(OutputTable[GroupByKey]=OutputTable[[#This Row],[GroupByKey]])*OutputTable[RecordedValue]))</f>
        <v>189</v>
      </c>
    </row>
    <row r="56" spans="1:16" x14ac:dyDescent="0.3">
      <c r="A56" t="s">
        <v>66</v>
      </c>
      <c r="B56" t="s">
        <v>68</v>
      </c>
      <c r="C56">
        <v>3</v>
      </c>
      <c r="D56" t="s">
        <v>128</v>
      </c>
      <c r="E56" t="s">
        <v>121</v>
      </c>
      <c r="F56" t="s">
        <v>103</v>
      </c>
      <c r="G56">
        <v>231</v>
      </c>
      <c r="H56">
        <v>0</v>
      </c>
      <c r="I56" t="str">
        <f>OutputTable[[#This Row],[ProjectName]]&amp;OutputTable[[#This Row],[Name]]&amp;OutputTable[[#This Row],[Type]]&amp;OutputTable[[#This Row],[Source]]</f>
        <v>Unnamed ProjectNacionalauto.NumberSeizedTotal Number SeizedResource</v>
      </c>
      <c r="J56" cm="1">
        <f t="array" ref="J56">MAX(IF((ProjectInfoTable[ProjectName]=OutputTable[[#This Row],[ProjectName]]),(ProjectInfoTable[ProjectName]=OutputTable[[#This Row],[ProjectName]])*ProjectInfoTable[NumberOfReplications]))</f>
        <v>10</v>
      </c>
      <c r="K56" cm="1">
        <f t="array" ref="K56">IFERROR(AVERAGE(IF((OutputTable[GroupByKey]=OutputTable[[#This Row],[GroupByKey]]),(OutputTable[GroupByKey]=OutputTable[[#This Row],[GroupByKey]])*OutputTable[RecordedValue])),0)</f>
        <v>231.5</v>
      </c>
      <c r="L56" cm="1">
        <f t="array" ref="L56">IFERROR(_xlfn.STDEV.S(IF((OutputTable[GroupByKey]=OutputTable[[#This Row],[GroupByKey]]),(OutputTable[GroupByKey]=OutputTable[[#This Row],[GroupByKey]])*OutputTable[RecordedValue])),0)</f>
        <v>20.817994353176505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14.892296029003113</v>
      </c>
      <c r="O56" cm="1">
        <f t="array" ref="O56">MIN(IF((OutputTable[GroupByKey]=OutputTable[[#This Row],[GroupByKey]]),(OutputTable[GroupByKey]=OutputTable[[#This Row],[GroupByKey]])*OutputTable[RecordedValue]))</f>
        <v>202</v>
      </c>
      <c r="P56" cm="1">
        <f t="array" ref="P56">MAX(IF((OutputTable[GroupByKey]=OutputTable[[#This Row],[GroupByKey]]),(OutputTable[GroupByKey]=OutputTable[[#This Row],[GroupByKey]])*OutputTable[RecordedValue]))</f>
        <v>264</v>
      </c>
    </row>
    <row r="57" spans="1:16" x14ac:dyDescent="0.3">
      <c r="A57" t="s">
        <v>66</v>
      </c>
      <c r="B57" t="s">
        <v>68</v>
      </c>
      <c r="C57">
        <v>3</v>
      </c>
      <c r="D57" t="s">
        <v>129</v>
      </c>
      <c r="E57" t="s">
        <v>123</v>
      </c>
      <c r="F57" t="s">
        <v>103</v>
      </c>
      <c r="G57">
        <v>0.80810986871710599</v>
      </c>
      <c r="H57">
        <v>0</v>
      </c>
      <c r="I57" t="str">
        <f>OutputTable[[#This Row],[ProjectName]]&amp;OutputTable[[#This Row],[Name]]&amp;OutputTable[[#This Row],[Type]]&amp;OutputTable[[#This Row],[Source]]</f>
        <v>Unnamed ProjectNacionalauto.ScheduledUtilizationScheduled UtilizationResource</v>
      </c>
      <c r="J57" cm="1">
        <f t="array" ref="J57">MAX(IF((ProjectInfoTable[ProjectName]=OutputTable[[#This Row],[ProjectName]]),(ProjectInfoTable[ProjectName]=OutputTable[[#This Row],[ProjectName]])*ProjectInfoTable[NumberOfReplications]))</f>
        <v>10</v>
      </c>
      <c r="K57" cm="1">
        <f t="array" ref="K57">IFERROR(AVERAGE(IF((OutputTable[GroupByKey]=OutputTable[[#This Row],[GroupByKey]]),(OutputTable[GroupByKey]=OutputTable[[#This Row],[GroupByKey]])*OutputTable[RecordedValue])),0)</f>
        <v>0.73175058451933661</v>
      </c>
      <c r="L57" cm="1">
        <f t="array" ref="L57">IFERROR(_xlfn.STDEV.S(IF((OutputTable[GroupByKey]=OutputTable[[#This Row],[GroupByKey]]),(OutputTable[GroupByKey]=OutputTable[[#This Row],[GroupByKey]])*OutputTable[RecordedValue])),0)</f>
        <v>6.0813477412386734E-2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4.3503341043041877E-2</v>
      </c>
      <c r="O57" cm="1">
        <f t="array" ref="O57">MIN(IF((OutputTable[GroupByKey]=OutputTable[[#This Row],[GroupByKey]]),(OutputTable[GroupByKey]=OutputTable[[#This Row],[GroupByKey]])*OutputTable[RecordedValue]))</f>
        <v>0.64995347349336796</v>
      </c>
      <c r="P57" cm="1">
        <f t="array" ref="P57">MAX(IF((OutputTable[GroupByKey]=OutputTable[[#This Row],[GroupByKey]]),(OutputTable[GroupByKey]=OutputTable[[#This Row],[GroupByKey]])*OutputTable[RecordedValue]))</f>
        <v>0.82581624655093899</v>
      </c>
    </row>
    <row r="58" spans="1:16" x14ac:dyDescent="0.3">
      <c r="A58" t="s">
        <v>66</v>
      </c>
      <c r="B58" t="s">
        <v>68</v>
      </c>
      <c r="C58">
        <v>3</v>
      </c>
      <c r="D58" t="s">
        <v>130</v>
      </c>
      <c r="E58" t="s">
        <v>121</v>
      </c>
      <c r="F58" t="s">
        <v>103</v>
      </c>
      <c r="G58">
        <v>357</v>
      </c>
      <c r="H58">
        <v>0</v>
      </c>
      <c r="I58" t="str">
        <f>OutputTable[[#This Row],[ProjectName]]&amp;OutputTable[[#This Row],[Name]]&amp;OutputTable[[#This Row],[Type]]&amp;OutputTable[[#This Row],[Source]]</f>
        <v>Unnamed ProjectOperarios Avion.NumberSeizedTotal Number SeizedResource</v>
      </c>
      <c r="J58" cm="1">
        <f t="array" ref="J58">MAX(IF((ProjectInfoTable[ProjectName]=OutputTable[[#This Row],[ProjectName]]),(ProjectInfoTable[ProjectName]=OutputTable[[#This Row],[ProjectName]])*ProjectInfoTable[NumberOfReplications]))</f>
        <v>10</v>
      </c>
      <c r="K58" cm="1">
        <f t="array" ref="K58">IFERROR(AVERAGE(IF((OutputTable[GroupByKey]=OutputTable[[#This Row],[GroupByKey]]),(OutputTable[GroupByKey]=OutputTable[[#This Row],[GroupByKey]])*OutputTable[RecordedValue])),0)</f>
        <v>368.6</v>
      </c>
      <c r="L58" cm="1">
        <f t="array" ref="L58">IFERROR(_xlfn.STDEV.S(IF((OutputTable[GroupByKey]=OutputTable[[#This Row],[GroupByKey]]),(OutputTable[GroupByKey]=OutputTable[[#This Row],[GroupByKey]])*OutputTable[RecordedValue])),0)</f>
        <v>29.243042857328572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20.919212659586112</v>
      </c>
      <c r="O58" cm="1">
        <f t="array" ref="O58">MIN(IF((OutputTable[GroupByKey]=OutputTable[[#This Row],[GroupByKey]]),(OutputTable[GroupByKey]=OutputTable[[#This Row],[GroupByKey]])*OutputTable[RecordedValue]))</f>
        <v>338</v>
      </c>
      <c r="P58" cm="1">
        <f t="array" ref="P58">MAX(IF((OutputTable[GroupByKey]=OutputTable[[#This Row],[GroupByKey]]),(OutputTable[GroupByKey]=OutputTable[[#This Row],[GroupByKey]])*OutputTable[RecordedValue]))</f>
        <v>416</v>
      </c>
    </row>
    <row r="59" spans="1:16" x14ac:dyDescent="0.3">
      <c r="A59" t="s">
        <v>66</v>
      </c>
      <c r="B59" t="s">
        <v>68</v>
      </c>
      <c r="C59">
        <v>3</v>
      </c>
      <c r="D59" t="s">
        <v>131</v>
      </c>
      <c r="E59" t="s">
        <v>123</v>
      </c>
      <c r="F59" t="s">
        <v>103</v>
      </c>
      <c r="G59">
        <v>7.4589944457269602E-2</v>
      </c>
      <c r="H59">
        <v>0</v>
      </c>
      <c r="I59" t="str">
        <f>OutputTable[[#This Row],[ProjectName]]&amp;OutputTable[[#This Row],[Name]]&amp;OutputTable[[#This Row],[Type]]&amp;OutputTable[[#This Row],[Source]]</f>
        <v>Unnamed ProjectOperarios Avion.ScheduledUtilizationScheduled UtilizationResource</v>
      </c>
      <c r="J59" cm="1">
        <f t="array" ref="J59">MAX(IF((ProjectInfoTable[ProjectName]=OutputTable[[#This Row],[ProjectName]]),(ProjectInfoTable[ProjectName]=OutputTable[[#This Row],[ProjectName]])*ProjectInfoTable[NumberOfReplications]))</f>
        <v>10</v>
      </c>
      <c r="K59" cm="1">
        <f t="array" ref="K59">IFERROR(AVERAGE(IF((OutputTable[GroupByKey]=OutputTable[[#This Row],[GroupByKey]]),(OutputTable[GroupByKey]=OutputTable[[#This Row],[GroupByKey]])*OutputTable[RecordedValue])),0)</f>
        <v>7.5958437118625627E-2</v>
      </c>
      <c r="L59" cm="1">
        <f t="array" ref="L59">IFERROR(_xlfn.STDEV.S(IF((OutputTable[GroupByKey]=OutputTable[[#This Row],[GroupByKey]]),(OutputTable[GroupByKey]=OutputTable[[#This Row],[GroupByKey]])*OutputTable[RecordedValue])),0)</f>
        <v>5.0572810112240948E-3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3.6177608968134627E-3</v>
      </c>
      <c r="O59" cm="1">
        <f t="array" ref="O59">MIN(IF((OutputTable[GroupByKey]=OutputTable[[#This Row],[GroupByKey]]),(OutputTable[GroupByKey]=OutputTable[[#This Row],[GroupByKey]])*OutputTable[RecordedValue]))</f>
        <v>6.7485948117393404E-2</v>
      </c>
      <c r="P59" cm="1">
        <f t="array" ref="P59">MAX(IF((OutputTable[GroupByKey]=OutputTable[[#This Row],[GroupByKey]]),(OutputTable[GroupByKey]=OutputTable[[#This Row],[GroupByKey]])*OutputTable[RecordedValue]))</f>
        <v>8.7852447587946303E-2</v>
      </c>
    </row>
    <row r="60" spans="1:16" x14ac:dyDescent="0.3">
      <c r="A60" t="s">
        <v>66</v>
      </c>
      <c r="B60" t="s">
        <v>68</v>
      </c>
      <c r="C60">
        <v>3</v>
      </c>
      <c r="D60" t="s">
        <v>132</v>
      </c>
      <c r="E60" t="s">
        <v>119</v>
      </c>
      <c r="F60" t="s">
        <v>133</v>
      </c>
      <c r="G60">
        <v>643</v>
      </c>
      <c r="H60">
        <v>0</v>
      </c>
      <c r="I60" t="str">
        <f>OutputTable[[#This Row],[ProjectName]]&amp;OutputTable[[#This Row],[Name]]&amp;OutputTable[[#This Row],[Type]]&amp;OutputTable[[#This Row],[Source]]</f>
        <v>Unnamed ProjectSystem.NumberOutNumber OutSystem</v>
      </c>
      <c r="J60" cm="1">
        <f t="array" ref="J60">MAX(IF((ProjectInfoTable[ProjectName]=OutputTable[[#This Row],[ProjectName]]),(ProjectInfoTable[ProjectName]=OutputTable[[#This Row],[ProjectName]])*ProjectInfoTable[NumberOfReplications]))</f>
        <v>10</v>
      </c>
      <c r="K60" cm="1">
        <f t="array" ref="K60">IFERROR(AVERAGE(IF((OutputTable[GroupByKey]=OutputTable[[#This Row],[GroupByKey]]),(OutputTable[GroupByKey]=OutputTable[[#This Row],[GroupByKey]])*OutputTable[RecordedValue])),0)</f>
        <v>653</v>
      </c>
      <c r="L60" cm="1">
        <f t="array" ref="L60">IFERROR(_xlfn.STDEV.S(IF((OutputTable[GroupByKey]=OutputTable[[#This Row],[GroupByKey]]),(OutputTable[GroupByKey]=OutputTable[[#This Row],[GroupByKey]])*OutputTable[RecordedValue])),0)</f>
        <v>50.066622281382898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35.815504007612013</v>
      </c>
      <c r="O60" cm="1">
        <f t="array" ref="O60">MIN(IF((OutputTable[GroupByKey]=OutputTable[[#This Row],[GroupByKey]]),(OutputTable[GroupByKey]=OutputTable[[#This Row],[GroupByKey]])*OutputTable[RecordedValue]))</f>
        <v>594</v>
      </c>
      <c r="P60" cm="1">
        <f t="array" ref="P60">MAX(IF((OutputTable[GroupByKey]=OutputTable[[#This Row],[GroupByKey]]),(OutputTable[GroupByKey]=OutputTable[[#This Row],[GroupByKey]])*OutputTable[RecordedValue]))</f>
        <v>722</v>
      </c>
    </row>
    <row r="61" spans="1:16" x14ac:dyDescent="0.3">
      <c r="A61" t="s">
        <v>66</v>
      </c>
      <c r="B61" t="s">
        <v>68</v>
      </c>
      <c r="C61">
        <v>3</v>
      </c>
      <c r="D61" t="s">
        <v>134</v>
      </c>
      <c r="E61" t="s">
        <v>121</v>
      </c>
      <c r="F61" t="s">
        <v>103</v>
      </c>
      <c r="G61">
        <v>86</v>
      </c>
      <c r="H61">
        <v>0</v>
      </c>
      <c r="I61" t="str">
        <f>OutputTable[[#This Row],[ProjectName]]&amp;OutputTable[[#This Row],[Name]]&amp;OutputTable[[#This Row],[Type]]&amp;OutputTable[[#This Row],[Source]]</f>
        <v>Unnamed Projectcajera.NumberSeizedTotal Number SeizedResource</v>
      </c>
      <c r="J61" cm="1">
        <f t="array" ref="J61">MAX(IF((ProjectInfoTable[ProjectName]=OutputTable[[#This Row],[ProjectName]]),(ProjectInfoTable[ProjectName]=OutputTable[[#This Row],[ProjectName]])*ProjectInfoTable[NumberOfReplications]))</f>
        <v>10</v>
      </c>
      <c r="K61" cm="1">
        <f t="array" ref="K61">IFERROR(AVERAGE(IF((OutputTable[GroupByKey]=OutputTable[[#This Row],[GroupByKey]]),(OutputTable[GroupByKey]=OutputTable[[#This Row],[GroupByKey]])*OutputTable[RecordedValue])),0)</f>
        <v>89.7</v>
      </c>
      <c r="L61" cm="1">
        <f t="array" ref="L61">IFERROR(_xlfn.STDEV.S(IF((OutputTable[GroupByKey]=OutputTable[[#This Row],[GroupByKey]]),(OutputTable[GroupByKey]=OutputTable[[#This Row],[GroupByKey]])*OutputTable[RecordedValue])),0)</f>
        <v>15.3554188770248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10.984604937751998</v>
      </c>
      <c r="O61" cm="1">
        <f t="array" ref="O61">MIN(IF((OutputTable[GroupByKey]=OutputTable[[#This Row],[GroupByKey]]),(OutputTable[GroupByKey]=OutputTable[[#This Row],[GroupByKey]])*OutputTable[RecordedValue]))</f>
        <v>72</v>
      </c>
      <c r="P61" cm="1">
        <f t="array" ref="P61">MAX(IF((OutputTable[GroupByKey]=OutputTable[[#This Row],[GroupByKey]]),(OutputTable[GroupByKey]=OutputTable[[#This Row],[GroupByKey]])*OutputTable[RecordedValue]))</f>
        <v>119</v>
      </c>
    </row>
    <row r="62" spans="1:16" x14ac:dyDescent="0.3">
      <c r="A62" t="s">
        <v>66</v>
      </c>
      <c r="B62" t="s">
        <v>68</v>
      </c>
      <c r="C62">
        <v>3</v>
      </c>
      <c r="D62" t="s">
        <v>135</v>
      </c>
      <c r="E62" t="s">
        <v>123</v>
      </c>
      <c r="F62" t="s">
        <v>103</v>
      </c>
      <c r="G62">
        <v>0.402052150629301</v>
      </c>
      <c r="H62">
        <v>0</v>
      </c>
      <c r="I62" t="str">
        <f>OutputTable[[#This Row],[ProjectName]]&amp;OutputTable[[#This Row],[Name]]&amp;OutputTable[[#This Row],[Type]]&amp;OutputTable[[#This Row],[Source]]</f>
        <v>Unnamed Projectcajera.ScheduledUtilizationScheduled UtilizationResource</v>
      </c>
      <c r="J62" cm="1">
        <f t="array" ref="J62">MAX(IF((ProjectInfoTable[ProjectName]=OutputTable[[#This Row],[ProjectName]]),(ProjectInfoTable[ProjectName]=OutputTable[[#This Row],[ProjectName]])*ProjectInfoTable[NumberOfReplications]))</f>
        <v>10</v>
      </c>
      <c r="K62" cm="1">
        <f t="array" ref="K62">IFERROR(AVERAGE(IF((OutputTable[GroupByKey]=OutputTable[[#This Row],[GroupByKey]]),(OutputTable[GroupByKey]=OutputTable[[#This Row],[GroupByKey]])*OutputTable[RecordedValue])),0)</f>
        <v>0.38078385056341441</v>
      </c>
      <c r="L62" cm="1">
        <f t="array" ref="L62">IFERROR(_xlfn.STDEV.S(IF((OutputTable[GroupByKey]=OutputTable[[#This Row],[GroupByKey]]),(OutputTable[GroupByKey]=OutputTable[[#This Row],[GroupByKey]])*OutputTable[RecordedValue])),0)</f>
        <v>5.6481911326734656E-2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4.040472533000234E-2</v>
      </c>
      <c r="O62" cm="1">
        <f t="array" ref="O62">MIN(IF((OutputTable[GroupByKey]=OutputTable[[#This Row],[GroupByKey]]),(OutputTable[GroupByKey]=OutputTable[[#This Row],[GroupByKey]])*OutputTable[RecordedValue]))</f>
        <v>0.28913636698845602</v>
      </c>
      <c r="P62" cm="1">
        <f t="array" ref="P62">MAX(IF((OutputTable[GroupByKey]=OutputTable[[#This Row],[GroupByKey]]),(OutputTable[GroupByKey]=OutputTable[[#This Row],[GroupByKey]])*OutputTable[RecordedValue]))</f>
        <v>0.46134650546047301</v>
      </c>
    </row>
    <row r="63" spans="1:16" x14ac:dyDescent="0.3">
      <c r="A63" t="s">
        <v>66</v>
      </c>
      <c r="B63" t="s">
        <v>68</v>
      </c>
      <c r="C63">
        <v>3</v>
      </c>
      <c r="D63" t="s">
        <v>136</v>
      </c>
      <c r="E63" t="s">
        <v>121</v>
      </c>
      <c r="F63" t="s">
        <v>103</v>
      </c>
      <c r="G63">
        <v>183</v>
      </c>
      <c r="H63">
        <v>0</v>
      </c>
      <c r="I63" t="str">
        <f>OutputTable[[#This Row],[ProjectName]]&amp;OutputTable[[#This Row],[Name]]&amp;OutputTable[[#This Row],[Type]]&amp;OutputTable[[#This Row],[Source]]</f>
        <v>Unnamed Projectcajera2.NumberSeizedTotal Number SeizedResource</v>
      </c>
      <c r="J63" cm="1">
        <f t="array" ref="J63">MAX(IF((ProjectInfoTable[ProjectName]=OutputTable[[#This Row],[ProjectName]]),(ProjectInfoTable[ProjectName]=OutputTable[[#This Row],[ProjectName]])*ProjectInfoTable[NumberOfReplications]))</f>
        <v>10</v>
      </c>
      <c r="K63" cm="1">
        <f t="array" ref="K63">IFERROR(AVERAGE(IF((OutputTable[GroupByKey]=OutputTable[[#This Row],[GroupByKey]]),(OutputTable[GroupByKey]=OutputTable[[#This Row],[GroupByKey]])*OutputTable[RecordedValue])),0)</f>
        <v>181.1</v>
      </c>
      <c r="L63" cm="1">
        <f t="array" ref="L63">IFERROR(_xlfn.STDEV.S(IF((OutputTable[GroupByKey]=OutputTable[[#This Row],[GroupByKey]]),(OutputTable[GroupByKey]=OutputTable[[#This Row],[GroupByKey]])*OutputTable[RecordedValue])),0)</f>
        <v>9.7348172384830463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6.9638687399111214</v>
      </c>
      <c r="O63" cm="1">
        <f t="array" ref="O63">MIN(IF((OutputTable[GroupByKey]=OutputTable[[#This Row],[GroupByKey]]),(OutputTable[GroupByKey]=OutputTable[[#This Row],[GroupByKey]])*OutputTable[RecordedValue]))</f>
        <v>169</v>
      </c>
      <c r="P63" cm="1">
        <f t="array" ref="P63">MAX(IF((OutputTable[GroupByKey]=OutputTable[[#This Row],[GroupByKey]]),(OutputTable[GroupByKey]=OutputTable[[#This Row],[GroupByKey]])*OutputTable[RecordedValue]))</f>
        <v>194</v>
      </c>
    </row>
    <row r="64" spans="1:16" x14ac:dyDescent="0.3">
      <c r="A64" t="s">
        <v>66</v>
      </c>
      <c r="B64" t="s">
        <v>68</v>
      </c>
      <c r="C64">
        <v>3</v>
      </c>
      <c r="D64" t="s">
        <v>137</v>
      </c>
      <c r="E64" t="s">
        <v>123</v>
      </c>
      <c r="F64" t="s">
        <v>103</v>
      </c>
      <c r="G64">
        <v>0.72440309250271195</v>
      </c>
      <c r="H64">
        <v>0</v>
      </c>
      <c r="I64" t="str">
        <f>OutputTable[[#This Row],[ProjectName]]&amp;OutputTable[[#This Row],[Name]]&amp;OutputTable[[#This Row],[Type]]&amp;OutputTable[[#This Row],[Source]]</f>
        <v>Unnamed Projectcajera2.ScheduledUtilizationScheduled UtilizationResource</v>
      </c>
      <c r="J64" cm="1">
        <f t="array" ref="J64">MAX(IF((ProjectInfoTable[ProjectName]=OutputTable[[#This Row],[ProjectName]]),(ProjectInfoTable[ProjectName]=OutputTable[[#This Row],[ProjectName]])*ProjectInfoTable[NumberOfReplications]))</f>
        <v>10</v>
      </c>
      <c r="K64" cm="1">
        <f t="array" ref="K64">IFERROR(AVERAGE(IF((OutputTable[GroupByKey]=OutputTable[[#This Row],[GroupByKey]]),(OutputTable[GroupByKey]=OutputTable[[#This Row],[GroupByKey]])*OutputTable[RecordedValue])),0)</f>
        <v>0.73571117943508912</v>
      </c>
      <c r="L64" cm="1">
        <f t="array" ref="L64">IFERROR(_xlfn.STDEV.S(IF((OutputTable[GroupByKey]=OutputTable[[#This Row],[GroupByKey]]),(OutputTable[GroupByKey]=OutputTable[[#This Row],[GroupByKey]])*OutputTable[RecordedValue])),0)</f>
        <v>2.3945213257811505E-2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1.7129373668915777E-2</v>
      </c>
      <c r="O64" cm="1">
        <f t="array" ref="O64">MIN(IF((OutputTable[GroupByKey]=OutputTable[[#This Row],[GroupByKey]]),(OutputTable[GroupByKey]=OutputTable[[#This Row],[GroupByKey]])*OutputTable[RecordedValue]))</f>
        <v>0.69752119636771104</v>
      </c>
      <c r="P64" cm="1">
        <f t="array" ref="P64">MAX(IF((OutputTable[GroupByKey]=OutputTable[[#This Row],[GroupByKey]]),(OutputTable[GroupByKey]=OutputTable[[#This Row],[GroupByKey]])*OutputTable[RecordedValue]))</f>
        <v>0.77845968782647601</v>
      </c>
    </row>
    <row r="65" spans="1:16" x14ac:dyDescent="0.3">
      <c r="A65" t="s">
        <v>66</v>
      </c>
      <c r="B65" t="s">
        <v>68</v>
      </c>
      <c r="C65">
        <v>3</v>
      </c>
      <c r="D65" t="s">
        <v>138</v>
      </c>
      <c r="E65" t="s">
        <v>117</v>
      </c>
      <c r="F65" t="s">
        <v>74</v>
      </c>
      <c r="G65">
        <v>0</v>
      </c>
      <c r="H65">
        <v>0</v>
      </c>
      <c r="I65" t="str">
        <f>OutputTable[[#This Row],[ProjectName]]&amp;OutputTable[[#This Row],[Name]]&amp;OutputTable[[#This Row],[Type]]&amp;OutputTable[[#This Row],[Source]]</f>
        <v>Unnamed Projectpersona.NumberInNumber InEntity</v>
      </c>
      <c r="J65" cm="1">
        <f t="array" ref="J65">MAX(IF((ProjectInfoTable[ProjectName]=OutputTable[[#This Row],[ProjectName]]),(ProjectInfoTable[ProjectName]=OutputTable[[#This Row],[ProjectName]])*ProjectInfoTable[NumberOfReplications]))</f>
        <v>10</v>
      </c>
      <c r="K65" cm="1">
        <f t="array" ref="K65">IFERROR(AVERAGE(IF((OutputTable[GroupByKey]=OutputTable[[#This Row],[GroupByKey]]),(OutputTable[GroupByKey]=OutputTable[[#This Row],[GroupByKey]])*OutputTable[RecordedValue])),0)</f>
        <v>0</v>
      </c>
      <c r="L65" cm="1">
        <f t="array" ref="L65">IFERROR(_xlfn.STDEV.S(IF((OutputTable[GroupByKey]=OutputTable[[#This Row],[GroupByKey]]),(OutputTable[GroupByKey]=OutputTable[[#This Row],[GroupByKey]])*OutputTable[RecordedValue])),0)</f>
        <v>0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5" cm="1">
        <f t="array" ref="O65">MIN(IF((OutputTable[GroupByKey]=OutputTable[[#This Row],[GroupByKey]]),(OutputTable[GroupByKey]=OutputTable[[#This Row],[GroupByKey]])*OutputTable[RecordedValue]))</f>
        <v>0</v>
      </c>
      <c r="P65" cm="1">
        <f t="array" ref="P65">MAX(IF((OutputTable[GroupByKey]=OutputTable[[#This Row],[GroupByKey]]),(OutputTable[GroupByKey]=OutputTable[[#This Row],[GroupByKey]])*OutputTable[RecordedValue]))</f>
        <v>0</v>
      </c>
    </row>
    <row r="66" spans="1:16" x14ac:dyDescent="0.3">
      <c r="A66" t="s">
        <v>66</v>
      </c>
      <c r="B66" t="s">
        <v>68</v>
      </c>
      <c r="C66">
        <v>3</v>
      </c>
      <c r="D66" t="s">
        <v>139</v>
      </c>
      <c r="E66" t="s">
        <v>119</v>
      </c>
      <c r="F66" t="s">
        <v>74</v>
      </c>
      <c r="G66">
        <v>0</v>
      </c>
      <c r="H66">
        <v>0</v>
      </c>
      <c r="I66" t="str">
        <f>OutputTable[[#This Row],[ProjectName]]&amp;OutputTable[[#This Row],[Name]]&amp;OutputTable[[#This Row],[Type]]&amp;OutputTable[[#This Row],[Source]]</f>
        <v>Unnamed Projectpersona.NumberOutNumber OutEntity</v>
      </c>
      <c r="J66" cm="1">
        <f t="array" ref="J66">MAX(IF((ProjectInfoTable[ProjectName]=OutputTable[[#This Row],[ProjectName]]),(ProjectInfoTable[ProjectName]=OutputTable[[#This Row],[ProjectName]])*ProjectInfoTable[NumberOfReplications]))</f>
        <v>10</v>
      </c>
      <c r="K66" cm="1">
        <f t="array" ref="K66">IFERROR(AVERAGE(IF((OutputTable[GroupByKey]=OutputTable[[#This Row],[GroupByKey]]),(OutputTable[GroupByKey]=OutputTable[[#This Row],[GroupByKey]])*OutputTable[RecordedValue])),0)</f>
        <v>0</v>
      </c>
      <c r="L66" cm="1">
        <f t="array" ref="L66">IFERROR(_xlfn.STDEV.S(IF((OutputTable[GroupByKey]=OutputTable[[#This Row],[GroupByKey]]),(OutputTable[GroupByKey]=OutputTable[[#This Row],[GroupByKey]])*OutputTable[RecordedValue])),0)</f>
        <v>0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6" cm="1">
        <f t="array" ref="O66">MIN(IF((OutputTable[GroupByKey]=OutputTable[[#This Row],[GroupByKey]]),(OutputTable[GroupByKey]=OutputTable[[#This Row],[GroupByKey]])*OutputTable[RecordedValue]))</f>
        <v>0</v>
      </c>
      <c r="P66" cm="1">
        <f t="array" ref="P66">MAX(IF((OutputTable[GroupByKey]=OutputTable[[#This Row],[GroupByKey]]),(OutputTable[GroupByKey]=OutputTable[[#This Row],[GroupByKey]])*OutputTable[RecordedValue]))</f>
        <v>0</v>
      </c>
    </row>
    <row r="67" spans="1:16" x14ac:dyDescent="0.3">
      <c r="A67" t="s">
        <v>66</v>
      </c>
      <c r="B67" t="s">
        <v>68</v>
      </c>
      <c r="C67">
        <v>3</v>
      </c>
      <c r="D67" t="s">
        <v>140</v>
      </c>
      <c r="E67" t="s">
        <v>121</v>
      </c>
      <c r="F67" t="s">
        <v>103</v>
      </c>
      <c r="G67">
        <v>6</v>
      </c>
      <c r="H67">
        <v>0</v>
      </c>
      <c r="I67" t="str">
        <f>OutputTable[[#This Row],[ProjectName]]&amp;OutputTable[[#This Row],[Name]]&amp;OutputTable[[#This Row],[Type]]&amp;OutputTable[[#This Row],[Source]]</f>
        <v>Unnamed Projectregistro1.NumberSeizedTotal Number SeizedResource</v>
      </c>
      <c r="J67" cm="1">
        <f t="array" ref="J67">MAX(IF((ProjectInfoTable[ProjectName]=OutputTable[[#This Row],[ProjectName]]),(ProjectInfoTable[ProjectName]=OutputTable[[#This Row],[ProjectName]])*ProjectInfoTable[NumberOfReplications]))</f>
        <v>10</v>
      </c>
      <c r="K67" cm="1">
        <f t="array" ref="K67">IFERROR(AVERAGE(IF((OutputTable[GroupByKey]=OutputTable[[#This Row],[GroupByKey]]),(OutputTable[GroupByKey]=OutputTable[[#This Row],[GroupByKey]])*OutputTable[RecordedValue])),0)</f>
        <v>7.6</v>
      </c>
      <c r="L67" cm="1">
        <f t="array" ref="L67">IFERROR(_xlfn.STDEV.S(IF((OutputTable[GroupByKey]=OutputTable[[#This Row],[GroupByKey]]),(OutputTable[GroupByKey]=OutputTable[[#This Row],[GroupByKey]])*OutputTable[RecordedValue])),0)</f>
        <v>2.9135697844549542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2.0842422663373124</v>
      </c>
      <c r="O67" cm="1">
        <f t="array" ref="O67">MIN(IF((OutputTable[GroupByKey]=OutputTable[[#This Row],[GroupByKey]]),(OutputTable[GroupByKey]=OutputTable[[#This Row],[GroupByKey]])*OutputTable[RecordedValue]))</f>
        <v>4</v>
      </c>
      <c r="P67" cm="1">
        <f t="array" ref="P67">MAX(IF((OutputTable[GroupByKey]=OutputTable[[#This Row],[GroupByKey]]),(OutputTable[GroupByKey]=OutputTable[[#This Row],[GroupByKey]])*OutputTable[RecordedValue]))</f>
        <v>12</v>
      </c>
    </row>
    <row r="68" spans="1:16" x14ac:dyDescent="0.3">
      <c r="A68" t="s">
        <v>66</v>
      </c>
      <c r="B68" t="s">
        <v>68</v>
      </c>
      <c r="C68">
        <v>3</v>
      </c>
      <c r="D68" t="s">
        <v>141</v>
      </c>
      <c r="E68" t="s">
        <v>123</v>
      </c>
      <c r="F68" t="s">
        <v>103</v>
      </c>
      <c r="G68">
        <v>6.8430469457483406E-2</v>
      </c>
      <c r="H68">
        <v>0</v>
      </c>
      <c r="I68" t="str">
        <f>OutputTable[[#This Row],[ProjectName]]&amp;OutputTable[[#This Row],[Name]]&amp;OutputTable[[#This Row],[Type]]&amp;OutputTable[[#This Row],[Source]]</f>
        <v>Unnamed Projectregistro1.ScheduledUtilizationScheduled UtilizationResource</v>
      </c>
      <c r="J68" cm="1">
        <f t="array" ref="J68">MAX(IF((ProjectInfoTable[ProjectName]=OutputTable[[#This Row],[ProjectName]]),(ProjectInfoTable[ProjectName]=OutputTable[[#This Row],[ProjectName]])*ProjectInfoTable[NumberOfReplications]))</f>
        <v>10</v>
      </c>
      <c r="K68" cm="1">
        <f t="array" ref="K68">IFERROR(AVERAGE(IF((OutputTable[GroupByKey]=OutputTable[[#This Row],[GroupByKey]]),(OutputTable[GroupByKey]=OutputTable[[#This Row],[GroupByKey]])*OutputTable[RecordedValue])),0)</f>
        <v>5.6433247648491516E-2</v>
      </c>
      <c r="L68" cm="1">
        <f t="array" ref="L68">IFERROR(_xlfn.STDEV.S(IF((OutputTable[GroupByKey]=OutputTable[[#This Row],[GroupByKey]]),(OutputTable[GroupByKey]=OutputTable[[#This Row],[GroupByKey]])*OutputTable[RecordedValue])),0)</f>
        <v>2.4456082934732001E-2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1.7494827820351853E-2</v>
      </c>
      <c r="O68" cm="1">
        <f t="array" ref="O68">MIN(IF((OutputTable[GroupByKey]=OutputTable[[#This Row],[GroupByKey]]),(OutputTable[GroupByKey]=OutputTable[[#This Row],[GroupByKey]])*OutputTable[RecordedValue]))</f>
        <v>2.1279401430778E-2</v>
      </c>
      <c r="P68" cm="1">
        <f t="array" ref="P68">MAX(IF((OutputTable[GroupByKey]=OutputTable[[#This Row],[GroupByKey]]),(OutputTable[GroupByKey]=OutputTable[[#This Row],[GroupByKey]])*OutputTable[RecordedValue]))</f>
        <v>8.8472374570180701E-2</v>
      </c>
    </row>
    <row r="69" spans="1:16" x14ac:dyDescent="0.3">
      <c r="A69" t="s">
        <v>66</v>
      </c>
      <c r="B69" t="s">
        <v>68</v>
      </c>
      <c r="C69">
        <v>3</v>
      </c>
      <c r="D69" t="s">
        <v>142</v>
      </c>
      <c r="E69" t="s">
        <v>121</v>
      </c>
      <c r="F69" t="s">
        <v>103</v>
      </c>
      <c r="G69">
        <v>24</v>
      </c>
      <c r="H69">
        <v>0</v>
      </c>
      <c r="I69" t="str">
        <f>OutputTable[[#This Row],[ProjectName]]&amp;OutputTable[[#This Row],[Name]]&amp;OutputTable[[#This Row],[Type]]&amp;OutputTable[[#This Row],[Source]]</f>
        <v>Unnamed Projectregistro2.NumberSeizedTotal Number SeizedResource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10</v>
      </c>
      <c r="K69" cm="1">
        <f t="array" ref="K69">IFERROR(AVERAGE(IF((OutputTable[GroupByKey]=OutputTable[[#This Row],[GroupByKey]]),(OutputTable[GroupByKey]=OutputTable[[#This Row],[GroupByKey]])*OutputTable[RecordedValue])),0)</f>
        <v>18.8</v>
      </c>
      <c r="L69" cm="1">
        <f t="array" ref="L69">IFERROR(_xlfn.STDEV.S(IF((OutputTable[GroupByKey]=OutputTable[[#This Row],[GroupByKey]]),(OutputTable[GroupByKey]=OutputTable[[#This Row],[GroupByKey]])*OutputTable[RecordedValue])),0)</f>
        <v>2.8205594401741556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2.0177066742293341</v>
      </c>
      <c r="O69" cm="1">
        <f t="array" ref="O69">MIN(IF((OutputTable[GroupByKey]=OutputTable[[#This Row],[GroupByKey]]),(OutputTable[GroupByKey]=OutputTable[[#This Row],[GroupByKey]])*OutputTable[RecordedValue]))</f>
        <v>14</v>
      </c>
      <c r="P69" cm="1">
        <f t="array" ref="P69">MAX(IF((OutputTable[GroupByKey]=OutputTable[[#This Row],[GroupByKey]]),(OutputTable[GroupByKey]=OutputTable[[#This Row],[GroupByKey]])*OutputTable[RecordedValue]))</f>
        <v>24</v>
      </c>
    </row>
    <row r="70" spans="1:16" x14ac:dyDescent="0.3">
      <c r="A70" t="s">
        <v>66</v>
      </c>
      <c r="B70" t="s">
        <v>68</v>
      </c>
      <c r="C70">
        <v>3</v>
      </c>
      <c r="D70" t="s">
        <v>143</v>
      </c>
      <c r="E70" t="s">
        <v>123</v>
      </c>
      <c r="F70" t="s">
        <v>103</v>
      </c>
      <c r="G70">
        <v>0.4217141266426</v>
      </c>
      <c r="H70">
        <v>0</v>
      </c>
      <c r="I70" t="str">
        <f>OutputTable[[#This Row],[ProjectName]]&amp;OutputTable[[#This Row],[Name]]&amp;OutputTable[[#This Row],[Type]]&amp;OutputTable[[#This Row],[Source]]</f>
        <v>Unnamed Projectregistro2.ScheduledUtilizationScheduled UtilizationResource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10</v>
      </c>
      <c r="K70" cm="1">
        <f t="array" ref="K70">IFERROR(AVERAGE(IF((OutputTable[GroupByKey]=OutputTable[[#This Row],[GroupByKey]]),(OutputTable[GroupByKey]=OutputTable[[#This Row],[GroupByKey]])*OutputTable[RecordedValue])),0)</f>
        <v>0.46274808587050231</v>
      </c>
      <c r="L70" cm="1">
        <f t="array" ref="L70">IFERROR(_xlfn.STDEV.S(IF((OutputTable[GroupByKey]=OutputTable[[#This Row],[GroupByKey]]),(OutputTable[GroupByKey]=OutputTable[[#This Row],[GroupByKey]])*OutputTable[RecordedValue])),0)</f>
        <v>9.1165192054027525E-2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6.5215649719990554E-2</v>
      </c>
      <c r="O70" cm="1">
        <f t="array" ref="O70">MIN(IF((OutputTable[GroupByKey]=OutputTable[[#This Row],[GroupByKey]]),(OutputTable[GroupByKey]=OutputTable[[#This Row],[GroupByKey]])*OutputTable[RecordedValue]))</f>
        <v>0.338210899349628</v>
      </c>
      <c r="P70" cm="1">
        <f t="array" ref="P70">MAX(IF((OutputTable[GroupByKey]=OutputTable[[#This Row],[GroupByKey]]),(OutputTable[GroupByKey]=OutputTable[[#This Row],[GroupByKey]])*OutputTable[RecordedValue]))</f>
        <v>0.66990172486561195</v>
      </c>
    </row>
    <row r="71" spans="1:16" x14ac:dyDescent="0.3">
      <c r="A71" t="s">
        <v>66</v>
      </c>
      <c r="B71" t="s">
        <v>68</v>
      </c>
      <c r="C71">
        <v>4</v>
      </c>
      <c r="D71" t="s">
        <v>116</v>
      </c>
      <c r="E71" t="s">
        <v>117</v>
      </c>
      <c r="F71" t="s">
        <v>74</v>
      </c>
      <c r="G71">
        <v>757</v>
      </c>
      <c r="H71">
        <v>0</v>
      </c>
      <c r="I71" t="str">
        <f>OutputTable[[#This Row],[ProjectName]]&amp;OutputTable[[#This Row],[Name]]&amp;OutputTable[[#This Row],[Type]]&amp;OutputTable[[#This Row],[Source]]</f>
        <v>Unnamed ProjectEntity 1.NumberInNumber InEntity</v>
      </c>
      <c r="J71" cm="1">
        <f t="array" ref="J71">MAX(IF((ProjectInfoTable[ProjectName]=OutputTable[[#This Row],[ProjectName]]),(ProjectInfoTable[ProjectName]=OutputTable[[#This Row],[ProjectName]])*ProjectInfoTable[NumberOfReplications]))</f>
        <v>10</v>
      </c>
      <c r="K71" cm="1">
        <f t="array" ref="K71">IFERROR(AVERAGE(IF((OutputTable[GroupByKey]=OutputTable[[#This Row],[GroupByKey]]),(OutputTable[GroupByKey]=OutputTable[[#This Row],[GroupByKey]])*OutputTable[RecordedValue])),0)</f>
        <v>677.4</v>
      </c>
      <c r="L71" cm="1">
        <f t="array" ref="L71">IFERROR(_xlfn.STDEV.S(IF((OutputTable[GroupByKey]=OutputTable[[#This Row],[GroupByKey]]),(OutputTable[GroupByKey]=OutputTable[[#This Row],[GroupByKey]])*OutputTable[RecordedValue])),0)</f>
        <v>50.383418789209699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36.042126577273301</v>
      </c>
      <c r="O71" cm="1">
        <f t="array" ref="O71">MIN(IF((OutputTable[GroupByKey]=OutputTable[[#This Row],[GroupByKey]]),(OutputTable[GroupByKey]=OutputTable[[#This Row],[GroupByKey]])*OutputTable[RecordedValue]))</f>
        <v>612</v>
      </c>
      <c r="P71" cm="1">
        <f t="array" ref="P71">MAX(IF((OutputTable[GroupByKey]=OutputTable[[#This Row],[GroupByKey]]),(OutputTable[GroupByKey]=OutputTable[[#This Row],[GroupByKey]])*OutputTable[RecordedValue]))</f>
        <v>757</v>
      </c>
    </row>
    <row r="72" spans="1:16" x14ac:dyDescent="0.3">
      <c r="A72" t="s">
        <v>66</v>
      </c>
      <c r="B72" t="s">
        <v>68</v>
      </c>
      <c r="C72">
        <v>4</v>
      </c>
      <c r="D72" t="s">
        <v>118</v>
      </c>
      <c r="E72" t="s">
        <v>119</v>
      </c>
      <c r="F72" t="s">
        <v>74</v>
      </c>
      <c r="G72">
        <v>755</v>
      </c>
      <c r="H72">
        <v>0</v>
      </c>
      <c r="I72" t="str">
        <f>OutputTable[[#This Row],[ProjectName]]&amp;OutputTable[[#This Row],[Name]]&amp;OutputTable[[#This Row],[Type]]&amp;OutputTable[[#This Row],[Source]]</f>
        <v>Unnamed ProjectEntity 1.NumberOutNumber OutEntity</v>
      </c>
      <c r="J72" cm="1">
        <f t="array" ref="J72">MAX(IF((ProjectInfoTable[ProjectName]=OutputTable[[#This Row],[ProjectName]]),(ProjectInfoTable[ProjectName]=OutputTable[[#This Row],[ProjectName]])*ProjectInfoTable[NumberOfReplications]))</f>
        <v>10</v>
      </c>
      <c r="K72" cm="1">
        <f t="array" ref="K72">IFERROR(AVERAGE(IF((OutputTable[GroupByKey]=OutputTable[[#This Row],[GroupByKey]]),(OutputTable[GroupByKey]=OutputTable[[#This Row],[GroupByKey]])*OutputTable[RecordedValue])),0)</f>
        <v>673.8</v>
      </c>
      <c r="L72" cm="1">
        <f t="array" ref="L72">IFERROR(_xlfn.STDEV.S(IF((OutputTable[GroupByKey]=OutputTable[[#This Row],[GroupByKey]]),(OutputTable[GroupByKey]=OutputTable[[#This Row],[GroupByKey]])*OutputTable[RecordedValue])),0)</f>
        <v>51.503613681199326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36.843465729291147</v>
      </c>
      <c r="O72" cm="1">
        <f t="array" ref="O72">MIN(IF((OutputTable[GroupByKey]=OutputTable[[#This Row],[GroupByKey]]),(OutputTable[GroupByKey]=OutputTable[[#This Row],[GroupByKey]])*OutputTable[RecordedValue]))</f>
        <v>608</v>
      </c>
      <c r="P72" cm="1">
        <f t="array" ref="P72">MAX(IF((OutputTable[GroupByKey]=OutputTable[[#This Row],[GroupByKey]]),(OutputTable[GroupByKey]=OutputTable[[#This Row],[GroupByKey]])*OutputTable[RecordedValue]))</f>
        <v>755</v>
      </c>
    </row>
    <row r="73" spans="1:16" x14ac:dyDescent="0.3">
      <c r="A73" t="s">
        <v>66</v>
      </c>
      <c r="B73" t="s">
        <v>68</v>
      </c>
      <c r="C73">
        <v>4</v>
      </c>
      <c r="D73" t="s">
        <v>120</v>
      </c>
      <c r="E73" t="s">
        <v>121</v>
      </c>
      <c r="F73" t="s">
        <v>103</v>
      </c>
      <c r="G73">
        <v>161</v>
      </c>
      <c r="H73">
        <v>0</v>
      </c>
      <c r="I73" t="str">
        <f>OutputTable[[#This Row],[ProjectName]]&amp;OutputTable[[#This Row],[Name]]&amp;OutputTable[[#This Row],[Type]]&amp;OutputTable[[#This Row],[Source]]</f>
        <v>Unnamed ProjectInterauto.NumberSeizedTotal Number SeizedResource</v>
      </c>
      <c r="J73" cm="1">
        <f t="array" ref="J73">MAX(IF((ProjectInfoTable[ProjectName]=OutputTable[[#This Row],[ProjectName]]),(ProjectInfoTable[ProjectName]=OutputTable[[#This Row],[ProjectName]])*ProjectInfoTable[NumberOfReplications]))</f>
        <v>10</v>
      </c>
      <c r="K73" cm="1">
        <f t="array" ref="K73">IFERROR(AVERAGE(IF((OutputTable[GroupByKey]=OutputTable[[#This Row],[GroupByKey]]),(OutputTable[GroupByKey]=OutputTable[[#This Row],[GroupByKey]])*OutputTable[RecordedValue])),0)</f>
        <v>161.5</v>
      </c>
      <c r="L73" cm="1">
        <f t="array" ref="L73">IFERROR(_xlfn.STDEV.S(IF((OutputTable[GroupByKey]=OutputTable[[#This Row],[GroupByKey]]),(OutputTable[GroupByKey]=OutputTable[[#This Row],[GroupByKey]])*OutputTable[RecordedValue])),0)</f>
        <v>13.778001790293589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9.8561887311626997</v>
      </c>
      <c r="O73" cm="1">
        <f t="array" ref="O73">MIN(IF((OutputTable[GroupByKey]=OutputTable[[#This Row],[GroupByKey]]),(OutputTable[GroupByKey]=OutputTable[[#This Row],[GroupByKey]])*OutputTable[RecordedValue]))</f>
        <v>147</v>
      </c>
      <c r="P73" cm="1">
        <f t="array" ref="P73">MAX(IF((OutputTable[GroupByKey]=OutputTable[[#This Row],[GroupByKey]]),(OutputTable[GroupByKey]=OutputTable[[#This Row],[GroupByKey]])*OutputTable[RecordedValue]))</f>
        <v>191</v>
      </c>
    </row>
    <row r="74" spans="1:16" x14ac:dyDescent="0.3">
      <c r="A74" t="s">
        <v>66</v>
      </c>
      <c r="B74" t="s">
        <v>68</v>
      </c>
      <c r="C74">
        <v>4</v>
      </c>
      <c r="D74" t="s">
        <v>122</v>
      </c>
      <c r="E74" t="s">
        <v>123</v>
      </c>
      <c r="F74" t="s">
        <v>103</v>
      </c>
      <c r="G74">
        <v>0.29421516955182597</v>
      </c>
      <c r="H74">
        <v>0</v>
      </c>
      <c r="I74" t="str">
        <f>OutputTable[[#This Row],[ProjectName]]&amp;OutputTable[[#This Row],[Name]]&amp;OutputTable[[#This Row],[Type]]&amp;OutputTable[[#This Row],[Source]]</f>
        <v>Unnamed ProjectInterauto.ScheduledUtilizationScheduled UtilizationResource</v>
      </c>
      <c r="J74" cm="1">
        <f t="array" ref="J74">MAX(IF((ProjectInfoTable[ProjectName]=OutputTable[[#This Row],[ProjectName]]),(ProjectInfoTable[ProjectName]=OutputTable[[#This Row],[ProjectName]])*ProjectInfoTable[NumberOfReplications]))</f>
        <v>10</v>
      </c>
      <c r="K74" cm="1">
        <f t="array" ref="K74">IFERROR(AVERAGE(IF((OutputTable[GroupByKey]=OutputTable[[#This Row],[GroupByKey]]),(OutputTable[GroupByKey]=OutputTable[[#This Row],[GroupByKey]])*OutputTable[RecordedValue])),0)</f>
        <v>0.26535205929836458</v>
      </c>
      <c r="L74" cm="1">
        <f t="array" ref="L74">IFERROR(_xlfn.STDEV.S(IF((OutputTable[GroupByKey]=OutputTable[[#This Row],[GroupByKey]]),(OutputTable[GroupByKey]=OutputTable[[#This Row],[GroupByKey]])*OutputTable[RecordedValue])),0)</f>
        <v>2.5807993647623796E-2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1.8461926485074727E-2</v>
      </c>
      <c r="O74" cm="1">
        <f t="array" ref="O74">MIN(IF((OutputTable[GroupByKey]=OutputTable[[#This Row],[GroupByKey]]),(OutputTable[GroupByKey]=OutputTable[[#This Row],[GroupByKey]])*OutputTable[RecordedValue]))</f>
        <v>0.20483176768320299</v>
      </c>
      <c r="P74" cm="1">
        <f t="array" ref="P74">MAX(IF((OutputTable[GroupByKey]=OutputTable[[#This Row],[GroupByKey]]),(OutputTable[GroupByKey]=OutputTable[[#This Row],[GroupByKey]])*OutputTable[RecordedValue]))</f>
        <v>0.29552077299252399</v>
      </c>
    </row>
    <row r="75" spans="1:16" x14ac:dyDescent="0.3">
      <c r="A75" t="s">
        <v>66</v>
      </c>
      <c r="B75" t="s">
        <v>68</v>
      </c>
      <c r="C75">
        <v>4</v>
      </c>
      <c r="D75" t="s">
        <v>124</v>
      </c>
      <c r="E75" t="s">
        <v>117</v>
      </c>
      <c r="F75" t="s">
        <v>74</v>
      </c>
      <c r="G75">
        <v>287</v>
      </c>
      <c r="H75">
        <v>0</v>
      </c>
      <c r="I75" t="str">
        <f>OutputTable[[#This Row],[ProjectName]]&amp;OutputTable[[#This Row],[Name]]&amp;OutputTable[[#This Row],[Type]]&amp;OutputTable[[#This Row],[Source]]</f>
        <v>Unnamed ProjectMaleta Internacional.NumberInNumber InEntity</v>
      </c>
      <c r="J75" cm="1">
        <f t="array" ref="J75">MAX(IF((ProjectInfoTable[ProjectName]=OutputTable[[#This Row],[ProjectName]]),(ProjectInfoTable[ProjectName]=OutputTable[[#This Row],[ProjectName]])*ProjectInfoTable[NumberOfReplications]))</f>
        <v>10</v>
      </c>
      <c r="K75" cm="1">
        <f t="array" ref="K75">IFERROR(AVERAGE(IF((OutputTable[GroupByKey]=OutputTable[[#This Row],[GroupByKey]]),(OutputTable[GroupByKey]=OutputTable[[#This Row],[GroupByKey]])*OutputTable[RecordedValue])),0)</f>
        <v>241.3</v>
      </c>
      <c r="L75" cm="1">
        <f t="array" ref="L75">IFERROR(_xlfn.STDEV.S(IF((OutputTable[GroupByKey]=OutputTable[[#This Row],[GroupByKey]]),(OutputTable[GroupByKey]=OutputTable[[#This Row],[GroupByKey]])*OutputTable[RecordedValue])),0)</f>
        <v>25.59101404790356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18.306708629960106</v>
      </c>
      <c r="O75" cm="1">
        <f t="array" ref="O75">MIN(IF((OutputTable[GroupByKey]=OutputTable[[#This Row],[GroupByKey]]),(OutputTable[GroupByKey]=OutputTable[[#This Row],[GroupByKey]])*OutputTable[RecordedValue]))</f>
        <v>207</v>
      </c>
      <c r="P75" cm="1">
        <f t="array" ref="P75">MAX(IF((OutputTable[GroupByKey]=OutputTable[[#This Row],[GroupByKey]]),(OutputTable[GroupByKey]=OutputTable[[#This Row],[GroupByKey]])*OutputTable[RecordedValue]))</f>
        <v>287</v>
      </c>
    </row>
    <row r="76" spans="1:16" x14ac:dyDescent="0.3">
      <c r="A76" t="s">
        <v>66</v>
      </c>
      <c r="B76" t="s">
        <v>68</v>
      </c>
      <c r="C76">
        <v>4</v>
      </c>
      <c r="D76" t="s">
        <v>125</v>
      </c>
      <c r="E76" t="s">
        <v>119</v>
      </c>
      <c r="F76" t="s">
        <v>74</v>
      </c>
      <c r="G76">
        <v>256</v>
      </c>
      <c r="H76">
        <v>0</v>
      </c>
      <c r="I76" t="str">
        <f>OutputTable[[#This Row],[ProjectName]]&amp;OutputTable[[#This Row],[Name]]&amp;OutputTable[[#This Row],[Type]]&amp;OutputTable[[#This Row],[Source]]</f>
        <v>Unnamed ProjectMaleta Internacional.NumberOutNumber OutEntity</v>
      </c>
      <c r="J76" cm="1">
        <f t="array" ref="J76">MAX(IF((ProjectInfoTable[ProjectName]=OutputTable[[#This Row],[ProjectName]]),(ProjectInfoTable[ProjectName]=OutputTable[[#This Row],[ProjectName]])*ProjectInfoTable[NumberOfReplications]))</f>
        <v>10</v>
      </c>
      <c r="K76" cm="1">
        <f t="array" ref="K76">IFERROR(AVERAGE(IF((OutputTable[GroupByKey]=OutputTable[[#This Row],[GroupByKey]]),(OutputTable[GroupByKey]=OutputTable[[#This Row],[GroupByKey]])*OutputTable[RecordedValue])),0)</f>
        <v>224.5</v>
      </c>
      <c r="L76" cm="1">
        <f t="array" ref="L76">IFERROR(_xlfn.STDEV.S(IF((OutputTable[GroupByKey]=OutputTable[[#This Row],[GroupByKey]]),(OutputTable[GroupByKey]=OutputTable[[#This Row],[GroupByKey]])*OutputTable[RecordedValue])),0)</f>
        <v>20.812656405818711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14.888477491497007</v>
      </c>
      <c r="O76" cm="1">
        <f t="array" ref="O76">MIN(IF((OutputTable[GroupByKey]=OutputTable[[#This Row],[GroupByKey]]),(OutputTable[GroupByKey]=OutputTable[[#This Row],[GroupByKey]])*OutputTable[RecordedValue]))</f>
        <v>199</v>
      </c>
      <c r="P76" cm="1">
        <f t="array" ref="P76">MAX(IF((OutputTable[GroupByKey]=OutputTable[[#This Row],[GroupByKey]]),(OutputTable[GroupByKey]=OutputTable[[#This Row],[GroupByKey]])*OutputTable[RecordedValue]))</f>
        <v>256</v>
      </c>
    </row>
    <row r="77" spans="1:16" x14ac:dyDescent="0.3">
      <c r="A77" t="s">
        <v>66</v>
      </c>
      <c r="B77" t="s">
        <v>68</v>
      </c>
      <c r="C77">
        <v>4</v>
      </c>
      <c r="D77" t="s">
        <v>126</v>
      </c>
      <c r="E77" t="s">
        <v>117</v>
      </c>
      <c r="F77" t="s">
        <v>74</v>
      </c>
      <c r="G77">
        <v>161</v>
      </c>
      <c r="H77">
        <v>0</v>
      </c>
      <c r="I77" t="str">
        <f>OutputTable[[#This Row],[ProjectName]]&amp;OutputTable[[#This Row],[Name]]&amp;OutputTable[[#This Row],[Type]]&amp;OutputTable[[#This Row],[Source]]</f>
        <v>Unnamed ProjectMaleta Nacional.NumberInNumber InEntity</v>
      </c>
      <c r="J77" cm="1">
        <f t="array" ref="J77">MAX(IF((ProjectInfoTable[ProjectName]=OutputTable[[#This Row],[ProjectName]]),(ProjectInfoTable[ProjectName]=OutputTable[[#This Row],[ProjectName]])*ProjectInfoTable[NumberOfReplications]))</f>
        <v>10</v>
      </c>
      <c r="K77" cm="1">
        <f t="array" ref="K77">IFERROR(AVERAGE(IF((OutputTable[GroupByKey]=OutputTable[[#This Row],[GroupByKey]]),(OutputTable[GroupByKey]=OutputTable[[#This Row],[GroupByKey]])*OutputTable[RecordedValue])),0)</f>
        <v>163.1</v>
      </c>
      <c r="L77" cm="1">
        <f t="array" ref="L77">IFERROR(_xlfn.STDEV.S(IF((OutputTable[GroupByKey]=OutputTable[[#This Row],[GroupByKey]]),(OutputTable[GroupByKey]=OutputTable[[#This Row],[GroupByKey]])*OutputTable[RecordedValue])),0)</f>
        <v>14.371654200002325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10.280862082193972</v>
      </c>
      <c r="O77" cm="1">
        <f t="array" ref="O77">MIN(IF((OutputTable[GroupByKey]=OutputTable[[#This Row],[GroupByKey]]),(OutputTable[GroupByKey]=OutputTable[[#This Row],[GroupByKey]])*OutputTable[RecordedValue]))</f>
        <v>149</v>
      </c>
      <c r="P77" cm="1">
        <f t="array" ref="P77">MAX(IF((OutputTable[GroupByKey]=OutputTable[[#This Row],[GroupByKey]]),(OutputTable[GroupByKey]=OutputTable[[#This Row],[GroupByKey]])*OutputTable[RecordedValue]))</f>
        <v>191</v>
      </c>
    </row>
    <row r="78" spans="1:16" x14ac:dyDescent="0.3">
      <c r="A78" t="s">
        <v>66</v>
      </c>
      <c r="B78" t="s">
        <v>68</v>
      </c>
      <c r="C78">
        <v>4</v>
      </c>
      <c r="D78" t="s">
        <v>127</v>
      </c>
      <c r="E78" t="s">
        <v>119</v>
      </c>
      <c r="F78" t="s">
        <v>74</v>
      </c>
      <c r="G78">
        <v>158</v>
      </c>
      <c r="H78">
        <v>0</v>
      </c>
      <c r="I78" t="str">
        <f>OutputTable[[#This Row],[ProjectName]]&amp;OutputTable[[#This Row],[Name]]&amp;OutputTable[[#This Row],[Type]]&amp;OutputTable[[#This Row],[Source]]</f>
        <v>Unnamed ProjectMaleta Nacional.NumberOutNumber OutEntity</v>
      </c>
      <c r="J78" cm="1">
        <f t="array" ref="J78">MAX(IF((ProjectInfoTable[ProjectName]=OutputTable[[#This Row],[ProjectName]]),(ProjectInfoTable[ProjectName]=OutputTable[[#This Row],[ProjectName]])*ProjectInfoTable[NumberOfReplications]))</f>
        <v>10</v>
      </c>
      <c r="K78" cm="1">
        <f t="array" ref="K78">IFERROR(AVERAGE(IF((OutputTable[GroupByKey]=OutputTable[[#This Row],[GroupByKey]]),(OutputTable[GroupByKey]=OutputTable[[#This Row],[GroupByKey]])*OutputTable[RecordedValue])),0)</f>
        <v>159.1</v>
      </c>
      <c r="L78" cm="1">
        <f t="array" ref="L78">IFERROR(_xlfn.STDEV.S(IF((OutputTable[GroupByKey]=OutputTable[[#This Row],[GroupByKey]]),(OutputTable[GroupByKey]=OutputTable[[#This Row],[GroupByKey]])*OutputTable[RecordedValue])),0)</f>
        <v>14.153523314787106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10.12482064704977</v>
      </c>
      <c r="O78" cm="1">
        <f t="array" ref="O78">MIN(IF((OutputTable[GroupByKey]=OutputTable[[#This Row],[GroupByKey]]),(OutputTable[GroupByKey]=OutputTable[[#This Row],[GroupByKey]])*OutputTable[RecordedValue]))</f>
        <v>145</v>
      </c>
      <c r="P78" cm="1">
        <f t="array" ref="P78">MAX(IF((OutputTable[GroupByKey]=OutputTable[[#This Row],[GroupByKey]]),(OutputTable[GroupByKey]=OutputTable[[#This Row],[GroupByKey]])*OutputTable[RecordedValue]))</f>
        <v>189</v>
      </c>
    </row>
    <row r="79" spans="1:16" x14ac:dyDescent="0.3">
      <c r="A79" t="s">
        <v>66</v>
      </c>
      <c r="B79" t="s">
        <v>68</v>
      </c>
      <c r="C79">
        <v>4</v>
      </c>
      <c r="D79" t="s">
        <v>128</v>
      </c>
      <c r="E79" t="s">
        <v>121</v>
      </c>
      <c r="F79" t="s">
        <v>103</v>
      </c>
      <c r="G79">
        <v>264</v>
      </c>
      <c r="H79">
        <v>0</v>
      </c>
      <c r="I79" t="str">
        <f>OutputTable[[#This Row],[ProjectName]]&amp;OutputTable[[#This Row],[Name]]&amp;OutputTable[[#This Row],[Type]]&amp;OutputTable[[#This Row],[Source]]</f>
        <v>Unnamed ProjectNacionalauto.NumberSeizedTotal Number SeizedResource</v>
      </c>
      <c r="J79" cm="1">
        <f t="array" ref="J79">MAX(IF((ProjectInfoTable[ProjectName]=OutputTable[[#This Row],[ProjectName]]),(ProjectInfoTable[ProjectName]=OutputTable[[#This Row],[ProjectName]])*ProjectInfoTable[NumberOfReplications]))</f>
        <v>10</v>
      </c>
      <c r="K79" cm="1">
        <f t="array" ref="K79">IFERROR(AVERAGE(IF((OutputTable[GroupByKey]=OutputTable[[#This Row],[GroupByKey]]),(OutputTable[GroupByKey]=OutputTable[[#This Row],[GroupByKey]])*OutputTable[RecordedValue])),0)</f>
        <v>231.5</v>
      </c>
      <c r="L79" cm="1">
        <f t="array" ref="L79">IFERROR(_xlfn.STDEV.S(IF((OutputTable[GroupByKey]=OutputTable[[#This Row],[GroupByKey]]),(OutputTable[GroupByKey]=OutputTable[[#This Row],[GroupByKey]])*OutputTable[RecordedValue])),0)</f>
        <v>20.817994353176505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14.892296029003113</v>
      </c>
      <c r="O79" cm="1">
        <f t="array" ref="O79">MIN(IF((OutputTable[GroupByKey]=OutputTable[[#This Row],[GroupByKey]]),(OutputTable[GroupByKey]=OutputTable[[#This Row],[GroupByKey]])*OutputTable[RecordedValue]))</f>
        <v>202</v>
      </c>
      <c r="P79" cm="1">
        <f t="array" ref="P79">MAX(IF((OutputTable[GroupByKey]=OutputTable[[#This Row],[GroupByKey]]),(OutputTable[GroupByKey]=OutputTable[[#This Row],[GroupByKey]])*OutputTable[RecordedValue]))</f>
        <v>264</v>
      </c>
    </row>
    <row r="80" spans="1:16" x14ac:dyDescent="0.3">
      <c r="A80" t="s">
        <v>66</v>
      </c>
      <c r="B80" t="s">
        <v>68</v>
      </c>
      <c r="C80">
        <v>4</v>
      </c>
      <c r="D80" t="s">
        <v>129</v>
      </c>
      <c r="E80" t="s">
        <v>123</v>
      </c>
      <c r="F80" t="s">
        <v>103</v>
      </c>
      <c r="G80">
        <v>0.82581624655093899</v>
      </c>
      <c r="H80">
        <v>0</v>
      </c>
      <c r="I80" t="str">
        <f>OutputTable[[#This Row],[ProjectName]]&amp;OutputTable[[#This Row],[Name]]&amp;OutputTable[[#This Row],[Type]]&amp;OutputTable[[#This Row],[Source]]</f>
        <v>Unnamed ProjectNacionalauto.ScheduledUtilizationScheduled UtilizationResource</v>
      </c>
      <c r="J80" cm="1">
        <f t="array" ref="J80">MAX(IF((ProjectInfoTable[ProjectName]=OutputTable[[#This Row],[ProjectName]]),(ProjectInfoTable[ProjectName]=OutputTable[[#This Row],[ProjectName]])*ProjectInfoTable[NumberOfReplications]))</f>
        <v>10</v>
      </c>
      <c r="K80" cm="1">
        <f t="array" ref="K80">IFERROR(AVERAGE(IF((OutputTable[GroupByKey]=OutputTable[[#This Row],[GroupByKey]]),(OutputTable[GroupByKey]=OutputTable[[#This Row],[GroupByKey]])*OutputTable[RecordedValue])),0)</f>
        <v>0.73175058451933661</v>
      </c>
      <c r="L80" cm="1">
        <f t="array" ref="L80">IFERROR(_xlfn.STDEV.S(IF((OutputTable[GroupByKey]=OutputTable[[#This Row],[GroupByKey]]),(OutputTable[GroupByKey]=OutputTable[[#This Row],[GroupByKey]])*OutputTable[RecordedValue])),0)</f>
        <v>6.0813477412386734E-2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4.3503341043041877E-2</v>
      </c>
      <c r="O80" cm="1">
        <f t="array" ref="O80">MIN(IF((OutputTable[GroupByKey]=OutputTable[[#This Row],[GroupByKey]]),(OutputTable[GroupByKey]=OutputTable[[#This Row],[GroupByKey]])*OutputTable[RecordedValue]))</f>
        <v>0.64995347349336796</v>
      </c>
      <c r="P80" cm="1">
        <f t="array" ref="P80">MAX(IF((OutputTable[GroupByKey]=OutputTable[[#This Row],[GroupByKey]]),(OutputTable[GroupByKey]=OutputTable[[#This Row],[GroupByKey]])*OutputTable[RecordedValue]))</f>
        <v>0.82581624655093899</v>
      </c>
    </row>
    <row r="81" spans="1:16" x14ac:dyDescent="0.3">
      <c r="A81" t="s">
        <v>66</v>
      </c>
      <c r="B81" t="s">
        <v>68</v>
      </c>
      <c r="C81">
        <v>4</v>
      </c>
      <c r="D81" t="s">
        <v>130</v>
      </c>
      <c r="E81" t="s">
        <v>121</v>
      </c>
      <c r="F81" t="s">
        <v>103</v>
      </c>
      <c r="G81">
        <v>394</v>
      </c>
      <c r="H81">
        <v>0</v>
      </c>
      <c r="I81" t="str">
        <f>OutputTable[[#This Row],[ProjectName]]&amp;OutputTable[[#This Row],[Name]]&amp;OutputTable[[#This Row],[Type]]&amp;OutputTable[[#This Row],[Source]]</f>
        <v>Unnamed ProjectOperarios Avion.NumberSeizedTotal Number SeizedResource</v>
      </c>
      <c r="J81" cm="1">
        <f t="array" ref="J81">MAX(IF((ProjectInfoTable[ProjectName]=OutputTable[[#This Row],[ProjectName]]),(ProjectInfoTable[ProjectName]=OutputTable[[#This Row],[ProjectName]])*ProjectInfoTable[NumberOfReplications]))</f>
        <v>10</v>
      </c>
      <c r="K81" cm="1">
        <f t="array" ref="K81">IFERROR(AVERAGE(IF((OutputTable[GroupByKey]=OutputTable[[#This Row],[GroupByKey]]),(OutputTable[GroupByKey]=OutputTable[[#This Row],[GroupByKey]])*OutputTable[RecordedValue])),0)</f>
        <v>368.6</v>
      </c>
      <c r="L81" cm="1">
        <f t="array" ref="L81">IFERROR(_xlfn.STDEV.S(IF((OutputTable[GroupByKey]=OutputTable[[#This Row],[GroupByKey]]),(OutputTable[GroupByKey]=OutputTable[[#This Row],[GroupByKey]])*OutputTable[RecordedValue])),0)</f>
        <v>29.243042857328572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20.919212659586112</v>
      </c>
      <c r="O81" cm="1">
        <f t="array" ref="O81">MIN(IF((OutputTable[GroupByKey]=OutputTable[[#This Row],[GroupByKey]]),(OutputTable[GroupByKey]=OutputTable[[#This Row],[GroupByKey]])*OutputTable[RecordedValue]))</f>
        <v>338</v>
      </c>
      <c r="P81" cm="1">
        <f t="array" ref="P81">MAX(IF((OutputTable[GroupByKey]=OutputTable[[#This Row],[GroupByKey]]),(OutputTable[GroupByKey]=OutputTable[[#This Row],[GroupByKey]])*OutputTable[RecordedValue]))</f>
        <v>416</v>
      </c>
    </row>
    <row r="82" spans="1:16" x14ac:dyDescent="0.3">
      <c r="A82" t="s">
        <v>66</v>
      </c>
      <c r="B82" t="s">
        <v>68</v>
      </c>
      <c r="C82">
        <v>4</v>
      </c>
      <c r="D82" t="s">
        <v>131</v>
      </c>
      <c r="E82" t="s">
        <v>123</v>
      </c>
      <c r="F82" t="s">
        <v>103</v>
      </c>
      <c r="G82">
        <v>7.5664719476007503E-2</v>
      </c>
      <c r="H82">
        <v>0</v>
      </c>
      <c r="I82" t="str">
        <f>OutputTable[[#This Row],[ProjectName]]&amp;OutputTable[[#This Row],[Name]]&amp;OutputTable[[#This Row],[Type]]&amp;OutputTable[[#This Row],[Source]]</f>
        <v>Unnamed ProjectOperarios Avion.ScheduledUtilizationScheduled UtilizationResource</v>
      </c>
      <c r="J82" cm="1">
        <f t="array" ref="J82">MAX(IF((ProjectInfoTable[ProjectName]=OutputTable[[#This Row],[ProjectName]]),(ProjectInfoTable[ProjectName]=OutputTable[[#This Row],[ProjectName]])*ProjectInfoTable[NumberOfReplications]))</f>
        <v>10</v>
      </c>
      <c r="K82" cm="1">
        <f t="array" ref="K82">IFERROR(AVERAGE(IF((OutputTable[GroupByKey]=OutputTable[[#This Row],[GroupByKey]]),(OutputTable[GroupByKey]=OutputTable[[#This Row],[GroupByKey]])*OutputTable[RecordedValue])),0)</f>
        <v>7.5958437118625627E-2</v>
      </c>
      <c r="L82" cm="1">
        <f t="array" ref="L82">IFERROR(_xlfn.STDEV.S(IF((OutputTable[GroupByKey]=OutputTable[[#This Row],[GroupByKey]]),(OutputTable[GroupByKey]=OutputTable[[#This Row],[GroupByKey]])*OutputTable[RecordedValue])),0)</f>
        <v>5.0572810112240948E-3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3.6177608968134627E-3</v>
      </c>
      <c r="O82" cm="1">
        <f t="array" ref="O82">MIN(IF((OutputTable[GroupByKey]=OutputTable[[#This Row],[GroupByKey]]),(OutputTable[GroupByKey]=OutputTable[[#This Row],[GroupByKey]])*OutputTable[RecordedValue]))</f>
        <v>6.7485948117393404E-2</v>
      </c>
      <c r="P82" cm="1">
        <f t="array" ref="P82">MAX(IF((OutputTable[GroupByKey]=OutputTable[[#This Row],[GroupByKey]]),(OutputTable[GroupByKey]=OutputTable[[#This Row],[GroupByKey]])*OutputTable[RecordedValue]))</f>
        <v>8.7852447587946303E-2</v>
      </c>
    </row>
    <row r="83" spans="1:16" x14ac:dyDescent="0.3">
      <c r="A83" t="s">
        <v>66</v>
      </c>
      <c r="B83" t="s">
        <v>68</v>
      </c>
      <c r="C83">
        <v>4</v>
      </c>
      <c r="D83" t="s">
        <v>132</v>
      </c>
      <c r="E83" t="s">
        <v>119</v>
      </c>
      <c r="F83" t="s">
        <v>133</v>
      </c>
      <c r="G83">
        <v>721</v>
      </c>
      <c r="H83">
        <v>0</v>
      </c>
      <c r="I83" t="str">
        <f>OutputTable[[#This Row],[ProjectName]]&amp;OutputTable[[#This Row],[Name]]&amp;OutputTable[[#This Row],[Type]]&amp;OutputTable[[#This Row],[Source]]</f>
        <v>Unnamed ProjectSystem.NumberOutNumber OutSystem</v>
      </c>
      <c r="J83" cm="1">
        <f t="array" ref="J83">MAX(IF((ProjectInfoTable[ProjectName]=OutputTable[[#This Row],[ProjectName]]),(ProjectInfoTable[ProjectName]=OutputTable[[#This Row],[ProjectName]])*ProjectInfoTable[NumberOfReplications]))</f>
        <v>10</v>
      </c>
      <c r="K83" cm="1">
        <f t="array" ref="K83">IFERROR(AVERAGE(IF((OutputTable[GroupByKey]=OutputTable[[#This Row],[GroupByKey]]),(OutputTable[GroupByKey]=OutputTable[[#This Row],[GroupByKey]])*OutputTable[RecordedValue])),0)</f>
        <v>653</v>
      </c>
      <c r="L83" cm="1">
        <f t="array" ref="L83">IFERROR(_xlfn.STDEV.S(IF((OutputTable[GroupByKey]=OutputTable[[#This Row],[GroupByKey]]),(OutputTable[GroupByKey]=OutputTable[[#This Row],[GroupByKey]])*OutputTable[RecordedValue])),0)</f>
        <v>50.066622281382898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35.815504007612013</v>
      </c>
      <c r="O83" cm="1">
        <f t="array" ref="O83">MIN(IF((OutputTable[GroupByKey]=OutputTable[[#This Row],[GroupByKey]]),(OutputTable[GroupByKey]=OutputTable[[#This Row],[GroupByKey]])*OutputTable[RecordedValue]))</f>
        <v>594</v>
      </c>
      <c r="P83" cm="1">
        <f t="array" ref="P83">MAX(IF((OutputTable[GroupByKey]=OutputTable[[#This Row],[GroupByKey]]),(OutputTable[GroupByKey]=OutputTable[[#This Row],[GroupByKey]])*OutputTable[RecordedValue]))</f>
        <v>722</v>
      </c>
    </row>
    <row r="84" spans="1:16" x14ac:dyDescent="0.3">
      <c r="A84" t="s">
        <v>66</v>
      </c>
      <c r="B84" t="s">
        <v>68</v>
      </c>
      <c r="C84">
        <v>4</v>
      </c>
      <c r="D84" t="s">
        <v>134</v>
      </c>
      <c r="E84" t="s">
        <v>121</v>
      </c>
      <c r="F84" t="s">
        <v>103</v>
      </c>
      <c r="G84">
        <v>119</v>
      </c>
      <c r="H84">
        <v>0</v>
      </c>
      <c r="I84" t="str">
        <f>OutputTable[[#This Row],[ProjectName]]&amp;OutputTable[[#This Row],[Name]]&amp;OutputTable[[#This Row],[Type]]&amp;OutputTable[[#This Row],[Source]]</f>
        <v>Unnamed Projectcajera.NumberSeizedTotal Number SeizedResource</v>
      </c>
      <c r="J84" cm="1">
        <f t="array" ref="J84">MAX(IF((ProjectInfoTable[ProjectName]=OutputTable[[#This Row],[ProjectName]]),(ProjectInfoTable[ProjectName]=OutputTable[[#This Row],[ProjectName]])*ProjectInfoTable[NumberOfReplications]))</f>
        <v>10</v>
      </c>
      <c r="K84" cm="1">
        <f t="array" ref="K84">IFERROR(AVERAGE(IF((OutputTable[GroupByKey]=OutputTable[[#This Row],[GroupByKey]]),(OutputTable[GroupByKey]=OutputTable[[#This Row],[GroupByKey]])*OutputTable[RecordedValue])),0)</f>
        <v>89.7</v>
      </c>
      <c r="L84" cm="1">
        <f t="array" ref="L84">IFERROR(_xlfn.STDEV.S(IF((OutputTable[GroupByKey]=OutputTable[[#This Row],[GroupByKey]]),(OutputTable[GroupByKey]=OutputTable[[#This Row],[GroupByKey]])*OutputTable[RecordedValue])),0)</f>
        <v>15.3554188770248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10.984604937751998</v>
      </c>
      <c r="O84" cm="1">
        <f t="array" ref="O84">MIN(IF((OutputTable[GroupByKey]=OutputTable[[#This Row],[GroupByKey]]),(OutputTable[GroupByKey]=OutputTable[[#This Row],[GroupByKey]])*OutputTable[RecordedValue]))</f>
        <v>72</v>
      </c>
      <c r="P84" cm="1">
        <f t="array" ref="P84">MAX(IF((OutputTable[GroupByKey]=OutputTable[[#This Row],[GroupByKey]]),(OutputTable[GroupByKey]=OutputTable[[#This Row],[GroupByKey]])*OutputTable[RecordedValue]))</f>
        <v>119</v>
      </c>
    </row>
    <row r="85" spans="1:16" x14ac:dyDescent="0.3">
      <c r="A85" t="s">
        <v>66</v>
      </c>
      <c r="B85" t="s">
        <v>68</v>
      </c>
      <c r="C85">
        <v>4</v>
      </c>
      <c r="D85" t="s">
        <v>135</v>
      </c>
      <c r="E85" t="s">
        <v>123</v>
      </c>
      <c r="F85" t="s">
        <v>103</v>
      </c>
      <c r="G85">
        <v>0.46134650546047301</v>
      </c>
      <c r="H85">
        <v>0</v>
      </c>
      <c r="I85" t="str">
        <f>OutputTable[[#This Row],[ProjectName]]&amp;OutputTable[[#This Row],[Name]]&amp;OutputTable[[#This Row],[Type]]&amp;OutputTable[[#This Row],[Source]]</f>
        <v>Unnamed Projectcajera.ScheduledUtilizationScheduled UtilizationResource</v>
      </c>
      <c r="J85" cm="1">
        <f t="array" ref="J85">MAX(IF((ProjectInfoTable[ProjectName]=OutputTable[[#This Row],[ProjectName]]),(ProjectInfoTable[ProjectName]=OutputTable[[#This Row],[ProjectName]])*ProjectInfoTable[NumberOfReplications]))</f>
        <v>10</v>
      </c>
      <c r="K85" cm="1">
        <f t="array" ref="K85">IFERROR(AVERAGE(IF((OutputTable[GroupByKey]=OutputTable[[#This Row],[GroupByKey]]),(OutputTable[GroupByKey]=OutputTable[[#This Row],[GroupByKey]])*OutputTable[RecordedValue])),0)</f>
        <v>0.38078385056341441</v>
      </c>
      <c r="L85" cm="1">
        <f t="array" ref="L85">IFERROR(_xlfn.STDEV.S(IF((OutputTable[GroupByKey]=OutputTable[[#This Row],[GroupByKey]]),(OutputTable[GroupByKey]=OutputTable[[#This Row],[GroupByKey]])*OutputTable[RecordedValue])),0)</f>
        <v>5.6481911326734656E-2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4.040472533000234E-2</v>
      </c>
      <c r="O85" cm="1">
        <f t="array" ref="O85">MIN(IF((OutputTable[GroupByKey]=OutputTable[[#This Row],[GroupByKey]]),(OutputTable[GroupByKey]=OutputTable[[#This Row],[GroupByKey]])*OutputTable[RecordedValue]))</f>
        <v>0.28913636698845602</v>
      </c>
      <c r="P85" cm="1">
        <f t="array" ref="P85">MAX(IF((OutputTable[GroupByKey]=OutputTable[[#This Row],[GroupByKey]]),(OutputTable[GroupByKey]=OutputTable[[#This Row],[GroupByKey]])*OutputTable[RecordedValue]))</f>
        <v>0.46134650546047301</v>
      </c>
    </row>
    <row r="86" spans="1:16" x14ac:dyDescent="0.3">
      <c r="A86" t="s">
        <v>66</v>
      </c>
      <c r="B86" t="s">
        <v>68</v>
      </c>
      <c r="C86">
        <v>4</v>
      </c>
      <c r="D86" t="s">
        <v>136</v>
      </c>
      <c r="E86" t="s">
        <v>121</v>
      </c>
      <c r="F86" t="s">
        <v>103</v>
      </c>
      <c r="G86">
        <v>190</v>
      </c>
      <c r="H86">
        <v>0</v>
      </c>
      <c r="I86" t="str">
        <f>OutputTable[[#This Row],[ProjectName]]&amp;OutputTable[[#This Row],[Name]]&amp;OutputTable[[#This Row],[Type]]&amp;OutputTable[[#This Row],[Source]]</f>
        <v>Unnamed Projectcajera2.NumberSeizedTotal Number SeizedResource</v>
      </c>
      <c r="J86" cm="1">
        <f t="array" ref="J86">MAX(IF((ProjectInfoTable[ProjectName]=OutputTable[[#This Row],[ProjectName]]),(ProjectInfoTable[ProjectName]=OutputTable[[#This Row],[ProjectName]])*ProjectInfoTable[NumberOfReplications]))</f>
        <v>10</v>
      </c>
      <c r="K86" cm="1">
        <f t="array" ref="K86">IFERROR(AVERAGE(IF((OutputTable[GroupByKey]=OutputTable[[#This Row],[GroupByKey]]),(OutputTable[GroupByKey]=OutputTable[[#This Row],[GroupByKey]])*OutputTable[RecordedValue])),0)</f>
        <v>181.1</v>
      </c>
      <c r="L86" cm="1">
        <f t="array" ref="L86">IFERROR(_xlfn.STDEV.S(IF((OutputTable[GroupByKey]=OutputTable[[#This Row],[GroupByKey]]),(OutputTable[GroupByKey]=OutputTable[[#This Row],[GroupByKey]])*OutputTable[RecordedValue])),0)</f>
        <v>9.7348172384830463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6.9638687399111214</v>
      </c>
      <c r="O86" cm="1">
        <f t="array" ref="O86">MIN(IF((OutputTable[GroupByKey]=OutputTable[[#This Row],[GroupByKey]]),(OutputTable[GroupByKey]=OutputTable[[#This Row],[GroupByKey]])*OutputTable[RecordedValue]))</f>
        <v>169</v>
      </c>
      <c r="P86" cm="1">
        <f t="array" ref="P86">MAX(IF((OutputTable[GroupByKey]=OutputTable[[#This Row],[GroupByKey]]),(OutputTable[GroupByKey]=OutputTable[[#This Row],[GroupByKey]])*OutputTable[RecordedValue]))</f>
        <v>194</v>
      </c>
    </row>
    <row r="87" spans="1:16" x14ac:dyDescent="0.3">
      <c r="A87" t="s">
        <v>66</v>
      </c>
      <c r="B87" t="s">
        <v>68</v>
      </c>
      <c r="C87">
        <v>4</v>
      </c>
      <c r="D87" t="s">
        <v>137</v>
      </c>
      <c r="E87" t="s">
        <v>123</v>
      </c>
      <c r="F87" t="s">
        <v>103</v>
      </c>
      <c r="G87">
        <v>0.77845968782647601</v>
      </c>
      <c r="H87">
        <v>0</v>
      </c>
      <c r="I87" t="str">
        <f>OutputTable[[#This Row],[ProjectName]]&amp;OutputTable[[#This Row],[Name]]&amp;OutputTable[[#This Row],[Type]]&amp;OutputTable[[#This Row],[Source]]</f>
        <v>Unnamed Projectcajera2.ScheduledUtilizationScheduled UtilizationResource</v>
      </c>
      <c r="J87" cm="1">
        <f t="array" ref="J87">MAX(IF((ProjectInfoTable[ProjectName]=OutputTable[[#This Row],[ProjectName]]),(ProjectInfoTable[ProjectName]=OutputTable[[#This Row],[ProjectName]])*ProjectInfoTable[NumberOfReplications]))</f>
        <v>10</v>
      </c>
      <c r="K87" cm="1">
        <f t="array" ref="K87">IFERROR(AVERAGE(IF((OutputTable[GroupByKey]=OutputTable[[#This Row],[GroupByKey]]),(OutputTable[GroupByKey]=OutputTable[[#This Row],[GroupByKey]])*OutputTable[RecordedValue])),0)</f>
        <v>0.73571117943508912</v>
      </c>
      <c r="L87" cm="1">
        <f t="array" ref="L87">IFERROR(_xlfn.STDEV.S(IF((OutputTable[GroupByKey]=OutputTable[[#This Row],[GroupByKey]]),(OutputTable[GroupByKey]=OutputTable[[#This Row],[GroupByKey]])*OutputTable[RecordedValue])),0)</f>
        <v>2.3945213257811505E-2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1.7129373668915777E-2</v>
      </c>
      <c r="O87" cm="1">
        <f t="array" ref="O87">MIN(IF((OutputTable[GroupByKey]=OutputTable[[#This Row],[GroupByKey]]),(OutputTable[GroupByKey]=OutputTable[[#This Row],[GroupByKey]])*OutputTable[RecordedValue]))</f>
        <v>0.69752119636771104</v>
      </c>
      <c r="P87" cm="1">
        <f t="array" ref="P87">MAX(IF((OutputTable[GroupByKey]=OutputTable[[#This Row],[GroupByKey]]),(OutputTable[GroupByKey]=OutputTable[[#This Row],[GroupByKey]])*OutputTable[RecordedValue]))</f>
        <v>0.77845968782647601</v>
      </c>
    </row>
    <row r="88" spans="1:16" x14ac:dyDescent="0.3">
      <c r="A88" t="s">
        <v>66</v>
      </c>
      <c r="B88" t="s">
        <v>68</v>
      </c>
      <c r="C88">
        <v>4</v>
      </c>
      <c r="D88" t="s">
        <v>138</v>
      </c>
      <c r="E88" t="s">
        <v>117</v>
      </c>
      <c r="F88" t="s">
        <v>74</v>
      </c>
      <c r="G88">
        <v>0</v>
      </c>
      <c r="H88">
        <v>0</v>
      </c>
      <c r="I88" t="str">
        <f>OutputTable[[#This Row],[ProjectName]]&amp;OutputTable[[#This Row],[Name]]&amp;OutputTable[[#This Row],[Type]]&amp;OutputTable[[#This Row],[Source]]</f>
        <v>Unnamed Projectpersona.NumberInNumber InEntity</v>
      </c>
      <c r="J88" cm="1">
        <f t="array" ref="J88">MAX(IF((ProjectInfoTable[ProjectName]=OutputTable[[#This Row],[ProjectName]]),(ProjectInfoTable[ProjectName]=OutputTable[[#This Row],[ProjectName]])*ProjectInfoTable[NumberOfReplications]))</f>
        <v>10</v>
      </c>
      <c r="K88" cm="1">
        <f t="array" ref="K88">IFERROR(AVERAGE(IF((OutputTable[GroupByKey]=OutputTable[[#This Row],[GroupByKey]]),(OutputTable[GroupByKey]=OutputTable[[#This Row],[GroupByKey]])*OutputTable[RecordedValue])),0)</f>
        <v>0</v>
      </c>
      <c r="L88" cm="1">
        <f t="array" ref="L88">IFERROR(_xlfn.STDEV.S(IF((OutputTable[GroupByKey]=OutputTable[[#This Row],[GroupByKey]]),(OutputTable[GroupByKey]=OutputTable[[#This Row],[GroupByKey]])*OutputTable[RecordedValue])),0)</f>
        <v>0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8" cm="1">
        <f t="array" ref="O88">MIN(IF((OutputTable[GroupByKey]=OutputTable[[#This Row],[GroupByKey]]),(OutputTable[GroupByKey]=OutputTable[[#This Row],[GroupByKey]])*OutputTable[RecordedValue]))</f>
        <v>0</v>
      </c>
      <c r="P88" cm="1">
        <f t="array" ref="P88">MAX(IF((OutputTable[GroupByKey]=OutputTable[[#This Row],[GroupByKey]]),(OutputTable[GroupByKey]=OutputTable[[#This Row],[GroupByKey]])*OutputTable[RecordedValue]))</f>
        <v>0</v>
      </c>
    </row>
    <row r="89" spans="1:16" x14ac:dyDescent="0.3">
      <c r="A89" t="s">
        <v>66</v>
      </c>
      <c r="B89" t="s">
        <v>68</v>
      </c>
      <c r="C89">
        <v>4</v>
      </c>
      <c r="D89" t="s">
        <v>139</v>
      </c>
      <c r="E89" t="s">
        <v>119</v>
      </c>
      <c r="F89" t="s">
        <v>74</v>
      </c>
      <c r="G89">
        <v>0</v>
      </c>
      <c r="H89">
        <v>0</v>
      </c>
      <c r="I89" t="str">
        <f>OutputTable[[#This Row],[ProjectName]]&amp;OutputTable[[#This Row],[Name]]&amp;OutputTable[[#This Row],[Type]]&amp;OutputTable[[#This Row],[Source]]</f>
        <v>Unnamed Projectpersona.NumberOutNumber OutEntity</v>
      </c>
      <c r="J89" cm="1">
        <f t="array" ref="J89">MAX(IF((ProjectInfoTable[ProjectName]=OutputTable[[#This Row],[ProjectName]]),(ProjectInfoTable[ProjectName]=OutputTable[[#This Row],[ProjectName]])*ProjectInfoTable[NumberOfReplications]))</f>
        <v>10</v>
      </c>
      <c r="K89" cm="1">
        <f t="array" ref="K89">IFERROR(AVERAGE(IF((OutputTable[GroupByKey]=OutputTable[[#This Row],[GroupByKey]]),(OutputTable[GroupByKey]=OutputTable[[#This Row],[GroupByKey]])*OutputTable[RecordedValue])),0)</f>
        <v>0</v>
      </c>
      <c r="L89" cm="1">
        <f t="array" ref="L89">IFERROR(_xlfn.STDEV.S(IF((OutputTable[GroupByKey]=OutputTable[[#This Row],[GroupByKey]]),(OutputTable[GroupByKey]=OutputTable[[#This Row],[GroupByKey]])*OutputTable[RecordedValue])),0)</f>
        <v>0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9" cm="1">
        <f t="array" ref="O89">MIN(IF((OutputTable[GroupByKey]=OutputTable[[#This Row],[GroupByKey]]),(OutputTable[GroupByKey]=OutputTable[[#This Row],[GroupByKey]])*OutputTable[RecordedValue]))</f>
        <v>0</v>
      </c>
      <c r="P89" cm="1">
        <f t="array" ref="P89">MAX(IF((OutputTable[GroupByKey]=OutputTable[[#This Row],[GroupByKey]]),(OutputTable[GroupByKey]=OutputTable[[#This Row],[GroupByKey]])*OutputTable[RecordedValue]))</f>
        <v>0</v>
      </c>
    </row>
    <row r="90" spans="1:16" x14ac:dyDescent="0.3">
      <c r="A90" t="s">
        <v>66</v>
      </c>
      <c r="B90" t="s">
        <v>68</v>
      </c>
      <c r="C90">
        <v>4</v>
      </c>
      <c r="D90" t="s">
        <v>140</v>
      </c>
      <c r="E90" t="s">
        <v>121</v>
      </c>
      <c r="F90" t="s">
        <v>103</v>
      </c>
      <c r="G90">
        <v>10</v>
      </c>
      <c r="H90">
        <v>0</v>
      </c>
      <c r="I90" t="str">
        <f>OutputTable[[#This Row],[ProjectName]]&amp;OutputTable[[#This Row],[Name]]&amp;OutputTable[[#This Row],[Type]]&amp;OutputTable[[#This Row],[Source]]</f>
        <v>Unnamed Projectregistro1.NumberSeizedTotal Number SeizedResource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10</v>
      </c>
      <c r="K90" cm="1">
        <f t="array" ref="K90">IFERROR(AVERAGE(IF((OutputTable[GroupByKey]=OutputTable[[#This Row],[GroupByKey]]),(OutputTable[GroupByKey]=OutputTable[[#This Row],[GroupByKey]])*OutputTable[RecordedValue])),0)</f>
        <v>7.6</v>
      </c>
      <c r="L90" cm="1">
        <f t="array" ref="L90">IFERROR(_xlfn.STDEV.S(IF((OutputTable[GroupByKey]=OutputTable[[#This Row],[GroupByKey]]),(OutputTable[GroupByKey]=OutputTable[[#This Row],[GroupByKey]])*OutputTable[RecordedValue])),0)</f>
        <v>2.9135697844549542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2.0842422663373124</v>
      </c>
      <c r="O90" cm="1">
        <f t="array" ref="O90">MIN(IF((OutputTable[GroupByKey]=OutputTable[[#This Row],[GroupByKey]]),(OutputTable[GroupByKey]=OutputTable[[#This Row],[GroupByKey]])*OutputTable[RecordedValue]))</f>
        <v>4</v>
      </c>
      <c r="P90" cm="1">
        <f t="array" ref="P90">MAX(IF((OutputTable[GroupByKey]=OutputTable[[#This Row],[GroupByKey]]),(OutputTable[GroupByKey]=OutputTable[[#This Row],[GroupByKey]])*OutputTable[RecordedValue]))</f>
        <v>12</v>
      </c>
    </row>
    <row r="91" spans="1:16" x14ac:dyDescent="0.3">
      <c r="A91" t="s">
        <v>66</v>
      </c>
      <c r="B91" t="s">
        <v>68</v>
      </c>
      <c r="C91">
        <v>4</v>
      </c>
      <c r="D91" t="s">
        <v>141</v>
      </c>
      <c r="E91" t="s">
        <v>123</v>
      </c>
      <c r="F91" t="s">
        <v>103</v>
      </c>
      <c r="G91">
        <v>8.6750307062005094E-2</v>
      </c>
      <c r="H91">
        <v>0</v>
      </c>
      <c r="I91" t="str">
        <f>OutputTable[[#This Row],[ProjectName]]&amp;OutputTable[[#This Row],[Name]]&amp;OutputTable[[#This Row],[Type]]&amp;OutputTable[[#This Row],[Source]]</f>
        <v>Unnamed Projectregistro1.ScheduledUtilizationScheduled UtilizationResource</v>
      </c>
      <c r="J91" cm="1">
        <f t="array" ref="J91">MAX(IF((ProjectInfoTable[ProjectName]=OutputTable[[#This Row],[ProjectName]]),(ProjectInfoTable[ProjectName]=OutputTable[[#This Row],[ProjectName]])*ProjectInfoTable[NumberOfReplications]))</f>
        <v>10</v>
      </c>
      <c r="K91" cm="1">
        <f t="array" ref="K91">IFERROR(AVERAGE(IF((OutputTable[GroupByKey]=OutputTable[[#This Row],[GroupByKey]]),(OutputTable[GroupByKey]=OutputTable[[#This Row],[GroupByKey]])*OutputTable[RecordedValue])),0)</f>
        <v>5.6433247648491516E-2</v>
      </c>
      <c r="L91" cm="1">
        <f t="array" ref="L91">IFERROR(_xlfn.STDEV.S(IF((OutputTable[GroupByKey]=OutputTable[[#This Row],[GroupByKey]]),(OutputTable[GroupByKey]=OutputTable[[#This Row],[GroupByKey]])*OutputTable[RecordedValue])),0)</f>
        <v>2.4456082934732001E-2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1.7494827820351853E-2</v>
      </c>
      <c r="O91" cm="1">
        <f t="array" ref="O91">MIN(IF((OutputTable[GroupByKey]=OutputTable[[#This Row],[GroupByKey]]),(OutputTable[GroupByKey]=OutputTable[[#This Row],[GroupByKey]])*OutputTable[RecordedValue]))</f>
        <v>2.1279401430778E-2</v>
      </c>
      <c r="P91" cm="1">
        <f t="array" ref="P91">MAX(IF((OutputTable[GroupByKey]=OutputTable[[#This Row],[GroupByKey]]),(OutputTable[GroupByKey]=OutputTable[[#This Row],[GroupByKey]])*OutputTable[RecordedValue]))</f>
        <v>8.8472374570180701E-2</v>
      </c>
    </row>
    <row r="92" spans="1:16" x14ac:dyDescent="0.3">
      <c r="A92" t="s">
        <v>66</v>
      </c>
      <c r="B92" t="s">
        <v>68</v>
      </c>
      <c r="C92">
        <v>4</v>
      </c>
      <c r="D92" t="s">
        <v>142</v>
      </c>
      <c r="E92" t="s">
        <v>121</v>
      </c>
      <c r="F92" t="s">
        <v>103</v>
      </c>
      <c r="G92">
        <v>21</v>
      </c>
      <c r="H92">
        <v>0</v>
      </c>
      <c r="I92" t="str">
        <f>OutputTable[[#This Row],[ProjectName]]&amp;OutputTable[[#This Row],[Name]]&amp;OutputTable[[#This Row],[Type]]&amp;OutputTable[[#This Row],[Source]]</f>
        <v>Unnamed Projectregistro2.NumberSeizedTotal Number SeizedResource</v>
      </c>
      <c r="J92" cm="1">
        <f t="array" ref="J92">MAX(IF((ProjectInfoTable[ProjectName]=OutputTable[[#This Row],[ProjectName]]),(ProjectInfoTable[ProjectName]=OutputTable[[#This Row],[ProjectName]])*ProjectInfoTable[NumberOfReplications]))</f>
        <v>10</v>
      </c>
      <c r="K92" cm="1">
        <f t="array" ref="K92">IFERROR(AVERAGE(IF((OutputTable[GroupByKey]=OutputTable[[#This Row],[GroupByKey]]),(OutputTable[GroupByKey]=OutputTable[[#This Row],[GroupByKey]])*OutputTable[RecordedValue])),0)</f>
        <v>18.8</v>
      </c>
      <c r="L92" cm="1">
        <f t="array" ref="L92">IFERROR(_xlfn.STDEV.S(IF((OutputTable[GroupByKey]=OutputTable[[#This Row],[GroupByKey]]),(OutputTable[GroupByKey]=OutputTable[[#This Row],[GroupByKey]])*OutputTable[RecordedValue])),0)</f>
        <v>2.8205594401741556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2.0177066742293341</v>
      </c>
      <c r="O92" cm="1">
        <f t="array" ref="O92">MIN(IF((OutputTable[GroupByKey]=OutputTable[[#This Row],[GroupByKey]]),(OutputTable[GroupByKey]=OutputTable[[#This Row],[GroupByKey]])*OutputTable[RecordedValue]))</f>
        <v>14</v>
      </c>
      <c r="P92" cm="1">
        <f t="array" ref="P92">MAX(IF((OutputTable[GroupByKey]=OutputTable[[#This Row],[GroupByKey]]),(OutputTable[GroupByKey]=OutputTable[[#This Row],[GroupByKey]])*OutputTable[RecordedValue]))</f>
        <v>24</v>
      </c>
    </row>
    <row r="93" spans="1:16" x14ac:dyDescent="0.3">
      <c r="A93" t="s">
        <v>66</v>
      </c>
      <c r="B93" t="s">
        <v>68</v>
      </c>
      <c r="C93">
        <v>4</v>
      </c>
      <c r="D93" t="s">
        <v>143</v>
      </c>
      <c r="E93" t="s">
        <v>123</v>
      </c>
      <c r="F93" t="s">
        <v>103</v>
      </c>
      <c r="G93">
        <v>0.49903677354296999</v>
      </c>
      <c r="H93">
        <v>0</v>
      </c>
      <c r="I93" t="str">
        <f>OutputTable[[#This Row],[ProjectName]]&amp;OutputTable[[#This Row],[Name]]&amp;OutputTable[[#This Row],[Type]]&amp;OutputTable[[#This Row],[Source]]</f>
        <v>Unnamed Projectregistro2.ScheduledUtilizationScheduled UtilizationResource</v>
      </c>
      <c r="J93" cm="1">
        <f t="array" ref="J93">MAX(IF((ProjectInfoTable[ProjectName]=OutputTable[[#This Row],[ProjectName]]),(ProjectInfoTable[ProjectName]=OutputTable[[#This Row],[ProjectName]])*ProjectInfoTable[NumberOfReplications]))</f>
        <v>10</v>
      </c>
      <c r="K93" cm="1">
        <f t="array" ref="K93">IFERROR(AVERAGE(IF((OutputTable[GroupByKey]=OutputTable[[#This Row],[GroupByKey]]),(OutputTable[GroupByKey]=OutputTable[[#This Row],[GroupByKey]])*OutputTable[RecordedValue])),0)</f>
        <v>0.46274808587050231</v>
      </c>
      <c r="L93" cm="1">
        <f t="array" ref="L93">IFERROR(_xlfn.STDEV.S(IF((OutputTable[GroupByKey]=OutputTable[[#This Row],[GroupByKey]]),(OutputTable[GroupByKey]=OutputTable[[#This Row],[GroupByKey]])*OutputTable[RecordedValue])),0)</f>
        <v>9.1165192054027525E-2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6.5215649719990554E-2</v>
      </c>
      <c r="O93" cm="1">
        <f t="array" ref="O93">MIN(IF((OutputTable[GroupByKey]=OutputTable[[#This Row],[GroupByKey]]),(OutputTable[GroupByKey]=OutputTable[[#This Row],[GroupByKey]])*OutputTable[RecordedValue]))</f>
        <v>0.338210899349628</v>
      </c>
      <c r="P93" cm="1">
        <f t="array" ref="P93">MAX(IF((OutputTable[GroupByKey]=OutputTable[[#This Row],[GroupByKey]]),(OutputTable[GroupByKey]=OutputTable[[#This Row],[GroupByKey]])*OutputTable[RecordedValue]))</f>
        <v>0.66990172486561195</v>
      </c>
    </row>
    <row r="94" spans="1:16" x14ac:dyDescent="0.3">
      <c r="A94" t="s">
        <v>66</v>
      </c>
      <c r="B94" t="s">
        <v>68</v>
      </c>
      <c r="C94">
        <v>5</v>
      </c>
      <c r="D94" t="s">
        <v>116</v>
      </c>
      <c r="E94" t="s">
        <v>117</v>
      </c>
      <c r="F94" t="s">
        <v>74</v>
      </c>
      <c r="G94">
        <v>709</v>
      </c>
      <c r="H94">
        <v>0</v>
      </c>
      <c r="I94" t="str">
        <f>OutputTable[[#This Row],[ProjectName]]&amp;OutputTable[[#This Row],[Name]]&amp;OutputTable[[#This Row],[Type]]&amp;OutputTable[[#This Row],[Source]]</f>
        <v>Unnamed ProjectEntity 1.NumberInNumber InEntity</v>
      </c>
      <c r="J94" cm="1">
        <f t="array" ref="J94">MAX(IF((ProjectInfoTable[ProjectName]=OutputTable[[#This Row],[ProjectName]]),(ProjectInfoTable[ProjectName]=OutputTable[[#This Row],[ProjectName]])*ProjectInfoTable[NumberOfReplications]))</f>
        <v>10</v>
      </c>
      <c r="K94" cm="1">
        <f t="array" ref="K94">IFERROR(AVERAGE(IF((OutputTable[GroupByKey]=OutputTable[[#This Row],[GroupByKey]]),(OutputTable[GroupByKey]=OutputTable[[#This Row],[GroupByKey]])*OutputTable[RecordedValue])),0)</f>
        <v>677.4</v>
      </c>
      <c r="L94" cm="1">
        <f t="array" ref="L94">IFERROR(_xlfn.STDEV.S(IF((OutputTable[GroupByKey]=OutputTable[[#This Row],[GroupByKey]]),(OutputTable[GroupByKey]=OutputTable[[#This Row],[GroupByKey]])*OutputTable[RecordedValue])),0)</f>
        <v>50.383418789209699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36.042126577273301</v>
      </c>
      <c r="O94" cm="1">
        <f t="array" ref="O94">MIN(IF((OutputTable[GroupByKey]=OutputTable[[#This Row],[GroupByKey]]),(OutputTable[GroupByKey]=OutputTable[[#This Row],[GroupByKey]])*OutputTable[RecordedValue]))</f>
        <v>612</v>
      </c>
      <c r="P94" cm="1">
        <f t="array" ref="P94">MAX(IF((OutputTable[GroupByKey]=OutputTable[[#This Row],[GroupByKey]]),(OutputTable[GroupByKey]=OutputTable[[#This Row],[GroupByKey]])*OutputTable[RecordedValue]))</f>
        <v>757</v>
      </c>
    </row>
    <row r="95" spans="1:16" x14ac:dyDescent="0.3">
      <c r="A95" t="s">
        <v>66</v>
      </c>
      <c r="B95" t="s">
        <v>68</v>
      </c>
      <c r="C95">
        <v>5</v>
      </c>
      <c r="D95" t="s">
        <v>118</v>
      </c>
      <c r="E95" t="s">
        <v>119</v>
      </c>
      <c r="F95" t="s">
        <v>74</v>
      </c>
      <c r="G95">
        <v>707</v>
      </c>
      <c r="H95">
        <v>0</v>
      </c>
      <c r="I95" t="str">
        <f>OutputTable[[#This Row],[ProjectName]]&amp;OutputTable[[#This Row],[Name]]&amp;OutputTable[[#This Row],[Type]]&amp;OutputTable[[#This Row],[Source]]</f>
        <v>Unnamed ProjectEntity 1.NumberOutNumber OutEntity</v>
      </c>
      <c r="J95" cm="1">
        <f t="array" ref="J95">MAX(IF((ProjectInfoTable[ProjectName]=OutputTable[[#This Row],[ProjectName]]),(ProjectInfoTable[ProjectName]=OutputTable[[#This Row],[ProjectName]])*ProjectInfoTable[NumberOfReplications]))</f>
        <v>10</v>
      </c>
      <c r="K95" cm="1">
        <f t="array" ref="K95">IFERROR(AVERAGE(IF((OutputTable[GroupByKey]=OutputTable[[#This Row],[GroupByKey]]),(OutputTable[GroupByKey]=OutputTable[[#This Row],[GroupByKey]])*OutputTable[RecordedValue])),0)</f>
        <v>673.8</v>
      </c>
      <c r="L95" cm="1">
        <f t="array" ref="L95">IFERROR(_xlfn.STDEV.S(IF((OutputTable[GroupByKey]=OutputTable[[#This Row],[GroupByKey]]),(OutputTable[GroupByKey]=OutputTable[[#This Row],[GroupByKey]])*OutputTable[RecordedValue])),0)</f>
        <v>51.503613681199326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36.843465729291147</v>
      </c>
      <c r="O95" cm="1">
        <f t="array" ref="O95">MIN(IF((OutputTable[GroupByKey]=OutputTable[[#This Row],[GroupByKey]]),(OutputTable[GroupByKey]=OutputTable[[#This Row],[GroupByKey]])*OutputTable[RecordedValue]))</f>
        <v>608</v>
      </c>
      <c r="P95" cm="1">
        <f t="array" ref="P95">MAX(IF((OutputTable[GroupByKey]=OutputTable[[#This Row],[GroupByKey]]),(OutputTable[GroupByKey]=OutputTable[[#This Row],[GroupByKey]])*OutputTable[RecordedValue]))</f>
        <v>755</v>
      </c>
    </row>
    <row r="96" spans="1:16" x14ac:dyDescent="0.3">
      <c r="A96" t="s">
        <v>66</v>
      </c>
      <c r="B96" t="s">
        <v>68</v>
      </c>
      <c r="C96">
        <v>5</v>
      </c>
      <c r="D96" t="s">
        <v>120</v>
      </c>
      <c r="E96" t="s">
        <v>121</v>
      </c>
      <c r="F96" t="s">
        <v>103</v>
      </c>
      <c r="G96">
        <v>180</v>
      </c>
      <c r="H96">
        <v>0</v>
      </c>
      <c r="I96" t="str">
        <f>OutputTable[[#This Row],[ProjectName]]&amp;OutputTable[[#This Row],[Name]]&amp;OutputTable[[#This Row],[Type]]&amp;OutputTable[[#This Row],[Source]]</f>
        <v>Unnamed ProjectInterauto.NumberSeizedTotal Number SeizedResource</v>
      </c>
      <c r="J96" cm="1">
        <f t="array" ref="J96">MAX(IF((ProjectInfoTable[ProjectName]=OutputTable[[#This Row],[ProjectName]]),(ProjectInfoTable[ProjectName]=OutputTable[[#This Row],[ProjectName]])*ProjectInfoTable[NumberOfReplications]))</f>
        <v>10</v>
      </c>
      <c r="K96" cm="1">
        <f t="array" ref="K96">IFERROR(AVERAGE(IF((OutputTable[GroupByKey]=OutputTable[[#This Row],[GroupByKey]]),(OutputTable[GroupByKey]=OutputTable[[#This Row],[GroupByKey]])*OutputTable[RecordedValue])),0)</f>
        <v>161.5</v>
      </c>
      <c r="L96" cm="1">
        <f t="array" ref="L96">IFERROR(_xlfn.STDEV.S(IF((OutputTable[GroupByKey]=OutputTable[[#This Row],[GroupByKey]]),(OutputTable[GroupByKey]=OutputTable[[#This Row],[GroupByKey]])*OutputTable[RecordedValue])),0)</f>
        <v>13.778001790293589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9.8561887311626997</v>
      </c>
      <c r="O96" cm="1">
        <f t="array" ref="O96">MIN(IF((OutputTable[GroupByKey]=OutputTable[[#This Row],[GroupByKey]]),(OutputTable[GroupByKey]=OutputTable[[#This Row],[GroupByKey]])*OutputTable[RecordedValue]))</f>
        <v>147</v>
      </c>
      <c r="P96" cm="1">
        <f t="array" ref="P96">MAX(IF((OutputTable[GroupByKey]=OutputTable[[#This Row],[GroupByKey]]),(OutputTable[GroupByKey]=OutputTable[[#This Row],[GroupByKey]])*OutputTable[RecordedValue]))</f>
        <v>191</v>
      </c>
    </row>
    <row r="97" spans="1:16" x14ac:dyDescent="0.3">
      <c r="A97" t="s">
        <v>66</v>
      </c>
      <c r="B97" t="s">
        <v>68</v>
      </c>
      <c r="C97">
        <v>5</v>
      </c>
      <c r="D97" t="s">
        <v>122</v>
      </c>
      <c r="E97" t="s">
        <v>123</v>
      </c>
      <c r="F97" t="s">
        <v>103</v>
      </c>
      <c r="G97">
        <v>0.27477476556598701</v>
      </c>
      <c r="H97">
        <v>0</v>
      </c>
      <c r="I97" t="str">
        <f>OutputTable[[#This Row],[ProjectName]]&amp;OutputTable[[#This Row],[Name]]&amp;OutputTable[[#This Row],[Type]]&amp;OutputTable[[#This Row],[Source]]</f>
        <v>Unnamed ProjectInterauto.ScheduledUtilizationScheduled UtilizationResource</v>
      </c>
      <c r="J97" cm="1">
        <f t="array" ref="J97">MAX(IF((ProjectInfoTable[ProjectName]=OutputTable[[#This Row],[ProjectName]]),(ProjectInfoTable[ProjectName]=OutputTable[[#This Row],[ProjectName]])*ProjectInfoTable[NumberOfReplications]))</f>
        <v>10</v>
      </c>
      <c r="K97" cm="1">
        <f t="array" ref="K97">IFERROR(AVERAGE(IF((OutputTable[GroupByKey]=OutputTable[[#This Row],[GroupByKey]]),(OutputTable[GroupByKey]=OutputTable[[#This Row],[GroupByKey]])*OutputTable[RecordedValue])),0)</f>
        <v>0.26535205929836458</v>
      </c>
      <c r="L97" cm="1">
        <f t="array" ref="L97">IFERROR(_xlfn.STDEV.S(IF((OutputTable[GroupByKey]=OutputTable[[#This Row],[GroupByKey]]),(OutputTable[GroupByKey]=OutputTable[[#This Row],[GroupByKey]])*OutputTable[RecordedValue])),0)</f>
        <v>2.5807993647623796E-2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1.8461926485074727E-2</v>
      </c>
      <c r="O97" cm="1">
        <f t="array" ref="O97">MIN(IF((OutputTable[GroupByKey]=OutputTable[[#This Row],[GroupByKey]]),(OutputTable[GroupByKey]=OutputTable[[#This Row],[GroupByKey]])*OutputTable[RecordedValue]))</f>
        <v>0.20483176768320299</v>
      </c>
      <c r="P97" cm="1">
        <f t="array" ref="P97">MAX(IF((OutputTable[GroupByKey]=OutputTable[[#This Row],[GroupByKey]]),(OutputTable[GroupByKey]=OutputTable[[#This Row],[GroupByKey]])*OutputTable[RecordedValue]))</f>
        <v>0.29552077299252399</v>
      </c>
    </row>
    <row r="98" spans="1:16" x14ac:dyDescent="0.3">
      <c r="A98" t="s">
        <v>66</v>
      </c>
      <c r="B98" t="s">
        <v>68</v>
      </c>
      <c r="C98">
        <v>5</v>
      </c>
      <c r="D98" t="s">
        <v>124</v>
      </c>
      <c r="E98" t="s">
        <v>117</v>
      </c>
      <c r="F98" t="s">
        <v>74</v>
      </c>
      <c r="G98">
        <v>245</v>
      </c>
      <c r="H98">
        <v>0</v>
      </c>
      <c r="I98" t="str">
        <f>OutputTable[[#This Row],[ProjectName]]&amp;OutputTable[[#This Row],[Name]]&amp;OutputTable[[#This Row],[Type]]&amp;OutputTable[[#This Row],[Source]]</f>
        <v>Unnamed ProjectMaleta Internacional.NumberInNumber InEntity</v>
      </c>
      <c r="J98" cm="1">
        <f t="array" ref="J98">MAX(IF((ProjectInfoTable[ProjectName]=OutputTable[[#This Row],[ProjectName]]),(ProjectInfoTable[ProjectName]=OutputTable[[#This Row],[ProjectName]])*ProjectInfoTable[NumberOfReplications]))</f>
        <v>10</v>
      </c>
      <c r="K98" cm="1">
        <f t="array" ref="K98">IFERROR(AVERAGE(IF((OutputTable[GroupByKey]=OutputTable[[#This Row],[GroupByKey]]),(OutputTable[GroupByKey]=OutputTable[[#This Row],[GroupByKey]])*OutputTable[RecordedValue])),0)</f>
        <v>241.3</v>
      </c>
      <c r="L98" cm="1">
        <f t="array" ref="L98">IFERROR(_xlfn.STDEV.S(IF((OutputTable[GroupByKey]=OutputTable[[#This Row],[GroupByKey]]),(OutputTable[GroupByKey]=OutputTable[[#This Row],[GroupByKey]])*OutputTable[RecordedValue])),0)</f>
        <v>25.59101404790356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18.306708629960106</v>
      </c>
      <c r="O98" cm="1">
        <f t="array" ref="O98">MIN(IF((OutputTable[GroupByKey]=OutputTable[[#This Row],[GroupByKey]]),(OutputTable[GroupByKey]=OutputTable[[#This Row],[GroupByKey]])*OutputTable[RecordedValue]))</f>
        <v>207</v>
      </c>
      <c r="P98" cm="1">
        <f t="array" ref="P98">MAX(IF((OutputTable[GroupByKey]=OutputTable[[#This Row],[GroupByKey]]),(OutputTable[GroupByKey]=OutputTable[[#This Row],[GroupByKey]])*OutputTable[RecordedValue]))</f>
        <v>287</v>
      </c>
    </row>
    <row r="99" spans="1:16" x14ac:dyDescent="0.3">
      <c r="A99" t="s">
        <v>66</v>
      </c>
      <c r="B99" t="s">
        <v>68</v>
      </c>
      <c r="C99">
        <v>5</v>
      </c>
      <c r="D99" t="s">
        <v>125</v>
      </c>
      <c r="E99" t="s">
        <v>119</v>
      </c>
      <c r="F99" t="s">
        <v>74</v>
      </c>
      <c r="G99">
        <v>229</v>
      </c>
      <c r="H99">
        <v>0</v>
      </c>
      <c r="I99" t="str">
        <f>OutputTable[[#This Row],[ProjectName]]&amp;OutputTable[[#This Row],[Name]]&amp;OutputTable[[#This Row],[Type]]&amp;OutputTable[[#This Row],[Source]]</f>
        <v>Unnamed ProjectMaleta Internacional.NumberOutNumber OutEntity</v>
      </c>
      <c r="J99" cm="1">
        <f t="array" ref="J99">MAX(IF((ProjectInfoTable[ProjectName]=OutputTable[[#This Row],[ProjectName]]),(ProjectInfoTable[ProjectName]=OutputTable[[#This Row],[ProjectName]])*ProjectInfoTable[NumberOfReplications]))</f>
        <v>10</v>
      </c>
      <c r="K99" cm="1">
        <f t="array" ref="K99">IFERROR(AVERAGE(IF((OutputTable[GroupByKey]=OutputTable[[#This Row],[GroupByKey]]),(OutputTable[GroupByKey]=OutputTable[[#This Row],[GroupByKey]])*OutputTable[RecordedValue])),0)</f>
        <v>224.5</v>
      </c>
      <c r="L99" cm="1">
        <f t="array" ref="L99">IFERROR(_xlfn.STDEV.S(IF((OutputTable[GroupByKey]=OutputTable[[#This Row],[GroupByKey]]),(OutputTable[GroupByKey]=OutputTable[[#This Row],[GroupByKey]])*OutputTable[RecordedValue])),0)</f>
        <v>20.812656405818711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14.888477491497007</v>
      </c>
      <c r="O99" cm="1">
        <f t="array" ref="O99">MIN(IF((OutputTable[GroupByKey]=OutputTable[[#This Row],[GroupByKey]]),(OutputTable[GroupByKey]=OutputTable[[#This Row],[GroupByKey]])*OutputTable[RecordedValue]))</f>
        <v>199</v>
      </c>
      <c r="P99" cm="1">
        <f t="array" ref="P99">MAX(IF((OutputTable[GroupByKey]=OutputTable[[#This Row],[GroupByKey]]),(OutputTable[GroupByKey]=OutputTable[[#This Row],[GroupByKey]])*OutputTable[RecordedValue]))</f>
        <v>256</v>
      </c>
    </row>
    <row r="100" spans="1:16" x14ac:dyDescent="0.3">
      <c r="A100" t="s">
        <v>66</v>
      </c>
      <c r="B100" t="s">
        <v>68</v>
      </c>
      <c r="C100">
        <v>5</v>
      </c>
      <c r="D100" t="s">
        <v>126</v>
      </c>
      <c r="E100" t="s">
        <v>117</v>
      </c>
      <c r="F100" t="s">
        <v>74</v>
      </c>
      <c r="G100">
        <v>186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ProjectMaleta Nacional.NumberInNumber InEntity</v>
      </c>
      <c r="J100" cm="1">
        <f t="array" ref="J100">MAX(IF((ProjectInfoTable[ProjectName]=OutputTable[[#This Row],[ProjectName]]),(ProjectInfoTable[ProjectName]=OutputTable[[#This Row],[ProjectName]])*ProjectInfoTable[NumberOfReplications]))</f>
        <v>10</v>
      </c>
      <c r="K100" cm="1">
        <f t="array" ref="K100">IFERROR(AVERAGE(IF((OutputTable[GroupByKey]=OutputTable[[#This Row],[GroupByKey]]),(OutputTable[GroupByKey]=OutputTable[[#This Row],[GroupByKey]])*OutputTable[RecordedValue])),0)</f>
        <v>163.1</v>
      </c>
      <c r="L100" cm="1">
        <f t="array" ref="L100">IFERROR(_xlfn.STDEV.S(IF((OutputTable[GroupByKey]=OutputTable[[#This Row],[GroupByKey]]),(OutputTable[GroupByKey]=OutputTable[[#This Row],[GroupByKey]])*OutputTable[RecordedValue])),0)</f>
        <v>14.371654200002325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10.280862082193972</v>
      </c>
      <c r="O100" cm="1">
        <f t="array" ref="O100">MIN(IF((OutputTable[GroupByKey]=OutputTable[[#This Row],[GroupByKey]]),(OutputTable[GroupByKey]=OutputTable[[#This Row],[GroupByKey]])*OutputTable[RecordedValue]))</f>
        <v>149</v>
      </c>
      <c r="P100" cm="1">
        <f t="array" ref="P100">MAX(IF((OutputTable[GroupByKey]=OutputTable[[#This Row],[GroupByKey]]),(OutputTable[GroupByKey]=OutputTable[[#This Row],[GroupByKey]])*OutputTable[RecordedValue]))</f>
        <v>191</v>
      </c>
    </row>
    <row r="101" spans="1:16" x14ac:dyDescent="0.3">
      <c r="A101" t="s">
        <v>66</v>
      </c>
      <c r="B101" t="s">
        <v>68</v>
      </c>
      <c r="C101">
        <v>5</v>
      </c>
      <c r="D101" t="s">
        <v>127</v>
      </c>
      <c r="E101" t="s">
        <v>119</v>
      </c>
      <c r="F101" t="s">
        <v>74</v>
      </c>
      <c r="G101">
        <v>179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ProjectMaleta Nacional.NumberOutNumber OutEntity</v>
      </c>
      <c r="J101" cm="1">
        <f t="array" ref="J101">MAX(IF((ProjectInfoTable[ProjectName]=OutputTable[[#This Row],[ProjectName]]),(ProjectInfoTable[ProjectName]=OutputTable[[#This Row],[ProjectName]])*ProjectInfoTable[NumberOfReplications]))</f>
        <v>10</v>
      </c>
      <c r="K101" cm="1">
        <f t="array" ref="K101">IFERROR(AVERAGE(IF((OutputTable[GroupByKey]=OutputTable[[#This Row],[GroupByKey]]),(OutputTable[GroupByKey]=OutputTable[[#This Row],[GroupByKey]])*OutputTable[RecordedValue])),0)</f>
        <v>159.1</v>
      </c>
      <c r="L101" cm="1">
        <f t="array" ref="L101">IFERROR(_xlfn.STDEV.S(IF((OutputTable[GroupByKey]=OutputTable[[#This Row],[GroupByKey]]),(OutputTable[GroupByKey]=OutputTable[[#This Row],[GroupByKey]])*OutputTable[RecordedValue])),0)</f>
        <v>14.153523314787106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10.12482064704977</v>
      </c>
      <c r="O101" cm="1">
        <f t="array" ref="O101">MIN(IF((OutputTable[GroupByKey]=OutputTable[[#This Row],[GroupByKey]]),(OutputTable[GroupByKey]=OutputTable[[#This Row],[GroupByKey]])*OutputTable[RecordedValue]))</f>
        <v>145</v>
      </c>
      <c r="P101" cm="1">
        <f t="array" ref="P101">MAX(IF((OutputTable[GroupByKey]=OutputTable[[#This Row],[GroupByKey]]),(OutputTable[GroupByKey]=OutputTable[[#This Row],[GroupByKey]])*OutputTable[RecordedValue]))</f>
        <v>189</v>
      </c>
    </row>
    <row r="102" spans="1:16" x14ac:dyDescent="0.3">
      <c r="A102" t="s">
        <v>66</v>
      </c>
      <c r="B102" t="s">
        <v>68</v>
      </c>
      <c r="C102">
        <v>5</v>
      </c>
      <c r="D102" t="s">
        <v>128</v>
      </c>
      <c r="E102" t="s">
        <v>121</v>
      </c>
      <c r="F102" t="s">
        <v>103</v>
      </c>
      <c r="G102">
        <v>236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ProjectNacionalauto.NumberSeizedTotal Number SeizedResource</v>
      </c>
      <c r="J102" cm="1">
        <f t="array" ref="J102">MAX(IF((ProjectInfoTable[ProjectName]=OutputTable[[#This Row],[ProjectName]]),(ProjectInfoTable[ProjectName]=OutputTable[[#This Row],[ProjectName]])*ProjectInfoTable[NumberOfReplications]))</f>
        <v>10</v>
      </c>
      <c r="K102" cm="1">
        <f t="array" ref="K102">IFERROR(AVERAGE(IF((OutputTable[GroupByKey]=OutputTable[[#This Row],[GroupByKey]]),(OutputTable[GroupByKey]=OutputTable[[#This Row],[GroupByKey]])*OutputTable[RecordedValue])),0)</f>
        <v>231.5</v>
      </c>
      <c r="L102" cm="1">
        <f t="array" ref="L102">IFERROR(_xlfn.STDEV.S(IF((OutputTable[GroupByKey]=OutputTable[[#This Row],[GroupByKey]]),(OutputTable[GroupByKey]=OutputTable[[#This Row],[GroupByKey]])*OutputTable[RecordedValue])),0)</f>
        <v>20.817994353176505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14.892296029003113</v>
      </c>
      <c r="O102" cm="1">
        <f t="array" ref="O102">MIN(IF((OutputTable[GroupByKey]=OutputTable[[#This Row],[GroupByKey]]),(OutputTable[GroupByKey]=OutputTable[[#This Row],[GroupByKey]])*OutputTable[RecordedValue]))</f>
        <v>202</v>
      </c>
      <c r="P102" cm="1">
        <f t="array" ref="P102">MAX(IF((OutputTable[GroupByKey]=OutputTable[[#This Row],[GroupByKey]]),(OutputTable[GroupByKey]=OutputTable[[#This Row],[GroupByKey]])*OutputTable[RecordedValue]))</f>
        <v>264</v>
      </c>
    </row>
    <row r="103" spans="1:16" x14ac:dyDescent="0.3">
      <c r="A103" t="s">
        <v>66</v>
      </c>
      <c r="B103" t="s">
        <v>68</v>
      </c>
      <c r="C103">
        <v>5</v>
      </c>
      <c r="D103" t="s">
        <v>129</v>
      </c>
      <c r="E103" t="s">
        <v>123</v>
      </c>
      <c r="F103" t="s">
        <v>103</v>
      </c>
      <c r="G103">
        <v>0.71336223524589704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ProjectNacionalauto.ScheduledUtilizationScheduled UtilizationResource</v>
      </c>
      <c r="J103" cm="1">
        <f t="array" ref="J103">MAX(IF((ProjectInfoTable[ProjectName]=OutputTable[[#This Row],[ProjectName]]),(ProjectInfoTable[ProjectName]=OutputTable[[#This Row],[ProjectName]])*ProjectInfoTable[NumberOfReplications]))</f>
        <v>10</v>
      </c>
      <c r="K103" cm="1">
        <f t="array" ref="K103">IFERROR(AVERAGE(IF((OutputTable[GroupByKey]=OutputTable[[#This Row],[GroupByKey]]),(OutputTable[GroupByKey]=OutputTable[[#This Row],[GroupByKey]])*OutputTable[RecordedValue])),0)</f>
        <v>0.73175058451933661</v>
      </c>
      <c r="L103" cm="1">
        <f t="array" ref="L103">IFERROR(_xlfn.STDEV.S(IF((OutputTable[GroupByKey]=OutputTable[[#This Row],[GroupByKey]]),(OutputTable[GroupByKey]=OutputTable[[#This Row],[GroupByKey]])*OutputTable[RecordedValue])),0)</f>
        <v>6.0813477412386734E-2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4.3503341043041877E-2</v>
      </c>
      <c r="O103" cm="1">
        <f t="array" ref="O103">MIN(IF((OutputTable[GroupByKey]=OutputTable[[#This Row],[GroupByKey]]),(OutputTable[GroupByKey]=OutputTable[[#This Row],[GroupByKey]])*OutputTable[RecordedValue]))</f>
        <v>0.64995347349336796</v>
      </c>
      <c r="P103" cm="1">
        <f t="array" ref="P103">MAX(IF((OutputTable[GroupByKey]=OutputTable[[#This Row],[GroupByKey]]),(OutputTable[GroupByKey]=OutputTable[[#This Row],[GroupByKey]])*OutputTable[RecordedValue]))</f>
        <v>0.82581624655093899</v>
      </c>
    </row>
    <row r="104" spans="1:16" x14ac:dyDescent="0.3">
      <c r="A104" t="s">
        <v>66</v>
      </c>
      <c r="B104" t="s">
        <v>68</v>
      </c>
      <c r="C104">
        <v>5</v>
      </c>
      <c r="D104" t="s">
        <v>130</v>
      </c>
      <c r="E104" t="s">
        <v>121</v>
      </c>
      <c r="F104" t="s">
        <v>103</v>
      </c>
      <c r="G104">
        <v>393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ProjectOperarios Avion.NumberSeizedTotal Number SeizedResource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10</v>
      </c>
      <c r="K104" cm="1">
        <f t="array" ref="K104">IFERROR(AVERAGE(IF((OutputTable[GroupByKey]=OutputTable[[#This Row],[GroupByKey]]),(OutputTable[GroupByKey]=OutputTable[[#This Row],[GroupByKey]])*OutputTable[RecordedValue])),0)</f>
        <v>368.6</v>
      </c>
      <c r="L104" cm="1">
        <f t="array" ref="L104">IFERROR(_xlfn.STDEV.S(IF((OutputTable[GroupByKey]=OutputTable[[#This Row],[GroupByKey]]),(OutputTable[GroupByKey]=OutputTable[[#This Row],[GroupByKey]])*OutputTable[RecordedValue])),0)</f>
        <v>29.243042857328572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20.919212659586112</v>
      </c>
      <c r="O104" cm="1">
        <f t="array" ref="O104">MIN(IF((OutputTable[GroupByKey]=OutputTable[[#This Row],[GroupByKey]]),(OutputTable[GroupByKey]=OutputTable[[#This Row],[GroupByKey]])*OutputTable[RecordedValue]))</f>
        <v>338</v>
      </c>
      <c r="P104" cm="1">
        <f t="array" ref="P104">MAX(IF((OutputTable[GroupByKey]=OutputTable[[#This Row],[GroupByKey]]),(OutputTable[GroupByKey]=OutputTable[[#This Row],[GroupByKey]])*OutputTable[RecordedValue]))</f>
        <v>416</v>
      </c>
    </row>
    <row r="105" spans="1:16" x14ac:dyDescent="0.3">
      <c r="A105" t="s">
        <v>66</v>
      </c>
      <c r="B105" t="s">
        <v>68</v>
      </c>
      <c r="C105">
        <v>5</v>
      </c>
      <c r="D105" t="s">
        <v>131</v>
      </c>
      <c r="E105" t="s">
        <v>123</v>
      </c>
      <c r="F105" t="s">
        <v>103</v>
      </c>
      <c r="G105">
        <v>7.7377695589084194E-2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ProjectOperarios Avion.ScheduledUtilizationScheduled UtilizationResource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10</v>
      </c>
      <c r="K105" cm="1">
        <f t="array" ref="K105">IFERROR(AVERAGE(IF((OutputTable[GroupByKey]=OutputTable[[#This Row],[GroupByKey]]),(OutputTable[GroupByKey]=OutputTable[[#This Row],[GroupByKey]])*OutputTable[RecordedValue])),0)</f>
        <v>7.5958437118625627E-2</v>
      </c>
      <c r="L105" cm="1">
        <f t="array" ref="L105">IFERROR(_xlfn.STDEV.S(IF((OutputTable[GroupByKey]=OutputTable[[#This Row],[GroupByKey]]),(OutputTable[GroupByKey]=OutputTable[[#This Row],[GroupByKey]])*OutputTable[RecordedValue])),0)</f>
        <v>5.0572810112240948E-3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3.6177608968134627E-3</v>
      </c>
      <c r="O105" cm="1">
        <f t="array" ref="O105">MIN(IF((OutputTable[GroupByKey]=OutputTable[[#This Row],[GroupByKey]]),(OutputTable[GroupByKey]=OutputTable[[#This Row],[GroupByKey]])*OutputTable[RecordedValue]))</f>
        <v>6.7485948117393404E-2</v>
      </c>
      <c r="P105" cm="1">
        <f t="array" ref="P105">MAX(IF((OutputTable[GroupByKey]=OutputTable[[#This Row],[GroupByKey]]),(OutputTable[GroupByKey]=OutputTable[[#This Row],[GroupByKey]])*OutputTable[RecordedValue]))</f>
        <v>8.7852447587946303E-2</v>
      </c>
    </row>
    <row r="106" spans="1:16" x14ac:dyDescent="0.3">
      <c r="A106" t="s">
        <v>66</v>
      </c>
      <c r="B106" t="s">
        <v>68</v>
      </c>
      <c r="C106">
        <v>5</v>
      </c>
      <c r="D106" t="s">
        <v>132</v>
      </c>
      <c r="E106" t="s">
        <v>119</v>
      </c>
      <c r="F106" t="s">
        <v>133</v>
      </c>
      <c r="G106">
        <v>684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ProjectSystem.NumberOutNumber OutSystem</v>
      </c>
      <c r="J106" cm="1">
        <f t="array" ref="J106">MAX(IF((ProjectInfoTable[ProjectName]=OutputTable[[#This Row],[ProjectName]]),(ProjectInfoTable[ProjectName]=OutputTable[[#This Row],[ProjectName]])*ProjectInfoTable[NumberOfReplications]))</f>
        <v>10</v>
      </c>
      <c r="K106" cm="1">
        <f t="array" ref="K106">IFERROR(AVERAGE(IF((OutputTable[GroupByKey]=OutputTable[[#This Row],[GroupByKey]]),(OutputTable[GroupByKey]=OutputTable[[#This Row],[GroupByKey]])*OutputTable[RecordedValue])),0)</f>
        <v>653</v>
      </c>
      <c r="L106" cm="1">
        <f t="array" ref="L106">IFERROR(_xlfn.STDEV.S(IF((OutputTable[GroupByKey]=OutputTable[[#This Row],[GroupByKey]]),(OutputTable[GroupByKey]=OutputTable[[#This Row],[GroupByKey]])*OutputTable[RecordedValue])),0)</f>
        <v>50.066622281382898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35.815504007612013</v>
      </c>
      <c r="O106" cm="1">
        <f t="array" ref="O106">MIN(IF((OutputTable[GroupByKey]=OutputTable[[#This Row],[GroupByKey]]),(OutputTable[GroupByKey]=OutputTable[[#This Row],[GroupByKey]])*OutputTable[RecordedValue]))</f>
        <v>594</v>
      </c>
      <c r="P106" cm="1">
        <f t="array" ref="P106">MAX(IF((OutputTable[GroupByKey]=OutputTable[[#This Row],[GroupByKey]]),(OutputTable[GroupByKey]=OutputTable[[#This Row],[GroupByKey]])*OutputTable[RecordedValue]))</f>
        <v>722</v>
      </c>
    </row>
    <row r="107" spans="1:16" x14ac:dyDescent="0.3">
      <c r="A107" t="s">
        <v>66</v>
      </c>
      <c r="B107" t="s">
        <v>68</v>
      </c>
      <c r="C107">
        <v>5</v>
      </c>
      <c r="D107" t="s">
        <v>134</v>
      </c>
      <c r="E107" t="s">
        <v>121</v>
      </c>
      <c r="F107" t="s">
        <v>103</v>
      </c>
      <c r="G107">
        <v>86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Projectcajera.NumberSeizedTotal Number SeizedResource</v>
      </c>
      <c r="J107" cm="1">
        <f t="array" ref="J107">MAX(IF((ProjectInfoTable[ProjectName]=OutputTable[[#This Row],[ProjectName]]),(ProjectInfoTable[ProjectName]=OutputTable[[#This Row],[ProjectName]])*ProjectInfoTable[NumberOfReplications]))</f>
        <v>10</v>
      </c>
      <c r="K107" cm="1">
        <f t="array" ref="K107">IFERROR(AVERAGE(IF((OutputTable[GroupByKey]=OutputTable[[#This Row],[GroupByKey]]),(OutputTable[GroupByKey]=OutputTable[[#This Row],[GroupByKey]])*OutputTable[RecordedValue])),0)</f>
        <v>89.7</v>
      </c>
      <c r="L107" cm="1">
        <f t="array" ref="L107">IFERROR(_xlfn.STDEV.S(IF((OutputTable[GroupByKey]=OutputTable[[#This Row],[GroupByKey]]),(OutputTable[GroupByKey]=OutputTable[[#This Row],[GroupByKey]])*OutputTable[RecordedValue])),0)</f>
        <v>15.3554188770248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10.984604937751998</v>
      </c>
      <c r="O107" cm="1">
        <f t="array" ref="O107">MIN(IF((OutputTable[GroupByKey]=OutputTable[[#This Row],[GroupByKey]]),(OutputTable[GroupByKey]=OutputTable[[#This Row],[GroupByKey]])*OutputTable[RecordedValue]))</f>
        <v>72</v>
      </c>
      <c r="P107" cm="1">
        <f t="array" ref="P107">MAX(IF((OutputTable[GroupByKey]=OutputTable[[#This Row],[GroupByKey]]),(OutputTable[GroupByKey]=OutputTable[[#This Row],[GroupByKey]])*OutputTable[RecordedValue]))</f>
        <v>119</v>
      </c>
    </row>
    <row r="108" spans="1:16" x14ac:dyDescent="0.3">
      <c r="A108" t="s">
        <v>66</v>
      </c>
      <c r="B108" t="s">
        <v>68</v>
      </c>
      <c r="C108">
        <v>5</v>
      </c>
      <c r="D108" t="s">
        <v>135</v>
      </c>
      <c r="E108" t="s">
        <v>123</v>
      </c>
      <c r="F108" t="s">
        <v>103</v>
      </c>
      <c r="G108">
        <v>0.386982235410052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Projectcajera.ScheduledUtilizationScheduled UtilizationResource</v>
      </c>
      <c r="J108" cm="1">
        <f t="array" ref="J108">MAX(IF((ProjectInfoTable[ProjectName]=OutputTable[[#This Row],[ProjectName]]),(ProjectInfoTable[ProjectName]=OutputTable[[#This Row],[ProjectName]])*ProjectInfoTable[NumberOfReplications]))</f>
        <v>10</v>
      </c>
      <c r="K108" cm="1">
        <f t="array" ref="K108">IFERROR(AVERAGE(IF((OutputTable[GroupByKey]=OutputTable[[#This Row],[GroupByKey]]),(OutputTable[GroupByKey]=OutputTable[[#This Row],[GroupByKey]])*OutputTable[RecordedValue])),0)</f>
        <v>0.38078385056341441</v>
      </c>
      <c r="L108" cm="1">
        <f t="array" ref="L108">IFERROR(_xlfn.STDEV.S(IF((OutputTable[GroupByKey]=OutputTable[[#This Row],[GroupByKey]]),(OutputTable[GroupByKey]=OutputTable[[#This Row],[GroupByKey]])*OutputTable[RecordedValue])),0)</f>
        <v>5.6481911326734656E-2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4.040472533000234E-2</v>
      </c>
      <c r="O108" cm="1">
        <f t="array" ref="O108">MIN(IF((OutputTable[GroupByKey]=OutputTable[[#This Row],[GroupByKey]]),(OutputTable[GroupByKey]=OutputTable[[#This Row],[GroupByKey]])*OutputTable[RecordedValue]))</f>
        <v>0.28913636698845602</v>
      </c>
      <c r="P108" cm="1">
        <f t="array" ref="P108">MAX(IF((OutputTable[GroupByKey]=OutputTable[[#This Row],[GroupByKey]]),(OutputTable[GroupByKey]=OutputTable[[#This Row],[GroupByKey]])*OutputTable[RecordedValue]))</f>
        <v>0.46134650546047301</v>
      </c>
    </row>
    <row r="109" spans="1:16" x14ac:dyDescent="0.3">
      <c r="A109" t="s">
        <v>66</v>
      </c>
      <c r="B109" t="s">
        <v>68</v>
      </c>
      <c r="C109">
        <v>5</v>
      </c>
      <c r="D109" t="s">
        <v>136</v>
      </c>
      <c r="E109" t="s">
        <v>121</v>
      </c>
      <c r="F109" t="s">
        <v>103</v>
      </c>
      <c r="G109">
        <v>191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Projectcajera2.NumberSeizedTotal Number SeizedResource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10</v>
      </c>
      <c r="K109" cm="1">
        <f t="array" ref="K109">IFERROR(AVERAGE(IF((OutputTable[GroupByKey]=OutputTable[[#This Row],[GroupByKey]]),(OutputTable[GroupByKey]=OutputTable[[#This Row],[GroupByKey]])*OutputTable[RecordedValue])),0)</f>
        <v>181.1</v>
      </c>
      <c r="L109" cm="1">
        <f t="array" ref="L109">IFERROR(_xlfn.STDEV.S(IF((OutputTable[GroupByKey]=OutputTable[[#This Row],[GroupByKey]]),(OutputTable[GroupByKey]=OutputTable[[#This Row],[GroupByKey]])*OutputTable[RecordedValue])),0)</f>
        <v>9.7348172384830463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6.9638687399111214</v>
      </c>
      <c r="O109" cm="1">
        <f t="array" ref="O109">MIN(IF((OutputTable[GroupByKey]=OutputTable[[#This Row],[GroupByKey]]),(OutputTable[GroupByKey]=OutputTable[[#This Row],[GroupByKey]])*OutputTable[RecordedValue]))</f>
        <v>169</v>
      </c>
      <c r="P109" cm="1">
        <f t="array" ref="P109">MAX(IF((OutputTable[GroupByKey]=OutputTable[[#This Row],[GroupByKey]]),(OutputTable[GroupByKey]=OutputTable[[#This Row],[GroupByKey]])*OutputTable[RecordedValue]))</f>
        <v>194</v>
      </c>
    </row>
    <row r="110" spans="1:16" x14ac:dyDescent="0.3">
      <c r="A110" t="s">
        <v>66</v>
      </c>
      <c r="B110" t="s">
        <v>68</v>
      </c>
      <c r="C110">
        <v>5</v>
      </c>
      <c r="D110" t="s">
        <v>137</v>
      </c>
      <c r="E110" t="s">
        <v>123</v>
      </c>
      <c r="F110" t="s">
        <v>103</v>
      </c>
      <c r="G110">
        <v>0.735269347730102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Projectcajera2.ScheduledUtilizationScheduled UtilizationResource</v>
      </c>
      <c r="J110" cm="1">
        <f t="array" ref="J110">MAX(IF((ProjectInfoTable[ProjectName]=OutputTable[[#This Row],[ProjectName]]),(ProjectInfoTable[ProjectName]=OutputTable[[#This Row],[ProjectName]])*ProjectInfoTable[NumberOfReplications]))</f>
        <v>10</v>
      </c>
      <c r="K110" cm="1">
        <f t="array" ref="K110">IFERROR(AVERAGE(IF((OutputTable[GroupByKey]=OutputTable[[#This Row],[GroupByKey]]),(OutputTable[GroupByKey]=OutputTable[[#This Row],[GroupByKey]])*OutputTable[RecordedValue])),0)</f>
        <v>0.73571117943508912</v>
      </c>
      <c r="L110" cm="1">
        <f t="array" ref="L110">IFERROR(_xlfn.STDEV.S(IF((OutputTable[GroupByKey]=OutputTable[[#This Row],[GroupByKey]]),(OutputTable[GroupByKey]=OutputTable[[#This Row],[GroupByKey]])*OutputTable[RecordedValue])),0)</f>
        <v>2.3945213257811505E-2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1.7129373668915777E-2</v>
      </c>
      <c r="O110" cm="1">
        <f t="array" ref="O110">MIN(IF((OutputTable[GroupByKey]=OutputTable[[#This Row],[GroupByKey]]),(OutputTable[GroupByKey]=OutputTable[[#This Row],[GroupByKey]])*OutputTable[RecordedValue]))</f>
        <v>0.69752119636771104</v>
      </c>
      <c r="P110" cm="1">
        <f t="array" ref="P110">MAX(IF((OutputTable[GroupByKey]=OutputTable[[#This Row],[GroupByKey]]),(OutputTable[GroupByKey]=OutputTable[[#This Row],[GroupByKey]])*OutputTable[RecordedValue]))</f>
        <v>0.77845968782647601</v>
      </c>
    </row>
    <row r="111" spans="1:16" x14ac:dyDescent="0.3">
      <c r="A111" t="s">
        <v>66</v>
      </c>
      <c r="B111" t="s">
        <v>68</v>
      </c>
      <c r="C111">
        <v>5</v>
      </c>
      <c r="D111" t="s">
        <v>138</v>
      </c>
      <c r="E111" t="s">
        <v>117</v>
      </c>
      <c r="F111" t="s">
        <v>74</v>
      </c>
      <c r="G111">
        <v>0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Projectpersona.NumberInNumber InEntity</v>
      </c>
      <c r="J111" cm="1">
        <f t="array" ref="J111">MAX(IF((ProjectInfoTable[ProjectName]=OutputTable[[#This Row],[ProjectName]]),(ProjectInfoTable[ProjectName]=OutputTable[[#This Row],[ProjectName]])*ProjectInfoTable[NumberOfReplications]))</f>
        <v>10</v>
      </c>
      <c r="K111" cm="1">
        <f t="array" ref="K111">IFERROR(AVERAGE(IF((OutputTable[GroupByKey]=OutputTable[[#This Row],[GroupByKey]]),(OutputTable[GroupByKey]=OutputTable[[#This Row],[GroupByKey]])*OutputTable[RecordedValue])),0)</f>
        <v>0</v>
      </c>
      <c r="L111" cm="1">
        <f t="array" ref="L111">IFERROR(_xlfn.STDEV.S(IF((OutputTable[GroupByKey]=OutputTable[[#This Row],[GroupByKey]]),(OutputTable[GroupByKey]=OutputTable[[#This Row],[GroupByKey]])*OutputTable[RecordedValue])),0)</f>
        <v>0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1" cm="1">
        <f t="array" ref="O111">MIN(IF((OutputTable[GroupByKey]=OutputTable[[#This Row],[GroupByKey]]),(OutputTable[GroupByKey]=OutputTable[[#This Row],[GroupByKey]])*OutputTable[RecordedValue]))</f>
        <v>0</v>
      </c>
      <c r="P111" cm="1">
        <f t="array" ref="P111">MAX(IF((OutputTable[GroupByKey]=OutputTable[[#This Row],[GroupByKey]]),(OutputTable[GroupByKey]=OutputTable[[#This Row],[GroupByKey]])*OutputTable[RecordedValue]))</f>
        <v>0</v>
      </c>
    </row>
    <row r="112" spans="1:16" x14ac:dyDescent="0.3">
      <c r="A112" t="s">
        <v>66</v>
      </c>
      <c r="B112" t="s">
        <v>68</v>
      </c>
      <c r="C112">
        <v>5</v>
      </c>
      <c r="D112" t="s">
        <v>139</v>
      </c>
      <c r="E112" t="s">
        <v>119</v>
      </c>
      <c r="F112" t="s">
        <v>74</v>
      </c>
      <c r="G112">
        <v>0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Projectpersona.NumberOutNumber OutEntity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10</v>
      </c>
      <c r="K112" s="5" cm="1">
        <f t="array" ref="K112">IFERROR(AVERAGE(IF((OutputTable[GroupByKey]=OutputTable[[#This Row],[GroupByKey]]),(OutputTable[GroupByKey]=OutputTable[[#This Row],[GroupByKey]])*OutputTable[RecordedValue])),0)</f>
        <v>0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0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12" s="5" cm="1">
        <f t="array" ref="O112">MIN(IF((OutputTable[GroupByKey]=OutputTable[[#This Row],[GroupByKey]]),(OutputTable[GroupByKey]=OutputTable[[#This Row],[GroupByKey]])*OutputTable[RecordedValue]))</f>
        <v>0</v>
      </c>
      <c r="P112" s="5" cm="1">
        <f t="array" ref="P112">MAX(IF((OutputTable[GroupByKey]=OutputTable[[#This Row],[GroupByKey]]),(OutputTable[GroupByKey]=OutputTable[[#This Row],[GroupByKey]])*OutputTable[RecordedValue]))</f>
        <v>0</v>
      </c>
    </row>
    <row r="113" spans="1:16" x14ac:dyDescent="0.3">
      <c r="A113" t="s">
        <v>66</v>
      </c>
      <c r="B113" t="s">
        <v>68</v>
      </c>
      <c r="C113">
        <v>5</v>
      </c>
      <c r="D113" t="s">
        <v>140</v>
      </c>
      <c r="E113" t="s">
        <v>121</v>
      </c>
      <c r="F113" t="s">
        <v>103</v>
      </c>
      <c r="G113">
        <v>10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Projectregistro1.NumberSeizedTotal Number SeizedResource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10</v>
      </c>
      <c r="K113" s="5" cm="1">
        <f t="array" ref="K113">IFERROR(AVERAGE(IF((OutputTable[GroupByKey]=OutputTable[[#This Row],[GroupByKey]]),(OutputTable[GroupByKey]=OutputTable[[#This Row],[GroupByKey]])*OutputTable[RecordedValue])),0)</f>
        <v>7.6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2.9135697844549542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2.0842422663373124</v>
      </c>
      <c r="O113" s="5" cm="1">
        <f t="array" ref="O113">MIN(IF((OutputTable[GroupByKey]=OutputTable[[#This Row],[GroupByKey]]),(OutputTable[GroupByKey]=OutputTable[[#This Row],[GroupByKey]])*OutputTable[RecordedValue]))</f>
        <v>4</v>
      </c>
      <c r="P113" s="5" cm="1">
        <f t="array" ref="P113">MAX(IF((OutputTable[GroupByKey]=OutputTable[[#This Row],[GroupByKey]]),(OutputTable[GroupByKey]=OutputTable[[#This Row],[GroupByKey]])*OutputTable[RecordedValue]))</f>
        <v>12</v>
      </c>
    </row>
    <row r="114" spans="1:16" x14ac:dyDescent="0.3">
      <c r="A114" t="s">
        <v>66</v>
      </c>
      <c r="B114" t="s">
        <v>68</v>
      </c>
      <c r="C114">
        <v>5</v>
      </c>
      <c r="D114" t="s">
        <v>141</v>
      </c>
      <c r="E114" t="s">
        <v>123</v>
      </c>
      <c r="F114" t="s">
        <v>103</v>
      </c>
      <c r="G114">
        <v>6.3839547104267397E-2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Projectregistro1.ScheduledUtilizationScheduled UtilizationResource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10</v>
      </c>
      <c r="K114" s="5" cm="1">
        <f t="array" ref="K114">IFERROR(AVERAGE(IF((OutputTable[GroupByKey]=OutputTable[[#This Row],[GroupByKey]]),(OutputTable[GroupByKey]=OutputTable[[#This Row],[GroupByKey]])*OutputTable[RecordedValue])),0)</f>
        <v>5.6433247648491516E-2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2.4456082934732001E-2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1.7494827820351853E-2</v>
      </c>
      <c r="O114" s="5" cm="1">
        <f t="array" ref="O114">MIN(IF((OutputTable[GroupByKey]=OutputTable[[#This Row],[GroupByKey]]),(OutputTable[GroupByKey]=OutputTable[[#This Row],[GroupByKey]])*OutputTable[RecordedValue]))</f>
        <v>2.1279401430778E-2</v>
      </c>
      <c r="P114" s="5" cm="1">
        <f t="array" ref="P114">MAX(IF((OutputTable[GroupByKey]=OutputTable[[#This Row],[GroupByKey]]),(OutputTable[GroupByKey]=OutputTable[[#This Row],[GroupByKey]])*OutputTable[RecordedValue]))</f>
        <v>8.8472374570180701E-2</v>
      </c>
    </row>
    <row r="115" spans="1:16" x14ac:dyDescent="0.3">
      <c r="A115" t="s">
        <v>66</v>
      </c>
      <c r="B115" t="s">
        <v>68</v>
      </c>
      <c r="C115">
        <v>5</v>
      </c>
      <c r="D115" t="s">
        <v>142</v>
      </c>
      <c r="E115" t="s">
        <v>121</v>
      </c>
      <c r="F115" t="s">
        <v>103</v>
      </c>
      <c r="G115">
        <v>20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Projectregistro2.NumberSeizedTotal Number SeizedResource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10</v>
      </c>
      <c r="K115" s="5" cm="1">
        <f t="array" ref="K115">IFERROR(AVERAGE(IF((OutputTable[GroupByKey]=OutputTable[[#This Row],[GroupByKey]]),(OutputTable[GroupByKey]=OutputTable[[#This Row],[GroupByKey]])*OutputTable[RecordedValue])),0)</f>
        <v>18.8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2.8205594401741556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2.0177066742293341</v>
      </c>
      <c r="O115" s="5" cm="1">
        <f t="array" ref="O115">MIN(IF((OutputTable[GroupByKey]=OutputTable[[#This Row],[GroupByKey]]),(OutputTable[GroupByKey]=OutputTable[[#This Row],[GroupByKey]])*OutputTable[RecordedValue]))</f>
        <v>14</v>
      </c>
      <c r="P115" s="5" cm="1">
        <f t="array" ref="P115">MAX(IF((OutputTable[GroupByKey]=OutputTable[[#This Row],[GroupByKey]]),(OutputTable[GroupByKey]=OutputTable[[#This Row],[GroupByKey]])*OutputTable[RecordedValue]))</f>
        <v>24</v>
      </c>
    </row>
    <row r="116" spans="1:16" x14ac:dyDescent="0.3">
      <c r="A116" t="s">
        <v>66</v>
      </c>
      <c r="B116" t="s">
        <v>68</v>
      </c>
      <c r="C116">
        <v>5</v>
      </c>
      <c r="D116" t="s">
        <v>143</v>
      </c>
      <c r="E116" t="s">
        <v>123</v>
      </c>
      <c r="F116" t="s">
        <v>103</v>
      </c>
      <c r="G116">
        <v>0.51308674573803204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Projectregistro2.ScheduledUtilizationScheduled UtilizationResource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10</v>
      </c>
      <c r="K116" s="5" cm="1">
        <f t="array" ref="K116">IFERROR(AVERAGE(IF((OutputTable[GroupByKey]=OutputTable[[#This Row],[GroupByKey]]),(OutputTable[GroupByKey]=OutputTable[[#This Row],[GroupByKey]])*OutputTable[RecordedValue])),0)</f>
        <v>0.46274808587050231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9.1165192054027525E-2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6.5215649719990554E-2</v>
      </c>
      <c r="O116" s="5" cm="1">
        <f t="array" ref="O116">MIN(IF((OutputTable[GroupByKey]=OutputTable[[#This Row],[GroupByKey]]),(OutputTable[GroupByKey]=OutputTable[[#This Row],[GroupByKey]])*OutputTable[RecordedValue]))</f>
        <v>0.338210899349628</v>
      </c>
      <c r="P116" s="5" cm="1">
        <f t="array" ref="P116">MAX(IF((OutputTable[GroupByKey]=OutputTable[[#This Row],[GroupByKey]]),(OutputTable[GroupByKey]=OutputTable[[#This Row],[GroupByKey]])*OutputTable[RecordedValue]))</f>
        <v>0.66990172486561195</v>
      </c>
    </row>
    <row r="117" spans="1:16" x14ac:dyDescent="0.3">
      <c r="A117" t="s">
        <v>66</v>
      </c>
      <c r="B117" t="s">
        <v>68</v>
      </c>
      <c r="C117">
        <v>6</v>
      </c>
      <c r="D117" t="s">
        <v>116</v>
      </c>
      <c r="E117" t="s">
        <v>117</v>
      </c>
      <c r="F117" t="s">
        <v>74</v>
      </c>
      <c r="G117">
        <v>719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ProjectEntity 1.NumberInNumber InEntity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10</v>
      </c>
      <c r="K117" s="5" cm="1">
        <f t="array" ref="K117">IFERROR(AVERAGE(IF((OutputTable[GroupByKey]=OutputTable[[#This Row],[GroupByKey]]),(OutputTable[GroupByKey]=OutputTable[[#This Row],[GroupByKey]])*OutputTable[RecordedValue])),0)</f>
        <v>677.4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50.383418789209699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36.042126577273301</v>
      </c>
      <c r="O117" s="5" cm="1">
        <f t="array" ref="O117">MIN(IF((OutputTable[GroupByKey]=OutputTable[[#This Row],[GroupByKey]]),(OutputTable[GroupByKey]=OutputTable[[#This Row],[GroupByKey]])*OutputTable[RecordedValue]))</f>
        <v>612</v>
      </c>
      <c r="P117" s="5" cm="1">
        <f t="array" ref="P117">MAX(IF((OutputTable[GroupByKey]=OutputTable[[#This Row],[GroupByKey]]),(OutputTable[GroupByKey]=OutputTable[[#This Row],[GroupByKey]])*OutputTable[RecordedValue]))</f>
        <v>757</v>
      </c>
    </row>
    <row r="118" spans="1:16" x14ac:dyDescent="0.3">
      <c r="A118" t="s">
        <v>66</v>
      </c>
      <c r="B118" t="s">
        <v>68</v>
      </c>
      <c r="C118">
        <v>6</v>
      </c>
      <c r="D118" t="s">
        <v>118</v>
      </c>
      <c r="E118" t="s">
        <v>119</v>
      </c>
      <c r="F118" t="s">
        <v>74</v>
      </c>
      <c r="G118">
        <v>714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ProjectEntity 1.NumberOutNumber OutEntity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10</v>
      </c>
      <c r="K118" s="5" cm="1">
        <f t="array" ref="K118">IFERROR(AVERAGE(IF((OutputTable[GroupByKey]=OutputTable[[#This Row],[GroupByKey]]),(OutputTable[GroupByKey]=OutputTable[[#This Row],[GroupByKey]])*OutputTable[RecordedValue])),0)</f>
        <v>673.8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51.503613681199326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36.843465729291147</v>
      </c>
      <c r="O118" s="5" cm="1">
        <f t="array" ref="O118">MIN(IF((OutputTable[GroupByKey]=OutputTable[[#This Row],[GroupByKey]]),(OutputTable[GroupByKey]=OutputTable[[#This Row],[GroupByKey]])*OutputTable[RecordedValue]))</f>
        <v>608</v>
      </c>
      <c r="P118" s="5" cm="1">
        <f t="array" ref="P118">MAX(IF((OutputTable[GroupByKey]=OutputTable[[#This Row],[GroupByKey]]),(OutputTable[GroupByKey]=OutputTable[[#This Row],[GroupByKey]])*OutputTable[RecordedValue]))</f>
        <v>755</v>
      </c>
    </row>
    <row r="119" spans="1:16" x14ac:dyDescent="0.3">
      <c r="A119" t="s">
        <v>66</v>
      </c>
      <c r="B119" t="s">
        <v>68</v>
      </c>
      <c r="C119">
        <v>6</v>
      </c>
      <c r="D119" t="s">
        <v>120</v>
      </c>
      <c r="E119" t="s">
        <v>121</v>
      </c>
      <c r="F119" t="s">
        <v>103</v>
      </c>
      <c r="G119">
        <v>155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ProjectInterauto.NumberSeizedTotal Number SeizedResource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10</v>
      </c>
      <c r="K119" s="5" cm="1">
        <f t="array" ref="K119">IFERROR(AVERAGE(IF((OutputTable[GroupByKey]=OutputTable[[#This Row],[GroupByKey]]),(OutputTable[GroupByKey]=OutputTable[[#This Row],[GroupByKey]])*OutputTable[RecordedValue])),0)</f>
        <v>161.5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13.778001790293589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9.8561887311626997</v>
      </c>
      <c r="O119" s="5" cm="1">
        <f t="array" ref="O119">MIN(IF((OutputTable[GroupByKey]=OutputTable[[#This Row],[GroupByKey]]),(OutputTable[GroupByKey]=OutputTable[[#This Row],[GroupByKey]])*OutputTable[RecordedValue]))</f>
        <v>147</v>
      </c>
      <c r="P119" s="5" cm="1">
        <f t="array" ref="P119">MAX(IF((OutputTable[GroupByKey]=OutputTable[[#This Row],[GroupByKey]]),(OutputTable[GroupByKey]=OutputTable[[#This Row],[GroupByKey]])*OutputTable[RecordedValue]))</f>
        <v>191</v>
      </c>
    </row>
    <row r="120" spans="1:16" x14ac:dyDescent="0.3">
      <c r="A120" t="s">
        <v>66</v>
      </c>
      <c r="B120" t="s">
        <v>68</v>
      </c>
      <c r="C120">
        <v>6</v>
      </c>
      <c r="D120" t="s">
        <v>122</v>
      </c>
      <c r="E120" t="s">
        <v>123</v>
      </c>
      <c r="F120" t="s">
        <v>103</v>
      </c>
      <c r="G120">
        <v>0.20483176768320299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ProjectInterauto.ScheduledUtilizationScheduled UtilizationResource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10</v>
      </c>
      <c r="K120" s="5" cm="1">
        <f t="array" ref="K120">IFERROR(AVERAGE(IF((OutputTable[GroupByKey]=OutputTable[[#This Row],[GroupByKey]]),(OutputTable[GroupByKey]=OutputTable[[#This Row],[GroupByKey]])*OutputTable[RecordedValue])),0)</f>
        <v>0.26535205929836458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2.5807993647623796E-2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1.8461926485074727E-2</v>
      </c>
      <c r="O120" s="5" cm="1">
        <f t="array" ref="O120">MIN(IF((OutputTable[GroupByKey]=OutputTable[[#This Row],[GroupByKey]]),(OutputTable[GroupByKey]=OutputTable[[#This Row],[GroupByKey]])*OutputTable[RecordedValue]))</f>
        <v>0.20483176768320299</v>
      </c>
      <c r="P120" s="5" cm="1">
        <f t="array" ref="P120">MAX(IF((OutputTable[GroupByKey]=OutputTable[[#This Row],[GroupByKey]]),(OutputTable[GroupByKey]=OutputTable[[#This Row],[GroupByKey]])*OutputTable[RecordedValue]))</f>
        <v>0.29552077299252399</v>
      </c>
    </row>
    <row r="121" spans="1:16" x14ac:dyDescent="0.3">
      <c r="A121" t="s">
        <v>66</v>
      </c>
      <c r="B121" t="s">
        <v>68</v>
      </c>
      <c r="C121">
        <v>6</v>
      </c>
      <c r="D121" t="s">
        <v>124</v>
      </c>
      <c r="E121" t="s">
        <v>117</v>
      </c>
      <c r="F121" t="s">
        <v>74</v>
      </c>
      <c r="G121">
        <v>272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ProjectMaleta Internacional.NumberInNumber InEntity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10</v>
      </c>
      <c r="K121" s="5" cm="1">
        <f t="array" ref="K121">IFERROR(AVERAGE(IF((OutputTable[GroupByKey]=OutputTable[[#This Row],[GroupByKey]]),(OutputTable[GroupByKey]=OutputTable[[#This Row],[GroupByKey]])*OutputTable[RecordedValue])),0)</f>
        <v>241.3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25.59101404790356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18.306708629960106</v>
      </c>
      <c r="O121" s="5" cm="1">
        <f t="array" ref="O121">MIN(IF((OutputTable[GroupByKey]=OutputTable[[#This Row],[GroupByKey]]),(OutputTable[GroupByKey]=OutputTable[[#This Row],[GroupByKey]])*OutputTable[RecordedValue]))</f>
        <v>207</v>
      </c>
      <c r="P121" s="5" cm="1">
        <f t="array" ref="P121">MAX(IF((OutputTable[GroupByKey]=OutputTable[[#This Row],[GroupByKey]]),(OutputTable[GroupByKey]=OutputTable[[#This Row],[GroupByKey]])*OutputTable[RecordedValue]))</f>
        <v>287</v>
      </c>
    </row>
    <row r="122" spans="1:16" x14ac:dyDescent="0.3">
      <c r="A122" t="s">
        <v>66</v>
      </c>
      <c r="B122" t="s">
        <v>68</v>
      </c>
      <c r="C122">
        <v>6</v>
      </c>
      <c r="D122" t="s">
        <v>125</v>
      </c>
      <c r="E122" t="s">
        <v>119</v>
      </c>
      <c r="F122" t="s">
        <v>74</v>
      </c>
      <c r="G122">
        <v>253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ProjectMaleta Internacional.NumberOutNumber OutEntity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10</v>
      </c>
      <c r="K122" s="5" cm="1">
        <f t="array" ref="K122">IFERROR(AVERAGE(IF((OutputTable[GroupByKey]=OutputTable[[#This Row],[GroupByKey]]),(OutputTable[GroupByKey]=OutputTable[[#This Row],[GroupByKey]])*OutputTable[RecordedValue])),0)</f>
        <v>224.5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20.812656405818711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14.888477491497007</v>
      </c>
      <c r="O122" s="5" cm="1">
        <f t="array" ref="O122">MIN(IF((OutputTable[GroupByKey]=OutputTable[[#This Row],[GroupByKey]]),(OutputTable[GroupByKey]=OutputTable[[#This Row],[GroupByKey]])*OutputTable[RecordedValue]))</f>
        <v>199</v>
      </c>
      <c r="P122" s="5" cm="1">
        <f t="array" ref="P122">MAX(IF((OutputTable[GroupByKey]=OutputTable[[#This Row],[GroupByKey]]),(OutputTable[GroupByKey]=OutputTable[[#This Row],[GroupByKey]])*OutputTable[RecordedValue]))</f>
        <v>256</v>
      </c>
    </row>
    <row r="123" spans="1:16" x14ac:dyDescent="0.3">
      <c r="A123" t="s">
        <v>66</v>
      </c>
      <c r="B123" t="s">
        <v>68</v>
      </c>
      <c r="C123">
        <v>6</v>
      </c>
      <c r="D123" t="s">
        <v>126</v>
      </c>
      <c r="E123" t="s">
        <v>117</v>
      </c>
      <c r="F123" t="s">
        <v>74</v>
      </c>
      <c r="G123">
        <v>156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ProjectMaleta Nacional.NumberInNumber InEntity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10</v>
      </c>
      <c r="K123" s="5" cm="1">
        <f t="array" ref="K123">IFERROR(AVERAGE(IF((OutputTable[GroupByKey]=OutputTable[[#This Row],[GroupByKey]]),(OutputTable[GroupByKey]=OutputTable[[#This Row],[GroupByKey]])*OutputTable[RecordedValue])),0)</f>
        <v>163.1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14.371654200002325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10.280862082193972</v>
      </c>
      <c r="O123" s="5" cm="1">
        <f t="array" ref="O123">MIN(IF((OutputTable[GroupByKey]=OutputTable[[#This Row],[GroupByKey]]),(OutputTable[GroupByKey]=OutputTable[[#This Row],[GroupByKey]])*OutputTable[RecordedValue]))</f>
        <v>149</v>
      </c>
      <c r="P123" s="5" cm="1">
        <f t="array" ref="P123">MAX(IF((OutputTable[GroupByKey]=OutputTable[[#This Row],[GroupByKey]]),(OutputTable[GroupByKey]=OutputTable[[#This Row],[GroupByKey]])*OutputTable[RecordedValue]))</f>
        <v>191</v>
      </c>
    </row>
    <row r="124" spans="1:16" x14ac:dyDescent="0.3">
      <c r="A124" t="s">
        <v>66</v>
      </c>
      <c r="B124" t="s">
        <v>68</v>
      </c>
      <c r="C124">
        <v>6</v>
      </c>
      <c r="D124" t="s">
        <v>127</v>
      </c>
      <c r="E124" t="s">
        <v>119</v>
      </c>
      <c r="F124" t="s">
        <v>74</v>
      </c>
      <c r="G124">
        <v>155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ProjectMaleta Nacional.NumberOutNumber OutEntity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10</v>
      </c>
      <c r="K124" s="5" cm="1">
        <f t="array" ref="K124">IFERROR(AVERAGE(IF((OutputTable[GroupByKey]=OutputTable[[#This Row],[GroupByKey]]),(OutputTable[GroupByKey]=OutputTable[[#This Row],[GroupByKey]])*OutputTable[RecordedValue])),0)</f>
        <v>159.1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14.153523314787106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10.12482064704977</v>
      </c>
      <c r="O124" s="5" cm="1">
        <f t="array" ref="O124">MIN(IF((OutputTable[GroupByKey]=OutputTable[[#This Row],[GroupByKey]]),(OutputTable[GroupByKey]=OutputTable[[#This Row],[GroupByKey]])*OutputTable[RecordedValue]))</f>
        <v>145</v>
      </c>
      <c r="P124" s="5" cm="1">
        <f t="array" ref="P124">MAX(IF((OutputTable[GroupByKey]=OutputTable[[#This Row],[GroupByKey]]),(OutputTable[GroupByKey]=OutputTable[[#This Row],[GroupByKey]])*OutputTable[RecordedValue]))</f>
        <v>189</v>
      </c>
    </row>
    <row r="125" spans="1:16" x14ac:dyDescent="0.3">
      <c r="A125" t="s">
        <v>66</v>
      </c>
      <c r="B125" t="s">
        <v>68</v>
      </c>
      <c r="C125">
        <v>6</v>
      </c>
      <c r="D125" t="s">
        <v>128</v>
      </c>
      <c r="E125" t="s">
        <v>121</v>
      </c>
      <c r="F125" t="s">
        <v>103</v>
      </c>
      <c r="G125">
        <v>262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ProjectNacionalauto.NumberSeizedTotal Number SeizedResource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10</v>
      </c>
      <c r="K125" s="5" cm="1">
        <f t="array" ref="K125">IFERROR(AVERAGE(IF((OutputTable[GroupByKey]=OutputTable[[#This Row],[GroupByKey]]),(OutputTable[GroupByKey]=OutputTable[[#This Row],[GroupByKey]])*OutputTable[RecordedValue])),0)</f>
        <v>231.5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20.817994353176505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14.892296029003113</v>
      </c>
      <c r="O125" s="5" cm="1">
        <f t="array" ref="O125">MIN(IF((OutputTable[GroupByKey]=OutputTable[[#This Row],[GroupByKey]]),(OutputTable[GroupByKey]=OutputTable[[#This Row],[GroupByKey]])*OutputTable[RecordedValue]))</f>
        <v>202</v>
      </c>
      <c r="P125" s="5" cm="1">
        <f t="array" ref="P125">MAX(IF((OutputTable[GroupByKey]=OutputTable[[#This Row],[GroupByKey]]),(OutputTable[GroupByKey]=OutputTable[[#This Row],[GroupByKey]])*OutputTable[RecordedValue]))</f>
        <v>264</v>
      </c>
    </row>
    <row r="126" spans="1:16" x14ac:dyDescent="0.3">
      <c r="A126" t="s">
        <v>66</v>
      </c>
      <c r="B126" t="s">
        <v>68</v>
      </c>
      <c r="C126">
        <v>6</v>
      </c>
      <c r="D126" t="s">
        <v>129</v>
      </c>
      <c r="E126" t="s">
        <v>123</v>
      </c>
      <c r="F126" t="s">
        <v>103</v>
      </c>
      <c r="G126">
        <v>0.79079720639107598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ProjectNacionalauto.ScheduledUtilizationScheduled UtilizationResource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10</v>
      </c>
      <c r="K126" s="5" cm="1">
        <f t="array" ref="K126">IFERROR(AVERAGE(IF((OutputTable[GroupByKey]=OutputTable[[#This Row],[GroupByKey]]),(OutputTable[GroupByKey]=OutputTable[[#This Row],[GroupByKey]])*OutputTable[RecordedValue])),0)</f>
        <v>0.73175058451933661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6.0813477412386734E-2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4.3503341043041877E-2</v>
      </c>
      <c r="O126" s="5" cm="1">
        <f t="array" ref="O126">MIN(IF((OutputTable[GroupByKey]=OutputTable[[#This Row],[GroupByKey]]),(OutputTable[GroupByKey]=OutputTable[[#This Row],[GroupByKey]])*OutputTable[RecordedValue]))</f>
        <v>0.64995347349336796</v>
      </c>
      <c r="P126" s="5" cm="1">
        <f t="array" ref="P126">MAX(IF((OutputTable[GroupByKey]=OutputTable[[#This Row],[GroupByKey]]),(OutputTable[GroupByKey]=OutputTable[[#This Row],[GroupByKey]])*OutputTable[RecordedValue]))</f>
        <v>0.82581624655093899</v>
      </c>
    </row>
    <row r="127" spans="1:16" x14ac:dyDescent="0.3">
      <c r="A127" t="s">
        <v>66</v>
      </c>
      <c r="B127" t="s">
        <v>68</v>
      </c>
      <c r="C127">
        <v>6</v>
      </c>
      <c r="D127" t="s">
        <v>130</v>
      </c>
      <c r="E127" t="s">
        <v>121</v>
      </c>
      <c r="F127" t="s">
        <v>103</v>
      </c>
      <c r="G127">
        <v>395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ProjectOperarios Avion.NumberSeizedTotal Number SeizedResource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10</v>
      </c>
      <c r="K127" s="5" cm="1">
        <f t="array" ref="K127">IFERROR(AVERAGE(IF((OutputTable[GroupByKey]=OutputTable[[#This Row],[GroupByKey]]),(OutputTable[GroupByKey]=OutputTable[[#This Row],[GroupByKey]])*OutputTable[RecordedValue])),0)</f>
        <v>368.6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29.243042857328572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20.919212659586112</v>
      </c>
      <c r="O127" s="5" cm="1">
        <f t="array" ref="O127">MIN(IF((OutputTable[GroupByKey]=OutputTable[[#This Row],[GroupByKey]]),(OutputTable[GroupByKey]=OutputTable[[#This Row],[GroupByKey]])*OutputTable[RecordedValue]))</f>
        <v>338</v>
      </c>
      <c r="P127" s="5" cm="1">
        <f t="array" ref="P127">MAX(IF((OutputTable[GroupByKey]=OutputTable[[#This Row],[GroupByKey]]),(OutputTable[GroupByKey]=OutputTable[[#This Row],[GroupByKey]])*OutputTable[RecordedValue]))</f>
        <v>416</v>
      </c>
    </row>
    <row r="128" spans="1:16" x14ac:dyDescent="0.3">
      <c r="A128" t="s">
        <v>66</v>
      </c>
      <c r="B128" t="s">
        <v>68</v>
      </c>
      <c r="C128">
        <v>6</v>
      </c>
      <c r="D128" t="s">
        <v>131</v>
      </c>
      <c r="E128" t="s">
        <v>123</v>
      </c>
      <c r="F128" t="s">
        <v>103</v>
      </c>
      <c r="G128">
        <v>7.7011627741519206E-2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ProjectOperarios Avion.ScheduledUtilizationScheduled UtilizationResource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10</v>
      </c>
      <c r="K128" s="5" cm="1">
        <f t="array" ref="K128">IFERROR(AVERAGE(IF((OutputTable[GroupByKey]=OutputTable[[#This Row],[GroupByKey]]),(OutputTable[GroupByKey]=OutputTable[[#This Row],[GroupByKey]])*OutputTable[RecordedValue])),0)</f>
        <v>7.5958437118625627E-2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5.0572810112240948E-3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3.6177608968134627E-3</v>
      </c>
      <c r="O128" s="5" cm="1">
        <f t="array" ref="O128">MIN(IF((OutputTable[GroupByKey]=OutputTable[[#This Row],[GroupByKey]]),(OutputTable[GroupByKey]=OutputTable[[#This Row],[GroupByKey]])*OutputTable[RecordedValue]))</f>
        <v>6.7485948117393404E-2</v>
      </c>
      <c r="P128" s="5" cm="1">
        <f t="array" ref="P128">MAX(IF((OutputTable[GroupByKey]=OutputTable[[#This Row],[GroupByKey]]),(OutputTable[GroupByKey]=OutputTable[[#This Row],[GroupByKey]])*OutputTable[RecordedValue]))</f>
        <v>8.7852447587946303E-2</v>
      </c>
    </row>
    <row r="129" spans="1:16" x14ac:dyDescent="0.3">
      <c r="A129" t="s">
        <v>66</v>
      </c>
      <c r="B129" t="s">
        <v>68</v>
      </c>
      <c r="C129">
        <v>6</v>
      </c>
      <c r="D129" t="s">
        <v>132</v>
      </c>
      <c r="E129" t="s">
        <v>119</v>
      </c>
      <c r="F129" t="s">
        <v>133</v>
      </c>
      <c r="G129">
        <v>694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ProjectSystem.NumberOutNumber OutSystem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10</v>
      </c>
      <c r="K129" s="5" cm="1">
        <f t="array" ref="K129">IFERROR(AVERAGE(IF((OutputTable[GroupByKey]=OutputTable[[#This Row],[GroupByKey]]),(OutputTable[GroupByKey]=OutputTable[[#This Row],[GroupByKey]])*OutputTable[RecordedValue])),0)</f>
        <v>653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50.066622281382898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35.815504007612013</v>
      </c>
      <c r="O129" s="5" cm="1">
        <f t="array" ref="O129">MIN(IF((OutputTable[GroupByKey]=OutputTable[[#This Row],[GroupByKey]]),(OutputTable[GroupByKey]=OutputTable[[#This Row],[GroupByKey]])*OutputTable[RecordedValue]))</f>
        <v>594</v>
      </c>
      <c r="P129" s="5" cm="1">
        <f t="array" ref="P129">MAX(IF((OutputTable[GroupByKey]=OutputTable[[#This Row],[GroupByKey]]),(OutputTable[GroupByKey]=OutputTable[[#This Row],[GroupByKey]])*OutputTable[RecordedValue]))</f>
        <v>722</v>
      </c>
    </row>
    <row r="130" spans="1:16" x14ac:dyDescent="0.3">
      <c r="A130" t="s">
        <v>66</v>
      </c>
      <c r="B130" t="s">
        <v>68</v>
      </c>
      <c r="C130">
        <v>6</v>
      </c>
      <c r="D130" t="s">
        <v>134</v>
      </c>
      <c r="E130" t="s">
        <v>121</v>
      </c>
      <c r="F130" t="s">
        <v>103</v>
      </c>
      <c r="G130">
        <v>94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Projectcajera.NumberSeizedTotal Number SeizedResource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10</v>
      </c>
      <c r="K130" s="5" cm="1">
        <f t="array" ref="K130">IFERROR(AVERAGE(IF((OutputTable[GroupByKey]=OutputTable[[#This Row],[GroupByKey]]),(OutputTable[GroupByKey]=OutputTable[[#This Row],[GroupByKey]])*OutputTable[RecordedValue])),0)</f>
        <v>89.7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15.3554188770248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10.984604937751998</v>
      </c>
      <c r="O130" s="5" cm="1">
        <f t="array" ref="O130">MIN(IF((OutputTable[GroupByKey]=OutputTable[[#This Row],[GroupByKey]]),(OutputTable[GroupByKey]=OutputTable[[#This Row],[GroupByKey]])*OutputTable[RecordedValue]))</f>
        <v>72</v>
      </c>
      <c r="P130" s="5" cm="1">
        <f t="array" ref="P130">MAX(IF((OutputTable[GroupByKey]=OutputTable[[#This Row],[GroupByKey]]),(OutputTable[GroupByKey]=OutputTable[[#This Row],[GroupByKey]])*OutputTable[RecordedValue]))</f>
        <v>119</v>
      </c>
    </row>
    <row r="131" spans="1:16" x14ac:dyDescent="0.3">
      <c r="A131" t="s">
        <v>66</v>
      </c>
      <c r="B131" t="s">
        <v>68</v>
      </c>
      <c r="C131">
        <v>6</v>
      </c>
      <c r="D131" t="s">
        <v>135</v>
      </c>
      <c r="E131" t="s">
        <v>123</v>
      </c>
      <c r="F131" t="s">
        <v>103</v>
      </c>
      <c r="G131">
        <v>0.43455744255240097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Projectcajera.ScheduledUtilizationScheduled UtilizationResource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10</v>
      </c>
      <c r="K131" s="5" cm="1">
        <f t="array" ref="K131">IFERROR(AVERAGE(IF((OutputTable[GroupByKey]=OutputTable[[#This Row],[GroupByKey]]),(OutputTable[GroupByKey]=OutputTable[[#This Row],[GroupByKey]])*OutputTable[RecordedValue])),0)</f>
        <v>0.38078385056341441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5.6481911326734656E-2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4.040472533000234E-2</v>
      </c>
      <c r="O131" s="5" cm="1">
        <f t="array" ref="O131">MIN(IF((OutputTable[GroupByKey]=OutputTable[[#This Row],[GroupByKey]]),(OutputTable[GroupByKey]=OutputTable[[#This Row],[GroupByKey]])*OutputTable[RecordedValue]))</f>
        <v>0.28913636698845602</v>
      </c>
      <c r="P131" s="5" cm="1">
        <f t="array" ref="P131">MAX(IF((OutputTable[GroupByKey]=OutputTable[[#This Row],[GroupByKey]]),(OutputTable[GroupByKey]=OutputTable[[#This Row],[GroupByKey]])*OutputTable[RecordedValue]))</f>
        <v>0.46134650546047301</v>
      </c>
    </row>
    <row r="132" spans="1:16" x14ac:dyDescent="0.3">
      <c r="A132" t="s">
        <v>66</v>
      </c>
      <c r="B132" t="s">
        <v>68</v>
      </c>
      <c r="C132">
        <v>6</v>
      </c>
      <c r="D132" t="s">
        <v>136</v>
      </c>
      <c r="E132" t="s">
        <v>121</v>
      </c>
      <c r="F132" t="s">
        <v>103</v>
      </c>
      <c r="G132">
        <v>194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Projectcajera2.NumberSeizedTotal Number SeizedResource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10</v>
      </c>
      <c r="K132" s="5" cm="1">
        <f t="array" ref="K132">IFERROR(AVERAGE(IF((OutputTable[GroupByKey]=OutputTable[[#This Row],[GroupByKey]]),(OutputTable[GroupByKey]=OutputTable[[#This Row],[GroupByKey]])*OutputTable[RecordedValue])),0)</f>
        <v>181.1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9.7348172384830463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6.9638687399111214</v>
      </c>
      <c r="O132" s="5" cm="1">
        <f t="array" ref="O132">MIN(IF((OutputTable[GroupByKey]=OutputTable[[#This Row],[GroupByKey]]),(OutputTable[GroupByKey]=OutputTable[[#This Row],[GroupByKey]])*OutputTable[RecordedValue]))</f>
        <v>169</v>
      </c>
      <c r="P132" s="5" cm="1">
        <f t="array" ref="P132">MAX(IF((OutputTable[GroupByKey]=OutputTable[[#This Row],[GroupByKey]]),(OutputTable[GroupByKey]=OutputTable[[#This Row],[GroupByKey]])*OutputTable[RecordedValue]))</f>
        <v>194</v>
      </c>
    </row>
    <row r="133" spans="1:16" x14ac:dyDescent="0.3">
      <c r="A133" t="s">
        <v>66</v>
      </c>
      <c r="B133" t="s">
        <v>68</v>
      </c>
      <c r="C133">
        <v>6</v>
      </c>
      <c r="D133" t="s">
        <v>137</v>
      </c>
      <c r="E133" t="s">
        <v>123</v>
      </c>
      <c r="F133" t="s">
        <v>103</v>
      </c>
      <c r="G133">
        <v>0.76508676837623901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Projectcajera2.ScheduledUtilizationScheduled UtilizationResource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10</v>
      </c>
      <c r="K133" s="5" cm="1">
        <f t="array" ref="K133">IFERROR(AVERAGE(IF((OutputTable[GroupByKey]=OutputTable[[#This Row],[GroupByKey]]),(OutputTable[GroupByKey]=OutputTable[[#This Row],[GroupByKey]])*OutputTable[RecordedValue])),0)</f>
        <v>0.73571117943508912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2.3945213257811505E-2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1.7129373668915777E-2</v>
      </c>
      <c r="O133" s="5" cm="1">
        <f t="array" ref="O133">MIN(IF((OutputTable[GroupByKey]=OutputTable[[#This Row],[GroupByKey]]),(OutputTable[GroupByKey]=OutputTable[[#This Row],[GroupByKey]])*OutputTable[RecordedValue]))</f>
        <v>0.69752119636771104</v>
      </c>
      <c r="P133" s="5" cm="1">
        <f t="array" ref="P133">MAX(IF((OutputTable[GroupByKey]=OutputTable[[#This Row],[GroupByKey]]),(OutputTable[GroupByKey]=OutputTable[[#This Row],[GroupByKey]])*OutputTable[RecordedValue]))</f>
        <v>0.77845968782647601</v>
      </c>
    </row>
    <row r="134" spans="1:16" x14ac:dyDescent="0.3">
      <c r="A134" t="s">
        <v>66</v>
      </c>
      <c r="B134" t="s">
        <v>68</v>
      </c>
      <c r="C134">
        <v>6</v>
      </c>
      <c r="D134" t="s">
        <v>138</v>
      </c>
      <c r="E134" t="s">
        <v>117</v>
      </c>
      <c r="F134" t="s">
        <v>74</v>
      </c>
      <c r="G134">
        <v>0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Projectpersona.NumberInNumber InEntity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10</v>
      </c>
      <c r="K134" s="5" cm="1">
        <f t="array" ref="K134">IFERROR(AVERAGE(IF((OutputTable[GroupByKey]=OutputTable[[#This Row],[GroupByKey]]),(OutputTable[GroupByKey]=OutputTable[[#This Row],[GroupByKey]])*OutputTable[RecordedValue])),0)</f>
        <v>0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0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4" s="5" cm="1">
        <f t="array" ref="O134">MIN(IF((OutputTable[GroupByKey]=OutputTable[[#This Row],[GroupByKey]]),(OutputTable[GroupByKey]=OutputTable[[#This Row],[GroupByKey]])*OutputTable[RecordedValue]))</f>
        <v>0</v>
      </c>
      <c r="P134" s="5" cm="1">
        <f t="array" ref="P134">MAX(IF((OutputTable[GroupByKey]=OutputTable[[#This Row],[GroupByKey]]),(OutputTable[GroupByKey]=OutputTable[[#This Row],[GroupByKey]])*OutputTable[RecordedValue]))</f>
        <v>0</v>
      </c>
    </row>
    <row r="135" spans="1:16" x14ac:dyDescent="0.3">
      <c r="A135" t="s">
        <v>66</v>
      </c>
      <c r="B135" t="s">
        <v>68</v>
      </c>
      <c r="C135">
        <v>6</v>
      </c>
      <c r="D135" t="s">
        <v>139</v>
      </c>
      <c r="E135" t="s">
        <v>119</v>
      </c>
      <c r="F135" t="s">
        <v>74</v>
      </c>
      <c r="G135">
        <v>0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Projectpersona.NumberOutNumber OutEntity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10</v>
      </c>
      <c r="K135" s="5" cm="1">
        <f t="array" ref="K135">IFERROR(AVERAGE(IF((OutputTable[GroupByKey]=OutputTable[[#This Row],[GroupByKey]]),(OutputTable[GroupByKey]=OutputTable[[#This Row],[GroupByKey]])*OutputTable[RecordedValue])),0)</f>
        <v>0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0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5" s="5" cm="1">
        <f t="array" ref="O135">MIN(IF((OutputTable[GroupByKey]=OutputTable[[#This Row],[GroupByKey]]),(OutputTable[GroupByKey]=OutputTable[[#This Row],[GroupByKey]])*OutputTable[RecordedValue]))</f>
        <v>0</v>
      </c>
      <c r="P135" s="5" cm="1">
        <f t="array" ref="P135">MAX(IF((OutputTable[GroupByKey]=OutputTable[[#This Row],[GroupByKey]]),(OutputTable[GroupByKey]=OutputTable[[#This Row],[GroupByKey]])*OutputTable[RecordedValue]))</f>
        <v>0</v>
      </c>
    </row>
    <row r="136" spans="1:16" x14ac:dyDescent="0.3">
      <c r="A136" t="s">
        <v>66</v>
      </c>
      <c r="B136" t="s">
        <v>68</v>
      </c>
      <c r="C136">
        <v>6</v>
      </c>
      <c r="D136" t="s">
        <v>140</v>
      </c>
      <c r="E136" t="s">
        <v>121</v>
      </c>
      <c r="F136" t="s">
        <v>103</v>
      </c>
      <c r="G136">
        <v>5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Projectregistro1.NumberSeizedTotal Number SeizedResource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10</v>
      </c>
      <c r="K136" s="5" cm="1">
        <f t="array" ref="K136">IFERROR(AVERAGE(IF((OutputTable[GroupByKey]=OutputTable[[#This Row],[GroupByKey]]),(OutputTable[GroupByKey]=OutputTable[[#This Row],[GroupByKey]])*OutputTable[RecordedValue])),0)</f>
        <v>7.6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2.9135697844549542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2.0842422663373124</v>
      </c>
      <c r="O136" s="5" cm="1">
        <f t="array" ref="O136">MIN(IF((OutputTable[GroupByKey]=OutputTable[[#This Row],[GroupByKey]]),(OutputTable[GroupByKey]=OutputTable[[#This Row],[GroupByKey]])*OutputTable[RecordedValue]))</f>
        <v>4</v>
      </c>
      <c r="P136" s="5" cm="1">
        <f t="array" ref="P136">MAX(IF((OutputTable[GroupByKey]=OutputTable[[#This Row],[GroupByKey]]),(OutputTable[GroupByKey]=OutputTable[[#This Row],[GroupByKey]])*OutputTable[RecordedValue]))</f>
        <v>12</v>
      </c>
    </row>
    <row r="137" spans="1:16" x14ac:dyDescent="0.3">
      <c r="A137" t="s">
        <v>66</v>
      </c>
      <c r="B137" t="s">
        <v>68</v>
      </c>
      <c r="C137">
        <v>6</v>
      </c>
      <c r="D137" t="s">
        <v>141</v>
      </c>
      <c r="E137" t="s">
        <v>123</v>
      </c>
      <c r="F137" t="s">
        <v>103</v>
      </c>
      <c r="G137">
        <v>3.5816500454340899E-2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Projectregistro1.ScheduledUtilizationScheduled UtilizationResource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10</v>
      </c>
      <c r="K137" s="5" cm="1">
        <f t="array" ref="K137">IFERROR(AVERAGE(IF((OutputTable[GroupByKey]=OutputTable[[#This Row],[GroupByKey]]),(OutputTable[GroupByKey]=OutputTable[[#This Row],[GroupByKey]])*OutputTable[RecordedValue])),0)</f>
        <v>5.6433247648491516E-2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2.4456082934732001E-2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1.7494827820351853E-2</v>
      </c>
      <c r="O137" s="5" cm="1">
        <f t="array" ref="O137">MIN(IF((OutputTable[GroupByKey]=OutputTable[[#This Row],[GroupByKey]]),(OutputTable[GroupByKey]=OutputTable[[#This Row],[GroupByKey]])*OutputTable[RecordedValue]))</f>
        <v>2.1279401430778E-2</v>
      </c>
      <c r="P137" s="5" cm="1">
        <f t="array" ref="P137">MAX(IF((OutputTable[GroupByKey]=OutputTable[[#This Row],[GroupByKey]]),(OutputTable[GroupByKey]=OutputTable[[#This Row],[GroupByKey]])*OutputTable[RecordedValue]))</f>
        <v>8.8472374570180701E-2</v>
      </c>
    </row>
    <row r="138" spans="1:16" x14ac:dyDescent="0.3">
      <c r="A138" t="s">
        <v>66</v>
      </c>
      <c r="B138" t="s">
        <v>68</v>
      </c>
      <c r="C138">
        <v>6</v>
      </c>
      <c r="D138" t="s">
        <v>142</v>
      </c>
      <c r="E138" t="s">
        <v>121</v>
      </c>
      <c r="F138" t="s">
        <v>103</v>
      </c>
      <c r="G138">
        <v>18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Projectregistro2.NumberSeizedTotal Number SeizedResource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10</v>
      </c>
      <c r="K138" s="5" cm="1">
        <f t="array" ref="K138">IFERROR(AVERAGE(IF((OutputTable[GroupByKey]=OutputTable[[#This Row],[GroupByKey]]),(OutputTable[GroupByKey]=OutputTable[[#This Row],[GroupByKey]])*OutputTable[RecordedValue])),0)</f>
        <v>18.8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2.8205594401741556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2.0177066742293341</v>
      </c>
      <c r="O138" s="5" cm="1">
        <f t="array" ref="O138">MIN(IF((OutputTable[GroupByKey]=OutputTable[[#This Row],[GroupByKey]]),(OutputTable[GroupByKey]=OutputTable[[#This Row],[GroupByKey]])*OutputTable[RecordedValue]))</f>
        <v>14</v>
      </c>
      <c r="P138" s="5" cm="1">
        <f t="array" ref="P138">MAX(IF((OutputTable[GroupByKey]=OutputTable[[#This Row],[GroupByKey]]),(OutputTable[GroupByKey]=OutputTable[[#This Row],[GroupByKey]])*OutputTable[RecordedValue]))</f>
        <v>24</v>
      </c>
    </row>
    <row r="139" spans="1:16" x14ac:dyDescent="0.3">
      <c r="A139" t="s">
        <v>66</v>
      </c>
      <c r="B139" t="s">
        <v>68</v>
      </c>
      <c r="C139">
        <v>6</v>
      </c>
      <c r="D139" t="s">
        <v>143</v>
      </c>
      <c r="E139" t="s">
        <v>123</v>
      </c>
      <c r="F139" t="s">
        <v>103</v>
      </c>
      <c r="G139">
        <v>0.38016226178227103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Projectregistro2.ScheduledUtilizationScheduled UtilizationResource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10</v>
      </c>
      <c r="K139" s="5" cm="1">
        <f t="array" ref="K139">IFERROR(AVERAGE(IF((OutputTable[GroupByKey]=OutputTable[[#This Row],[GroupByKey]]),(OutputTable[GroupByKey]=OutputTable[[#This Row],[GroupByKey]])*OutputTable[RecordedValue])),0)</f>
        <v>0.46274808587050231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9.1165192054027525E-2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6.5215649719990554E-2</v>
      </c>
      <c r="O139" s="5" cm="1">
        <f t="array" ref="O139">MIN(IF((OutputTable[GroupByKey]=OutputTable[[#This Row],[GroupByKey]]),(OutputTable[GroupByKey]=OutputTable[[#This Row],[GroupByKey]])*OutputTable[RecordedValue]))</f>
        <v>0.338210899349628</v>
      </c>
      <c r="P139" s="5" cm="1">
        <f t="array" ref="P139">MAX(IF((OutputTable[GroupByKey]=OutputTable[[#This Row],[GroupByKey]]),(OutputTable[GroupByKey]=OutputTable[[#This Row],[GroupByKey]])*OutputTable[RecordedValue]))</f>
        <v>0.66990172486561195</v>
      </c>
    </row>
    <row r="140" spans="1:16" x14ac:dyDescent="0.3">
      <c r="A140" t="s">
        <v>66</v>
      </c>
      <c r="B140" t="s">
        <v>68</v>
      </c>
      <c r="C140">
        <v>7</v>
      </c>
      <c r="D140" t="s">
        <v>116</v>
      </c>
      <c r="E140" t="s">
        <v>117</v>
      </c>
      <c r="F140" t="s">
        <v>74</v>
      </c>
      <c r="G140">
        <v>612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ProjectEntity 1.NumberInNumber InEntity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10</v>
      </c>
      <c r="K140" s="5" cm="1">
        <f t="array" ref="K140">IFERROR(AVERAGE(IF((OutputTable[GroupByKey]=OutputTable[[#This Row],[GroupByKey]]),(OutputTable[GroupByKey]=OutputTable[[#This Row],[GroupByKey]])*OutputTable[RecordedValue])),0)</f>
        <v>677.4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50.383418789209699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36.042126577273301</v>
      </c>
      <c r="O140" s="5" cm="1">
        <f t="array" ref="O140">MIN(IF((OutputTable[GroupByKey]=OutputTable[[#This Row],[GroupByKey]]),(OutputTable[GroupByKey]=OutputTable[[#This Row],[GroupByKey]])*OutputTable[RecordedValue]))</f>
        <v>612</v>
      </c>
      <c r="P140" s="5" cm="1">
        <f t="array" ref="P140">MAX(IF((OutputTable[GroupByKey]=OutputTable[[#This Row],[GroupByKey]]),(OutputTable[GroupByKey]=OutputTable[[#This Row],[GroupByKey]])*OutputTable[RecordedValue]))</f>
        <v>757</v>
      </c>
    </row>
    <row r="141" spans="1:16" x14ac:dyDescent="0.3">
      <c r="A141" t="s">
        <v>66</v>
      </c>
      <c r="B141" t="s">
        <v>68</v>
      </c>
      <c r="C141">
        <v>7</v>
      </c>
      <c r="D141" t="s">
        <v>118</v>
      </c>
      <c r="E141" t="s">
        <v>119</v>
      </c>
      <c r="F141" t="s">
        <v>74</v>
      </c>
      <c r="G141">
        <v>608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ProjectEntity 1.NumberOutNumber OutEntity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10</v>
      </c>
      <c r="K141" s="5" cm="1">
        <f t="array" ref="K141">IFERROR(AVERAGE(IF((OutputTable[GroupByKey]=OutputTable[[#This Row],[GroupByKey]]),(OutputTable[GroupByKey]=OutputTable[[#This Row],[GroupByKey]])*OutputTable[RecordedValue])),0)</f>
        <v>673.8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51.503613681199326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36.843465729291147</v>
      </c>
      <c r="O141" s="5" cm="1">
        <f t="array" ref="O141">MIN(IF((OutputTable[GroupByKey]=OutputTable[[#This Row],[GroupByKey]]),(OutputTable[GroupByKey]=OutputTable[[#This Row],[GroupByKey]])*OutputTable[RecordedValue]))</f>
        <v>608</v>
      </c>
      <c r="P141" s="5" cm="1">
        <f t="array" ref="P141">MAX(IF((OutputTable[GroupByKey]=OutputTable[[#This Row],[GroupByKey]]),(OutputTable[GroupByKey]=OutputTable[[#This Row],[GroupByKey]])*OutputTable[RecordedValue]))</f>
        <v>755</v>
      </c>
    </row>
    <row r="142" spans="1:16" x14ac:dyDescent="0.3">
      <c r="A142" t="s">
        <v>66</v>
      </c>
      <c r="B142" t="s">
        <v>68</v>
      </c>
      <c r="C142">
        <v>7</v>
      </c>
      <c r="D142" t="s">
        <v>120</v>
      </c>
      <c r="E142" t="s">
        <v>121</v>
      </c>
      <c r="F142" t="s">
        <v>103</v>
      </c>
      <c r="G142">
        <v>156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ProjectInterauto.NumberSeizedTotal Number SeizedResource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10</v>
      </c>
      <c r="K142" s="5" cm="1">
        <f t="array" ref="K142">IFERROR(AVERAGE(IF((OutputTable[GroupByKey]=OutputTable[[#This Row],[GroupByKey]]),(OutputTable[GroupByKey]=OutputTable[[#This Row],[GroupByKey]])*OutputTable[RecordedValue])),0)</f>
        <v>161.5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13.778001790293589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9.8561887311626997</v>
      </c>
      <c r="O142" s="5" cm="1">
        <f t="array" ref="O142">MIN(IF((OutputTable[GroupByKey]=OutputTable[[#This Row],[GroupByKey]]),(OutputTable[GroupByKey]=OutputTable[[#This Row],[GroupByKey]])*OutputTable[RecordedValue]))</f>
        <v>147</v>
      </c>
      <c r="P142" s="5" cm="1">
        <f t="array" ref="P142">MAX(IF((OutputTable[GroupByKey]=OutputTable[[#This Row],[GroupByKey]]),(OutputTable[GroupByKey]=OutputTable[[#This Row],[GroupByKey]])*OutputTable[RecordedValue]))</f>
        <v>191</v>
      </c>
    </row>
    <row r="143" spans="1:16" x14ac:dyDescent="0.3">
      <c r="A143" t="s">
        <v>66</v>
      </c>
      <c r="B143" t="s">
        <v>68</v>
      </c>
      <c r="C143">
        <v>7</v>
      </c>
      <c r="D143" t="s">
        <v>122</v>
      </c>
      <c r="E143" t="s">
        <v>123</v>
      </c>
      <c r="F143" t="s">
        <v>103</v>
      </c>
      <c r="G143">
        <v>0.28134582132828501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ProjectInterauto.ScheduledUtilizationScheduled UtilizationResource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10</v>
      </c>
      <c r="K143" s="5" cm="1">
        <f t="array" ref="K143">IFERROR(AVERAGE(IF((OutputTable[GroupByKey]=OutputTable[[#This Row],[GroupByKey]]),(OutputTable[GroupByKey]=OutputTable[[#This Row],[GroupByKey]])*OutputTable[RecordedValue])),0)</f>
        <v>0.26535205929836458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2.5807993647623796E-2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1.8461926485074727E-2</v>
      </c>
      <c r="O143" s="5" cm="1">
        <f t="array" ref="O143">MIN(IF((OutputTable[GroupByKey]=OutputTable[[#This Row],[GroupByKey]]),(OutputTable[GroupByKey]=OutputTable[[#This Row],[GroupByKey]])*OutputTable[RecordedValue]))</f>
        <v>0.20483176768320299</v>
      </c>
      <c r="P143" s="5" cm="1">
        <f t="array" ref="P143">MAX(IF((OutputTable[GroupByKey]=OutputTable[[#This Row],[GroupByKey]]),(OutputTable[GroupByKey]=OutputTable[[#This Row],[GroupByKey]])*OutputTable[RecordedValue]))</f>
        <v>0.29552077299252399</v>
      </c>
    </row>
    <row r="144" spans="1:16" x14ac:dyDescent="0.3">
      <c r="A144" t="s">
        <v>66</v>
      </c>
      <c r="B144" t="s">
        <v>68</v>
      </c>
      <c r="C144">
        <v>7</v>
      </c>
      <c r="D144" t="s">
        <v>124</v>
      </c>
      <c r="E144" t="s">
        <v>117</v>
      </c>
      <c r="F144" t="s">
        <v>74</v>
      </c>
      <c r="G144">
        <v>210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ProjectMaleta Internacional.NumberInNumber InEntity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10</v>
      </c>
      <c r="K144" s="5" cm="1">
        <f t="array" ref="K144">IFERROR(AVERAGE(IF((OutputTable[GroupByKey]=OutputTable[[#This Row],[GroupByKey]]),(OutputTable[GroupByKey]=OutputTable[[#This Row],[GroupByKey]])*OutputTable[RecordedValue])),0)</f>
        <v>241.3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25.59101404790356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18.306708629960106</v>
      </c>
      <c r="O144" s="5" cm="1">
        <f t="array" ref="O144">MIN(IF((OutputTable[GroupByKey]=OutputTable[[#This Row],[GroupByKey]]),(OutputTable[GroupByKey]=OutputTable[[#This Row],[GroupByKey]])*OutputTable[RecordedValue]))</f>
        <v>207</v>
      </c>
      <c r="P144" s="5" cm="1">
        <f t="array" ref="P144">MAX(IF((OutputTable[GroupByKey]=OutputTable[[#This Row],[GroupByKey]]),(OutputTable[GroupByKey]=OutputTable[[#This Row],[GroupByKey]])*OutputTable[RecordedValue]))</f>
        <v>287</v>
      </c>
    </row>
    <row r="145" spans="1:16" x14ac:dyDescent="0.3">
      <c r="A145" t="s">
        <v>66</v>
      </c>
      <c r="B145" t="s">
        <v>68</v>
      </c>
      <c r="C145">
        <v>7</v>
      </c>
      <c r="D145" t="s">
        <v>125</v>
      </c>
      <c r="E145" t="s">
        <v>119</v>
      </c>
      <c r="F145" t="s">
        <v>74</v>
      </c>
      <c r="G145">
        <v>202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ProjectMaleta Internacional.NumberOutNumber OutEntity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10</v>
      </c>
      <c r="K145" s="5" cm="1">
        <f t="array" ref="K145">IFERROR(AVERAGE(IF((OutputTable[GroupByKey]=OutputTable[[#This Row],[GroupByKey]]),(OutputTable[GroupByKey]=OutputTable[[#This Row],[GroupByKey]])*OutputTable[RecordedValue])),0)</f>
        <v>224.5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20.812656405818711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14.888477491497007</v>
      </c>
      <c r="O145" s="5" cm="1">
        <f t="array" ref="O145">MIN(IF((OutputTable[GroupByKey]=OutputTable[[#This Row],[GroupByKey]]),(OutputTable[GroupByKey]=OutputTable[[#This Row],[GroupByKey]])*OutputTable[RecordedValue]))</f>
        <v>199</v>
      </c>
      <c r="P145" s="5" cm="1">
        <f t="array" ref="P145">MAX(IF((OutputTable[GroupByKey]=OutputTable[[#This Row],[GroupByKey]]),(OutputTable[GroupByKey]=OutputTable[[#This Row],[GroupByKey]])*OutputTable[RecordedValue]))</f>
        <v>256</v>
      </c>
    </row>
    <row r="146" spans="1:16" x14ac:dyDescent="0.3">
      <c r="A146" t="s">
        <v>66</v>
      </c>
      <c r="B146" t="s">
        <v>68</v>
      </c>
      <c r="C146">
        <v>7</v>
      </c>
      <c r="D146" t="s">
        <v>126</v>
      </c>
      <c r="E146" t="s">
        <v>117</v>
      </c>
      <c r="F146" t="s">
        <v>74</v>
      </c>
      <c r="G146">
        <v>156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ProjectMaleta Nacional.NumberInNumber InEntity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10</v>
      </c>
      <c r="K146" s="5" cm="1">
        <f t="array" ref="K146">IFERROR(AVERAGE(IF((OutputTable[GroupByKey]=OutputTable[[#This Row],[GroupByKey]]),(OutputTable[GroupByKey]=OutputTable[[#This Row],[GroupByKey]])*OutputTable[RecordedValue])),0)</f>
        <v>163.1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14.371654200002325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10.280862082193972</v>
      </c>
      <c r="O146" s="5" cm="1">
        <f t="array" ref="O146">MIN(IF((OutputTable[GroupByKey]=OutputTable[[#This Row],[GroupByKey]]),(OutputTable[GroupByKey]=OutputTable[[#This Row],[GroupByKey]])*OutputTable[RecordedValue]))</f>
        <v>149</v>
      </c>
      <c r="P146" s="5" cm="1">
        <f t="array" ref="P146">MAX(IF((OutputTable[GroupByKey]=OutputTable[[#This Row],[GroupByKey]]),(OutputTable[GroupByKey]=OutputTable[[#This Row],[GroupByKey]])*OutputTable[RecordedValue]))</f>
        <v>191</v>
      </c>
    </row>
    <row r="147" spans="1:16" x14ac:dyDescent="0.3">
      <c r="A147" t="s">
        <v>66</v>
      </c>
      <c r="B147" t="s">
        <v>68</v>
      </c>
      <c r="C147">
        <v>7</v>
      </c>
      <c r="D147" t="s">
        <v>127</v>
      </c>
      <c r="E147" t="s">
        <v>119</v>
      </c>
      <c r="F147" t="s">
        <v>74</v>
      </c>
      <c r="G147">
        <v>150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ProjectMaleta Nacional.NumberOutNumber OutEntity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10</v>
      </c>
      <c r="K147" s="5" cm="1">
        <f t="array" ref="K147">IFERROR(AVERAGE(IF((OutputTable[GroupByKey]=OutputTable[[#This Row],[GroupByKey]]),(OutputTable[GroupByKey]=OutputTable[[#This Row],[GroupByKey]])*OutputTable[RecordedValue])),0)</f>
        <v>159.1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14.153523314787106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10.12482064704977</v>
      </c>
      <c r="O147" s="5" cm="1">
        <f t="array" ref="O147">MIN(IF((OutputTable[GroupByKey]=OutputTable[[#This Row],[GroupByKey]]),(OutputTable[GroupByKey]=OutputTable[[#This Row],[GroupByKey]])*OutputTable[RecordedValue]))</f>
        <v>145</v>
      </c>
      <c r="P147" s="5" cm="1">
        <f t="array" ref="P147">MAX(IF((OutputTable[GroupByKey]=OutputTable[[#This Row],[GroupByKey]]),(OutputTable[GroupByKey]=OutputTable[[#This Row],[GroupByKey]])*OutputTable[RecordedValue]))</f>
        <v>189</v>
      </c>
    </row>
    <row r="148" spans="1:16" x14ac:dyDescent="0.3">
      <c r="A148" t="s">
        <v>66</v>
      </c>
      <c r="B148" t="s">
        <v>68</v>
      </c>
      <c r="C148">
        <v>7</v>
      </c>
      <c r="D148" t="s">
        <v>128</v>
      </c>
      <c r="E148" t="s">
        <v>121</v>
      </c>
      <c r="F148" t="s">
        <v>103</v>
      </c>
      <c r="G148">
        <v>208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ProjectNacionalauto.NumberSeizedTotal Number SeizedResource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10</v>
      </c>
      <c r="K148" s="5" cm="1">
        <f t="array" ref="K148">IFERROR(AVERAGE(IF((OutputTable[GroupByKey]=OutputTable[[#This Row],[GroupByKey]]),(OutputTable[GroupByKey]=OutputTable[[#This Row],[GroupByKey]])*OutputTable[RecordedValue])),0)</f>
        <v>231.5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20.817994353176505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14.892296029003113</v>
      </c>
      <c r="O148" s="5" cm="1">
        <f t="array" ref="O148">MIN(IF((OutputTable[GroupByKey]=OutputTable[[#This Row],[GroupByKey]]),(OutputTable[GroupByKey]=OutputTable[[#This Row],[GroupByKey]])*OutputTable[RecordedValue]))</f>
        <v>202</v>
      </c>
      <c r="P148" s="5" cm="1">
        <f t="array" ref="P148">MAX(IF((OutputTable[GroupByKey]=OutputTable[[#This Row],[GroupByKey]]),(OutputTable[GroupByKey]=OutputTable[[#This Row],[GroupByKey]])*OutputTable[RecordedValue]))</f>
        <v>264</v>
      </c>
    </row>
    <row r="149" spans="1:16" x14ac:dyDescent="0.3">
      <c r="A149" t="s">
        <v>66</v>
      </c>
      <c r="B149" t="s">
        <v>68</v>
      </c>
      <c r="C149">
        <v>7</v>
      </c>
      <c r="D149" t="s">
        <v>129</v>
      </c>
      <c r="E149" t="s">
        <v>123</v>
      </c>
      <c r="F149" t="s">
        <v>103</v>
      </c>
      <c r="G149">
        <v>0.652603779419615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ProjectNacionalauto.ScheduledUtilizationScheduled UtilizationResource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10</v>
      </c>
      <c r="K149" s="5" cm="1">
        <f t="array" ref="K149">IFERROR(AVERAGE(IF((OutputTable[GroupByKey]=OutputTable[[#This Row],[GroupByKey]]),(OutputTable[GroupByKey]=OutputTable[[#This Row],[GroupByKey]])*OutputTable[RecordedValue])),0)</f>
        <v>0.73175058451933661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6.0813477412386734E-2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4.3503341043041877E-2</v>
      </c>
      <c r="O149" s="5" cm="1">
        <f t="array" ref="O149">MIN(IF((OutputTable[GroupByKey]=OutputTable[[#This Row],[GroupByKey]]),(OutputTable[GroupByKey]=OutputTable[[#This Row],[GroupByKey]])*OutputTable[RecordedValue]))</f>
        <v>0.64995347349336796</v>
      </c>
      <c r="P149" s="5" cm="1">
        <f t="array" ref="P149">MAX(IF((OutputTable[GroupByKey]=OutputTable[[#This Row],[GroupByKey]]),(OutputTable[GroupByKey]=OutputTable[[#This Row],[GroupByKey]])*OutputTable[RecordedValue]))</f>
        <v>0.82581624655093899</v>
      </c>
    </row>
    <row r="150" spans="1:16" x14ac:dyDescent="0.3">
      <c r="A150" t="s">
        <v>66</v>
      </c>
      <c r="B150" t="s">
        <v>68</v>
      </c>
      <c r="C150">
        <v>7</v>
      </c>
      <c r="D150" t="s">
        <v>130</v>
      </c>
      <c r="E150" t="s">
        <v>121</v>
      </c>
      <c r="F150" t="s">
        <v>103</v>
      </c>
      <c r="G150">
        <v>338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ProjectOperarios Avion.NumberSeizedTotal Number SeizedResource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10</v>
      </c>
      <c r="K150" s="5" cm="1">
        <f t="array" ref="K150">IFERROR(AVERAGE(IF((OutputTable[GroupByKey]=OutputTable[[#This Row],[GroupByKey]]),(OutputTable[GroupByKey]=OutputTable[[#This Row],[GroupByKey]])*OutputTable[RecordedValue])),0)</f>
        <v>368.6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29.243042857328572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20.919212659586112</v>
      </c>
      <c r="O150" s="5" cm="1">
        <f t="array" ref="O150">MIN(IF((OutputTable[GroupByKey]=OutputTable[[#This Row],[GroupByKey]]),(OutputTable[GroupByKey]=OutputTable[[#This Row],[GroupByKey]])*OutputTable[RecordedValue]))</f>
        <v>338</v>
      </c>
      <c r="P150" s="5" cm="1">
        <f t="array" ref="P150">MAX(IF((OutputTable[GroupByKey]=OutputTable[[#This Row],[GroupByKey]]),(OutputTable[GroupByKey]=OutputTable[[#This Row],[GroupByKey]])*OutputTable[RecordedValue]))</f>
        <v>416</v>
      </c>
    </row>
    <row r="151" spans="1:16" x14ac:dyDescent="0.3">
      <c r="A151" t="s">
        <v>66</v>
      </c>
      <c r="B151" t="s">
        <v>68</v>
      </c>
      <c r="C151">
        <v>7</v>
      </c>
      <c r="D151" t="s">
        <v>131</v>
      </c>
      <c r="E151" t="s">
        <v>123</v>
      </c>
      <c r="F151" t="s">
        <v>103</v>
      </c>
      <c r="G151">
        <v>7.2569428850728201E-2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ProjectOperarios Avion.ScheduledUtilizationScheduled UtilizationResource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10</v>
      </c>
      <c r="K151" s="5" cm="1">
        <f t="array" ref="K151">IFERROR(AVERAGE(IF((OutputTable[GroupByKey]=OutputTable[[#This Row],[GroupByKey]]),(OutputTable[GroupByKey]=OutputTable[[#This Row],[GroupByKey]])*OutputTable[RecordedValue])),0)</f>
        <v>7.5958437118625627E-2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5.0572810112240948E-3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3.6177608968134627E-3</v>
      </c>
      <c r="O151" s="5" cm="1">
        <f t="array" ref="O151">MIN(IF((OutputTable[GroupByKey]=OutputTable[[#This Row],[GroupByKey]]),(OutputTable[GroupByKey]=OutputTable[[#This Row],[GroupByKey]])*OutputTable[RecordedValue]))</f>
        <v>6.7485948117393404E-2</v>
      </c>
      <c r="P151" s="5" cm="1">
        <f t="array" ref="P151">MAX(IF((OutputTable[GroupByKey]=OutputTable[[#This Row],[GroupByKey]]),(OutputTable[GroupByKey]=OutputTable[[#This Row],[GroupByKey]])*OutputTable[RecordedValue]))</f>
        <v>8.7852447587946303E-2</v>
      </c>
    </row>
    <row r="152" spans="1:16" x14ac:dyDescent="0.3">
      <c r="A152" t="s">
        <v>66</v>
      </c>
      <c r="B152" t="s">
        <v>68</v>
      </c>
      <c r="C152">
        <v>7</v>
      </c>
      <c r="D152" t="s">
        <v>132</v>
      </c>
      <c r="E152" t="s">
        <v>119</v>
      </c>
      <c r="F152" t="s">
        <v>133</v>
      </c>
      <c r="G152">
        <v>594</v>
      </c>
      <c r="H152">
        <v>0</v>
      </c>
      <c r="I152" s="5" t="str">
        <f>OutputTable[[#This Row],[ProjectName]]&amp;OutputTable[[#This Row],[Name]]&amp;OutputTable[[#This Row],[Type]]&amp;OutputTable[[#This Row],[Source]]</f>
        <v>Unnamed ProjectSystem.NumberOutNumber OutSystem</v>
      </c>
      <c r="J152" s="5" cm="1">
        <f t="array" ref="J152">MAX(IF((ProjectInfoTable[ProjectName]=OutputTable[[#This Row],[ProjectName]]),(ProjectInfoTable[ProjectName]=OutputTable[[#This Row],[ProjectName]])*ProjectInfoTable[NumberOfReplications]))</f>
        <v>10</v>
      </c>
      <c r="K152" s="5" cm="1">
        <f t="array" ref="K152">IFERROR(AVERAGE(IF((OutputTable[GroupByKey]=OutputTable[[#This Row],[GroupByKey]]),(OutputTable[GroupByKey]=OutputTable[[#This Row],[GroupByKey]])*OutputTable[RecordedValue])),0)</f>
        <v>653</v>
      </c>
      <c r="L152" s="5" cm="1">
        <f t="array" ref="L152">IFERROR(_xlfn.STDEV.S(IF((OutputTable[GroupByKey]=OutputTable[[#This Row],[GroupByKey]]),(OutputTable[GroupByKey]=OutputTable[[#This Row],[GroupByKey]])*OutputTable[RecordedValue])),0)</f>
        <v>50.066622281382898</v>
      </c>
      <c r="M152" s="5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35.815504007612013</v>
      </c>
      <c r="O152" s="5" cm="1">
        <f t="array" ref="O152">MIN(IF((OutputTable[GroupByKey]=OutputTable[[#This Row],[GroupByKey]]),(OutputTable[GroupByKey]=OutputTable[[#This Row],[GroupByKey]])*OutputTable[RecordedValue]))</f>
        <v>594</v>
      </c>
      <c r="P152" s="5" cm="1">
        <f t="array" ref="P152">MAX(IF((OutputTable[GroupByKey]=OutputTable[[#This Row],[GroupByKey]]),(OutputTable[GroupByKey]=OutputTable[[#This Row],[GroupByKey]])*OutputTable[RecordedValue]))</f>
        <v>722</v>
      </c>
    </row>
    <row r="153" spans="1:16" x14ac:dyDescent="0.3">
      <c r="A153" t="s">
        <v>66</v>
      </c>
      <c r="B153" t="s">
        <v>68</v>
      </c>
      <c r="C153">
        <v>7</v>
      </c>
      <c r="D153" t="s">
        <v>134</v>
      </c>
      <c r="E153" t="s">
        <v>121</v>
      </c>
      <c r="F153" t="s">
        <v>103</v>
      </c>
      <c r="G153">
        <v>72</v>
      </c>
      <c r="H153">
        <v>0</v>
      </c>
      <c r="I153" s="5" t="str">
        <f>OutputTable[[#This Row],[ProjectName]]&amp;OutputTable[[#This Row],[Name]]&amp;OutputTable[[#This Row],[Type]]&amp;OutputTable[[#This Row],[Source]]</f>
        <v>Unnamed Projectcajera.NumberSeizedTotal Number SeizedResource</v>
      </c>
      <c r="J153" s="5" cm="1">
        <f t="array" ref="J153">MAX(IF((ProjectInfoTable[ProjectName]=OutputTable[[#This Row],[ProjectName]]),(ProjectInfoTable[ProjectName]=OutputTable[[#This Row],[ProjectName]])*ProjectInfoTable[NumberOfReplications]))</f>
        <v>10</v>
      </c>
      <c r="K153" s="5" cm="1">
        <f t="array" ref="K153">IFERROR(AVERAGE(IF((OutputTable[GroupByKey]=OutputTable[[#This Row],[GroupByKey]]),(OutputTable[GroupByKey]=OutputTable[[#This Row],[GroupByKey]])*OutputTable[RecordedValue])),0)</f>
        <v>89.7</v>
      </c>
      <c r="L153" s="5" cm="1">
        <f t="array" ref="L153">IFERROR(_xlfn.STDEV.S(IF((OutputTable[GroupByKey]=OutputTable[[#This Row],[GroupByKey]]),(OutputTable[GroupByKey]=OutputTable[[#This Row],[GroupByKey]])*OutputTable[RecordedValue])),0)</f>
        <v>15.3554188770248</v>
      </c>
      <c r="M153" s="5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10.984604937751998</v>
      </c>
      <c r="O153" s="5" cm="1">
        <f t="array" ref="O153">MIN(IF((OutputTable[GroupByKey]=OutputTable[[#This Row],[GroupByKey]]),(OutputTable[GroupByKey]=OutputTable[[#This Row],[GroupByKey]])*OutputTable[RecordedValue]))</f>
        <v>72</v>
      </c>
      <c r="P153" s="5" cm="1">
        <f t="array" ref="P153">MAX(IF((OutputTable[GroupByKey]=OutputTable[[#This Row],[GroupByKey]]),(OutputTable[GroupByKey]=OutputTable[[#This Row],[GroupByKey]])*OutputTable[RecordedValue]))</f>
        <v>119</v>
      </c>
    </row>
    <row r="154" spans="1:16" x14ac:dyDescent="0.3">
      <c r="A154" t="s">
        <v>66</v>
      </c>
      <c r="B154" t="s">
        <v>68</v>
      </c>
      <c r="C154">
        <v>7</v>
      </c>
      <c r="D154" t="s">
        <v>135</v>
      </c>
      <c r="E154" t="s">
        <v>123</v>
      </c>
      <c r="F154" t="s">
        <v>103</v>
      </c>
      <c r="G154">
        <v>0.28913636698845602</v>
      </c>
      <c r="H154">
        <v>0</v>
      </c>
      <c r="I154" s="5" t="str">
        <f>OutputTable[[#This Row],[ProjectName]]&amp;OutputTable[[#This Row],[Name]]&amp;OutputTable[[#This Row],[Type]]&amp;OutputTable[[#This Row],[Source]]</f>
        <v>Unnamed Projectcajera.ScheduledUtilizationScheduled UtilizationResource</v>
      </c>
      <c r="J154" s="5" cm="1">
        <f t="array" ref="J154">MAX(IF((ProjectInfoTable[ProjectName]=OutputTable[[#This Row],[ProjectName]]),(ProjectInfoTable[ProjectName]=OutputTable[[#This Row],[ProjectName]])*ProjectInfoTable[NumberOfReplications]))</f>
        <v>10</v>
      </c>
      <c r="K154" s="5" cm="1">
        <f t="array" ref="K154">IFERROR(AVERAGE(IF((OutputTable[GroupByKey]=OutputTable[[#This Row],[GroupByKey]]),(OutputTable[GroupByKey]=OutputTable[[#This Row],[GroupByKey]])*OutputTable[RecordedValue])),0)</f>
        <v>0.38078385056341441</v>
      </c>
      <c r="L154" s="5" cm="1">
        <f t="array" ref="L154">IFERROR(_xlfn.STDEV.S(IF((OutputTable[GroupByKey]=OutputTable[[#This Row],[GroupByKey]]),(OutputTable[GroupByKey]=OutputTable[[#This Row],[GroupByKey]])*OutputTable[RecordedValue])),0)</f>
        <v>5.6481911326734656E-2</v>
      </c>
      <c r="M154" s="5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4.040472533000234E-2</v>
      </c>
      <c r="O154" s="5" cm="1">
        <f t="array" ref="O154">MIN(IF((OutputTable[GroupByKey]=OutputTable[[#This Row],[GroupByKey]]),(OutputTable[GroupByKey]=OutputTable[[#This Row],[GroupByKey]])*OutputTable[RecordedValue]))</f>
        <v>0.28913636698845602</v>
      </c>
      <c r="P154" s="5" cm="1">
        <f t="array" ref="P154">MAX(IF((OutputTable[GroupByKey]=OutputTable[[#This Row],[GroupByKey]]),(OutputTable[GroupByKey]=OutputTable[[#This Row],[GroupByKey]])*OutputTable[RecordedValue]))</f>
        <v>0.46134650546047301</v>
      </c>
    </row>
    <row r="155" spans="1:16" x14ac:dyDescent="0.3">
      <c r="A155" t="s">
        <v>66</v>
      </c>
      <c r="B155" t="s">
        <v>68</v>
      </c>
      <c r="C155">
        <v>7</v>
      </c>
      <c r="D155" t="s">
        <v>136</v>
      </c>
      <c r="E155" t="s">
        <v>121</v>
      </c>
      <c r="F155" t="s">
        <v>103</v>
      </c>
      <c r="G155">
        <v>172</v>
      </c>
      <c r="H155">
        <v>0</v>
      </c>
      <c r="I155" s="5" t="str">
        <f>OutputTable[[#This Row],[ProjectName]]&amp;OutputTable[[#This Row],[Name]]&amp;OutputTable[[#This Row],[Type]]&amp;OutputTable[[#This Row],[Source]]</f>
        <v>Unnamed Projectcajera2.NumberSeizedTotal Number SeizedResource</v>
      </c>
      <c r="J155" s="5" cm="1">
        <f t="array" ref="J155">MAX(IF((ProjectInfoTable[ProjectName]=OutputTable[[#This Row],[ProjectName]]),(ProjectInfoTable[ProjectName]=OutputTable[[#This Row],[ProjectName]])*ProjectInfoTable[NumberOfReplications]))</f>
        <v>10</v>
      </c>
      <c r="K155" s="5" cm="1">
        <f t="array" ref="K155">IFERROR(AVERAGE(IF((OutputTable[GroupByKey]=OutputTable[[#This Row],[GroupByKey]]),(OutputTable[GroupByKey]=OutputTable[[#This Row],[GroupByKey]])*OutputTable[RecordedValue])),0)</f>
        <v>181.1</v>
      </c>
      <c r="L155" s="5" cm="1">
        <f t="array" ref="L155">IFERROR(_xlfn.STDEV.S(IF((OutputTable[GroupByKey]=OutputTable[[#This Row],[GroupByKey]]),(OutputTable[GroupByKey]=OutputTable[[#This Row],[GroupByKey]])*OutputTable[RecordedValue])),0)</f>
        <v>9.7348172384830463</v>
      </c>
      <c r="M155" s="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6.9638687399111214</v>
      </c>
      <c r="O155" s="5" cm="1">
        <f t="array" ref="O155">MIN(IF((OutputTable[GroupByKey]=OutputTable[[#This Row],[GroupByKey]]),(OutputTable[GroupByKey]=OutputTable[[#This Row],[GroupByKey]])*OutputTable[RecordedValue]))</f>
        <v>169</v>
      </c>
      <c r="P155" s="5" cm="1">
        <f t="array" ref="P155">MAX(IF((OutputTable[GroupByKey]=OutputTable[[#This Row],[GroupByKey]]),(OutputTable[GroupByKey]=OutputTable[[#This Row],[GroupByKey]])*OutputTable[RecordedValue]))</f>
        <v>194</v>
      </c>
    </row>
    <row r="156" spans="1:16" x14ac:dyDescent="0.3">
      <c r="A156" t="s">
        <v>66</v>
      </c>
      <c r="B156" t="s">
        <v>68</v>
      </c>
      <c r="C156">
        <v>7</v>
      </c>
      <c r="D156" t="s">
        <v>137</v>
      </c>
      <c r="E156" t="s">
        <v>123</v>
      </c>
      <c r="F156" t="s">
        <v>103</v>
      </c>
      <c r="G156">
        <v>0.73344270356277796</v>
      </c>
      <c r="H156">
        <v>0</v>
      </c>
      <c r="I156" s="5" t="str">
        <f>OutputTable[[#This Row],[ProjectName]]&amp;OutputTable[[#This Row],[Name]]&amp;OutputTable[[#This Row],[Type]]&amp;OutputTable[[#This Row],[Source]]</f>
        <v>Unnamed Projectcajera2.ScheduledUtilizationScheduled UtilizationResource</v>
      </c>
      <c r="J156" s="5" cm="1">
        <f t="array" ref="J156">MAX(IF((ProjectInfoTable[ProjectName]=OutputTable[[#This Row],[ProjectName]]),(ProjectInfoTable[ProjectName]=OutputTable[[#This Row],[ProjectName]])*ProjectInfoTable[NumberOfReplications]))</f>
        <v>10</v>
      </c>
      <c r="K156" s="5" cm="1">
        <f t="array" ref="K156">IFERROR(AVERAGE(IF((OutputTable[GroupByKey]=OutputTable[[#This Row],[GroupByKey]]),(OutputTable[GroupByKey]=OutputTable[[#This Row],[GroupByKey]])*OutputTable[RecordedValue])),0)</f>
        <v>0.73571117943508912</v>
      </c>
      <c r="L156" s="5" cm="1">
        <f t="array" ref="L156">IFERROR(_xlfn.STDEV.S(IF((OutputTable[GroupByKey]=OutputTable[[#This Row],[GroupByKey]]),(OutputTable[GroupByKey]=OutputTable[[#This Row],[GroupByKey]])*OutputTable[RecordedValue])),0)</f>
        <v>2.3945213257811505E-2</v>
      </c>
      <c r="M156" s="5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1.7129373668915777E-2</v>
      </c>
      <c r="O156" s="5" cm="1">
        <f t="array" ref="O156">MIN(IF((OutputTable[GroupByKey]=OutputTable[[#This Row],[GroupByKey]]),(OutputTable[GroupByKey]=OutputTable[[#This Row],[GroupByKey]])*OutputTable[RecordedValue]))</f>
        <v>0.69752119636771104</v>
      </c>
      <c r="P156" s="5" cm="1">
        <f t="array" ref="P156">MAX(IF((OutputTable[GroupByKey]=OutputTable[[#This Row],[GroupByKey]]),(OutputTable[GroupByKey]=OutputTable[[#This Row],[GroupByKey]])*OutputTable[RecordedValue]))</f>
        <v>0.77845968782647601</v>
      </c>
    </row>
    <row r="157" spans="1:16" x14ac:dyDescent="0.3">
      <c r="A157" t="s">
        <v>66</v>
      </c>
      <c r="B157" t="s">
        <v>68</v>
      </c>
      <c r="C157">
        <v>7</v>
      </c>
      <c r="D157" t="s">
        <v>138</v>
      </c>
      <c r="E157" t="s">
        <v>117</v>
      </c>
      <c r="F157" t="s">
        <v>74</v>
      </c>
      <c r="G157">
        <v>0</v>
      </c>
      <c r="H157">
        <v>0</v>
      </c>
      <c r="I157" s="5" t="str">
        <f>OutputTable[[#This Row],[ProjectName]]&amp;OutputTable[[#This Row],[Name]]&amp;OutputTable[[#This Row],[Type]]&amp;OutputTable[[#This Row],[Source]]</f>
        <v>Unnamed Projectpersona.NumberInNumber InEntity</v>
      </c>
      <c r="J157" s="5" cm="1">
        <f t="array" ref="J157">MAX(IF((ProjectInfoTable[ProjectName]=OutputTable[[#This Row],[ProjectName]]),(ProjectInfoTable[ProjectName]=OutputTable[[#This Row],[ProjectName]])*ProjectInfoTable[NumberOfReplications]))</f>
        <v>10</v>
      </c>
      <c r="K157" s="5" cm="1">
        <f t="array" ref="K157">IFERROR(AVERAGE(IF((OutputTable[GroupByKey]=OutputTable[[#This Row],[GroupByKey]]),(OutputTable[GroupByKey]=OutputTable[[#This Row],[GroupByKey]])*OutputTable[RecordedValue])),0)</f>
        <v>0</v>
      </c>
      <c r="L157" s="5" cm="1">
        <f t="array" ref="L157">IFERROR(_xlfn.STDEV.S(IF((OutputTable[GroupByKey]=OutputTable[[#This Row],[GroupByKey]]),(OutputTable[GroupByKey]=OutputTable[[#This Row],[GroupByKey]])*OutputTable[RecordedValue])),0)</f>
        <v>0</v>
      </c>
      <c r="M157" s="5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7" s="5" cm="1">
        <f t="array" ref="O157">MIN(IF((OutputTable[GroupByKey]=OutputTable[[#This Row],[GroupByKey]]),(OutputTable[GroupByKey]=OutputTable[[#This Row],[GroupByKey]])*OutputTable[RecordedValue]))</f>
        <v>0</v>
      </c>
      <c r="P157" s="5" cm="1">
        <f t="array" ref="P157">MAX(IF((OutputTable[GroupByKey]=OutputTable[[#This Row],[GroupByKey]]),(OutputTable[GroupByKey]=OutputTable[[#This Row],[GroupByKey]])*OutputTable[RecordedValue]))</f>
        <v>0</v>
      </c>
    </row>
    <row r="158" spans="1:16" x14ac:dyDescent="0.3">
      <c r="A158" t="s">
        <v>66</v>
      </c>
      <c r="B158" t="s">
        <v>68</v>
      </c>
      <c r="C158">
        <v>7</v>
      </c>
      <c r="D158" t="s">
        <v>139</v>
      </c>
      <c r="E158" t="s">
        <v>119</v>
      </c>
      <c r="F158" t="s">
        <v>74</v>
      </c>
      <c r="G158">
        <v>0</v>
      </c>
      <c r="H158">
        <v>0</v>
      </c>
      <c r="I158" s="5" t="str">
        <f>OutputTable[[#This Row],[ProjectName]]&amp;OutputTable[[#This Row],[Name]]&amp;OutputTable[[#This Row],[Type]]&amp;OutputTable[[#This Row],[Source]]</f>
        <v>Unnamed Projectpersona.NumberOutNumber OutEntity</v>
      </c>
      <c r="J158" s="5" cm="1">
        <f t="array" ref="J158">MAX(IF((ProjectInfoTable[ProjectName]=OutputTable[[#This Row],[ProjectName]]),(ProjectInfoTable[ProjectName]=OutputTable[[#This Row],[ProjectName]])*ProjectInfoTable[NumberOfReplications]))</f>
        <v>10</v>
      </c>
      <c r="K158" s="5" cm="1">
        <f t="array" ref="K158">IFERROR(AVERAGE(IF((OutputTable[GroupByKey]=OutputTable[[#This Row],[GroupByKey]]),(OutputTable[GroupByKey]=OutputTable[[#This Row],[GroupByKey]])*OutputTable[RecordedValue])),0)</f>
        <v>0</v>
      </c>
      <c r="L158" s="5" cm="1">
        <f t="array" ref="L158">IFERROR(_xlfn.STDEV.S(IF((OutputTable[GroupByKey]=OutputTable[[#This Row],[GroupByKey]]),(OutputTable[GroupByKey]=OutputTable[[#This Row],[GroupByKey]])*OutputTable[RecordedValue])),0)</f>
        <v>0</v>
      </c>
      <c r="M158" s="5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58" s="5" cm="1">
        <f t="array" ref="O158">MIN(IF((OutputTable[GroupByKey]=OutputTable[[#This Row],[GroupByKey]]),(OutputTable[GroupByKey]=OutputTable[[#This Row],[GroupByKey]])*OutputTable[RecordedValue]))</f>
        <v>0</v>
      </c>
      <c r="P158" s="5" cm="1">
        <f t="array" ref="P158">MAX(IF((OutputTable[GroupByKey]=OutputTable[[#This Row],[GroupByKey]]),(OutputTable[GroupByKey]=OutputTable[[#This Row],[GroupByKey]])*OutputTable[RecordedValue]))</f>
        <v>0</v>
      </c>
    </row>
    <row r="159" spans="1:16" x14ac:dyDescent="0.3">
      <c r="A159" t="s">
        <v>66</v>
      </c>
      <c r="B159" t="s">
        <v>68</v>
      </c>
      <c r="C159">
        <v>7</v>
      </c>
      <c r="D159" t="s">
        <v>140</v>
      </c>
      <c r="E159" t="s">
        <v>121</v>
      </c>
      <c r="F159" t="s">
        <v>103</v>
      </c>
      <c r="G159">
        <v>10</v>
      </c>
      <c r="H159">
        <v>0</v>
      </c>
      <c r="I159" s="5" t="str">
        <f>OutputTable[[#This Row],[ProjectName]]&amp;OutputTable[[#This Row],[Name]]&amp;OutputTable[[#This Row],[Type]]&amp;OutputTable[[#This Row],[Source]]</f>
        <v>Unnamed Projectregistro1.NumberSeizedTotal Number SeizedResource</v>
      </c>
      <c r="J159" s="5" cm="1">
        <f t="array" ref="J159">MAX(IF((ProjectInfoTable[ProjectName]=OutputTable[[#This Row],[ProjectName]]),(ProjectInfoTable[ProjectName]=OutputTable[[#This Row],[ProjectName]])*ProjectInfoTable[NumberOfReplications]))</f>
        <v>10</v>
      </c>
      <c r="K159" s="5" cm="1">
        <f t="array" ref="K159">IFERROR(AVERAGE(IF((OutputTable[GroupByKey]=OutputTable[[#This Row],[GroupByKey]]),(OutputTable[GroupByKey]=OutputTable[[#This Row],[GroupByKey]])*OutputTable[RecordedValue])),0)</f>
        <v>7.6</v>
      </c>
      <c r="L159" s="5" cm="1">
        <f t="array" ref="L159">IFERROR(_xlfn.STDEV.S(IF((OutputTable[GroupByKey]=OutputTable[[#This Row],[GroupByKey]]),(OutputTable[GroupByKey]=OutputTable[[#This Row],[GroupByKey]])*OutputTable[RecordedValue])),0)</f>
        <v>2.9135697844549542</v>
      </c>
      <c r="M159" s="5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2.0842422663373124</v>
      </c>
      <c r="O159" s="5" cm="1">
        <f t="array" ref="O159">MIN(IF((OutputTable[GroupByKey]=OutputTable[[#This Row],[GroupByKey]]),(OutputTable[GroupByKey]=OutputTable[[#This Row],[GroupByKey]])*OutputTable[RecordedValue]))</f>
        <v>4</v>
      </c>
      <c r="P159" s="5" cm="1">
        <f t="array" ref="P159">MAX(IF((OutputTable[GroupByKey]=OutputTable[[#This Row],[GroupByKey]]),(OutputTable[GroupByKey]=OutputTable[[#This Row],[GroupByKey]])*OutputTable[RecordedValue]))</f>
        <v>12</v>
      </c>
    </row>
    <row r="160" spans="1:16" x14ac:dyDescent="0.3">
      <c r="A160" t="s">
        <v>66</v>
      </c>
      <c r="B160" t="s">
        <v>68</v>
      </c>
      <c r="C160">
        <v>7</v>
      </c>
      <c r="D160" t="s">
        <v>141</v>
      </c>
      <c r="E160" t="s">
        <v>123</v>
      </c>
      <c r="F160" t="s">
        <v>103</v>
      </c>
      <c r="G160">
        <v>5.5783625760767001E-2</v>
      </c>
      <c r="H160">
        <v>0</v>
      </c>
      <c r="I160" s="5" t="str">
        <f>OutputTable[[#This Row],[ProjectName]]&amp;OutputTable[[#This Row],[Name]]&amp;OutputTable[[#This Row],[Type]]&amp;OutputTable[[#This Row],[Source]]</f>
        <v>Unnamed Projectregistro1.ScheduledUtilizationScheduled UtilizationResource</v>
      </c>
      <c r="J160" s="5" cm="1">
        <f t="array" ref="J160">MAX(IF((ProjectInfoTable[ProjectName]=OutputTable[[#This Row],[ProjectName]]),(ProjectInfoTable[ProjectName]=OutputTable[[#This Row],[ProjectName]])*ProjectInfoTable[NumberOfReplications]))</f>
        <v>10</v>
      </c>
      <c r="K160" s="5" cm="1">
        <f t="array" ref="K160">IFERROR(AVERAGE(IF((OutputTable[GroupByKey]=OutputTable[[#This Row],[GroupByKey]]),(OutputTable[GroupByKey]=OutputTable[[#This Row],[GroupByKey]])*OutputTable[RecordedValue])),0)</f>
        <v>5.6433247648491516E-2</v>
      </c>
      <c r="L160" s="5" cm="1">
        <f t="array" ref="L160">IFERROR(_xlfn.STDEV.S(IF((OutputTable[GroupByKey]=OutputTable[[#This Row],[GroupByKey]]),(OutputTable[GroupByKey]=OutputTable[[#This Row],[GroupByKey]])*OutputTable[RecordedValue])),0)</f>
        <v>2.4456082934732001E-2</v>
      </c>
      <c r="M160" s="5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1.7494827820351853E-2</v>
      </c>
      <c r="O160" s="5" cm="1">
        <f t="array" ref="O160">MIN(IF((OutputTable[GroupByKey]=OutputTable[[#This Row],[GroupByKey]]),(OutputTable[GroupByKey]=OutputTable[[#This Row],[GroupByKey]])*OutputTable[RecordedValue]))</f>
        <v>2.1279401430778E-2</v>
      </c>
      <c r="P160" s="5" cm="1">
        <f t="array" ref="P160">MAX(IF((OutputTable[GroupByKey]=OutputTable[[#This Row],[GroupByKey]]),(OutputTable[GroupByKey]=OutputTable[[#This Row],[GroupByKey]])*OutputTable[RecordedValue]))</f>
        <v>8.8472374570180701E-2</v>
      </c>
    </row>
    <row r="161" spans="1:16" x14ac:dyDescent="0.3">
      <c r="A161" t="s">
        <v>66</v>
      </c>
      <c r="B161" t="s">
        <v>68</v>
      </c>
      <c r="C161">
        <v>7</v>
      </c>
      <c r="D161" t="s">
        <v>142</v>
      </c>
      <c r="E161" t="s">
        <v>121</v>
      </c>
      <c r="F161" t="s">
        <v>103</v>
      </c>
      <c r="G161">
        <v>16</v>
      </c>
      <c r="H161">
        <v>0</v>
      </c>
      <c r="I161" s="5" t="str">
        <f>OutputTable[[#This Row],[ProjectName]]&amp;OutputTable[[#This Row],[Name]]&amp;OutputTable[[#This Row],[Type]]&amp;OutputTable[[#This Row],[Source]]</f>
        <v>Unnamed Projectregistro2.NumberSeizedTotal Number SeizedResource</v>
      </c>
      <c r="J161" s="5" cm="1">
        <f t="array" ref="J161">MAX(IF((ProjectInfoTable[ProjectName]=OutputTable[[#This Row],[ProjectName]]),(ProjectInfoTable[ProjectName]=OutputTable[[#This Row],[ProjectName]])*ProjectInfoTable[NumberOfReplications]))</f>
        <v>10</v>
      </c>
      <c r="K161" s="5" cm="1">
        <f t="array" ref="K161">IFERROR(AVERAGE(IF((OutputTable[GroupByKey]=OutputTable[[#This Row],[GroupByKey]]),(OutputTable[GroupByKey]=OutputTable[[#This Row],[GroupByKey]])*OutputTable[RecordedValue])),0)</f>
        <v>18.8</v>
      </c>
      <c r="L161" s="5" cm="1">
        <f t="array" ref="L161">IFERROR(_xlfn.STDEV.S(IF((OutputTable[GroupByKey]=OutputTable[[#This Row],[GroupByKey]]),(OutputTable[GroupByKey]=OutputTable[[#This Row],[GroupByKey]])*OutputTable[RecordedValue])),0)</f>
        <v>2.8205594401741556</v>
      </c>
      <c r="M161" s="5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2.0177066742293341</v>
      </c>
      <c r="O161" s="5" cm="1">
        <f t="array" ref="O161">MIN(IF((OutputTable[GroupByKey]=OutputTable[[#This Row],[GroupByKey]]),(OutputTable[GroupByKey]=OutputTable[[#This Row],[GroupByKey]])*OutputTable[RecordedValue]))</f>
        <v>14</v>
      </c>
      <c r="P161" s="5" cm="1">
        <f t="array" ref="P161">MAX(IF((OutputTable[GroupByKey]=OutputTable[[#This Row],[GroupByKey]]),(OutputTable[GroupByKey]=OutputTable[[#This Row],[GroupByKey]])*OutputTable[RecordedValue]))</f>
        <v>24</v>
      </c>
    </row>
    <row r="162" spans="1:16" x14ac:dyDescent="0.3">
      <c r="A162" t="s">
        <v>66</v>
      </c>
      <c r="B162" t="s">
        <v>68</v>
      </c>
      <c r="C162">
        <v>7</v>
      </c>
      <c r="D162" t="s">
        <v>143</v>
      </c>
      <c r="E162" t="s">
        <v>123</v>
      </c>
      <c r="F162" t="s">
        <v>103</v>
      </c>
      <c r="G162">
        <v>0.338210899349628</v>
      </c>
      <c r="H162">
        <v>0</v>
      </c>
      <c r="I162" s="5" t="str">
        <f>OutputTable[[#This Row],[ProjectName]]&amp;OutputTable[[#This Row],[Name]]&amp;OutputTable[[#This Row],[Type]]&amp;OutputTable[[#This Row],[Source]]</f>
        <v>Unnamed Projectregistro2.ScheduledUtilizationScheduled UtilizationResource</v>
      </c>
      <c r="J162" s="5" cm="1">
        <f t="array" ref="J162">MAX(IF((ProjectInfoTable[ProjectName]=OutputTable[[#This Row],[ProjectName]]),(ProjectInfoTable[ProjectName]=OutputTable[[#This Row],[ProjectName]])*ProjectInfoTable[NumberOfReplications]))</f>
        <v>10</v>
      </c>
      <c r="K162" s="5" cm="1">
        <f t="array" ref="K162">IFERROR(AVERAGE(IF((OutputTable[GroupByKey]=OutputTable[[#This Row],[GroupByKey]]),(OutputTable[GroupByKey]=OutputTable[[#This Row],[GroupByKey]])*OutputTable[RecordedValue])),0)</f>
        <v>0.46274808587050231</v>
      </c>
      <c r="L162" s="5" cm="1">
        <f t="array" ref="L162">IFERROR(_xlfn.STDEV.S(IF((OutputTable[GroupByKey]=OutputTable[[#This Row],[GroupByKey]]),(OutputTable[GroupByKey]=OutputTable[[#This Row],[GroupByKey]])*OutputTable[RecordedValue])),0)</f>
        <v>9.1165192054027525E-2</v>
      </c>
      <c r="M162" s="5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6.5215649719990554E-2</v>
      </c>
      <c r="O162" s="5" cm="1">
        <f t="array" ref="O162">MIN(IF((OutputTable[GroupByKey]=OutputTable[[#This Row],[GroupByKey]]),(OutputTable[GroupByKey]=OutputTable[[#This Row],[GroupByKey]])*OutputTable[RecordedValue]))</f>
        <v>0.338210899349628</v>
      </c>
      <c r="P162" s="5" cm="1">
        <f t="array" ref="P162">MAX(IF((OutputTable[GroupByKey]=OutputTable[[#This Row],[GroupByKey]]),(OutputTable[GroupByKey]=OutputTable[[#This Row],[GroupByKey]])*OutputTable[RecordedValue]))</f>
        <v>0.66990172486561195</v>
      </c>
    </row>
    <row r="163" spans="1:16" x14ac:dyDescent="0.3">
      <c r="A163" t="s">
        <v>66</v>
      </c>
      <c r="B163" t="s">
        <v>68</v>
      </c>
      <c r="C163">
        <v>8</v>
      </c>
      <c r="D163" t="s">
        <v>116</v>
      </c>
      <c r="E163" t="s">
        <v>117</v>
      </c>
      <c r="F163" t="s">
        <v>74</v>
      </c>
      <c r="G163">
        <v>635</v>
      </c>
      <c r="H163">
        <v>0</v>
      </c>
      <c r="I163" s="5" t="str">
        <f>OutputTable[[#This Row],[ProjectName]]&amp;OutputTable[[#This Row],[Name]]&amp;OutputTable[[#This Row],[Type]]&amp;OutputTable[[#This Row],[Source]]</f>
        <v>Unnamed ProjectEntity 1.NumberInNumber InEntity</v>
      </c>
      <c r="J163" s="5" cm="1">
        <f t="array" ref="J163">MAX(IF((ProjectInfoTable[ProjectName]=OutputTable[[#This Row],[ProjectName]]),(ProjectInfoTable[ProjectName]=OutputTable[[#This Row],[ProjectName]])*ProjectInfoTable[NumberOfReplications]))</f>
        <v>10</v>
      </c>
      <c r="K163" s="5" cm="1">
        <f t="array" ref="K163">IFERROR(AVERAGE(IF((OutputTable[GroupByKey]=OutputTable[[#This Row],[GroupByKey]]),(OutputTable[GroupByKey]=OutputTable[[#This Row],[GroupByKey]])*OutputTable[RecordedValue])),0)</f>
        <v>677.4</v>
      </c>
      <c r="L163" s="5" cm="1">
        <f t="array" ref="L163">IFERROR(_xlfn.STDEV.S(IF((OutputTable[GroupByKey]=OutputTable[[#This Row],[GroupByKey]]),(OutputTable[GroupByKey]=OutputTable[[#This Row],[GroupByKey]])*OutputTable[RecordedValue])),0)</f>
        <v>50.383418789209699</v>
      </c>
      <c r="M163" s="5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36.042126577273301</v>
      </c>
      <c r="O163" s="5" cm="1">
        <f t="array" ref="O163">MIN(IF((OutputTable[GroupByKey]=OutputTable[[#This Row],[GroupByKey]]),(OutputTable[GroupByKey]=OutputTable[[#This Row],[GroupByKey]])*OutputTable[RecordedValue]))</f>
        <v>612</v>
      </c>
      <c r="P163" s="5" cm="1">
        <f t="array" ref="P163">MAX(IF((OutputTable[GroupByKey]=OutputTable[[#This Row],[GroupByKey]]),(OutputTable[GroupByKey]=OutputTable[[#This Row],[GroupByKey]])*OutputTable[RecordedValue]))</f>
        <v>757</v>
      </c>
    </row>
    <row r="164" spans="1:16" x14ac:dyDescent="0.3">
      <c r="A164" t="s">
        <v>66</v>
      </c>
      <c r="B164" t="s">
        <v>68</v>
      </c>
      <c r="C164">
        <v>8</v>
      </c>
      <c r="D164" t="s">
        <v>118</v>
      </c>
      <c r="E164" t="s">
        <v>119</v>
      </c>
      <c r="F164" t="s">
        <v>74</v>
      </c>
      <c r="G164">
        <v>624</v>
      </c>
      <c r="H164">
        <v>0</v>
      </c>
      <c r="I164" s="5" t="str">
        <f>OutputTable[[#This Row],[ProjectName]]&amp;OutputTable[[#This Row],[Name]]&amp;OutputTable[[#This Row],[Type]]&amp;OutputTable[[#This Row],[Source]]</f>
        <v>Unnamed ProjectEntity 1.NumberOutNumber OutEntity</v>
      </c>
      <c r="J164" s="5" cm="1">
        <f t="array" ref="J164">MAX(IF((ProjectInfoTable[ProjectName]=OutputTable[[#This Row],[ProjectName]]),(ProjectInfoTable[ProjectName]=OutputTable[[#This Row],[ProjectName]])*ProjectInfoTable[NumberOfReplications]))</f>
        <v>10</v>
      </c>
      <c r="K164" s="5" cm="1">
        <f t="array" ref="K164">IFERROR(AVERAGE(IF((OutputTable[GroupByKey]=OutputTable[[#This Row],[GroupByKey]]),(OutputTable[GroupByKey]=OutputTable[[#This Row],[GroupByKey]])*OutputTable[RecordedValue])),0)</f>
        <v>673.8</v>
      </c>
      <c r="L164" s="5" cm="1">
        <f t="array" ref="L164">IFERROR(_xlfn.STDEV.S(IF((OutputTable[GroupByKey]=OutputTable[[#This Row],[GroupByKey]]),(OutputTable[GroupByKey]=OutputTable[[#This Row],[GroupByKey]])*OutputTable[RecordedValue])),0)</f>
        <v>51.503613681199326</v>
      </c>
      <c r="M164" s="5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36.843465729291147</v>
      </c>
      <c r="O164" s="5" cm="1">
        <f t="array" ref="O164">MIN(IF((OutputTable[GroupByKey]=OutputTable[[#This Row],[GroupByKey]]),(OutputTable[GroupByKey]=OutputTable[[#This Row],[GroupByKey]])*OutputTable[RecordedValue]))</f>
        <v>608</v>
      </c>
      <c r="P164" s="5" cm="1">
        <f t="array" ref="P164">MAX(IF((OutputTable[GroupByKey]=OutputTable[[#This Row],[GroupByKey]]),(OutputTable[GroupByKey]=OutputTable[[#This Row],[GroupByKey]])*OutputTable[RecordedValue]))</f>
        <v>755</v>
      </c>
    </row>
    <row r="165" spans="1:16" x14ac:dyDescent="0.3">
      <c r="A165" t="s">
        <v>66</v>
      </c>
      <c r="B165" t="s">
        <v>68</v>
      </c>
      <c r="C165">
        <v>8</v>
      </c>
      <c r="D165" t="s">
        <v>120</v>
      </c>
      <c r="E165" t="s">
        <v>121</v>
      </c>
      <c r="F165" t="s">
        <v>103</v>
      </c>
      <c r="G165">
        <v>150</v>
      </c>
      <c r="H165">
        <v>0</v>
      </c>
      <c r="I165" s="5" t="str">
        <f>OutputTable[[#This Row],[ProjectName]]&amp;OutputTable[[#This Row],[Name]]&amp;OutputTable[[#This Row],[Type]]&amp;OutputTable[[#This Row],[Source]]</f>
        <v>Unnamed ProjectInterauto.NumberSeizedTotal Number SeizedResource</v>
      </c>
      <c r="J165" s="5" cm="1">
        <f t="array" ref="J165">MAX(IF((ProjectInfoTable[ProjectName]=OutputTable[[#This Row],[ProjectName]]),(ProjectInfoTable[ProjectName]=OutputTable[[#This Row],[ProjectName]])*ProjectInfoTable[NumberOfReplications]))</f>
        <v>10</v>
      </c>
      <c r="K165" s="5" cm="1">
        <f t="array" ref="K165">IFERROR(AVERAGE(IF((OutputTable[GroupByKey]=OutputTable[[#This Row],[GroupByKey]]),(OutputTable[GroupByKey]=OutputTable[[#This Row],[GroupByKey]])*OutputTable[RecordedValue])),0)</f>
        <v>161.5</v>
      </c>
      <c r="L165" s="5" cm="1">
        <f t="array" ref="L165">IFERROR(_xlfn.STDEV.S(IF((OutputTable[GroupByKey]=OutputTable[[#This Row],[GroupByKey]]),(OutputTable[GroupByKey]=OutputTable[[#This Row],[GroupByKey]])*OutputTable[RecordedValue])),0)</f>
        <v>13.778001790293589</v>
      </c>
      <c r="M165" s="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9.8561887311626997</v>
      </c>
      <c r="O165" s="5" cm="1">
        <f t="array" ref="O165">MIN(IF((OutputTable[GroupByKey]=OutputTable[[#This Row],[GroupByKey]]),(OutputTable[GroupByKey]=OutputTable[[#This Row],[GroupByKey]])*OutputTable[RecordedValue]))</f>
        <v>147</v>
      </c>
      <c r="P165" s="5" cm="1">
        <f t="array" ref="P165">MAX(IF((OutputTable[GroupByKey]=OutputTable[[#This Row],[GroupByKey]]),(OutputTable[GroupByKey]=OutputTable[[#This Row],[GroupByKey]])*OutputTable[RecordedValue]))</f>
        <v>191</v>
      </c>
    </row>
    <row r="166" spans="1:16" x14ac:dyDescent="0.3">
      <c r="A166" t="s">
        <v>66</v>
      </c>
      <c r="B166" t="s">
        <v>68</v>
      </c>
      <c r="C166">
        <v>8</v>
      </c>
      <c r="D166" t="s">
        <v>122</v>
      </c>
      <c r="E166" t="s">
        <v>123</v>
      </c>
      <c r="F166" t="s">
        <v>103</v>
      </c>
      <c r="G166">
        <v>0.25155365284574199</v>
      </c>
      <c r="H166">
        <v>0</v>
      </c>
      <c r="I166" s="5" t="str">
        <f>OutputTable[[#This Row],[ProjectName]]&amp;OutputTable[[#This Row],[Name]]&amp;OutputTable[[#This Row],[Type]]&amp;OutputTable[[#This Row],[Source]]</f>
        <v>Unnamed ProjectInterauto.ScheduledUtilizationScheduled UtilizationResource</v>
      </c>
      <c r="J166" s="5" cm="1">
        <f t="array" ref="J166">MAX(IF((ProjectInfoTable[ProjectName]=OutputTable[[#This Row],[ProjectName]]),(ProjectInfoTable[ProjectName]=OutputTable[[#This Row],[ProjectName]])*ProjectInfoTable[NumberOfReplications]))</f>
        <v>10</v>
      </c>
      <c r="K166" s="5" cm="1">
        <f t="array" ref="K166">IFERROR(AVERAGE(IF((OutputTable[GroupByKey]=OutputTable[[#This Row],[GroupByKey]]),(OutputTable[GroupByKey]=OutputTable[[#This Row],[GroupByKey]])*OutputTable[RecordedValue])),0)</f>
        <v>0.26535205929836458</v>
      </c>
      <c r="L166" s="5" cm="1">
        <f t="array" ref="L166">IFERROR(_xlfn.STDEV.S(IF((OutputTable[GroupByKey]=OutputTable[[#This Row],[GroupByKey]]),(OutputTable[GroupByKey]=OutputTable[[#This Row],[GroupByKey]])*OutputTable[RecordedValue])),0)</f>
        <v>2.5807993647623796E-2</v>
      </c>
      <c r="M166" s="5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1.8461926485074727E-2</v>
      </c>
      <c r="O166" s="5" cm="1">
        <f t="array" ref="O166">MIN(IF((OutputTable[GroupByKey]=OutputTable[[#This Row],[GroupByKey]]),(OutputTable[GroupByKey]=OutputTable[[#This Row],[GroupByKey]])*OutputTable[RecordedValue]))</f>
        <v>0.20483176768320299</v>
      </c>
      <c r="P166" s="5" cm="1">
        <f t="array" ref="P166">MAX(IF((OutputTable[GroupByKey]=OutputTable[[#This Row],[GroupByKey]]),(OutputTable[GroupByKey]=OutputTable[[#This Row],[GroupByKey]])*OutputTable[RecordedValue]))</f>
        <v>0.29552077299252399</v>
      </c>
    </row>
    <row r="167" spans="1:16" x14ac:dyDescent="0.3">
      <c r="A167" t="s">
        <v>66</v>
      </c>
      <c r="B167" t="s">
        <v>68</v>
      </c>
      <c r="C167">
        <v>8</v>
      </c>
      <c r="D167" t="s">
        <v>124</v>
      </c>
      <c r="E167" t="s">
        <v>117</v>
      </c>
      <c r="F167" t="s">
        <v>74</v>
      </c>
      <c r="G167">
        <v>225</v>
      </c>
      <c r="H167">
        <v>0</v>
      </c>
      <c r="I167" s="5" t="str">
        <f>OutputTable[[#This Row],[ProjectName]]&amp;OutputTable[[#This Row],[Name]]&amp;OutputTable[[#This Row],[Type]]&amp;OutputTable[[#This Row],[Source]]</f>
        <v>Unnamed ProjectMaleta Internacional.NumberInNumber InEntity</v>
      </c>
      <c r="J167" s="5" cm="1">
        <f t="array" ref="J167">MAX(IF((ProjectInfoTable[ProjectName]=OutputTable[[#This Row],[ProjectName]]),(ProjectInfoTable[ProjectName]=OutputTable[[#This Row],[ProjectName]])*ProjectInfoTable[NumberOfReplications]))</f>
        <v>10</v>
      </c>
      <c r="K167" s="5" cm="1">
        <f t="array" ref="K167">IFERROR(AVERAGE(IF((OutputTable[GroupByKey]=OutputTable[[#This Row],[GroupByKey]]),(OutputTable[GroupByKey]=OutputTable[[#This Row],[GroupByKey]])*OutputTable[RecordedValue])),0)</f>
        <v>241.3</v>
      </c>
      <c r="L167" s="5" cm="1">
        <f t="array" ref="L167">IFERROR(_xlfn.STDEV.S(IF((OutputTable[GroupByKey]=OutputTable[[#This Row],[GroupByKey]]),(OutputTable[GroupByKey]=OutputTable[[#This Row],[GroupByKey]])*OutputTable[RecordedValue])),0)</f>
        <v>25.59101404790356</v>
      </c>
      <c r="M167" s="5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18.306708629960106</v>
      </c>
      <c r="O167" s="5" cm="1">
        <f t="array" ref="O167">MIN(IF((OutputTable[GroupByKey]=OutputTable[[#This Row],[GroupByKey]]),(OutputTable[GroupByKey]=OutputTable[[#This Row],[GroupByKey]])*OutputTable[RecordedValue]))</f>
        <v>207</v>
      </c>
      <c r="P167" s="5" cm="1">
        <f t="array" ref="P167">MAX(IF((OutputTable[GroupByKey]=OutputTable[[#This Row],[GroupByKey]]),(OutputTable[GroupByKey]=OutputTable[[#This Row],[GroupByKey]])*OutputTable[RecordedValue]))</f>
        <v>287</v>
      </c>
    </row>
    <row r="168" spans="1:16" x14ac:dyDescent="0.3">
      <c r="A168" t="s">
        <v>66</v>
      </c>
      <c r="B168" t="s">
        <v>68</v>
      </c>
      <c r="C168">
        <v>8</v>
      </c>
      <c r="D168" t="s">
        <v>125</v>
      </c>
      <c r="E168" t="s">
        <v>119</v>
      </c>
      <c r="F168" t="s">
        <v>74</v>
      </c>
      <c r="G168">
        <v>206</v>
      </c>
      <c r="H168">
        <v>0</v>
      </c>
      <c r="I168" s="5" t="str">
        <f>OutputTable[[#This Row],[ProjectName]]&amp;OutputTable[[#This Row],[Name]]&amp;OutputTable[[#This Row],[Type]]&amp;OutputTable[[#This Row],[Source]]</f>
        <v>Unnamed ProjectMaleta Internacional.NumberOutNumber OutEntity</v>
      </c>
      <c r="J168" s="5" cm="1">
        <f t="array" ref="J168">MAX(IF((ProjectInfoTable[ProjectName]=OutputTable[[#This Row],[ProjectName]]),(ProjectInfoTable[ProjectName]=OutputTable[[#This Row],[ProjectName]])*ProjectInfoTable[NumberOfReplications]))</f>
        <v>10</v>
      </c>
      <c r="K168" s="5" cm="1">
        <f t="array" ref="K168">IFERROR(AVERAGE(IF((OutputTable[GroupByKey]=OutputTable[[#This Row],[GroupByKey]]),(OutputTable[GroupByKey]=OutputTable[[#This Row],[GroupByKey]])*OutputTable[RecordedValue])),0)</f>
        <v>224.5</v>
      </c>
      <c r="L168" s="5" cm="1">
        <f t="array" ref="L168">IFERROR(_xlfn.STDEV.S(IF((OutputTable[GroupByKey]=OutputTable[[#This Row],[GroupByKey]]),(OutputTable[GroupByKey]=OutputTable[[#This Row],[GroupByKey]])*OutputTable[RecordedValue])),0)</f>
        <v>20.812656405818711</v>
      </c>
      <c r="M168" s="5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14.888477491497007</v>
      </c>
      <c r="O168" s="5" cm="1">
        <f t="array" ref="O168">MIN(IF((OutputTable[GroupByKey]=OutputTable[[#This Row],[GroupByKey]]),(OutputTable[GroupByKey]=OutputTable[[#This Row],[GroupByKey]])*OutputTable[RecordedValue]))</f>
        <v>199</v>
      </c>
      <c r="P168" s="5" cm="1">
        <f t="array" ref="P168">MAX(IF((OutputTable[GroupByKey]=OutputTable[[#This Row],[GroupByKey]]),(OutputTable[GroupByKey]=OutputTable[[#This Row],[GroupByKey]])*OutputTable[RecordedValue]))</f>
        <v>256</v>
      </c>
    </row>
    <row r="169" spans="1:16" x14ac:dyDescent="0.3">
      <c r="A169" t="s">
        <v>66</v>
      </c>
      <c r="B169" t="s">
        <v>68</v>
      </c>
      <c r="C169">
        <v>8</v>
      </c>
      <c r="D169" t="s">
        <v>126</v>
      </c>
      <c r="E169" t="s">
        <v>117</v>
      </c>
      <c r="F169" t="s">
        <v>74</v>
      </c>
      <c r="G169">
        <v>151</v>
      </c>
      <c r="H169">
        <v>0</v>
      </c>
      <c r="I169" s="5" t="str">
        <f>OutputTable[[#This Row],[ProjectName]]&amp;OutputTable[[#This Row],[Name]]&amp;OutputTable[[#This Row],[Type]]&amp;OutputTable[[#This Row],[Source]]</f>
        <v>Unnamed ProjectMaleta Nacional.NumberInNumber InEntity</v>
      </c>
      <c r="J169" s="5" cm="1">
        <f t="array" ref="J169">MAX(IF((ProjectInfoTable[ProjectName]=OutputTable[[#This Row],[ProjectName]]),(ProjectInfoTable[ProjectName]=OutputTable[[#This Row],[ProjectName]])*ProjectInfoTable[NumberOfReplications]))</f>
        <v>10</v>
      </c>
      <c r="K169" s="5" cm="1">
        <f t="array" ref="K169">IFERROR(AVERAGE(IF((OutputTable[GroupByKey]=OutputTable[[#This Row],[GroupByKey]]),(OutputTable[GroupByKey]=OutputTable[[#This Row],[GroupByKey]])*OutputTable[RecordedValue])),0)</f>
        <v>163.1</v>
      </c>
      <c r="L169" s="5" cm="1">
        <f t="array" ref="L169">IFERROR(_xlfn.STDEV.S(IF((OutputTable[GroupByKey]=OutputTable[[#This Row],[GroupByKey]]),(OutputTable[GroupByKey]=OutputTable[[#This Row],[GroupByKey]])*OutputTable[RecordedValue])),0)</f>
        <v>14.371654200002325</v>
      </c>
      <c r="M169" s="5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10.280862082193972</v>
      </c>
      <c r="O169" s="5" cm="1">
        <f t="array" ref="O169">MIN(IF((OutputTable[GroupByKey]=OutputTable[[#This Row],[GroupByKey]]),(OutputTable[GroupByKey]=OutputTable[[#This Row],[GroupByKey]])*OutputTable[RecordedValue]))</f>
        <v>149</v>
      </c>
      <c r="P169" s="5" cm="1">
        <f t="array" ref="P169">MAX(IF((OutputTable[GroupByKey]=OutputTable[[#This Row],[GroupByKey]]),(OutputTable[GroupByKey]=OutputTable[[#This Row],[GroupByKey]])*OutputTable[RecordedValue]))</f>
        <v>191</v>
      </c>
    </row>
    <row r="170" spans="1:16" x14ac:dyDescent="0.3">
      <c r="A170" t="s">
        <v>66</v>
      </c>
      <c r="B170" t="s">
        <v>68</v>
      </c>
      <c r="C170">
        <v>8</v>
      </c>
      <c r="D170" t="s">
        <v>127</v>
      </c>
      <c r="E170" t="s">
        <v>119</v>
      </c>
      <c r="F170" t="s">
        <v>74</v>
      </c>
      <c r="G170">
        <v>149</v>
      </c>
      <c r="H170">
        <v>0</v>
      </c>
      <c r="I170" s="5" t="str">
        <f>OutputTable[[#This Row],[ProjectName]]&amp;OutputTable[[#This Row],[Name]]&amp;OutputTable[[#This Row],[Type]]&amp;OutputTable[[#This Row],[Source]]</f>
        <v>Unnamed ProjectMaleta Nacional.NumberOutNumber OutEntity</v>
      </c>
      <c r="J170" s="5" cm="1">
        <f t="array" ref="J170">MAX(IF((ProjectInfoTable[ProjectName]=OutputTable[[#This Row],[ProjectName]]),(ProjectInfoTable[ProjectName]=OutputTable[[#This Row],[ProjectName]])*ProjectInfoTable[NumberOfReplications]))</f>
        <v>10</v>
      </c>
      <c r="K170" s="5" cm="1">
        <f t="array" ref="K170">IFERROR(AVERAGE(IF((OutputTable[GroupByKey]=OutputTable[[#This Row],[GroupByKey]]),(OutputTable[GroupByKey]=OutputTable[[#This Row],[GroupByKey]])*OutputTable[RecordedValue])),0)</f>
        <v>159.1</v>
      </c>
      <c r="L170" s="5" cm="1">
        <f t="array" ref="L170">IFERROR(_xlfn.STDEV.S(IF((OutputTable[GroupByKey]=OutputTable[[#This Row],[GroupByKey]]),(OutputTable[GroupByKey]=OutputTable[[#This Row],[GroupByKey]])*OutputTable[RecordedValue])),0)</f>
        <v>14.153523314787106</v>
      </c>
      <c r="M170" s="5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10.12482064704977</v>
      </c>
      <c r="O170" s="5" cm="1">
        <f t="array" ref="O170">MIN(IF((OutputTable[GroupByKey]=OutputTable[[#This Row],[GroupByKey]]),(OutputTable[GroupByKey]=OutputTable[[#This Row],[GroupByKey]])*OutputTable[RecordedValue]))</f>
        <v>145</v>
      </c>
      <c r="P170" s="5" cm="1">
        <f t="array" ref="P170">MAX(IF((OutputTable[GroupByKey]=OutputTable[[#This Row],[GroupByKey]]),(OutputTable[GroupByKey]=OutputTable[[#This Row],[GroupByKey]])*OutputTable[RecordedValue]))</f>
        <v>189</v>
      </c>
    </row>
    <row r="171" spans="1:16" x14ac:dyDescent="0.3">
      <c r="A171" t="s">
        <v>66</v>
      </c>
      <c r="B171" t="s">
        <v>68</v>
      </c>
      <c r="C171">
        <v>8</v>
      </c>
      <c r="D171" t="s">
        <v>128</v>
      </c>
      <c r="E171" t="s">
        <v>121</v>
      </c>
      <c r="F171" t="s">
        <v>103</v>
      </c>
      <c r="G171">
        <v>219</v>
      </c>
      <c r="H171">
        <v>0</v>
      </c>
      <c r="I171" s="5" t="str">
        <f>OutputTable[[#This Row],[ProjectName]]&amp;OutputTable[[#This Row],[Name]]&amp;OutputTable[[#This Row],[Type]]&amp;OutputTable[[#This Row],[Source]]</f>
        <v>Unnamed ProjectNacionalauto.NumberSeizedTotal Number SeizedResource</v>
      </c>
      <c r="J171" s="5" cm="1">
        <f t="array" ref="J171">MAX(IF((ProjectInfoTable[ProjectName]=OutputTable[[#This Row],[ProjectName]]),(ProjectInfoTable[ProjectName]=OutputTable[[#This Row],[ProjectName]])*ProjectInfoTable[NumberOfReplications]))</f>
        <v>10</v>
      </c>
      <c r="K171" s="5" cm="1">
        <f t="array" ref="K171">IFERROR(AVERAGE(IF((OutputTable[GroupByKey]=OutputTable[[#This Row],[GroupByKey]]),(OutputTable[GroupByKey]=OutputTable[[#This Row],[GroupByKey]])*OutputTable[RecordedValue])),0)</f>
        <v>231.5</v>
      </c>
      <c r="L171" s="5" cm="1">
        <f t="array" ref="L171">IFERROR(_xlfn.STDEV.S(IF((OutputTable[GroupByKey]=OutputTable[[#This Row],[GroupByKey]]),(OutputTable[GroupByKey]=OutputTable[[#This Row],[GroupByKey]])*OutputTable[RecordedValue])),0)</f>
        <v>20.817994353176505</v>
      </c>
      <c r="M171" s="5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14.892296029003113</v>
      </c>
      <c r="O171" s="5" cm="1">
        <f t="array" ref="O171">MIN(IF((OutputTable[GroupByKey]=OutputTable[[#This Row],[GroupByKey]]),(OutputTable[GroupByKey]=OutputTable[[#This Row],[GroupByKey]])*OutputTable[RecordedValue]))</f>
        <v>202</v>
      </c>
      <c r="P171" s="5" cm="1">
        <f t="array" ref="P171">MAX(IF((OutputTable[GroupByKey]=OutputTable[[#This Row],[GroupByKey]]),(OutputTable[GroupByKey]=OutputTable[[#This Row],[GroupByKey]])*OutputTable[RecordedValue]))</f>
        <v>264</v>
      </c>
    </row>
    <row r="172" spans="1:16" x14ac:dyDescent="0.3">
      <c r="A172" t="s">
        <v>66</v>
      </c>
      <c r="B172" t="s">
        <v>68</v>
      </c>
      <c r="C172">
        <v>8</v>
      </c>
      <c r="D172" t="s">
        <v>129</v>
      </c>
      <c r="E172" t="s">
        <v>123</v>
      </c>
      <c r="F172" t="s">
        <v>103</v>
      </c>
      <c r="G172">
        <v>0.72633432349962601</v>
      </c>
      <c r="H172">
        <v>0</v>
      </c>
      <c r="I172" s="5" t="str">
        <f>OutputTable[[#This Row],[ProjectName]]&amp;OutputTable[[#This Row],[Name]]&amp;OutputTable[[#This Row],[Type]]&amp;OutputTable[[#This Row],[Source]]</f>
        <v>Unnamed ProjectNacionalauto.ScheduledUtilizationScheduled UtilizationResource</v>
      </c>
      <c r="J172" s="5" cm="1">
        <f t="array" ref="J172">MAX(IF((ProjectInfoTable[ProjectName]=OutputTable[[#This Row],[ProjectName]]),(ProjectInfoTable[ProjectName]=OutputTable[[#This Row],[ProjectName]])*ProjectInfoTable[NumberOfReplications]))</f>
        <v>10</v>
      </c>
      <c r="K172" s="5" cm="1">
        <f t="array" ref="K172">IFERROR(AVERAGE(IF((OutputTable[GroupByKey]=OutputTable[[#This Row],[GroupByKey]]),(OutputTable[GroupByKey]=OutputTable[[#This Row],[GroupByKey]])*OutputTable[RecordedValue])),0)</f>
        <v>0.73175058451933661</v>
      </c>
      <c r="L172" s="5" cm="1">
        <f t="array" ref="L172">IFERROR(_xlfn.STDEV.S(IF((OutputTable[GroupByKey]=OutputTable[[#This Row],[GroupByKey]]),(OutputTable[GroupByKey]=OutputTable[[#This Row],[GroupByKey]])*OutputTable[RecordedValue])),0)</f>
        <v>6.0813477412386734E-2</v>
      </c>
      <c r="M172" s="5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4.3503341043041877E-2</v>
      </c>
      <c r="O172" s="5" cm="1">
        <f t="array" ref="O172">MIN(IF((OutputTable[GroupByKey]=OutputTable[[#This Row],[GroupByKey]]),(OutputTable[GroupByKey]=OutputTable[[#This Row],[GroupByKey]])*OutputTable[RecordedValue]))</f>
        <v>0.64995347349336796</v>
      </c>
      <c r="P172" s="5" cm="1">
        <f t="array" ref="P172">MAX(IF((OutputTable[GroupByKey]=OutputTable[[#This Row],[GroupByKey]]),(OutputTable[GroupByKey]=OutputTable[[#This Row],[GroupByKey]])*OutputTable[RecordedValue]))</f>
        <v>0.82581624655093899</v>
      </c>
    </row>
    <row r="173" spans="1:16" x14ac:dyDescent="0.3">
      <c r="A173" t="s">
        <v>66</v>
      </c>
      <c r="B173" t="s">
        <v>68</v>
      </c>
      <c r="C173">
        <v>8</v>
      </c>
      <c r="D173" t="s">
        <v>130</v>
      </c>
      <c r="E173" t="s">
        <v>121</v>
      </c>
      <c r="F173" t="s">
        <v>103</v>
      </c>
      <c r="G173">
        <v>345</v>
      </c>
      <c r="H173">
        <v>0</v>
      </c>
      <c r="I173" s="5" t="str">
        <f>OutputTable[[#This Row],[ProjectName]]&amp;OutputTable[[#This Row],[Name]]&amp;OutputTable[[#This Row],[Type]]&amp;OutputTable[[#This Row],[Source]]</f>
        <v>Unnamed ProjectOperarios Avion.NumberSeizedTotal Number SeizedResource</v>
      </c>
      <c r="J173" s="5" cm="1">
        <f t="array" ref="J173">MAX(IF((ProjectInfoTable[ProjectName]=OutputTable[[#This Row],[ProjectName]]),(ProjectInfoTable[ProjectName]=OutputTable[[#This Row],[ProjectName]])*ProjectInfoTable[NumberOfReplications]))</f>
        <v>10</v>
      </c>
      <c r="K173" s="5" cm="1">
        <f t="array" ref="K173">IFERROR(AVERAGE(IF((OutputTable[GroupByKey]=OutputTable[[#This Row],[GroupByKey]]),(OutputTable[GroupByKey]=OutputTable[[#This Row],[GroupByKey]])*OutputTable[RecordedValue])),0)</f>
        <v>368.6</v>
      </c>
      <c r="L173" s="5" cm="1">
        <f t="array" ref="L173">IFERROR(_xlfn.STDEV.S(IF((OutputTable[GroupByKey]=OutputTable[[#This Row],[GroupByKey]]),(OutputTable[GroupByKey]=OutputTable[[#This Row],[GroupByKey]])*OutputTable[RecordedValue])),0)</f>
        <v>29.243042857328572</v>
      </c>
      <c r="M173" s="5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20.919212659586112</v>
      </c>
      <c r="O173" s="5" cm="1">
        <f t="array" ref="O173">MIN(IF((OutputTable[GroupByKey]=OutputTable[[#This Row],[GroupByKey]]),(OutputTable[GroupByKey]=OutputTable[[#This Row],[GroupByKey]])*OutputTable[RecordedValue]))</f>
        <v>338</v>
      </c>
      <c r="P173" s="5" cm="1">
        <f t="array" ref="P173">MAX(IF((OutputTable[GroupByKey]=OutputTable[[#This Row],[GroupByKey]]),(OutputTable[GroupByKey]=OutputTable[[#This Row],[GroupByKey]])*OutputTable[RecordedValue]))</f>
        <v>416</v>
      </c>
    </row>
    <row r="174" spans="1:16" x14ac:dyDescent="0.3">
      <c r="A174" t="s">
        <v>66</v>
      </c>
      <c r="B174" t="s">
        <v>68</v>
      </c>
      <c r="C174">
        <v>8</v>
      </c>
      <c r="D174" t="s">
        <v>131</v>
      </c>
      <c r="E174" t="s">
        <v>123</v>
      </c>
      <c r="F174" t="s">
        <v>103</v>
      </c>
      <c r="G174">
        <v>7.5539129966560897E-2</v>
      </c>
      <c r="H174">
        <v>0</v>
      </c>
      <c r="I174" s="5" t="str">
        <f>OutputTable[[#This Row],[ProjectName]]&amp;OutputTable[[#This Row],[Name]]&amp;OutputTable[[#This Row],[Type]]&amp;OutputTable[[#This Row],[Source]]</f>
        <v>Unnamed ProjectOperarios Avion.ScheduledUtilizationScheduled UtilizationResource</v>
      </c>
      <c r="J174" s="5" cm="1">
        <f t="array" ref="J174">MAX(IF((ProjectInfoTable[ProjectName]=OutputTable[[#This Row],[ProjectName]]),(ProjectInfoTable[ProjectName]=OutputTable[[#This Row],[ProjectName]])*ProjectInfoTable[NumberOfReplications]))</f>
        <v>10</v>
      </c>
      <c r="K174" s="5" cm="1">
        <f t="array" ref="K174">IFERROR(AVERAGE(IF((OutputTable[GroupByKey]=OutputTable[[#This Row],[GroupByKey]]),(OutputTable[GroupByKey]=OutputTable[[#This Row],[GroupByKey]])*OutputTable[RecordedValue])),0)</f>
        <v>7.5958437118625627E-2</v>
      </c>
      <c r="L174" s="5" cm="1">
        <f t="array" ref="L174">IFERROR(_xlfn.STDEV.S(IF((OutputTable[GroupByKey]=OutputTable[[#This Row],[GroupByKey]]),(OutputTable[GroupByKey]=OutputTable[[#This Row],[GroupByKey]])*OutputTable[RecordedValue])),0)</f>
        <v>5.0572810112240948E-3</v>
      </c>
      <c r="M174" s="5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3.6177608968134627E-3</v>
      </c>
      <c r="O174" s="5" cm="1">
        <f t="array" ref="O174">MIN(IF((OutputTable[GroupByKey]=OutputTable[[#This Row],[GroupByKey]]),(OutputTable[GroupByKey]=OutputTable[[#This Row],[GroupByKey]])*OutputTable[RecordedValue]))</f>
        <v>6.7485948117393404E-2</v>
      </c>
      <c r="P174" s="5" cm="1">
        <f t="array" ref="P174">MAX(IF((OutputTable[GroupByKey]=OutputTable[[#This Row],[GroupByKey]]),(OutputTable[GroupByKey]=OutputTable[[#This Row],[GroupByKey]])*OutputTable[RecordedValue]))</f>
        <v>8.7852447587946303E-2</v>
      </c>
    </row>
    <row r="175" spans="1:16" x14ac:dyDescent="0.3">
      <c r="A175" t="s">
        <v>66</v>
      </c>
      <c r="B175" t="s">
        <v>68</v>
      </c>
      <c r="C175">
        <v>8</v>
      </c>
      <c r="D175" t="s">
        <v>132</v>
      </c>
      <c r="E175" t="s">
        <v>119</v>
      </c>
      <c r="F175" t="s">
        <v>133</v>
      </c>
      <c r="G175">
        <v>603</v>
      </c>
      <c r="H175">
        <v>0</v>
      </c>
      <c r="I175" s="5" t="str">
        <f>OutputTable[[#This Row],[ProjectName]]&amp;OutputTable[[#This Row],[Name]]&amp;OutputTable[[#This Row],[Type]]&amp;OutputTable[[#This Row],[Source]]</f>
        <v>Unnamed ProjectSystem.NumberOutNumber OutSystem</v>
      </c>
      <c r="J175" s="5" cm="1">
        <f t="array" ref="J175">MAX(IF((ProjectInfoTable[ProjectName]=OutputTable[[#This Row],[ProjectName]]),(ProjectInfoTable[ProjectName]=OutputTable[[#This Row],[ProjectName]])*ProjectInfoTable[NumberOfReplications]))</f>
        <v>10</v>
      </c>
      <c r="K175" s="5" cm="1">
        <f t="array" ref="K175">IFERROR(AVERAGE(IF((OutputTable[GroupByKey]=OutputTable[[#This Row],[GroupByKey]]),(OutputTable[GroupByKey]=OutputTable[[#This Row],[GroupByKey]])*OutputTable[RecordedValue])),0)</f>
        <v>653</v>
      </c>
      <c r="L175" s="5" cm="1">
        <f t="array" ref="L175">IFERROR(_xlfn.STDEV.S(IF((OutputTable[GroupByKey]=OutputTable[[#This Row],[GroupByKey]]),(OutputTable[GroupByKey]=OutputTable[[#This Row],[GroupByKey]])*OutputTable[RecordedValue])),0)</f>
        <v>50.066622281382898</v>
      </c>
      <c r="M175" s="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35.815504007612013</v>
      </c>
      <c r="O175" s="5" cm="1">
        <f t="array" ref="O175">MIN(IF((OutputTable[GroupByKey]=OutputTable[[#This Row],[GroupByKey]]),(OutputTable[GroupByKey]=OutputTable[[#This Row],[GroupByKey]])*OutputTable[RecordedValue]))</f>
        <v>594</v>
      </c>
      <c r="P175" s="5" cm="1">
        <f t="array" ref="P175">MAX(IF((OutputTable[GroupByKey]=OutputTable[[#This Row],[GroupByKey]]),(OutputTable[GroupByKey]=OutputTable[[#This Row],[GroupByKey]])*OutputTable[RecordedValue]))</f>
        <v>722</v>
      </c>
    </row>
    <row r="176" spans="1:16" x14ac:dyDescent="0.3">
      <c r="A176" t="s">
        <v>66</v>
      </c>
      <c r="B176" t="s">
        <v>68</v>
      </c>
      <c r="C176">
        <v>8</v>
      </c>
      <c r="D176" t="s">
        <v>134</v>
      </c>
      <c r="E176" t="s">
        <v>121</v>
      </c>
      <c r="F176" t="s">
        <v>103</v>
      </c>
      <c r="G176">
        <v>76</v>
      </c>
      <c r="H176">
        <v>0</v>
      </c>
      <c r="I176" s="5" t="str">
        <f>OutputTable[[#This Row],[ProjectName]]&amp;OutputTable[[#This Row],[Name]]&amp;OutputTable[[#This Row],[Type]]&amp;OutputTable[[#This Row],[Source]]</f>
        <v>Unnamed Projectcajera.NumberSeizedTotal Number SeizedResource</v>
      </c>
      <c r="J176" s="5" cm="1">
        <f t="array" ref="J176">MAX(IF((ProjectInfoTable[ProjectName]=OutputTable[[#This Row],[ProjectName]]),(ProjectInfoTable[ProjectName]=OutputTable[[#This Row],[ProjectName]])*ProjectInfoTable[NumberOfReplications]))</f>
        <v>10</v>
      </c>
      <c r="K176" s="5" cm="1">
        <f t="array" ref="K176">IFERROR(AVERAGE(IF((OutputTable[GroupByKey]=OutputTable[[#This Row],[GroupByKey]]),(OutputTable[GroupByKey]=OutputTable[[#This Row],[GroupByKey]])*OutputTable[RecordedValue])),0)</f>
        <v>89.7</v>
      </c>
      <c r="L176" s="5" cm="1">
        <f t="array" ref="L176">IFERROR(_xlfn.STDEV.S(IF((OutputTable[GroupByKey]=OutputTable[[#This Row],[GroupByKey]]),(OutputTable[GroupByKey]=OutputTable[[#This Row],[GroupByKey]])*OutputTable[RecordedValue])),0)</f>
        <v>15.3554188770248</v>
      </c>
      <c r="M176" s="5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10.984604937751998</v>
      </c>
      <c r="O176" s="5" cm="1">
        <f t="array" ref="O176">MIN(IF((OutputTable[GroupByKey]=OutputTable[[#This Row],[GroupByKey]]),(OutputTable[GroupByKey]=OutputTable[[#This Row],[GroupByKey]])*OutputTable[RecordedValue]))</f>
        <v>72</v>
      </c>
      <c r="P176" s="5" cm="1">
        <f t="array" ref="P176">MAX(IF((OutputTable[GroupByKey]=OutputTable[[#This Row],[GroupByKey]]),(OutputTable[GroupByKey]=OutputTable[[#This Row],[GroupByKey]])*OutputTable[RecordedValue]))</f>
        <v>119</v>
      </c>
    </row>
    <row r="177" spans="1:16" x14ac:dyDescent="0.3">
      <c r="A177" t="s">
        <v>66</v>
      </c>
      <c r="B177" t="s">
        <v>68</v>
      </c>
      <c r="C177">
        <v>8</v>
      </c>
      <c r="D177" t="s">
        <v>135</v>
      </c>
      <c r="E177" t="s">
        <v>123</v>
      </c>
      <c r="F177" t="s">
        <v>103</v>
      </c>
      <c r="G177">
        <v>0.35190578860197103</v>
      </c>
      <c r="H177">
        <v>0</v>
      </c>
      <c r="I177" s="5" t="str">
        <f>OutputTable[[#This Row],[ProjectName]]&amp;OutputTable[[#This Row],[Name]]&amp;OutputTable[[#This Row],[Type]]&amp;OutputTable[[#This Row],[Source]]</f>
        <v>Unnamed Projectcajera.ScheduledUtilizationScheduled UtilizationResource</v>
      </c>
      <c r="J177" s="5" cm="1">
        <f t="array" ref="J177">MAX(IF((ProjectInfoTable[ProjectName]=OutputTable[[#This Row],[ProjectName]]),(ProjectInfoTable[ProjectName]=OutputTable[[#This Row],[ProjectName]])*ProjectInfoTable[NumberOfReplications]))</f>
        <v>10</v>
      </c>
      <c r="K177" s="5" cm="1">
        <f t="array" ref="K177">IFERROR(AVERAGE(IF((OutputTable[GroupByKey]=OutputTable[[#This Row],[GroupByKey]]),(OutputTable[GroupByKey]=OutputTable[[#This Row],[GroupByKey]])*OutputTable[RecordedValue])),0)</f>
        <v>0.38078385056341441</v>
      </c>
      <c r="L177" s="5" cm="1">
        <f t="array" ref="L177">IFERROR(_xlfn.STDEV.S(IF((OutputTable[GroupByKey]=OutputTable[[#This Row],[GroupByKey]]),(OutputTable[GroupByKey]=OutputTable[[#This Row],[GroupByKey]])*OutputTable[RecordedValue])),0)</f>
        <v>5.6481911326734656E-2</v>
      </c>
      <c r="M177" s="5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4.040472533000234E-2</v>
      </c>
      <c r="O177" s="5" cm="1">
        <f t="array" ref="O177">MIN(IF((OutputTable[GroupByKey]=OutputTable[[#This Row],[GroupByKey]]),(OutputTable[GroupByKey]=OutputTable[[#This Row],[GroupByKey]])*OutputTable[RecordedValue]))</f>
        <v>0.28913636698845602</v>
      </c>
      <c r="P177" s="5" cm="1">
        <f t="array" ref="P177">MAX(IF((OutputTable[GroupByKey]=OutputTable[[#This Row],[GroupByKey]]),(OutputTable[GroupByKey]=OutputTable[[#This Row],[GroupByKey]])*OutputTable[RecordedValue]))</f>
        <v>0.46134650546047301</v>
      </c>
    </row>
    <row r="178" spans="1:16" x14ac:dyDescent="0.3">
      <c r="A178" t="s">
        <v>66</v>
      </c>
      <c r="B178" t="s">
        <v>68</v>
      </c>
      <c r="C178">
        <v>8</v>
      </c>
      <c r="D178" t="s">
        <v>136</v>
      </c>
      <c r="E178" t="s">
        <v>121</v>
      </c>
      <c r="F178" t="s">
        <v>103</v>
      </c>
      <c r="G178">
        <v>174</v>
      </c>
      <c r="H178">
        <v>0</v>
      </c>
      <c r="I178" s="5" t="str">
        <f>OutputTable[[#This Row],[ProjectName]]&amp;OutputTable[[#This Row],[Name]]&amp;OutputTable[[#This Row],[Type]]&amp;OutputTable[[#This Row],[Source]]</f>
        <v>Unnamed Projectcajera2.NumberSeizedTotal Number SeizedResource</v>
      </c>
      <c r="J178" s="5" cm="1">
        <f t="array" ref="J178">MAX(IF((ProjectInfoTable[ProjectName]=OutputTable[[#This Row],[ProjectName]]),(ProjectInfoTable[ProjectName]=OutputTable[[#This Row],[ProjectName]])*ProjectInfoTable[NumberOfReplications]))</f>
        <v>10</v>
      </c>
      <c r="K178" s="5" cm="1">
        <f t="array" ref="K178">IFERROR(AVERAGE(IF((OutputTable[GroupByKey]=OutputTable[[#This Row],[GroupByKey]]),(OutputTable[GroupByKey]=OutputTable[[#This Row],[GroupByKey]])*OutputTable[RecordedValue])),0)</f>
        <v>181.1</v>
      </c>
      <c r="L178" s="5" cm="1">
        <f t="array" ref="L178">IFERROR(_xlfn.STDEV.S(IF((OutputTable[GroupByKey]=OutputTable[[#This Row],[GroupByKey]]),(OutputTable[GroupByKey]=OutputTable[[#This Row],[GroupByKey]])*OutputTable[RecordedValue])),0)</f>
        <v>9.7348172384830463</v>
      </c>
      <c r="M178" s="5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6.9638687399111214</v>
      </c>
      <c r="O178" s="5" cm="1">
        <f t="array" ref="O178">MIN(IF((OutputTable[GroupByKey]=OutputTable[[#This Row],[GroupByKey]]),(OutputTable[GroupByKey]=OutputTable[[#This Row],[GroupByKey]])*OutputTable[RecordedValue]))</f>
        <v>169</v>
      </c>
      <c r="P178" s="5" cm="1">
        <f t="array" ref="P178">MAX(IF((OutputTable[GroupByKey]=OutputTable[[#This Row],[GroupByKey]]),(OutputTable[GroupByKey]=OutputTable[[#This Row],[GroupByKey]])*OutputTable[RecordedValue]))</f>
        <v>194</v>
      </c>
    </row>
    <row r="179" spans="1:16" x14ac:dyDescent="0.3">
      <c r="A179" t="s">
        <v>66</v>
      </c>
      <c r="B179" t="s">
        <v>68</v>
      </c>
      <c r="C179">
        <v>8</v>
      </c>
      <c r="D179" t="s">
        <v>137</v>
      </c>
      <c r="E179" t="s">
        <v>123</v>
      </c>
      <c r="F179" t="s">
        <v>103</v>
      </c>
      <c r="G179">
        <v>0.70985400369232299</v>
      </c>
      <c r="H179">
        <v>0</v>
      </c>
      <c r="I179" s="5" t="str">
        <f>OutputTable[[#This Row],[ProjectName]]&amp;OutputTable[[#This Row],[Name]]&amp;OutputTable[[#This Row],[Type]]&amp;OutputTable[[#This Row],[Source]]</f>
        <v>Unnamed Projectcajera2.ScheduledUtilizationScheduled UtilizationResource</v>
      </c>
      <c r="J179" s="5" cm="1">
        <f t="array" ref="J179">MAX(IF((ProjectInfoTable[ProjectName]=OutputTable[[#This Row],[ProjectName]]),(ProjectInfoTable[ProjectName]=OutputTable[[#This Row],[ProjectName]])*ProjectInfoTable[NumberOfReplications]))</f>
        <v>10</v>
      </c>
      <c r="K179" s="5" cm="1">
        <f t="array" ref="K179">IFERROR(AVERAGE(IF((OutputTable[GroupByKey]=OutputTable[[#This Row],[GroupByKey]]),(OutputTable[GroupByKey]=OutputTable[[#This Row],[GroupByKey]])*OutputTable[RecordedValue])),0)</f>
        <v>0.73571117943508912</v>
      </c>
      <c r="L179" s="5" cm="1">
        <f t="array" ref="L179">IFERROR(_xlfn.STDEV.S(IF((OutputTable[GroupByKey]=OutputTable[[#This Row],[GroupByKey]]),(OutputTable[GroupByKey]=OutputTable[[#This Row],[GroupByKey]])*OutputTable[RecordedValue])),0)</f>
        <v>2.3945213257811505E-2</v>
      </c>
      <c r="M179" s="5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1.7129373668915777E-2</v>
      </c>
      <c r="O179" s="5" cm="1">
        <f t="array" ref="O179">MIN(IF((OutputTable[GroupByKey]=OutputTable[[#This Row],[GroupByKey]]),(OutputTable[GroupByKey]=OutputTable[[#This Row],[GroupByKey]])*OutputTable[RecordedValue]))</f>
        <v>0.69752119636771104</v>
      </c>
      <c r="P179" s="5" cm="1">
        <f t="array" ref="P179">MAX(IF((OutputTable[GroupByKey]=OutputTable[[#This Row],[GroupByKey]]),(OutputTable[GroupByKey]=OutputTable[[#This Row],[GroupByKey]])*OutputTable[RecordedValue]))</f>
        <v>0.77845968782647601</v>
      </c>
    </row>
    <row r="180" spans="1:16" x14ac:dyDescent="0.3">
      <c r="A180" t="s">
        <v>66</v>
      </c>
      <c r="B180" t="s">
        <v>68</v>
      </c>
      <c r="C180">
        <v>8</v>
      </c>
      <c r="D180" t="s">
        <v>138</v>
      </c>
      <c r="E180" t="s">
        <v>117</v>
      </c>
      <c r="F180" t="s">
        <v>74</v>
      </c>
      <c r="G180">
        <v>0</v>
      </c>
      <c r="H180">
        <v>0</v>
      </c>
      <c r="I180" s="5" t="str">
        <f>OutputTable[[#This Row],[ProjectName]]&amp;OutputTable[[#This Row],[Name]]&amp;OutputTable[[#This Row],[Type]]&amp;OutputTable[[#This Row],[Source]]</f>
        <v>Unnamed Projectpersona.NumberInNumber InEntity</v>
      </c>
      <c r="J180" s="5" cm="1">
        <f t="array" ref="J180">MAX(IF((ProjectInfoTable[ProjectName]=OutputTable[[#This Row],[ProjectName]]),(ProjectInfoTable[ProjectName]=OutputTable[[#This Row],[ProjectName]])*ProjectInfoTable[NumberOfReplications]))</f>
        <v>10</v>
      </c>
      <c r="K180" s="5" cm="1">
        <f t="array" ref="K180">IFERROR(AVERAGE(IF((OutputTable[GroupByKey]=OutputTable[[#This Row],[GroupByKey]]),(OutputTable[GroupByKey]=OutputTable[[#This Row],[GroupByKey]])*OutputTable[RecordedValue])),0)</f>
        <v>0</v>
      </c>
      <c r="L180" s="5" cm="1">
        <f t="array" ref="L180">IFERROR(_xlfn.STDEV.S(IF((OutputTable[GroupByKey]=OutputTable[[#This Row],[GroupByKey]]),(OutputTable[GroupByKey]=OutputTable[[#This Row],[GroupByKey]])*OutputTable[RecordedValue])),0)</f>
        <v>0</v>
      </c>
      <c r="M180" s="5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0" s="5" cm="1">
        <f t="array" ref="O180">MIN(IF((OutputTable[GroupByKey]=OutputTable[[#This Row],[GroupByKey]]),(OutputTable[GroupByKey]=OutputTable[[#This Row],[GroupByKey]])*OutputTable[RecordedValue]))</f>
        <v>0</v>
      </c>
      <c r="P180" s="5" cm="1">
        <f t="array" ref="P180">MAX(IF((OutputTable[GroupByKey]=OutputTable[[#This Row],[GroupByKey]]),(OutputTable[GroupByKey]=OutputTable[[#This Row],[GroupByKey]])*OutputTable[RecordedValue]))</f>
        <v>0</v>
      </c>
    </row>
    <row r="181" spans="1:16" x14ac:dyDescent="0.3">
      <c r="A181" t="s">
        <v>66</v>
      </c>
      <c r="B181" t="s">
        <v>68</v>
      </c>
      <c r="C181">
        <v>8</v>
      </c>
      <c r="D181" t="s">
        <v>139</v>
      </c>
      <c r="E181" t="s">
        <v>119</v>
      </c>
      <c r="F181" t="s">
        <v>74</v>
      </c>
      <c r="G181">
        <v>0</v>
      </c>
      <c r="H181">
        <v>0</v>
      </c>
      <c r="I181" s="5" t="str">
        <f>OutputTable[[#This Row],[ProjectName]]&amp;OutputTable[[#This Row],[Name]]&amp;OutputTable[[#This Row],[Type]]&amp;OutputTable[[#This Row],[Source]]</f>
        <v>Unnamed Projectpersona.NumberOutNumber OutEntity</v>
      </c>
      <c r="J181" s="5" cm="1">
        <f t="array" ref="J181">MAX(IF((ProjectInfoTable[ProjectName]=OutputTable[[#This Row],[ProjectName]]),(ProjectInfoTable[ProjectName]=OutputTable[[#This Row],[ProjectName]])*ProjectInfoTable[NumberOfReplications]))</f>
        <v>10</v>
      </c>
      <c r="K181" s="5" cm="1">
        <f t="array" ref="K181">IFERROR(AVERAGE(IF((OutputTable[GroupByKey]=OutputTable[[#This Row],[GroupByKey]]),(OutputTable[GroupByKey]=OutputTable[[#This Row],[GroupByKey]])*OutputTable[RecordedValue])),0)</f>
        <v>0</v>
      </c>
      <c r="L181" s="5" cm="1">
        <f t="array" ref="L181">IFERROR(_xlfn.STDEV.S(IF((OutputTable[GroupByKey]=OutputTable[[#This Row],[GroupByKey]]),(OutputTable[GroupByKey]=OutputTable[[#This Row],[GroupByKey]])*OutputTable[RecordedValue])),0)</f>
        <v>0</v>
      </c>
      <c r="M181" s="5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81" s="5" cm="1">
        <f t="array" ref="O181">MIN(IF((OutputTable[GroupByKey]=OutputTable[[#This Row],[GroupByKey]]),(OutputTable[GroupByKey]=OutputTable[[#This Row],[GroupByKey]])*OutputTable[RecordedValue]))</f>
        <v>0</v>
      </c>
      <c r="P181" s="5" cm="1">
        <f t="array" ref="P181">MAX(IF((OutputTable[GroupByKey]=OutputTable[[#This Row],[GroupByKey]]),(OutputTable[GroupByKey]=OutputTable[[#This Row],[GroupByKey]])*OutputTable[RecordedValue]))</f>
        <v>0</v>
      </c>
    </row>
    <row r="182" spans="1:16" x14ac:dyDescent="0.3">
      <c r="A182" t="s">
        <v>66</v>
      </c>
      <c r="B182" t="s">
        <v>68</v>
      </c>
      <c r="C182">
        <v>8</v>
      </c>
      <c r="D182" t="s">
        <v>140</v>
      </c>
      <c r="E182" t="s">
        <v>121</v>
      </c>
      <c r="F182" t="s">
        <v>103</v>
      </c>
      <c r="G182">
        <v>4</v>
      </c>
      <c r="H182">
        <v>0</v>
      </c>
      <c r="I182" s="5" t="str">
        <f>OutputTable[[#This Row],[ProjectName]]&amp;OutputTable[[#This Row],[Name]]&amp;OutputTable[[#This Row],[Type]]&amp;OutputTable[[#This Row],[Source]]</f>
        <v>Unnamed Projectregistro1.NumberSeizedTotal Number SeizedResource</v>
      </c>
      <c r="J182" s="5" cm="1">
        <f t="array" ref="J182">MAX(IF((ProjectInfoTable[ProjectName]=OutputTable[[#This Row],[ProjectName]]),(ProjectInfoTable[ProjectName]=OutputTable[[#This Row],[ProjectName]])*ProjectInfoTable[NumberOfReplications]))</f>
        <v>10</v>
      </c>
      <c r="K182" s="5" cm="1">
        <f t="array" ref="K182">IFERROR(AVERAGE(IF((OutputTable[GroupByKey]=OutputTable[[#This Row],[GroupByKey]]),(OutputTable[GroupByKey]=OutputTable[[#This Row],[GroupByKey]])*OutputTable[RecordedValue])),0)</f>
        <v>7.6</v>
      </c>
      <c r="L182" s="5" cm="1">
        <f t="array" ref="L182">IFERROR(_xlfn.STDEV.S(IF((OutputTable[GroupByKey]=OutputTable[[#This Row],[GroupByKey]]),(OutputTable[GroupByKey]=OutputTable[[#This Row],[GroupByKey]])*OutputTable[RecordedValue])),0)</f>
        <v>2.9135697844549542</v>
      </c>
      <c r="M182" s="5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2.0842422663373124</v>
      </c>
      <c r="O182" s="5" cm="1">
        <f t="array" ref="O182">MIN(IF((OutputTable[GroupByKey]=OutputTable[[#This Row],[GroupByKey]]),(OutputTable[GroupByKey]=OutputTable[[#This Row],[GroupByKey]])*OutputTable[RecordedValue]))</f>
        <v>4</v>
      </c>
      <c r="P182" s="5" cm="1">
        <f t="array" ref="P182">MAX(IF((OutputTable[GroupByKey]=OutputTable[[#This Row],[GroupByKey]]),(OutputTable[GroupByKey]=OutputTable[[#This Row],[GroupByKey]])*OutputTable[RecordedValue]))</f>
        <v>12</v>
      </c>
    </row>
    <row r="183" spans="1:16" x14ac:dyDescent="0.3">
      <c r="A183" t="s">
        <v>66</v>
      </c>
      <c r="B183" t="s">
        <v>68</v>
      </c>
      <c r="C183">
        <v>8</v>
      </c>
      <c r="D183" t="s">
        <v>141</v>
      </c>
      <c r="E183" t="s">
        <v>123</v>
      </c>
      <c r="F183" t="s">
        <v>103</v>
      </c>
      <c r="G183">
        <v>2.1279401430778E-2</v>
      </c>
      <c r="H183">
        <v>0</v>
      </c>
      <c r="I183" s="5" t="str">
        <f>OutputTable[[#This Row],[ProjectName]]&amp;OutputTable[[#This Row],[Name]]&amp;OutputTable[[#This Row],[Type]]&amp;OutputTable[[#This Row],[Source]]</f>
        <v>Unnamed Projectregistro1.ScheduledUtilizationScheduled UtilizationResource</v>
      </c>
      <c r="J183" s="5" cm="1">
        <f t="array" ref="J183">MAX(IF((ProjectInfoTable[ProjectName]=OutputTable[[#This Row],[ProjectName]]),(ProjectInfoTable[ProjectName]=OutputTable[[#This Row],[ProjectName]])*ProjectInfoTable[NumberOfReplications]))</f>
        <v>10</v>
      </c>
      <c r="K183" s="5" cm="1">
        <f t="array" ref="K183">IFERROR(AVERAGE(IF((OutputTable[GroupByKey]=OutputTable[[#This Row],[GroupByKey]]),(OutputTable[GroupByKey]=OutputTable[[#This Row],[GroupByKey]])*OutputTable[RecordedValue])),0)</f>
        <v>5.6433247648491516E-2</v>
      </c>
      <c r="L183" s="5" cm="1">
        <f t="array" ref="L183">IFERROR(_xlfn.STDEV.S(IF((OutputTable[GroupByKey]=OutputTable[[#This Row],[GroupByKey]]),(OutputTable[GroupByKey]=OutputTable[[#This Row],[GroupByKey]])*OutputTable[RecordedValue])),0)</f>
        <v>2.4456082934732001E-2</v>
      </c>
      <c r="M183" s="5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1.7494827820351853E-2</v>
      </c>
      <c r="O183" s="5" cm="1">
        <f t="array" ref="O183">MIN(IF((OutputTable[GroupByKey]=OutputTable[[#This Row],[GroupByKey]]),(OutputTable[GroupByKey]=OutputTable[[#This Row],[GroupByKey]])*OutputTable[RecordedValue]))</f>
        <v>2.1279401430778E-2</v>
      </c>
      <c r="P183" s="5" cm="1">
        <f t="array" ref="P183">MAX(IF((OutputTable[GroupByKey]=OutputTable[[#This Row],[GroupByKey]]),(OutputTable[GroupByKey]=OutputTable[[#This Row],[GroupByKey]])*OutputTable[RecordedValue]))</f>
        <v>8.8472374570180701E-2</v>
      </c>
    </row>
    <row r="184" spans="1:16" x14ac:dyDescent="0.3">
      <c r="A184" t="s">
        <v>66</v>
      </c>
      <c r="B184" t="s">
        <v>68</v>
      </c>
      <c r="C184">
        <v>8</v>
      </c>
      <c r="D184" t="s">
        <v>142</v>
      </c>
      <c r="E184" t="s">
        <v>121</v>
      </c>
      <c r="F184" t="s">
        <v>103</v>
      </c>
      <c r="G184">
        <v>14</v>
      </c>
      <c r="H184">
        <v>0</v>
      </c>
      <c r="I184" s="5" t="str">
        <f>OutputTable[[#This Row],[ProjectName]]&amp;OutputTable[[#This Row],[Name]]&amp;OutputTable[[#This Row],[Type]]&amp;OutputTable[[#This Row],[Source]]</f>
        <v>Unnamed Projectregistro2.NumberSeizedTotal Number SeizedResource</v>
      </c>
      <c r="J184" s="5" cm="1">
        <f t="array" ref="J184">MAX(IF((ProjectInfoTable[ProjectName]=OutputTable[[#This Row],[ProjectName]]),(ProjectInfoTable[ProjectName]=OutputTable[[#This Row],[ProjectName]])*ProjectInfoTable[NumberOfReplications]))</f>
        <v>10</v>
      </c>
      <c r="K184" s="5" cm="1">
        <f t="array" ref="K184">IFERROR(AVERAGE(IF((OutputTable[GroupByKey]=OutputTable[[#This Row],[GroupByKey]]),(OutputTable[GroupByKey]=OutputTable[[#This Row],[GroupByKey]])*OutputTable[RecordedValue])),0)</f>
        <v>18.8</v>
      </c>
      <c r="L184" s="5" cm="1">
        <f t="array" ref="L184">IFERROR(_xlfn.STDEV.S(IF((OutputTable[GroupByKey]=OutputTable[[#This Row],[GroupByKey]]),(OutputTable[GroupByKey]=OutputTable[[#This Row],[GroupByKey]])*OutputTable[RecordedValue])),0)</f>
        <v>2.8205594401741556</v>
      </c>
      <c r="M184" s="5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2.0177066742293341</v>
      </c>
      <c r="O184" s="5" cm="1">
        <f t="array" ref="O184">MIN(IF((OutputTable[GroupByKey]=OutputTable[[#This Row],[GroupByKey]]),(OutputTable[GroupByKey]=OutputTable[[#This Row],[GroupByKey]])*OutputTable[RecordedValue]))</f>
        <v>14</v>
      </c>
      <c r="P184" s="5" cm="1">
        <f t="array" ref="P184">MAX(IF((OutputTable[GroupByKey]=OutputTable[[#This Row],[GroupByKey]]),(OutputTable[GroupByKey]=OutputTable[[#This Row],[GroupByKey]])*OutputTable[RecordedValue]))</f>
        <v>24</v>
      </c>
    </row>
    <row r="185" spans="1:16" x14ac:dyDescent="0.3">
      <c r="A185" t="s">
        <v>66</v>
      </c>
      <c r="B185" t="s">
        <v>68</v>
      </c>
      <c r="C185">
        <v>8</v>
      </c>
      <c r="D185" t="s">
        <v>143</v>
      </c>
      <c r="E185" t="s">
        <v>123</v>
      </c>
      <c r="F185" t="s">
        <v>103</v>
      </c>
      <c r="G185">
        <v>0.44908676783761903</v>
      </c>
      <c r="H185">
        <v>0</v>
      </c>
      <c r="I185" s="5" t="str">
        <f>OutputTable[[#This Row],[ProjectName]]&amp;OutputTable[[#This Row],[Name]]&amp;OutputTable[[#This Row],[Type]]&amp;OutputTable[[#This Row],[Source]]</f>
        <v>Unnamed Projectregistro2.ScheduledUtilizationScheduled UtilizationResource</v>
      </c>
      <c r="J185" s="5" cm="1">
        <f t="array" ref="J185">MAX(IF((ProjectInfoTable[ProjectName]=OutputTable[[#This Row],[ProjectName]]),(ProjectInfoTable[ProjectName]=OutputTable[[#This Row],[ProjectName]])*ProjectInfoTable[NumberOfReplications]))</f>
        <v>10</v>
      </c>
      <c r="K185" s="5" cm="1">
        <f t="array" ref="K185">IFERROR(AVERAGE(IF((OutputTable[GroupByKey]=OutputTable[[#This Row],[GroupByKey]]),(OutputTable[GroupByKey]=OutputTable[[#This Row],[GroupByKey]])*OutputTable[RecordedValue])),0)</f>
        <v>0.46274808587050231</v>
      </c>
      <c r="L185" s="5" cm="1">
        <f t="array" ref="L185">IFERROR(_xlfn.STDEV.S(IF((OutputTable[GroupByKey]=OutputTable[[#This Row],[GroupByKey]]),(OutputTable[GroupByKey]=OutputTable[[#This Row],[GroupByKey]])*OutputTable[RecordedValue])),0)</f>
        <v>9.1165192054027525E-2</v>
      </c>
      <c r="M185" s="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6.5215649719990554E-2</v>
      </c>
      <c r="O185" s="5" cm="1">
        <f t="array" ref="O185">MIN(IF((OutputTable[GroupByKey]=OutputTable[[#This Row],[GroupByKey]]),(OutputTable[GroupByKey]=OutputTable[[#This Row],[GroupByKey]])*OutputTable[RecordedValue]))</f>
        <v>0.338210899349628</v>
      </c>
      <c r="P185" s="5" cm="1">
        <f t="array" ref="P185">MAX(IF((OutputTable[GroupByKey]=OutputTable[[#This Row],[GroupByKey]]),(OutputTable[GroupByKey]=OutputTable[[#This Row],[GroupByKey]])*OutputTable[RecordedValue]))</f>
        <v>0.66990172486561195</v>
      </c>
    </row>
    <row r="186" spans="1:16" x14ac:dyDescent="0.3">
      <c r="A186" t="s">
        <v>66</v>
      </c>
      <c r="B186" t="s">
        <v>68</v>
      </c>
      <c r="C186">
        <v>9</v>
      </c>
      <c r="D186" t="s">
        <v>116</v>
      </c>
      <c r="E186" t="s">
        <v>117</v>
      </c>
      <c r="F186" t="s">
        <v>74</v>
      </c>
      <c r="G186">
        <v>732</v>
      </c>
      <c r="H186">
        <v>0</v>
      </c>
      <c r="I186" s="5" t="str">
        <f>OutputTable[[#This Row],[ProjectName]]&amp;OutputTable[[#This Row],[Name]]&amp;OutputTable[[#This Row],[Type]]&amp;OutputTable[[#This Row],[Source]]</f>
        <v>Unnamed ProjectEntity 1.NumberInNumber InEntity</v>
      </c>
      <c r="J186" s="5" cm="1">
        <f t="array" ref="J186">MAX(IF((ProjectInfoTable[ProjectName]=OutputTable[[#This Row],[ProjectName]]),(ProjectInfoTable[ProjectName]=OutputTable[[#This Row],[ProjectName]])*ProjectInfoTable[NumberOfReplications]))</f>
        <v>10</v>
      </c>
      <c r="K186" s="5" cm="1">
        <f t="array" ref="K186">IFERROR(AVERAGE(IF((OutputTable[GroupByKey]=OutputTable[[#This Row],[GroupByKey]]),(OutputTable[GroupByKey]=OutputTable[[#This Row],[GroupByKey]])*OutputTable[RecordedValue])),0)</f>
        <v>677.4</v>
      </c>
      <c r="L186" s="5" cm="1">
        <f t="array" ref="L186">IFERROR(_xlfn.STDEV.S(IF((OutputTable[GroupByKey]=OutputTable[[#This Row],[GroupByKey]]),(OutputTable[GroupByKey]=OutputTable[[#This Row],[GroupByKey]])*OutputTable[RecordedValue])),0)</f>
        <v>50.383418789209699</v>
      </c>
      <c r="M186" s="5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36.042126577273301</v>
      </c>
      <c r="O186" s="5" cm="1">
        <f t="array" ref="O186">MIN(IF((OutputTable[GroupByKey]=OutputTable[[#This Row],[GroupByKey]]),(OutputTable[GroupByKey]=OutputTable[[#This Row],[GroupByKey]])*OutputTable[RecordedValue]))</f>
        <v>612</v>
      </c>
      <c r="P186" s="5" cm="1">
        <f t="array" ref="P186">MAX(IF((OutputTable[GroupByKey]=OutputTable[[#This Row],[GroupByKey]]),(OutputTable[GroupByKey]=OutputTable[[#This Row],[GroupByKey]])*OutputTable[RecordedValue]))</f>
        <v>757</v>
      </c>
    </row>
    <row r="187" spans="1:16" x14ac:dyDescent="0.3">
      <c r="A187" t="s">
        <v>66</v>
      </c>
      <c r="B187" t="s">
        <v>68</v>
      </c>
      <c r="C187">
        <v>9</v>
      </c>
      <c r="D187" t="s">
        <v>118</v>
      </c>
      <c r="E187" t="s">
        <v>119</v>
      </c>
      <c r="F187" t="s">
        <v>74</v>
      </c>
      <c r="G187">
        <v>731</v>
      </c>
      <c r="H187">
        <v>0</v>
      </c>
      <c r="I187" s="5" t="str">
        <f>OutputTable[[#This Row],[ProjectName]]&amp;OutputTable[[#This Row],[Name]]&amp;OutputTable[[#This Row],[Type]]&amp;OutputTable[[#This Row],[Source]]</f>
        <v>Unnamed ProjectEntity 1.NumberOutNumber OutEntity</v>
      </c>
      <c r="J187" s="5" cm="1">
        <f t="array" ref="J187">MAX(IF((ProjectInfoTable[ProjectName]=OutputTable[[#This Row],[ProjectName]]),(ProjectInfoTable[ProjectName]=OutputTable[[#This Row],[ProjectName]])*ProjectInfoTable[NumberOfReplications]))</f>
        <v>10</v>
      </c>
      <c r="K187" s="5" cm="1">
        <f t="array" ref="K187">IFERROR(AVERAGE(IF((OutputTable[GroupByKey]=OutputTable[[#This Row],[GroupByKey]]),(OutputTable[GroupByKey]=OutputTable[[#This Row],[GroupByKey]])*OutputTable[RecordedValue])),0)</f>
        <v>673.8</v>
      </c>
      <c r="L187" s="5" cm="1">
        <f t="array" ref="L187">IFERROR(_xlfn.STDEV.S(IF((OutputTable[GroupByKey]=OutputTable[[#This Row],[GroupByKey]]),(OutputTable[GroupByKey]=OutputTable[[#This Row],[GroupByKey]])*OutputTable[RecordedValue])),0)</f>
        <v>51.503613681199326</v>
      </c>
      <c r="M187" s="5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36.843465729291147</v>
      </c>
      <c r="O187" s="5" cm="1">
        <f t="array" ref="O187">MIN(IF((OutputTable[GroupByKey]=OutputTable[[#This Row],[GroupByKey]]),(OutputTable[GroupByKey]=OutputTable[[#This Row],[GroupByKey]])*OutputTable[RecordedValue]))</f>
        <v>608</v>
      </c>
      <c r="P187" s="5" cm="1">
        <f t="array" ref="P187">MAX(IF((OutputTable[GroupByKey]=OutputTable[[#This Row],[GroupByKey]]),(OutputTable[GroupByKey]=OutputTable[[#This Row],[GroupByKey]])*OutputTable[RecordedValue]))</f>
        <v>755</v>
      </c>
    </row>
    <row r="188" spans="1:16" x14ac:dyDescent="0.3">
      <c r="A188" t="s">
        <v>66</v>
      </c>
      <c r="B188" t="s">
        <v>68</v>
      </c>
      <c r="C188">
        <v>9</v>
      </c>
      <c r="D188" t="s">
        <v>120</v>
      </c>
      <c r="E188" t="s">
        <v>121</v>
      </c>
      <c r="F188" t="s">
        <v>103</v>
      </c>
      <c r="G188">
        <v>191</v>
      </c>
      <c r="H188">
        <v>0</v>
      </c>
      <c r="I188" s="5" t="str">
        <f>OutputTable[[#This Row],[ProjectName]]&amp;OutputTable[[#This Row],[Name]]&amp;OutputTable[[#This Row],[Type]]&amp;OutputTable[[#This Row],[Source]]</f>
        <v>Unnamed ProjectInterauto.NumberSeizedTotal Number SeizedResource</v>
      </c>
      <c r="J188" s="5" cm="1">
        <f t="array" ref="J188">MAX(IF((ProjectInfoTable[ProjectName]=OutputTable[[#This Row],[ProjectName]]),(ProjectInfoTable[ProjectName]=OutputTable[[#This Row],[ProjectName]])*ProjectInfoTable[NumberOfReplications]))</f>
        <v>10</v>
      </c>
      <c r="K188" s="5" cm="1">
        <f t="array" ref="K188">IFERROR(AVERAGE(IF((OutputTable[GroupByKey]=OutputTable[[#This Row],[GroupByKey]]),(OutputTable[GroupByKey]=OutputTable[[#This Row],[GroupByKey]])*OutputTable[RecordedValue])),0)</f>
        <v>161.5</v>
      </c>
      <c r="L188" s="5" cm="1">
        <f t="array" ref="L188">IFERROR(_xlfn.STDEV.S(IF((OutputTable[GroupByKey]=OutputTable[[#This Row],[GroupByKey]]),(OutputTable[GroupByKey]=OutputTable[[#This Row],[GroupByKey]])*OutputTable[RecordedValue])),0)</f>
        <v>13.778001790293589</v>
      </c>
      <c r="M188" s="5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9.8561887311626997</v>
      </c>
      <c r="O188" s="5" cm="1">
        <f t="array" ref="O188">MIN(IF((OutputTable[GroupByKey]=OutputTable[[#This Row],[GroupByKey]]),(OutputTable[GroupByKey]=OutputTable[[#This Row],[GroupByKey]])*OutputTable[RecordedValue]))</f>
        <v>147</v>
      </c>
      <c r="P188" s="5" cm="1">
        <f t="array" ref="P188">MAX(IF((OutputTable[GroupByKey]=OutputTable[[#This Row],[GroupByKey]]),(OutputTable[GroupByKey]=OutputTable[[#This Row],[GroupByKey]])*OutputTable[RecordedValue]))</f>
        <v>191</v>
      </c>
    </row>
    <row r="189" spans="1:16" x14ac:dyDescent="0.3">
      <c r="A189" t="s">
        <v>66</v>
      </c>
      <c r="B189" t="s">
        <v>68</v>
      </c>
      <c r="C189">
        <v>9</v>
      </c>
      <c r="D189" t="s">
        <v>122</v>
      </c>
      <c r="E189" t="s">
        <v>123</v>
      </c>
      <c r="F189" t="s">
        <v>103</v>
      </c>
      <c r="G189">
        <v>0.29552077299252399</v>
      </c>
      <c r="H189">
        <v>0</v>
      </c>
      <c r="I189" s="5" t="str">
        <f>OutputTable[[#This Row],[ProjectName]]&amp;OutputTable[[#This Row],[Name]]&amp;OutputTable[[#This Row],[Type]]&amp;OutputTable[[#This Row],[Source]]</f>
        <v>Unnamed ProjectInterauto.ScheduledUtilizationScheduled UtilizationResource</v>
      </c>
      <c r="J189" s="5" cm="1">
        <f t="array" ref="J189">MAX(IF((ProjectInfoTable[ProjectName]=OutputTable[[#This Row],[ProjectName]]),(ProjectInfoTable[ProjectName]=OutputTable[[#This Row],[ProjectName]])*ProjectInfoTable[NumberOfReplications]))</f>
        <v>10</v>
      </c>
      <c r="K189" s="5" cm="1">
        <f t="array" ref="K189">IFERROR(AVERAGE(IF((OutputTable[GroupByKey]=OutputTable[[#This Row],[GroupByKey]]),(OutputTable[GroupByKey]=OutputTable[[#This Row],[GroupByKey]])*OutputTable[RecordedValue])),0)</f>
        <v>0.26535205929836458</v>
      </c>
      <c r="L189" s="5" cm="1">
        <f t="array" ref="L189">IFERROR(_xlfn.STDEV.S(IF((OutputTable[GroupByKey]=OutputTable[[#This Row],[GroupByKey]]),(OutputTable[GroupByKey]=OutputTable[[#This Row],[GroupByKey]])*OutputTable[RecordedValue])),0)</f>
        <v>2.5807993647623796E-2</v>
      </c>
      <c r="M189" s="5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1.8461926485074727E-2</v>
      </c>
      <c r="O189" s="5" cm="1">
        <f t="array" ref="O189">MIN(IF((OutputTable[GroupByKey]=OutputTable[[#This Row],[GroupByKey]]),(OutputTable[GroupByKey]=OutputTable[[#This Row],[GroupByKey]])*OutputTable[RecordedValue]))</f>
        <v>0.20483176768320299</v>
      </c>
      <c r="P189" s="5" cm="1">
        <f t="array" ref="P189">MAX(IF((OutputTable[GroupByKey]=OutputTable[[#This Row],[GroupByKey]]),(OutputTable[GroupByKey]=OutputTable[[#This Row],[GroupByKey]])*OutputTable[RecordedValue]))</f>
        <v>0.29552077299252399</v>
      </c>
    </row>
    <row r="190" spans="1:16" x14ac:dyDescent="0.3">
      <c r="A190" t="s">
        <v>66</v>
      </c>
      <c r="B190" t="s">
        <v>68</v>
      </c>
      <c r="C190">
        <v>9</v>
      </c>
      <c r="D190" t="s">
        <v>124</v>
      </c>
      <c r="E190" t="s">
        <v>117</v>
      </c>
      <c r="F190" t="s">
        <v>74</v>
      </c>
      <c r="G190">
        <v>251</v>
      </c>
      <c r="H190">
        <v>0</v>
      </c>
      <c r="I190" s="5" t="str">
        <f>OutputTable[[#This Row],[ProjectName]]&amp;OutputTable[[#This Row],[Name]]&amp;OutputTable[[#This Row],[Type]]&amp;OutputTable[[#This Row],[Source]]</f>
        <v>Unnamed ProjectMaleta Internacional.NumberInNumber InEntity</v>
      </c>
      <c r="J190" s="5" cm="1">
        <f t="array" ref="J190">MAX(IF((ProjectInfoTable[ProjectName]=OutputTable[[#This Row],[ProjectName]]),(ProjectInfoTable[ProjectName]=OutputTable[[#This Row],[ProjectName]])*ProjectInfoTable[NumberOfReplications]))</f>
        <v>10</v>
      </c>
      <c r="K190" s="5" cm="1">
        <f t="array" ref="K190">IFERROR(AVERAGE(IF((OutputTable[GroupByKey]=OutputTable[[#This Row],[GroupByKey]]),(OutputTable[GroupByKey]=OutputTable[[#This Row],[GroupByKey]])*OutputTable[RecordedValue])),0)</f>
        <v>241.3</v>
      </c>
      <c r="L190" s="5" cm="1">
        <f t="array" ref="L190">IFERROR(_xlfn.STDEV.S(IF((OutputTable[GroupByKey]=OutputTable[[#This Row],[GroupByKey]]),(OutputTable[GroupByKey]=OutputTable[[#This Row],[GroupByKey]])*OutputTable[RecordedValue])),0)</f>
        <v>25.59101404790356</v>
      </c>
      <c r="M190" s="5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18.306708629960106</v>
      </c>
      <c r="O190" s="5" cm="1">
        <f t="array" ref="O190">MIN(IF((OutputTable[GroupByKey]=OutputTable[[#This Row],[GroupByKey]]),(OutputTable[GroupByKey]=OutputTable[[#This Row],[GroupByKey]])*OutputTable[RecordedValue]))</f>
        <v>207</v>
      </c>
      <c r="P190" s="5" cm="1">
        <f t="array" ref="P190">MAX(IF((OutputTable[GroupByKey]=OutputTable[[#This Row],[GroupByKey]]),(OutputTable[GroupByKey]=OutputTable[[#This Row],[GroupByKey]])*OutputTable[RecordedValue]))</f>
        <v>287</v>
      </c>
    </row>
    <row r="191" spans="1:16" x14ac:dyDescent="0.3">
      <c r="A191" t="s">
        <v>66</v>
      </c>
      <c r="B191" t="s">
        <v>68</v>
      </c>
      <c r="C191">
        <v>9</v>
      </c>
      <c r="D191" t="s">
        <v>125</v>
      </c>
      <c r="E191" t="s">
        <v>119</v>
      </c>
      <c r="F191" t="s">
        <v>74</v>
      </c>
      <c r="G191">
        <v>244</v>
      </c>
      <c r="H191">
        <v>0</v>
      </c>
      <c r="I191" s="5" t="str">
        <f>OutputTable[[#This Row],[ProjectName]]&amp;OutputTable[[#This Row],[Name]]&amp;OutputTable[[#This Row],[Type]]&amp;OutputTable[[#This Row],[Source]]</f>
        <v>Unnamed ProjectMaleta Internacional.NumberOutNumber OutEntity</v>
      </c>
      <c r="J191" s="5" cm="1">
        <f t="array" ref="J191">MAX(IF((ProjectInfoTable[ProjectName]=OutputTable[[#This Row],[ProjectName]]),(ProjectInfoTable[ProjectName]=OutputTable[[#This Row],[ProjectName]])*ProjectInfoTable[NumberOfReplications]))</f>
        <v>10</v>
      </c>
      <c r="K191" s="5" cm="1">
        <f t="array" ref="K191">IFERROR(AVERAGE(IF((OutputTable[GroupByKey]=OutputTable[[#This Row],[GroupByKey]]),(OutputTable[GroupByKey]=OutputTable[[#This Row],[GroupByKey]])*OutputTable[RecordedValue])),0)</f>
        <v>224.5</v>
      </c>
      <c r="L191" s="5" cm="1">
        <f t="array" ref="L191">IFERROR(_xlfn.STDEV.S(IF((OutputTable[GroupByKey]=OutputTable[[#This Row],[GroupByKey]]),(OutputTable[GroupByKey]=OutputTable[[#This Row],[GroupByKey]])*OutputTable[RecordedValue])),0)</f>
        <v>20.812656405818711</v>
      </c>
      <c r="M191" s="5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14.888477491497007</v>
      </c>
      <c r="O191" s="5" cm="1">
        <f t="array" ref="O191">MIN(IF((OutputTable[GroupByKey]=OutputTable[[#This Row],[GroupByKey]]),(OutputTable[GroupByKey]=OutputTable[[#This Row],[GroupByKey]])*OutputTable[RecordedValue]))</f>
        <v>199</v>
      </c>
      <c r="P191" s="5" cm="1">
        <f t="array" ref="P191">MAX(IF((OutputTable[GroupByKey]=OutputTable[[#This Row],[GroupByKey]]),(OutputTable[GroupByKey]=OutputTable[[#This Row],[GroupByKey]])*OutputTable[RecordedValue]))</f>
        <v>256</v>
      </c>
    </row>
    <row r="192" spans="1:16" x14ac:dyDescent="0.3">
      <c r="A192" t="s">
        <v>66</v>
      </c>
      <c r="B192" t="s">
        <v>68</v>
      </c>
      <c r="C192">
        <v>9</v>
      </c>
      <c r="D192" t="s">
        <v>126</v>
      </c>
      <c r="E192" t="s">
        <v>117</v>
      </c>
      <c r="F192" t="s">
        <v>74</v>
      </c>
      <c r="G192">
        <v>191</v>
      </c>
      <c r="H192">
        <v>0</v>
      </c>
      <c r="I192" s="5" t="str">
        <f>OutputTable[[#This Row],[ProjectName]]&amp;OutputTable[[#This Row],[Name]]&amp;OutputTable[[#This Row],[Type]]&amp;OutputTable[[#This Row],[Source]]</f>
        <v>Unnamed ProjectMaleta Nacional.NumberInNumber InEntity</v>
      </c>
      <c r="J192" s="5" cm="1">
        <f t="array" ref="J192">MAX(IF((ProjectInfoTable[ProjectName]=OutputTable[[#This Row],[ProjectName]]),(ProjectInfoTable[ProjectName]=OutputTable[[#This Row],[ProjectName]])*ProjectInfoTable[NumberOfReplications]))</f>
        <v>10</v>
      </c>
      <c r="K192" s="5" cm="1">
        <f t="array" ref="K192">IFERROR(AVERAGE(IF((OutputTable[GroupByKey]=OutputTable[[#This Row],[GroupByKey]]),(OutputTable[GroupByKey]=OutputTable[[#This Row],[GroupByKey]])*OutputTable[RecordedValue])),0)</f>
        <v>163.1</v>
      </c>
      <c r="L192" s="5" cm="1">
        <f t="array" ref="L192">IFERROR(_xlfn.STDEV.S(IF((OutputTable[GroupByKey]=OutputTable[[#This Row],[GroupByKey]]),(OutputTable[GroupByKey]=OutputTable[[#This Row],[GroupByKey]])*OutputTable[RecordedValue])),0)</f>
        <v>14.371654200002325</v>
      </c>
      <c r="M192" s="5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10.280862082193972</v>
      </c>
      <c r="O192" s="5" cm="1">
        <f t="array" ref="O192">MIN(IF((OutputTable[GroupByKey]=OutputTable[[#This Row],[GroupByKey]]),(OutputTable[GroupByKey]=OutputTable[[#This Row],[GroupByKey]])*OutputTable[RecordedValue]))</f>
        <v>149</v>
      </c>
      <c r="P192" s="5" cm="1">
        <f t="array" ref="P192">MAX(IF((OutputTable[GroupByKey]=OutputTable[[#This Row],[GroupByKey]]),(OutputTable[GroupByKey]=OutputTable[[#This Row],[GroupByKey]])*OutputTable[RecordedValue]))</f>
        <v>191</v>
      </c>
    </row>
    <row r="193" spans="1:16" x14ac:dyDescent="0.3">
      <c r="A193" t="s">
        <v>66</v>
      </c>
      <c r="B193" t="s">
        <v>68</v>
      </c>
      <c r="C193">
        <v>9</v>
      </c>
      <c r="D193" t="s">
        <v>127</v>
      </c>
      <c r="E193" t="s">
        <v>119</v>
      </c>
      <c r="F193" t="s">
        <v>74</v>
      </c>
      <c r="G193">
        <v>189</v>
      </c>
      <c r="H193">
        <v>0</v>
      </c>
      <c r="I193" s="5" t="str">
        <f>OutputTable[[#This Row],[ProjectName]]&amp;OutputTable[[#This Row],[Name]]&amp;OutputTable[[#This Row],[Type]]&amp;OutputTable[[#This Row],[Source]]</f>
        <v>Unnamed ProjectMaleta Nacional.NumberOutNumber OutEntity</v>
      </c>
      <c r="J193" s="5" cm="1">
        <f t="array" ref="J193">MAX(IF((ProjectInfoTable[ProjectName]=OutputTable[[#This Row],[ProjectName]]),(ProjectInfoTable[ProjectName]=OutputTable[[#This Row],[ProjectName]])*ProjectInfoTable[NumberOfReplications]))</f>
        <v>10</v>
      </c>
      <c r="K193" s="5" cm="1">
        <f t="array" ref="K193">IFERROR(AVERAGE(IF((OutputTable[GroupByKey]=OutputTable[[#This Row],[GroupByKey]]),(OutputTable[GroupByKey]=OutputTable[[#This Row],[GroupByKey]])*OutputTable[RecordedValue])),0)</f>
        <v>159.1</v>
      </c>
      <c r="L193" s="5" cm="1">
        <f t="array" ref="L193">IFERROR(_xlfn.STDEV.S(IF((OutputTable[GroupByKey]=OutputTable[[#This Row],[GroupByKey]]),(OutputTable[GroupByKey]=OutputTable[[#This Row],[GroupByKey]])*OutputTable[RecordedValue])),0)</f>
        <v>14.153523314787106</v>
      </c>
      <c r="M193" s="5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10.12482064704977</v>
      </c>
      <c r="O193" s="5" cm="1">
        <f t="array" ref="O193">MIN(IF((OutputTable[GroupByKey]=OutputTable[[#This Row],[GroupByKey]]),(OutputTable[GroupByKey]=OutputTable[[#This Row],[GroupByKey]])*OutputTable[RecordedValue]))</f>
        <v>145</v>
      </c>
      <c r="P193" s="5" cm="1">
        <f t="array" ref="P193">MAX(IF((OutputTable[GroupByKey]=OutputTable[[#This Row],[GroupByKey]]),(OutputTable[GroupByKey]=OutputTable[[#This Row],[GroupByKey]])*OutputTable[RecordedValue]))</f>
        <v>189</v>
      </c>
    </row>
    <row r="194" spans="1:16" x14ac:dyDescent="0.3">
      <c r="A194" t="s">
        <v>66</v>
      </c>
      <c r="B194" t="s">
        <v>68</v>
      </c>
      <c r="C194">
        <v>9</v>
      </c>
      <c r="D194" t="s">
        <v>128</v>
      </c>
      <c r="E194" t="s">
        <v>121</v>
      </c>
      <c r="F194" t="s">
        <v>103</v>
      </c>
      <c r="G194">
        <v>244</v>
      </c>
      <c r="H194">
        <v>0</v>
      </c>
      <c r="I194" s="5" t="str">
        <f>OutputTable[[#This Row],[ProjectName]]&amp;OutputTable[[#This Row],[Name]]&amp;OutputTable[[#This Row],[Type]]&amp;OutputTable[[#This Row],[Source]]</f>
        <v>Unnamed ProjectNacionalauto.NumberSeizedTotal Number SeizedResource</v>
      </c>
      <c r="J194" s="5" cm="1">
        <f t="array" ref="J194">MAX(IF((ProjectInfoTable[ProjectName]=OutputTable[[#This Row],[ProjectName]]),(ProjectInfoTable[ProjectName]=OutputTable[[#This Row],[ProjectName]])*ProjectInfoTable[NumberOfReplications]))</f>
        <v>10</v>
      </c>
      <c r="K194" s="5" cm="1">
        <f t="array" ref="K194">IFERROR(AVERAGE(IF((OutputTable[GroupByKey]=OutputTable[[#This Row],[GroupByKey]]),(OutputTable[GroupByKey]=OutputTable[[#This Row],[GroupByKey]])*OutputTable[RecordedValue])),0)</f>
        <v>231.5</v>
      </c>
      <c r="L194" s="5" cm="1">
        <f t="array" ref="L194">IFERROR(_xlfn.STDEV.S(IF((OutputTable[GroupByKey]=OutputTable[[#This Row],[GroupByKey]]),(OutputTable[GroupByKey]=OutputTable[[#This Row],[GroupByKey]])*OutputTable[RecordedValue])),0)</f>
        <v>20.817994353176505</v>
      </c>
      <c r="M194" s="5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14.892296029003113</v>
      </c>
      <c r="O194" s="5" cm="1">
        <f t="array" ref="O194">MIN(IF((OutputTable[GroupByKey]=OutputTable[[#This Row],[GroupByKey]]),(OutputTable[GroupByKey]=OutputTable[[#This Row],[GroupByKey]])*OutputTable[RecordedValue]))</f>
        <v>202</v>
      </c>
      <c r="P194" s="5" cm="1">
        <f t="array" ref="P194">MAX(IF((OutputTable[GroupByKey]=OutputTable[[#This Row],[GroupByKey]]),(OutputTable[GroupByKey]=OutputTable[[#This Row],[GroupByKey]])*OutputTable[RecordedValue]))</f>
        <v>264</v>
      </c>
    </row>
    <row r="195" spans="1:16" x14ac:dyDescent="0.3">
      <c r="A195" t="s">
        <v>66</v>
      </c>
      <c r="B195" t="s">
        <v>68</v>
      </c>
      <c r="C195">
        <v>9</v>
      </c>
      <c r="D195" t="s">
        <v>129</v>
      </c>
      <c r="E195" t="s">
        <v>123</v>
      </c>
      <c r="F195" t="s">
        <v>103</v>
      </c>
      <c r="G195">
        <v>0.73198562185363703</v>
      </c>
      <c r="H195">
        <v>0</v>
      </c>
      <c r="I195" s="5" t="str">
        <f>OutputTable[[#This Row],[ProjectName]]&amp;OutputTable[[#This Row],[Name]]&amp;OutputTable[[#This Row],[Type]]&amp;OutputTable[[#This Row],[Source]]</f>
        <v>Unnamed ProjectNacionalauto.ScheduledUtilizationScheduled UtilizationResource</v>
      </c>
      <c r="J195" s="5" cm="1">
        <f t="array" ref="J195">MAX(IF((ProjectInfoTable[ProjectName]=OutputTable[[#This Row],[ProjectName]]),(ProjectInfoTable[ProjectName]=OutputTable[[#This Row],[ProjectName]])*ProjectInfoTable[NumberOfReplications]))</f>
        <v>10</v>
      </c>
      <c r="K195" s="5" cm="1">
        <f t="array" ref="K195">IFERROR(AVERAGE(IF((OutputTable[GroupByKey]=OutputTable[[#This Row],[GroupByKey]]),(OutputTable[GroupByKey]=OutputTable[[#This Row],[GroupByKey]])*OutputTable[RecordedValue])),0)</f>
        <v>0.73175058451933661</v>
      </c>
      <c r="L195" s="5" cm="1">
        <f t="array" ref="L195">IFERROR(_xlfn.STDEV.S(IF((OutputTable[GroupByKey]=OutputTable[[#This Row],[GroupByKey]]),(OutputTable[GroupByKey]=OutputTable[[#This Row],[GroupByKey]])*OutputTable[RecordedValue])),0)</f>
        <v>6.0813477412386734E-2</v>
      </c>
      <c r="M195" s="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4.3503341043041877E-2</v>
      </c>
      <c r="O195" s="5" cm="1">
        <f t="array" ref="O195">MIN(IF((OutputTable[GroupByKey]=OutputTable[[#This Row],[GroupByKey]]),(OutputTable[GroupByKey]=OutputTable[[#This Row],[GroupByKey]])*OutputTable[RecordedValue]))</f>
        <v>0.64995347349336796</v>
      </c>
      <c r="P195" s="5" cm="1">
        <f t="array" ref="P195">MAX(IF((OutputTable[GroupByKey]=OutputTable[[#This Row],[GroupByKey]]),(OutputTable[GroupByKey]=OutputTable[[#This Row],[GroupByKey]])*OutputTable[RecordedValue]))</f>
        <v>0.82581624655093899</v>
      </c>
    </row>
    <row r="196" spans="1:16" x14ac:dyDescent="0.3">
      <c r="A196" t="s">
        <v>66</v>
      </c>
      <c r="B196" t="s">
        <v>68</v>
      </c>
      <c r="C196">
        <v>9</v>
      </c>
      <c r="D196" t="s">
        <v>130</v>
      </c>
      <c r="E196" t="s">
        <v>121</v>
      </c>
      <c r="F196" t="s">
        <v>103</v>
      </c>
      <c r="G196">
        <v>416</v>
      </c>
      <c r="H196">
        <v>0</v>
      </c>
      <c r="I196" s="5" t="str">
        <f>OutputTable[[#This Row],[ProjectName]]&amp;OutputTable[[#This Row],[Name]]&amp;OutputTable[[#This Row],[Type]]&amp;OutputTable[[#This Row],[Source]]</f>
        <v>Unnamed ProjectOperarios Avion.NumberSeizedTotal Number SeizedResource</v>
      </c>
      <c r="J196" s="5" cm="1">
        <f t="array" ref="J196">MAX(IF((ProjectInfoTable[ProjectName]=OutputTable[[#This Row],[ProjectName]]),(ProjectInfoTable[ProjectName]=OutputTable[[#This Row],[ProjectName]])*ProjectInfoTable[NumberOfReplications]))</f>
        <v>10</v>
      </c>
      <c r="K196" s="5" cm="1">
        <f t="array" ref="K196">IFERROR(AVERAGE(IF((OutputTable[GroupByKey]=OutputTable[[#This Row],[GroupByKey]]),(OutputTable[GroupByKey]=OutputTable[[#This Row],[GroupByKey]])*OutputTable[RecordedValue])),0)</f>
        <v>368.6</v>
      </c>
      <c r="L196" s="5" cm="1">
        <f t="array" ref="L196">IFERROR(_xlfn.STDEV.S(IF((OutputTable[GroupByKey]=OutputTable[[#This Row],[GroupByKey]]),(OutputTable[GroupByKey]=OutputTable[[#This Row],[GroupByKey]])*OutputTable[RecordedValue])),0)</f>
        <v>29.243042857328572</v>
      </c>
      <c r="M196" s="5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20.919212659586112</v>
      </c>
      <c r="O196" s="5" cm="1">
        <f t="array" ref="O196">MIN(IF((OutputTable[GroupByKey]=OutputTable[[#This Row],[GroupByKey]]),(OutputTable[GroupByKey]=OutputTable[[#This Row],[GroupByKey]])*OutputTable[RecordedValue]))</f>
        <v>338</v>
      </c>
      <c r="P196" s="5" cm="1">
        <f t="array" ref="P196">MAX(IF((OutputTable[GroupByKey]=OutputTable[[#This Row],[GroupByKey]]),(OutputTable[GroupByKey]=OutputTable[[#This Row],[GroupByKey]])*OutputTable[RecordedValue]))</f>
        <v>416</v>
      </c>
    </row>
    <row r="197" spans="1:16" x14ac:dyDescent="0.3">
      <c r="A197" t="s">
        <v>66</v>
      </c>
      <c r="B197" t="s">
        <v>68</v>
      </c>
      <c r="C197">
        <v>9</v>
      </c>
      <c r="D197" t="s">
        <v>131</v>
      </c>
      <c r="E197" t="s">
        <v>123</v>
      </c>
      <c r="F197" t="s">
        <v>103</v>
      </c>
      <c r="G197">
        <v>8.7852447587946303E-2</v>
      </c>
      <c r="H197">
        <v>0</v>
      </c>
      <c r="I197" s="5" t="str">
        <f>OutputTable[[#This Row],[ProjectName]]&amp;OutputTable[[#This Row],[Name]]&amp;OutputTable[[#This Row],[Type]]&amp;OutputTable[[#This Row],[Source]]</f>
        <v>Unnamed ProjectOperarios Avion.ScheduledUtilizationScheduled UtilizationResource</v>
      </c>
      <c r="J197" s="5" cm="1">
        <f t="array" ref="J197">MAX(IF((ProjectInfoTable[ProjectName]=OutputTable[[#This Row],[ProjectName]]),(ProjectInfoTable[ProjectName]=OutputTable[[#This Row],[ProjectName]])*ProjectInfoTable[NumberOfReplications]))</f>
        <v>10</v>
      </c>
      <c r="K197" s="5" cm="1">
        <f t="array" ref="K197">IFERROR(AVERAGE(IF((OutputTable[GroupByKey]=OutputTable[[#This Row],[GroupByKey]]),(OutputTable[GroupByKey]=OutputTable[[#This Row],[GroupByKey]])*OutputTable[RecordedValue])),0)</f>
        <v>7.5958437118625627E-2</v>
      </c>
      <c r="L197" s="5" cm="1">
        <f t="array" ref="L197">IFERROR(_xlfn.STDEV.S(IF((OutputTable[GroupByKey]=OutputTable[[#This Row],[GroupByKey]]),(OutputTable[GroupByKey]=OutputTable[[#This Row],[GroupByKey]])*OutputTable[RecordedValue])),0)</f>
        <v>5.0572810112240948E-3</v>
      </c>
      <c r="M197" s="5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3.6177608968134627E-3</v>
      </c>
      <c r="O197" s="5" cm="1">
        <f t="array" ref="O197">MIN(IF((OutputTable[GroupByKey]=OutputTable[[#This Row],[GroupByKey]]),(OutputTable[GroupByKey]=OutputTable[[#This Row],[GroupByKey]])*OutputTable[RecordedValue]))</f>
        <v>6.7485948117393404E-2</v>
      </c>
      <c r="P197" s="5" cm="1">
        <f t="array" ref="P197">MAX(IF((OutputTable[GroupByKey]=OutputTable[[#This Row],[GroupByKey]]),(OutputTable[GroupByKey]=OutputTable[[#This Row],[GroupByKey]])*OutputTable[RecordedValue]))</f>
        <v>8.7852447587946303E-2</v>
      </c>
    </row>
    <row r="198" spans="1:16" x14ac:dyDescent="0.3">
      <c r="A198" t="s">
        <v>66</v>
      </c>
      <c r="B198" t="s">
        <v>68</v>
      </c>
      <c r="C198">
        <v>9</v>
      </c>
      <c r="D198" t="s">
        <v>132</v>
      </c>
      <c r="E198" t="s">
        <v>119</v>
      </c>
      <c r="F198" t="s">
        <v>133</v>
      </c>
      <c r="G198">
        <v>722</v>
      </c>
      <c r="H198">
        <v>0</v>
      </c>
      <c r="I198" s="5" t="str">
        <f>OutputTable[[#This Row],[ProjectName]]&amp;OutputTable[[#This Row],[Name]]&amp;OutputTable[[#This Row],[Type]]&amp;OutputTable[[#This Row],[Source]]</f>
        <v>Unnamed ProjectSystem.NumberOutNumber OutSystem</v>
      </c>
      <c r="J198" s="5" cm="1">
        <f t="array" ref="J198">MAX(IF((ProjectInfoTable[ProjectName]=OutputTable[[#This Row],[ProjectName]]),(ProjectInfoTable[ProjectName]=OutputTable[[#This Row],[ProjectName]])*ProjectInfoTable[NumberOfReplications]))</f>
        <v>10</v>
      </c>
      <c r="K198" s="5" cm="1">
        <f t="array" ref="K198">IFERROR(AVERAGE(IF((OutputTable[GroupByKey]=OutputTable[[#This Row],[GroupByKey]]),(OutputTable[GroupByKey]=OutputTable[[#This Row],[GroupByKey]])*OutputTable[RecordedValue])),0)</f>
        <v>653</v>
      </c>
      <c r="L198" s="5" cm="1">
        <f t="array" ref="L198">IFERROR(_xlfn.STDEV.S(IF((OutputTable[GroupByKey]=OutputTable[[#This Row],[GroupByKey]]),(OutputTable[GroupByKey]=OutputTable[[#This Row],[GroupByKey]])*OutputTable[RecordedValue])),0)</f>
        <v>50.066622281382898</v>
      </c>
      <c r="M198" s="5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35.815504007612013</v>
      </c>
      <c r="O198" s="5" cm="1">
        <f t="array" ref="O198">MIN(IF((OutputTable[GroupByKey]=OutputTable[[#This Row],[GroupByKey]]),(OutputTable[GroupByKey]=OutputTable[[#This Row],[GroupByKey]])*OutputTable[RecordedValue]))</f>
        <v>594</v>
      </c>
      <c r="P198" s="5" cm="1">
        <f t="array" ref="P198">MAX(IF((OutputTable[GroupByKey]=OutputTable[[#This Row],[GroupByKey]]),(OutputTable[GroupByKey]=OutputTable[[#This Row],[GroupByKey]])*OutputTable[RecordedValue]))</f>
        <v>722</v>
      </c>
    </row>
    <row r="199" spans="1:16" x14ac:dyDescent="0.3">
      <c r="A199" t="s">
        <v>66</v>
      </c>
      <c r="B199" t="s">
        <v>68</v>
      </c>
      <c r="C199">
        <v>9</v>
      </c>
      <c r="D199" t="s">
        <v>134</v>
      </c>
      <c r="E199" t="s">
        <v>121</v>
      </c>
      <c r="F199" t="s">
        <v>103</v>
      </c>
      <c r="G199">
        <v>114</v>
      </c>
      <c r="H199">
        <v>0</v>
      </c>
      <c r="I199" s="5" t="str">
        <f>OutputTable[[#This Row],[ProjectName]]&amp;OutputTable[[#This Row],[Name]]&amp;OutputTable[[#This Row],[Type]]&amp;OutputTable[[#This Row],[Source]]</f>
        <v>Unnamed Projectcajera.NumberSeizedTotal Number SeizedResource</v>
      </c>
      <c r="J199" s="5" cm="1">
        <f t="array" ref="J199">MAX(IF((ProjectInfoTable[ProjectName]=OutputTable[[#This Row],[ProjectName]]),(ProjectInfoTable[ProjectName]=OutputTable[[#This Row],[ProjectName]])*ProjectInfoTable[NumberOfReplications]))</f>
        <v>10</v>
      </c>
      <c r="K199" s="5" cm="1">
        <f t="array" ref="K199">IFERROR(AVERAGE(IF((OutputTable[GroupByKey]=OutputTable[[#This Row],[GroupByKey]]),(OutputTable[GroupByKey]=OutputTable[[#This Row],[GroupByKey]])*OutputTable[RecordedValue])),0)</f>
        <v>89.7</v>
      </c>
      <c r="L199" s="5" cm="1">
        <f t="array" ref="L199">IFERROR(_xlfn.STDEV.S(IF((OutputTable[GroupByKey]=OutputTable[[#This Row],[GroupByKey]]),(OutputTable[GroupByKey]=OutputTable[[#This Row],[GroupByKey]])*OutputTable[RecordedValue])),0)</f>
        <v>15.3554188770248</v>
      </c>
      <c r="M199" s="5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10.984604937751998</v>
      </c>
      <c r="O199" s="5" cm="1">
        <f t="array" ref="O199">MIN(IF((OutputTable[GroupByKey]=OutputTable[[#This Row],[GroupByKey]]),(OutputTable[GroupByKey]=OutputTable[[#This Row],[GroupByKey]])*OutputTable[RecordedValue]))</f>
        <v>72</v>
      </c>
      <c r="P199" s="5" cm="1">
        <f t="array" ref="P199">MAX(IF((OutputTable[GroupByKey]=OutputTable[[#This Row],[GroupByKey]]),(OutputTable[GroupByKey]=OutputTable[[#This Row],[GroupByKey]])*OutputTable[RecordedValue]))</f>
        <v>119</v>
      </c>
    </row>
    <row r="200" spans="1:16" x14ac:dyDescent="0.3">
      <c r="A200" t="s">
        <v>66</v>
      </c>
      <c r="B200" t="s">
        <v>68</v>
      </c>
      <c r="C200">
        <v>9</v>
      </c>
      <c r="D200" t="s">
        <v>135</v>
      </c>
      <c r="E200" t="s">
        <v>123</v>
      </c>
      <c r="F200" t="s">
        <v>103</v>
      </c>
      <c r="G200">
        <v>0.44970563756005799</v>
      </c>
      <c r="H200">
        <v>0</v>
      </c>
      <c r="I200" s="5" t="str">
        <f>OutputTable[[#This Row],[ProjectName]]&amp;OutputTable[[#This Row],[Name]]&amp;OutputTable[[#This Row],[Type]]&amp;OutputTable[[#This Row],[Source]]</f>
        <v>Unnamed Projectcajera.ScheduledUtilizationScheduled UtilizationResource</v>
      </c>
      <c r="J200" s="5" cm="1">
        <f t="array" ref="J200">MAX(IF((ProjectInfoTable[ProjectName]=OutputTable[[#This Row],[ProjectName]]),(ProjectInfoTable[ProjectName]=OutputTable[[#This Row],[ProjectName]])*ProjectInfoTable[NumberOfReplications]))</f>
        <v>10</v>
      </c>
      <c r="K200" s="5" cm="1">
        <f t="array" ref="K200">IFERROR(AVERAGE(IF((OutputTable[GroupByKey]=OutputTable[[#This Row],[GroupByKey]]),(OutputTable[GroupByKey]=OutputTable[[#This Row],[GroupByKey]])*OutputTable[RecordedValue])),0)</f>
        <v>0.38078385056341441</v>
      </c>
      <c r="L200" s="5" cm="1">
        <f t="array" ref="L200">IFERROR(_xlfn.STDEV.S(IF((OutputTable[GroupByKey]=OutputTable[[#This Row],[GroupByKey]]),(OutputTable[GroupByKey]=OutputTable[[#This Row],[GroupByKey]])*OutputTable[RecordedValue])),0)</f>
        <v>5.6481911326734656E-2</v>
      </c>
      <c r="M200" s="5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4.040472533000234E-2</v>
      </c>
      <c r="O200" s="5" cm="1">
        <f t="array" ref="O200">MIN(IF((OutputTable[GroupByKey]=OutputTable[[#This Row],[GroupByKey]]),(OutputTable[GroupByKey]=OutputTable[[#This Row],[GroupByKey]])*OutputTable[RecordedValue]))</f>
        <v>0.28913636698845602</v>
      </c>
      <c r="P200" s="5" cm="1">
        <f t="array" ref="P200">MAX(IF((OutputTable[GroupByKey]=OutputTable[[#This Row],[GroupByKey]]),(OutputTable[GroupByKey]=OutputTable[[#This Row],[GroupByKey]])*OutputTable[RecordedValue]))</f>
        <v>0.46134650546047301</v>
      </c>
    </row>
    <row r="201" spans="1:16" x14ac:dyDescent="0.3">
      <c r="A201" t="s">
        <v>66</v>
      </c>
      <c r="B201" t="s">
        <v>68</v>
      </c>
      <c r="C201">
        <v>9</v>
      </c>
      <c r="D201" t="s">
        <v>136</v>
      </c>
      <c r="E201" t="s">
        <v>121</v>
      </c>
      <c r="F201" t="s">
        <v>103</v>
      </c>
      <c r="G201">
        <v>176</v>
      </c>
      <c r="H201">
        <v>0</v>
      </c>
      <c r="I201" s="5" t="str">
        <f>OutputTable[[#This Row],[ProjectName]]&amp;OutputTable[[#This Row],[Name]]&amp;OutputTable[[#This Row],[Type]]&amp;OutputTable[[#This Row],[Source]]</f>
        <v>Unnamed Projectcajera2.NumberSeizedTotal Number SeizedResource</v>
      </c>
      <c r="J201" s="5" cm="1">
        <f t="array" ref="J201">MAX(IF((ProjectInfoTable[ProjectName]=OutputTable[[#This Row],[ProjectName]]),(ProjectInfoTable[ProjectName]=OutputTable[[#This Row],[ProjectName]])*ProjectInfoTable[NumberOfReplications]))</f>
        <v>10</v>
      </c>
      <c r="K201" s="5" cm="1">
        <f t="array" ref="K201">IFERROR(AVERAGE(IF((OutputTable[GroupByKey]=OutputTable[[#This Row],[GroupByKey]]),(OutputTable[GroupByKey]=OutputTable[[#This Row],[GroupByKey]])*OutputTable[RecordedValue])),0)</f>
        <v>181.1</v>
      </c>
      <c r="L201" s="5" cm="1">
        <f t="array" ref="L201">IFERROR(_xlfn.STDEV.S(IF((OutputTable[GroupByKey]=OutputTable[[#This Row],[GroupByKey]]),(OutputTable[GroupByKey]=OutputTable[[#This Row],[GroupByKey]])*OutputTable[RecordedValue])),0)</f>
        <v>9.7348172384830463</v>
      </c>
      <c r="M201" s="5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6.9638687399111214</v>
      </c>
      <c r="O201" s="5" cm="1">
        <f t="array" ref="O201">MIN(IF((OutputTable[GroupByKey]=OutputTable[[#This Row],[GroupByKey]]),(OutputTable[GroupByKey]=OutputTable[[#This Row],[GroupByKey]])*OutputTable[RecordedValue]))</f>
        <v>169</v>
      </c>
      <c r="P201" s="5" cm="1">
        <f t="array" ref="P201">MAX(IF((OutputTable[GroupByKey]=OutputTable[[#This Row],[GroupByKey]]),(OutputTable[GroupByKey]=OutputTable[[#This Row],[GroupByKey]])*OutputTable[RecordedValue]))</f>
        <v>194</v>
      </c>
    </row>
    <row r="202" spans="1:16" x14ac:dyDescent="0.3">
      <c r="A202" t="s">
        <v>66</v>
      </c>
      <c r="B202" t="s">
        <v>68</v>
      </c>
      <c r="C202">
        <v>9</v>
      </c>
      <c r="D202" t="s">
        <v>137</v>
      </c>
      <c r="E202" t="s">
        <v>123</v>
      </c>
      <c r="F202" t="s">
        <v>103</v>
      </c>
      <c r="G202">
        <v>0.73578876984573405</v>
      </c>
      <c r="H202">
        <v>0</v>
      </c>
      <c r="I202" s="5" t="str">
        <f>OutputTable[[#This Row],[ProjectName]]&amp;OutputTable[[#This Row],[Name]]&amp;OutputTable[[#This Row],[Type]]&amp;OutputTable[[#This Row],[Source]]</f>
        <v>Unnamed Projectcajera2.ScheduledUtilizationScheduled UtilizationResource</v>
      </c>
      <c r="J202" s="5" cm="1">
        <f t="array" ref="J202">MAX(IF((ProjectInfoTable[ProjectName]=OutputTable[[#This Row],[ProjectName]]),(ProjectInfoTable[ProjectName]=OutputTable[[#This Row],[ProjectName]])*ProjectInfoTable[NumberOfReplications]))</f>
        <v>10</v>
      </c>
      <c r="K202" s="5" cm="1">
        <f t="array" ref="K202">IFERROR(AVERAGE(IF((OutputTable[GroupByKey]=OutputTable[[#This Row],[GroupByKey]]),(OutputTable[GroupByKey]=OutputTable[[#This Row],[GroupByKey]])*OutputTable[RecordedValue])),0)</f>
        <v>0.73571117943508912</v>
      </c>
      <c r="L202" s="5" cm="1">
        <f t="array" ref="L202">IFERROR(_xlfn.STDEV.S(IF((OutputTable[GroupByKey]=OutputTable[[#This Row],[GroupByKey]]),(OutputTable[GroupByKey]=OutputTable[[#This Row],[GroupByKey]])*OutputTable[RecordedValue])),0)</f>
        <v>2.3945213257811505E-2</v>
      </c>
      <c r="M202" s="5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1.7129373668915777E-2</v>
      </c>
      <c r="O202" s="5" cm="1">
        <f t="array" ref="O202">MIN(IF((OutputTable[GroupByKey]=OutputTable[[#This Row],[GroupByKey]]),(OutputTable[GroupByKey]=OutputTable[[#This Row],[GroupByKey]])*OutputTable[RecordedValue]))</f>
        <v>0.69752119636771104</v>
      </c>
      <c r="P202" s="5" cm="1">
        <f t="array" ref="P202">MAX(IF((OutputTable[GroupByKey]=OutputTable[[#This Row],[GroupByKey]]),(OutputTable[GroupByKey]=OutputTable[[#This Row],[GroupByKey]])*OutputTable[RecordedValue]))</f>
        <v>0.77845968782647601</v>
      </c>
    </row>
    <row r="203" spans="1:16" x14ac:dyDescent="0.3">
      <c r="A203" t="s">
        <v>66</v>
      </c>
      <c r="B203" t="s">
        <v>68</v>
      </c>
      <c r="C203">
        <v>9</v>
      </c>
      <c r="D203" t="s">
        <v>138</v>
      </c>
      <c r="E203" t="s">
        <v>117</v>
      </c>
      <c r="F203" t="s">
        <v>74</v>
      </c>
      <c r="G203">
        <v>0</v>
      </c>
      <c r="H203">
        <v>0</v>
      </c>
      <c r="I203" s="5" t="str">
        <f>OutputTable[[#This Row],[ProjectName]]&amp;OutputTable[[#This Row],[Name]]&amp;OutputTable[[#This Row],[Type]]&amp;OutputTable[[#This Row],[Source]]</f>
        <v>Unnamed Projectpersona.NumberInNumber InEntity</v>
      </c>
      <c r="J203" s="5" cm="1">
        <f t="array" ref="J203">MAX(IF((ProjectInfoTable[ProjectName]=OutputTable[[#This Row],[ProjectName]]),(ProjectInfoTable[ProjectName]=OutputTable[[#This Row],[ProjectName]])*ProjectInfoTable[NumberOfReplications]))</f>
        <v>10</v>
      </c>
      <c r="K203" s="5" cm="1">
        <f t="array" ref="K203">IFERROR(AVERAGE(IF((OutputTable[GroupByKey]=OutputTable[[#This Row],[GroupByKey]]),(OutputTable[GroupByKey]=OutputTable[[#This Row],[GroupByKey]])*OutputTable[RecordedValue])),0)</f>
        <v>0</v>
      </c>
      <c r="L203" s="5" cm="1">
        <f t="array" ref="L203">IFERROR(_xlfn.STDEV.S(IF((OutputTable[GroupByKey]=OutputTable[[#This Row],[GroupByKey]]),(OutputTable[GroupByKey]=OutputTable[[#This Row],[GroupByKey]])*OutputTable[RecordedValue])),0)</f>
        <v>0</v>
      </c>
      <c r="M203" s="5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3" s="5" cm="1">
        <f t="array" ref="O203">MIN(IF((OutputTable[GroupByKey]=OutputTable[[#This Row],[GroupByKey]]),(OutputTable[GroupByKey]=OutputTable[[#This Row],[GroupByKey]])*OutputTable[RecordedValue]))</f>
        <v>0</v>
      </c>
      <c r="P203" s="5" cm="1">
        <f t="array" ref="P203">MAX(IF((OutputTable[GroupByKey]=OutputTable[[#This Row],[GroupByKey]]),(OutputTable[GroupByKey]=OutputTable[[#This Row],[GroupByKey]])*OutputTable[RecordedValue]))</f>
        <v>0</v>
      </c>
    </row>
    <row r="204" spans="1:16" x14ac:dyDescent="0.3">
      <c r="A204" t="s">
        <v>66</v>
      </c>
      <c r="B204" t="s">
        <v>68</v>
      </c>
      <c r="C204">
        <v>9</v>
      </c>
      <c r="D204" t="s">
        <v>139</v>
      </c>
      <c r="E204" t="s">
        <v>119</v>
      </c>
      <c r="F204" t="s">
        <v>74</v>
      </c>
      <c r="G204">
        <v>0</v>
      </c>
      <c r="H204">
        <v>0</v>
      </c>
      <c r="I204" s="5" t="str">
        <f>OutputTable[[#This Row],[ProjectName]]&amp;OutputTable[[#This Row],[Name]]&amp;OutputTable[[#This Row],[Type]]&amp;OutputTable[[#This Row],[Source]]</f>
        <v>Unnamed Projectpersona.NumberOutNumber OutEntity</v>
      </c>
      <c r="J204" s="5" cm="1">
        <f t="array" ref="J204">MAX(IF((ProjectInfoTable[ProjectName]=OutputTable[[#This Row],[ProjectName]]),(ProjectInfoTable[ProjectName]=OutputTable[[#This Row],[ProjectName]])*ProjectInfoTable[NumberOfReplications]))</f>
        <v>10</v>
      </c>
      <c r="K204" s="5" cm="1">
        <f t="array" ref="K204">IFERROR(AVERAGE(IF((OutputTable[GroupByKey]=OutputTable[[#This Row],[GroupByKey]]),(OutputTable[GroupByKey]=OutputTable[[#This Row],[GroupByKey]])*OutputTable[RecordedValue])),0)</f>
        <v>0</v>
      </c>
      <c r="L204" s="5" cm="1">
        <f t="array" ref="L204">IFERROR(_xlfn.STDEV.S(IF((OutputTable[GroupByKey]=OutputTable[[#This Row],[GroupByKey]]),(OutputTable[GroupByKey]=OutputTable[[#This Row],[GroupByKey]])*OutputTable[RecordedValue])),0)</f>
        <v>0</v>
      </c>
      <c r="M204" s="5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04" s="5" cm="1">
        <f t="array" ref="O204">MIN(IF((OutputTable[GroupByKey]=OutputTable[[#This Row],[GroupByKey]]),(OutputTable[GroupByKey]=OutputTable[[#This Row],[GroupByKey]])*OutputTable[RecordedValue]))</f>
        <v>0</v>
      </c>
      <c r="P204" s="5" cm="1">
        <f t="array" ref="P204">MAX(IF((OutputTable[GroupByKey]=OutputTable[[#This Row],[GroupByKey]]),(OutputTable[GroupByKey]=OutputTable[[#This Row],[GroupByKey]])*OutputTable[RecordedValue]))</f>
        <v>0</v>
      </c>
    </row>
    <row r="205" spans="1:16" x14ac:dyDescent="0.3">
      <c r="A205" t="s">
        <v>66</v>
      </c>
      <c r="B205" t="s">
        <v>68</v>
      </c>
      <c r="C205">
        <v>9</v>
      </c>
      <c r="D205" t="s">
        <v>140</v>
      </c>
      <c r="E205" t="s">
        <v>121</v>
      </c>
      <c r="F205" t="s">
        <v>103</v>
      </c>
      <c r="G205">
        <v>12</v>
      </c>
      <c r="H205">
        <v>0</v>
      </c>
      <c r="I205" s="5" t="str">
        <f>OutputTable[[#This Row],[ProjectName]]&amp;OutputTable[[#This Row],[Name]]&amp;OutputTable[[#This Row],[Type]]&amp;OutputTable[[#This Row],[Source]]</f>
        <v>Unnamed Projectregistro1.NumberSeizedTotal Number SeizedResource</v>
      </c>
      <c r="J205" s="5" cm="1">
        <f t="array" ref="J205">MAX(IF((ProjectInfoTable[ProjectName]=OutputTable[[#This Row],[ProjectName]]),(ProjectInfoTable[ProjectName]=OutputTable[[#This Row],[ProjectName]])*ProjectInfoTable[NumberOfReplications]))</f>
        <v>10</v>
      </c>
      <c r="K205" s="5" cm="1">
        <f t="array" ref="K205">IFERROR(AVERAGE(IF((OutputTable[GroupByKey]=OutputTable[[#This Row],[GroupByKey]]),(OutputTable[GroupByKey]=OutputTable[[#This Row],[GroupByKey]])*OutputTable[RecordedValue])),0)</f>
        <v>7.6</v>
      </c>
      <c r="L205" s="5" cm="1">
        <f t="array" ref="L205">IFERROR(_xlfn.STDEV.S(IF((OutputTable[GroupByKey]=OutputTable[[#This Row],[GroupByKey]]),(OutputTable[GroupByKey]=OutputTable[[#This Row],[GroupByKey]])*OutputTable[RecordedValue])),0)</f>
        <v>2.9135697844549542</v>
      </c>
      <c r="M205" s="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2.0842422663373124</v>
      </c>
      <c r="O205" s="5" cm="1">
        <f t="array" ref="O205">MIN(IF((OutputTable[GroupByKey]=OutputTable[[#This Row],[GroupByKey]]),(OutputTable[GroupByKey]=OutputTable[[#This Row],[GroupByKey]])*OutputTable[RecordedValue]))</f>
        <v>4</v>
      </c>
      <c r="P205" s="5" cm="1">
        <f t="array" ref="P205">MAX(IF((OutputTable[GroupByKey]=OutputTable[[#This Row],[GroupByKey]]),(OutputTable[GroupByKey]=OutputTable[[#This Row],[GroupByKey]])*OutputTable[RecordedValue]))</f>
        <v>12</v>
      </c>
    </row>
    <row r="206" spans="1:16" x14ac:dyDescent="0.3">
      <c r="A206" t="s">
        <v>66</v>
      </c>
      <c r="B206" t="s">
        <v>68</v>
      </c>
      <c r="C206">
        <v>9</v>
      </c>
      <c r="D206" t="s">
        <v>141</v>
      </c>
      <c r="E206" t="s">
        <v>123</v>
      </c>
      <c r="F206" t="s">
        <v>103</v>
      </c>
      <c r="G206">
        <v>7.8075040205248206E-2</v>
      </c>
      <c r="H206">
        <v>0</v>
      </c>
      <c r="I206" s="5" t="str">
        <f>OutputTable[[#This Row],[ProjectName]]&amp;OutputTable[[#This Row],[Name]]&amp;OutputTable[[#This Row],[Type]]&amp;OutputTable[[#This Row],[Source]]</f>
        <v>Unnamed Projectregistro1.ScheduledUtilizationScheduled UtilizationResource</v>
      </c>
      <c r="J206" s="5" cm="1">
        <f t="array" ref="J206">MAX(IF((ProjectInfoTable[ProjectName]=OutputTable[[#This Row],[ProjectName]]),(ProjectInfoTable[ProjectName]=OutputTable[[#This Row],[ProjectName]])*ProjectInfoTable[NumberOfReplications]))</f>
        <v>10</v>
      </c>
      <c r="K206" s="5" cm="1">
        <f t="array" ref="K206">IFERROR(AVERAGE(IF((OutputTable[GroupByKey]=OutputTable[[#This Row],[GroupByKey]]),(OutputTable[GroupByKey]=OutputTable[[#This Row],[GroupByKey]])*OutputTable[RecordedValue])),0)</f>
        <v>5.6433247648491516E-2</v>
      </c>
      <c r="L206" s="5" cm="1">
        <f t="array" ref="L206">IFERROR(_xlfn.STDEV.S(IF((OutputTable[GroupByKey]=OutputTable[[#This Row],[GroupByKey]]),(OutputTable[GroupByKey]=OutputTable[[#This Row],[GroupByKey]])*OutputTable[RecordedValue])),0)</f>
        <v>2.4456082934732001E-2</v>
      </c>
      <c r="M206" s="5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1.7494827820351853E-2</v>
      </c>
      <c r="O206" s="5" cm="1">
        <f t="array" ref="O206">MIN(IF((OutputTable[GroupByKey]=OutputTable[[#This Row],[GroupByKey]]),(OutputTable[GroupByKey]=OutputTable[[#This Row],[GroupByKey]])*OutputTable[RecordedValue]))</f>
        <v>2.1279401430778E-2</v>
      </c>
      <c r="P206" s="5" cm="1">
        <f t="array" ref="P206">MAX(IF((OutputTable[GroupByKey]=OutputTable[[#This Row],[GroupByKey]]),(OutputTable[GroupByKey]=OutputTable[[#This Row],[GroupByKey]])*OutputTable[RecordedValue]))</f>
        <v>8.8472374570180701E-2</v>
      </c>
    </row>
    <row r="207" spans="1:16" x14ac:dyDescent="0.3">
      <c r="A207" t="s">
        <v>66</v>
      </c>
      <c r="B207" t="s">
        <v>68</v>
      </c>
      <c r="C207">
        <v>9</v>
      </c>
      <c r="D207" t="s">
        <v>142</v>
      </c>
      <c r="E207" t="s">
        <v>121</v>
      </c>
      <c r="F207" t="s">
        <v>103</v>
      </c>
      <c r="G207">
        <v>17</v>
      </c>
      <c r="H207">
        <v>0</v>
      </c>
      <c r="I207" s="5" t="str">
        <f>OutputTable[[#This Row],[ProjectName]]&amp;OutputTable[[#This Row],[Name]]&amp;OutputTable[[#This Row],[Type]]&amp;OutputTable[[#This Row],[Source]]</f>
        <v>Unnamed Projectregistro2.NumberSeizedTotal Number SeizedResource</v>
      </c>
      <c r="J207" s="5" cm="1">
        <f t="array" ref="J207">MAX(IF((ProjectInfoTable[ProjectName]=OutputTable[[#This Row],[ProjectName]]),(ProjectInfoTable[ProjectName]=OutputTable[[#This Row],[ProjectName]])*ProjectInfoTable[NumberOfReplications]))</f>
        <v>10</v>
      </c>
      <c r="K207" s="5" cm="1">
        <f t="array" ref="K207">IFERROR(AVERAGE(IF((OutputTable[GroupByKey]=OutputTable[[#This Row],[GroupByKey]]),(OutputTable[GroupByKey]=OutputTable[[#This Row],[GroupByKey]])*OutputTable[RecordedValue])),0)</f>
        <v>18.8</v>
      </c>
      <c r="L207" s="5" cm="1">
        <f t="array" ref="L207">IFERROR(_xlfn.STDEV.S(IF((OutputTable[GroupByKey]=OutputTable[[#This Row],[GroupByKey]]),(OutputTable[GroupByKey]=OutputTable[[#This Row],[GroupByKey]])*OutputTable[RecordedValue])),0)</f>
        <v>2.8205594401741556</v>
      </c>
      <c r="M207" s="5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2.0177066742293341</v>
      </c>
      <c r="O207" s="5" cm="1">
        <f t="array" ref="O207">MIN(IF((OutputTable[GroupByKey]=OutputTable[[#This Row],[GroupByKey]]),(OutputTable[GroupByKey]=OutputTable[[#This Row],[GroupByKey]])*OutputTable[RecordedValue]))</f>
        <v>14</v>
      </c>
      <c r="P207" s="5" cm="1">
        <f t="array" ref="P207">MAX(IF((OutputTable[GroupByKey]=OutputTable[[#This Row],[GroupByKey]]),(OutputTable[GroupByKey]=OutputTable[[#This Row],[GroupByKey]])*OutputTable[RecordedValue]))</f>
        <v>24</v>
      </c>
    </row>
    <row r="208" spans="1:16" x14ac:dyDescent="0.3">
      <c r="A208" t="s">
        <v>66</v>
      </c>
      <c r="B208" t="s">
        <v>68</v>
      </c>
      <c r="C208">
        <v>9</v>
      </c>
      <c r="D208" t="s">
        <v>143</v>
      </c>
      <c r="E208" t="s">
        <v>123</v>
      </c>
      <c r="F208" t="s">
        <v>103</v>
      </c>
      <c r="G208">
        <v>0.41357084506186798</v>
      </c>
      <c r="H208">
        <v>0</v>
      </c>
      <c r="I208" s="5" t="str">
        <f>OutputTable[[#This Row],[ProjectName]]&amp;OutputTable[[#This Row],[Name]]&amp;OutputTable[[#This Row],[Type]]&amp;OutputTable[[#This Row],[Source]]</f>
        <v>Unnamed Projectregistro2.ScheduledUtilizationScheduled UtilizationResource</v>
      </c>
      <c r="J208" s="5" cm="1">
        <f t="array" ref="J208">MAX(IF((ProjectInfoTable[ProjectName]=OutputTable[[#This Row],[ProjectName]]),(ProjectInfoTable[ProjectName]=OutputTable[[#This Row],[ProjectName]])*ProjectInfoTable[NumberOfReplications]))</f>
        <v>10</v>
      </c>
      <c r="K208" s="5" cm="1">
        <f t="array" ref="K208">IFERROR(AVERAGE(IF((OutputTable[GroupByKey]=OutputTable[[#This Row],[GroupByKey]]),(OutputTable[GroupByKey]=OutputTable[[#This Row],[GroupByKey]])*OutputTable[RecordedValue])),0)</f>
        <v>0.46274808587050231</v>
      </c>
      <c r="L208" s="5" cm="1">
        <f t="array" ref="L208">IFERROR(_xlfn.STDEV.S(IF((OutputTable[GroupByKey]=OutputTable[[#This Row],[GroupByKey]]),(OutputTable[GroupByKey]=OutputTable[[#This Row],[GroupByKey]])*OutputTable[RecordedValue])),0)</f>
        <v>9.1165192054027525E-2</v>
      </c>
      <c r="M208" s="5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6.5215649719990554E-2</v>
      </c>
      <c r="O208" s="5" cm="1">
        <f t="array" ref="O208">MIN(IF((OutputTable[GroupByKey]=OutputTable[[#This Row],[GroupByKey]]),(OutputTable[GroupByKey]=OutputTable[[#This Row],[GroupByKey]])*OutputTable[RecordedValue]))</f>
        <v>0.338210899349628</v>
      </c>
      <c r="P208" s="5" cm="1">
        <f t="array" ref="P208">MAX(IF((OutputTable[GroupByKey]=OutputTable[[#This Row],[GroupByKey]]),(OutputTable[GroupByKey]=OutputTable[[#This Row],[GroupByKey]])*OutputTable[RecordedValue]))</f>
        <v>0.66990172486561195</v>
      </c>
    </row>
    <row r="209" spans="1:16" x14ac:dyDescent="0.3">
      <c r="A209" t="s">
        <v>66</v>
      </c>
      <c r="B209" t="s">
        <v>68</v>
      </c>
      <c r="C209">
        <v>10</v>
      </c>
      <c r="D209" t="s">
        <v>116</v>
      </c>
      <c r="E209" t="s">
        <v>117</v>
      </c>
      <c r="F209" t="s">
        <v>74</v>
      </c>
      <c r="G209">
        <v>626</v>
      </c>
      <c r="H209">
        <v>0</v>
      </c>
      <c r="I209" s="5" t="str">
        <f>OutputTable[[#This Row],[ProjectName]]&amp;OutputTable[[#This Row],[Name]]&amp;OutputTable[[#This Row],[Type]]&amp;OutputTable[[#This Row],[Source]]</f>
        <v>Unnamed ProjectEntity 1.NumberInNumber InEntity</v>
      </c>
      <c r="J209" s="5" cm="1">
        <f t="array" ref="J209">MAX(IF((ProjectInfoTable[ProjectName]=OutputTable[[#This Row],[ProjectName]]),(ProjectInfoTable[ProjectName]=OutputTable[[#This Row],[ProjectName]])*ProjectInfoTable[NumberOfReplications]))</f>
        <v>10</v>
      </c>
      <c r="K209" s="5" cm="1">
        <f t="array" ref="K209">IFERROR(AVERAGE(IF((OutputTable[GroupByKey]=OutputTable[[#This Row],[GroupByKey]]),(OutputTable[GroupByKey]=OutputTable[[#This Row],[GroupByKey]])*OutputTable[RecordedValue])),0)</f>
        <v>677.4</v>
      </c>
      <c r="L209" s="5" cm="1">
        <f t="array" ref="L209">IFERROR(_xlfn.STDEV.S(IF((OutputTable[GroupByKey]=OutputTable[[#This Row],[GroupByKey]]),(OutputTable[GroupByKey]=OutputTable[[#This Row],[GroupByKey]])*OutputTable[RecordedValue])),0)</f>
        <v>50.383418789209699</v>
      </c>
      <c r="M209" s="5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36.042126577273301</v>
      </c>
      <c r="O209" s="5" cm="1">
        <f t="array" ref="O209">MIN(IF((OutputTable[GroupByKey]=OutputTable[[#This Row],[GroupByKey]]),(OutputTable[GroupByKey]=OutputTable[[#This Row],[GroupByKey]])*OutputTable[RecordedValue]))</f>
        <v>612</v>
      </c>
      <c r="P209" s="5" cm="1">
        <f t="array" ref="P209">MAX(IF((OutputTable[GroupByKey]=OutputTable[[#This Row],[GroupByKey]]),(OutputTable[GroupByKey]=OutputTable[[#This Row],[GroupByKey]])*OutputTable[RecordedValue]))</f>
        <v>757</v>
      </c>
    </row>
    <row r="210" spans="1:16" x14ac:dyDescent="0.3">
      <c r="A210" t="s">
        <v>66</v>
      </c>
      <c r="B210" t="s">
        <v>68</v>
      </c>
      <c r="C210">
        <v>10</v>
      </c>
      <c r="D210" t="s">
        <v>118</v>
      </c>
      <c r="E210" t="s">
        <v>119</v>
      </c>
      <c r="F210" t="s">
        <v>74</v>
      </c>
      <c r="G210">
        <v>625</v>
      </c>
      <c r="H210">
        <v>0</v>
      </c>
      <c r="I210" s="5" t="str">
        <f>OutputTable[[#This Row],[ProjectName]]&amp;OutputTable[[#This Row],[Name]]&amp;OutputTable[[#This Row],[Type]]&amp;OutputTable[[#This Row],[Source]]</f>
        <v>Unnamed ProjectEntity 1.NumberOutNumber OutEntity</v>
      </c>
      <c r="J210" s="5" cm="1">
        <f t="array" ref="J210">MAX(IF((ProjectInfoTable[ProjectName]=OutputTable[[#This Row],[ProjectName]]),(ProjectInfoTable[ProjectName]=OutputTable[[#This Row],[ProjectName]])*ProjectInfoTable[NumberOfReplications]))</f>
        <v>10</v>
      </c>
      <c r="K210" s="5" cm="1">
        <f t="array" ref="K210">IFERROR(AVERAGE(IF((OutputTable[GroupByKey]=OutputTable[[#This Row],[GroupByKey]]),(OutputTable[GroupByKey]=OutputTable[[#This Row],[GroupByKey]])*OutputTable[RecordedValue])),0)</f>
        <v>673.8</v>
      </c>
      <c r="L210" s="5" cm="1">
        <f t="array" ref="L210">IFERROR(_xlfn.STDEV.S(IF((OutputTable[GroupByKey]=OutputTable[[#This Row],[GroupByKey]]),(OutputTable[GroupByKey]=OutputTable[[#This Row],[GroupByKey]])*OutputTable[RecordedValue])),0)</f>
        <v>51.503613681199326</v>
      </c>
      <c r="M210" s="5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36.843465729291147</v>
      </c>
      <c r="O210" s="5" cm="1">
        <f t="array" ref="O210">MIN(IF((OutputTable[GroupByKey]=OutputTable[[#This Row],[GroupByKey]]),(OutputTable[GroupByKey]=OutputTable[[#This Row],[GroupByKey]])*OutputTable[RecordedValue]))</f>
        <v>608</v>
      </c>
      <c r="P210" s="5" cm="1">
        <f t="array" ref="P210">MAX(IF((OutputTable[GroupByKey]=OutputTable[[#This Row],[GroupByKey]]),(OutputTable[GroupByKey]=OutputTable[[#This Row],[GroupByKey]])*OutputTable[RecordedValue]))</f>
        <v>755</v>
      </c>
    </row>
    <row r="211" spans="1:16" x14ac:dyDescent="0.3">
      <c r="A211" t="s">
        <v>66</v>
      </c>
      <c r="B211" t="s">
        <v>68</v>
      </c>
      <c r="C211">
        <v>10</v>
      </c>
      <c r="D211" t="s">
        <v>120</v>
      </c>
      <c r="E211" t="s">
        <v>121</v>
      </c>
      <c r="F211" t="s">
        <v>103</v>
      </c>
      <c r="G211">
        <v>159</v>
      </c>
      <c r="H211">
        <v>0</v>
      </c>
      <c r="I211" s="5" t="str">
        <f>OutputTable[[#This Row],[ProjectName]]&amp;OutputTable[[#This Row],[Name]]&amp;OutputTable[[#This Row],[Type]]&amp;OutputTable[[#This Row],[Source]]</f>
        <v>Unnamed ProjectInterauto.NumberSeizedTotal Number SeizedResource</v>
      </c>
      <c r="J211" s="5" cm="1">
        <f t="array" ref="J211">MAX(IF((ProjectInfoTable[ProjectName]=OutputTable[[#This Row],[ProjectName]]),(ProjectInfoTable[ProjectName]=OutputTable[[#This Row],[ProjectName]])*ProjectInfoTable[NumberOfReplications]))</f>
        <v>10</v>
      </c>
      <c r="K211" s="5" cm="1">
        <f t="array" ref="K211">IFERROR(AVERAGE(IF((OutputTable[GroupByKey]=OutputTable[[#This Row],[GroupByKey]]),(OutputTable[GroupByKey]=OutputTable[[#This Row],[GroupByKey]])*OutputTable[RecordedValue])),0)</f>
        <v>161.5</v>
      </c>
      <c r="L211" s="5" cm="1">
        <f t="array" ref="L211">IFERROR(_xlfn.STDEV.S(IF((OutputTable[GroupByKey]=OutputTable[[#This Row],[GroupByKey]]),(OutputTable[GroupByKey]=OutputTable[[#This Row],[GroupByKey]])*OutputTable[RecordedValue])),0)</f>
        <v>13.778001790293589</v>
      </c>
      <c r="M211" s="5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9.8561887311626997</v>
      </c>
      <c r="O211" s="5" cm="1">
        <f t="array" ref="O211">MIN(IF((OutputTable[GroupByKey]=OutputTable[[#This Row],[GroupByKey]]),(OutputTable[GroupByKey]=OutputTable[[#This Row],[GroupByKey]])*OutputTable[RecordedValue]))</f>
        <v>147</v>
      </c>
      <c r="P211" s="5" cm="1">
        <f t="array" ref="P211">MAX(IF((OutputTable[GroupByKey]=OutputTable[[#This Row],[GroupByKey]]),(OutputTable[GroupByKey]=OutputTable[[#This Row],[GroupByKey]])*OutputTable[RecordedValue]))</f>
        <v>191</v>
      </c>
    </row>
    <row r="212" spans="1:16" x14ac:dyDescent="0.3">
      <c r="A212" t="s">
        <v>66</v>
      </c>
      <c r="B212" t="s">
        <v>68</v>
      </c>
      <c r="C212">
        <v>10</v>
      </c>
      <c r="D212" t="s">
        <v>122</v>
      </c>
      <c r="E212" t="s">
        <v>123</v>
      </c>
      <c r="F212" t="s">
        <v>103</v>
      </c>
      <c r="G212">
        <v>0.26104277592172598</v>
      </c>
      <c r="H212">
        <v>0</v>
      </c>
      <c r="I212" s="5" t="str">
        <f>OutputTable[[#This Row],[ProjectName]]&amp;OutputTable[[#This Row],[Name]]&amp;OutputTable[[#This Row],[Type]]&amp;OutputTable[[#This Row],[Source]]</f>
        <v>Unnamed ProjectInterauto.ScheduledUtilizationScheduled UtilizationResource</v>
      </c>
      <c r="J212" s="5" cm="1">
        <f t="array" ref="J212">MAX(IF((ProjectInfoTable[ProjectName]=OutputTable[[#This Row],[ProjectName]]),(ProjectInfoTable[ProjectName]=OutputTable[[#This Row],[ProjectName]])*ProjectInfoTable[NumberOfReplications]))</f>
        <v>10</v>
      </c>
      <c r="K212" s="5" cm="1">
        <f t="array" ref="K212">IFERROR(AVERAGE(IF((OutputTable[GroupByKey]=OutputTable[[#This Row],[GroupByKey]]),(OutputTable[GroupByKey]=OutputTable[[#This Row],[GroupByKey]])*OutputTable[RecordedValue])),0)</f>
        <v>0.26535205929836458</v>
      </c>
      <c r="L212" s="5" cm="1">
        <f t="array" ref="L212">IFERROR(_xlfn.STDEV.S(IF((OutputTable[GroupByKey]=OutputTable[[#This Row],[GroupByKey]]),(OutputTable[GroupByKey]=OutputTable[[#This Row],[GroupByKey]])*OutputTable[RecordedValue])),0)</f>
        <v>2.5807993647623796E-2</v>
      </c>
      <c r="M212" s="5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1.8461926485074727E-2</v>
      </c>
      <c r="O212" s="5" cm="1">
        <f t="array" ref="O212">MIN(IF((OutputTable[GroupByKey]=OutputTable[[#This Row],[GroupByKey]]),(OutputTable[GroupByKey]=OutputTable[[#This Row],[GroupByKey]])*OutputTable[RecordedValue]))</f>
        <v>0.20483176768320299</v>
      </c>
      <c r="P212" s="5" cm="1">
        <f t="array" ref="P212">MAX(IF((OutputTable[GroupByKey]=OutputTable[[#This Row],[GroupByKey]]),(OutputTable[GroupByKey]=OutputTable[[#This Row],[GroupByKey]])*OutputTable[RecordedValue]))</f>
        <v>0.29552077299252399</v>
      </c>
    </row>
    <row r="213" spans="1:16" x14ac:dyDescent="0.3">
      <c r="A213" t="s">
        <v>66</v>
      </c>
      <c r="B213" t="s">
        <v>68</v>
      </c>
      <c r="C213">
        <v>10</v>
      </c>
      <c r="D213" t="s">
        <v>124</v>
      </c>
      <c r="E213" t="s">
        <v>117</v>
      </c>
      <c r="F213" t="s">
        <v>74</v>
      </c>
      <c r="G213">
        <v>207</v>
      </c>
      <c r="H213">
        <v>0</v>
      </c>
      <c r="I213" s="5" t="str">
        <f>OutputTable[[#This Row],[ProjectName]]&amp;OutputTable[[#This Row],[Name]]&amp;OutputTable[[#This Row],[Type]]&amp;OutputTable[[#This Row],[Source]]</f>
        <v>Unnamed ProjectMaleta Internacional.NumberInNumber InEntity</v>
      </c>
      <c r="J213" s="5" cm="1">
        <f t="array" ref="J213">MAX(IF((ProjectInfoTable[ProjectName]=OutputTable[[#This Row],[ProjectName]]),(ProjectInfoTable[ProjectName]=OutputTable[[#This Row],[ProjectName]])*ProjectInfoTable[NumberOfReplications]))</f>
        <v>10</v>
      </c>
      <c r="K213" s="5" cm="1">
        <f t="array" ref="K213">IFERROR(AVERAGE(IF((OutputTable[GroupByKey]=OutputTable[[#This Row],[GroupByKey]]),(OutputTable[GroupByKey]=OutputTable[[#This Row],[GroupByKey]])*OutputTable[RecordedValue])),0)</f>
        <v>241.3</v>
      </c>
      <c r="L213" s="5" cm="1">
        <f t="array" ref="L213">IFERROR(_xlfn.STDEV.S(IF((OutputTable[GroupByKey]=OutputTable[[#This Row],[GroupByKey]]),(OutputTable[GroupByKey]=OutputTable[[#This Row],[GroupByKey]])*OutputTable[RecordedValue])),0)</f>
        <v>25.59101404790356</v>
      </c>
      <c r="M213" s="5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18.306708629960106</v>
      </c>
      <c r="O213" s="5" cm="1">
        <f t="array" ref="O213">MIN(IF((OutputTable[GroupByKey]=OutputTable[[#This Row],[GroupByKey]]),(OutputTable[GroupByKey]=OutputTable[[#This Row],[GroupByKey]])*OutputTable[RecordedValue]))</f>
        <v>207</v>
      </c>
      <c r="P213" s="5" cm="1">
        <f t="array" ref="P213">MAX(IF((OutputTable[GroupByKey]=OutputTable[[#This Row],[GroupByKey]]),(OutputTable[GroupByKey]=OutputTable[[#This Row],[GroupByKey]])*OutputTable[RecordedValue]))</f>
        <v>287</v>
      </c>
    </row>
    <row r="214" spans="1:16" x14ac:dyDescent="0.3">
      <c r="A214" t="s">
        <v>66</v>
      </c>
      <c r="B214" t="s">
        <v>68</v>
      </c>
      <c r="C214">
        <v>10</v>
      </c>
      <c r="D214" t="s">
        <v>125</v>
      </c>
      <c r="E214" t="s">
        <v>119</v>
      </c>
      <c r="F214" t="s">
        <v>74</v>
      </c>
      <c r="G214">
        <v>199</v>
      </c>
      <c r="H214">
        <v>0</v>
      </c>
      <c r="I214" s="5" t="str">
        <f>OutputTable[[#This Row],[ProjectName]]&amp;OutputTable[[#This Row],[Name]]&amp;OutputTable[[#This Row],[Type]]&amp;OutputTable[[#This Row],[Source]]</f>
        <v>Unnamed ProjectMaleta Internacional.NumberOutNumber OutEntity</v>
      </c>
      <c r="J214" s="5" cm="1">
        <f t="array" ref="J214">MAX(IF((ProjectInfoTable[ProjectName]=OutputTable[[#This Row],[ProjectName]]),(ProjectInfoTable[ProjectName]=OutputTable[[#This Row],[ProjectName]])*ProjectInfoTable[NumberOfReplications]))</f>
        <v>10</v>
      </c>
      <c r="K214" s="5" cm="1">
        <f t="array" ref="K214">IFERROR(AVERAGE(IF((OutputTable[GroupByKey]=OutputTable[[#This Row],[GroupByKey]]),(OutputTable[GroupByKey]=OutputTable[[#This Row],[GroupByKey]])*OutputTable[RecordedValue])),0)</f>
        <v>224.5</v>
      </c>
      <c r="L214" s="5" cm="1">
        <f t="array" ref="L214">IFERROR(_xlfn.STDEV.S(IF((OutputTable[GroupByKey]=OutputTable[[#This Row],[GroupByKey]]),(OutputTable[GroupByKey]=OutputTable[[#This Row],[GroupByKey]])*OutputTable[RecordedValue])),0)</f>
        <v>20.812656405818711</v>
      </c>
      <c r="M214" s="5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14.888477491497007</v>
      </c>
      <c r="O214" s="5" cm="1">
        <f t="array" ref="O214">MIN(IF((OutputTable[GroupByKey]=OutputTable[[#This Row],[GroupByKey]]),(OutputTable[GroupByKey]=OutputTable[[#This Row],[GroupByKey]])*OutputTable[RecordedValue]))</f>
        <v>199</v>
      </c>
      <c r="P214" s="5" cm="1">
        <f t="array" ref="P214">MAX(IF((OutputTable[GroupByKey]=OutputTable[[#This Row],[GroupByKey]]),(OutputTable[GroupByKey]=OutputTable[[#This Row],[GroupByKey]])*OutputTable[RecordedValue]))</f>
        <v>256</v>
      </c>
    </row>
    <row r="215" spans="1:16" x14ac:dyDescent="0.3">
      <c r="A215" t="s">
        <v>66</v>
      </c>
      <c r="B215" t="s">
        <v>68</v>
      </c>
      <c r="C215">
        <v>10</v>
      </c>
      <c r="D215" t="s">
        <v>126</v>
      </c>
      <c r="E215" t="s">
        <v>117</v>
      </c>
      <c r="F215" t="s">
        <v>74</v>
      </c>
      <c r="G215">
        <v>165</v>
      </c>
      <c r="H215">
        <v>0</v>
      </c>
      <c r="I215" s="5" t="str">
        <f>OutputTable[[#This Row],[ProjectName]]&amp;OutputTable[[#This Row],[Name]]&amp;OutputTable[[#This Row],[Type]]&amp;OutputTable[[#This Row],[Source]]</f>
        <v>Unnamed ProjectMaleta Nacional.NumberInNumber InEntity</v>
      </c>
      <c r="J215" s="5" cm="1">
        <f t="array" ref="J215">MAX(IF((ProjectInfoTable[ProjectName]=OutputTable[[#This Row],[ProjectName]]),(ProjectInfoTable[ProjectName]=OutputTable[[#This Row],[ProjectName]])*ProjectInfoTable[NumberOfReplications]))</f>
        <v>10</v>
      </c>
      <c r="K215" s="5" cm="1">
        <f t="array" ref="K215">IFERROR(AVERAGE(IF((OutputTable[GroupByKey]=OutputTable[[#This Row],[GroupByKey]]),(OutputTable[GroupByKey]=OutputTable[[#This Row],[GroupByKey]])*OutputTable[RecordedValue])),0)</f>
        <v>163.1</v>
      </c>
      <c r="L215" s="5" cm="1">
        <f t="array" ref="L215">IFERROR(_xlfn.STDEV.S(IF((OutputTable[GroupByKey]=OutputTable[[#This Row],[GroupByKey]]),(OutputTable[GroupByKey]=OutputTable[[#This Row],[GroupByKey]])*OutputTable[RecordedValue])),0)</f>
        <v>14.371654200002325</v>
      </c>
      <c r="M215" s="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10.280862082193972</v>
      </c>
      <c r="O215" s="5" cm="1">
        <f t="array" ref="O215">MIN(IF((OutputTable[GroupByKey]=OutputTable[[#This Row],[GroupByKey]]),(OutputTable[GroupByKey]=OutputTable[[#This Row],[GroupByKey]])*OutputTable[RecordedValue]))</f>
        <v>149</v>
      </c>
      <c r="P215" s="5" cm="1">
        <f t="array" ref="P215">MAX(IF((OutputTable[GroupByKey]=OutputTable[[#This Row],[GroupByKey]]),(OutputTable[GroupByKey]=OutputTable[[#This Row],[GroupByKey]])*OutputTable[RecordedValue]))</f>
        <v>191</v>
      </c>
    </row>
    <row r="216" spans="1:16" x14ac:dyDescent="0.3">
      <c r="A216" t="s">
        <v>66</v>
      </c>
      <c r="B216" t="s">
        <v>68</v>
      </c>
      <c r="C216">
        <v>10</v>
      </c>
      <c r="D216" t="s">
        <v>127</v>
      </c>
      <c r="E216" t="s">
        <v>119</v>
      </c>
      <c r="F216" t="s">
        <v>74</v>
      </c>
      <c r="G216">
        <v>151</v>
      </c>
      <c r="H216">
        <v>0</v>
      </c>
      <c r="I216" s="5" t="str">
        <f>OutputTable[[#This Row],[ProjectName]]&amp;OutputTable[[#This Row],[Name]]&amp;OutputTable[[#This Row],[Type]]&amp;OutputTable[[#This Row],[Source]]</f>
        <v>Unnamed ProjectMaleta Nacional.NumberOutNumber OutEntity</v>
      </c>
      <c r="J216" s="5" cm="1">
        <f t="array" ref="J216">MAX(IF((ProjectInfoTable[ProjectName]=OutputTable[[#This Row],[ProjectName]]),(ProjectInfoTable[ProjectName]=OutputTable[[#This Row],[ProjectName]])*ProjectInfoTable[NumberOfReplications]))</f>
        <v>10</v>
      </c>
      <c r="K216" s="5" cm="1">
        <f t="array" ref="K216">IFERROR(AVERAGE(IF((OutputTable[GroupByKey]=OutputTable[[#This Row],[GroupByKey]]),(OutputTable[GroupByKey]=OutputTable[[#This Row],[GroupByKey]])*OutputTable[RecordedValue])),0)</f>
        <v>159.1</v>
      </c>
      <c r="L216" s="5" cm="1">
        <f t="array" ref="L216">IFERROR(_xlfn.STDEV.S(IF((OutputTable[GroupByKey]=OutputTable[[#This Row],[GroupByKey]]),(OutputTable[GroupByKey]=OutputTable[[#This Row],[GroupByKey]])*OutputTable[RecordedValue])),0)</f>
        <v>14.153523314787106</v>
      </c>
      <c r="M216" s="5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10.12482064704977</v>
      </c>
      <c r="O216" s="5" cm="1">
        <f t="array" ref="O216">MIN(IF((OutputTable[GroupByKey]=OutputTable[[#This Row],[GroupByKey]]),(OutputTable[GroupByKey]=OutputTable[[#This Row],[GroupByKey]])*OutputTable[RecordedValue]))</f>
        <v>145</v>
      </c>
      <c r="P216" s="5" cm="1">
        <f t="array" ref="P216">MAX(IF((OutputTable[GroupByKey]=OutputTable[[#This Row],[GroupByKey]]),(OutputTable[GroupByKey]=OutputTable[[#This Row],[GroupByKey]])*OutputTable[RecordedValue]))</f>
        <v>189</v>
      </c>
    </row>
    <row r="217" spans="1:16" x14ac:dyDescent="0.3">
      <c r="A217" t="s">
        <v>66</v>
      </c>
      <c r="B217" t="s">
        <v>68</v>
      </c>
      <c r="C217">
        <v>10</v>
      </c>
      <c r="D217" t="s">
        <v>128</v>
      </c>
      <c r="E217" t="s">
        <v>121</v>
      </c>
      <c r="F217" t="s">
        <v>103</v>
      </c>
      <c r="G217">
        <v>202</v>
      </c>
      <c r="H217">
        <v>0</v>
      </c>
      <c r="I217" s="5" t="str">
        <f>OutputTable[[#This Row],[ProjectName]]&amp;OutputTable[[#This Row],[Name]]&amp;OutputTable[[#This Row],[Type]]&amp;OutputTable[[#This Row],[Source]]</f>
        <v>Unnamed ProjectNacionalauto.NumberSeizedTotal Number SeizedResource</v>
      </c>
      <c r="J217" s="5" cm="1">
        <f t="array" ref="J217">MAX(IF((ProjectInfoTable[ProjectName]=OutputTable[[#This Row],[ProjectName]]),(ProjectInfoTable[ProjectName]=OutputTable[[#This Row],[ProjectName]])*ProjectInfoTable[NumberOfReplications]))</f>
        <v>10</v>
      </c>
      <c r="K217" s="5" cm="1">
        <f t="array" ref="K217">IFERROR(AVERAGE(IF((OutputTable[GroupByKey]=OutputTable[[#This Row],[GroupByKey]]),(OutputTable[GroupByKey]=OutputTable[[#This Row],[GroupByKey]])*OutputTable[RecordedValue])),0)</f>
        <v>231.5</v>
      </c>
      <c r="L217" s="5" cm="1">
        <f t="array" ref="L217">IFERROR(_xlfn.STDEV.S(IF((OutputTable[GroupByKey]=OutputTable[[#This Row],[GroupByKey]]),(OutputTable[GroupByKey]=OutputTable[[#This Row],[GroupByKey]])*OutputTable[RecordedValue])),0)</f>
        <v>20.817994353176505</v>
      </c>
      <c r="M217" s="5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14.892296029003113</v>
      </c>
      <c r="O217" s="5" cm="1">
        <f t="array" ref="O217">MIN(IF((OutputTable[GroupByKey]=OutputTable[[#This Row],[GroupByKey]]),(OutputTable[GroupByKey]=OutputTable[[#This Row],[GroupByKey]])*OutputTable[RecordedValue]))</f>
        <v>202</v>
      </c>
      <c r="P217" s="5" cm="1">
        <f t="array" ref="P217">MAX(IF((OutputTable[GroupByKey]=OutputTable[[#This Row],[GroupByKey]]),(OutputTable[GroupByKey]=OutputTable[[#This Row],[GroupByKey]])*OutputTable[RecordedValue]))</f>
        <v>264</v>
      </c>
    </row>
    <row r="218" spans="1:16" x14ac:dyDescent="0.3">
      <c r="A218" t="s">
        <v>66</v>
      </c>
      <c r="B218" t="s">
        <v>68</v>
      </c>
      <c r="C218">
        <v>10</v>
      </c>
      <c r="D218" t="s">
        <v>129</v>
      </c>
      <c r="E218" t="s">
        <v>123</v>
      </c>
      <c r="F218" t="s">
        <v>103</v>
      </c>
      <c r="G218">
        <v>0.64995347349336796</v>
      </c>
      <c r="H218">
        <v>0</v>
      </c>
      <c r="I218" s="5" t="str">
        <f>OutputTable[[#This Row],[ProjectName]]&amp;OutputTable[[#This Row],[Name]]&amp;OutputTable[[#This Row],[Type]]&amp;OutputTable[[#This Row],[Source]]</f>
        <v>Unnamed ProjectNacionalauto.ScheduledUtilizationScheduled UtilizationResource</v>
      </c>
      <c r="J218" s="5" cm="1">
        <f t="array" ref="J218">MAX(IF((ProjectInfoTable[ProjectName]=OutputTable[[#This Row],[ProjectName]]),(ProjectInfoTable[ProjectName]=OutputTable[[#This Row],[ProjectName]])*ProjectInfoTable[NumberOfReplications]))</f>
        <v>10</v>
      </c>
      <c r="K218" s="5" cm="1">
        <f t="array" ref="K218">IFERROR(AVERAGE(IF((OutputTable[GroupByKey]=OutputTable[[#This Row],[GroupByKey]]),(OutputTable[GroupByKey]=OutputTable[[#This Row],[GroupByKey]])*OutputTable[RecordedValue])),0)</f>
        <v>0.73175058451933661</v>
      </c>
      <c r="L218" s="5" cm="1">
        <f t="array" ref="L218">IFERROR(_xlfn.STDEV.S(IF((OutputTable[GroupByKey]=OutputTable[[#This Row],[GroupByKey]]),(OutputTable[GroupByKey]=OutputTable[[#This Row],[GroupByKey]])*OutputTable[RecordedValue])),0)</f>
        <v>6.0813477412386734E-2</v>
      </c>
      <c r="M218" s="5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4.3503341043041877E-2</v>
      </c>
      <c r="O218" s="5" cm="1">
        <f t="array" ref="O218">MIN(IF((OutputTable[GroupByKey]=OutputTable[[#This Row],[GroupByKey]]),(OutputTable[GroupByKey]=OutputTable[[#This Row],[GroupByKey]])*OutputTable[RecordedValue]))</f>
        <v>0.64995347349336796</v>
      </c>
      <c r="P218" s="5" cm="1">
        <f t="array" ref="P218">MAX(IF((OutputTable[GroupByKey]=OutputTable[[#This Row],[GroupByKey]]),(OutputTable[GroupByKey]=OutputTable[[#This Row],[GroupByKey]])*OutputTable[RecordedValue]))</f>
        <v>0.82581624655093899</v>
      </c>
    </row>
    <row r="219" spans="1:16" x14ac:dyDescent="0.3">
      <c r="A219" t="s">
        <v>66</v>
      </c>
      <c r="B219" t="s">
        <v>68</v>
      </c>
      <c r="C219">
        <v>10</v>
      </c>
      <c r="D219" t="s">
        <v>130</v>
      </c>
      <c r="E219" t="s">
        <v>121</v>
      </c>
      <c r="F219" t="s">
        <v>103</v>
      </c>
      <c r="G219">
        <v>338</v>
      </c>
      <c r="H219">
        <v>0</v>
      </c>
      <c r="I219" s="5" t="str">
        <f>OutputTable[[#This Row],[ProjectName]]&amp;OutputTable[[#This Row],[Name]]&amp;OutputTable[[#This Row],[Type]]&amp;OutputTable[[#This Row],[Source]]</f>
        <v>Unnamed ProjectOperarios Avion.NumberSeizedTotal Number SeizedResource</v>
      </c>
      <c r="J219" s="5" cm="1">
        <f t="array" ref="J219">MAX(IF((ProjectInfoTable[ProjectName]=OutputTable[[#This Row],[ProjectName]]),(ProjectInfoTable[ProjectName]=OutputTable[[#This Row],[ProjectName]])*ProjectInfoTable[NumberOfReplications]))</f>
        <v>10</v>
      </c>
      <c r="K219" s="5" cm="1">
        <f t="array" ref="K219">IFERROR(AVERAGE(IF((OutputTable[GroupByKey]=OutputTable[[#This Row],[GroupByKey]]),(OutputTable[GroupByKey]=OutputTable[[#This Row],[GroupByKey]])*OutputTable[RecordedValue])),0)</f>
        <v>368.6</v>
      </c>
      <c r="L219" s="5" cm="1">
        <f t="array" ref="L219">IFERROR(_xlfn.STDEV.S(IF((OutputTable[GroupByKey]=OutputTable[[#This Row],[GroupByKey]]),(OutputTable[GroupByKey]=OutputTable[[#This Row],[GroupByKey]])*OutputTable[RecordedValue])),0)</f>
        <v>29.243042857328572</v>
      </c>
      <c r="M219" s="5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20.919212659586112</v>
      </c>
      <c r="O219" s="5" cm="1">
        <f t="array" ref="O219">MIN(IF((OutputTable[GroupByKey]=OutputTable[[#This Row],[GroupByKey]]),(OutputTable[GroupByKey]=OutputTable[[#This Row],[GroupByKey]])*OutputTable[RecordedValue]))</f>
        <v>338</v>
      </c>
      <c r="P219" s="5" cm="1">
        <f t="array" ref="P219">MAX(IF((OutputTable[GroupByKey]=OutputTable[[#This Row],[GroupByKey]]),(OutputTable[GroupByKey]=OutputTable[[#This Row],[GroupByKey]])*OutputTable[RecordedValue]))</f>
        <v>416</v>
      </c>
    </row>
    <row r="220" spans="1:16" x14ac:dyDescent="0.3">
      <c r="A220" t="s">
        <v>66</v>
      </c>
      <c r="B220" t="s">
        <v>68</v>
      </c>
      <c r="C220">
        <v>10</v>
      </c>
      <c r="D220" t="s">
        <v>131</v>
      </c>
      <c r="E220" t="s">
        <v>123</v>
      </c>
      <c r="F220" t="s">
        <v>103</v>
      </c>
      <c r="G220">
        <v>7.5971292652192102E-2</v>
      </c>
      <c r="H220">
        <v>0</v>
      </c>
      <c r="I220" s="5" t="str">
        <f>OutputTable[[#This Row],[ProjectName]]&amp;OutputTable[[#This Row],[Name]]&amp;OutputTable[[#This Row],[Type]]&amp;OutputTable[[#This Row],[Source]]</f>
        <v>Unnamed ProjectOperarios Avion.ScheduledUtilizationScheduled UtilizationResource</v>
      </c>
      <c r="J220" s="5" cm="1">
        <f t="array" ref="J220">MAX(IF((ProjectInfoTable[ProjectName]=OutputTable[[#This Row],[ProjectName]]),(ProjectInfoTable[ProjectName]=OutputTable[[#This Row],[ProjectName]])*ProjectInfoTable[NumberOfReplications]))</f>
        <v>10</v>
      </c>
      <c r="K220" s="5" cm="1">
        <f t="array" ref="K220">IFERROR(AVERAGE(IF((OutputTable[GroupByKey]=OutputTable[[#This Row],[GroupByKey]]),(OutputTable[GroupByKey]=OutputTable[[#This Row],[GroupByKey]])*OutputTable[RecordedValue])),0)</f>
        <v>7.5958437118625627E-2</v>
      </c>
      <c r="L220" s="5" cm="1">
        <f t="array" ref="L220">IFERROR(_xlfn.STDEV.S(IF((OutputTable[GroupByKey]=OutputTable[[#This Row],[GroupByKey]]),(OutputTable[GroupByKey]=OutputTable[[#This Row],[GroupByKey]])*OutputTable[RecordedValue])),0)</f>
        <v>5.0572810112240948E-3</v>
      </c>
      <c r="M220" s="5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3.6177608968134627E-3</v>
      </c>
      <c r="O220" s="5" cm="1">
        <f t="array" ref="O220">MIN(IF((OutputTable[GroupByKey]=OutputTable[[#This Row],[GroupByKey]]),(OutputTable[GroupByKey]=OutputTable[[#This Row],[GroupByKey]])*OutputTable[RecordedValue]))</f>
        <v>6.7485948117393404E-2</v>
      </c>
      <c r="P220" s="5" cm="1">
        <f t="array" ref="P220">MAX(IF((OutputTable[GroupByKey]=OutputTable[[#This Row],[GroupByKey]]),(OutputTable[GroupByKey]=OutputTable[[#This Row],[GroupByKey]])*OutputTable[RecordedValue]))</f>
        <v>8.7852447587946303E-2</v>
      </c>
    </row>
    <row r="221" spans="1:16" x14ac:dyDescent="0.3">
      <c r="A221" t="s">
        <v>66</v>
      </c>
      <c r="B221" t="s">
        <v>68</v>
      </c>
      <c r="C221">
        <v>10</v>
      </c>
      <c r="D221" t="s">
        <v>132</v>
      </c>
      <c r="E221" t="s">
        <v>119</v>
      </c>
      <c r="F221" t="s">
        <v>133</v>
      </c>
      <c r="G221">
        <v>603</v>
      </c>
      <c r="H221">
        <v>0</v>
      </c>
      <c r="I221" s="5" t="str">
        <f>OutputTable[[#This Row],[ProjectName]]&amp;OutputTable[[#This Row],[Name]]&amp;OutputTable[[#This Row],[Type]]&amp;OutputTable[[#This Row],[Source]]</f>
        <v>Unnamed ProjectSystem.NumberOutNumber OutSystem</v>
      </c>
      <c r="J221" s="5" cm="1">
        <f t="array" ref="J221">MAX(IF((ProjectInfoTable[ProjectName]=OutputTable[[#This Row],[ProjectName]]),(ProjectInfoTable[ProjectName]=OutputTable[[#This Row],[ProjectName]])*ProjectInfoTable[NumberOfReplications]))</f>
        <v>10</v>
      </c>
      <c r="K221" s="5" cm="1">
        <f t="array" ref="K221">IFERROR(AVERAGE(IF((OutputTable[GroupByKey]=OutputTable[[#This Row],[GroupByKey]]),(OutputTable[GroupByKey]=OutputTable[[#This Row],[GroupByKey]])*OutputTable[RecordedValue])),0)</f>
        <v>653</v>
      </c>
      <c r="L221" s="5" cm="1">
        <f t="array" ref="L221">IFERROR(_xlfn.STDEV.S(IF((OutputTable[GroupByKey]=OutputTable[[#This Row],[GroupByKey]]),(OutputTable[GroupByKey]=OutputTable[[#This Row],[GroupByKey]])*OutputTable[RecordedValue])),0)</f>
        <v>50.066622281382898</v>
      </c>
      <c r="M221" s="5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35.815504007612013</v>
      </c>
      <c r="O221" s="5" cm="1">
        <f t="array" ref="O221">MIN(IF((OutputTable[GroupByKey]=OutputTable[[#This Row],[GroupByKey]]),(OutputTable[GroupByKey]=OutputTable[[#This Row],[GroupByKey]])*OutputTable[RecordedValue]))</f>
        <v>594</v>
      </c>
      <c r="P221" s="5" cm="1">
        <f t="array" ref="P221">MAX(IF((OutputTable[GroupByKey]=OutputTable[[#This Row],[GroupByKey]]),(OutputTable[GroupByKey]=OutputTable[[#This Row],[GroupByKey]])*OutputTable[RecordedValue]))</f>
        <v>722</v>
      </c>
    </row>
    <row r="222" spans="1:16" x14ac:dyDescent="0.3">
      <c r="A222" t="s">
        <v>66</v>
      </c>
      <c r="B222" t="s">
        <v>68</v>
      </c>
      <c r="C222">
        <v>10</v>
      </c>
      <c r="D222" t="s">
        <v>134</v>
      </c>
      <c r="E222" t="s">
        <v>121</v>
      </c>
      <c r="F222" t="s">
        <v>103</v>
      </c>
      <c r="G222">
        <v>83</v>
      </c>
      <c r="H222">
        <v>0</v>
      </c>
      <c r="I222" s="5" t="str">
        <f>OutputTable[[#This Row],[ProjectName]]&amp;OutputTable[[#This Row],[Name]]&amp;OutputTable[[#This Row],[Type]]&amp;OutputTable[[#This Row],[Source]]</f>
        <v>Unnamed Projectcajera.NumberSeizedTotal Number SeizedResource</v>
      </c>
      <c r="J222" s="5" cm="1">
        <f t="array" ref="J222">MAX(IF((ProjectInfoTable[ProjectName]=OutputTable[[#This Row],[ProjectName]]),(ProjectInfoTable[ProjectName]=OutputTable[[#This Row],[ProjectName]])*ProjectInfoTable[NumberOfReplications]))</f>
        <v>10</v>
      </c>
      <c r="K222" s="5" cm="1">
        <f t="array" ref="K222">IFERROR(AVERAGE(IF((OutputTable[GroupByKey]=OutputTable[[#This Row],[GroupByKey]]),(OutputTable[GroupByKey]=OutputTable[[#This Row],[GroupByKey]])*OutputTable[RecordedValue])),0)</f>
        <v>89.7</v>
      </c>
      <c r="L222" s="5" cm="1">
        <f t="array" ref="L222">IFERROR(_xlfn.STDEV.S(IF((OutputTable[GroupByKey]=OutputTable[[#This Row],[GroupByKey]]),(OutputTable[GroupByKey]=OutputTable[[#This Row],[GroupByKey]])*OutputTable[RecordedValue])),0)</f>
        <v>15.3554188770248</v>
      </c>
      <c r="M222" s="5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10.984604937751998</v>
      </c>
      <c r="O222" s="5" cm="1">
        <f t="array" ref="O222">MIN(IF((OutputTable[GroupByKey]=OutputTable[[#This Row],[GroupByKey]]),(OutputTable[GroupByKey]=OutputTable[[#This Row],[GroupByKey]])*OutputTable[RecordedValue]))</f>
        <v>72</v>
      </c>
      <c r="P222" s="5" cm="1">
        <f t="array" ref="P222">MAX(IF((OutputTable[GroupByKey]=OutputTable[[#This Row],[GroupByKey]]),(OutputTable[GroupByKey]=OutputTable[[#This Row],[GroupByKey]])*OutputTable[RecordedValue]))</f>
        <v>119</v>
      </c>
    </row>
    <row r="223" spans="1:16" x14ac:dyDescent="0.3">
      <c r="A223" t="s">
        <v>66</v>
      </c>
      <c r="B223" t="s">
        <v>68</v>
      </c>
      <c r="C223">
        <v>10</v>
      </c>
      <c r="D223" t="s">
        <v>135</v>
      </c>
      <c r="E223" t="s">
        <v>123</v>
      </c>
      <c r="F223" t="s">
        <v>103</v>
      </c>
      <c r="G223">
        <v>0.32138199738834899</v>
      </c>
      <c r="H223">
        <v>0</v>
      </c>
      <c r="I223" s="5" t="str">
        <f>OutputTable[[#This Row],[ProjectName]]&amp;OutputTable[[#This Row],[Name]]&amp;OutputTable[[#This Row],[Type]]&amp;OutputTable[[#This Row],[Source]]</f>
        <v>Unnamed Projectcajera.ScheduledUtilizationScheduled UtilizationResource</v>
      </c>
      <c r="J223" s="5" cm="1">
        <f t="array" ref="J223">MAX(IF((ProjectInfoTable[ProjectName]=OutputTable[[#This Row],[ProjectName]]),(ProjectInfoTable[ProjectName]=OutputTable[[#This Row],[ProjectName]])*ProjectInfoTable[NumberOfReplications]))</f>
        <v>10</v>
      </c>
      <c r="K223" s="5" cm="1">
        <f t="array" ref="K223">IFERROR(AVERAGE(IF((OutputTable[GroupByKey]=OutputTable[[#This Row],[GroupByKey]]),(OutputTable[GroupByKey]=OutputTable[[#This Row],[GroupByKey]])*OutputTable[RecordedValue])),0)</f>
        <v>0.38078385056341441</v>
      </c>
      <c r="L223" s="5" cm="1">
        <f t="array" ref="L223">IFERROR(_xlfn.STDEV.S(IF((OutputTable[GroupByKey]=OutputTable[[#This Row],[GroupByKey]]),(OutputTable[GroupByKey]=OutputTable[[#This Row],[GroupByKey]])*OutputTable[RecordedValue])),0)</f>
        <v>5.6481911326734656E-2</v>
      </c>
      <c r="M223" s="5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4.040472533000234E-2</v>
      </c>
      <c r="O223" s="5" cm="1">
        <f t="array" ref="O223">MIN(IF((OutputTable[GroupByKey]=OutputTable[[#This Row],[GroupByKey]]),(OutputTable[GroupByKey]=OutputTable[[#This Row],[GroupByKey]])*OutputTable[RecordedValue]))</f>
        <v>0.28913636698845602</v>
      </c>
      <c r="P223" s="5" cm="1">
        <f t="array" ref="P223">MAX(IF((OutputTable[GroupByKey]=OutputTable[[#This Row],[GroupByKey]]),(OutputTable[GroupByKey]=OutputTable[[#This Row],[GroupByKey]])*OutputTable[RecordedValue]))</f>
        <v>0.46134650546047301</v>
      </c>
    </row>
    <row r="224" spans="1:16" x14ac:dyDescent="0.3">
      <c r="A224" t="s">
        <v>66</v>
      </c>
      <c r="B224" t="s">
        <v>68</v>
      </c>
      <c r="C224">
        <v>10</v>
      </c>
      <c r="D224" t="s">
        <v>136</v>
      </c>
      <c r="E224" t="s">
        <v>121</v>
      </c>
      <c r="F224" t="s">
        <v>103</v>
      </c>
      <c r="G224">
        <v>171</v>
      </c>
      <c r="H224">
        <v>0</v>
      </c>
      <c r="I224" s="5" t="str">
        <f>OutputTable[[#This Row],[ProjectName]]&amp;OutputTable[[#This Row],[Name]]&amp;OutputTable[[#This Row],[Type]]&amp;OutputTable[[#This Row],[Source]]</f>
        <v>Unnamed Projectcajera2.NumberSeizedTotal Number SeizedResource</v>
      </c>
      <c r="J224" s="5" cm="1">
        <f t="array" ref="J224">MAX(IF((ProjectInfoTable[ProjectName]=OutputTable[[#This Row],[ProjectName]]),(ProjectInfoTable[ProjectName]=OutputTable[[#This Row],[ProjectName]])*ProjectInfoTable[NumberOfReplications]))</f>
        <v>10</v>
      </c>
      <c r="K224" s="5" cm="1">
        <f t="array" ref="K224">IFERROR(AVERAGE(IF((OutputTable[GroupByKey]=OutputTable[[#This Row],[GroupByKey]]),(OutputTable[GroupByKey]=OutputTable[[#This Row],[GroupByKey]])*OutputTable[RecordedValue])),0)</f>
        <v>181.1</v>
      </c>
      <c r="L224" s="5" cm="1">
        <f t="array" ref="L224">IFERROR(_xlfn.STDEV.S(IF((OutputTable[GroupByKey]=OutputTable[[#This Row],[GroupByKey]]),(OutputTable[GroupByKey]=OutputTable[[#This Row],[GroupByKey]])*OutputTable[RecordedValue])),0)</f>
        <v>9.7348172384830463</v>
      </c>
      <c r="M224" s="5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6.9638687399111214</v>
      </c>
      <c r="O224" s="5" cm="1">
        <f t="array" ref="O224">MIN(IF((OutputTable[GroupByKey]=OutputTable[[#This Row],[GroupByKey]]),(OutputTable[GroupByKey]=OutputTable[[#This Row],[GroupByKey]])*OutputTable[RecordedValue]))</f>
        <v>169</v>
      </c>
      <c r="P224" s="5" cm="1">
        <f t="array" ref="P224">MAX(IF((OutputTable[GroupByKey]=OutputTable[[#This Row],[GroupByKey]]),(OutputTable[GroupByKey]=OutputTable[[#This Row],[GroupByKey]])*OutputTable[RecordedValue]))</f>
        <v>194</v>
      </c>
    </row>
    <row r="225" spans="1:16" x14ac:dyDescent="0.3">
      <c r="A225" t="s">
        <v>66</v>
      </c>
      <c r="B225" t="s">
        <v>68</v>
      </c>
      <c r="C225">
        <v>10</v>
      </c>
      <c r="D225" t="s">
        <v>137</v>
      </c>
      <c r="E225" t="s">
        <v>123</v>
      </c>
      <c r="F225" t="s">
        <v>103</v>
      </c>
      <c r="G225">
        <v>0.72883194271818097</v>
      </c>
      <c r="H225">
        <v>0</v>
      </c>
      <c r="I225" s="5" t="str">
        <f>OutputTable[[#This Row],[ProjectName]]&amp;OutputTable[[#This Row],[Name]]&amp;OutputTable[[#This Row],[Type]]&amp;OutputTable[[#This Row],[Source]]</f>
        <v>Unnamed Projectcajera2.ScheduledUtilizationScheduled UtilizationResource</v>
      </c>
      <c r="J225" s="5" cm="1">
        <f t="array" ref="J225">MAX(IF((ProjectInfoTable[ProjectName]=OutputTable[[#This Row],[ProjectName]]),(ProjectInfoTable[ProjectName]=OutputTable[[#This Row],[ProjectName]])*ProjectInfoTable[NumberOfReplications]))</f>
        <v>10</v>
      </c>
      <c r="K225" s="5" cm="1">
        <f t="array" ref="K225">IFERROR(AVERAGE(IF((OutputTable[GroupByKey]=OutputTable[[#This Row],[GroupByKey]]),(OutputTable[GroupByKey]=OutputTable[[#This Row],[GroupByKey]])*OutputTable[RecordedValue])),0)</f>
        <v>0.73571117943508912</v>
      </c>
      <c r="L225" s="5" cm="1">
        <f t="array" ref="L225">IFERROR(_xlfn.STDEV.S(IF((OutputTable[GroupByKey]=OutputTable[[#This Row],[GroupByKey]]),(OutputTable[GroupByKey]=OutputTable[[#This Row],[GroupByKey]])*OutputTable[RecordedValue])),0)</f>
        <v>2.3945213257811505E-2</v>
      </c>
      <c r="M225" s="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1.7129373668915777E-2</v>
      </c>
      <c r="O225" s="5" cm="1">
        <f t="array" ref="O225">MIN(IF((OutputTable[GroupByKey]=OutputTable[[#This Row],[GroupByKey]]),(OutputTable[GroupByKey]=OutputTable[[#This Row],[GroupByKey]])*OutputTable[RecordedValue]))</f>
        <v>0.69752119636771104</v>
      </c>
      <c r="P225" s="5" cm="1">
        <f t="array" ref="P225">MAX(IF((OutputTable[GroupByKey]=OutputTable[[#This Row],[GroupByKey]]),(OutputTable[GroupByKey]=OutputTable[[#This Row],[GroupByKey]])*OutputTable[RecordedValue]))</f>
        <v>0.77845968782647601</v>
      </c>
    </row>
    <row r="226" spans="1:16" x14ac:dyDescent="0.3">
      <c r="A226" t="s">
        <v>66</v>
      </c>
      <c r="B226" t="s">
        <v>68</v>
      </c>
      <c r="C226">
        <v>10</v>
      </c>
      <c r="D226" t="s">
        <v>138</v>
      </c>
      <c r="E226" t="s">
        <v>117</v>
      </c>
      <c r="F226" t="s">
        <v>74</v>
      </c>
      <c r="G226">
        <v>0</v>
      </c>
      <c r="H226">
        <v>0</v>
      </c>
      <c r="I226" s="5" t="str">
        <f>OutputTable[[#This Row],[ProjectName]]&amp;OutputTable[[#This Row],[Name]]&amp;OutputTable[[#This Row],[Type]]&amp;OutputTable[[#This Row],[Source]]</f>
        <v>Unnamed Projectpersona.NumberInNumber InEntity</v>
      </c>
      <c r="J226" s="5" cm="1">
        <f t="array" ref="J226">MAX(IF((ProjectInfoTable[ProjectName]=OutputTable[[#This Row],[ProjectName]]),(ProjectInfoTable[ProjectName]=OutputTable[[#This Row],[ProjectName]])*ProjectInfoTable[NumberOfReplications]))</f>
        <v>10</v>
      </c>
      <c r="K226" s="5" cm="1">
        <f t="array" ref="K226">IFERROR(AVERAGE(IF((OutputTable[GroupByKey]=OutputTable[[#This Row],[GroupByKey]]),(OutputTable[GroupByKey]=OutputTable[[#This Row],[GroupByKey]])*OutputTable[RecordedValue])),0)</f>
        <v>0</v>
      </c>
      <c r="L226" s="5" cm="1">
        <f t="array" ref="L226">IFERROR(_xlfn.STDEV.S(IF((OutputTable[GroupByKey]=OutputTable[[#This Row],[GroupByKey]]),(OutputTable[GroupByKey]=OutputTable[[#This Row],[GroupByKey]])*OutputTable[RecordedValue])),0)</f>
        <v>0</v>
      </c>
      <c r="M226" s="5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6" s="5" cm="1">
        <f t="array" ref="O226">MIN(IF((OutputTable[GroupByKey]=OutputTable[[#This Row],[GroupByKey]]),(OutputTable[GroupByKey]=OutputTable[[#This Row],[GroupByKey]])*OutputTable[RecordedValue]))</f>
        <v>0</v>
      </c>
      <c r="P226" s="5" cm="1">
        <f t="array" ref="P226">MAX(IF((OutputTable[GroupByKey]=OutputTable[[#This Row],[GroupByKey]]),(OutputTable[GroupByKey]=OutputTable[[#This Row],[GroupByKey]])*OutputTable[RecordedValue]))</f>
        <v>0</v>
      </c>
    </row>
    <row r="227" spans="1:16" x14ac:dyDescent="0.3">
      <c r="A227" t="s">
        <v>66</v>
      </c>
      <c r="B227" t="s">
        <v>68</v>
      </c>
      <c r="C227">
        <v>10</v>
      </c>
      <c r="D227" t="s">
        <v>139</v>
      </c>
      <c r="E227" t="s">
        <v>119</v>
      </c>
      <c r="F227" t="s">
        <v>74</v>
      </c>
      <c r="G227">
        <v>0</v>
      </c>
      <c r="H227">
        <v>0</v>
      </c>
      <c r="I227" s="5" t="str">
        <f>OutputTable[[#This Row],[ProjectName]]&amp;OutputTable[[#This Row],[Name]]&amp;OutputTable[[#This Row],[Type]]&amp;OutputTable[[#This Row],[Source]]</f>
        <v>Unnamed Projectpersona.NumberOutNumber OutEntity</v>
      </c>
      <c r="J227" s="5" cm="1">
        <f t="array" ref="J227">MAX(IF((ProjectInfoTable[ProjectName]=OutputTable[[#This Row],[ProjectName]]),(ProjectInfoTable[ProjectName]=OutputTable[[#This Row],[ProjectName]])*ProjectInfoTable[NumberOfReplications]))</f>
        <v>10</v>
      </c>
      <c r="K227" s="5" cm="1">
        <f t="array" ref="K227">IFERROR(AVERAGE(IF((OutputTable[GroupByKey]=OutputTable[[#This Row],[GroupByKey]]),(OutputTable[GroupByKey]=OutputTable[[#This Row],[GroupByKey]])*OutputTable[RecordedValue])),0)</f>
        <v>0</v>
      </c>
      <c r="L227" s="5" cm="1">
        <f t="array" ref="L227">IFERROR(_xlfn.STDEV.S(IF((OutputTable[GroupByKey]=OutputTable[[#This Row],[GroupByKey]]),(OutputTable[GroupByKey]=OutputTable[[#This Row],[GroupByKey]])*OutputTable[RecordedValue])),0)</f>
        <v>0</v>
      </c>
      <c r="M227" s="5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27" s="5" cm="1">
        <f t="array" ref="O227">MIN(IF((OutputTable[GroupByKey]=OutputTable[[#This Row],[GroupByKey]]),(OutputTable[GroupByKey]=OutputTable[[#This Row],[GroupByKey]])*OutputTable[RecordedValue]))</f>
        <v>0</v>
      </c>
      <c r="P227" s="5" cm="1">
        <f t="array" ref="P227">MAX(IF((OutputTable[GroupByKey]=OutputTable[[#This Row],[GroupByKey]]),(OutputTable[GroupByKey]=OutputTable[[#This Row],[GroupByKey]])*OutputTable[RecordedValue]))</f>
        <v>0</v>
      </c>
    </row>
    <row r="228" spans="1:16" x14ac:dyDescent="0.3">
      <c r="A228" t="s">
        <v>66</v>
      </c>
      <c r="B228" t="s">
        <v>68</v>
      </c>
      <c r="C228">
        <v>10</v>
      </c>
      <c r="D228" t="s">
        <v>140</v>
      </c>
      <c r="E228" t="s">
        <v>121</v>
      </c>
      <c r="F228" t="s">
        <v>103</v>
      </c>
      <c r="G228">
        <v>6</v>
      </c>
      <c r="H228">
        <v>0</v>
      </c>
      <c r="I228" s="5" t="str">
        <f>OutputTable[[#This Row],[ProjectName]]&amp;OutputTable[[#This Row],[Name]]&amp;OutputTable[[#This Row],[Type]]&amp;OutputTable[[#This Row],[Source]]</f>
        <v>Unnamed Projectregistro1.NumberSeizedTotal Number SeizedResource</v>
      </c>
      <c r="J228" s="5" cm="1">
        <f t="array" ref="J228">MAX(IF((ProjectInfoTable[ProjectName]=OutputTable[[#This Row],[ProjectName]]),(ProjectInfoTable[ProjectName]=OutputTable[[#This Row],[ProjectName]])*ProjectInfoTable[NumberOfReplications]))</f>
        <v>10</v>
      </c>
      <c r="K228" s="5" cm="1">
        <f t="array" ref="K228">IFERROR(AVERAGE(IF((OutputTable[GroupByKey]=OutputTable[[#This Row],[GroupByKey]]),(OutputTable[GroupByKey]=OutputTable[[#This Row],[GroupByKey]])*OutputTable[RecordedValue])),0)</f>
        <v>7.6</v>
      </c>
      <c r="L228" s="5" cm="1">
        <f t="array" ref="L228">IFERROR(_xlfn.STDEV.S(IF((OutputTable[GroupByKey]=OutputTable[[#This Row],[GroupByKey]]),(OutputTable[GroupByKey]=OutputTable[[#This Row],[GroupByKey]])*OutputTable[RecordedValue])),0)</f>
        <v>2.9135697844549542</v>
      </c>
      <c r="M228" s="5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2.0842422663373124</v>
      </c>
      <c r="O228" s="5" cm="1">
        <f t="array" ref="O228">MIN(IF((OutputTable[GroupByKey]=OutputTable[[#This Row],[GroupByKey]]),(OutputTable[GroupByKey]=OutputTable[[#This Row],[GroupByKey]])*OutputTable[RecordedValue]))</f>
        <v>4</v>
      </c>
      <c r="P228" s="5" cm="1">
        <f t="array" ref="P228">MAX(IF((OutputTable[GroupByKey]=OutputTable[[#This Row],[GroupByKey]]),(OutputTable[GroupByKey]=OutputTable[[#This Row],[GroupByKey]])*OutputTable[RecordedValue]))</f>
        <v>12</v>
      </c>
    </row>
    <row r="229" spans="1:16" x14ac:dyDescent="0.3">
      <c r="A229" t="s">
        <v>66</v>
      </c>
      <c r="B229" t="s">
        <v>68</v>
      </c>
      <c r="C229">
        <v>10</v>
      </c>
      <c r="D229" t="s">
        <v>141</v>
      </c>
      <c r="E229" t="s">
        <v>123</v>
      </c>
      <c r="F229" t="s">
        <v>103</v>
      </c>
      <c r="G229">
        <v>3.4559803197651798E-2</v>
      </c>
      <c r="H229">
        <v>0</v>
      </c>
      <c r="I229" s="5" t="str">
        <f>OutputTable[[#This Row],[ProjectName]]&amp;OutputTable[[#This Row],[Name]]&amp;OutputTable[[#This Row],[Type]]&amp;OutputTable[[#This Row],[Source]]</f>
        <v>Unnamed Projectregistro1.ScheduledUtilizationScheduled UtilizationResource</v>
      </c>
      <c r="J229" s="5" cm="1">
        <f t="array" ref="J229">MAX(IF((ProjectInfoTable[ProjectName]=OutputTable[[#This Row],[ProjectName]]),(ProjectInfoTable[ProjectName]=OutputTable[[#This Row],[ProjectName]])*ProjectInfoTable[NumberOfReplications]))</f>
        <v>10</v>
      </c>
      <c r="K229" s="5" cm="1">
        <f t="array" ref="K229">IFERROR(AVERAGE(IF((OutputTable[GroupByKey]=OutputTable[[#This Row],[GroupByKey]]),(OutputTable[GroupByKey]=OutputTable[[#This Row],[GroupByKey]])*OutputTable[RecordedValue])),0)</f>
        <v>5.6433247648491516E-2</v>
      </c>
      <c r="L229" s="5" cm="1">
        <f t="array" ref="L229">IFERROR(_xlfn.STDEV.S(IF((OutputTable[GroupByKey]=OutputTable[[#This Row],[GroupByKey]]),(OutputTable[GroupByKey]=OutputTable[[#This Row],[GroupByKey]])*OutputTable[RecordedValue])),0)</f>
        <v>2.4456082934732001E-2</v>
      </c>
      <c r="M229" s="5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1.7494827820351853E-2</v>
      </c>
      <c r="O229" s="5" cm="1">
        <f t="array" ref="O229">MIN(IF((OutputTable[GroupByKey]=OutputTable[[#This Row],[GroupByKey]]),(OutputTable[GroupByKey]=OutputTable[[#This Row],[GroupByKey]])*OutputTable[RecordedValue]))</f>
        <v>2.1279401430778E-2</v>
      </c>
      <c r="P229" s="5" cm="1">
        <f t="array" ref="P229">MAX(IF((OutputTable[GroupByKey]=OutputTable[[#This Row],[GroupByKey]]),(OutputTable[GroupByKey]=OutputTable[[#This Row],[GroupByKey]])*OutputTable[RecordedValue]))</f>
        <v>8.8472374570180701E-2</v>
      </c>
    </row>
    <row r="230" spans="1:16" x14ac:dyDescent="0.3">
      <c r="A230" t="s">
        <v>66</v>
      </c>
      <c r="B230" t="s">
        <v>68</v>
      </c>
      <c r="C230">
        <v>10</v>
      </c>
      <c r="D230" t="s">
        <v>142</v>
      </c>
      <c r="E230" t="s">
        <v>121</v>
      </c>
      <c r="F230" t="s">
        <v>103</v>
      </c>
      <c r="G230">
        <v>18</v>
      </c>
      <c r="H230">
        <v>0</v>
      </c>
      <c r="I230" s="5" t="str">
        <f>OutputTable[[#This Row],[ProjectName]]&amp;OutputTable[[#This Row],[Name]]&amp;OutputTable[[#This Row],[Type]]&amp;OutputTable[[#This Row],[Source]]</f>
        <v>Unnamed Projectregistro2.NumberSeizedTotal Number SeizedResource</v>
      </c>
      <c r="J230" s="5" cm="1">
        <f t="array" ref="J230">MAX(IF((ProjectInfoTable[ProjectName]=OutputTable[[#This Row],[ProjectName]]),(ProjectInfoTable[ProjectName]=OutputTable[[#This Row],[ProjectName]])*ProjectInfoTable[NumberOfReplications]))</f>
        <v>10</v>
      </c>
      <c r="K230" s="5" cm="1">
        <f t="array" ref="K230">IFERROR(AVERAGE(IF((OutputTable[GroupByKey]=OutputTable[[#This Row],[GroupByKey]]),(OutputTable[GroupByKey]=OutputTable[[#This Row],[GroupByKey]])*OutputTable[RecordedValue])),0)</f>
        <v>18.8</v>
      </c>
      <c r="L230" s="5" cm="1">
        <f t="array" ref="L230">IFERROR(_xlfn.STDEV.S(IF((OutputTable[GroupByKey]=OutputTable[[#This Row],[GroupByKey]]),(OutputTable[GroupByKey]=OutputTable[[#This Row],[GroupByKey]])*OutputTable[RecordedValue])),0)</f>
        <v>2.8205594401741556</v>
      </c>
      <c r="M230" s="5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2.0177066742293341</v>
      </c>
      <c r="O230" s="5" cm="1">
        <f t="array" ref="O230">MIN(IF((OutputTable[GroupByKey]=OutputTable[[#This Row],[GroupByKey]]),(OutputTable[GroupByKey]=OutputTable[[#This Row],[GroupByKey]])*OutputTable[RecordedValue]))</f>
        <v>14</v>
      </c>
      <c r="P230" s="5" cm="1">
        <f t="array" ref="P230">MAX(IF((OutputTable[GroupByKey]=OutputTable[[#This Row],[GroupByKey]]),(OutputTable[GroupByKey]=OutputTable[[#This Row],[GroupByKey]])*OutputTable[RecordedValue]))</f>
        <v>24</v>
      </c>
    </row>
    <row r="231" spans="1:16" x14ac:dyDescent="0.3">
      <c r="A231" t="s">
        <v>66</v>
      </c>
      <c r="B231" t="s">
        <v>68</v>
      </c>
      <c r="C231">
        <v>10</v>
      </c>
      <c r="D231" t="s">
        <v>143</v>
      </c>
      <c r="E231" t="s">
        <v>123</v>
      </c>
      <c r="F231" t="s">
        <v>103</v>
      </c>
      <c r="G231">
        <v>0.44616177968798199</v>
      </c>
      <c r="H231">
        <v>0</v>
      </c>
      <c r="I231" s="5" t="str">
        <f>OutputTable[[#This Row],[ProjectName]]&amp;OutputTable[[#This Row],[Name]]&amp;OutputTable[[#This Row],[Type]]&amp;OutputTable[[#This Row],[Source]]</f>
        <v>Unnamed Projectregistro2.ScheduledUtilizationScheduled UtilizationResource</v>
      </c>
      <c r="J231" s="5" cm="1">
        <f t="array" ref="J231">MAX(IF((ProjectInfoTable[ProjectName]=OutputTable[[#This Row],[ProjectName]]),(ProjectInfoTable[ProjectName]=OutputTable[[#This Row],[ProjectName]])*ProjectInfoTable[NumberOfReplications]))</f>
        <v>10</v>
      </c>
      <c r="K231" s="5" cm="1">
        <f t="array" ref="K231">IFERROR(AVERAGE(IF((OutputTable[GroupByKey]=OutputTable[[#This Row],[GroupByKey]]),(OutputTable[GroupByKey]=OutputTable[[#This Row],[GroupByKey]])*OutputTable[RecordedValue])),0)</f>
        <v>0.46274808587050231</v>
      </c>
      <c r="L231" s="5" cm="1">
        <f t="array" ref="L231">IFERROR(_xlfn.STDEV.S(IF((OutputTable[GroupByKey]=OutputTable[[#This Row],[GroupByKey]]),(OutputTable[GroupByKey]=OutputTable[[#This Row],[GroupByKey]])*OutputTable[RecordedValue])),0)</f>
        <v>9.1165192054027525E-2</v>
      </c>
      <c r="M231" s="5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6.5215649719990554E-2</v>
      </c>
      <c r="O231" s="5" cm="1">
        <f t="array" ref="O231">MIN(IF((OutputTable[GroupByKey]=OutputTable[[#This Row],[GroupByKey]]),(OutputTable[GroupByKey]=OutputTable[[#This Row],[GroupByKey]])*OutputTable[RecordedValue]))</f>
        <v>0.338210899349628</v>
      </c>
      <c r="P231" s="5" cm="1">
        <f t="array" ref="P231">MAX(IF((OutputTable[GroupByKey]=OutputTable[[#This Row],[GroupByKey]]),(OutputTable[GroupByKey]=OutputTable[[#This Row],[GroupByKey]])*OutputTable[RecordedValue]))</f>
        <v>0.66990172486561195</v>
      </c>
    </row>
  </sheetData>
  <phoneticPr fontId="2" type="noConversion"/>
  <conditionalFormatting sqref="I2:P231">
    <cfRule type="expression" dxfId="10" priority="2">
      <formula>MOD(ROW(),2)=0</formula>
    </cfRule>
  </conditionalFormatting>
  <conditionalFormatting sqref="N2:N23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31"/>
  <sheetViews>
    <sheetView workbookViewId="0">
      <selection activeCell="A2" sqref="A2"/>
    </sheetView>
  </sheetViews>
  <sheetFormatPr baseColWidth="10" defaultColWidth="8.88671875" defaultRowHeight="14.4" x14ac:dyDescent="0.3"/>
  <cols>
    <col min="1" max="1" width="14.21875" bestFit="1" customWidth="1"/>
    <col min="2" max="2" width="21.109375" bestFit="1" customWidth="1"/>
    <col min="3" max="3" width="12.5546875" bestFit="1" customWidth="1"/>
    <col min="4" max="4" width="8.21875" bestFit="1" customWidth="1"/>
    <col min="5" max="5" width="10.77734375" bestFit="1" customWidth="1"/>
    <col min="6" max="6" width="9" bestFit="1" customWidth="1"/>
    <col min="7" max="7" width="20.44140625" bestFit="1" customWidth="1"/>
    <col min="8" max="8" width="21.109375" bestFit="1" customWidth="1"/>
    <col min="9" max="9" width="23.6640625" bestFit="1" customWidth="1"/>
    <col min="10" max="10" width="24.88671875" bestFit="1" customWidth="1"/>
    <col min="11" max="11" width="13.6640625" bestFit="1" customWidth="1"/>
    <col min="12" max="12" width="28.77734375" bestFit="1" customWidth="1"/>
    <col min="13" max="13" width="29.44140625" bestFit="1" customWidth="1"/>
    <col min="14" max="14" width="16.109375" bestFit="1" customWidth="1"/>
    <col min="15" max="15" width="27.44140625" bestFit="1" customWidth="1"/>
    <col min="16" max="16" width="28.109375" bestFit="1" customWidth="1"/>
    <col min="17" max="17" width="29.21875" bestFit="1" customWidth="1"/>
    <col min="18" max="18" width="28.33203125" bestFit="1" customWidth="1"/>
    <col min="19" max="19" width="26.21875" bestFit="1" customWidth="1"/>
    <col min="20" max="20" width="29.88671875" bestFit="1" customWidth="1"/>
    <col min="21" max="21" width="31.88671875" bestFit="1" customWidth="1"/>
    <col min="22" max="22" width="32.10937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</sheetData>
  <phoneticPr fontId="2" type="noConversion"/>
  <conditionalFormatting sqref="K1:P2 K17:P17 Q45:V45 K31:V31">
    <cfRule type="expression" dxfId="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ruben lopez</cp:lastModifiedBy>
  <cp:lastPrinted>2022-03-22T10:33:10Z</cp:lastPrinted>
  <dcterms:created xsi:type="dcterms:W3CDTF">2020-06-29T21:30:31Z</dcterms:created>
  <dcterms:modified xsi:type="dcterms:W3CDTF">2023-05-15T10:00:54Z</dcterms:modified>
</cp:coreProperties>
</file>